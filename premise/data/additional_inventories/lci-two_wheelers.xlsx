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8880" tabRatio="600" firstSheet="4" activeTab="11" autoFilterDateGrouping="1"/>
  </bookViews>
  <sheets>
    <sheet xmlns:r="http://schemas.openxmlformats.org/officeDocument/2006/relationships" name="Readmefirst" sheetId="1" state="visible" r:id="rId1"/>
    <sheet xmlns:r="http://schemas.openxmlformats.org/officeDocument/2006/relationships" name="vehicles specifications" sheetId="2" state="visible" r:id="rId2"/>
    <sheet xmlns:r="http://schemas.openxmlformats.org/officeDocument/2006/relationships" name="LCIA results" sheetId="3" state="visible" r:id="rId3"/>
    <sheet xmlns:r="http://schemas.openxmlformats.org/officeDocument/2006/relationships" name="ei names mapping" sheetId="4" state="visible" r:id="rId4"/>
    <sheet xmlns:r="http://schemas.openxmlformats.org/officeDocument/2006/relationships" name="EoL and shipping" sheetId="5" state="visible" r:id="rId5"/>
    <sheet xmlns:r="http://schemas.openxmlformats.org/officeDocument/2006/relationships" name="abrasion emissions" sheetId="6" state="visible" r:id="rId6"/>
    <sheet xmlns:r="http://schemas.openxmlformats.org/officeDocument/2006/relationships" name="energy battery" sheetId="7" state="visible" r:id="rId7"/>
    <sheet xmlns:r="http://schemas.openxmlformats.org/officeDocument/2006/relationships" name="fuels and tailpipe emissions" sheetId="8" state="visible" r:id="rId8"/>
    <sheet xmlns:r="http://schemas.openxmlformats.org/officeDocument/2006/relationships" name="lci-kick scooter - NMC" sheetId="9" state="visible" r:id="rId9"/>
    <sheet xmlns:r="http://schemas.openxmlformats.org/officeDocument/2006/relationships" name="lci-motorbikes&lt;4kW - NMC" sheetId="10" state="visible" r:id="rId10"/>
    <sheet xmlns:r="http://schemas.openxmlformats.org/officeDocument/2006/relationships" name="lci-motorbikes-4-11kW - NMC" sheetId="11" state="visible" r:id="rId11"/>
    <sheet xmlns:r="http://schemas.openxmlformats.org/officeDocument/2006/relationships" name="lci-motorbikes-11-35kW - NMC" sheetId="12" state="visible" r:id="rId12"/>
    <sheet xmlns:r="http://schemas.openxmlformats.org/officeDocument/2006/relationships" name="lci-motorbikes&gt;35kW - NMC" sheetId="13" state="visible" r:id="rId13"/>
    <sheet xmlns:r="http://schemas.openxmlformats.org/officeDocument/2006/relationships" name="lci-motorbikes-gas-4-11kW" sheetId="14" state="visible" r:id="rId14"/>
    <sheet xmlns:r="http://schemas.openxmlformats.org/officeDocument/2006/relationships" name="lci-motorbikes-gas-11-35kW" sheetId="15" state="visible" r:id="rId15"/>
    <sheet xmlns:r="http://schemas.openxmlformats.org/officeDocument/2006/relationships" name="lci-motorbikes-gas-&gt;35kW" sheetId="16" state="visible" r:id="rId16"/>
    <sheet xmlns:r="http://schemas.openxmlformats.org/officeDocument/2006/relationships" name="lci-scooter&lt;4kW" sheetId="17" state="visible" r:id="rId17"/>
    <sheet xmlns:r="http://schemas.openxmlformats.org/officeDocument/2006/relationships" name="lci-scooter-4-11kW" sheetId="18" state="visible" r:id="rId18"/>
    <sheet xmlns:r="http://schemas.openxmlformats.org/officeDocument/2006/relationships" name="lci-scooter-electric&lt;4kW - NMC" sheetId="19" state="visible" r:id="rId19"/>
    <sheet xmlns:r="http://schemas.openxmlformats.org/officeDocument/2006/relationships" name="lci-scooter-elec-4-11kW - NMC" sheetId="20" state="visible" r:id="rId20"/>
    <sheet xmlns:r="http://schemas.openxmlformats.org/officeDocument/2006/relationships" name="lci-moped" sheetId="21" state="visible" r:id="rId21"/>
    <sheet xmlns:r="http://schemas.openxmlformats.org/officeDocument/2006/relationships" name="lci-bicycle" sheetId="22" state="visible" r:id="rId22"/>
    <sheet xmlns:r="http://schemas.openxmlformats.org/officeDocument/2006/relationships" name="lci-elec-bicycle-25kmh - NMC" sheetId="23" state="visible" r:id="rId23"/>
    <sheet xmlns:r="http://schemas.openxmlformats.org/officeDocument/2006/relationships" name="lci-elec-bicycle-45kmh - NMC" sheetId="24" state="visible" r:id="rId24"/>
    <sheet xmlns:r="http://schemas.openxmlformats.org/officeDocument/2006/relationships" name="lci-elec-bicycle-cargo - NMC" sheetId="25" state="visible" r:id="rId25"/>
    <sheet xmlns:r="http://schemas.openxmlformats.org/officeDocument/2006/relationships" name="lci-tram" sheetId="26" state="visible" r:id="rId26"/>
    <sheet xmlns:r="http://schemas.openxmlformats.org/officeDocument/2006/relationships" name="lci-others" sheetId="27" state="visible" r:id="rId27"/>
  </sheets>
  <definedNames>
    <definedName name="_xlnm._FilterDatabase" localSheetId="1" hidden="1">'vehicles specifications'!$A$2:$CW$166</definedName>
    <definedName name="_xlnm._FilterDatabase" localSheetId="2" hidden="1">'LCIA results'!$A$2:$BA$275</definedName>
    <definedName name="_xlnm._FilterDatabase" localSheetId="26" hidden="1">'lci-others'!$A$1:$N$133</definedName>
  </definedNames>
  <calcPr calcId="191029" fullCalcOnLoad="1"/>
</workbook>
</file>

<file path=xl/styles.xml><?xml version="1.0" encoding="utf-8"?>
<styleSheet xmlns="http://schemas.openxmlformats.org/spreadsheetml/2006/main">
  <numFmts count="6">
    <numFmt numFmtId="164" formatCode="0.0"/>
    <numFmt numFmtId="165" formatCode="0.0000"/>
    <numFmt numFmtId="166" formatCode="0.000"/>
    <numFmt numFmtId="167" formatCode="0.00000"/>
    <numFmt numFmtId="168" formatCode="0.000000000"/>
    <numFmt numFmtId="169" formatCode="0.0%"/>
  </numFmts>
  <fonts count="10">
    <font>
      <name val="Calibri"/>
      <family val="2"/>
      <color theme="1"/>
      <sz val="11"/>
      <scheme val="minor"/>
    </font>
    <font>
      <name val="Tahoma"/>
      <family val="2"/>
      <color indexed="81"/>
      <sz val="9"/>
    </font>
    <font>
      <name val="Tahoma"/>
      <family val="2"/>
      <b val="1"/>
      <color indexed="81"/>
      <sz val="9"/>
    </font>
    <font>
      <name val="Calibri"/>
      <family val="2"/>
      <color indexed="8"/>
      <sz val="11"/>
      <u val="single"/>
    </font>
    <font>
      <name val="Calibri"/>
      <family val="2"/>
      <color theme="1"/>
      <sz val="11"/>
      <scheme val="minor"/>
    </font>
    <font>
      <name val="Calibri"/>
      <family val="2"/>
      <b val="1"/>
      <color theme="1"/>
      <sz val="11"/>
      <scheme val="minor"/>
    </font>
    <font>
      <name val="Calibri"/>
      <family val="2"/>
      <b val="1"/>
      <color theme="1"/>
      <sz val="12"/>
      <scheme val="minor"/>
    </font>
    <font>
      <name val="Calibri"/>
      <family val="2"/>
      <color rgb="FF000000"/>
      <sz val="10"/>
      <scheme val="minor"/>
    </font>
    <font>
      <name val="Calibri"/>
      <family val="2"/>
      <color theme="1"/>
      <sz val="12"/>
      <scheme val="minor"/>
    </font>
    <font>
      <name val="Calibri"/>
      <family val="2"/>
      <color rgb="FF000000"/>
      <sz val="11"/>
      <scheme val="minor"/>
    </font>
  </fonts>
  <fills count="8">
    <fill>
      <patternFill/>
    </fill>
    <fill>
      <patternFill patternType="gray125"/>
    </fill>
    <fill>
      <patternFill patternType="solid">
        <fgColor theme="9" tint="0.7999816888943144"/>
        <bgColor indexed="64"/>
      </patternFill>
    </fill>
    <fill>
      <patternFill patternType="solid">
        <fgColor theme="8" tint="0.7999816888943144"/>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theme="5" tint="0.7999816888943144"/>
        <bgColor indexed="64"/>
      </patternFill>
    </fill>
    <fill>
      <patternFill patternType="solid">
        <fgColor theme="4" tint="0.7999816888943144"/>
        <bgColor indexed="64"/>
      </patternFill>
    </fill>
  </fills>
  <borders count="1">
    <border>
      <left/>
      <right/>
      <top/>
      <bottom/>
      <diagonal/>
    </border>
  </borders>
  <cellStyleXfs count="2">
    <xf numFmtId="0" fontId="4" fillId="0" borderId="0"/>
    <xf numFmtId="9" fontId="4" fillId="0" borderId="0"/>
  </cellStyleXfs>
  <cellXfs count="46">
    <xf numFmtId="0" fontId="0" fillId="0" borderId="0" pivotButton="0" quotePrefix="0" xfId="0"/>
    <xf numFmtId="9" fontId="4" fillId="0" borderId="0" pivotButton="0" quotePrefix="0" xfId="1"/>
    <xf numFmtId="1"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2" fontId="0" fillId="0" borderId="0" pivotButton="0" quotePrefix="0" xfId="0"/>
    <xf numFmtId="11" fontId="0" fillId="0" borderId="0" pivotButton="0" quotePrefix="0" xfId="0"/>
    <xf numFmtId="0" fontId="5" fillId="0" borderId="0" pivotButton="0" quotePrefix="0" xfId="0"/>
    <xf numFmtId="164" fontId="5" fillId="0" borderId="0" pivotButton="0" quotePrefix="0" xfId="0"/>
    <xf numFmtId="0" fontId="6" fillId="0" borderId="0" pivotButton="0" quotePrefix="0" xfId="0"/>
    <xf numFmtId="167" fontId="0" fillId="0" borderId="0" pivotButton="0" quotePrefix="0" xfId="0"/>
    <xf numFmtId="168" fontId="0" fillId="0" borderId="0" pivotButton="0" quotePrefix="0" xfId="0"/>
    <xf numFmtId="0" fontId="7" fillId="0" borderId="0" pivotButton="0" quotePrefix="0" xfId="0"/>
    <xf numFmtId="14" fontId="0" fillId="0" borderId="0" pivotButton="0" quotePrefix="0" xfId="0"/>
    <xf numFmtId="10" fontId="0" fillId="0" borderId="0" pivotButton="0" quotePrefix="0" xfId="0"/>
    <xf numFmtId="11" fontId="4" fillId="0" borderId="0" pivotButton="0" quotePrefix="0" xfId="1"/>
    <xf numFmtId="11" fontId="4" fillId="0" borderId="0" pivotButton="0" quotePrefix="0" xfId="1"/>
    <xf numFmtId="49" fontId="0" fillId="0" borderId="0" pivotButton="0" quotePrefix="0" xfId="0"/>
    <xf numFmtId="0" fontId="0" fillId="0" borderId="0" applyAlignment="1" pivotButton="0" quotePrefix="0" xfId="0">
      <alignment horizontal="right"/>
    </xf>
    <xf numFmtId="169" fontId="0" fillId="0" borderId="0" pivotButton="0" quotePrefix="0" xfId="1"/>
    <xf numFmtId="11" fontId="6" fillId="0" borderId="0" pivotButton="0" quotePrefix="0" xfId="0"/>
    <xf numFmtId="11" fontId="8" fillId="0" borderId="0" pivotButton="0" quotePrefix="0" xfId="0"/>
    <xf numFmtId="0" fontId="5" fillId="2" borderId="0" pivotButton="0" quotePrefix="0" xfId="0"/>
    <xf numFmtId="166" fontId="0" fillId="2" borderId="0" pivotButton="0" quotePrefix="0" xfId="0"/>
    <xf numFmtId="0" fontId="5" fillId="3" borderId="0" pivotButton="0" quotePrefix="0" xfId="0"/>
    <xf numFmtId="166" fontId="0" fillId="3" borderId="0" pivotButton="0" quotePrefix="0" xfId="0"/>
    <xf numFmtId="0" fontId="5" fillId="4" borderId="0" pivotButton="0" quotePrefix="0" xfId="0"/>
    <xf numFmtId="11" fontId="0" fillId="4" borderId="0" pivotButton="0" quotePrefix="0" xfId="0"/>
    <xf numFmtId="0" fontId="5" fillId="5" borderId="0" pivotButton="0" quotePrefix="0" xfId="0"/>
    <xf numFmtId="11" fontId="0" fillId="5" borderId="0" pivotButton="0" quotePrefix="0" xfId="0"/>
    <xf numFmtId="0" fontId="5" fillId="6" borderId="0" pivotButton="0" quotePrefix="0" xfId="0"/>
    <xf numFmtId="11" fontId="0" fillId="6" borderId="0" pivotButton="0" quotePrefix="0" xfId="0"/>
    <xf numFmtId="0" fontId="5" fillId="7" borderId="0" pivotButton="0" quotePrefix="0" xfId="0"/>
    <xf numFmtId="2" fontId="0" fillId="7" borderId="0" pivotButton="0" quotePrefix="0" xfId="0"/>
    <xf numFmtId="0" fontId="9" fillId="0" borderId="0" pivotButton="0" quotePrefix="0" xfId="0"/>
    <xf numFmtId="0" fontId="5" fillId="0" borderId="0" applyAlignment="1" pivotButton="0" quotePrefix="0" xfId="0">
      <alignment horizontal="left" wrapText="1"/>
    </xf>
    <xf numFmtId="0" fontId="5" fillId="0" borderId="0" applyAlignment="1" pivotButton="0" quotePrefix="0" xfId="0">
      <alignment horizontal="center"/>
    </xf>
    <xf numFmtId="9" fontId="0" fillId="0" borderId="0" pivotButton="0" quotePrefix="0" xfId="1"/>
    <xf numFmtId="0" fontId="5" fillId="6" borderId="0" applyAlignment="1" pivotButton="0" quotePrefix="0" xfId="0">
      <alignment horizontal="center"/>
    </xf>
    <xf numFmtId="0" fontId="5" fillId="7" borderId="0" applyAlignment="1" pivotButton="0" quotePrefix="0" xfId="0">
      <alignment horizontal="center"/>
    </xf>
    <xf numFmtId="0" fontId="5" fillId="2" borderId="0" applyAlignment="1" pivotButton="0" quotePrefix="0" xfId="0">
      <alignment horizontal="center"/>
    </xf>
    <xf numFmtId="0" fontId="5" fillId="3" borderId="0" applyAlignment="1" pivotButton="0" quotePrefix="0" xfId="0">
      <alignment horizontal="center"/>
    </xf>
    <xf numFmtId="0" fontId="5" fillId="4" borderId="0" applyAlignment="1" pivotButton="0" quotePrefix="0" xfId="0">
      <alignment horizontal="center"/>
    </xf>
    <xf numFmtId="0" fontId="5" fillId="5" borderId="0" applyAlignment="1" pivotButton="0" quotePrefix="0" xfId="0">
      <alignment horizontal="center"/>
    </xf>
    <xf numFmtId="0" fontId="0" fillId="0" borderId="0" applyAlignment="1" pivotButton="0" quotePrefix="0" xfId="0">
      <alignment horizontal="center"/>
    </xf>
  </cellXfs>
  <cellStyles count="2">
    <cellStyle name="Normal" xfId="0" builtinId="0"/>
    <cellStyle name="Per cent" xfId="1"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omments/comment1.xml><?xml version="1.0" encoding="utf-8"?>
<comments xmlns="http://schemas.openxmlformats.org/spreadsheetml/2006/main">
  <authors>
    <author>Sacchi Romain</author>
  </authors>
  <commentList>
    <comment ref="AU2" authorId="0" shapeId="0">
      <text>
        <t>Sacchi Romain:
kg/km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B6" sqref="B6"/>
    </sheetView>
  </sheetViews>
  <sheetFormatPr baseColWidth="10" defaultColWidth="8.83203125" defaultRowHeight="15"/>
  <cols>
    <col width="12.33203125" bestFit="1" customWidth="1" min="1" max="1"/>
    <col width="10.5" bestFit="1" customWidth="1" min="2" max="2"/>
  </cols>
  <sheetData>
    <row r="1">
      <c r="A1" t="inlineStr">
        <is>
          <t>skip</t>
        </is>
      </c>
    </row>
    <row r="2">
      <c r="A2" s="8" t="inlineStr">
        <is>
          <t>Title</t>
        </is>
      </c>
      <c r="B2" s="8" t="inlineStr">
        <is>
          <t>Life-cycle inventories for on-road vehicles</t>
        </is>
      </c>
    </row>
    <row r="3">
      <c r="A3" t="inlineStr">
        <is>
          <t>Authors</t>
        </is>
      </c>
      <c r="B3" t="inlineStr">
        <is>
          <t>Sacchi R. (PSI), Bauer C. (PSI), 2021</t>
        </is>
      </c>
    </row>
    <row r="4">
      <c r="A4" t="inlineStr">
        <is>
          <t>Reviewed by</t>
        </is>
      </c>
      <c r="B4" t="inlineStr">
        <is>
          <t>Cox B. (INFRAS)</t>
        </is>
      </c>
    </row>
    <row r="5">
      <c r="A5" t="inlineStr">
        <is>
          <t>Last revision</t>
        </is>
      </c>
      <c r="B5" s="14" t="n">
        <v>44502</v>
      </c>
    </row>
    <row r="6"/>
    <row r="7">
      <c r="A7" t="inlineStr">
        <is>
          <t>Vehicles' specifications and definitions are listed in "vehicles specifications".</t>
        </is>
      </c>
    </row>
    <row r="8">
      <c r="A8" t="inlineStr">
        <is>
          <t>Tabs starting with "lci-" contain unit processes to be consumed by brightway2. The inventories should link to ecoinvent 3.7, cut-off.</t>
        </is>
      </c>
    </row>
    <row r="9">
      <c r="A9" t="inlineStr">
        <is>
          <t>Any modification in "vehicles specifications" is automatically reflected in the unit processes.</t>
        </is>
      </c>
    </row>
    <row r="10">
      <c r="A10" t="inlineStr">
        <is>
          <t>Unit processes consist of vehicles datasets on the one hand (with the unit "unit"), and transport activity datasets on the other (with the unit "kilometer" or "person-kilometer").</t>
        </is>
      </c>
    </row>
    <row r="11">
      <c r="A11" t="inlineStr">
        <is>
          <t>Vehicle datasets typically entail the manufacture of the vehicle (and the energy storage unit), its supply to the intended market and the disposal of the vehicle.</t>
        </is>
      </c>
    </row>
    <row r="12">
      <c r="A12" t="inlineStr">
        <is>
          <t>Transport activity datasets typically entail the share of the vehicle necessary to operate a transport operation over 1 km (1 over its lifetime in kilometers), the fuel (or electricity) supply, the exhaust and non-exhaust emissions, the maintenance of the vehicle as well as the construction and maintenance of the road.</t>
        </is>
      </c>
    </row>
    <row r="13">
      <c r="A13" t="inlineStr">
        <is>
          <t>For some vehicles, the disposal treatment is included in the vehicle production dataset. For example, the dataset "bicycle production" contains the EoL treatment. In case the EoL treatment is not icnluded in the vehicle production dataset, it is added within the vehicle dataset.</t>
        </is>
      </c>
    </row>
    <row r="14">
      <c r="A14" t="inlineStr">
        <is>
          <t>Finally, the transport to market is also added in the vehicle dataset, where most of the vehicles' components are assumed to be produced and assembled in Asia and shipped to Europe, to be distributed afterwards in Switzerland.</t>
        </is>
      </c>
    </row>
  </sheetData>
  <pageMargins left="0.7" right="0.7" top="0.75" bottom="0.75" header="0.3" footer="0.3"/>
</worksheet>
</file>

<file path=xl/worksheets/sheet2.xml><?xml version="1.0" encoding="utf-8"?>
<worksheet xmlns="http://schemas.openxmlformats.org/spreadsheetml/2006/main" xmlns:ns1="http://schemas.openxmlformats.org/officeDocument/2006/relationships">
  <sheetPr>
    <outlinePr summaryBelow="1" summaryRight="1"/>
    <pageSetUpPr/>
  </sheetPr>
  <dimension ref="A1:CW167"/>
  <sheetViews>
    <sheetView workbookViewId="0">
      <pane xSplit="2" topLeftCell="CJ1" activePane="topRight" state="frozen"/>
      <selection pane="topRight" activeCell="CJ11" sqref="CJ11"/>
    </sheetView>
  </sheetViews>
  <sheetFormatPr baseColWidth="10" defaultColWidth="8.83203125" defaultRowHeight="15"/>
  <cols>
    <col width="68.5" customWidth="1" min="1" max="1"/>
    <col width="33.33203125" bestFit="1" customWidth="1" min="2" max="2"/>
    <col width="4.5" customWidth="1" min="3" max="3"/>
    <col width="5" customWidth="1" min="4" max="4"/>
    <col width="8.33203125" customWidth="1" min="5" max="5"/>
    <col width="16.33203125" customWidth="1" min="6" max="6"/>
    <col width="8.33203125" customWidth="1" min="7" max="7"/>
    <col width="10" customWidth="1" min="8" max="8"/>
    <col width="16.6640625" customWidth="1" min="9" max="9"/>
    <col width="11.6640625" customWidth="1" min="10" max="10"/>
    <col width="20" customWidth="1" min="11" max="11"/>
    <col width="13.6640625" customWidth="1" min="12" max="12"/>
    <col width="14.6640625" customWidth="1" min="13" max="13"/>
    <col width="17.5" customWidth="1" min="14" max="14"/>
    <col width="14" customWidth="1" min="15" max="15"/>
    <col width="12.6640625" customWidth="1" min="16" max="16"/>
    <col width="14.6640625" customWidth="1" min="17" max="17"/>
    <col width="10.6640625" bestFit="1" customWidth="1" min="18" max="18"/>
    <col width="18.33203125" bestFit="1" customWidth="1" min="19" max="19"/>
    <col width="7.83203125" customWidth="1" min="20" max="20"/>
    <col width="7.5" customWidth="1" min="21" max="22"/>
    <col width="9.5" customWidth="1" min="23" max="23"/>
    <col width="29" bestFit="1" customWidth="1" min="24" max="24"/>
    <col width="24.33203125" customWidth="1" min="25" max="26"/>
    <col width="24.5" bestFit="1" customWidth="1" min="27" max="27"/>
    <col width="24.6640625" bestFit="1" customWidth="1" style="3" min="28" max="28"/>
    <col width="21.33203125" bestFit="1" customWidth="1" min="29" max="29"/>
    <col width="28.6640625" bestFit="1" customWidth="1" min="30" max="30"/>
    <col width="13.33203125" bestFit="1" customWidth="1" min="31" max="31"/>
    <col width="12.5" bestFit="1" customWidth="1" min="32" max="32"/>
    <col width="26.6640625" bestFit="1" customWidth="1" min="33" max="33"/>
    <col width="16.5" bestFit="1" customWidth="1" min="34" max="34"/>
    <col width="24.5" bestFit="1" customWidth="1" min="35" max="35"/>
    <col width="25.6640625" bestFit="1" customWidth="1" min="36" max="36"/>
    <col width="25.6640625" customWidth="1" min="37" max="39"/>
    <col width="18.6640625" bestFit="1" customWidth="1" min="40" max="40"/>
    <col width="23.5" bestFit="1" customWidth="1" min="41" max="41"/>
    <col width="20.33203125" bestFit="1" customWidth="1" min="42" max="42"/>
    <col width="26.6640625" bestFit="1" customWidth="1" min="43" max="43"/>
    <col width="21.6640625" bestFit="1" customWidth="1" min="44" max="44"/>
    <col width="27.6640625" bestFit="1" customWidth="1" min="45" max="45"/>
    <col width="10.33203125" bestFit="1" customWidth="1" min="46" max="46"/>
    <col width="5.5" bestFit="1" customWidth="1" min="47" max="47"/>
    <col width="8.1640625" bestFit="1" customWidth="1" min="48" max="48"/>
    <col width="8.6640625" customWidth="1" min="49" max="49"/>
    <col width="14.6640625" bestFit="1" customWidth="1" min="50" max="50"/>
    <col width="11.33203125" bestFit="1" customWidth="1" min="51" max="51"/>
    <col width="10.33203125" bestFit="1" customWidth="1" min="52" max="52"/>
    <col width="11.5" bestFit="1" customWidth="1" min="53" max="53"/>
    <col width="11.33203125" bestFit="1" customWidth="1" min="54" max="55"/>
    <col width="13.5" bestFit="1" customWidth="1" min="56" max="56"/>
    <col width="13.5" customWidth="1" min="57" max="90"/>
    <col width="16" bestFit="1" customWidth="1" min="91" max="91"/>
    <col width="17.83203125" bestFit="1" customWidth="1" min="92" max="92"/>
    <col width="17" bestFit="1" customWidth="1" min="93" max="93"/>
    <col width="21.6640625" bestFit="1" customWidth="1" min="94" max="94"/>
    <col width="19.83203125" bestFit="1" customWidth="1" min="95" max="95"/>
    <col width="18.83203125" bestFit="1" customWidth="1" min="96" max="96"/>
    <col width="21.6640625" bestFit="1" customWidth="1" min="97" max="97"/>
    <col width="32.83203125" bestFit="1" customWidth="1" min="98" max="98"/>
    <col width="16.6640625" bestFit="1" customWidth="1" min="99" max="99"/>
    <col width="15.5" bestFit="1" customWidth="1" min="100" max="100"/>
    <col width="17.33203125" bestFit="1" customWidth="1" min="101" max="101"/>
  </cols>
  <sheetData>
    <row r="1">
      <c r="A1" t="inlineStr">
        <is>
          <t>skip</t>
        </is>
      </c>
    </row>
    <row r="2" customFormat="1" s="8">
      <c r="A2" s="8" t="inlineStr">
        <is>
          <t>Full name</t>
        </is>
      </c>
      <c r="B2" s="8" t="inlineStr">
        <is>
          <t>Vehicle</t>
        </is>
      </c>
      <c r="C2" s="8" t="inlineStr">
        <is>
          <t>Size</t>
        </is>
      </c>
      <c r="D2" s="8" t="inlineStr">
        <is>
          <t>Year</t>
        </is>
      </c>
      <c r="E2" s="8" t="inlineStr">
        <is>
          <t>Location</t>
        </is>
      </c>
      <c r="F2" s="8" t="inlineStr">
        <is>
          <t>Emission standard</t>
        </is>
      </c>
      <c r="G2" s="8" t="inlineStr">
        <is>
          <t>Functional unit</t>
        </is>
      </c>
      <c r="H2" s="8" t="inlineStr">
        <is>
          <t>Powertrain</t>
        </is>
      </c>
      <c r="I2" s="8" t="inlineStr">
        <is>
          <t>Energy battery type</t>
        </is>
      </c>
      <c r="J2" s="8" t="inlineStr">
        <is>
          <t>Lifetime [km]</t>
        </is>
      </c>
      <c r="K2" s="8" t="inlineStr">
        <is>
          <t>Annual kilometers [km]</t>
        </is>
      </c>
      <c r="L2" s="8" t="inlineStr">
        <is>
          <t>Lifetime [years]</t>
        </is>
      </c>
      <c r="M2" s="8" t="inlineStr">
        <is>
          <t>Passengers [unit]</t>
        </is>
      </c>
      <c r="N2" s="8" t="inlineStr">
        <is>
          <t>Passenger mass [kg]</t>
        </is>
      </c>
      <c r="O2" s="8" t="inlineStr">
        <is>
          <t>Cargo mass [kg]</t>
        </is>
      </c>
      <c r="P2" s="8" t="inlineStr">
        <is>
          <t>Curb mass [kg]</t>
        </is>
      </c>
      <c r="Q2" s="8" t="inlineStr">
        <is>
          <t>Driving mass [kg]</t>
        </is>
      </c>
      <c r="R2" s="8" t="inlineStr">
        <is>
          <t>Power [kW]</t>
        </is>
      </c>
      <c r="S2" s="8" t="inlineStr">
        <is>
          <t>Glider base mass [kg]</t>
        </is>
      </c>
      <c r="T2" s="8" t="inlineStr">
        <is>
          <t>Lightweighting rate [%]</t>
        </is>
      </c>
      <c r="U2" s="8" t="inlineStr">
        <is>
          <t>Glider mass [kg]</t>
        </is>
      </c>
      <c r="V2" s="8" t="inlineStr">
        <is>
          <t>Mechanical powertrain mass [kg]</t>
        </is>
      </c>
      <c r="W2" s="8" t="inlineStr">
        <is>
          <t>Electric powertrain mass [kg]</t>
        </is>
      </c>
      <c r="X2" s="8" t="inlineStr">
        <is>
          <t>Electric energy stored [kWh]</t>
        </is>
      </c>
      <c r="Y2" s="8" t="inlineStr">
        <is>
          <t>Depth of discharge [%]</t>
        </is>
      </c>
      <c r="Z2" s="8" t="inlineStr">
        <is>
          <t>Electric energy available [kWh]</t>
        </is>
      </c>
      <c r="AA2" s="8" t="inlineStr">
        <is>
          <t>Energy battery cell mass [kg]</t>
        </is>
      </c>
      <c r="AB2" s="9" t="inlineStr">
        <is>
          <t>Energy battery BoP mass [kg]</t>
        </is>
      </c>
      <c r="AC2" s="8" t="inlineStr">
        <is>
          <t>Energy battery mass [kg]</t>
        </is>
      </c>
      <c r="AD2" s="8" t="inlineStr">
        <is>
          <t>Energy battery replacement [unit]</t>
        </is>
      </c>
      <c r="AE2" s="8" t="inlineStr">
        <is>
          <t>Fuel volume [l]</t>
        </is>
      </c>
      <c r="AF2" s="8" t="inlineStr">
        <is>
          <t>Fuel mass [kg]</t>
        </is>
      </c>
      <c r="AG2" s="8" t="inlineStr">
        <is>
          <t>Oxydation energy stored [kWh]</t>
        </is>
      </c>
      <c r="AH2" s="8" t="inlineStr">
        <is>
          <t>Fuel tank mass [kg]</t>
        </is>
      </c>
      <c r="AI2" s="8" t="inlineStr">
        <is>
          <t>Charging station power [kW]</t>
        </is>
      </c>
      <c r="AJ2" s="8" t="inlineStr">
        <is>
          <t>Charging station per vehicle [unit]</t>
        </is>
      </c>
      <c r="AK2" s="8" t="inlineStr">
        <is>
          <t>Servicing [unit]</t>
        </is>
      </c>
      <c r="AL2" s="8" t="inlineStr">
        <is>
          <t>Road/track use [m*year/vkm or pkm]</t>
        </is>
      </c>
      <c r="AM2" s="8" t="inlineStr">
        <is>
          <t>Road maintenance [m*year/vkm]</t>
        </is>
      </c>
      <c r="AN2" s="8" t="inlineStr">
        <is>
          <t>Discarding glider [kg]</t>
        </is>
      </c>
      <c r="AO2" s="8" t="inlineStr">
        <is>
          <t>Discarding powertrain [kg]</t>
        </is>
      </c>
      <c r="AP2" s="8" t="inlineStr">
        <is>
          <t>Discarding battery [kg]</t>
        </is>
      </c>
      <c r="AQ2" s="8" t="inlineStr">
        <is>
          <t>Gasoline consumption [MJ/km]</t>
        </is>
      </c>
      <c r="AR2" s="8" t="inlineStr">
        <is>
          <t>Bioethanol blend [% wt]</t>
        </is>
      </c>
      <c r="AS2" s="8" t="inlineStr">
        <is>
          <t>Electricity consumption [MJ/km]</t>
        </is>
      </c>
      <c r="AT2" s="8" t="inlineStr">
        <is>
          <t>Range [km]</t>
        </is>
      </c>
      <c r="AU2" s="8" t="inlineStr">
        <is>
          <t>CO2</t>
        </is>
      </c>
      <c r="AV2" s="8" t="inlineStr">
        <is>
          <t>CO2, bio</t>
        </is>
      </c>
      <c r="AW2" s="8" t="inlineStr">
        <is>
          <t>SO2</t>
        </is>
      </c>
      <c r="AX2" s="8" t="inlineStr">
        <is>
          <t>Benzene</t>
        </is>
      </c>
      <c r="AY2" s="8" t="inlineStr">
        <is>
          <t>CH4</t>
        </is>
      </c>
      <c r="AZ2" s="8" t="inlineStr">
        <is>
          <t>CO</t>
        </is>
      </c>
      <c r="BA2" s="8" t="inlineStr">
        <is>
          <t>N2O</t>
        </is>
      </c>
      <c r="BB2" s="8" t="inlineStr">
        <is>
          <t>NH3</t>
        </is>
      </c>
      <c r="BC2" s="8" t="inlineStr">
        <is>
          <t>NOx</t>
        </is>
      </c>
      <c r="BD2" s="8" t="inlineStr">
        <is>
          <t>PM2.5</t>
        </is>
      </c>
      <c r="BE2" s="8" t="inlineStr">
        <is>
          <t>NMVOC</t>
        </is>
      </c>
      <c r="BF2" s="8" t="inlineStr">
        <is>
          <t>Ethane</t>
        </is>
      </c>
      <c r="BG2" s="8" t="inlineStr">
        <is>
          <t>Propane</t>
        </is>
      </c>
      <c r="BH2" s="8" t="inlineStr">
        <is>
          <t>Butane</t>
        </is>
      </c>
      <c r="BI2" s="8" t="inlineStr">
        <is>
          <t>Pentane</t>
        </is>
      </c>
      <c r="BJ2" s="8" t="inlineStr">
        <is>
          <t>Hexane</t>
        </is>
      </c>
      <c r="BK2" s="8" t="inlineStr">
        <is>
          <t>Cyclohexane</t>
        </is>
      </c>
      <c r="BL2" s="8" t="inlineStr">
        <is>
          <t>Heptane</t>
        </is>
      </c>
      <c r="BM2" s="8" t="inlineStr">
        <is>
          <t>Ethene</t>
        </is>
      </c>
      <c r="BN2" s="8" t="inlineStr">
        <is>
          <t>Propene</t>
        </is>
      </c>
      <c r="BO2" s="8" t="inlineStr">
        <is>
          <t>1-Pentene</t>
        </is>
      </c>
      <c r="BP2" s="8" t="inlineStr">
        <is>
          <t>Benzene</t>
        </is>
      </c>
      <c r="BQ2" s="8" t="inlineStr">
        <is>
          <t>Toluene</t>
        </is>
      </c>
      <c r="BR2" s="8" t="inlineStr">
        <is>
          <t>m-Xylene</t>
        </is>
      </c>
      <c r="BS2" s="8" t="inlineStr">
        <is>
          <t>o-Xylene</t>
        </is>
      </c>
      <c r="BT2" s="8" t="inlineStr">
        <is>
          <t>Formaldehyde</t>
        </is>
      </c>
      <c r="BU2" s="8" t="inlineStr">
        <is>
          <t>Acetaldehyde</t>
        </is>
      </c>
      <c r="BV2" s="8" t="inlineStr">
        <is>
          <t>Benzaldehyde</t>
        </is>
      </c>
      <c r="BW2" s="8" t="inlineStr">
        <is>
          <t>Acetone</t>
        </is>
      </c>
      <c r="BX2" s="8" t="inlineStr">
        <is>
          <t>Methyl ethyl ketone</t>
        </is>
      </c>
      <c r="BY2" s="8" t="inlineStr">
        <is>
          <t>Acrolein</t>
        </is>
      </c>
      <c r="BZ2" s="8" t="inlineStr">
        <is>
          <t>Styrene</t>
        </is>
      </c>
      <c r="CA2" s="8" t="inlineStr">
        <is>
          <t>PAHs</t>
        </is>
      </c>
      <c r="CB2" s="8" t="inlineStr">
        <is>
          <t>Arsenic</t>
        </is>
      </c>
      <c r="CC2" s="8" t="inlineStr">
        <is>
          <t>Selenium</t>
        </is>
      </c>
      <c r="CD2" s="8" t="inlineStr">
        <is>
          <t>Zinc</t>
        </is>
      </c>
      <c r="CE2" s="8" t="inlineStr">
        <is>
          <t>Copper</t>
        </is>
      </c>
      <c r="CF2" s="8" t="inlineStr">
        <is>
          <t>Nickel</t>
        </is>
      </c>
      <c r="CG2" s="8" t="inlineStr">
        <is>
          <t>Chromium</t>
        </is>
      </c>
      <c r="CH2" s="8" t="inlineStr">
        <is>
          <t>Chromium VI</t>
        </is>
      </c>
      <c r="CI2" s="8" t="inlineStr">
        <is>
          <t>Mercury</t>
        </is>
      </c>
      <c r="CJ2" s="8" t="inlineStr">
        <is>
          <t>Cadmium</t>
        </is>
      </c>
      <c r="CK2" s="8" t="inlineStr">
        <is>
          <t>Urban [%]</t>
        </is>
      </c>
      <c r="CL2" s="8" t="inlineStr">
        <is>
          <t>Rural [%]</t>
        </is>
      </c>
      <c r="CM2" s="8" t="inlineStr">
        <is>
          <t>Motorway [%]</t>
        </is>
      </c>
      <c r="CN2" s="8" t="inlineStr">
        <is>
          <t>Urban, tire wear</t>
        </is>
      </c>
      <c r="CO2" s="8" t="inlineStr">
        <is>
          <t>Rural, tire wear</t>
        </is>
      </c>
      <c r="CP2" s="8" t="inlineStr">
        <is>
          <t>Motorway, tire wear</t>
        </is>
      </c>
      <c r="CQ2" s="8" t="inlineStr">
        <is>
          <t>Urban, brake wear</t>
        </is>
      </c>
      <c r="CR2" s="8" t="inlineStr">
        <is>
          <t>Rural, brake wear</t>
        </is>
      </c>
      <c r="CS2" s="8" t="inlineStr">
        <is>
          <t>Motorway, tire wear</t>
        </is>
      </c>
      <c r="CT2" s="8" t="inlineStr">
        <is>
          <t>Re-suspended road dust [kg/km]</t>
        </is>
      </c>
      <c r="CU2" s="8" t="inlineStr">
        <is>
          <t>Road wear [kg/km]</t>
        </is>
      </c>
      <c r="CV2" s="8" t="inlineStr">
        <is>
          <t>Tire wear [kg/km]</t>
        </is>
      </c>
      <c r="CW2" s="8" t="inlineStr">
        <is>
          <t>Brake wear [kg/km]</t>
        </is>
      </c>
    </row>
    <row r="3">
      <c r="A3" t="str">
        <f>B3&amp;" - "&amp;D3&amp;" - "&amp;IF(I3&lt;&gt;"",I3&amp;" - "&amp;E3,E3)</f>
        <v>Kick Scooter, battery electric, &lt;1kW - 2020 - NMC - CH</v>
      </c>
      <c r="B3" t="inlineStr">
        <is>
          <t>Kick Scooter, battery electric, &lt;1kW</t>
        </is>
      </c>
      <c r="D3" s="18" t="n">
        <v>2020</v>
      </c>
      <c r="E3" t="inlineStr">
        <is>
          <t>CH</t>
        </is>
      </c>
      <c r="F3" t="inlineStr">
        <is>
          <t>None</t>
        </is>
      </c>
      <c r="G3" t="inlineStr">
        <is>
          <t>vkm</t>
        </is>
      </c>
      <c r="H3" t="inlineStr">
        <is>
          <t>BEV</t>
        </is>
      </c>
      <c r="I3" t="inlineStr">
        <is>
          <t>NMC</t>
        </is>
      </c>
      <c r="J3" t="n">
        <v>1785</v>
      </c>
      <c r="K3" t="n">
        <v>890</v>
      </c>
      <c r="L3" s="2">
        <f>J3/K3</f>
        <v>2.00561797752809</v>
      </c>
      <c r="M3" t="n">
        <v>1</v>
      </c>
      <c r="N3" t="n">
        <v>75</v>
      </c>
      <c r="O3" t="n">
        <v>0</v>
      </c>
      <c r="P3" s="2">
        <f>SUM(U3,V3,W3,AC3,AF3,AH3)</f>
        <v>11.625</v>
      </c>
      <c r="Q3" s="2">
        <f>P3+(M3*N3)+O3</f>
        <v>86.625</v>
      </c>
      <c r="R3" t="n">
        <v>0.25</v>
      </c>
      <c r="S3" s="2" t="n">
        <v>7</v>
      </c>
      <c r="T3" s="1" t="n">
        <v>0</v>
      </c>
      <c r="U3" s="2">
        <f>S3*(1-T3)</f>
        <v>7</v>
      </c>
      <c r="V3" t="n">
        <v>0</v>
      </c>
      <c r="W3" t="n">
        <v>3</v>
      </c>
      <c r="X3" s="6" t="n">
        <v>0.25</v>
      </c>
      <c r="Y3" s="1" t="n">
        <v>0.8</v>
      </c>
      <c r="Z3" s="3">
        <f>Y3*X3</f>
        <v>0.2</v>
      </c>
      <c r="AA3" s="3">
        <f>IF(I3&lt;&gt;"",X3/INDEX('energy battery'!$B$3:$D$6,MATCH('vehicles specifications'!$D3,'energy battery'!$A$3:$A$6,0),MATCH('vehicles specifications'!$I3,'energy battery'!$B$2:$D$2,0)),"")</f>
        <v>1.25</v>
      </c>
      <c r="AB3" s="3">
        <f>IF(AA3&lt;&gt;"",0.3*AA3,"")</f>
        <v>0.375</v>
      </c>
      <c r="AC3" s="3">
        <f>IF(AA3&lt;&gt;"",AB3+AA3,"")</f>
        <v>1.625</v>
      </c>
      <c r="AD3" t="n">
        <v>0</v>
      </c>
      <c r="AE3" t="n">
        <v>0</v>
      </c>
      <c r="AF3" t="n">
        <v>0</v>
      </c>
      <c r="AG3" t="n">
        <v>0</v>
      </c>
      <c r="AH3" t="n">
        <v>0</v>
      </c>
      <c r="AI3" t="n">
        <v>0.5</v>
      </c>
      <c r="AJ3" t="n">
        <v>1</v>
      </c>
      <c r="AK3" t="n">
        <v>0</v>
      </c>
      <c r="AL3">
        <f>0.000537/1000*Q3</f>
        <v>4.6517624999999998E-5</v>
      </c>
      <c r="AM3" t="n">
        <v>0</v>
      </c>
      <c r="AN3" s="2">
        <f>U3</f>
        <v>7</v>
      </c>
      <c r="AO3" s="2">
        <f>SUM(V3:W3)</f>
        <v>3</v>
      </c>
      <c r="AP3" s="2">
        <f>AC3</f>
        <v>1.625</v>
      </c>
      <c r="AQ3" s="6" t="inlineStr"/>
      <c r="AR3" s="20" t="n"/>
      <c r="AS3" s="5" t="n">
        <v>0.08612632755729459</v>
      </c>
      <c r="AT3" s="2">
        <f>SUM(Z3,AG3)/(SUM(AQ3,AS3)/3.6)</f>
        <v>8.3598130841121492</v>
      </c>
      <c r="AU3" s="5" t="n">
        <v>0</v>
      </c>
      <c r="AV3" s="5" t="n">
        <v>0</v>
      </c>
      <c r="AW3" s="7" t="n">
        <v>0</v>
      </c>
      <c r="AX3" s="7" t="n">
        <v>0</v>
      </c>
      <c r="AY3" s="7" t="n">
        <v>0</v>
      </c>
      <c r="AZ3" s="7" t="n">
        <v>0</v>
      </c>
      <c r="BA3" s="7" t="n">
        <v>0</v>
      </c>
      <c r="BB3" s="7" t="n">
        <v>0</v>
      </c>
      <c r="BC3" s="7" t="n">
        <v>0</v>
      </c>
      <c r="BD3" s="7" t="n">
        <v>0</v>
      </c>
      <c r="BE3" s="7" t="n">
        <v>0</v>
      </c>
      <c r="BF3" s="7" t="n">
        <v>0</v>
      </c>
      <c r="BG3" s="7" t="n">
        <v>0</v>
      </c>
      <c r="BH3" s="7" t="n">
        <v>0</v>
      </c>
      <c r="BI3" s="7" t="n">
        <v>0</v>
      </c>
      <c r="BJ3" s="7" t="n">
        <v>0</v>
      </c>
      <c r="BK3" s="7" t="n">
        <v>0</v>
      </c>
      <c r="BL3" s="7" t="n">
        <v>0</v>
      </c>
      <c r="BM3" s="7" t="n">
        <v>0</v>
      </c>
      <c r="BN3" s="7" t="n">
        <v>0</v>
      </c>
      <c r="BO3" s="7" t="n">
        <v>0</v>
      </c>
      <c r="BP3" s="7" t="n">
        <v>0</v>
      </c>
      <c r="BQ3" s="7" t="n">
        <v>0</v>
      </c>
      <c r="BR3" s="7" t="n">
        <v>0</v>
      </c>
      <c r="BS3" s="7" t="n">
        <v>0</v>
      </c>
      <c r="BT3" s="7" t="n">
        <v>0</v>
      </c>
      <c r="BU3" s="7" t="n">
        <v>0</v>
      </c>
      <c r="BV3" s="7" t="n">
        <v>0</v>
      </c>
      <c r="BW3" s="7" t="n">
        <v>0</v>
      </c>
      <c r="BX3" s="7" t="n">
        <v>0</v>
      </c>
      <c r="BY3" s="7" t="n">
        <v>0</v>
      </c>
      <c r="BZ3" s="7" t="n">
        <v>0</v>
      </c>
      <c r="CA3" s="7" t="n">
        <v>0</v>
      </c>
      <c r="CB3" s="7" t="n">
        <v>0</v>
      </c>
      <c r="CC3" s="7" t="n">
        <v>0</v>
      </c>
      <c r="CD3" s="7" t="n">
        <v>0</v>
      </c>
      <c r="CE3" s="7" t="n">
        <v>0</v>
      </c>
      <c r="CF3" s="7" t="n">
        <v>0</v>
      </c>
      <c r="CG3" s="7" t="n">
        <v>0</v>
      </c>
      <c r="CH3" s="7" t="n">
        <v>0</v>
      </c>
      <c r="CI3" s="7" t="n">
        <v>0</v>
      </c>
      <c r="CJ3" s="7" t="n">
        <v>0</v>
      </c>
      <c r="CK3" s="38">
        <f>VLOOKUP($B3,'abrasion emissions'!$O$7:$R$36,2,FALSE)</f>
        <v>1</v>
      </c>
      <c r="CL3" s="38">
        <f>VLOOKUP($B3,'abrasion emissions'!$O$7:$R$36,3,FALSE)</f>
        <v>0</v>
      </c>
      <c r="CM3" s="38">
        <f>VLOOKUP($B3,'abrasion emissions'!$O$7:$R$36,4,FALSE)</f>
        <v>0</v>
      </c>
      <c r="CN3" s="7">
        <f>((SUMIFS('abrasion emissions'!$M$7:$M$34,'abrasion emissions'!$I$7:$I$34,"PM 2.5",'abrasion emissions'!$J$7:$J$34,"urban",'abrasion emissions'!$K$7:$K$34,"Tyre",'abrasion emissions'!$L$7:$L$34,"b")*POWER(('vehicles specifications'!$Q3/1000),(1/SUMIFS('abrasion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specifications'!$P3/1000),(1/SUMIFS('abrasion emissions'!$M$7:$M$34,'abrasion emissions'!$I$7:$I$34,"PM 10",'abrasion emissions'!$J$7:$J$34,"urban",'abrasion emissions'!$K$7:$K$34,"Tyre",'abrasion emissions'!$L$7:$L$34,"c")))))/1000000</f>
        <v>3.6670377940073381E-6</v>
      </c>
      <c r="CO3" s="7">
        <f>((SUMIFS('abrasion emissions'!$M$7:$M$34,'abrasion emissions'!$I$7:$I$34,"PM 2.5",'abrasion emissions'!$J$7:$J$34,"rural",'abrasion emissions'!$K$7:$K$34,"Tyre",'abrasion emissions'!$L$7:$L$34,"b")*POWER(('vehicles specifications'!$Q3/1000),(1/SUMIFS('abrasion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specifications'!$P3/1000),(1/SUMIFS('abrasion emissions'!$M$7:$M$34,'abrasion emissions'!$I$7:$I$34,"PM 10",'abrasion emissions'!$J$7:$J$34,"rural",'abrasion emissions'!$K$7:$K$34,"Tyre",'abrasion emissions'!$L$7:$L$34,"c")))))/1000000</f>
        <v>2.8582103773939091E-6</v>
      </c>
      <c r="CP3" s="7">
        <f>((SUMIFS('abrasion emissions'!$M$7:$M$34,'abrasion emissions'!$I$7:$I$34,"PM 2.5",'abrasion emissions'!$J$7:$J$34,"motorway",'abrasion emissions'!$K$7:$K$34,"Tyre",'abrasion emissions'!$L$7:$L$34,"b")*POWER(('vehicles specifications'!$Q3/1000),(1/SUMIFS('abrasion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specifications'!$P3/1000),(1/SUMIFS('abrasion emissions'!$M$7:$M$34,'abrasion emissions'!$I$7:$I$34,"PM 10",'abrasion emissions'!$J$7:$J$34,"motorway",'abrasion emissions'!$K$7:$K$34,"Tyre",'abrasion emissions'!$L$7:$L$34,"c")))))/1000000</f>
        <v>2.4465883084015334E-6</v>
      </c>
      <c r="CQ3" s="7">
        <f>((SUMIFS('abrasion emissions'!$M$7:$M$34,'abrasion emissions'!$I$7:$I$34,"PM 2.5",'abrasion emissions'!$J$7:$J$34,"urban",'abrasion emissions'!$K$7:$K$34,"Brake",'abrasion emissions'!$L$7:$L$34,"b")*POWER(('vehicles specifications'!$Q3/1000),(1/SUMIFS('abrasion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specifications'!$P3/1000),(1/SUMIFS('abrasion emissions'!$M$7:$M$34,'abrasion emissions'!$I$7:$I$34,"PM 10",'abrasion emissions'!$J$7:$J$34,"urban",'abrasion emissions'!$K$7:$K$34,"Brake",'abrasion emissions'!$L$7:$L$34,"c")))))/1000000</f>
        <v>3.4384404710387182E-6</v>
      </c>
      <c r="CR3" s="7">
        <f>((SUMIFS('abrasion emissions'!$M$7:$M$34,'abrasion emissions'!$I$7:$I$34,"PM 2.5",'abrasion emissions'!$J$7:$J$34,"rural",'abrasion emissions'!$K$7:$K$34,"Brake",'abrasion emissions'!$L$7:$L$34,"b")*POWER(('vehicles specifications'!$Q3/1000),(1/SUMIFS('abrasion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specifications'!$P3/1000),(1/SUMIFS('abrasion emissions'!$M$7:$M$34,'abrasion emissions'!$I$7:$I$34,"PM 10",'abrasion emissions'!$J$7:$J$34,"rural",'abrasion emissions'!$K$7:$K$34,"Brake",'abrasion emissions'!$L$7:$L$34,"c")))))/1000000</f>
        <v>9.7336825779564538E-7</v>
      </c>
      <c r="CS3" s="7">
        <f>((SUMIFS('abrasion emissions'!$M$7:$M$34,'abrasion emissions'!$I$7:$I$34,"PM 2.5",'abrasion emissions'!$J$7:$J$34,"motorway",'abrasion emissions'!$K$7:$K$34,"Brake",'abrasion emissions'!$L$7:$L$34,"b")*POWER(('vehicles specifications'!$Q3/1000),(1/SUMIFS('abrasion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specifications'!$P3/1000),(1/SUMIFS('abrasion emissions'!$M$7:$M$34,'abrasion emissions'!$I$7:$I$34,"PM 10",'abrasion emissions'!$J$7:$J$34,"motorway",'abrasion emissions'!$K$7:$K$34,"Brake",'abrasion emissions'!$L$7:$L$34,"c")))))/1000000</f>
        <v>1.653347068395517E-7</v>
      </c>
      <c r="CT3" s="7">
        <f>((SUMIFS('abrasion emissions'!$M$7:$M$38,'abrasion emissions'!$I$7:$I$38,"PM 2.5",'abrasion emissions'!$K$7:$K$38,"Re-susp.",'abrasion emissions'!$L$7:$L$38,"b")*POWER(('vehicles specifications'!$Q3/1000),(1/SUMIFS('abrasion emissions'!$M$7:$M$38,'abrasion emissions'!$I$7:$I$38,"PM 2.5",'abrasion emissions'!$K$7:$K$38,"Re-susp.",'abrasion emissions'!$L$7:$L$38,"c"))))+
(SUMIFS('abrasion emissions'!$M$7:$M$38,'abrasion emissions'!$I$7:$I$38,"PM 10",'abrasion emissions'!$K$7:$K$38,"Re-susp.",'abrasion emissions'!$L$7:$L$38,"b")*POWER(('vehicles specifications'!$Q3/1000),(1/SUMIFS('abrasion emissions'!$M$7:$M$38,'abrasion emissions'!$I$7:$I$38,"PM 10",'abrasion emissions'!$K$7:$K$38,"Re-susp.",'abrasion emissions'!$L$7:$L$38,"c")))))/1000000</f>
        <v>1.7744549676753838E-6</v>
      </c>
      <c r="CU3" s="7">
        <f>((SUMIFS('abrasion emissions'!$M$7:$M$38,'abrasion emissions'!$I$7:$I$38,"PM 2.5",'abrasion emissions'!$K$7:$K$38,"Road",'abrasion emissions'!$L$7:$L$38,"b")*POWER(('vehicles specifications'!$Q3/1000),(1/SUMIFS('abrasion emissions'!$M$7:$M$38,'abrasion emissions'!$I$7:$I$38,"PM 2.5",'abrasion emissions'!$K$7:$K$38,"Road",'abrasion emissions'!$L$7:$L$38,"c"))))+
(SUMIFS('abrasion emissions'!$M$7:$M$38,'abrasion emissions'!$I$7:$I$38,"PM 10",'abrasion emissions'!$K$7:$K$38,"Road",'abrasion emissions'!$L$7:$L$38,"b")*POWER(('vehicles specifications'!$Q3/1000),(1/SUMIFS('abrasion emissions'!$M$7:$M$38,'abrasion emissions'!$I$7:$I$38,"PM 10",'abrasion emissions'!$K$7:$K$38,"Road",'abrasion emissions'!$L$7:$L$38,"c")))))/1000000+CT3</f>
        <v>3.7713826473806454E-6</v>
      </c>
      <c r="CV3" s="7">
        <f>(CK3*CN3)+(CL3*CO3)+(CM3*CP3)</f>
        <v>3.6670377940073381E-6</v>
      </c>
      <c r="CW3" s="7">
        <f>(CK3*CQ3)+(CL3*CR3)+(CM3*CS3)</f>
        <v>3.4384404710387182E-6</v>
      </c>
    </row>
    <row r="4">
      <c r="A4" t="str">
        <f>B4&amp;" - "&amp;D4&amp;" - "&amp;IF(I4&lt;&gt;"",I4&amp;" - "&amp;E4,E4)</f>
        <v>Kick Scooter, battery electric, &lt;1kW - 2030 - NMC - CH</v>
      </c>
      <c r="B4" t="inlineStr">
        <is>
          <t>Kick Scooter, battery electric, &lt;1kW</t>
        </is>
      </c>
      <c r="D4" s="18" t="n">
        <v>2030</v>
      </c>
      <c r="E4" t="inlineStr">
        <is>
          <t>CH</t>
        </is>
      </c>
      <c r="F4" t="inlineStr">
        <is>
          <t>None</t>
        </is>
      </c>
      <c r="G4" t="inlineStr">
        <is>
          <t>vkm</t>
        </is>
      </c>
      <c r="H4" t="inlineStr">
        <is>
          <t>BEV</t>
        </is>
      </c>
      <c r="I4" t="inlineStr">
        <is>
          <t>NMC</t>
        </is>
      </c>
      <c r="J4" t="n">
        <v>1785</v>
      </c>
      <c r="K4" t="n">
        <v>890</v>
      </c>
      <c r="L4" s="2">
        <f>J4/K4</f>
        <v>2.00561797752809</v>
      </c>
      <c r="M4" t="n">
        <v>1</v>
      </c>
      <c r="N4" t="n">
        <v>75</v>
      </c>
      <c r="O4" t="n">
        <v>0</v>
      </c>
      <c r="P4" s="2">
        <f>SUM(U4,V4,W4,AC4,AF4,AH4)</f>
        <v>10.99</v>
      </c>
      <c r="Q4" s="2">
        <f>P4+(M4*N4)+O4</f>
        <v>85.99</v>
      </c>
      <c r="R4" t="n">
        <v>0.25</v>
      </c>
      <c r="S4" s="2" t="n">
        <v>7</v>
      </c>
      <c r="T4" s="1" t="n">
        <v>0.03</v>
      </c>
      <c r="U4" s="2">
        <f>S4*(1-T4)</f>
        <v>6.79</v>
      </c>
      <c r="V4" t="n">
        <v>0</v>
      </c>
      <c r="W4" t="n">
        <v>2.9</v>
      </c>
      <c r="X4" s="6" t="n">
        <v>0.3</v>
      </c>
      <c r="Y4" s="1" t="n">
        <v>0.8</v>
      </c>
      <c r="Z4" s="3">
        <f>Y4*X4</f>
        <v>0.24</v>
      </c>
      <c r="AA4" s="3">
        <f>IF(I4&lt;&gt;"",X4/INDEX('energy battery'!$B$3:$D$6,MATCH('vehicles specifications'!$D4,'energy battery'!$A$3:$A$6,0),MATCH('vehicles specifications'!$I4,'energy battery'!$B$2:$D$2,0)),"")</f>
        <v>1</v>
      </c>
      <c r="AB4" s="3">
        <f>IF(AA4&lt;&gt;"",0.3*AA4,"")</f>
        <v>0.3</v>
      </c>
      <c r="AC4" s="3">
        <f>IF(AA4&lt;&gt;"",AB4+AA4,"")</f>
        <v>1.3</v>
      </c>
      <c r="AD4" t="n">
        <v>0</v>
      </c>
      <c r="AE4" t="n">
        <v>0</v>
      </c>
      <c r="AF4" t="n">
        <v>0</v>
      </c>
      <c r="AG4" t="n">
        <v>0</v>
      </c>
      <c r="AH4" t="n">
        <v>0</v>
      </c>
      <c r="AI4" t="n">
        <v>0.5</v>
      </c>
      <c r="AJ4" t="n">
        <v>1</v>
      </c>
      <c r="AK4" t="n">
        <v>0</v>
      </c>
      <c r="AL4">
        <f>0.000537/1000*Q4</f>
        <v>4.6176629999999996E-5</v>
      </c>
      <c r="AM4" t="n">
        <v>0</v>
      </c>
      <c r="AN4" s="2">
        <f>U4</f>
        <v>6.79</v>
      </c>
      <c r="AO4" s="2">
        <f>SUM(V4:W4)</f>
        <v>2.9</v>
      </c>
      <c r="AP4" s="2">
        <f>AC4</f>
        <v>1.3</v>
      </c>
      <c r="AQ4" s="6" t="inlineStr"/>
      <c r="AR4" s="20" t="n"/>
      <c r="AS4" s="5" t="n">
        <v>0.08612632755729459</v>
      </c>
      <c r="AT4" s="2">
        <f>SUM(Z4,AG4)/(SUM(AQ4,AS4)/3.6)</f>
        <v>10.031775700934579</v>
      </c>
      <c r="AU4" s="5" t="n">
        <v>0</v>
      </c>
      <c r="AV4" s="5" t="n">
        <v>0</v>
      </c>
      <c r="AW4" s="7" t="n">
        <v>0</v>
      </c>
      <c r="AX4" s="7" t="n">
        <v>0</v>
      </c>
      <c r="AY4" s="7" t="n">
        <v>0</v>
      </c>
      <c r="AZ4" s="7" t="n">
        <v>0</v>
      </c>
      <c r="BA4" s="7" t="n">
        <v>0</v>
      </c>
      <c r="BB4" s="7" t="n">
        <v>0</v>
      </c>
      <c r="BC4" s="7" t="n">
        <v>0</v>
      </c>
      <c r="BD4" s="7" t="n">
        <v>0</v>
      </c>
      <c r="BE4" s="7" t="n">
        <v>0</v>
      </c>
      <c r="BF4" s="7" t="n">
        <v>0</v>
      </c>
      <c r="BG4" s="7" t="n">
        <v>0</v>
      </c>
      <c r="BH4" s="7" t="n">
        <v>0</v>
      </c>
      <c r="BI4" s="7" t="n">
        <v>0</v>
      </c>
      <c r="BJ4" s="7" t="n">
        <v>0</v>
      </c>
      <c r="BK4" s="7" t="n">
        <v>0</v>
      </c>
      <c r="BL4" s="7" t="n">
        <v>0</v>
      </c>
      <c r="BM4" s="7" t="n">
        <v>0</v>
      </c>
      <c r="BN4" s="7" t="n">
        <v>0</v>
      </c>
      <c r="BO4" s="7" t="n">
        <v>0</v>
      </c>
      <c r="BP4" s="7" t="n">
        <v>0</v>
      </c>
      <c r="BQ4" s="7" t="n">
        <v>0</v>
      </c>
      <c r="BR4" s="7" t="n">
        <v>0</v>
      </c>
      <c r="BS4" s="7" t="n">
        <v>0</v>
      </c>
      <c r="BT4" s="7" t="n">
        <v>0</v>
      </c>
      <c r="BU4" s="7" t="n">
        <v>0</v>
      </c>
      <c r="BV4" s="7" t="n">
        <v>0</v>
      </c>
      <c r="BW4" s="7" t="n">
        <v>0</v>
      </c>
      <c r="BX4" s="7" t="n">
        <v>0</v>
      </c>
      <c r="BY4" s="7" t="n">
        <v>0</v>
      </c>
      <c r="BZ4" s="7" t="n">
        <v>0</v>
      </c>
      <c r="CA4" s="7" t="n">
        <v>0</v>
      </c>
      <c r="CB4" s="7" t="n">
        <v>0</v>
      </c>
      <c r="CC4" s="7" t="n">
        <v>0</v>
      </c>
      <c r="CD4" s="7" t="n">
        <v>0</v>
      </c>
      <c r="CE4" s="7" t="n">
        <v>0</v>
      </c>
      <c r="CF4" s="7" t="n">
        <v>0</v>
      </c>
      <c r="CG4" s="7" t="n">
        <v>0</v>
      </c>
      <c r="CH4" s="7" t="n">
        <v>0</v>
      </c>
      <c r="CI4" s="7" t="n">
        <v>0</v>
      </c>
      <c r="CJ4" s="7" t="n">
        <v>0</v>
      </c>
      <c r="CK4" s="38">
        <f>VLOOKUP($B4,'abrasion emissions'!$O$7:$R$36,2,FALSE)</f>
        <v>1</v>
      </c>
      <c r="CL4" s="38">
        <f>VLOOKUP($B4,'abrasion emissions'!$O$7:$R$36,3,FALSE)</f>
        <v>0</v>
      </c>
      <c r="CM4" s="38">
        <f>VLOOKUP($B4,'abrasion emissions'!$O$7:$R$36,4,FALSE)</f>
        <v>0</v>
      </c>
      <c r="CN4" s="7">
        <f>((SUMIFS('abrasion emissions'!$M$7:$M$34,'abrasion emissions'!$I$7:$I$34,"PM 2.5",'abrasion emissions'!$J$7:$J$34,"urban",'abrasion emissions'!$K$7:$K$34,"Tyre",'abrasion emissions'!$L$7:$L$34,"b")*POWER(('vehicles specifications'!$Q4/1000),(1/SUMIFS('abrasion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specifications'!$P4/1000),(1/SUMIFS('abrasion emissions'!$M$7:$M$34,'abrasion emissions'!$I$7:$I$34,"PM 10",'abrasion emissions'!$J$7:$J$34,"urban",'abrasion emissions'!$K$7:$K$34,"Tyre",'abrasion emissions'!$L$7:$L$34,"c")))))/1000000</f>
        <v>3.6378224682804953E-6</v>
      </c>
      <c r="CO4" s="7">
        <f>((SUMIFS('abrasion emissions'!$M$7:$M$34,'abrasion emissions'!$I$7:$I$34,"PM 2.5",'abrasion emissions'!$J$7:$J$34,"rural",'abrasion emissions'!$K$7:$K$34,"Tyre",'abrasion emissions'!$L$7:$L$34,"b")*POWER(('vehicles specifications'!$Q4/1000),(1/SUMIFS('abrasion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specifications'!$P4/1000),(1/SUMIFS('abrasion emissions'!$M$7:$M$34,'abrasion emissions'!$I$7:$I$34,"PM 10",'abrasion emissions'!$J$7:$J$34,"rural",'abrasion emissions'!$K$7:$K$34,"Tyre",'abrasion emissions'!$L$7:$L$34,"c")))))/1000000</f>
        <v>2.835501492280302E-6</v>
      </c>
      <c r="CP4" s="7">
        <f>((SUMIFS('abrasion emissions'!$M$7:$M$34,'abrasion emissions'!$I$7:$I$34,"PM 2.5",'abrasion emissions'!$J$7:$J$34,"motorway",'abrasion emissions'!$K$7:$K$34,"Tyre",'abrasion emissions'!$L$7:$L$34,"b")*POWER(('vehicles specifications'!$Q4/1000),(1/SUMIFS('abrasion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specifications'!$P4/1000),(1/SUMIFS('abrasion emissions'!$M$7:$M$34,'abrasion emissions'!$I$7:$I$34,"PM 10",'abrasion emissions'!$J$7:$J$34,"motorway",'abrasion emissions'!$K$7:$K$34,"Tyre",'abrasion emissions'!$L$7:$L$34,"c")))))/1000000</f>
        <v>2.4273065587582286E-6</v>
      </c>
      <c r="CQ4" s="7">
        <f>((SUMIFS('abrasion emissions'!$M$7:$M$34,'abrasion emissions'!$I$7:$I$34,"PM 2.5",'abrasion emissions'!$J$7:$J$34,"urban",'abrasion emissions'!$K$7:$K$34,"Brake",'abrasion emissions'!$L$7:$L$34,"b")*POWER(('vehicles specifications'!$Q4/1000),(1/SUMIFS('abrasion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specifications'!$P4/1000),(1/SUMIFS('abrasion emissions'!$M$7:$M$34,'abrasion emissions'!$I$7:$I$34,"PM 10",'abrasion emissions'!$J$7:$J$34,"urban",'abrasion emissions'!$K$7:$K$34,"Brake",'abrasion emissions'!$L$7:$L$34,"c")))))/1000000</f>
        <v>3.4149752509675722E-6</v>
      </c>
      <c r="CR4" s="7">
        <f>((SUMIFS('abrasion emissions'!$M$7:$M$34,'abrasion emissions'!$I$7:$I$34,"PM 2.5",'abrasion emissions'!$J$7:$J$34,"rural",'abrasion emissions'!$K$7:$K$34,"Brake",'abrasion emissions'!$L$7:$L$34,"b")*POWER(('vehicles specifications'!$Q4/1000),(1/SUMIFS('abrasion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specifications'!$P4/1000),(1/SUMIFS('abrasion emissions'!$M$7:$M$34,'abrasion emissions'!$I$7:$I$34,"PM 10",'abrasion emissions'!$J$7:$J$34,"rural",'abrasion emissions'!$K$7:$K$34,"Brake",'abrasion emissions'!$L$7:$L$34,"c")))))/1000000</f>
        <v>9.6566243305818366E-7</v>
      </c>
      <c r="CS4" s="7">
        <f>((SUMIFS('abrasion emissions'!$M$7:$M$34,'abrasion emissions'!$I$7:$I$34,"PM 2.5",'abrasion emissions'!$J$7:$J$34,"motorway",'abrasion emissions'!$K$7:$K$34,"Brake",'abrasion emissions'!$L$7:$L$34,"b")*POWER(('vehicles specifications'!$Q4/1000),(1/SUMIFS('abrasion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specifications'!$P4/1000),(1/SUMIFS('abrasion emissions'!$M$7:$M$34,'abrasion emissions'!$I$7:$I$34,"PM 10",'abrasion emissions'!$J$7:$J$34,"motorway",'abrasion emissions'!$K$7:$K$34,"Brake",'abrasion emissions'!$L$7:$L$34,"c")))))/1000000</f>
        <v>1.6392528011531908E-7</v>
      </c>
      <c r="CT4" s="7">
        <f>((SUMIFS('abrasion emissions'!$M$7:$M$38,'abrasion emissions'!$I$7:$I$38,"PM 2.5",'abrasion emissions'!$K$7:$K$38,"Re-susp.",'abrasion emissions'!$L$7:$L$38,"b")*POWER(('vehicles specifications'!$Q4/1000),(1/SUMIFS('abrasion emissions'!$M$7:$M$38,'abrasion emissions'!$I$7:$I$38,"PM 2.5",'abrasion emissions'!$K$7:$K$38,"Re-susp.",'abrasion emissions'!$L$7:$L$38,"c"))))+
(SUMIFS('abrasion emissions'!$M$7:$M$38,'abrasion emissions'!$I$7:$I$38,"PM 10",'abrasion emissions'!$K$7:$K$38,"Re-susp.",'abrasion emissions'!$L$7:$L$38,"b")*POWER(('vehicles specifications'!$Q4/1000),(1/SUMIFS('abrasion emissions'!$M$7:$M$38,'abrasion emissions'!$I$7:$I$38,"PM 10",'abrasion emissions'!$K$7:$K$38,"Re-susp.",'abrasion emissions'!$L$7:$L$38,"c")))))/1000000</f>
        <v>1.7626259727466223E-6</v>
      </c>
      <c r="CU4" s="7">
        <f>((SUMIFS('abrasion emissions'!$M$7:$M$38,'abrasion emissions'!$I$7:$I$38,"PM 2.5",'abrasion emissions'!$K$7:$K$38,"Road",'abrasion emissions'!$L$7:$L$38,"b")*POWER(('vehicles specifications'!$Q4/1000),(1/SUMIFS('abrasion emissions'!$M$7:$M$38,'abrasion emissions'!$I$7:$I$38,"PM 2.5",'abrasion emissions'!$K$7:$K$38,"Road",'abrasion emissions'!$L$7:$L$38,"c"))))+
(SUMIFS('abrasion emissions'!$M$7:$M$38,'abrasion emissions'!$I$7:$I$38,"PM 10",'abrasion emissions'!$K$7:$K$38,"Road",'abrasion emissions'!$L$7:$L$38,"b")*POWER(('vehicles specifications'!$Q4/1000),(1/SUMIFS('abrasion emissions'!$M$7:$M$38,'abrasion emissions'!$I$7:$I$38,"PM 10",'abrasion emissions'!$K$7:$K$38,"Road",'abrasion emissions'!$L$7:$L$38,"c")))))/1000000+CT4</f>
        <v>3.7497827751187205E-6</v>
      </c>
      <c r="CV4" s="7">
        <f>(CK4*CN4)+(CL4*CO4)+(CM4*CP4)</f>
        <v>3.6378224682804953E-6</v>
      </c>
      <c r="CW4" s="7">
        <f>(CK4*CQ4)+(CL4*CR4)+(CM4*CS4)</f>
        <v>3.4149752509675722E-6</v>
      </c>
    </row>
    <row r="5">
      <c r="A5" t="str">
        <f>B5&amp;" - "&amp;D5&amp;" - "&amp;IF(I5&lt;&gt;"",I5&amp;" - "&amp;E5,E5)</f>
        <v>Kick Scooter, battery electric, &lt;1kW - 2040 - NMC - CH</v>
      </c>
      <c r="B5" t="inlineStr">
        <is>
          <t>Kick Scooter, battery electric, &lt;1kW</t>
        </is>
      </c>
      <c r="D5" s="18" t="n">
        <v>2040</v>
      </c>
      <c r="E5" t="inlineStr">
        <is>
          <t>CH</t>
        </is>
      </c>
      <c r="F5" t="inlineStr">
        <is>
          <t>None</t>
        </is>
      </c>
      <c r="G5" t="inlineStr">
        <is>
          <t>vkm</t>
        </is>
      </c>
      <c r="H5" t="inlineStr">
        <is>
          <t>BEV</t>
        </is>
      </c>
      <c r="I5" t="inlineStr">
        <is>
          <t>NMC</t>
        </is>
      </c>
      <c r="J5" t="n">
        <v>1785</v>
      </c>
      <c r="K5" t="n">
        <v>890</v>
      </c>
      <c r="L5" s="2">
        <f>J5/K5</f>
        <v>2.00561797752809</v>
      </c>
      <c r="M5" t="n">
        <v>1</v>
      </c>
      <c r="N5" t="n">
        <v>75</v>
      </c>
      <c r="O5" t="n">
        <v>0</v>
      </c>
      <c r="P5" s="2">
        <f>SUM(U5,V5,W5,AC5,AF5,AH5)</f>
        <v>10.75</v>
      </c>
      <c r="Q5" s="2">
        <f>P5+(M5*N5)+O5</f>
        <v>85.75</v>
      </c>
      <c r="R5" t="n">
        <v>0.25</v>
      </c>
      <c r="S5" s="2" t="n">
        <v>7</v>
      </c>
      <c r="T5" s="1" t="n">
        <v>0.05</v>
      </c>
      <c r="U5" s="2">
        <f>S5*(1-T5)</f>
        <v>6.6499999999999995</v>
      </c>
      <c r="V5" t="n">
        <v>0</v>
      </c>
      <c r="W5" t="n">
        <v>2.8</v>
      </c>
      <c r="X5" s="6" t="n">
        <v>0.4</v>
      </c>
      <c r="Y5" s="1" t="n">
        <v>0.8</v>
      </c>
      <c r="Z5" s="3">
        <f>Y5*X5</f>
        <v>0.32000000000000006</v>
      </c>
      <c r="AA5" s="3">
        <f>IF(I5&lt;&gt;"",X5/INDEX('energy battery'!$B$3:$D$6,MATCH('vehicles specifications'!$D5,'energy battery'!$A$3:$A$6,0),MATCH('vehicles specifications'!$I5,'energy battery'!$B$2:$D$2,0)),"")</f>
        <v>1</v>
      </c>
      <c r="AB5" s="3">
        <f>IF(AA5&lt;&gt;"",0.3*AA5,"")</f>
        <v>0.3</v>
      </c>
      <c r="AC5" s="3">
        <f>IF(AA5&lt;&gt;"",AB5+AA5,"")</f>
        <v>1.3</v>
      </c>
      <c r="AD5" t="n">
        <v>0</v>
      </c>
      <c r="AE5" t="n">
        <v>0</v>
      </c>
      <c r="AF5" t="n">
        <v>0</v>
      </c>
      <c r="AG5" t="n">
        <v>0</v>
      </c>
      <c r="AH5" t="n">
        <v>0</v>
      </c>
      <c r="AI5" t="n">
        <v>0.5</v>
      </c>
      <c r="AJ5" t="n">
        <v>1</v>
      </c>
      <c r="AK5" t="n">
        <v>0</v>
      </c>
      <c r="AL5">
        <f>0.000537/1000*Q5</f>
        <v>4.604775E-5</v>
      </c>
      <c r="AM5" t="n">
        <v>0</v>
      </c>
      <c r="AN5" s="2">
        <f>U5</f>
        <v>6.6499999999999995</v>
      </c>
      <c r="AO5" s="2">
        <f>SUM(V5:W5)</f>
        <v>2.8</v>
      </c>
      <c r="AP5" s="2">
        <f>AC5</f>
        <v>1.3</v>
      </c>
      <c r="AQ5" s="6" t="inlineStr"/>
      <c r="AR5" s="20" t="n"/>
      <c r="AS5" s="5" t="n">
        <v>0.08612632755729459</v>
      </c>
      <c r="AT5" s="2">
        <f>SUM(Z5,AG5)/(SUM(AQ5,AS5)/3.6)</f>
        <v>13.375700934579442</v>
      </c>
      <c r="AU5" s="5" t="n">
        <v>0</v>
      </c>
      <c r="AV5" s="5" t="n">
        <v>0</v>
      </c>
      <c r="AW5" s="7" t="n">
        <v>0</v>
      </c>
      <c r="AX5" s="7" t="n">
        <v>0</v>
      </c>
      <c r="AY5" s="7" t="n">
        <v>0</v>
      </c>
      <c r="AZ5" s="7" t="n">
        <v>0</v>
      </c>
      <c r="BA5" s="7" t="n">
        <v>0</v>
      </c>
      <c r="BB5" s="7" t="n">
        <v>0</v>
      </c>
      <c r="BC5" s="7" t="n">
        <v>0</v>
      </c>
      <c r="BD5" s="7" t="n">
        <v>0</v>
      </c>
      <c r="BE5" s="7" t="n">
        <v>0</v>
      </c>
      <c r="BF5" s="7" t="n">
        <v>0</v>
      </c>
      <c r="BG5" s="7" t="n">
        <v>0</v>
      </c>
      <c r="BH5" s="7" t="n">
        <v>0</v>
      </c>
      <c r="BI5" s="7" t="n">
        <v>0</v>
      </c>
      <c r="BJ5" s="7" t="n">
        <v>0</v>
      </c>
      <c r="BK5" s="7" t="n">
        <v>0</v>
      </c>
      <c r="BL5" s="7" t="n">
        <v>0</v>
      </c>
      <c r="BM5" s="7" t="n">
        <v>0</v>
      </c>
      <c r="BN5" s="7" t="n">
        <v>0</v>
      </c>
      <c r="BO5" s="7" t="n">
        <v>0</v>
      </c>
      <c r="BP5" s="7" t="n">
        <v>0</v>
      </c>
      <c r="BQ5" s="7" t="n">
        <v>0</v>
      </c>
      <c r="BR5" s="7" t="n">
        <v>0</v>
      </c>
      <c r="BS5" s="7" t="n">
        <v>0</v>
      </c>
      <c r="BT5" s="7" t="n">
        <v>0</v>
      </c>
      <c r="BU5" s="7" t="n">
        <v>0</v>
      </c>
      <c r="BV5" s="7" t="n">
        <v>0</v>
      </c>
      <c r="BW5" s="7" t="n">
        <v>0</v>
      </c>
      <c r="BX5" s="7" t="n">
        <v>0</v>
      </c>
      <c r="BY5" s="7" t="n">
        <v>0</v>
      </c>
      <c r="BZ5" s="7" t="n">
        <v>0</v>
      </c>
      <c r="CA5" s="7" t="n">
        <v>0</v>
      </c>
      <c r="CB5" s="7" t="n">
        <v>0</v>
      </c>
      <c r="CC5" s="7" t="n">
        <v>0</v>
      </c>
      <c r="CD5" s="7" t="n">
        <v>0</v>
      </c>
      <c r="CE5" s="7" t="n">
        <v>0</v>
      </c>
      <c r="CF5" s="7" t="n">
        <v>0</v>
      </c>
      <c r="CG5" s="7" t="n">
        <v>0</v>
      </c>
      <c r="CH5" s="7" t="n">
        <v>0</v>
      </c>
      <c r="CI5" s="7" t="n">
        <v>0</v>
      </c>
      <c r="CJ5" s="7" t="n">
        <v>0</v>
      </c>
      <c r="CK5" s="38">
        <f>VLOOKUP($B5,'abrasion emissions'!$O$7:$R$36,2,FALSE)</f>
        <v>1</v>
      </c>
      <c r="CL5" s="38">
        <f>VLOOKUP($B5,'abrasion emissions'!$O$7:$R$36,3,FALSE)</f>
        <v>0</v>
      </c>
      <c r="CM5" s="38">
        <f>VLOOKUP($B5,'abrasion emissions'!$O$7:$R$36,4,FALSE)</f>
        <v>0</v>
      </c>
      <c r="CN5" s="7">
        <f>((SUMIFS('abrasion emissions'!$M$7:$M$34,'abrasion emissions'!$I$7:$I$34,"PM 2.5",'abrasion emissions'!$J$7:$J$34,"urban",'abrasion emissions'!$K$7:$K$34,"Tyre",'abrasion emissions'!$L$7:$L$34,"b")*POWER(('vehicles specifications'!$Q5/1000),(1/SUMIFS('abrasion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specifications'!$P5/1000),(1/SUMIFS('abrasion emissions'!$M$7:$M$34,'abrasion emissions'!$I$7:$I$34,"PM 10",'abrasion emissions'!$J$7:$J$34,"urban",'abrasion emissions'!$K$7:$K$34,"Tyre",'abrasion emissions'!$L$7:$L$34,"c")))))/1000000</f>
        <v>3.6265994283366797E-6</v>
      </c>
      <c r="CO5" s="7">
        <f>((SUMIFS('abrasion emissions'!$M$7:$M$34,'abrasion emissions'!$I$7:$I$34,"PM 2.5",'abrasion emissions'!$J$7:$J$34,"rural",'abrasion emissions'!$K$7:$K$34,"Tyre",'abrasion emissions'!$L$7:$L$34,"b")*POWER(('vehicles specifications'!$Q5/1000),(1/SUMIFS('abrasion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specifications'!$P5/1000),(1/SUMIFS('abrasion emissions'!$M$7:$M$34,'abrasion emissions'!$I$7:$I$34,"PM 10",'abrasion emissions'!$J$7:$J$34,"rural",'abrasion emissions'!$K$7:$K$34,"Tyre",'abrasion emissions'!$L$7:$L$34,"c")))))/1000000</f>
        <v>2.826778109088605E-6</v>
      </c>
      <c r="CP5" s="7">
        <f>((SUMIFS('abrasion emissions'!$M$7:$M$34,'abrasion emissions'!$I$7:$I$34,"PM 2.5",'abrasion emissions'!$J$7:$J$34,"motorway",'abrasion emissions'!$K$7:$K$34,"Tyre",'abrasion emissions'!$L$7:$L$34,"b")*POWER(('vehicles specifications'!$Q5/1000),(1/SUMIFS('abrasion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specifications'!$P5/1000),(1/SUMIFS('abrasion emissions'!$M$7:$M$34,'abrasion emissions'!$I$7:$I$34,"PM 10",'abrasion emissions'!$J$7:$J$34,"motorway",'abrasion emissions'!$K$7:$K$34,"Tyre",'abrasion emissions'!$L$7:$L$34,"c")))))/1000000</f>
        <v>2.4199002115490691E-6</v>
      </c>
      <c r="CQ5" s="7">
        <f>((SUMIFS('abrasion emissions'!$M$7:$M$34,'abrasion emissions'!$I$7:$I$34,"PM 2.5",'abrasion emissions'!$J$7:$J$34,"urban",'abrasion emissions'!$K$7:$K$34,"Brake",'abrasion emissions'!$L$7:$L$34,"b")*POWER(('vehicles specifications'!$Q5/1000),(1/SUMIFS('abrasion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specifications'!$P5/1000),(1/SUMIFS('abrasion emissions'!$M$7:$M$34,'abrasion emissions'!$I$7:$I$34,"PM 10",'abrasion emissions'!$J$7:$J$34,"urban",'abrasion emissions'!$K$7:$K$34,"Brake",'abrasion emissions'!$L$7:$L$34,"c")))))/1000000</f>
        <v>3.4060125107571902E-6</v>
      </c>
      <c r="CR5" s="7">
        <f>((SUMIFS('abrasion emissions'!$M$7:$M$34,'abrasion emissions'!$I$7:$I$34,"PM 2.5",'abrasion emissions'!$J$7:$J$34,"rural",'abrasion emissions'!$K$7:$K$34,"Brake",'abrasion emissions'!$L$7:$L$34,"b")*POWER(('vehicles specifications'!$Q5/1000),(1/SUMIFS('abrasion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specifications'!$P5/1000),(1/SUMIFS('abrasion emissions'!$M$7:$M$34,'abrasion emissions'!$I$7:$I$34,"PM 10",'abrasion emissions'!$J$7:$J$34,"rural",'abrasion emissions'!$K$7:$K$34,"Brake",'abrasion emissions'!$L$7:$L$34,"c")))))/1000000</f>
        <v>9.6273030903555574E-7</v>
      </c>
      <c r="CS5" s="7">
        <f>((SUMIFS('abrasion emissions'!$M$7:$M$34,'abrasion emissions'!$I$7:$I$34,"PM 2.5",'abrasion emissions'!$J$7:$J$34,"motorway",'abrasion emissions'!$K$7:$K$34,"Brake",'abrasion emissions'!$L$7:$L$34,"b")*POWER(('vehicles specifications'!$Q5/1000),(1/SUMIFS('abrasion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specifications'!$P5/1000),(1/SUMIFS('abrasion emissions'!$M$7:$M$34,'abrasion emissions'!$I$7:$I$34,"PM 10",'abrasion emissions'!$J$7:$J$34,"motorway",'abrasion emissions'!$K$7:$K$34,"Brake",'abrasion emissions'!$L$7:$L$34,"c")))))/1000000</f>
        <v>1.6339030836720791E-7</v>
      </c>
      <c r="CT5" s="7">
        <f>((SUMIFS('abrasion emissions'!$M$7:$M$38,'abrasion emissions'!$I$7:$I$38,"PM 2.5",'abrasion emissions'!$K$7:$K$38,"Re-susp.",'abrasion emissions'!$L$7:$L$38,"b")*POWER(('vehicles specifications'!$Q5/1000),(1/SUMIFS('abrasion emissions'!$M$7:$M$38,'abrasion emissions'!$I$7:$I$38,"PM 2.5",'abrasion emissions'!$K$7:$K$38,"Re-susp.",'abrasion emissions'!$L$7:$L$38,"c"))))+
(SUMIFS('abrasion emissions'!$M$7:$M$38,'abrasion emissions'!$I$7:$I$38,"PM 10",'abrasion emissions'!$K$7:$K$38,"Re-susp.",'abrasion emissions'!$L$7:$L$38,"b")*POWER(('vehicles specifications'!$Q5/1000),(1/SUMIFS('abrasion emissions'!$M$7:$M$38,'abrasion emissions'!$I$7:$I$38,"PM 10",'abrasion emissions'!$K$7:$K$38,"Re-susp.",'abrasion emissions'!$L$7:$L$38,"c")))))/1000000</f>
        <v>1.7581531063923127E-6</v>
      </c>
      <c r="CU5" s="7">
        <f>((SUMIFS('abrasion emissions'!$M$7:$M$38,'abrasion emissions'!$I$7:$I$38,"PM 2.5",'abrasion emissions'!$K$7:$K$38,"Road",'abrasion emissions'!$L$7:$L$38,"b")*POWER(('vehicles specifications'!$Q5/1000),(1/SUMIFS('abrasion emissions'!$M$7:$M$38,'abrasion emissions'!$I$7:$I$38,"PM 2.5",'abrasion emissions'!$K$7:$K$38,"Road",'abrasion emissions'!$L$7:$L$38,"c"))))+
(SUMIFS('abrasion emissions'!$M$7:$M$38,'abrasion emissions'!$I$7:$I$38,"PM 10",'abrasion emissions'!$K$7:$K$38,"Road",'abrasion emissions'!$L$7:$L$38,"b")*POWER(('vehicles specifications'!$Q5/1000),(1/SUMIFS('abrasion emissions'!$M$7:$M$38,'abrasion emissions'!$I$7:$I$38,"PM 10",'abrasion emissions'!$K$7:$K$38,"Road",'abrasion emissions'!$L$7:$L$38,"c")))))/1000000+CT5</f>
        <v>3.7416107208265778E-6</v>
      </c>
      <c r="CV5" s="7">
        <f>(CK5*CN5)+(CL5*CO5)+(CM5*CP5)</f>
        <v>3.6265994283366797E-6</v>
      </c>
      <c r="CW5" s="7">
        <f>(CK5*CQ5)+(CL5*CR5)+(CM5*CS5)</f>
        <v>3.4060125107571902E-6</v>
      </c>
    </row>
    <row r="6">
      <c r="A6" t="str">
        <f>B6&amp;" - "&amp;D6&amp;" - "&amp;IF(I6&lt;&gt;"",I6&amp;" - "&amp;E6,E6)</f>
        <v>Kick Scooter, battery electric, &lt;1kW - 2050 - NMC - CH</v>
      </c>
      <c r="B6" t="inlineStr">
        <is>
          <t>Kick Scooter, battery electric, &lt;1kW</t>
        </is>
      </c>
      <c r="D6" s="18" t="n">
        <v>2050</v>
      </c>
      <c r="E6" t="inlineStr">
        <is>
          <t>CH</t>
        </is>
      </c>
      <c r="F6" t="inlineStr">
        <is>
          <t>None</t>
        </is>
      </c>
      <c r="G6" t="inlineStr">
        <is>
          <t>vkm</t>
        </is>
      </c>
      <c r="H6" t="inlineStr">
        <is>
          <t>BEV</t>
        </is>
      </c>
      <c r="I6" t="inlineStr">
        <is>
          <t>NMC</t>
        </is>
      </c>
      <c r="J6" t="n">
        <v>1785</v>
      </c>
      <c r="K6" t="n">
        <v>890</v>
      </c>
      <c r="L6" s="2">
        <f>J6/K6</f>
        <v>2.00561797752809</v>
      </c>
      <c r="M6" t="n">
        <v>1</v>
      </c>
      <c r="N6" t="n">
        <v>75</v>
      </c>
      <c r="O6" t="n">
        <v>0</v>
      </c>
      <c r="P6" s="2">
        <f>SUM(U6,V6,W6,AC6,AF6,AH6)</f>
        <v>10.510000000000002</v>
      </c>
      <c r="Q6" s="2">
        <f>P6+(M6*N6)+O6</f>
        <v>85.51</v>
      </c>
      <c r="R6" t="n">
        <v>0.25</v>
      </c>
      <c r="S6" s="2" t="n">
        <v>7</v>
      </c>
      <c r="T6" s="1" t="n">
        <v>0.07000000000000001</v>
      </c>
      <c r="U6" s="2">
        <f>S6*(1-T6)</f>
        <v>6.51</v>
      </c>
      <c r="V6" t="n">
        <v>0</v>
      </c>
      <c r="W6" t="n">
        <v>2.7</v>
      </c>
      <c r="X6" s="6" t="n">
        <v>0.5</v>
      </c>
      <c r="Y6" s="1" t="n">
        <v>0.8</v>
      </c>
      <c r="Z6" s="3">
        <f>Y6*X6</f>
        <v>0.4</v>
      </c>
      <c r="AA6" s="3">
        <f>IF(I6&lt;&gt;"",X6/INDEX('energy battery'!$B$3:$D$6,MATCH('vehicles specifications'!$D6,'energy battery'!$A$3:$A$6,0),MATCH('vehicles specifications'!$I6,'energy battery'!$B$2:$D$2,0)),"")</f>
        <v>1</v>
      </c>
      <c r="AB6" s="3">
        <f>IF(AA6&lt;&gt;"",0.3*AA6,"")</f>
        <v>0.3</v>
      </c>
      <c r="AC6" s="3">
        <f>IF(AA6&lt;&gt;"",AB6+AA6,"")</f>
        <v>1.3</v>
      </c>
      <c r="AD6" t="n">
        <v>0</v>
      </c>
      <c r="AE6" t="n">
        <v>0</v>
      </c>
      <c r="AF6" t="n">
        <v>0</v>
      </c>
      <c r="AG6" t="n">
        <v>0</v>
      </c>
      <c r="AH6" t="n">
        <v>0</v>
      </c>
      <c r="AI6" t="n">
        <v>0.5</v>
      </c>
      <c r="AJ6" t="n">
        <v>1</v>
      </c>
      <c r="AK6" t="n">
        <v>0</v>
      </c>
      <c r="AL6">
        <f>0.000537/1000*Q6</f>
        <v>4.5918870000000003E-5</v>
      </c>
      <c r="AM6" t="n">
        <v>0</v>
      </c>
      <c r="AN6" s="2">
        <f>U6</f>
        <v>6.51</v>
      </c>
      <c r="AO6" s="2">
        <f>SUM(V6:W6)</f>
        <v>2.7</v>
      </c>
      <c r="AP6" s="2">
        <f>AC6</f>
        <v>1.3</v>
      </c>
      <c r="AQ6" s="6" t="inlineStr"/>
      <c r="AR6" s="20" t="n"/>
      <c r="AS6" s="5" t="n">
        <v>0.08612632755729459</v>
      </c>
      <c r="AT6" s="2">
        <f>SUM(Z6,AG6)/(SUM(AQ6,AS6)/3.6)</f>
        <v>16.719626168224298</v>
      </c>
      <c r="AU6" s="5" t="n">
        <v>0</v>
      </c>
      <c r="AV6" s="5" t="n">
        <v>0</v>
      </c>
      <c r="AW6" s="7" t="n">
        <v>0</v>
      </c>
      <c r="AX6" s="7" t="n">
        <v>0</v>
      </c>
      <c r="AY6" s="7" t="n">
        <v>0</v>
      </c>
      <c r="AZ6" s="7" t="n">
        <v>0</v>
      </c>
      <c r="BA6" s="7" t="n">
        <v>0</v>
      </c>
      <c r="BB6" s="7" t="n">
        <v>0</v>
      </c>
      <c r="BC6" s="7" t="n">
        <v>0</v>
      </c>
      <c r="BD6" s="7" t="n">
        <v>0</v>
      </c>
      <c r="BE6" s="7" t="n">
        <v>0</v>
      </c>
      <c r="BF6" s="7" t="n">
        <v>0</v>
      </c>
      <c r="BG6" s="7" t="n">
        <v>0</v>
      </c>
      <c r="BH6" s="7" t="n">
        <v>0</v>
      </c>
      <c r="BI6" s="7" t="n">
        <v>0</v>
      </c>
      <c r="BJ6" s="7" t="n">
        <v>0</v>
      </c>
      <c r="BK6" s="7" t="n">
        <v>0</v>
      </c>
      <c r="BL6" s="7" t="n">
        <v>0</v>
      </c>
      <c r="BM6" s="7" t="n">
        <v>0</v>
      </c>
      <c r="BN6" s="7" t="n">
        <v>0</v>
      </c>
      <c r="BO6" s="7" t="n">
        <v>0</v>
      </c>
      <c r="BP6" s="7" t="n">
        <v>0</v>
      </c>
      <c r="BQ6" s="7" t="n">
        <v>0</v>
      </c>
      <c r="BR6" s="7" t="n">
        <v>0</v>
      </c>
      <c r="BS6" s="7" t="n">
        <v>0</v>
      </c>
      <c r="BT6" s="7" t="n">
        <v>0</v>
      </c>
      <c r="BU6" s="7" t="n">
        <v>0</v>
      </c>
      <c r="BV6" s="7" t="n">
        <v>0</v>
      </c>
      <c r="BW6" s="7" t="n">
        <v>0</v>
      </c>
      <c r="BX6" s="7" t="n">
        <v>0</v>
      </c>
      <c r="BY6" s="7" t="n">
        <v>0</v>
      </c>
      <c r="BZ6" s="7" t="n">
        <v>0</v>
      </c>
      <c r="CA6" s="7" t="n">
        <v>0</v>
      </c>
      <c r="CB6" s="7" t="n">
        <v>0</v>
      </c>
      <c r="CC6" s="7" t="n">
        <v>0</v>
      </c>
      <c r="CD6" s="7" t="n">
        <v>0</v>
      </c>
      <c r="CE6" s="7" t="n">
        <v>0</v>
      </c>
      <c r="CF6" s="7" t="n">
        <v>0</v>
      </c>
      <c r="CG6" s="7" t="n">
        <v>0</v>
      </c>
      <c r="CH6" s="7" t="n">
        <v>0</v>
      </c>
      <c r="CI6" s="7" t="n">
        <v>0</v>
      </c>
      <c r="CJ6" s="7" t="n">
        <v>0</v>
      </c>
      <c r="CK6" s="38">
        <f>VLOOKUP($B6,'abrasion emissions'!$O$7:$R$36,2,FALSE)</f>
        <v>1</v>
      </c>
      <c r="CL6" s="38">
        <f>VLOOKUP($B6,'abrasion emissions'!$O$7:$R$36,3,FALSE)</f>
        <v>0</v>
      </c>
      <c r="CM6" s="38">
        <f>VLOOKUP($B6,'abrasion emissions'!$O$7:$R$36,4,FALSE)</f>
        <v>0</v>
      </c>
      <c r="CN6" s="7">
        <f>((SUMIFS('abrasion emissions'!$M$7:$M$34,'abrasion emissions'!$I$7:$I$34,"PM 2.5",'abrasion emissions'!$J$7:$J$34,"urban",'abrasion emissions'!$K$7:$K$34,"Tyre",'abrasion emissions'!$L$7:$L$34,"b")*POWER(('vehicles specifications'!$Q6/1000),(1/SUMIFS('abrasion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specifications'!$P6/1000),(1/SUMIFS('abrasion emissions'!$M$7:$M$34,'abrasion emissions'!$I$7:$I$34,"PM 10",'abrasion emissions'!$J$7:$J$34,"urban",'abrasion emissions'!$K$7:$K$34,"Tyre",'abrasion emissions'!$L$7:$L$34,"c")))))/1000000</f>
        <v>3.6152719516232798E-6</v>
      </c>
      <c r="CO6" s="7">
        <f>((SUMIFS('abrasion emissions'!$M$7:$M$34,'abrasion emissions'!$I$7:$I$34,"PM 2.5",'abrasion emissions'!$J$7:$J$34,"rural",'abrasion emissions'!$K$7:$K$34,"Tyre",'abrasion emissions'!$L$7:$L$34,"b")*POWER(('vehicles specifications'!$Q6/1000),(1/SUMIFS('abrasion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specifications'!$P6/1000),(1/SUMIFS('abrasion emissions'!$M$7:$M$34,'abrasion emissions'!$I$7:$I$34,"PM 10",'abrasion emissions'!$J$7:$J$34,"rural",'abrasion emissions'!$K$7:$K$34,"Tyre",'abrasion emissions'!$L$7:$L$34,"c")))))/1000000</f>
        <v>2.8179736722715119E-6</v>
      </c>
      <c r="CP6" s="7">
        <f>((SUMIFS('abrasion emissions'!$M$7:$M$34,'abrasion emissions'!$I$7:$I$34,"PM 2.5",'abrasion emissions'!$J$7:$J$34,"motorway",'abrasion emissions'!$K$7:$K$34,"Tyre",'abrasion emissions'!$L$7:$L$34,"b")*POWER(('vehicles specifications'!$Q6/1000),(1/SUMIFS('abrasion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specifications'!$P6/1000),(1/SUMIFS('abrasion emissions'!$M$7:$M$34,'abrasion emissions'!$I$7:$I$34,"PM 10",'abrasion emissions'!$J$7:$J$34,"motorway",'abrasion emissions'!$K$7:$K$34,"Tyre",'abrasion emissions'!$L$7:$L$34,"c")))))/1000000</f>
        <v>2.4124253558314015E-6</v>
      </c>
      <c r="CQ6" s="7">
        <f>((SUMIFS('abrasion emissions'!$M$7:$M$34,'abrasion emissions'!$I$7:$I$34,"PM 2.5",'abrasion emissions'!$J$7:$J$34,"urban",'abrasion emissions'!$K$7:$K$34,"Brake",'abrasion emissions'!$L$7:$L$34,"b")*POWER(('vehicles specifications'!$Q6/1000),(1/SUMIFS('abrasion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specifications'!$P6/1000),(1/SUMIFS('abrasion emissions'!$M$7:$M$34,'abrasion emissions'!$I$7:$I$34,"PM 10",'abrasion emissions'!$J$7:$J$34,"urban",'abrasion emissions'!$K$7:$K$34,"Brake",'abrasion emissions'!$L$7:$L$34,"c")))))/1000000</f>
        <v>3.3969958388919805E-6</v>
      </c>
      <c r="CR6" s="7">
        <f>((SUMIFS('abrasion emissions'!$M$7:$M$34,'abrasion emissions'!$I$7:$I$34,"PM 2.5",'abrasion emissions'!$J$7:$J$34,"rural",'abrasion emissions'!$K$7:$K$34,"Brake",'abrasion emissions'!$L$7:$L$34,"b")*POWER(('vehicles specifications'!$Q6/1000),(1/SUMIFS('abrasion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specifications'!$P6/1000),(1/SUMIFS('abrasion emissions'!$M$7:$M$34,'abrasion emissions'!$I$7:$I$34,"PM 10",'abrasion emissions'!$J$7:$J$34,"rural",'abrasion emissions'!$K$7:$K$34,"Brake",'abrasion emissions'!$L$7:$L$34,"c")))))/1000000</f>
        <v>9.5978694932253584E-7</v>
      </c>
      <c r="CS6" s="7">
        <f>((SUMIFS('abrasion emissions'!$M$7:$M$34,'abrasion emissions'!$I$7:$I$34,"PM 2.5",'abrasion emissions'!$J$7:$J$34,"motorway",'abrasion emissions'!$K$7:$K$34,"Brake",'abrasion emissions'!$L$7:$L$34,"b")*POWER(('vehicles specifications'!$Q6/1000),(1/SUMIFS('abrasion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specifications'!$P6/1000),(1/SUMIFS('abrasion emissions'!$M$7:$M$34,'abrasion emissions'!$I$7:$I$34,"PM 10",'abrasion emissions'!$J$7:$J$34,"motorway",'abrasion emissions'!$K$7:$K$34,"Brake",'abrasion emissions'!$L$7:$L$34,"c")))))/1000000</f>
        <v>1.6285404338486507E-7</v>
      </c>
      <c r="CT6" s="7">
        <f>((SUMIFS('abrasion emissions'!$M$7:$M$38,'abrasion emissions'!$I$7:$I$38,"PM 2.5",'abrasion emissions'!$K$7:$K$38,"Re-susp.",'abrasion emissions'!$L$7:$L$38,"b")*POWER(('vehicles specifications'!$Q6/1000),(1/SUMIFS('abrasion emissions'!$M$7:$M$38,'abrasion emissions'!$I$7:$I$38,"PM 2.5",'abrasion emissions'!$K$7:$K$38,"Re-susp.",'abrasion emissions'!$L$7:$L$38,"c"))))+
(SUMIFS('abrasion emissions'!$M$7:$M$38,'abrasion emissions'!$I$7:$I$38,"PM 10",'abrasion emissions'!$K$7:$K$38,"Re-susp.",'abrasion emissions'!$L$7:$L$38,"b")*POWER(('vehicles specifications'!$Q6/1000),(1/SUMIFS('abrasion emissions'!$M$7:$M$38,'abrasion emissions'!$I$7:$I$38,"PM 10",'abrasion emissions'!$K$7:$K$38,"Re-susp.",'abrasion emissions'!$L$7:$L$38,"c")))))/1000000</f>
        <v>1.7536791018180504E-6</v>
      </c>
      <c r="CU6" s="7">
        <f>((SUMIFS('abrasion emissions'!$M$7:$M$38,'abrasion emissions'!$I$7:$I$38,"PM 2.5",'abrasion emissions'!$K$7:$K$38,"Road",'abrasion emissions'!$L$7:$L$38,"b")*POWER(('vehicles specifications'!$Q6/1000),(1/SUMIFS('abrasion emissions'!$M$7:$M$38,'abrasion emissions'!$I$7:$I$38,"PM 2.5",'abrasion emissions'!$K$7:$K$38,"Road",'abrasion emissions'!$L$7:$L$38,"c"))))+
(SUMIFS('abrasion emissions'!$M$7:$M$38,'abrasion emissions'!$I$7:$I$38,"PM 10",'abrasion emissions'!$K$7:$K$38,"Road",'abrasion emissions'!$L$7:$L$38,"b")*POWER(('vehicles specifications'!$Q6/1000),(1/SUMIFS('abrasion emissions'!$M$7:$M$38,'abrasion emissions'!$I$7:$I$38,"PM 10",'abrasion emissions'!$K$7:$K$38,"Road",'abrasion emissions'!$L$7:$L$38,"c")))))/1000000+CT6</f>
        <v>3.733434075561425E-6</v>
      </c>
      <c r="CV6" s="7">
        <f>(CK6*CN6)+(CL6*CO6)+(CM6*CP6)</f>
        <v>3.6152719516232798E-6</v>
      </c>
      <c r="CW6" s="7">
        <f>(CK6*CQ6)+(CL6*CR6)+(CM6*CS6)</f>
        <v>3.3969958388919805E-6</v>
      </c>
    </row>
    <row r="7">
      <c r="A7" t="str">
        <f>B7&amp;" - "&amp;D7&amp;" - "&amp;IF(I7&lt;&gt;"",I7&amp;" - "&amp;E7,E7)</f>
        <v>Kick Scooter, battery electric, &lt;1kW - 2020 - LFP - CH</v>
      </c>
      <c r="B7" t="inlineStr">
        <is>
          <t>Kick Scooter, battery electric, &lt;1kW</t>
        </is>
      </c>
      <c r="D7" s="18" t="n">
        <v>2020</v>
      </c>
      <c r="E7" t="inlineStr">
        <is>
          <t>CH</t>
        </is>
      </c>
      <c r="F7" t="inlineStr">
        <is>
          <t>None</t>
        </is>
      </c>
      <c r="G7" t="inlineStr">
        <is>
          <t>vkm</t>
        </is>
      </c>
      <c r="H7" t="inlineStr">
        <is>
          <t>BEV</t>
        </is>
      </c>
      <c r="I7" t="inlineStr">
        <is>
          <t>LFP</t>
        </is>
      </c>
      <c r="J7" t="n">
        <v>1785</v>
      </c>
      <c r="K7" t="n">
        <v>890</v>
      </c>
      <c r="L7" s="2">
        <f>J7/K7</f>
        <v>2.00561797752809</v>
      </c>
      <c r="M7" t="n">
        <v>1</v>
      </c>
      <c r="N7" t="n">
        <v>75</v>
      </c>
      <c r="O7" t="n">
        <v>0</v>
      </c>
      <c r="P7" s="2">
        <f>SUM(U7,V7,W7,AC7,AF7,AH7)</f>
        <v>12</v>
      </c>
      <c r="Q7" s="2">
        <f>P7+(M7*N7)+O7</f>
        <v>87</v>
      </c>
      <c r="R7" t="n">
        <v>0.25</v>
      </c>
      <c r="S7" s="2" t="n">
        <v>7</v>
      </c>
      <c r="T7" s="1" t="n">
        <v>0</v>
      </c>
      <c r="U7" s="2">
        <f>S7*(1-T7)</f>
        <v>7</v>
      </c>
      <c r="V7" t="n">
        <v>0</v>
      </c>
      <c r="W7" t="n">
        <v>3</v>
      </c>
      <c r="X7" s="6" t="n">
        <v>0.25</v>
      </c>
      <c r="Y7" s="1" t="n">
        <v>0.8</v>
      </c>
      <c r="Z7" s="3">
        <f>Y7*X7</f>
        <v>0.2</v>
      </c>
      <c r="AA7" s="3">
        <f>IF(I7&lt;&gt;"",X7/INDEX('energy battery'!$B$3:$D$6,MATCH('vehicles specifications'!$D7,'energy battery'!$A$3:$A$6,0),MATCH('vehicles specifications'!$I7,'energy battery'!$B$2:$D$2,0)),"")</f>
        <v>1.6666666666666667</v>
      </c>
      <c r="AB7" s="3">
        <f>IF(AA7&lt;&gt;"",0.2*AA7,"")</f>
        <v>0.33333333333333337</v>
      </c>
      <c r="AC7" s="3">
        <f>IF(AA7&lt;&gt;"",AB7+AA7,"")</f>
        <v>2</v>
      </c>
      <c r="AD7" t="n">
        <v>0</v>
      </c>
      <c r="AE7" t="n">
        <v>0</v>
      </c>
      <c r="AF7" t="n">
        <v>0</v>
      </c>
      <c r="AG7" t="n">
        <v>0</v>
      </c>
      <c r="AH7" t="n">
        <v>0</v>
      </c>
      <c r="AI7" t="n">
        <v>0.5</v>
      </c>
      <c r="AJ7" t="n">
        <v>1</v>
      </c>
      <c r="AK7" t="n">
        <v>0</v>
      </c>
      <c r="AL7">
        <f>0.000537/1000*Q7</f>
        <v>4.6718999999999998E-5</v>
      </c>
      <c r="AM7" t="n">
        <v>0</v>
      </c>
      <c r="AN7" s="2">
        <f>U7</f>
        <v>7</v>
      </c>
      <c r="AO7" s="2">
        <f>SUM(V7:W7)</f>
        <v>3</v>
      </c>
      <c r="AP7" s="2">
        <f>AC7</f>
        <v>2</v>
      </c>
      <c r="AQ7" s="6" t="inlineStr"/>
      <c r="AR7" s="20" t="n"/>
      <c r="AS7" s="5" t="n">
        <v>0.08612632755729459</v>
      </c>
      <c r="AT7" s="2">
        <f>SUM(Z7,AG7)/(SUM(AQ7,AS7)/3.6)</f>
        <v>8.3598130841121492</v>
      </c>
      <c r="AU7" s="5" t="n">
        <v>0</v>
      </c>
      <c r="AV7" s="5" t="n">
        <v>0</v>
      </c>
      <c r="AW7" s="7" t="n">
        <v>0</v>
      </c>
      <c r="AX7" s="7" t="n">
        <v>0</v>
      </c>
      <c r="AY7" s="7" t="n">
        <v>0</v>
      </c>
      <c r="AZ7" s="7" t="n">
        <v>0</v>
      </c>
      <c r="BA7" s="7" t="n">
        <v>0</v>
      </c>
      <c r="BB7" s="7" t="n">
        <v>0</v>
      </c>
      <c r="BC7" s="7" t="n">
        <v>0</v>
      </c>
      <c r="BD7" s="7" t="n">
        <v>0</v>
      </c>
      <c r="BE7" s="7" t="n">
        <v>0</v>
      </c>
      <c r="BF7" s="7" t="n">
        <v>0</v>
      </c>
      <c r="BG7" s="7" t="n">
        <v>0</v>
      </c>
      <c r="BH7" s="7" t="n">
        <v>0</v>
      </c>
      <c r="BI7" s="7" t="n">
        <v>0</v>
      </c>
      <c r="BJ7" s="7" t="n">
        <v>0</v>
      </c>
      <c r="BK7" s="7" t="n">
        <v>0</v>
      </c>
      <c r="BL7" s="7" t="n">
        <v>0</v>
      </c>
      <c r="BM7" s="7" t="n">
        <v>0</v>
      </c>
      <c r="BN7" s="7" t="n">
        <v>0</v>
      </c>
      <c r="BO7" s="7" t="n">
        <v>0</v>
      </c>
      <c r="BP7" s="7" t="n">
        <v>0</v>
      </c>
      <c r="BQ7" s="7" t="n">
        <v>0</v>
      </c>
      <c r="BR7" s="7" t="n">
        <v>0</v>
      </c>
      <c r="BS7" s="7" t="n">
        <v>0</v>
      </c>
      <c r="BT7" s="7" t="n">
        <v>0</v>
      </c>
      <c r="BU7" s="7" t="n">
        <v>0</v>
      </c>
      <c r="BV7" s="7" t="n">
        <v>0</v>
      </c>
      <c r="BW7" s="7" t="n">
        <v>0</v>
      </c>
      <c r="BX7" s="7" t="n">
        <v>0</v>
      </c>
      <c r="BY7" s="7" t="n">
        <v>0</v>
      </c>
      <c r="BZ7" s="7" t="n">
        <v>0</v>
      </c>
      <c r="CA7" s="7" t="n">
        <v>0</v>
      </c>
      <c r="CB7" s="7" t="n">
        <v>0</v>
      </c>
      <c r="CC7" s="7" t="n">
        <v>0</v>
      </c>
      <c r="CD7" s="7" t="n">
        <v>0</v>
      </c>
      <c r="CE7" s="7" t="n">
        <v>0</v>
      </c>
      <c r="CF7" s="7" t="n">
        <v>0</v>
      </c>
      <c r="CG7" s="7" t="n">
        <v>0</v>
      </c>
      <c r="CH7" s="7" t="n">
        <v>0</v>
      </c>
      <c r="CI7" s="7" t="n">
        <v>0</v>
      </c>
      <c r="CJ7" s="7" t="n">
        <v>0</v>
      </c>
      <c r="CK7" s="38">
        <f>VLOOKUP($B7,'abrasion emissions'!$O$7:$R$36,2,FALSE)</f>
        <v>1</v>
      </c>
      <c r="CL7" s="38">
        <f>VLOOKUP($B7,'abrasion emissions'!$O$7:$R$36,3,FALSE)</f>
        <v>0</v>
      </c>
      <c r="CM7" s="38">
        <f>VLOOKUP($B7,'abrasion emissions'!$O$7:$R$36,4,FALSE)</f>
        <v>0</v>
      </c>
      <c r="CN7" s="7">
        <f>((SUMIFS('abrasion emissions'!$M$7:$M$34,'abrasion emissions'!$I$7:$I$34,"PM 2.5",'abrasion emissions'!$J$7:$J$34,"urban",'abrasion emissions'!$K$7:$K$34,"Tyre",'abrasion emissions'!$L$7:$L$34,"b")*POWER(('vehicles specifications'!$Q7/1000),(1/SUMIFS('abrasion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specifications'!$P7/1000),(1/SUMIFS('abrasion emissions'!$M$7:$M$34,'abrasion emissions'!$I$7:$I$34,"PM 10",'abrasion emissions'!$J$7:$J$34,"urban",'abrasion emissions'!$K$7:$K$34,"Tyre",'abrasion emissions'!$L$7:$L$34,"c")))))/1000000</f>
        <v>3.6839818188838036E-6</v>
      </c>
      <c r="CO7" s="7">
        <f>((SUMIFS('abrasion emissions'!$M$7:$M$34,'abrasion emissions'!$I$7:$I$34,"PM 2.5",'abrasion emissions'!$J$7:$J$34,"rural",'abrasion emissions'!$K$7:$K$34,"Tyre",'abrasion emissions'!$L$7:$L$34,"b")*POWER(('vehicles specifications'!$Q7/1000),(1/SUMIFS('abrasion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specifications'!$P7/1000),(1/SUMIFS('abrasion emissions'!$M$7:$M$34,'abrasion emissions'!$I$7:$I$34,"PM 10",'abrasion emissions'!$J$7:$J$34,"rural",'abrasion emissions'!$K$7:$K$34,"Tyre",'abrasion emissions'!$L$7:$L$34,"c")))))/1000000</f>
        <v>2.8713812203109511E-6</v>
      </c>
      <c r="CP7" s="7">
        <f>((SUMIFS('abrasion emissions'!$M$7:$M$34,'abrasion emissions'!$I$7:$I$34,"PM 2.5",'abrasion emissions'!$J$7:$J$34,"motorway",'abrasion emissions'!$K$7:$K$34,"Tyre",'abrasion emissions'!$L$7:$L$34,"b")*POWER(('vehicles specifications'!$Q7/1000),(1/SUMIFS('abrasion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specifications'!$P7/1000),(1/SUMIFS('abrasion emissions'!$M$7:$M$34,'abrasion emissions'!$I$7:$I$34,"PM 10",'abrasion emissions'!$J$7:$J$34,"motorway",'abrasion emissions'!$K$7:$K$34,"Tyre",'abrasion emissions'!$L$7:$L$34,"c")))))/1000000</f>
        <v>2.4577723677730355E-6</v>
      </c>
      <c r="CQ7" s="7">
        <f>((SUMIFS('abrasion emissions'!$M$7:$M$34,'abrasion emissions'!$I$7:$I$34,"PM 2.5",'abrasion emissions'!$J$7:$J$34,"urban",'abrasion emissions'!$K$7:$K$34,"Brake",'abrasion emissions'!$L$7:$L$34,"b")*POWER(('vehicles specifications'!$Q7/1000),(1/SUMIFS('abrasion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specifications'!$P7/1000),(1/SUMIFS('abrasion emissions'!$M$7:$M$34,'abrasion emissions'!$I$7:$I$34,"PM 10",'abrasion emissions'!$J$7:$J$34,"urban",'abrasion emissions'!$K$7:$K$34,"Brake",'abrasion emissions'!$L$7:$L$34,"c")))))/1000000</f>
        <v>3.452136406679805E-6</v>
      </c>
      <c r="CR7" s="7">
        <f>((SUMIFS('abrasion emissions'!$M$7:$M$34,'abrasion emissions'!$I$7:$I$34,"PM 2.5",'abrasion emissions'!$J$7:$J$34,"rural",'abrasion emissions'!$K$7:$K$34,"Brake",'abrasion emissions'!$L$7:$L$34,"b")*POWER(('vehicles specifications'!$Q7/1000),(1/SUMIFS('abrasion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specifications'!$P7/1000),(1/SUMIFS('abrasion emissions'!$M$7:$M$34,'abrasion emissions'!$I$7:$I$34,"PM 10",'abrasion emissions'!$J$7:$J$34,"rural",'abrasion emissions'!$K$7:$K$34,"Brake",'abrasion emissions'!$L$7:$L$34,"c")))))/1000000</f>
        <v>9.7788492634877698E-7</v>
      </c>
      <c r="CS7" s="7">
        <f>((SUMIFS('abrasion emissions'!$M$7:$M$34,'abrasion emissions'!$I$7:$I$34,"PM 2.5",'abrasion emissions'!$J$7:$J$34,"motorway",'abrasion emissions'!$K$7:$K$34,"Brake",'abrasion emissions'!$L$7:$L$34,"b")*POWER(('vehicles specifications'!$Q7/1000),(1/SUMIFS('abrasion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specifications'!$P7/1000),(1/SUMIFS('abrasion emissions'!$M$7:$M$34,'abrasion emissions'!$I$7:$I$34,"PM 10",'abrasion emissions'!$J$7:$J$34,"motorway",'abrasion emissions'!$K$7:$K$34,"Brake",'abrasion emissions'!$L$7:$L$34,"c")))))/1000000</f>
        <v>1.6616309727408126E-7</v>
      </c>
      <c r="CT7" s="7">
        <f>((SUMIFS('abrasion emissions'!$M$7:$M$38,'abrasion emissions'!$I$7:$I$38,"PM 2.5",'abrasion emissions'!$K$7:$K$38,"Re-susp.",'abrasion emissions'!$L$7:$L$38,"b")*POWER(('vehicles specifications'!$Q7/1000),(1/SUMIFS('abrasion emissions'!$M$7:$M$38,'abrasion emissions'!$I$7:$I$38,"PM 2.5",'abrasion emissions'!$K$7:$K$38,"Re-susp.",'abrasion emissions'!$L$7:$L$38,"c"))))+
(SUMIFS('abrasion emissions'!$M$7:$M$38,'abrasion emissions'!$I$7:$I$38,"PM 10",'abrasion emissions'!$K$7:$K$38,"Re-susp.",'abrasion emissions'!$L$7:$L$38,"b")*POWER(('vehicles specifications'!$Q7/1000),(1/SUMIFS('abrasion emissions'!$M$7:$M$38,'abrasion emissions'!$I$7:$I$38,"PM 10",'abrasion emissions'!$K$7:$K$38,"Re-susp.",'abrasion emissions'!$L$7:$L$38,"c")))))/1000000</f>
        <v>1.7814368895620092E-6</v>
      </c>
      <c r="CU7" s="7">
        <f>((SUMIFS('abrasion emissions'!$M$7:$M$38,'abrasion emissions'!$I$7:$I$38,"PM 2.5",'abrasion emissions'!$K$7:$K$38,"Road",'abrasion emissions'!$L$7:$L$38,"b")*POWER(('vehicles specifications'!$Q7/1000),(1/SUMIFS('abrasion emissions'!$M$7:$M$38,'abrasion emissions'!$I$7:$I$38,"PM 2.5",'abrasion emissions'!$K$7:$K$38,"Road",'abrasion emissions'!$L$7:$L$38,"c"))))+
(SUMIFS('abrasion emissions'!$M$7:$M$38,'abrasion emissions'!$I$7:$I$38,"PM 10",'abrasion emissions'!$K$7:$K$38,"Road",'abrasion emissions'!$L$7:$L$38,"b")*POWER(('vehicles specifications'!$Q7/1000),(1/SUMIFS('abrasion emissions'!$M$7:$M$38,'abrasion emissions'!$I$7:$I$38,"PM 10",'abrasion emissions'!$K$7:$K$38,"Road",'abrasion emissions'!$L$7:$L$38,"c")))))/1000000+CT7</f>
        <v>3.7841235581851242E-6</v>
      </c>
      <c r="CV7" s="7">
        <f>(CK7*CN7)+(CL7*CO7)+(CM7*CP7)</f>
        <v>3.6839818188838036E-6</v>
      </c>
      <c r="CW7" s="7">
        <f>(CK7*CQ7)+(CL7*CR7)+(CM7*CS7)</f>
        <v>3.452136406679805E-6</v>
      </c>
    </row>
    <row r="8">
      <c r="A8" t="str">
        <f>B8&amp;" - "&amp;D8&amp;" - "&amp;IF(I8&lt;&gt;"",I8&amp;" - "&amp;E8,E8)</f>
        <v>Kick Scooter, battery electric, &lt;1kW - 2030 - LFP - CH</v>
      </c>
      <c r="B8" t="inlineStr">
        <is>
          <t>Kick Scooter, battery electric, &lt;1kW</t>
        </is>
      </c>
      <c r="D8" s="18" t="n">
        <v>2030</v>
      </c>
      <c r="E8" t="inlineStr">
        <is>
          <t>CH</t>
        </is>
      </c>
      <c r="F8" t="inlineStr">
        <is>
          <t>None</t>
        </is>
      </c>
      <c r="G8" t="inlineStr">
        <is>
          <t>vkm</t>
        </is>
      </c>
      <c r="H8" t="inlineStr">
        <is>
          <t>BEV</t>
        </is>
      </c>
      <c r="I8" t="inlineStr">
        <is>
          <t>LFP</t>
        </is>
      </c>
      <c r="J8" t="n">
        <v>1785</v>
      </c>
      <c r="K8" t="n">
        <v>890</v>
      </c>
      <c r="L8" s="2">
        <f>J8/K8</f>
        <v>2.00561797752809</v>
      </c>
      <c r="M8" t="n">
        <v>1</v>
      </c>
      <c r="N8" t="n">
        <v>75</v>
      </c>
      <c r="O8" t="n">
        <v>0</v>
      </c>
      <c r="P8" s="2">
        <f>SUM(U8,V8,W8,AC8,AF8,AH8)</f>
        <v>11.69</v>
      </c>
      <c r="Q8" s="2">
        <f>P8+(M8*N8)+O8</f>
        <v>86.69</v>
      </c>
      <c r="R8" t="n">
        <v>0.25</v>
      </c>
      <c r="S8" s="2" t="n">
        <v>7</v>
      </c>
      <c r="T8" s="1" t="n">
        <v>0.03</v>
      </c>
      <c r="U8" s="2">
        <f>S8*(1-T8)</f>
        <v>6.79</v>
      </c>
      <c r="V8" t="n">
        <v>0</v>
      </c>
      <c r="W8" t="n">
        <v>2.9</v>
      </c>
      <c r="X8" s="6" t="n">
        <v>0.3</v>
      </c>
      <c r="Y8" s="1" t="n">
        <v>0.8</v>
      </c>
      <c r="Z8" s="3">
        <f>Y8*X8</f>
        <v>0.24</v>
      </c>
      <c r="AA8" s="3">
        <f>IF(I8&lt;&gt;"",X8/INDEX('energy battery'!$B$3:$D$6,MATCH('vehicles specifications'!$D8,'energy battery'!$A$3:$A$6,0),MATCH('vehicles specifications'!$I8,'energy battery'!$B$2:$D$2,0)),"")</f>
        <v>1.6666666666666667</v>
      </c>
      <c r="AB8" s="3">
        <f>IF(AA8&lt;&gt;"",0.2*AA8,"")</f>
        <v>0.33333333333333337</v>
      </c>
      <c r="AC8" s="3">
        <f>IF(AA8&lt;&gt;"",AB8+AA8,"")</f>
        <v>2</v>
      </c>
      <c r="AD8" t="n">
        <v>0</v>
      </c>
      <c r="AE8" t="n">
        <v>0</v>
      </c>
      <c r="AF8" t="n">
        <v>0</v>
      </c>
      <c r="AG8" t="n">
        <v>0</v>
      </c>
      <c r="AH8" t="n">
        <v>0</v>
      </c>
      <c r="AI8" t="n">
        <v>0.5</v>
      </c>
      <c r="AJ8" t="n">
        <v>1</v>
      </c>
      <c r="AK8" t="n">
        <v>0</v>
      </c>
      <c r="AL8">
        <f>0.000537/1000*Q8</f>
        <v>4.6552530000000001E-5</v>
      </c>
      <c r="AM8" t="n">
        <v>0</v>
      </c>
      <c r="AN8" s="2">
        <f>U8</f>
        <v>6.79</v>
      </c>
      <c r="AO8" s="2">
        <f>SUM(V8:W8)</f>
        <v>2.9</v>
      </c>
      <c r="AP8" s="2">
        <f>AC8</f>
        <v>2</v>
      </c>
      <c r="AQ8" s="6" t="inlineStr"/>
      <c r="AR8" s="20" t="n"/>
      <c r="AS8" s="5" t="n">
        <v>0.08612632755729459</v>
      </c>
      <c r="AT8" s="2">
        <f>SUM(Z8,AG8)/(SUM(AQ8,AS8)/3.6)</f>
        <v>10.031775700934579</v>
      </c>
      <c r="AU8" s="5" t="n">
        <v>0</v>
      </c>
      <c r="AV8" s="5" t="n">
        <v>0</v>
      </c>
      <c r="AW8" s="7" t="n">
        <v>0</v>
      </c>
      <c r="AX8" s="7" t="n">
        <v>0</v>
      </c>
      <c r="AY8" s="7" t="n">
        <v>0</v>
      </c>
      <c r="AZ8" s="7" t="n">
        <v>0</v>
      </c>
      <c r="BA8" s="7" t="n">
        <v>0</v>
      </c>
      <c r="BB8" s="7" t="n">
        <v>0</v>
      </c>
      <c r="BC8" s="7" t="n">
        <v>0</v>
      </c>
      <c r="BD8" s="7" t="n">
        <v>0</v>
      </c>
      <c r="BE8" s="7" t="n">
        <v>0</v>
      </c>
      <c r="BF8" s="7" t="n">
        <v>0</v>
      </c>
      <c r="BG8" s="7" t="n">
        <v>0</v>
      </c>
      <c r="BH8" s="7" t="n">
        <v>0</v>
      </c>
      <c r="BI8" s="7" t="n">
        <v>0</v>
      </c>
      <c r="BJ8" s="7" t="n">
        <v>0</v>
      </c>
      <c r="BK8" s="7" t="n">
        <v>0</v>
      </c>
      <c r="BL8" s="7" t="n">
        <v>0</v>
      </c>
      <c r="BM8" s="7" t="n">
        <v>0</v>
      </c>
      <c r="BN8" s="7" t="n">
        <v>0</v>
      </c>
      <c r="BO8" s="7" t="n">
        <v>0</v>
      </c>
      <c r="BP8" s="7" t="n">
        <v>0</v>
      </c>
      <c r="BQ8" s="7" t="n">
        <v>0</v>
      </c>
      <c r="BR8" s="7" t="n">
        <v>0</v>
      </c>
      <c r="BS8" s="7" t="n">
        <v>0</v>
      </c>
      <c r="BT8" s="7" t="n">
        <v>0</v>
      </c>
      <c r="BU8" s="7" t="n">
        <v>0</v>
      </c>
      <c r="BV8" s="7" t="n">
        <v>0</v>
      </c>
      <c r="BW8" s="7" t="n">
        <v>0</v>
      </c>
      <c r="BX8" s="7" t="n">
        <v>0</v>
      </c>
      <c r="BY8" s="7" t="n">
        <v>0</v>
      </c>
      <c r="BZ8" s="7" t="n">
        <v>0</v>
      </c>
      <c r="CA8" s="7" t="n">
        <v>0</v>
      </c>
      <c r="CB8" s="7" t="n">
        <v>0</v>
      </c>
      <c r="CC8" s="7" t="n">
        <v>0</v>
      </c>
      <c r="CD8" s="7" t="n">
        <v>0</v>
      </c>
      <c r="CE8" s="7" t="n">
        <v>0</v>
      </c>
      <c r="CF8" s="7" t="n">
        <v>0</v>
      </c>
      <c r="CG8" s="7" t="n">
        <v>0</v>
      </c>
      <c r="CH8" s="7" t="n">
        <v>0</v>
      </c>
      <c r="CI8" s="7" t="n">
        <v>0</v>
      </c>
      <c r="CJ8" s="7" t="n">
        <v>0</v>
      </c>
      <c r="CK8" s="38">
        <f>VLOOKUP($B8,'abrasion emissions'!$O$7:$R$36,2,FALSE)</f>
        <v>1</v>
      </c>
      <c r="CL8" s="38">
        <f>VLOOKUP($B8,'abrasion emissions'!$O$7:$R$36,3,FALSE)</f>
        <v>0</v>
      </c>
      <c r="CM8" s="38">
        <f>VLOOKUP($B8,'abrasion emissions'!$O$7:$R$36,4,FALSE)</f>
        <v>0</v>
      </c>
      <c r="CN8" s="7">
        <f>((SUMIFS('abrasion emissions'!$M$7:$M$34,'abrasion emissions'!$I$7:$I$34,"PM 2.5",'abrasion emissions'!$J$7:$J$34,"urban",'abrasion emissions'!$K$7:$K$34,"Tyre",'abrasion emissions'!$L$7:$L$34,"b")*POWER(('vehicles specifications'!$Q8/1000),(1/SUMIFS('abrasion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specifications'!$P8/1000),(1/SUMIFS('abrasion emissions'!$M$7:$M$34,'abrasion emissions'!$I$7:$I$34,"PM 10",'abrasion emissions'!$J$7:$J$34,"urban",'abrasion emissions'!$K$7:$K$34,"Tyre",'abrasion emissions'!$L$7:$L$34,"c")))))/1000000</f>
        <v>3.6699907130296717E-6</v>
      </c>
      <c r="CO8" s="7">
        <f>((SUMIFS('abrasion emissions'!$M$7:$M$34,'abrasion emissions'!$I$7:$I$34,"PM 2.5",'abrasion emissions'!$J$7:$J$34,"rural",'abrasion emissions'!$K$7:$K$34,"Tyre",'abrasion emissions'!$L$7:$L$34,"b")*POWER(('vehicles specifications'!$Q8/1000),(1/SUMIFS('abrasion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specifications'!$P8/1000),(1/SUMIFS('abrasion emissions'!$M$7:$M$34,'abrasion emissions'!$I$7:$I$34,"PM 10",'abrasion emissions'!$J$7:$J$34,"rural",'abrasion emissions'!$K$7:$K$34,"Tyre",'abrasion emissions'!$L$7:$L$34,"c")))))/1000000</f>
        <v>2.8605057064633691E-6</v>
      </c>
      <c r="CP8" s="7">
        <f>((SUMIFS('abrasion emissions'!$M$7:$M$34,'abrasion emissions'!$I$7:$I$34,"PM 2.5",'abrasion emissions'!$J$7:$J$34,"motorway",'abrasion emissions'!$K$7:$K$34,"Tyre",'abrasion emissions'!$L$7:$L$34,"b")*POWER(('vehicles specifications'!$Q8/1000),(1/SUMIFS('abrasion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specifications'!$P8/1000),(1/SUMIFS('abrasion emissions'!$M$7:$M$34,'abrasion emissions'!$I$7:$I$34,"PM 10",'abrasion emissions'!$J$7:$J$34,"motorway",'abrasion emissions'!$K$7:$K$34,"Tyre",'abrasion emissions'!$L$7:$L$34,"c")))))/1000000</f>
        <v>2.4485373462733372E-6</v>
      </c>
      <c r="CQ8" s="7">
        <f>((SUMIFS('abrasion emissions'!$M$7:$M$34,'abrasion emissions'!$I$7:$I$34,"PM 2.5",'abrasion emissions'!$J$7:$J$34,"urban",'abrasion emissions'!$K$7:$K$34,"Brake",'abrasion emissions'!$L$7:$L$34,"b")*POWER(('vehicles specifications'!$Q8/1000),(1/SUMIFS('abrasion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specifications'!$P8/1000),(1/SUMIFS('abrasion emissions'!$M$7:$M$34,'abrasion emissions'!$I$7:$I$34,"PM 10",'abrasion emissions'!$J$7:$J$34,"urban",'abrasion emissions'!$K$7:$K$34,"Brake",'abrasion emissions'!$L$7:$L$34,"c")))))/1000000</f>
        <v>3.4408227960791771E-6</v>
      </c>
      <c r="CR8" s="7">
        <f>((SUMIFS('abrasion emissions'!$M$7:$M$34,'abrasion emissions'!$I$7:$I$34,"PM 2.5",'abrasion emissions'!$J$7:$J$34,"rural",'abrasion emissions'!$K$7:$K$34,"Brake",'abrasion emissions'!$L$7:$L$34,"b")*POWER(('vehicles specifications'!$Q8/1000),(1/SUMIFS('abrasion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specifications'!$P8/1000),(1/SUMIFS('abrasion emissions'!$M$7:$M$34,'abrasion emissions'!$I$7:$I$34,"PM 10",'abrasion emissions'!$J$7:$J$34,"rural",'abrasion emissions'!$K$7:$K$34,"Brake",'abrasion emissions'!$L$7:$L$34,"c")))))/1000000</f>
        <v>9.7415291433666956E-7</v>
      </c>
      <c r="CS8" s="7">
        <f>((SUMIFS('abrasion emissions'!$M$7:$M$34,'abrasion emissions'!$I$7:$I$34,"PM 2.5",'abrasion emissions'!$J$7:$J$34,"motorway",'abrasion emissions'!$K$7:$K$34,"Brake",'abrasion emissions'!$L$7:$L$34,"b")*POWER(('vehicles specifications'!$Q8/1000),(1/SUMIFS('abrasion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specifications'!$P8/1000),(1/SUMIFS('abrasion emissions'!$M$7:$M$34,'abrasion emissions'!$I$7:$I$34,"PM 10",'abrasion emissions'!$J$7:$J$34,"motorway",'abrasion emissions'!$K$7:$K$34,"Brake",'abrasion emissions'!$L$7:$L$34,"c")))))/1000000</f>
        <v>1.654785001500218E-7</v>
      </c>
      <c r="CT8" s="7">
        <f>((SUMIFS('abrasion emissions'!$M$7:$M$38,'abrasion emissions'!$I$7:$I$38,"PM 2.5",'abrasion emissions'!$K$7:$K$38,"Re-susp.",'abrasion emissions'!$L$7:$L$38,"b")*POWER(('vehicles specifications'!$Q8/1000),(1/SUMIFS('abrasion emissions'!$M$7:$M$38,'abrasion emissions'!$I$7:$I$38,"PM 2.5",'abrasion emissions'!$K$7:$K$38,"Re-susp.",'abrasion emissions'!$L$7:$L$38,"c"))))+
(SUMIFS('abrasion emissions'!$M$7:$M$38,'abrasion emissions'!$I$7:$I$38,"PM 10",'abrasion emissions'!$K$7:$K$38,"Re-susp.",'abrasion emissions'!$L$7:$L$38,"b")*POWER(('vehicles specifications'!$Q8/1000),(1/SUMIFS('abrasion emissions'!$M$7:$M$38,'abrasion emissions'!$I$7:$I$38,"PM 10",'abrasion emissions'!$K$7:$K$38,"Re-susp.",'abrasion emissions'!$L$7:$L$38,"c")))))/1000000</f>
        <v>1.7756653640028102E-6</v>
      </c>
      <c r="CU8" s="7">
        <f>((SUMIFS('abrasion emissions'!$M$7:$M$38,'abrasion emissions'!$I$7:$I$38,"PM 2.5",'abrasion emissions'!$K$7:$K$38,"Road",'abrasion emissions'!$L$7:$L$38,"b")*POWER(('vehicles specifications'!$Q8/1000),(1/SUMIFS('abrasion emissions'!$M$7:$M$38,'abrasion emissions'!$I$7:$I$38,"PM 2.5",'abrasion emissions'!$K$7:$K$38,"Road",'abrasion emissions'!$L$7:$L$38,"c"))))+
(SUMIFS('abrasion emissions'!$M$7:$M$38,'abrasion emissions'!$I$7:$I$38,"PM 10",'abrasion emissions'!$K$7:$K$38,"Road",'abrasion emissions'!$L$7:$L$38,"b")*POWER(('vehicles specifications'!$Q8/1000),(1/SUMIFS('abrasion emissions'!$M$7:$M$38,'abrasion emissions'!$I$7:$I$38,"PM 10",'abrasion emissions'!$K$7:$K$38,"Road",'abrasion emissions'!$L$7:$L$38,"c")))))/1000000+CT8</f>
        <v>3.7735918629230822E-6</v>
      </c>
      <c r="CV8" s="7">
        <f>(CK8*CN8)+(CL8*CO8)+(CM8*CP8)</f>
        <v>3.6699907130296717E-6</v>
      </c>
      <c r="CW8" s="7">
        <f>(CK8*CQ8)+(CL8*CR8)+(CM8*CS8)</f>
        <v>3.4408227960791771E-6</v>
      </c>
    </row>
    <row r="9">
      <c r="A9" t="str">
        <f>B9&amp;" - "&amp;D9&amp;" - "&amp;IF(I9&lt;&gt;"",I9&amp;" - "&amp;E9,E9)</f>
        <v>Kick Scooter, battery electric, &lt;1kW - 2040 - LFP - CH</v>
      </c>
      <c r="B9" t="inlineStr">
        <is>
          <t>Kick Scooter, battery electric, &lt;1kW</t>
        </is>
      </c>
      <c r="D9" s="18" t="n">
        <v>2040</v>
      </c>
      <c r="E9" t="inlineStr">
        <is>
          <t>CH</t>
        </is>
      </c>
      <c r="F9" t="inlineStr">
        <is>
          <t>None</t>
        </is>
      </c>
      <c r="G9" t="inlineStr">
        <is>
          <t>vkm</t>
        </is>
      </c>
      <c r="H9" t="inlineStr">
        <is>
          <t>BEV</t>
        </is>
      </c>
      <c r="I9" t="inlineStr">
        <is>
          <t>LFP</t>
        </is>
      </c>
      <c r="J9" t="n">
        <v>1785</v>
      </c>
      <c r="K9" t="n">
        <v>890</v>
      </c>
      <c r="L9" s="2">
        <f>J9/K9</f>
        <v>2.00561797752809</v>
      </c>
      <c r="M9" t="n">
        <v>1</v>
      </c>
      <c r="N9" t="n">
        <v>75</v>
      </c>
      <c r="O9" t="n">
        <v>0</v>
      </c>
      <c r="P9" s="2">
        <f>SUM(U9,V9,W9,AC9,AF9,AH9)</f>
        <v>12.116666666666667</v>
      </c>
      <c r="Q9" s="2">
        <f>P9+(M9*N9)+O9</f>
        <v>87.116666666666674</v>
      </c>
      <c r="R9" t="n">
        <v>0.25</v>
      </c>
      <c r="S9" s="2" t="n">
        <v>7</v>
      </c>
      <c r="T9" s="1" t="n">
        <v>0.05</v>
      </c>
      <c r="U9" s="2">
        <f>S9*(1-T9)</f>
        <v>6.6499999999999995</v>
      </c>
      <c r="V9" t="n">
        <v>0</v>
      </c>
      <c r="W9" t="n">
        <v>2.8</v>
      </c>
      <c r="X9" s="6" t="n">
        <v>0.4</v>
      </c>
      <c r="Y9" s="1" t="n">
        <v>0.8</v>
      </c>
      <c r="Z9" s="3">
        <f>Y9*X9</f>
        <v>0.32000000000000006</v>
      </c>
      <c r="AA9" s="3">
        <f>IF(I9&lt;&gt;"",X9/INDEX('energy battery'!$B$3:$D$6,MATCH('vehicles specifications'!$D9,'energy battery'!$A$3:$A$6,0),MATCH('vehicles specifications'!$I9,'energy battery'!$B$2:$D$2,0)),"")</f>
        <v>2.2222222222222223</v>
      </c>
      <c r="AB9" s="3">
        <f>IF(AA9&lt;&gt;"",0.2*AA9,"")</f>
        <v>0.44444444444444448</v>
      </c>
      <c r="AC9" s="3">
        <f>IF(AA9&lt;&gt;"",AB9+AA9,"")</f>
        <v>2.666666666666667</v>
      </c>
      <c r="AD9" t="n">
        <v>0</v>
      </c>
      <c r="AE9" t="n">
        <v>0</v>
      </c>
      <c r="AF9" t="n">
        <v>0</v>
      </c>
      <c r="AG9" t="n">
        <v>0</v>
      </c>
      <c r="AH9" t="n">
        <v>0</v>
      </c>
      <c r="AI9" t="n">
        <v>0.5</v>
      </c>
      <c r="AJ9" t="n">
        <v>1</v>
      </c>
      <c r="AK9" t="n">
        <v>0</v>
      </c>
      <c r="AL9">
        <f>0.000537/1000*Q9</f>
        <v>4.6781650000000003E-5</v>
      </c>
      <c r="AM9" t="n">
        <v>0</v>
      </c>
      <c r="AN9" s="2">
        <f>U9</f>
        <v>6.6499999999999995</v>
      </c>
      <c r="AO9" s="2">
        <f>SUM(V9:W9)</f>
        <v>2.8</v>
      </c>
      <c r="AP9" s="2">
        <f>AC9</f>
        <v>2.666666666666667</v>
      </c>
      <c r="AQ9" s="6" t="inlineStr"/>
      <c r="AR9" s="20" t="n"/>
      <c r="AS9" s="5" t="n">
        <v>0.08612632755729459</v>
      </c>
      <c r="AT9" s="2">
        <f>SUM(Z9,AG9)/(SUM(AQ9,AS9)/3.6)</f>
        <v>13.375700934579442</v>
      </c>
      <c r="AU9" s="5" t="n">
        <v>0</v>
      </c>
      <c r="AV9" s="5" t="n">
        <v>0</v>
      </c>
      <c r="AW9" s="7" t="n">
        <v>0</v>
      </c>
      <c r="AX9" s="7" t="n">
        <v>0</v>
      </c>
      <c r="AY9" s="7" t="n">
        <v>0</v>
      </c>
      <c r="AZ9" s="7" t="n">
        <v>0</v>
      </c>
      <c r="BA9" s="7" t="n">
        <v>0</v>
      </c>
      <c r="BB9" s="7" t="n">
        <v>0</v>
      </c>
      <c r="BC9" s="7" t="n">
        <v>0</v>
      </c>
      <c r="BD9" s="7" t="n">
        <v>0</v>
      </c>
      <c r="BE9" s="7" t="n">
        <v>0</v>
      </c>
      <c r="BF9" s="7" t="n">
        <v>0</v>
      </c>
      <c r="BG9" s="7" t="n">
        <v>0</v>
      </c>
      <c r="BH9" s="7" t="n">
        <v>0</v>
      </c>
      <c r="BI9" s="7" t="n">
        <v>0</v>
      </c>
      <c r="BJ9" s="7" t="n">
        <v>0</v>
      </c>
      <c r="BK9" s="7" t="n">
        <v>0</v>
      </c>
      <c r="BL9" s="7" t="n">
        <v>0</v>
      </c>
      <c r="BM9" s="7" t="n">
        <v>0</v>
      </c>
      <c r="BN9" s="7" t="n">
        <v>0</v>
      </c>
      <c r="BO9" s="7" t="n">
        <v>0</v>
      </c>
      <c r="BP9" s="7" t="n">
        <v>0</v>
      </c>
      <c r="BQ9" s="7" t="n">
        <v>0</v>
      </c>
      <c r="BR9" s="7" t="n">
        <v>0</v>
      </c>
      <c r="BS9" s="7" t="n">
        <v>0</v>
      </c>
      <c r="BT9" s="7" t="n">
        <v>0</v>
      </c>
      <c r="BU9" s="7" t="n">
        <v>0</v>
      </c>
      <c r="BV9" s="7" t="n">
        <v>0</v>
      </c>
      <c r="BW9" s="7" t="n">
        <v>0</v>
      </c>
      <c r="BX9" s="7" t="n">
        <v>0</v>
      </c>
      <c r="BY9" s="7" t="n">
        <v>0</v>
      </c>
      <c r="BZ9" s="7" t="n">
        <v>0</v>
      </c>
      <c r="CA9" s="7" t="n">
        <v>0</v>
      </c>
      <c r="CB9" s="7" t="n">
        <v>0</v>
      </c>
      <c r="CC9" s="7" t="n">
        <v>0</v>
      </c>
      <c r="CD9" s="7" t="n">
        <v>0</v>
      </c>
      <c r="CE9" s="7" t="n">
        <v>0</v>
      </c>
      <c r="CF9" s="7" t="n">
        <v>0</v>
      </c>
      <c r="CG9" s="7" t="n">
        <v>0</v>
      </c>
      <c r="CH9" s="7" t="n">
        <v>0</v>
      </c>
      <c r="CI9" s="7" t="n">
        <v>0</v>
      </c>
      <c r="CJ9" s="7" t="n">
        <v>0</v>
      </c>
      <c r="CK9" s="38">
        <f>VLOOKUP($B9,'abrasion emissions'!$O$7:$R$36,2,FALSE)</f>
        <v>1</v>
      </c>
      <c r="CL9" s="38">
        <f>VLOOKUP($B9,'abrasion emissions'!$O$7:$R$36,3,FALSE)</f>
        <v>0</v>
      </c>
      <c r="CM9" s="38">
        <f>VLOOKUP($B9,'abrasion emissions'!$O$7:$R$36,4,FALSE)</f>
        <v>0</v>
      </c>
      <c r="CN9" s="7">
        <f>((SUMIFS('abrasion emissions'!$M$7:$M$34,'abrasion emissions'!$I$7:$I$34,"PM 2.5",'abrasion emissions'!$J$7:$J$34,"urban",'abrasion emissions'!$K$7:$K$34,"Tyre",'abrasion emissions'!$L$7:$L$34,"b")*POWER(('vehicles specifications'!$Q9/1000),(1/SUMIFS('abrasion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specifications'!$P9/1000),(1/SUMIFS('abrasion emissions'!$M$7:$M$34,'abrasion emissions'!$I$7:$I$34,"PM 10",'abrasion emissions'!$J$7:$J$34,"urban",'abrasion emissions'!$K$7:$K$34,"Tyre",'abrasion emissions'!$L$7:$L$34,"c")))))/1000000</f>
        <v>3.68920867559289E-6</v>
      </c>
      <c r="CO9" s="7">
        <f>((SUMIFS('abrasion emissions'!$M$7:$M$34,'abrasion emissions'!$I$7:$I$34,"PM 2.5",'abrasion emissions'!$J$7:$J$34,"rural",'abrasion emissions'!$K$7:$K$34,"Tyre",'abrasion emissions'!$L$7:$L$34,"b")*POWER(('vehicles specifications'!$Q9/1000),(1/SUMIFS('abrasion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specifications'!$P9/1000),(1/SUMIFS('abrasion emissions'!$M$7:$M$34,'abrasion emissions'!$I$7:$I$34,"PM 10",'abrasion emissions'!$J$7:$J$34,"rural",'abrasion emissions'!$K$7:$K$34,"Tyre",'abrasion emissions'!$L$7:$L$34,"c")))))/1000000</f>
        <v>2.8754441864708364E-6</v>
      </c>
      <c r="CP9" s="7">
        <f>((SUMIFS('abrasion emissions'!$M$7:$M$34,'abrasion emissions'!$I$7:$I$34,"PM 2.5",'abrasion emissions'!$J$7:$J$34,"motorway",'abrasion emissions'!$K$7:$K$34,"Tyre",'abrasion emissions'!$L$7:$L$34,"b")*POWER(('vehicles specifications'!$Q9/1000),(1/SUMIFS('abrasion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specifications'!$P9/1000),(1/SUMIFS('abrasion emissions'!$M$7:$M$34,'abrasion emissions'!$I$7:$I$34,"PM 10",'abrasion emissions'!$J$7:$J$34,"motorway",'abrasion emissions'!$K$7:$K$34,"Tyre",'abrasion emissions'!$L$7:$L$34,"c")))))/1000000</f>
        <v>2.4612225794703465E-6</v>
      </c>
      <c r="CQ9" s="7">
        <f>((SUMIFS('abrasion emissions'!$M$7:$M$34,'abrasion emissions'!$I$7:$I$34,"PM 2.5",'abrasion emissions'!$J$7:$J$34,"urban",'abrasion emissions'!$K$7:$K$34,"Brake",'abrasion emissions'!$L$7:$L$34,"b")*POWER(('vehicles specifications'!$Q9/1000),(1/SUMIFS('abrasion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specifications'!$P9/1000),(1/SUMIFS('abrasion emissions'!$M$7:$M$34,'abrasion emissions'!$I$7:$I$34,"PM 10",'abrasion emissions'!$J$7:$J$34,"urban",'abrasion emissions'!$K$7:$K$34,"Brake",'abrasion emissions'!$L$7:$L$34,"c")))))/1000000</f>
        <v>3.4563739306729263E-6</v>
      </c>
      <c r="CR9" s="7">
        <f>((SUMIFS('abrasion emissions'!$M$7:$M$34,'abrasion emissions'!$I$7:$I$34,"PM 2.5",'abrasion emissions'!$J$7:$J$34,"rural",'abrasion emissions'!$K$7:$K$34,"Brake",'abrasion emissions'!$L$7:$L$34,"b")*POWER(('vehicles specifications'!$Q9/1000),(1/SUMIFS('abrasion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specifications'!$P9/1000),(1/SUMIFS('abrasion emissions'!$M$7:$M$34,'abrasion emissions'!$I$7:$I$34,"PM 10",'abrasion emissions'!$J$7:$J$34,"rural",'abrasion emissions'!$K$7:$K$34,"Brake",'abrasion emissions'!$L$7:$L$34,"c")))))/1000000</f>
        <v>9.7928515055833216E-7</v>
      </c>
      <c r="CS9" s="7">
        <f>((SUMIFS('abrasion emissions'!$M$7:$M$34,'abrasion emissions'!$I$7:$I$34,"PM 2.5",'abrasion emissions'!$J$7:$J$34,"motorway",'abrasion emissions'!$K$7:$K$34,"Brake",'abrasion emissions'!$L$7:$L$34,"b")*POWER(('vehicles specifications'!$Q9/1000),(1/SUMIFS('abrasion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specifications'!$P9/1000),(1/SUMIFS('abrasion emissions'!$M$7:$M$34,'abrasion emissions'!$I$7:$I$34,"PM 10",'abrasion emissions'!$J$7:$J$34,"motorway",'abrasion emissions'!$K$7:$K$34,"Brake",'abrasion emissions'!$L$7:$L$34,"c")))))/1000000</f>
        <v>1.6642024062361562E-7</v>
      </c>
      <c r="CT9" s="7">
        <f>((SUMIFS('abrasion emissions'!$M$7:$M$38,'abrasion emissions'!$I$7:$I$38,"PM 2.5",'abrasion emissions'!$K$7:$K$38,"Re-susp.",'abrasion emissions'!$L$7:$L$38,"b")*POWER(('vehicles specifications'!$Q9/1000),(1/SUMIFS('abrasion emissions'!$M$7:$M$38,'abrasion emissions'!$I$7:$I$38,"PM 2.5",'abrasion emissions'!$K$7:$K$38,"Re-susp.",'abrasion emissions'!$L$7:$L$38,"c"))))+
(SUMIFS('abrasion emissions'!$M$7:$M$38,'abrasion emissions'!$I$7:$I$38,"PM 10",'abrasion emissions'!$K$7:$K$38,"Re-susp.",'abrasion emissions'!$L$7:$L$38,"b")*POWER(('vehicles specifications'!$Q9/1000),(1/SUMIFS('abrasion emissions'!$M$7:$M$38,'abrasion emissions'!$I$7:$I$38,"PM 10",'abrasion emissions'!$K$7:$K$38,"Re-susp.",'abrasion emissions'!$L$7:$L$38,"c")))))/1000000</f>
        <v>1.7836084845624911E-6</v>
      </c>
      <c r="CU9" s="7">
        <f>((SUMIFS('abrasion emissions'!$M$7:$M$38,'abrasion emissions'!$I$7:$I$38,"PM 2.5",'abrasion emissions'!$K$7:$K$38,"Road",'abrasion emissions'!$L$7:$L$38,"b")*POWER(('vehicles specifications'!$Q9/1000),(1/SUMIFS('abrasion emissions'!$M$7:$M$38,'abrasion emissions'!$I$7:$I$38,"PM 2.5",'abrasion emissions'!$K$7:$K$38,"Road",'abrasion emissions'!$L$7:$L$38,"c"))))+
(SUMIFS('abrasion emissions'!$M$7:$M$38,'abrasion emissions'!$I$7:$I$38,"PM 10",'abrasion emissions'!$K$7:$K$38,"Road",'abrasion emissions'!$L$7:$L$38,"b")*POWER(('vehicles specifications'!$Q9/1000),(1/SUMIFS('abrasion emissions'!$M$7:$M$38,'abrasion emissions'!$I$7:$I$38,"PM 10",'abrasion emissions'!$K$7:$K$38,"Road",'abrasion emissions'!$L$7:$L$38,"c")))))/1000000+CT9</f>
        <v>3.7880851500377056E-6</v>
      </c>
      <c r="CV9" s="7">
        <f>(CK9*CN9)+(CL9*CO9)+(CM9*CP9)</f>
        <v>3.68920867559289E-6</v>
      </c>
      <c r="CW9" s="7">
        <f>(CK9*CQ9)+(CL9*CR9)+(CM9*CS9)</f>
        <v>3.4563739306729263E-6</v>
      </c>
    </row>
    <row r="10">
      <c r="A10" t="str">
        <f>B10&amp;" - "&amp;D10&amp;" - "&amp;IF(I10&lt;&gt;"",I10&amp;" - "&amp;E10,E10)</f>
        <v>Kick Scooter, battery electric, &lt;1kW - 2050 - LFP - CH</v>
      </c>
      <c r="B10" t="inlineStr">
        <is>
          <t>Kick Scooter, battery electric, &lt;1kW</t>
        </is>
      </c>
      <c r="D10" s="18" t="n">
        <v>2050</v>
      </c>
      <c r="E10" t="inlineStr">
        <is>
          <t>CH</t>
        </is>
      </c>
      <c r="F10" t="inlineStr">
        <is>
          <t>None</t>
        </is>
      </c>
      <c r="G10" t="inlineStr">
        <is>
          <t>vkm</t>
        </is>
      </c>
      <c r="H10" t="inlineStr">
        <is>
          <t>BEV</t>
        </is>
      </c>
      <c r="I10" t="inlineStr">
        <is>
          <t>LFP</t>
        </is>
      </c>
      <c r="J10" t="n">
        <v>1785</v>
      </c>
      <c r="K10" t="n">
        <v>890</v>
      </c>
      <c r="L10" s="2">
        <f>J10/K10</f>
        <v>2.00561797752809</v>
      </c>
      <c r="M10" t="n">
        <v>1</v>
      </c>
      <c r="N10" t="n">
        <v>75</v>
      </c>
      <c r="O10" t="n">
        <v>0</v>
      </c>
      <c r="P10" s="2">
        <f>SUM(U10,V10,W10,AC10,AF10,AH10)</f>
        <v>12.21</v>
      </c>
      <c r="Q10" s="2">
        <f>P10+(M10*N10)+O10</f>
        <v>87.210000000000008</v>
      </c>
      <c r="R10" t="n">
        <v>0.25</v>
      </c>
      <c r="S10" s="2" t="n">
        <v>7</v>
      </c>
      <c r="T10" s="1" t="n">
        <v>0.07000000000000001</v>
      </c>
      <c r="U10" s="2">
        <f>S10*(1-T10)</f>
        <v>6.51</v>
      </c>
      <c r="V10" t="n">
        <v>0</v>
      </c>
      <c r="W10" t="n">
        <v>2.7</v>
      </c>
      <c r="X10" s="6" t="n">
        <v>0.5</v>
      </c>
      <c r="Y10" s="1" t="n">
        <v>0.8</v>
      </c>
      <c r="Z10" s="3">
        <f>Y10*X10</f>
        <v>0.4</v>
      </c>
      <c r="AA10" s="3">
        <f>IF(I10&lt;&gt;"",X10/INDEX('energy battery'!$B$3:$D$6,MATCH('vehicles specifications'!$D10,'energy battery'!$A$3:$A$6,0),MATCH('vehicles specifications'!$I10,'energy battery'!$B$2:$D$2,0)),"")</f>
        <v>2.5</v>
      </c>
      <c r="AB10" s="3">
        <f>IF(AA10&lt;&gt;"",0.2*AA10,"")</f>
        <v>0.5</v>
      </c>
      <c r="AC10" s="3">
        <f>IF(AA10&lt;&gt;"",AB10+AA10,"")</f>
        <v>3</v>
      </c>
      <c r="AD10" t="n">
        <v>0</v>
      </c>
      <c r="AE10" t="n">
        <v>0</v>
      </c>
      <c r="AF10" t="n">
        <v>0</v>
      </c>
      <c r="AG10" t="n">
        <v>0</v>
      </c>
      <c r="AH10" t="n">
        <v>0</v>
      </c>
      <c r="AI10" t="n">
        <v>0.5</v>
      </c>
      <c r="AJ10" t="n">
        <v>1</v>
      </c>
      <c r="AK10" t="n">
        <v>0</v>
      </c>
      <c r="AL10">
        <f>0.000537/1000*Q10</f>
        <v>4.6831770000000006E-5</v>
      </c>
      <c r="AM10" t="n">
        <v>0</v>
      </c>
      <c r="AN10" s="2">
        <f>U10</f>
        <v>6.51</v>
      </c>
      <c r="AO10" s="2">
        <f>SUM(V10:W10)</f>
        <v>2.7</v>
      </c>
      <c r="AP10" s="2">
        <f>AC10</f>
        <v>3</v>
      </c>
      <c r="AQ10" s="6" t="inlineStr"/>
      <c r="AR10" s="20" t="n"/>
      <c r="AS10" s="5" t="n">
        <v>0.08612632755729459</v>
      </c>
      <c r="AT10" s="2">
        <f>SUM(Z10,AG10)/(SUM(AQ10,AS10)/3.6)</f>
        <v>16.719626168224298</v>
      </c>
      <c r="AU10" s="5" t="n">
        <v>0</v>
      </c>
      <c r="AV10" s="5" t="n">
        <v>0</v>
      </c>
      <c r="AW10" s="7" t="n">
        <v>0</v>
      </c>
      <c r="AX10" s="7" t="n">
        <v>0</v>
      </c>
      <c r="AY10" s="7" t="n">
        <v>0</v>
      </c>
      <c r="AZ10" s="7" t="n">
        <v>0</v>
      </c>
      <c r="BA10" s="7" t="n">
        <v>0</v>
      </c>
      <c r="BB10" s="7" t="n">
        <v>0</v>
      </c>
      <c r="BC10" s="7" t="n">
        <v>0</v>
      </c>
      <c r="BD10" s="7" t="n">
        <v>0</v>
      </c>
      <c r="BE10" s="7" t="n">
        <v>0</v>
      </c>
      <c r="BF10" s="7" t="n">
        <v>0</v>
      </c>
      <c r="BG10" s="7" t="n">
        <v>0</v>
      </c>
      <c r="BH10" s="7" t="n">
        <v>0</v>
      </c>
      <c r="BI10" s="7" t="n">
        <v>0</v>
      </c>
      <c r="BJ10" s="7" t="n">
        <v>0</v>
      </c>
      <c r="BK10" s="7" t="n">
        <v>0</v>
      </c>
      <c r="BL10" s="7" t="n">
        <v>0</v>
      </c>
      <c r="BM10" s="7" t="n">
        <v>0</v>
      </c>
      <c r="BN10" s="7" t="n">
        <v>0</v>
      </c>
      <c r="BO10" s="7" t="n">
        <v>0</v>
      </c>
      <c r="BP10" s="7" t="n">
        <v>0</v>
      </c>
      <c r="BQ10" s="7" t="n">
        <v>0</v>
      </c>
      <c r="BR10" s="7" t="n">
        <v>0</v>
      </c>
      <c r="BS10" s="7" t="n">
        <v>0</v>
      </c>
      <c r="BT10" s="7" t="n">
        <v>0</v>
      </c>
      <c r="BU10" s="7" t="n">
        <v>0</v>
      </c>
      <c r="BV10" s="7" t="n">
        <v>0</v>
      </c>
      <c r="BW10" s="7" t="n">
        <v>0</v>
      </c>
      <c r="BX10" s="7" t="n">
        <v>0</v>
      </c>
      <c r="BY10" s="7" t="n">
        <v>0</v>
      </c>
      <c r="BZ10" s="7" t="n">
        <v>0</v>
      </c>
      <c r="CA10" s="7" t="n">
        <v>0</v>
      </c>
      <c r="CB10" s="7" t="n">
        <v>0</v>
      </c>
      <c r="CC10" s="7" t="n">
        <v>0</v>
      </c>
      <c r="CD10" s="7" t="n">
        <v>0</v>
      </c>
      <c r="CE10" s="7" t="n">
        <v>0</v>
      </c>
      <c r="CF10" s="7" t="n">
        <v>0</v>
      </c>
      <c r="CG10" s="7" t="n">
        <v>0</v>
      </c>
      <c r="CH10" s="7" t="n">
        <v>0</v>
      </c>
      <c r="CI10" s="7" t="n">
        <v>0</v>
      </c>
      <c r="CJ10" s="7" t="n">
        <v>0</v>
      </c>
      <c r="CK10" s="38">
        <f>VLOOKUP($B10,'abrasion emissions'!$O$7:$R$36,2,FALSE)</f>
        <v>1</v>
      </c>
      <c r="CL10" s="38">
        <f>VLOOKUP($B10,'abrasion emissions'!$O$7:$R$36,3,FALSE)</f>
        <v>0</v>
      </c>
      <c r="CM10" s="38">
        <f>VLOOKUP($B10,'abrasion emissions'!$O$7:$R$36,4,FALSE)</f>
        <v>0</v>
      </c>
      <c r="CN10" s="7">
        <f>((SUMIFS('abrasion emissions'!$M$7:$M$34,'abrasion emissions'!$I$7:$I$34,"PM 2.5",'abrasion emissions'!$J$7:$J$34,"urban",'abrasion emissions'!$K$7:$K$34,"Tyre",'abrasion emissions'!$L$7:$L$34,"b")*POWER(('vehicles specifications'!$Q10/1000),(1/SUMIFS('abrasion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specifications'!$P10/1000),(1/SUMIFS('abrasion emissions'!$M$7:$M$34,'abrasion emissions'!$I$7:$I$34,"PM 10",'abrasion emissions'!$J$7:$J$34,"urban",'abrasion emissions'!$K$7:$K$34,"Tyre",'abrasion emissions'!$L$7:$L$34,"c")))))/1000000</f>
        <v>3.6933752801706036E-6</v>
      </c>
      <c r="CO10" s="7">
        <f>((SUMIFS('abrasion emissions'!$M$7:$M$34,'abrasion emissions'!$I$7:$I$34,"PM 2.5",'abrasion emissions'!$J$7:$J$34,"rural",'abrasion emissions'!$K$7:$K$34,"Tyre",'abrasion emissions'!$L$7:$L$34,"b")*POWER(('vehicles specifications'!$Q10/1000),(1/SUMIFS('abrasion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specifications'!$P10/1000),(1/SUMIFS('abrasion emissions'!$M$7:$M$34,'abrasion emissions'!$I$7:$I$34,"PM 10",'abrasion emissions'!$J$7:$J$34,"rural",'abrasion emissions'!$K$7:$K$34,"Tyre",'abrasion emissions'!$L$7:$L$34,"c")))))/1000000</f>
        <v>2.8786830097923614E-6</v>
      </c>
      <c r="CP10" s="7">
        <f>((SUMIFS('abrasion emissions'!$M$7:$M$34,'abrasion emissions'!$I$7:$I$34,"PM 2.5",'abrasion emissions'!$J$7:$J$34,"motorway",'abrasion emissions'!$K$7:$K$34,"Tyre",'abrasion emissions'!$L$7:$L$34,"b")*POWER(('vehicles specifications'!$Q10/1000),(1/SUMIFS('abrasion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specifications'!$P10/1000),(1/SUMIFS('abrasion emissions'!$M$7:$M$34,'abrasion emissions'!$I$7:$I$34,"PM 10",'abrasion emissions'!$J$7:$J$34,"motorway",'abrasion emissions'!$K$7:$K$34,"Tyre",'abrasion emissions'!$L$7:$L$34,"c")))))/1000000</f>
        <v>2.4639729853317622E-6</v>
      </c>
      <c r="CQ10" s="7">
        <f>((SUMIFS('abrasion emissions'!$M$7:$M$34,'abrasion emissions'!$I$7:$I$34,"PM 2.5",'abrasion emissions'!$J$7:$J$34,"urban",'abrasion emissions'!$K$7:$K$34,"Brake",'abrasion emissions'!$L$7:$L$34,"b")*POWER(('vehicles specifications'!$Q10/1000),(1/SUMIFS('abrasion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specifications'!$P10/1000),(1/SUMIFS('abrasion emissions'!$M$7:$M$34,'abrasion emissions'!$I$7:$I$34,"PM 10",'abrasion emissions'!$J$7:$J$34,"urban",'abrasion emissions'!$K$7:$K$34,"Brake",'abrasion emissions'!$L$7:$L$34,"c")))))/1000000</f>
        <v>3.4597561127784601E-6</v>
      </c>
      <c r="CR10" s="7">
        <f>((SUMIFS('abrasion emissions'!$M$7:$M$34,'abrasion emissions'!$I$7:$I$34,"PM 2.5",'abrasion emissions'!$J$7:$J$34,"rural",'abrasion emissions'!$K$7:$K$34,"Brake",'abrasion emissions'!$L$7:$L$34,"b")*POWER(('vehicles specifications'!$Q10/1000),(1/SUMIFS('abrasion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specifications'!$P10/1000),(1/SUMIFS('abrasion emissions'!$M$7:$M$34,'abrasion emissions'!$I$7:$I$34,"PM 10",'abrasion emissions'!$J$7:$J$34,"rural",'abrasion emissions'!$K$7:$K$34,"Brake",'abrasion emissions'!$L$7:$L$34,"c")))))/1000000</f>
        <v>9.8040366634141328E-7</v>
      </c>
      <c r="CS10" s="7">
        <f>((SUMIFS('abrasion emissions'!$M$7:$M$34,'abrasion emissions'!$I$7:$I$34,"PM 2.5",'abrasion emissions'!$J$7:$J$34,"motorway",'abrasion emissions'!$K$7:$K$34,"Brake",'abrasion emissions'!$L$7:$L$34,"b")*POWER(('vehicles specifications'!$Q10/1000),(1/SUMIFS('abrasion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specifications'!$P10/1000),(1/SUMIFS('abrasion emissions'!$M$7:$M$34,'abrasion emissions'!$I$7:$I$34,"PM 10",'abrasion emissions'!$J$7:$J$34,"motorway",'abrasion emissions'!$K$7:$K$34,"Brake",'abrasion emissions'!$L$7:$L$34,"c")))))/1000000</f>
        <v>1.6662576108627481E-7</v>
      </c>
      <c r="CT10" s="7">
        <f>((SUMIFS('abrasion emissions'!$M$7:$M$38,'abrasion emissions'!$I$7:$I$38,"PM 2.5",'abrasion emissions'!$K$7:$K$38,"Re-susp.",'abrasion emissions'!$L$7:$L$38,"b")*POWER(('vehicles specifications'!$Q10/1000),(1/SUMIFS('abrasion emissions'!$M$7:$M$38,'abrasion emissions'!$I$7:$I$38,"PM 2.5",'abrasion emissions'!$K$7:$K$38,"Re-susp.",'abrasion emissions'!$L$7:$L$38,"c"))))+
(SUMIFS('abrasion emissions'!$M$7:$M$38,'abrasion emissions'!$I$7:$I$38,"PM 10",'abrasion emissions'!$K$7:$K$38,"Re-susp.",'abrasion emissions'!$L$7:$L$38,"b")*POWER(('vehicles specifications'!$Q10/1000),(1/SUMIFS('abrasion emissions'!$M$7:$M$38,'abrasion emissions'!$I$7:$I$38,"PM 10",'abrasion emissions'!$K$7:$K$38,"Re-susp.",'abrasion emissions'!$L$7:$L$38,"c")))))/1000000</f>
        <v>1.7853455702009222E-6</v>
      </c>
      <c r="CU10" s="7">
        <f>((SUMIFS('abrasion emissions'!$M$7:$M$38,'abrasion emissions'!$I$7:$I$38,"PM 2.5",'abrasion emissions'!$K$7:$K$38,"Road",'abrasion emissions'!$L$7:$L$38,"b")*POWER(('vehicles specifications'!$Q10/1000),(1/SUMIFS('abrasion emissions'!$M$7:$M$38,'abrasion emissions'!$I$7:$I$38,"PM 2.5",'abrasion emissions'!$K$7:$K$38,"Road",'abrasion emissions'!$L$7:$L$38,"c"))))+
(SUMIFS('abrasion emissions'!$M$7:$M$38,'abrasion emissions'!$I$7:$I$38,"PM 10",'abrasion emissions'!$K$7:$K$38,"Road",'abrasion emissions'!$L$7:$L$38,"b")*POWER(('vehicles specifications'!$Q10/1000),(1/SUMIFS('abrasion emissions'!$M$7:$M$38,'abrasion emissions'!$I$7:$I$38,"PM 10",'abrasion emissions'!$K$7:$K$38,"Road",'abrasion emissions'!$L$7:$L$38,"c")))))/1000000+CT10</f>
        <v>3.7912536578981403E-6</v>
      </c>
      <c r="CV10" s="7">
        <f>(CK10*CN10)+(CL10*CO10)+(CM10*CP10)</f>
        <v>3.6933752801706036E-6</v>
      </c>
      <c r="CW10" s="7">
        <f>(CK10*CQ10)+(CL10*CR10)+(CM10*CS10)</f>
        <v>3.4597561127784601E-6</v>
      </c>
    </row>
    <row r="11">
      <c r="A11" t="str">
        <f>B11&amp;" - "&amp;D11&amp;" - "&amp;IF(I11&lt;&gt;"",I11&amp;" - "&amp;E11,E11)</f>
        <v>Kick Scooter, battery electric, &lt;1kW - 2020 - NCA - CH</v>
      </c>
      <c r="B11" t="inlineStr">
        <is>
          <t>Kick Scooter, battery electric, &lt;1kW</t>
        </is>
      </c>
      <c r="D11" s="18" t="n">
        <v>2020</v>
      </c>
      <c r="E11" t="inlineStr">
        <is>
          <t>CH</t>
        </is>
      </c>
      <c r="F11" t="inlineStr">
        <is>
          <t>None</t>
        </is>
      </c>
      <c r="G11" t="inlineStr">
        <is>
          <t>vkm</t>
        </is>
      </c>
      <c r="H11" t="inlineStr">
        <is>
          <t>BEV</t>
        </is>
      </c>
      <c r="I11" t="inlineStr">
        <is>
          <t>NCA</t>
        </is>
      </c>
      <c r="J11" t="n">
        <v>1785</v>
      </c>
      <c r="K11" t="n">
        <v>890</v>
      </c>
      <c r="L11" s="2">
        <f>J11/K11</f>
        <v>2.00561797752809</v>
      </c>
      <c r="M11" t="n">
        <v>1</v>
      </c>
      <c r="N11" t="n">
        <v>75</v>
      </c>
      <c r="O11" t="n">
        <v>0</v>
      </c>
      <c r="P11" s="2">
        <f>SUM(U11,V11,W11,AC11,AF11,AH11)</f>
        <v>11.413043478260869</v>
      </c>
      <c r="Q11" s="2">
        <f>P11+(M11*N11)+O11</f>
        <v>86.413043478260875</v>
      </c>
      <c r="R11" t="n">
        <v>0.25</v>
      </c>
      <c r="S11" s="2" t="n">
        <v>7</v>
      </c>
      <c r="T11" s="1" t="n">
        <v>0</v>
      </c>
      <c r="U11" s="2">
        <f>S11*(1-T11)</f>
        <v>7</v>
      </c>
      <c r="V11" t="n">
        <v>0</v>
      </c>
      <c r="W11" t="n">
        <v>3</v>
      </c>
      <c r="X11" s="6" t="n">
        <v>0.25</v>
      </c>
      <c r="Y11" s="1" t="n">
        <v>0.8</v>
      </c>
      <c r="Z11" s="3">
        <f>Y11*X11</f>
        <v>0.2</v>
      </c>
      <c r="AA11" s="3">
        <f>IF(I11&lt;&gt;"",X11/INDEX('energy battery'!$B$3:$D$6,MATCH('vehicles specifications'!$D11,'energy battery'!$A$3:$A$6,0),MATCH('vehicles specifications'!$I11,'energy battery'!$B$2:$D$2,0)),"")</f>
        <v>1.0869565217391304</v>
      </c>
      <c r="AB11" s="3">
        <f>IF(AA11&lt;&gt;"",0.3*AA11,"")</f>
        <v>0.32608695652173908</v>
      </c>
      <c r="AC11" s="3">
        <f>IF(AA11&lt;&gt;"",AB11+AA11,"")</f>
        <v>1.4130434782608694</v>
      </c>
      <c r="AD11" t="n">
        <v>0</v>
      </c>
      <c r="AE11" t="n">
        <v>0</v>
      </c>
      <c r="AF11" t="n">
        <v>0</v>
      </c>
      <c r="AG11" t="n">
        <v>0</v>
      </c>
      <c r="AH11" t="n">
        <v>0</v>
      </c>
      <c r="AI11" t="n">
        <v>0.5</v>
      </c>
      <c r="AJ11" t="n">
        <v>1</v>
      </c>
      <c r="AK11" t="n">
        <v>0</v>
      </c>
      <c r="AL11">
        <f>0.000537/1000*Q11</f>
        <v>4.6403804347826093E-5</v>
      </c>
      <c r="AM11" t="n">
        <v>0</v>
      </c>
      <c r="AN11" s="2">
        <f>U11</f>
        <v>7</v>
      </c>
      <c r="AO11" s="2">
        <f>SUM(V11:W11)</f>
        <v>3</v>
      </c>
      <c r="AP11" s="2">
        <f>AC11</f>
        <v>1.4130434782608694</v>
      </c>
      <c r="AQ11" s="6" t="inlineStr"/>
      <c r="AR11" s="20" t="n"/>
      <c r="AS11" s="5" t="n">
        <v>0.08612632755729459</v>
      </c>
      <c r="AT11" s="2">
        <f>SUM(Z11,AG11)/(SUM(AQ11,AS11)/3.6)</f>
        <v>8.3598130841121492</v>
      </c>
      <c r="AU11" s="5" t="n">
        <v>0</v>
      </c>
      <c r="AV11" s="5" t="n">
        <v>0</v>
      </c>
      <c r="AW11" s="7" t="n">
        <v>0</v>
      </c>
      <c r="AX11" s="7" t="n">
        <v>0</v>
      </c>
      <c r="AY11" s="7" t="n">
        <v>0</v>
      </c>
      <c r="AZ11" s="7" t="n">
        <v>0</v>
      </c>
      <c r="BA11" s="7" t="n">
        <v>0</v>
      </c>
      <c r="BB11" s="7" t="n">
        <v>0</v>
      </c>
      <c r="BC11" s="7" t="n">
        <v>0</v>
      </c>
      <c r="BD11" s="7" t="n">
        <v>0</v>
      </c>
      <c r="BE11" s="7" t="n">
        <v>0</v>
      </c>
      <c r="BF11" s="7" t="n">
        <v>0</v>
      </c>
      <c r="BG11" s="7" t="n">
        <v>0</v>
      </c>
      <c r="BH11" s="7" t="n">
        <v>0</v>
      </c>
      <c r="BI11" s="7" t="n">
        <v>0</v>
      </c>
      <c r="BJ11" s="7" t="n">
        <v>0</v>
      </c>
      <c r="BK11" s="7" t="n">
        <v>0</v>
      </c>
      <c r="BL11" s="7" t="n">
        <v>0</v>
      </c>
      <c r="BM11" s="7" t="n">
        <v>0</v>
      </c>
      <c r="BN11" s="7" t="n">
        <v>0</v>
      </c>
      <c r="BO11" s="7" t="n">
        <v>0</v>
      </c>
      <c r="BP11" s="7" t="n">
        <v>0</v>
      </c>
      <c r="BQ11" s="7" t="n">
        <v>0</v>
      </c>
      <c r="BR11" s="7" t="n">
        <v>0</v>
      </c>
      <c r="BS11" s="7" t="n">
        <v>0</v>
      </c>
      <c r="BT11" s="7" t="n">
        <v>0</v>
      </c>
      <c r="BU11" s="7" t="n">
        <v>0</v>
      </c>
      <c r="BV11" s="7" t="n">
        <v>0</v>
      </c>
      <c r="BW11" s="7" t="n">
        <v>0</v>
      </c>
      <c r="BX11" s="7" t="n">
        <v>0</v>
      </c>
      <c r="BY11" s="7" t="n">
        <v>0</v>
      </c>
      <c r="BZ11" s="7" t="n">
        <v>0</v>
      </c>
      <c r="CA11" s="7" t="n">
        <v>0</v>
      </c>
      <c r="CB11" s="7" t="n">
        <v>0</v>
      </c>
      <c r="CC11" s="7" t="n">
        <v>0</v>
      </c>
      <c r="CD11" s="7" t="n">
        <v>0</v>
      </c>
      <c r="CE11" s="7" t="n">
        <v>0</v>
      </c>
      <c r="CF11" s="7" t="n">
        <v>0</v>
      </c>
      <c r="CG11" s="7" t="n">
        <v>0</v>
      </c>
      <c r="CH11" s="7" t="n">
        <v>0</v>
      </c>
      <c r="CI11" s="7" t="n">
        <v>0</v>
      </c>
      <c r="CJ11" s="7" t="n">
        <v>0</v>
      </c>
      <c r="CK11" s="38">
        <f>VLOOKUP($B11,'abrasion emissions'!$O$7:$R$36,2,FALSE)</f>
        <v>1</v>
      </c>
      <c r="CL11" s="38">
        <f>VLOOKUP($B11,'abrasion emissions'!$O$7:$R$36,3,FALSE)</f>
        <v>0</v>
      </c>
      <c r="CM11" s="38">
        <f>VLOOKUP($B11,'abrasion emissions'!$O$7:$R$36,4,FALSE)</f>
        <v>0</v>
      </c>
      <c r="CN11" s="7">
        <f>((SUMIFS('abrasion emissions'!$M$7:$M$34,'abrasion emissions'!$I$7:$I$34,"PM 2.5",'abrasion emissions'!$J$7:$J$34,"urban",'abrasion emissions'!$K$7:$K$34,"Tyre",'abrasion emissions'!$L$7:$L$34,"b")*POWER(('vehicles specifications'!$Q11/1000),(1/SUMIFS('abrasion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specifications'!$P11/1000),(1/SUMIFS('abrasion emissions'!$M$7:$M$34,'abrasion emissions'!$I$7:$I$34,"PM 10",'abrasion emissions'!$J$7:$J$34,"urban",'abrasion emissions'!$K$7:$K$34,"Tyre",'abrasion emissions'!$L$7:$L$34,"c")))))/1000000</f>
        <v>3.6573610586125064E-6</v>
      </c>
      <c r="CO11" s="7">
        <f>((SUMIFS('abrasion emissions'!$M$7:$M$34,'abrasion emissions'!$I$7:$I$34,"PM 2.5",'abrasion emissions'!$J$7:$J$34,"rural",'abrasion emissions'!$K$7:$K$34,"Tyre",'abrasion emissions'!$L$7:$L$34,"b")*POWER(('vehicles specifications'!$Q11/1000),(1/SUMIFS('abrasion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specifications'!$P11/1000),(1/SUMIFS('abrasion emissions'!$M$7:$M$34,'abrasion emissions'!$I$7:$I$34,"PM 10",'abrasion emissions'!$J$7:$J$34,"rural",'abrasion emissions'!$K$7:$K$34,"Tyre",'abrasion emissions'!$L$7:$L$34,"c")))))/1000000</f>
        <v>2.8506886250013508E-6</v>
      </c>
      <c r="CP11" s="7">
        <f>((SUMIFS('abrasion emissions'!$M$7:$M$34,'abrasion emissions'!$I$7:$I$34,"PM 2.5",'abrasion emissions'!$J$7:$J$34,"motorway",'abrasion emissions'!$K$7:$K$34,"Tyre",'abrasion emissions'!$L$7:$L$34,"b")*POWER(('vehicles specifications'!$Q11/1000),(1/SUMIFS('abrasion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specifications'!$P11/1000),(1/SUMIFS('abrasion emissions'!$M$7:$M$34,'abrasion emissions'!$I$7:$I$34,"PM 10",'abrasion emissions'!$J$7:$J$34,"motorway",'abrasion emissions'!$K$7:$K$34,"Tyre",'abrasion emissions'!$L$7:$L$34,"c")))))/1000000</f>
        <v>2.4402014877164636E-6</v>
      </c>
      <c r="CQ11" s="7">
        <f>((SUMIFS('abrasion emissions'!$M$7:$M$34,'abrasion emissions'!$I$7:$I$34,"PM 2.5",'abrasion emissions'!$J$7:$J$34,"urban",'abrasion emissions'!$K$7:$K$34,"Brake",'abrasion emissions'!$L$7:$L$34,"b")*POWER(('vehicles specifications'!$Q11/1000),(1/SUMIFS('abrasion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specifications'!$P11/1000),(1/SUMIFS('abrasion emissions'!$M$7:$M$34,'abrasion emissions'!$I$7:$I$34,"PM 10",'abrasion emissions'!$J$7:$J$34,"urban",'abrasion emissions'!$K$7:$K$34,"Brake",'abrasion emissions'!$L$7:$L$34,"c")))))/1000000</f>
        <v>3.4306471120280207E-6</v>
      </c>
      <c r="CR11" s="7">
        <f>((SUMIFS('abrasion emissions'!$M$7:$M$34,'abrasion emissions'!$I$7:$I$34,"PM 2.5",'abrasion emissions'!$J$7:$J$34,"rural",'abrasion emissions'!$K$7:$K$34,"Brake",'abrasion emissions'!$L$7:$L$34,"b")*POWER(('vehicles specifications'!$Q11/1000),(1/SUMIFS('abrasion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specifications'!$P11/1000),(1/SUMIFS('abrasion emissions'!$M$7:$M$34,'abrasion emissions'!$I$7:$I$34,"PM 10",'abrasion emissions'!$J$7:$J$34,"rural",'abrasion emissions'!$K$7:$K$34,"Brake",'abrasion emissions'!$L$7:$L$34,"c")))))/1000000</f>
        <v>9.708043451989823E-7</v>
      </c>
      <c r="CS11" s="7">
        <f>((SUMIFS('abrasion emissions'!$M$7:$M$34,'abrasion emissions'!$I$7:$I$34,"PM 2.5",'abrasion emissions'!$J$7:$J$34,"motorway",'abrasion emissions'!$K$7:$K$34,"Brake",'abrasion emissions'!$L$7:$L$34,"b")*POWER(('vehicles specifications'!$Q11/1000),(1/SUMIFS('abrasion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specifications'!$P11/1000),(1/SUMIFS('abrasion emissions'!$M$7:$M$34,'abrasion emissions'!$I$7:$I$34,"PM 10",'abrasion emissions'!$J$7:$J$34,"motorway",'abrasion emissions'!$K$7:$K$34,"Brake",'abrasion emissions'!$L$7:$L$34,"c")))))/1000000</f>
        <v>1.6486520597098046E-7</v>
      </c>
      <c r="CT11" s="7">
        <f>((SUMIFS('abrasion emissions'!$M$7:$M$38,'abrasion emissions'!$I$7:$I$38,"PM 2.5",'abrasion emissions'!$K$7:$K$38,"Re-susp.",'abrasion emissions'!$L$7:$L$38,"b")*POWER(('vehicles specifications'!$Q11/1000),(1/SUMIFS('abrasion emissions'!$M$7:$M$38,'abrasion emissions'!$I$7:$I$38,"PM 2.5",'abrasion emissions'!$K$7:$K$38,"Re-susp.",'abrasion emissions'!$L$7:$L$38,"c"))))+
(SUMIFS('abrasion emissions'!$M$7:$M$38,'abrasion emissions'!$I$7:$I$38,"PM 10",'abrasion emissions'!$K$7:$K$38,"Re-susp.",'abrasion emissions'!$L$7:$L$38,"b")*POWER(('vehicles specifications'!$Q11/1000),(1/SUMIFS('abrasion emissions'!$M$7:$M$38,'abrasion emissions'!$I$7:$I$38,"PM 10",'abrasion emissions'!$K$7:$K$38,"Re-susp.",'abrasion emissions'!$L$7:$L$38,"c")))))/1000000</f>
        <v>1.770507449158726E-6</v>
      </c>
      <c r="CU11" s="7">
        <f>((SUMIFS('abrasion emissions'!$M$7:$M$38,'abrasion emissions'!$I$7:$I$38,"PM 2.5",'abrasion emissions'!$K$7:$K$38,"Road",'abrasion emissions'!$L$7:$L$38,"b")*POWER(('vehicles specifications'!$Q11/1000),(1/SUMIFS('abrasion emissions'!$M$7:$M$38,'abrasion emissions'!$I$7:$I$38,"PM 2.5",'abrasion emissions'!$K$7:$K$38,"Road",'abrasion emissions'!$L$7:$L$38,"c"))))+
(SUMIFS('abrasion emissions'!$M$7:$M$38,'abrasion emissions'!$I$7:$I$38,"PM 10",'abrasion emissions'!$K$7:$K$38,"Road",'abrasion emissions'!$L$7:$L$38,"b")*POWER(('vehicles specifications'!$Q11/1000),(1/SUMIFS('abrasion emissions'!$M$7:$M$38,'abrasion emissions'!$I$7:$I$38,"PM 10",'abrasion emissions'!$K$7:$K$38,"Road",'abrasion emissions'!$L$7:$L$38,"c")))))/1000000+CT11</f>
        <v>3.7641763726055982E-6</v>
      </c>
      <c r="CV11" s="7">
        <f>(CK11*CN11)+(CL11*CO11)+(CM11*CP11)</f>
        <v>3.6573610586125064E-6</v>
      </c>
      <c r="CW11" s="7">
        <f>(CK11*CQ11)+(CL11*CR11)+(CM11*CS11)</f>
        <v>3.4306471120280207E-6</v>
      </c>
    </row>
    <row r="12">
      <c r="A12" t="str">
        <f>B12&amp;" - "&amp;D12&amp;" - "&amp;IF(I12&lt;&gt;"",I12&amp;" - "&amp;E12,E12)</f>
        <v>Kick Scooter, battery electric, &lt;1kW - 2030 - NCA - CH</v>
      </c>
      <c r="B12" t="inlineStr">
        <is>
          <t>Kick Scooter, battery electric, &lt;1kW</t>
        </is>
      </c>
      <c r="D12" s="18" t="n">
        <v>2030</v>
      </c>
      <c r="E12" t="inlineStr">
        <is>
          <t>CH</t>
        </is>
      </c>
      <c r="F12" t="inlineStr">
        <is>
          <t>None</t>
        </is>
      </c>
      <c r="G12" t="inlineStr">
        <is>
          <t>vkm</t>
        </is>
      </c>
      <c r="H12" t="inlineStr">
        <is>
          <t>BEV</t>
        </is>
      </c>
      <c r="I12" t="inlineStr">
        <is>
          <t>NCA</t>
        </is>
      </c>
      <c r="J12" t="n">
        <v>1785</v>
      </c>
      <c r="K12" t="n">
        <v>890</v>
      </c>
      <c r="L12" s="2">
        <f>J12/K12</f>
        <v>2.00561797752809</v>
      </c>
      <c r="M12" t="n">
        <v>1</v>
      </c>
      <c r="N12" t="n">
        <v>75</v>
      </c>
      <c r="O12" t="n">
        <v>0</v>
      </c>
      <c r="P12" s="2">
        <f>SUM(U12,V12,W12,AC12,AF12,AH12)</f>
        <v>10.99</v>
      </c>
      <c r="Q12" s="2">
        <f>P12+(M12*N12)+O12</f>
        <v>85.99</v>
      </c>
      <c r="R12" t="n">
        <v>0.25</v>
      </c>
      <c r="S12" s="2" t="n">
        <v>7</v>
      </c>
      <c r="T12" s="1" t="n">
        <v>0.03</v>
      </c>
      <c r="U12" s="2">
        <f>S12*(1-T12)</f>
        <v>6.79</v>
      </c>
      <c r="V12" t="n">
        <v>0</v>
      </c>
      <c r="W12" t="n">
        <v>2.9</v>
      </c>
      <c r="X12" s="6" t="n">
        <v>0.3</v>
      </c>
      <c r="Y12" s="1" t="n">
        <v>0.8</v>
      </c>
      <c r="Z12" s="3">
        <f>Y12*X12</f>
        <v>0.24</v>
      </c>
      <c r="AA12" s="3">
        <f>IF(I12&lt;&gt;"",X12/INDEX('energy battery'!$B$3:$D$6,MATCH('vehicles specifications'!$D12,'energy battery'!$A$3:$A$6,0),MATCH('vehicles specifications'!$I12,'energy battery'!$B$2:$D$2,0)),"")</f>
        <v>1</v>
      </c>
      <c r="AB12" s="3">
        <f>IF(AA12&lt;&gt;"",0.3*AA12,"")</f>
        <v>0.3</v>
      </c>
      <c r="AC12" s="3">
        <f>IF(AA12&lt;&gt;"",AB12+AA12,"")</f>
        <v>1.3</v>
      </c>
      <c r="AD12" t="n">
        <v>0</v>
      </c>
      <c r="AE12" t="n">
        <v>0</v>
      </c>
      <c r="AF12" t="n">
        <v>0</v>
      </c>
      <c r="AG12" t="n">
        <v>0</v>
      </c>
      <c r="AH12" t="n">
        <v>0</v>
      </c>
      <c r="AI12" t="n">
        <v>0.5</v>
      </c>
      <c r="AJ12" t="n">
        <v>1</v>
      </c>
      <c r="AK12" t="n">
        <v>0</v>
      </c>
      <c r="AL12">
        <f>0.000537/1000*Q12</f>
        <v>4.6176629999999996E-5</v>
      </c>
      <c r="AM12" t="n">
        <v>0</v>
      </c>
      <c r="AN12" s="2">
        <f>U12</f>
        <v>6.79</v>
      </c>
      <c r="AO12" s="2">
        <f>SUM(V12:W12)</f>
        <v>2.9</v>
      </c>
      <c r="AP12" s="2">
        <f>AC12</f>
        <v>1.3</v>
      </c>
      <c r="AQ12" s="6" t="inlineStr"/>
      <c r="AR12" s="20" t="n"/>
      <c r="AS12" s="5" t="n">
        <v>0.08612632755729459</v>
      </c>
      <c r="AT12" s="2">
        <f>SUM(Z12,AG12)/(SUM(AQ12,AS12)/3.6)</f>
        <v>10.031775700934579</v>
      </c>
      <c r="AU12" s="5" t="n">
        <v>0</v>
      </c>
      <c r="AV12" s="5" t="n">
        <v>0</v>
      </c>
      <c r="AW12" s="7" t="n">
        <v>0</v>
      </c>
      <c r="AX12" s="7" t="n">
        <v>0</v>
      </c>
      <c r="AY12" s="7" t="n">
        <v>0</v>
      </c>
      <c r="AZ12" s="7" t="n">
        <v>0</v>
      </c>
      <c r="BA12" s="7" t="n">
        <v>0</v>
      </c>
      <c r="BB12" s="7" t="n">
        <v>0</v>
      </c>
      <c r="BC12" s="7" t="n">
        <v>0</v>
      </c>
      <c r="BD12" s="7" t="n">
        <v>0</v>
      </c>
      <c r="BE12" s="7" t="n">
        <v>0</v>
      </c>
      <c r="BF12" s="7" t="n">
        <v>0</v>
      </c>
      <c r="BG12" s="7" t="n">
        <v>0</v>
      </c>
      <c r="BH12" s="7" t="n">
        <v>0</v>
      </c>
      <c r="BI12" s="7" t="n">
        <v>0</v>
      </c>
      <c r="BJ12" s="7" t="n">
        <v>0</v>
      </c>
      <c r="BK12" s="7" t="n">
        <v>0</v>
      </c>
      <c r="BL12" s="7" t="n">
        <v>0</v>
      </c>
      <c r="BM12" s="7" t="n">
        <v>0</v>
      </c>
      <c r="BN12" s="7" t="n">
        <v>0</v>
      </c>
      <c r="BO12" s="7" t="n">
        <v>0</v>
      </c>
      <c r="BP12" s="7" t="n">
        <v>0</v>
      </c>
      <c r="BQ12" s="7" t="n">
        <v>0</v>
      </c>
      <c r="BR12" s="7" t="n">
        <v>0</v>
      </c>
      <c r="BS12" s="7" t="n">
        <v>0</v>
      </c>
      <c r="BT12" s="7" t="n">
        <v>0</v>
      </c>
      <c r="BU12" s="7" t="n">
        <v>0</v>
      </c>
      <c r="BV12" s="7" t="n">
        <v>0</v>
      </c>
      <c r="BW12" s="7" t="n">
        <v>0</v>
      </c>
      <c r="BX12" s="7" t="n">
        <v>0</v>
      </c>
      <c r="BY12" s="7" t="n">
        <v>0</v>
      </c>
      <c r="BZ12" s="7" t="n">
        <v>0</v>
      </c>
      <c r="CA12" s="7" t="n">
        <v>0</v>
      </c>
      <c r="CB12" s="7" t="n">
        <v>0</v>
      </c>
      <c r="CC12" s="7" t="n">
        <v>0</v>
      </c>
      <c r="CD12" s="7" t="n">
        <v>0</v>
      </c>
      <c r="CE12" s="7" t="n">
        <v>0</v>
      </c>
      <c r="CF12" s="7" t="n">
        <v>0</v>
      </c>
      <c r="CG12" s="7" t="n">
        <v>0</v>
      </c>
      <c r="CH12" s="7" t="n">
        <v>0</v>
      </c>
      <c r="CI12" s="7" t="n">
        <v>0</v>
      </c>
      <c r="CJ12" s="7" t="n">
        <v>0</v>
      </c>
      <c r="CK12" s="38">
        <f>VLOOKUP($B12,'abrasion emissions'!$O$7:$R$36,2,FALSE)</f>
        <v>1</v>
      </c>
      <c r="CL12" s="38">
        <f>VLOOKUP($B12,'abrasion emissions'!$O$7:$R$36,3,FALSE)</f>
        <v>0</v>
      </c>
      <c r="CM12" s="38">
        <f>VLOOKUP($B12,'abrasion emissions'!$O$7:$R$36,4,FALSE)</f>
        <v>0</v>
      </c>
      <c r="CN12" s="7">
        <f>((SUMIFS('abrasion emissions'!$M$7:$M$34,'abrasion emissions'!$I$7:$I$34,"PM 2.5",'abrasion emissions'!$J$7:$J$34,"urban",'abrasion emissions'!$K$7:$K$34,"Tyre",'abrasion emissions'!$L$7:$L$34,"b")*POWER(('vehicles specifications'!$Q12/1000),(1/SUMIFS('abrasion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specifications'!$P12/1000),(1/SUMIFS('abrasion emissions'!$M$7:$M$34,'abrasion emissions'!$I$7:$I$34,"PM 10",'abrasion emissions'!$J$7:$J$34,"urban",'abrasion emissions'!$K$7:$K$34,"Tyre",'abrasion emissions'!$L$7:$L$34,"c")))))/1000000</f>
        <v>3.6378224682804953E-6</v>
      </c>
      <c r="CO12" s="7">
        <f>((SUMIFS('abrasion emissions'!$M$7:$M$34,'abrasion emissions'!$I$7:$I$34,"PM 2.5",'abrasion emissions'!$J$7:$J$34,"rural",'abrasion emissions'!$K$7:$K$34,"Tyre",'abrasion emissions'!$L$7:$L$34,"b")*POWER(('vehicles specifications'!$Q12/1000),(1/SUMIFS('abrasion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specifications'!$P12/1000),(1/SUMIFS('abrasion emissions'!$M$7:$M$34,'abrasion emissions'!$I$7:$I$34,"PM 10",'abrasion emissions'!$J$7:$J$34,"rural",'abrasion emissions'!$K$7:$K$34,"Tyre",'abrasion emissions'!$L$7:$L$34,"c")))))/1000000</f>
        <v>2.835501492280302E-6</v>
      </c>
      <c r="CP12" s="7">
        <f>((SUMIFS('abrasion emissions'!$M$7:$M$34,'abrasion emissions'!$I$7:$I$34,"PM 2.5",'abrasion emissions'!$J$7:$J$34,"motorway",'abrasion emissions'!$K$7:$K$34,"Tyre",'abrasion emissions'!$L$7:$L$34,"b")*POWER(('vehicles specifications'!$Q12/1000),(1/SUMIFS('abrasion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specifications'!$P12/1000),(1/SUMIFS('abrasion emissions'!$M$7:$M$34,'abrasion emissions'!$I$7:$I$34,"PM 10",'abrasion emissions'!$J$7:$J$34,"motorway",'abrasion emissions'!$K$7:$K$34,"Tyre",'abrasion emissions'!$L$7:$L$34,"c")))))/1000000</f>
        <v>2.4273065587582286E-6</v>
      </c>
      <c r="CQ12" s="7">
        <f>((SUMIFS('abrasion emissions'!$M$7:$M$34,'abrasion emissions'!$I$7:$I$34,"PM 2.5",'abrasion emissions'!$J$7:$J$34,"urban",'abrasion emissions'!$K$7:$K$34,"Brake",'abrasion emissions'!$L$7:$L$34,"b")*POWER(('vehicles specifications'!$Q12/1000),(1/SUMIFS('abrasion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specifications'!$P12/1000),(1/SUMIFS('abrasion emissions'!$M$7:$M$34,'abrasion emissions'!$I$7:$I$34,"PM 10",'abrasion emissions'!$J$7:$J$34,"urban",'abrasion emissions'!$K$7:$K$34,"Brake",'abrasion emissions'!$L$7:$L$34,"c")))))/1000000</f>
        <v>3.4149752509675722E-6</v>
      </c>
      <c r="CR12" s="7">
        <f>((SUMIFS('abrasion emissions'!$M$7:$M$34,'abrasion emissions'!$I$7:$I$34,"PM 2.5",'abrasion emissions'!$J$7:$J$34,"rural",'abrasion emissions'!$K$7:$K$34,"Brake",'abrasion emissions'!$L$7:$L$34,"b")*POWER(('vehicles specifications'!$Q12/1000),(1/SUMIFS('abrasion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specifications'!$P12/1000),(1/SUMIFS('abrasion emissions'!$M$7:$M$34,'abrasion emissions'!$I$7:$I$34,"PM 10",'abrasion emissions'!$J$7:$J$34,"rural",'abrasion emissions'!$K$7:$K$34,"Brake",'abrasion emissions'!$L$7:$L$34,"c")))))/1000000</f>
        <v>9.6566243305818366E-7</v>
      </c>
      <c r="CS12" s="7">
        <f>((SUMIFS('abrasion emissions'!$M$7:$M$34,'abrasion emissions'!$I$7:$I$34,"PM 2.5",'abrasion emissions'!$J$7:$J$34,"motorway",'abrasion emissions'!$K$7:$K$34,"Brake",'abrasion emissions'!$L$7:$L$34,"b")*POWER(('vehicles specifications'!$Q12/1000),(1/SUMIFS('abrasion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specifications'!$P12/1000),(1/SUMIFS('abrasion emissions'!$M$7:$M$34,'abrasion emissions'!$I$7:$I$34,"PM 10",'abrasion emissions'!$J$7:$J$34,"motorway",'abrasion emissions'!$K$7:$K$34,"Brake",'abrasion emissions'!$L$7:$L$34,"c")))))/1000000</f>
        <v>1.6392528011531908E-7</v>
      </c>
      <c r="CT12" s="7">
        <f>((SUMIFS('abrasion emissions'!$M$7:$M$38,'abrasion emissions'!$I$7:$I$38,"PM 2.5",'abrasion emissions'!$K$7:$K$38,"Re-susp.",'abrasion emissions'!$L$7:$L$38,"b")*POWER(('vehicles specifications'!$Q12/1000),(1/SUMIFS('abrasion emissions'!$M$7:$M$38,'abrasion emissions'!$I$7:$I$38,"PM 2.5",'abrasion emissions'!$K$7:$K$38,"Re-susp.",'abrasion emissions'!$L$7:$L$38,"c"))))+
(SUMIFS('abrasion emissions'!$M$7:$M$38,'abrasion emissions'!$I$7:$I$38,"PM 10",'abrasion emissions'!$K$7:$K$38,"Re-susp.",'abrasion emissions'!$L$7:$L$38,"b")*POWER(('vehicles specifications'!$Q12/1000),(1/SUMIFS('abrasion emissions'!$M$7:$M$38,'abrasion emissions'!$I$7:$I$38,"PM 10",'abrasion emissions'!$K$7:$K$38,"Re-susp.",'abrasion emissions'!$L$7:$L$38,"c")))))/1000000</f>
        <v>1.7626259727466223E-6</v>
      </c>
      <c r="CU12" s="7">
        <f>((SUMIFS('abrasion emissions'!$M$7:$M$38,'abrasion emissions'!$I$7:$I$38,"PM 2.5",'abrasion emissions'!$K$7:$K$38,"Road",'abrasion emissions'!$L$7:$L$38,"b")*POWER(('vehicles specifications'!$Q12/1000),(1/SUMIFS('abrasion emissions'!$M$7:$M$38,'abrasion emissions'!$I$7:$I$38,"PM 2.5",'abrasion emissions'!$K$7:$K$38,"Road",'abrasion emissions'!$L$7:$L$38,"c"))))+
(SUMIFS('abrasion emissions'!$M$7:$M$38,'abrasion emissions'!$I$7:$I$38,"PM 10",'abrasion emissions'!$K$7:$K$38,"Road",'abrasion emissions'!$L$7:$L$38,"b")*POWER(('vehicles specifications'!$Q12/1000),(1/SUMIFS('abrasion emissions'!$M$7:$M$38,'abrasion emissions'!$I$7:$I$38,"PM 10",'abrasion emissions'!$K$7:$K$38,"Road",'abrasion emissions'!$L$7:$L$38,"c")))))/1000000+CT12</f>
        <v>3.7497827751187205E-6</v>
      </c>
      <c r="CV12" s="7">
        <f>(CK12*CN12)+(CL12*CO12)+(CM12*CP12)</f>
        <v>3.6378224682804953E-6</v>
      </c>
      <c r="CW12" s="7">
        <f>(CK12*CQ12)+(CL12*CR12)+(CM12*CS12)</f>
        <v>3.4149752509675722E-6</v>
      </c>
    </row>
    <row r="13">
      <c r="A13" t="str">
        <f>B13&amp;" - "&amp;D13&amp;" - "&amp;IF(I13&lt;&gt;"",I13&amp;" - "&amp;E13,E13)</f>
        <v>Kick Scooter, battery electric, &lt;1kW - 2040 - NCA - CH</v>
      </c>
      <c r="B13" t="inlineStr">
        <is>
          <t>Kick Scooter, battery electric, &lt;1kW</t>
        </is>
      </c>
      <c r="D13" s="18" t="n">
        <v>2040</v>
      </c>
      <c r="E13" t="inlineStr">
        <is>
          <t>CH</t>
        </is>
      </c>
      <c r="F13" t="inlineStr">
        <is>
          <t>None</t>
        </is>
      </c>
      <c r="G13" t="inlineStr">
        <is>
          <t>vkm</t>
        </is>
      </c>
      <c r="H13" t="inlineStr">
        <is>
          <t>BEV</t>
        </is>
      </c>
      <c r="I13" t="inlineStr">
        <is>
          <t>NCA</t>
        </is>
      </c>
      <c r="J13" t="n">
        <v>1785</v>
      </c>
      <c r="K13" t="n">
        <v>890</v>
      </c>
      <c r="L13" s="2">
        <f>J13/K13</f>
        <v>2.00561797752809</v>
      </c>
      <c r="M13" t="n">
        <v>1</v>
      </c>
      <c r="N13" t="n">
        <v>75</v>
      </c>
      <c r="O13" t="n">
        <v>0</v>
      </c>
      <c r="P13" s="2">
        <f>SUM(U13,V13,W13,AC13,AF13,AH13)</f>
        <v>10.75</v>
      </c>
      <c r="Q13" s="2">
        <f>P13+(M13*N13)+O13</f>
        <v>85.75</v>
      </c>
      <c r="R13" t="n">
        <v>0.25</v>
      </c>
      <c r="S13" s="2" t="n">
        <v>7</v>
      </c>
      <c r="T13" s="1" t="n">
        <v>0.05</v>
      </c>
      <c r="U13" s="2">
        <f>S13*(1-T13)</f>
        <v>6.6499999999999995</v>
      </c>
      <c r="V13" t="n">
        <v>0</v>
      </c>
      <c r="W13" t="n">
        <v>2.8</v>
      </c>
      <c r="X13" s="6" t="n">
        <v>0.4</v>
      </c>
      <c r="Y13" s="1" t="n">
        <v>0.8</v>
      </c>
      <c r="Z13" s="3">
        <f>Y13*X13</f>
        <v>0.32000000000000006</v>
      </c>
      <c r="AA13" s="3">
        <f>IF(I13&lt;&gt;"",X13/INDEX('energy battery'!$B$3:$D$6,MATCH('vehicles specifications'!$D13,'energy battery'!$A$3:$A$6,0),MATCH('vehicles specifications'!$I13,'energy battery'!$B$2:$D$2,0)),"")</f>
        <v>1</v>
      </c>
      <c r="AB13" s="3">
        <f>IF(AA13&lt;&gt;"",0.3*AA13,"")</f>
        <v>0.3</v>
      </c>
      <c r="AC13" s="3">
        <f>IF(AA13&lt;&gt;"",AB13+AA13,"")</f>
        <v>1.3</v>
      </c>
      <c r="AD13" t="n">
        <v>0</v>
      </c>
      <c r="AE13" t="n">
        <v>0</v>
      </c>
      <c r="AF13" t="n">
        <v>0</v>
      </c>
      <c r="AG13" t="n">
        <v>0</v>
      </c>
      <c r="AH13" t="n">
        <v>0</v>
      </c>
      <c r="AI13" t="n">
        <v>0.5</v>
      </c>
      <c r="AJ13" t="n">
        <v>1</v>
      </c>
      <c r="AK13" t="n">
        <v>0</v>
      </c>
      <c r="AL13">
        <f>0.000537/1000*Q13</f>
        <v>4.604775E-5</v>
      </c>
      <c r="AM13" t="n">
        <v>0</v>
      </c>
      <c r="AN13" s="2">
        <f>U13</f>
        <v>6.6499999999999995</v>
      </c>
      <c r="AO13" s="2">
        <f>SUM(V13:W13)</f>
        <v>2.8</v>
      </c>
      <c r="AP13" s="2">
        <f>AC13</f>
        <v>1.3</v>
      </c>
      <c r="AQ13" s="6" t="inlineStr"/>
      <c r="AR13" s="20" t="n"/>
      <c r="AS13" s="5" t="n">
        <v>0.08612632755729459</v>
      </c>
      <c r="AT13" s="2">
        <f>SUM(Z13,AG13)/(SUM(AQ13,AS13)/3.6)</f>
        <v>13.375700934579442</v>
      </c>
      <c r="AU13" s="5" t="n">
        <v>0</v>
      </c>
      <c r="AV13" s="5" t="n">
        <v>0</v>
      </c>
      <c r="AW13" s="7" t="n">
        <v>0</v>
      </c>
      <c r="AX13" s="7" t="n">
        <v>0</v>
      </c>
      <c r="AY13" s="7" t="n">
        <v>0</v>
      </c>
      <c r="AZ13" s="7" t="n">
        <v>0</v>
      </c>
      <c r="BA13" s="7" t="n">
        <v>0</v>
      </c>
      <c r="BB13" s="7" t="n">
        <v>0</v>
      </c>
      <c r="BC13" s="7" t="n">
        <v>0</v>
      </c>
      <c r="BD13" s="7" t="n">
        <v>0</v>
      </c>
      <c r="BE13" s="7" t="n">
        <v>0</v>
      </c>
      <c r="BF13" s="7" t="n">
        <v>0</v>
      </c>
      <c r="BG13" s="7" t="n">
        <v>0</v>
      </c>
      <c r="BH13" s="7" t="n">
        <v>0</v>
      </c>
      <c r="BI13" s="7" t="n">
        <v>0</v>
      </c>
      <c r="BJ13" s="7" t="n">
        <v>0</v>
      </c>
      <c r="BK13" s="7" t="n">
        <v>0</v>
      </c>
      <c r="BL13" s="7" t="n">
        <v>0</v>
      </c>
      <c r="BM13" s="7" t="n">
        <v>0</v>
      </c>
      <c r="BN13" s="7" t="n">
        <v>0</v>
      </c>
      <c r="BO13" s="7" t="n">
        <v>0</v>
      </c>
      <c r="BP13" s="7" t="n">
        <v>0</v>
      </c>
      <c r="BQ13" s="7" t="n">
        <v>0</v>
      </c>
      <c r="BR13" s="7" t="n">
        <v>0</v>
      </c>
      <c r="BS13" s="7" t="n">
        <v>0</v>
      </c>
      <c r="BT13" s="7" t="n">
        <v>0</v>
      </c>
      <c r="BU13" s="7" t="n">
        <v>0</v>
      </c>
      <c r="BV13" s="7" t="n">
        <v>0</v>
      </c>
      <c r="BW13" s="7" t="n">
        <v>0</v>
      </c>
      <c r="BX13" s="7" t="n">
        <v>0</v>
      </c>
      <c r="BY13" s="7" t="n">
        <v>0</v>
      </c>
      <c r="BZ13" s="7" t="n">
        <v>0</v>
      </c>
      <c r="CA13" s="7" t="n">
        <v>0</v>
      </c>
      <c r="CB13" s="7" t="n">
        <v>0</v>
      </c>
      <c r="CC13" s="7" t="n">
        <v>0</v>
      </c>
      <c r="CD13" s="7" t="n">
        <v>0</v>
      </c>
      <c r="CE13" s="7" t="n">
        <v>0</v>
      </c>
      <c r="CF13" s="7" t="n">
        <v>0</v>
      </c>
      <c r="CG13" s="7" t="n">
        <v>0</v>
      </c>
      <c r="CH13" s="7" t="n">
        <v>0</v>
      </c>
      <c r="CI13" s="7" t="n">
        <v>0</v>
      </c>
      <c r="CJ13" s="7" t="n">
        <v>0</v>
      </c>
      <c r="CK13" s="38">
        <f>VLOOKUP($B13,'abrasion emissions'!$O$7:$R$36,2,FALSE)</f>
        <v>1</v>
      </c>
      <c r="CL13" s="38">
        <f>VLOOKUP($B13,'abrasion emissions'!$O$7:$R$36,3,FALSE)</f>
        <v>0</v>
      </c>
      <c r="CM13" s="38">
        <f>VLOOKUP($B13,'abrasion emissions'!$O$7:$R$36,4,FALSE)</f>
        <v>0</v>
      </c>
      <c r="CN13" s="7">
        <f>((SUMIFS('abrasion emissions'!$M$7:$M$34,'abrasion emissions'!$I$7:$I$34,"PM 2.5",'abrasion emissions'!$J$7:$J$34,"urban",'abrasion emissions'!$K$7:$K$34,"Tyre",'abrasion emissions'!$L$7:$L$34,"b")*POWER(('vehicles specifications'!$Q13/1000),(1/SUMIFS('abrasion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specifications'!$P13/1000),(1/SUMIFS('abrasion emissions'!$M$7:$M$34,'abrasion emissions'!$I$7:$I$34,"PM 10",'abrasion emissions'!$J$7:$J$34,"urban",'abrasion emissions'!$K$7:$K$34,"Tyre",'abrasion emissions'!$L$7:$L$34,"c")))))/1000000</f>
        <v>3.6265994283366797E-6</v>
      </c>
      <c r="CO13" s="7">
        <f>((SUMIFS('abrasion emissions'!$M$7:$M$34,'abrasion emissions'!$I$7:$I$34,"PM 2.5",'abrasion emissions'!$J$7:$J$34,"rural",'abrasion emissions'!$K$7:$K$34,"Tyre",'abrasion emissions'!$L$7:$L$34,"b")*POWER(('vehicles specifications'!$Q13/1000),(1/SUMIFS('abrasion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specifications'!$P13/1000),(1/SUMIFS('abrasion emissions'!$M$7:$M$34,'abrasion emissions'!$I$7:$I$34,"PM 10",'abrasion emissions'!$J$7:$J$34,"rural",'abrasion emissions'!$K$7:$K$34,"Tyre",'abrasion emissions'!$L$7:$L$34,"c")))))/1000000</f>
        <v>2.826778109088605E-6</v>
      </c>
      <c r="CP13" s="7">
        <f>((SUMIFS('abrasion emissions'!$M$7:$M$34,'abrasion emissions'!$I$7:$I$34,"PM 2.5",'abrasion emissions'!$J$7:$J$34,"motorway",'abrasion emissions'!$K$7:$K$34,"Tyre",'abrasion emissions'!$L$7:$L$34,"b")*POWER(('vehicles specifications'!$Q13/1000),(1/SUMIFS('abrasion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specifications'!$P13/1000),(1/SUMIFS('abrasion emissions'!$M$7:$M$34,'abrasion emissions'!$I$7:$I$34,"PM 10",'abrasion emissions'!$J$7:$J$34,"motorway",'abrasion emissions'!$K$7:$K$34,"Tyre",'abrasion emissions'!$L$7:$L$34,"c")))))/1000000</f>
        <v>2.4199002115490691E-6</v>
      </c>
      <c r="CQ13" s="7">
        <f>((SUMIFS('abrasion emissions'!$M$7:$M$34,'abrasion emissions'!$I$7:$I$34,"PM 2.5",'abrasion emissions'!$J$7:$J$34,"urban",'abrasion emissions'!$K$7:$K$34,"Brake",'abrasion emissions'!$L$7:$L$34,"b")*POWER(('vehicles specifications'!$Q13/1000),(1/SUMIFS('abrasion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specifications'!$P13/1000),(1/SUMIFS('abrasion emissions'!$M$7:$M$34,'abrasion emissions'!$I$7:$I$34,"PM 10",'abrasion emissions'!$J$7:$J$34,"urban",'abrasion emissions'!$K$7:$K$34,"Brake",'abrasion emissions'!$L$7:$L$34,"c")))))/1000000</f>
        <v>3.4060125107571902E-6</v>
      </c>
      <c r="CR13" s="7">
        <f>((SUMIFS('abrasion emissions'!$M$7:$M$34,'abrasion emissions'!$I$7:$I$34,"PM 2.5",'abrasion emissions'!$J$7:$J$34,"rural",'abrasion emissions'!$K$7:$K$34,"Brake",'abrasion emissions'!$L$7:$L$34,"b")*POWER(('vehicles specifications'!$Q13/1000),(1/SUMIFS('abrasion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specifications'!$P13/1000),(1/SUMIFS('abrasion emissions'!$M$7:$M$34,'abrasion emissions'!$I$7:$I$34,"PM 10",'abrasion emissions'!$J$7:$J$34,"rural",'abrasion emissions'!$K$7:$K$34,"Brake",'abrasion emissions'!$L$7:$L$34,"c")))))/1000000</f>
        <v>9.6273030903555574E-7</v>
      </c>
      <c r="CS13" s="7">
        <f>((SUMIFS('abrasion emissions'!$M$7:$M$34,'abrasion emissions'!$I$7:$I$34,"PM 2.5",'abrasion emissions'!$J$7:$J$34,"motorway",'abrasion emissions'!$K$7:$K$34,"Brake",'abrasion emissions'!$L$7:$L$34,"b")*POWER(('vehicles specifications'!$Q13/1000),(1/SUMIFS('abrasion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specifications'!$P13/1000),(1/SUMIFS('abrasion emissions'!$M$7:$M$34,'abrasion emissions'!$I$7:$I$34,"PM 10",'abrasion emissions'!$J$7:$J$34,"motorway",'abrasion emissions'!$K$7:$K$34,"Brake",'abrasion emissions'!$L$7:$L$34,"c")))))/1000000</f>
        <v>1.6339030836720791E-7</v>
      </c>
      <c r="CT13" s="7">
        <f>((SUMIFS('abrasion emissions'!$M$7:$M$38,'abrasion emissions'!$I$7:$I$38,"PM 2.5",'abrasion emissions'!$K$7:$K$38,"Re-susp.",'abrasion emissions'!$L$7:$L$38,"b")*POWER(('vehicles specifications'!$Q13/1000),(1/SUMIFS('abrasion emissions'!$M$7:$M$38,'abrasion emissions'!$I$7:$I$38,"PM 2.5",'abrasion emissions'!$K$7:$K$38,"Re-susp.",'abrasion emissions'!$L$7:$L$38,"c"))))+
(SUMIFS('abrasion emissions'!$M$7:$M$38,'abrasion emissions'!$I$7:$I$38,"PM 10",'abrasion emissions'!$K$7:$K$38,"Re-susp.",'abrasion emissions'!$L$7:$L$38,"b")*POWER(('vehicles specifications'!$Q13/1000),(1/SUMIFS('abrasion emissions'!$M$7:$M$38,'abrasion emissions'!$I$7:$I$38,"PM 10",'abrasion emissions'!$K$7:$K$38,"Re-susp.",'abrasion emissions'!$L$7:$L$38,"c")))))/1000000</f>
        <v>1.7581531063923127E-6</v>
      </c>
      <c r="CU13" s="7">
        <f>((SUMIFS('abrasion emissions'!$M$7:$M$38,'abrasion emissions'!$I$7:$I$38,"PM 2.5",'abrasion emissions'!$K$7:$K$38,"Road",'abrasion emissions'!$L$7:$L$38,"b")*POWER(('vehicles specifications'!$Q13/1000),(1/SUMIFS('abrasion emissions'!$M$7:$M$38,'abrasion emissions'!$I$7:$I$38,"PM 2.5",'abrasion emissions'!$K$7:$K$38,"Road",'abrasion emissions'!$L$7:$L$38,"c"))))+
(SUMIFS('abrasion emissions'!$M$7:$M$38,'abrasion emissions'!$I$7:$I$38,"PM 10",'abrasion emissions'!$K$7:$K$38,"Road",'abrasion emissions'!$L$7:$L$38,"b")*POWER(('vehicles specifications'!$Q13/1000),(1/SUMIFS('abrasion emissions'!$M$7:$M$38,'abrasion emissions'!$I$7:$I$38,"PM 10",'abrasion emissions'!$K$7:$K$38,"Road",'abrasion emissions'!$L$7:$L$38,"c")))))/1000000+CT13</f>
        <v>3.7416107208265778E-6</v>
      </c>
      <c r="CV13" s="7">
        <f>(CK13*CN13)+(CL13*CO13)+(CM13*CP13)</f>
        <v>3.6265994283366797E-6</v>
      </c>
      <c r="CW13" s="7">
        <f>(CK13*CQ13)+(CL13*CR13)+(CM13*CS13)</f>
        <v>3.4060125107571902E-6</v>
      </c>
    </row>
    <row r="14">
      <c r="A14" t="str">
        <f>B14&amp;" - "&amp;D14&amp;" - "&amp;IF(I14&lt;&gt;"",I14&amp;" - "&amp;E14,E14)</f>
        <v>Kick Scooter, battery electric, &lt;1kW - 2050 - NCA - CH</v>
      </c>
      <c r="B14" t="inlineStr">
        <is>
          <t>Kick Scooter, battery electric, &lt;1kW</t>
        </is>
      </c>
      <c r="D14" s="18" t="n">
        <v>2050</v>
      </c>
      <c r="E14" t="inlineStr">
        <is>
          <t>CH</t>
        </is>
      </c>
      <c r="F14" t="inlineStr">
        <is>
          <t>None</t>
        </is>
      </c>
      <c r="G14" t="inlineStr">
        <is>
          <t>vkm</t>
        </is>
      </c>
      <c r="H14" t="inlineStr">
        <is>
          <t>BEV</t>
        </is>
      </c>
      <c r="I14" t="inlineStr">
        <is>
          <t>NCA</t>
        </is>
      </c>
      <c r="J14" t="n">
        <v>1785</v>
      </c>
      <c r="K14" t="n">
        <v>890</v>
      </c>
      <c r="L14" s="2">
        <f>J14/K14</f>
        <v>2.00561797752809</v>
      </c>
      <c r="M14" t="n">
        <v>1</v>
      </c>
      <c r="N14" t="n">
        <v>75</v>
      </c>
      <c r="O14" t="n">
        <v>0</v>
      </c>
      <c r="P14" s="2">
        <f>SUM(U14,V14,W14,AC14,AF14,AH14)</f>
        <v>10.510000000000002</v>
      </c>
      <c r="Q14" s="2">
        <f>P14+(M14*N14)+O14</f>
        <v>85.51</v>
      </c>
      <c r="R14" t="n">
        <v>0.25</v>
      </c>
      <c r="S14" s="2" t="n">
        <v>7</v>
      </c>
      <c r="T14" s="1" t="n">
        <v>0.07000000000000001</v>
      </c>
      <c r="U14" s="2">
        <f>S14*(1-T14)</f>
        <v>6.51</v>
      </c>
      <c r="V14" t="n">
        <v>0</v>
      </c>
      <c r="W14" t="n">
        <v>2.7</v>
      </c>
      <c r="X14" s="6" t="n">
        <v>0.5</v>
      </c>
      <c r="Y14" s="1" t="n">
        <v>0.8</v>
      </c>
      <c r="Z14" s="3">
        <f>Y14*X14</f>
        <v>0.4</v>
      </c>
      <c r="AA14" s="3">
        <f>IF(I14&lt;&gt;"",X14/INDEX('energy battery'!$B$3:$D$6,MATCH('vehicles specifications'!$D14,'energy battery'!$A$3:$A$6,0),MATCH('vehicles specifications'!$I14,'energy battery'!$B$2:$D$2,0)),"")</f>
        <v>1</v>
      </c>
      <c r="AB14" s="3">
        <f>IF(AA14&lt;&gt;"",0.3*AA14,"")</f>
        <v>0.3</v>
      </c>
      <c r="AC14" s="3">
        <f>IF(AA14&lt;&gt;"",AB14+AA14,"")</f>
        <v>1.3</v>
      </c>
      <c r="AD14" t="n">
        <v>0</v>
      </c>
      <c r="AE14" t="n">
        <v>0</v>
      </c>
      <c r="AF14" t="n">
        <v>0</v>
      </c>
      <c r="AG14" t="n">
        <v>0</v>
      </c>
      <c r="AH14" t="n">
        <v>0</v>
      </c>
      <c r="AI14" t="n">
        <v>0.5</v>
      </c>
      <c r="AJ14" t="n">
        <v>1</v>
      </c>
      <c r="AK14" t="n">
        <v>0</v>
      </c>
      <c r="AL14">
        <f>0.000537/1000*Q14</f>
        <v>4.5918870000000003E-5</v>
      </c>
      <c r="AM14" t="n">
        <v>0</v>
      </c>
      <c r="AN14" s="2">
        <f>U14</f>
        <v>6.51</v>
      </c>
      <c r="AO14" s="2">
        <f>SUM(V14:W14)</f>
        <v>2.7</v>
      </c>
      <c r="AP14" s="2">
        <f>AC14</f>
        <v>1.3</v>
      </c>
      <c r="AQ14" s="6" t="inlineStr"/>
      <c r="AR14" s="20" t="n"/>
      <c r="AS14" s="5" t="n">
        <v>0.08612632755729459</v>
      </c>
      <c r="AT14" s="2">
        <f>SUM(Z14,AG14)/(SUM(AQ14,AS14)/3.6)</f>
        <v>16.719626168224298</v>
      </c>
      <c r="AU14" s="5" t="n">
        <v>0</v>
      </c>
      <c r="AV14" s="5" t="n">
        <v>0</v>
      </c>
      <c r="AW14" s="7" t="n">
        <v>0</v>
      </c>
      <c r="AX14" s="7" t="n">
        <v>0</v>
      </c>
      <c r="AY14" s="7" t="n">
        <v>0</v>
      </c>
      <c r="AZ14" s="7" t="n">
        <v>0</v>
      </c>
      <c r="BA14" s="7" t="n">
        <v>0</v>
      </c>
      <c r="BB14" s="7" t="n">
        <v>0</v>
      </c>
      <c r="BC14" s="7" t="n">
        <v>0</v>
      </c>
      <c r="BD14" s="7" t="n">
        <v>0</v>
      </c>
      <c r="BE14" s="7" t="n">
        <v>0</v>
      </c>
      <c r="BF14" s="7" t="n">
        <v>0</v>
      </c>
      <c r="BG14" s="7" t="n">
        <v>0</v>
      </c>
      <c r="BH14" s="7" t="n">
        <v>0</v>
      </c>
      <c r="BI14" s="7" t="n">
        <v>0</v>
      </c>
      <c r="BJ14" s="7" t="n">
        <v>0</v>
      </c>
      <c r="BK14" s="7" t="n">
        <v>0</v>
      </c>
      <c r="BL14" s="7" t="n">
        <v>0</v>
      </c>
      <c r="BM14" s="7" t="n">
        <v>0</v>
      </c>
      <c r="BN14" s="7" t="n">
        <v>0</v>
      </c>
      <c r="BO14" s="7" t="n">
        <v>0</v>
      </c>
      <c r="BP14" s="7" t="n">
        <v>0</v>
      </c>
      <c r="BQ14" s="7" t="n">
        <v>0</v>
      </c>
      <c r="BR14" s="7" t="n">
        <v>0</v>
      </c>
      <c r="BS14" s="7" t="n">
        <v>0</v>
      </c>
      <c r="BT14" s="7" t="n">
        <v>0</v>
      </c>
      <c r="BU14" s="7" t="n">
        <v>0</v>
      </c>
      <c r="BV14" s="7" t="n">
        <v>0</v>
      </c>
      <c r="BW14" s="7" t="n">
        <v>0</v>
      </c>
      <c r="BX14" s="7" t="n">
        <v>0</v>
      </c>
      <c r="BY14" s="7" t="n">
        <v>0</v>
      </c>
      <c r="BZ14" s="7" t="n">
        <v>0</v>
      </c>
      <c r="CA14" s="7" t="n">
        <v>0</v>
      </c>
      <c r="CB14" s="7" t="n">
        <v>0</v>
      </c>
      <c r="CC14" s="7" t="n">
        <v>0</v>
      </c>
      <c r="CD14" s="7" t="n">
        <v>0</v>
      </c>
      <c r="CE14" s="7" t="n">
        <v>0</v>
      </c>
      <c r="CF14" s="7" t="n">
        <v>0</v>
      </c>
      <c r="CG14" s="7" t="n">
        <v>0</v>
      </c>
      <c r="CH14" s="7" t="n">
        <v>0</v>
      </c>
      <c r="CI14" s="7" t="n">
        <v>0</v>
      </c>
      <c r="CJ14" s="7" t="n">
        <v>0</v>
      </c>
      <c r="CK14" s="38">
        <f>VLOOKUP($B14,'abrasion emissions'!$O$7:$R$36,2,FALSE)</f>
        <v>1</v>
      </c>
      <c r="CL14" s="38">
        <f>VLOOKUP($B14,'abrasion emissions'!$O$7:$R$36,3,FALSE)</f>
        <v>0</v>
      </c>
      <c r="CM14" s="38">
        <f>VLOOKUP($B14,'abrasion emissions'!$O$7:$R$36,4,FALSE)</f>
        <v>0</v>
      </c>
      <c r="CN14" s="7">
        <f>((SUMIFS('abrasion emissions'!$M$7:$M$34,'abrasion emissions'!$I$7:$I$34,"PM 2.5",'abrasion emissions'!$J$7:$J$34,"urban",'abrasion emissions'!$K$7:$K$34,"Tyre",'abrasion emissions'!$L$7:$L$34,"b")*POWER(('vehicles specifications'!$Q14/1000),(1/SUMIFS('abrasion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specifications'!$P14/1000),(1/SUMIFS('abrasion emissions'!$M$7:$M$34,'abrasion emissions'!$I$7:$I$34,"PM 10",'abrasion emissions'!$J$7:$J$34,"urban",'abrasion emissions'!$K$7:$K$34,"Tyre",'abrasion emissions'!$L$7:$L$34,"c")))))/1000000</f>
        <v>3.6152719516232798E-6</v>
      </c>
      <c r="CO14" s="7">
        <f>((SUMIFS('abrasion emissions'!$M$7:$M$34,'abrasion emissions'!$I$7:$I$34,"PM 2.5",'abrasion emissions'!$J$7:$J$34,"rural",'abrasion emissions'!$K$7:$K$34,"Tyre",'abrasion emissions'!$L$7:$L$34,"b")*POWER(('vehicles specifications'!$Q14/1000),(1/SUMIFS('abrasion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specifications'!$P14/1000),(1/SUMIFS('abrasion emissions'!$M$7:$M$34,'abrasion emissions'!$I$7:$I$34,"PM 10",'abrasion emissions'!$J$7:$J$34,"rural",'abrasion emissions'!$K$7:$K$34,"Tyre",'abrasion emissions'!$L$7:$L$34,"c")))))/1000000</f>
        <v>2.8179736722715119E-6</v>
      </c>
      <c r="CP14" s="7">
        <f>((SUMIFS('abrasion emissions'!$M$7:$M$34,'abrasion emissions'!$I$7:$I$34,"PM 2.5",'abrasion emissions'!$J$7:$J$34,"motorway",'abrasion emissions'!$K$7:$K$34,"Tyre",'abrasion emissions'!$L$7:$L$34,"b")*POWER(('vehicles specifications'!$Q14/1000),(1/SUMIFS('abrasion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specifications'!$P14/1000),(1/SUMIFS('abrasion emissions'!$M$7:$M$34,'abrasion emissions'!$I$7:$I$34,"PM 10",'abrasion emissions'!$J$7:$J$34,"motorway",'abrasion emissions'!$K$7:$K$34,"Tyre",'abrasion emissions'!$L$7:$L$34,"c")))))/1000000</f>
        <v>2.4124253558314015E-6</v>
      </c>
      <c r="CQ14" s="7">
        <f>((SUMIFS('abrasion emissions'!$M$7:$M$34,'abrasion emissions'!$I$7:$I$34,"PM 2.5",'abrasion emissions'!$J$7:$J$34,"urban",'abrasion emissions'!$K$7:$K$34,"Brake",'abrasion emissions'!$L$7:$L$34,"b")*POWER(('vehicles specifications'!$Q14/1000),(1/SUMIFS('abrasion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specifications'!$P14/1000),(1/SUMIFS('abrasion emissions'!$M$7:$M$34,'abrasion emissions'!$I$7:$I$34,"PM 10",'abrasion emissions'!$J$7:$J$34,"urban",'abrasion emissions'!$K$7:$K$34,"Brake",'abrasion emissions'!$L$7:$L$34,"c")))))/1000000</f>
        <v>3.3969958388919805E-6</v>
      </c>
      <c r="CR14" s="7">
        <f>((SUMIFS('abrasion emissions'!$M$7:$M$34,'abrasion emissions'!$I$7:$I$34,"PM 2.5",'abrasion emissions'!$J$7:$J$34,"rural",'abrasion emissions'!$K$7:$K$34,"Brake",'abrasion emissions'!$L$7:$L$34,"b")*POWER(('vehicles specifications'!$Q14/1000),(1/SUMIFS('abrasion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specifications'!$P14/1000),(1/SUMIFS('abrasion emissions'!$M$7:$M$34,'abrasion emissions'!$I$7:$I$34,"PM 10",'abrasion emissions'!$J$7:$J$34,"rural",'abrasion emissions'!$K$7:$K$34,"Brake",'abrasion emissions'!$L$7:$L$34,"c")))))/1000000</f>
        <v>9.5978694932253584E-7</v>
      </c>
      <c r="CS14" s="7">
        <f>((SUMIFS('abrasion emissions'!$M$7:$M$34,'abrasion emissions'!$I$7:$I$34,"PM 2.5",'abrasion emissions'!$J$7:$J$34,"motorway",'abrasion emissions'!$K$7:$K$34,"Brake",'abrasion emissions'!$L$7:$L$34,"b")*POWER(('vehicles specifications'!$Q14/1000),(1/SUMIFS('abrasion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specifications'!$P14/1000),(1/SUMIFS('abrasion emissions'!$M$7:$M$34,'abrasion emissions'!$I$7:$I$34,"PM 10",'abrasion emissions'!$J$7:$J$34,"motorway",'abrasion emissions'!$K$7:$K$34,"Brake",'abrasion emissions'!$L$7:$L$34,"c")))))/1000000</f>
        <v>1.6285404338486507E-7</v>
      </c>
      <c r="CT14" s="7">
        <f>((SUMIFS('abrasion emissions'!$M$7:$M$38,'abrasion emissions'!$I$7:$I$38,"PM 2.5",'abrasion emissions'!$K$7:$K$38,"Re-susp.",'abrasion emissions'!$L$7:$L$38,"b")*POWER(('vehicles specifications'!$Q14/1000),(1/SUMIFS('abrasion emissions'!$M$7:$M$38,'abrasion emissions'!$I$7:$I$38,"PM 2.5",'abrasion emissions'!$K$7:$K$38,"Re-susp.",'abrasion emissions'!$L$7:$L$38,"c"))))+
(SUMIFS('abrasion emissions'!$M$7:$M$38,'abrasion emissions'!$I$7:$I$38,"PM 10",'abrasion emissions'!$K$7:$K$38,"Re-susp.",'abrasion emissions'!$L$7:$L$38,"b")*POWER(('vehicles specifications'!$Q14/1000),(1/SUMIFS('abrasion emissions'!$M$7:$M$38,'abrasion emissions'!$I$7:$I$38,"PM 10",'abrasion emissions'!$K$7:$K$38,"Re-susp.",'abrasion emissions'!$L$7:$L$38,"c")))))/1000000</f>
        <v>1.7536791018180504E-6</v>
      </c>
      <c r="CU14" s="7">
        <f>((SUMIFS('abrasion emissions'!$M$7:$M$38,'abrasion emissions'!$I$7:$I$38,"PM 2.5",'abrasion emissions'!$K$7:$K$38,"Road",'abrasion emissions'!$L$7:$L$38,"b")*POWER(('vehicles specifications'!$Q14/1000),(1/SUMIFS('abrasion emissions'!$M$7:$M$38,'abrasion emissions'!$I$7:$I$38,"PM 2.5",'abrasion emissions'!$K$7:$K$38,"Road",'abrasion emissions'!$L$7:$L$38,"c"))))+
(SUMIFS('abrasion emissions'!$M$7:$M$38,'abrasion emissions'!$I$7:$I$38,"PM 10",'abrasion emissions'!$K$7:$K$38,"Road",'abrasion emissions'!$L$7:$L$38,"b")*POWER(('vehicles specifications'!$Q14/1000),(1/SUMIFS('abrasion emissions'!$M$7:$M$38,'abrasion emissions'!$I$7:$I$38,"PM 10",'abrasion emissions'!$K$7:$K$38,"Road",'abrasion emissions'!$L$7:$L$38,"c")))))/1000000+CT14</f>
        <v>3.733434075561425E-6</v>
      </c>
      <c r="CV14" s="7">
        <f>(CK14*CN14)+(CL14*CO14)+(CM14*CP14)</f>
        <v>3.6152719516232798E-6</v>
      </c>
      <c r="CW14" s="7">
        <f>(CK14*CQ14)+(CL14*CR14)+(CM14*CS14)</f>
        <v>3.3969958388919805E-6</v>
      </c>
    </row>
    <row r="15">
      <c r="A15" t="str">
        <f>B15&amp;" - "&amp;D15&amp;" - "&amp;IF(I15&lt;&gt;"",I15&amp;" - "&amp;E15,E15)</f>
        <v>Bicycle, conventional, urban - 2020 - CH</v>
      </c>
      <c r="B15" t="inlineStr">
        <is>
          <t>Bicycle, conventional, urban</t>
        </is>
      </c>
      <c r="D15" s="18" t="n">
        <v>2020</v>
      </c>
      <c r="E15" t="inlineStr">
        <is>
          <t>CH</t>
        </is>
      </c>
      <c r="F15" t="inlineStr">
        <is>
          <t>None</t>
        </is>
      </c>
      <c r="G15" t="inlineStr">
        <is>
          <t>vkm</t>
        </is>
      </c>
      <c r="J15" t="n">
        <v>15000</v>
      </c>
      <c r="K15" t="n">
        <v>1000</v>
      </c>
      <c r="L15" s="2">
        <f>J15/K15</f>
        <v>15</v>
      </c>
      <c r="M15" t="n">
        <v>1</v>
      </c>
      <c r="N15" t="n">
        <v>75</v>
      </c>
      <c r="O15" t="n">
        <v>1</v>
      </c>
      <c r="P15" s="2">
        <f>SUM(U15,V15,W15,AC15,AF15,AH15)</f>
        <v>12</v>
      </c>
      <c r="Q15" s="2">
        <f>P15+(M15*N15)+O15</f>
        <v>88</v>
      </c>
      <c r="R15" t="n">
        <v>0</v>
      </c>
      <c r="S15" s="2" t="n">
        <v>12</v>
      </c>
      <c r="T15" s="1" t="n">
        <v>0</v>
      </c>
      <c r="U15" s="2">
        <f>S15*(1-T15)</f>
        <v>12</v>
      </c>
      <c r="V15" t="n">
        <v>0</v>
      </c>
      <c r="W15" t="n">
        <v>0</v>
      </c>
      <c r="X15" s="3" t="n">
        <v>0</v>
      </c>
      <c r="Y15" s="1" t="n">
        <v>0.8</v>
      </c>
      <c r="Z15" s="3">
        <f>Y15*X15</f>
        <v>0</v>
      </c>
      <c r="AA15" s="3">
        <f>IF(I15&lt;&gt;"",X15/INDEX('energy battery'!$B$3:$D$6,MATCH('vehicles specifications'!$D15,'energy battery'!$A$3:$A$6,0),MATCH('vehicles specifications'!$I15,'energy battery'!$B$2:$D$2,0)),"")</f>
        <v/>
      </c>
      <c r="AB15" s="3">
        <f>IF(AA15&lt;&gt;"",0.3*AA15,"")</f>
        <v/>
      </c>
      <c r="AC15" s="3">
        <f>IF(AA15&lt;&gt;"",AB15+AA15,"")</f>
        <v/>
      </c>
      <c r="AD15" t="n">
        <v>0</v>
      </c>
      <c r="AE15" t="n">
        <v>0</v>
      </c>
      <c r="AF15" t="n">
        <v>0</v>
      </c>
      <c r="AG15" t="n">
        <v>0</v>
      </c>
      <c r="AH15" t="n">
        <v>0</v>
      </c>
      <c r="AI15" t="n">
        <v>0</v>
      </c>
      <c r="AJ15" t="n">
        <v>0</v>
      </c>
      <c r="AK15" s="6" t="n">
        <v>1</v>
      </c>
      <c r="AL15">
        <f>0.000537/1000*Q15</f>
        <v>4.7256000000000003E-5</v>
      </c>
      <c r="AM15" t="n">
        <v>0</v>
      </c>
      <c r="AN15" s="2">
        <f>U15</f>
        <v>12</v>
      </c>
      <c r="AO15" s="2">
        <f>SUM(V15:W15)</f>
        <v>0</v>
      </c>
      <c r="AP15" s="2">
        <f>AC15</f>
        <v/>
      </c>
      <c r="AQ15" s="6" t="inlineStr"/>
      <c r="AR15" s="20" t="n"/>
      <c r="AS15" s="6">
        <f>IF($H15="BEV",SUMPRODUCT(#REF!,#REF!),"")</f>
        <v/>
      </c>
      <c r="AT15" s="2" t="n">
        <v>0</v>
      </c>
      <c r="AU15" s="5" t="n">
        <v>0</v>
      </c>
      <c r="AV15" s="5" t="n">
        <v>0</v>
      </c>
      <c r="AW15" s="7" t="n">
        <v>0</v>
      </c>
      <c r="AX15" s="7" t="n">
        <v>0</v>
      </c>
      <c r="AY15" s="7" t="n">
        <v>0</v>
      </c>
      <c r="AZ15" s="7" t="n">
        <v>0</v>
      </c>
      <c r="BA15" s="7" t="n">
        <v>0</v>
      </c>
      <c r="BB15" s="7" t="n">
        <v>0</v>
      </c>
      <c r="BC15" s="7" t="n">
        <v>0</v>
      </c>
      <c r="BD15" s="7" t="n">
        <v>0</v>
      </c>
      <c r="BE15" s="7" t="n">
        <v>0</v>
      </c>
      <c r="BF15" s="7" t="n">
        <v>0</v>
      </c>
      <c r="BG15" s="7" t="n">
        <v>0</v>
      </c>
      <c r="BH15" s="7" t="n">
        <v>0</v>
      </c>
      <c r="BI15" s="7" t="n">
        <v>0</v>
      </c>
      <c r="BJ15" s="7" t="n">
        <v>0</v>
      </c>
      <c r="BK15" s="7" t="n">
        <v>0</v>
      </c>
      <c r="BL15" s="7" t="n">
        <v>0</v>
      </c>
      <c r="BM15" s="7" t="n">
        <v>0</v>
      </c>
      <c r="BN15" s="7" t="n">
        <v>0</v>
      </c>
      <c r="BO15" s="7" t="n">
        <v>0</v>
      </c>
      <c r="BP15" s="7" t="n">
        <v>0</v>
      </c>
      <c r="BQ15" s="7" t="n">
        <v>0</v>
      </c>
      <c r="BR15" s="7" t="n">
        <v>0</v>
      </c>
      <c r="BS15" s="7" t="n">
        <v>0</v>
      </c>
      <c r="BT15" s="7" t="n">
        <v>0</v>
      </c>
      <c r="BU15" s="7" t="n">
        <v>0</v>
      </c>
      <c r="BV15" s="7" t="n">
        <v>0</v>
      </c>
      <c r="BW15" s="7" t="n">
        <v>0</v>
      </c>
      <c r="BX15" s="7" t="n">
        <v>0</v>
      </c>
      <c r="BY15" s="7" t="n">
        <v>0</v>
      </c>
      <c r="BZ15" s="7" t="n">
        <v>0</v>
      </c>
      <c r="CA15" s="7" t="n">
        <v>0</v>
      </c>
      <c r="CB15" s="7" t="n">
        <v>0</v>
      </c>
      <c r="CC15" s="7" t="n">
        <v>0</v>
      </c>
      <c r="CD15" s="7" t="n">
        <v>0</v>
      </c>
      <c r="CE15" s="7" t="n">
        <v>0</v>
      </c>
      <c r="CF15" s="7" t="n">
        <v>0</v>
      </c>
      <c r="CG15" s="7" t="n">
        <v>0</v>
      </c>
      <c r="CH15" s="7" t="n">
        <v>0</v>
      </c>
      <c r="CI15" s="7" t="n">
        <v>0</v>
      </c>
      <c r="CJ15" s="7" t="n">
        <v>0</v>
      </c>
      <c r="CK15" s="38">
        <f>VLOOKUP($B15,'abrasion emissions'!$O$7:$R$36,2,FALSE)</f>
        <v>1</v>
      </c>
      <c r="CL15" s="38">
        <f>VLOOKUP($B15,'abrasion emissions'!$O$7:$R$36,3,FALSE)</f>
        <v>0</v>
      </c>
      <c r="CM15" s="38">
        <f>VLOOKUP($B15,'abrasion emissions'!$O$7:$R$36,4,FALSE)</f>
        <v>0</v>
      </c>
      <c r="CN15" s="7">
        <f>((SUMIFS('abrasion emissions'!$M$7:$M$34,'abrasion emissions'!$I$7:$I$34,"PM 2.5",'abrasion emissions'!$J$7:$J$34,"urban",'abrasion emissions'!$K$7:$K$34,"Tyre",'abrasion emissions'!$L$7:$L$34,"b")*POWER(('vehicles specifications'!$Q15/1000),(1/SUMIFS('abrasion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specifications'!$P15/1000),(1/SUMIFS('abrasion emissions'!$M$7:$M$34,'abrasion emissions'!$I$7:$I$34,"PM 10",'abrasion emissions'!$J$7:$J$34,"urban",'abrasion emissions'!$K$7:$K$34,"Tyre",'abrasion emissions'!$L$7:$L$34,"c")))))/1000000</f>
        <v>3.6981099122289053E-6</v>
      </c>
      <c r="CO15" s="7">
        <f>((SUMIFS('abrasion emissions'!$M$7:$M$34,'abrasion emissions'!$I$7:$I$34,"PM 2.5",'abrasion emissions'!$J$7:$J$34,"rural",'abrasion emissions'!$K$7:$K$34,"Tyre",'abrasion emissions'!$L$7:$L$34,"b")*POWER(('vehicles specifications'!$Q15/1000),(1/SUMIFS('abrasion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specifications'!$P15/1000),(1/SUMIFS('abrasion emissions'!$M$7:$M$34,'abrasion emissions'!$I$7:$I$34,"PM 10",'abrasion emissions'!$J$7:$J$34,"rural",'abrasion emissions'!$K$7:$K$34,"Tyre",'abrasion emissions'!$L$7:$L$34,"c")))))/1000000</f>
        <v>2.8824080248729818E-6</v>
      </c>
      <c r="CP15" s="7">
        <f>((SUMIFS('abrasion emissions'!$M$7:$M$34,'abrasion emissions'!$I$7:$I$34,"PM 2.5",'abrasion emissions'!$J$7:$J$34,"motorway",'abrasion emissions'!$K$7:$K$34,"Tyre",'abrasion emissions'!$L$7:$L$34,"b")*POWER(('vehicles specifications'!$Q15/1000),(1/SUMIFS('abrasion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specifications'!$P15/1000),(1/SUMIFS('abrasion emissions'!$M$7:$M$34,'abrasion emissions'!$I$7:$I$34,"PM 10",'abrasion emissions'!$J$7:$J$34,"motorway",'abrasion emissions'!$K$7:$K$34,"Tyre",'abrasion emissions'!$L$7:$L$34,"c")))))/1000000</f>
        <v>2.467248527943531E-6</v>
      </c>
      <c r="CQ15" s="7">
        <f>((SUMIFS('abrasion emissions'!$M$7:$M$34,'abrasion emissions'!$I$7:$I$34,"PM 2.5",'abrasion emissions'!$J$7:$J$34,"urban",'abrasion emissions'!$K$7:$K$34,"Brake",'abrasion emissions'!$L$7:$L$34,"b")*POWER(('vehicles specifications'!$Q15/1000),(1/SUMIFS('abrasion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specifications'!$P15/1000),(1/SUMIFS('abrasion emissions'!$M$7:$M$34,'abrasion emissions'!$I$7:$I$34,"PM 10",'abrasion emissions'!$J$7:$J$34,"urban",'abrasion emissions'!$K$7:$K$34,"Brake",'abrasion emissions'!$L$7:$L$34,"c")))))/1000000</f>
        <v>3.470493115296593E-6</v>
      </c>
      <c r="CR15" s="7">
        <f>((SUMIFS('abrasion emissions'!$M$7:$M$34,'abrasion emissions'!$I$7:$I$34,"PM 2.5",'abrasion emissions'!$J$7:$J$34,"rural",'abrasion emissions'!$K$7:$K$34,"Brake",'abrasion emissions'!$L$7:$L$34,"b")*POWER(('vehicles specifications'!$Q15/1000),(1/SUMIFS('abrasion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specifications'!$P15/1000),(1/SUMIFS('abrasion emissions'!$M$7:$M$34,'abrasion emissions'!$I$7:$I$34,"PM 10",'abrasion emissions'!$J$7:$J$34,"rural",'abrasion emissions'!$K$7:$K$34,"Brake",'abrasion emissions'!$L$7:$L$34,"c")))))/1000000</f>
        <v>9.846424299762865E-7</v>
      </c>
      <c r="CS15" s="7">
        <f>((SUMIFS('abrasion emissions'!$M$7:$M$34,'abrasion emissions'!$I$7:$I$34,"PM 2.5",'abrasion emissions'!$J$7:$J$34,"motorway",'abrasion emissions'!$K$7:$K$34,"Brake",'abrasion emissions'!$L$7:$L$34,"b")*POWER(('vehicles specifications'!$Q15/1000),(1/SUMIFS('abrasion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specifications'!$P15/1000),(1/SUMIFS('abrasion emissions'!$M$7:$M$34,'abrasion emissions'!$I$7:$I$34,"PM 10",'abrasion emissions'!$J$7:$J$34,"motorway",'abrasion emissions'!$K$7:$K$34,"Brake",'abrasion emissions'!$L$7:$L$34,"c")))))/1000000</f>
        <v>1.6751271044146034E-7</v>
      </c>
      <c r="CT15" s="7">
        <f>((SUMIFS('abrasion emissions'!$M$7:$M$38,'abrasion emissions'!$I$7:$I$38,"PM 2.5",'abrasion emissions'!$K$7:$K$38,"Re-susp.",'abrasion emissions'!$L$7:$L$38,"b")*POWER(('vehicles specifications'!$Q15/1000),(1/SUMIFS('abrasion emissions'!$M$7:$M$38,'abrasion emissions'!$I$7:$I$38,"PM 2.5",'abrasion emissions'!$K$7:$K$38,"Re-susp.",'abrasion emissions'!$L$7:$L$38,"c"))))+
(SUMIFS('abrasion emissions'!$M$7:$M$38,'abrasion emissions'!$I$7:$I$38,"PM 10",'abrasion emissions'!$K$7:$K$38,"Re-susp.",'abrasion emissions'!$L$7:$L$38,"b")*POWER(('vehicles specifications'!$Q15/1000),(1/SUMIFS('abrasion emissions'!$M$7:$M$38,'abrasion emissions'!$I$7:$I$38,"PM 10",'abrasion emissions'!$K$7:$K$38,"Re-susp.",'abrasion emissions'!$L$7:$L$38,"c")))))/1000000</f>
        <v>1.8000420098997061E-6</v>
      </c>
      <c r="CU15" s="7">
        <f>((SUMIFS('abrasion emissions'!$M$7:$M$38,'abrasion emissions'!$I$7:$I$38,"PM 2.5",'abrasion emissions'!$K$7:$K$38,"Road",'abrasion emissions'!$L$7:$L$38,"b")*POWER(('vehicles specifications'!$Q15/1000),(1/SUMIFS('abrasion emissions'!$M$7:$M$38,'abrasion emissions'!$I$7:$I$38,"PM 2.5",'abrasion emissions'!$K$7:$K$38,"Road",'abrasion emissions'!$L$7:$L$38,"c"))))+
(SUMIFS('abrasion emissions'!$M$7:$M$38,'abrasion emissions'!$I$7:$I$38,"PM 10",'abrasion emissions'!$K$7:$K$38,"Road",'abrasion emissions'!$L$7:$L$38,"b")*POWER(('vehicles specifications'!$Q15/1000),(1/SUMIFS('abrasion emissions'!$M$7:$M$38,'abrasion emissions'!$I$7:$I$38,"PM 10",'abrasion emissions'!$K$7:$K$38,"Road",'abrasion emissions'!$L$7:$L$38,"c")))))/1000000+CT15</f>
        <v>3.8180456867451752E-6</v>
      </c>
      <c r="CV15" s="7">
        <f>(CK15*CN15)+(CL15*CO15)+(CM15*CP15)</f>
        <v>3.6981099122289053E-6</v>
      </c>
      <c r="CW15" s="7">
        <f>(CK15*CQ15)+(CL15*CR15)+(CM15*CS15)</f>
        <v>3.470493115296593E-6</v>
      </c>
    </row>
    <row r="16">
      <c r="A16" t="str">
        <f>B16&amp;" - "&amp;D16&amp;" - "&amp;IF(I16&lt;&gt;"",I16&amp;" - "&amp;E16,E16)</f>
        <v>Bicycle, conventional, urban - 2030 - CH</v>
      </c>
      <c r="B16" t="inlineStr">
        <is>
          <t>Bicycle, conventional, urban</t>
        </is>
      </c>
      <c r="D16" s="18" t="n">
        <v>2030</v>
      </c>
      <c r="E16" t="inlineStr">
        <is>
          <t>CH</t>
        </is>
      </c>
      <c r="F16" t="inlineStr">
        <is>
          <t>None</t>
        </is>
      </c>
      <c r="G16" t="inlineStr">
        <is>
          <t>vkm</t>
        </is>
      </c>
      <c r="J16" t="n">
        <v>15000</v>
      </c>
      <c r="K16" t="n">
        <v>1000</v>
      </c>
      <c r="L16" s="2">
        <f>J16/K16</f>
        <v>15</v>
      </c>
      <c r="M16" t="n">
        <v>1</v>
      </c>
      <c r="N16" t="n">
        <v>75</v>
      </c>
      <c r="O16" t="n">
        <v>1</v>
      </c>
      <c r="P16" s="2">
        <f>SUM(U16,V16,W16,AC16,AF16,AH16)</f>
        <v>11.64</v>
      </c>
      <c r="Q16" s="2">
        <f>P16+(M16*N16)+O16</f>
        <v>87.64</v>
      </c>
      <c r="R16" t="n">
        <v>0</v>
      </c>
      <c r="S16" s="2" t="n">
        <v>12</v>
      </c>
      <c r="T16" s="1" t="n">
        <v>0.03</v>
      </c>
      <c r="U16" s="2">
        <f>S16*(1-T16)</f>
        <v>11.64</v>
      </c>
      <c r="V16" t="n">
        <v>0</v>
      </c>
      <c r="W16" t="n">
        <v>0</v>
      </c>
      <c r="X16" s="3" t="n">
        <v>0</v>
      </c>
      <c r="Y16" s="1" t="n">
        <v>0.8</v>
      </c>
      <c r="Z16" s="3">
        <f>Y16*X16</f>
        <v>0</v>
      </c>
      <c r="AA16" s="3">
        <f>IF(I16&lt;&gt;"",X16/INDEX('energy battery'!$B$3:$D$6,MATCH('vehicles specifications'!$D16,'energy battery'!$A$3:$A$6,0),MATCH('vehicles specifications'!$I16,'energy battery'!$B$2:$D$2,0)),"")</f>
        <v/>
      </c>
      <c r="AB16" s="3">
        <f>IF(AA16&lt;&gt;"",0.3*AA16,"")</f>
        <v/>
      </c>
      <c r="AC16" s="3">
        <f>IF(AA16&lt;&gt;"",AB16+AA16,"")</f>
        <v/>
      </c>
      <c r="AD16" t="n">
        <v>0</v>
      </c>
      <c r="AE16" t="n">
        <v>0</v>
      </c>
      <c r="AF16" t="n">
        <v>0</v>
      </c>
      <c r="AG16" t="n">
        <v>0</v>
      </c>
      <c r="AH16" t="n">
        <v>0</v>
      </c>
      <c r="AI16" t="n">
        <v>0</v>
      </c>
      <c r="AJ16" t="n">
        <v>0</v>
      </c>
      <c r="AK16" s="6" t="n">
        <v>1</v>
      </c>
      <c r="AL16">
        <f>0.000537/1000*Q16</f>
        <v>4.7062679999999998E-5</v>
      </c>
      <c r="AM16" t="n">
        <v>0</v>
      </c>
      <c r="AN16" s="2">
        <f>U16</f>
        <v>11.64</v>
      </c>
      <c r="AO16" s="2">
        <f>SUM(V16:W16)</f>
        <v>0</v>
      </c>
      <c r="AP16" s="2">
        <f>AC16</f>
        <v/>
      </c>
      <c r="AQ16" s="6" t="inlineStr"/>
      <c r="AR16" s="20" t="n"/>
      <c r="AS16" s="6">
        <f>IF($H16="BEV",SUMPRODUCT(#REF!,#REF!),"")</f>
        <v/>
      </c>
      <c r="AT16" s="2" t="n">
        <v>0</v>
      </c>
      <c r="AU16" s="5" t="n">
        <v>0</v>
      </c>
      <c r="AV16" s="5" t="n">
        <v>0</v>
      </c>
      <c r="AW16" s="7" t="n">
        <v>0</v>
      </c>
      <c r="AX16" s="7" t="n">
        <v>0</v>
      </c>
      <c r="AY16" s="7" t="n">
        <v>0</v>
      </c>
      <c r="AZ16" s="7" t="n">
        <v>0</v>
      </c>
      <c r="BA16" s="7" t="n">
        <v>0</v>
      </c>
      <c r="BB16" s="7" t="n">
        <v>0</v>
      </c>
      <c r="BC16" s="7" t="n">
        <v>0</v>
      </c>
      <c r="BD16" s="7" t="n">
        <v>0</v>
      </c>
      <c r="BE16" s="7" t="n">
        <v>0</v>
      </c>
      <c r="BF16" s="7" t="n">
        <v>0</v>
      </c>
      <c r="BG16" s="7" t="n">
        <v>0</v>
      </c>
      <c r="BH16" s="7" t="n">
        <v>0</v>
      </c>
      <c r="BI16" s="7" t="n">
        <v>0</v>
      </c>
      <c r="BJ16" s="7" t="n">
        <v>0</v>
      </c>
      <c r="BK16" s="7" t="n">
        <v>0</v>
      </c>
      <c r="BL16" s="7" t="n">
        <v>0</v>
      </c>
      <c r="BM16" s="7" t="n">
        <v>0</v>
      </c>
      <c r="BN16" s="7" t="n">
        <v>0</v>
      </c>
      <c r="BO16" s="7" t="n">
        <v>0</v>
      </c>
      <c r="BP16" s="7" t="n">
        <v>0</v>
      </c>
      <c r="BQ16" s="7" t="n">
        <v>0</v>
      </c>
      <c r="BR16" s="7" t="n">
        <v>0</v>
      </c>
      <c r="BS16" s="7" t="n">
        <v>0</v>
      </c>
      <c r="BT16" s="7" t="n">
        <v>0</v>
      </c>
      <c r="BU16" s="7" t="n">
        <v>0</v>
      </c>
      <c r="BV16" s="7" t="n">
        <v>0</v>
      </c>
      <c r="BW16" s="7" t="n">
        <v>0</v>
      </c>
      <c r="BX16" s="7" t="n">
        <v>0</v>
      </c>
      <c r="BY16" s="7" t="n">
        <v>0</v>
      </c>
      <c r="BZ16" s="7" t="n">
        <v>0</v>
      </c>
      <c r="CA16" s="7" t="n">
        <v>0</v>
      </c>
      <c r="CB16" s="7" t="n">
        <v>0</v>
      </c>
      <c r="CC16" s="7" t="n">
        <v>0</v>
      </c>
      <c r="CD16" s="7" t="n">
        <v>0</v>
      </c>
      <c r="CE16" s="7" t="n">
        <v>0</v>
      </c>
      <c r="CF16" s="7" t="n">
        <v>0</v>
      </c>
      <c r="CG16" s="7" t="n">
        <v>0</v>
      </c>
      <c r="CH16" s="7" t="n">
        <v>0</v>
      </c>
      <c r="CI16" s="7" t="n">
        <v>0</v>
      </c>
      <c r="CJ16" s="7" t="n">
        <v>0</v>
      </c>
      <c r="CK16" s="38">
        <f>VLOOKUP($B16,'abrasion emissions'!$O$7:$R$36,2,FALSE)</f>
        <v>1</v>
      </c>
      <c r="CL16" s="38">
        <f>VLOOKUP($B16,'abrasion emissions'!$O$7:$R$36,3,FALSE)</f>
        <v>0</v>
      </c>
      <c r="CM16" s="38">
        <f>VLOOKUP($B16,'abrasion emissions'!$O$7:$R$36,4,FALSE)</f>
        <v>0</v>
      </c>
      <c r="CN16" s="7">
        <f>((SUMIFS('abrasion emissions'!$M$7:$M$34,'abrasion emissions'!$I$7:$I$34,"PM 2.5",'abrasion emissions'!$J$7:$J$34,"urban",'abrasion emissions'!$K$7:$K$34,"Tyre",'abrasion emissions'!$L$7:$L$34,"b")*POWER(('vehicles specifications'!$Q16/1000),(1/SUMIFS('abrasion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specifications'!$P16/1000),(1/SUMIFS('abrasion emissions'!$M$7:$M$34,'abrasion emissions'!$I$7:$I$34,"PM 10",'abrasion emissions'!$J$7:$J$34,"urban",'abrasion emissions'!$K$7:$K$34,"Tyre",'abrasion emissions'!$L$7:$L$34,"c")))))/1000000</f>
        <v>3.6818808942371148E-6</v>
      </c>
      <c r="CO16" s="7">
        <f>((SUMIFS('abrasion emissions'!$M$7:$M$34,'abrasion emissions'!$I$7:$I$34,"PM 2.5",'abrasion emissions'!$J$7:$J$34,"rural",'abrasion emissions'!$K$7:$K$34,"Tyre",'abrasion emissions'!$L$7:$L$34,"b")*POWER(('vehicles specifications'!$Q16/1000),(1/SUMIFS('abrasion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specifications'!$P16/1000),(1/SUMIFS('abrasion emissions'!$M$7:$M$34,'abrasion emissions'!$I$7:$I$34,"PM 10",'abrasion emissions'!$J$7:$J$34,"rural",'abrasion emissions'!$K$7:$K$34,"Tyre",'abrasion emissions'!$L$7:$L$34,"c")))))/1000000</f>
        <v>2.8697930669702255E-6</v>
      </c>
      <c r="CP16" s="7">
        <f>((SUMIFS('abrasion emissions'!$M$7:$M$34,'abrasion emissions'!$I$7:$I$34,"PM 2.5",'abrasion emissions'!$J$7:$J$34,"motorway",'abrasion emissions'!$K$7:$K$34,"Tyre",'abrasion emissions'!$L$7:$L$34,"b")*POWER(('vehicles specifications'!$Q16/1000),(1/SUMIFS('abrasion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specifications'!$P16/1000),(1/SUMIFS('abrasion emissions'!$M$7:$M$34,'abrasion emissions'!$I$7:$I$34,"PM 10",'abrasion emissions'!$J$7:$J$34,"motorway",'abrasion emissions'!$K$7:$K$34,"Tyre",'abrasion emissions'!$L$7:$L$34,"c")))))/1000000</f>
        <v>2.4565367501636699E-6</v>
      </c>
      <c r="CQ16" s="7">
        <f>((SUMIFS('abrasion emissions'!$M$7:$M$34,'abrasion emissions'!$I$7:$I$34,"PM 2.5",'abrasion emissions'!$J$7:$J$34,"urban",'abrasion emissions'!$K$7:$K$34,"Brake",'abrasion emissions'!$L$7:$L$34,"b")*POWER(('vehicles specifications'!$Q16/1000),(1/SUMIFS('abrasion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specifications'!$P16/1000),(1/SUMIFS('abrasion emissions'!$M$7:$M$34,'abrasion emissions'!$I$7:$I$34,"PM 10",'abrasion emissions'!$J$7:$J$34,"urban",'abrasion emissions'!$K$7:$K$34,"Brake",'abrasion emissions'!$L$7:$L$34,"c")))))/1000000</f>
        <v>3.4573831467413908E-6</v>
      </c>
      <c r="CR16" s="7">
        <f>((SUMIFS('abrasion emissions'!$M$7:$M$34,'abrasion emissions'!$I$7:$I$34,"PM 2.5",'abrasion emissions'!$J$7:$J$34,"rural",'abrasion emissions'!$K$7:$K$34,"Brake",'abrasion emissions'!$L$7:$L$34,"b")*POWER(('vehicles specifications'!$Q16/1000),(1/SUMIFS('abrasion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specifications'!$P16/1000),(1/SUMIFS('abrasion emissions'!$M$7:$M$34,'abrasion emissions'!$I$7:$I$34,"PM 10",'abrasion emissions'!$J$7:$J$34,"rural",'abrasion emissions'!$K$7:$K$34,"Brake",'abrasion emissions'!$L$7:$L$34,"c")))))/1000000</f>
        <v>9.8031619564527493E-7</v>
      </c>
      <c r="CS16" s="7">
        <f>((SUMIFS('abrasion emissions'!$M$7:$M$34,'abrasion emissions'!$I$7:$I$34,"PM 2.5",'abrasion emissions'!$J$7:$J$34,"motorway",'abrasion emissions'!$K$7:$K$34,"Brake",'abrasion emissions'!$L$7:$L$34,"b")*POWER(('vehicles specifications'!$Q16/1000),(1/SUMIFS('abrasion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specifications'!$P16/1000),(1/SUMIFS('abrasion emissions'!$M$7:$M$34,'abrasion emissions'!$I$7:$I$34,"PM 10",'abrasion emissions'!$J$7:$J$34,"motorway",'abrasion emissions'!$K$7:$K$34,"Brake",'abrasion emissions'!$L$7:$L$34,"c")))))/1000000</f>
        <v>1.6671879547692214E-7</v>
      </c>
      <c r="CT16" s="7">
        <f>((SUMIFS('abrasion emissions'!$M$7:$M$38,'abrasion emissions'!$I$7:$I$38,"PM 2.5",'abrasion emissions'!$K$7:$K$38,"Re-susp.",'abrasion emissions'!$L$7:$L$38,"b")*POWER(('vehicles specifications'!$Q16/1000),(1/SUMIFS('abrasion emissions'!$M$7:$M$38,'abrasion emissions'!$I$7:$I$38,"PM 2.5",'abrasion emissions'!$K$7:$K$38,"Re-susp.",'abrasion emissions'!$L$7:$L$38,"c"))))+
(SUMIFS('abrasion emissions'!$M$7:$M$38,'abrasion emissions'!$I$7:$I$38,"PM 10",'abrasion emissions'!$K$7:$K$38,"Re-susp.",'abrasion emissions'!$L$7:$L$38,"b")*POWER(('vehicles specifications'!$Q16/1000),(1/SUMIFS('abrasion emissions'!$M$7:$M$38,'abrasion emissions'!$I$7:$I$38,"PM 10",'abrasion emissions'!$K$7:$K$38,"Re-susp.",'abrasion emissions'!$L$7:$L$38,"c")))))/1000000</f>
        <v>1.7933463921116648E-6</v>
      </c>
      <c r="CU16" s="7">
        <f>((SUMIFS('abrasion emissions'!$M$7:$M$38,'abrasion emissions'!$I$7:$I$38,"PM 2.5",'abrasion emissions'!$K$7:$K$38,"Road",'abrasion emissions'!$L$7:$L$38,"b")*POWER(('vehicles specifications'!$Q16/1000),(1/SUMIFS('abrasion emissions'!$M$7:$M$38,'abrasion emissions'!$I$7:$I$38,"PM 2.5",'abrasion emissions'!$K$7:$K$38,"Road",'abrasion emissions'!$L$7:$L$38,"c"))))+
(SUMIFS('abrasion emissions'!$M$7:$M$38,'abrasion emissions'!$I$7:$I$38,"PM 10",'abrasion emissions'!$K$7:$K$38,"Road",'abrasion emissions'!$L$7:$L$38,"b")*POWER(('vehicles specifications'!$Q16/1000),(1/SUMIFS('abrasion emissions'!$M$7:$M$38,'abrasion emissions'!$I$7:$I$38,"PM 10",'abrasion emissions'!$K$7:$K$38,"Road",'abrasion emissions'!$L$7:$L$38,"c")))))/1000000+CT16</f>
        <v>3.8058426632405336E-6</v>
      </c>
      <c r="CV16" s="7">
        <f>(CK16*CN16)+(CL16*CO16)+(CM16*CP16)</f>
        <v>3.6818808942371148E-6</v>
      </c>
      <c r="CW16" s="7">
        <f>(CK16*CQ16)+(CL16*CR16)+(CM16*CS16)</f>
        <v>3.4573831467413908E-6</v>
      </c>
    </row>
    <row r="17">
      <c r="A17" t="str">
        <f>B17&amp;" - "&amp;D17&amp;" - "&amp;IF(I17&lt;&gt;"",I17&amp;" - "&amp;E17,E17)</f>
        <v>Bicycle, conventional, urban - 2040 - CH</v>
      </c>
      <c r="B17" t="inlineStr">
        <is>
          <t>Bicycle, conventional, urban</t>
        </is>
      </c>
      <c r="D17" s="18" t="n">
        <v>2040</v>
      </c>
      <c r="E17" t="inlineStr">
        <is>
          <t>CH</t>
        </is>
      </c>
      <c r="F17" t="inlineStr">
        <is>
          <t>None</t>
        </is>
      </c>
      <c r="G17" t="inlineStr">
        <is>
          <t>vkm</t>
        </is>
      </c>
      <c r="J17" t="n">
        <v>15000</v>
      </c>
      <c r="K17" t="n">
        <v>1000</v>
      </c>
      <c r="L17" s="2">
        <f>J17/K17</f>
        <v>15</v>
      </c>
      <c r="M17" t="n">
        <v>1</v>
      </c>
      <c r="N17" t="n">
        <v>75</v>
      </c>
      <c r="O17" t="n">
        <v>1</v>
      </c>
      <c r="P17" s="2">
        <f>SUM(U17,V17,W17,AC17,AF17,AH17)</f>
        <v>11.399999999999999</v>
      </c>
      <c r="Q17" s="2">
        <f>P17+(M17*N17)+O17</f>
        <v>87.4</v>
      </c>
      <c r="R17" t="n">
        <v>0</v>
      </c>
      <c r="S17" s="2" t="n">
        <v>12</v>
      </c>
      <c r="T17" s="1" t="n">
        <v>0.05</v>
      </c>
      <c r="U17" s="2">
        <f>S17*(1-T17)</f>
        <v>11.399999999999999</v>
      </c>
      <c r="V17" t="n">
        <v>0</v>
      </c>
      <c r="W17" t="n">
        <v>0</v>
      </c>
      <c r="X17" s="3" t="n">
        <v>0</v>
      </c>
      <c r="Y17" s="1" t="n">
        <v>0.8</v>
      </c>
      <c r="Z17" s="3">
        <f>Y17*X17</f>
        <v>0</v>
      </c>
      <c r="AA17" s="3">
        <f>IF(I17&lt;&gt;"",X17/INDEX('energy battery'!$B$3:$D$6,MATCH('vehicles specifications'!$D17,'energy battery'!$A$3:$A$6,0),MATCH('vehicles specifications'!$I17,'energy battery'!$B$2:$D$2,0)),"")</f>
        <v/>
      </c>
      <c r="AB17" s="3">
        <f>IF(AA17&lt;&gt;"",0.3*AA17,"")</f>
        <v/>
      </c>
      <c r="AC17" s="3">
        <f>IF(AA17&lt;&gt;"",AB17+AA17,"")</f>
        <v/>
      </c>
      <c r="AD17" t="n">
        <v>0</v>
      </c>
      <c r="AE17" t="n">
        <v>0</v>
      </c>
      <c r="AF17" t="n">
        <v>0</v>
      </c>
      <c r="AG17" t="n">
        <v>0</v>
      </c>
      <c r="AH17" t="n">
        <v>0</v>
      </c>
      <c r="AI17" t="n">
        <v>0</v>
      </c>
      <c r="AJ17" t="n">
        <v>0</v>
      </c>
      <c r="AK17" s="6" t="n">
        <v>1</v>
      </c>
      <c r="AL17">
        <f>0.000537/1000*Q17</f>
        <v>4.6933800000000001E-5</v>
      </c>
      <c r="AM17" t="n">
        <v>0</v>
      </c>
      <c r="AN17" s="2">
        <f>U17</f>
        <v>11.399999999999999</v>
      </c>
      <c r="AO17" s="2">
        <f>SUM(V17:W17)</f>
        <v>0</v>
      </c>
      <c r="AP17" s="2">
        <f>AC17</f>
        <v/>
      </c>
      <c r="AQ17" s="6" t="inlineStr"/>
      <c r="AR17" s="20" t="n"/>
      <c r="AS17" s="6">
        <f>IF($H17="BEV",SUMPRODUCT(#REF!,#REF!),"")</f>
        <v/>
      </c>
      <c r="AT17" s="2" t="n">
        <v>0</v>
      </c>
      <c r="AU17" s="5" t="n">
        <v>0</v>
      </c>
      <c r="AV17" s="5" t="n">
        <v>0</v>
      </c>
      <c r="AW17" s="7" t="n">
        <v>0</v>
      </c>
      <c r="AX17" s="7" t="n">
        <v>0</v>
      </c>
      <c r="AY17" s="7" t="n">
        <v>0</v>
      </c>
      <c r="AZ17" s="7" t="n">
        <v>0</v>
      </c>
      <c r="BA17" s="7" t="n">
        <v>0</v>
      </c>
      <c r="BB17" s="7" t="n">
        <v>0</v>
      </c>
      <c r="BC17" s="7" t="n">
        <v>0</v>
      </c>
      <c r="BD17" s="7" t="n">
        <v>0</v>
      </c>
      <c r="BE17" s="7" t="n">
        <v>0</v>
      </c>
      <c r="BF17" s="7" t="n">
        <v>0</v>
      </c>
      <c r="BG17" s="7" t="n">
        <v>0</v>
      </c>
      <c r="BH17" s="7" t="n">
        <v>0</v>
      </c>
      <c r="BI17" s="7" t="n">
        <v>0</v>
      </c>
      <c r="BJ17" s="7" t="n">
        <v>0</v>
      </c>
      <c r="BK17" s="7" t="n">
        <v>0</v>
      </c>
      <c r="BL17" s="7" t="n">
        <v>0</v>
      </c>
      <c r="BM17" s="7" t="n">
        <v>0</v>
      </c>
      <c r="BN17" s="7" t="n">
        <v>0</v>
      </c>
      <c r="BO17" s="7" t="n">
        <v>0</v>
      </c>
      <c r="BP17" s="7" t="n">
        <v>0</v>
      </c>
      <c r="BQ17" s="7" t="n">
        <v>0</v>
      </c>
      <c r="BR17" s="7" t="n">
        <v>0</v>
      </c>
      <c r="BS17" s="7" t="n">
        <v>0</v>
      </c>
      <c r="BT17" s="7" t="n">
        <v>0</v>
      </c>
      <c r="BU17" s="7" t="n">
        <v>0</v>
      </c>
      <c r="BV17" s="7" t="n">
        <v>0</v>
      </c>
      <c r="BW17" s="7" t="n">
        <v>0</v>
      </c>
      <c r="BX17" s="7" t="n">
        <v>0</v>
      </c>
      <c r="BY17" s="7" t="n">
        <v>0</v>
      </c>
      <c r="BZ17" s="7" t="n">
        <v>0</v>
      </c>
      <c r="CA17" s="7" t="n">
        <v>0</v>
      </c>
      <c r="CB17" s="7" t="n">
        <v>0</v>
      </c>
      <c r="CC17" s="7" t="n">
        <v>0</v>
      </c>
      <c r="CD17" s="7" t="n">
        <v>0</v>
      </c>
      <c r="CE17" s="7" t="n">
        <v>0</v>
      </c>
      <c r="CF17" s="7" t="n">
        <v>0</v>
      </c>
      <c r="CG17" s="7" t="n">
        <v>0</v>
      </c>
      <c r="CH17" s="7" t="n">
        <v>0</v>
      </c>
      <c r="CI17" s="7" t="n">
        <v>0</v>
      </c>
      <c r="CJ17" s="7" t="n">
        <v>0</v>
      </c>
      <c r="CK17" s="38">
        <f>VLOOKUP($B17,'abrasion emissions'!$O$7:$R$36,2,FALSE)</f>
        <v>1</v>
      </c>
      <c r="CL17" s="38">
        <f>VLOOKUP($B17,'abrasion emissions'!$O$7:$R$36,3,FALSE)</f>
        <v>0</v>
      </c>
      <c r="CM17" s="38">
        <f>VLOOKUP($B17,'abrasion emissions'!$O$7:$R$36,4,FALSE)</f>
        <v>0</v>
      </c>
      <c r="CN17" s="7">
        <f>((SUMIFS('abrasion emissions'!$M$7:$M$34,'abrasion emissions'!$I$7:$I$34,"PM 2.5",'abrasion emissions'!$J$7:$J$34,"urban",'abrasion emissions'!$K$7:$K$34,"Tyre",'abrasion emissions'!$L$7:$L$34,"b")*POWER(('vehicles specifications'!$Q17/1000),(1/SUMIFS('abrasion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specifications'!$P17/1000),(1/SUMIFS('abrasion emissions'!$M$7:$M$34,'abrasion emissions'!$I$7:$I$34,"PM 10",'abrasion emissions'!$J$7:$J$34,"urban",'abrasion emissions'!$K$7:$K$34,"Tyre",'abrasion emissions'!$L$7:$L$34,"c")))))/1000000</f>
        <v>3.6709463022322847E-6</v>
      </c>
      <c r="CO17" s="7">
        <f>((SUMIFS('abrasion emissions'!$M$7:$M$34,'abrasion emissions'!$I$7:$I$34,"PM 2.5",'abrasion emissions'!$J$7:$J$34,"rural",'abrasion emissions'!$K$7:$K$34,"Tyre",'abrasion emissions'!$L$7:$L$34,"b")*POWER(('vehicles specifications'!$Q17/1000),(1/SUMIFS('abrasion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specifications'!$P17/1000),(1/SUMIFS('abrasion emissions'!$M$7:$M$34,'abrasion emissions'!$I$7:$I$34,"PM 10",'abrasion emissions'!$J$7:$J$34,"rural",'abrasion emissions'!$K$7:$K$34,"Tyre",'abrasion emissions'!$L$7:$L$34,"c")))))/1000000</f>
        <v>2.8612936492123031E-6</v>
      </c>
      <c r="CP17" s="7">
        <f>((SUMIFS('abrasion emissions'!$M$7:$M$34,'abrasion emissions'!$I$7:$I$34,"PM 2.5",'abrasion emissions'!$J$7:$J$34,"motorway",'abrasion emissions'!$K$7:$K$34,"Tyre",'abrasion emissions'!$L$7:$L$34,"b")*POWER(('vehicles specifications'!$Q17/1000),(1/SUMIFS('abrasion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specifications'!$P17/1000),(1/SUMIFS('abrasion emissions'!$M$7:$M$34,'abrasion emissions'!$I$7:$I$34,"PM 10",'abrasion emissions'!$J$7:$J$34,"motorway",'abrasion emissions'!$K$7:$K$34,"Tyre",'abrasion emissions'!$L$7:$L$34,"c")))))/1000000</f>
        <v>2.4493199566237322E-6</v>
      </c>
      <c r="CQ17" s="7">
        <f>((SUMIFS('abrasion emissions'!$M$7:$M$34,'abrasion emissions'!$I$7:$I$34,"PM 2.5",'abrasion emissions'!$J$7:$J$34,"urban",'abrasion emissions'!$K$7:$K$34,"Brake",'abrasion emissions'!$L$7:$L$34,"b")*POWER(('vehicles specifications'!$Q17/1000),(1/SUMIFS('abrasion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specifications'!$P17/1000),(1/SUMIFS('abrasion emissions'!$M$7:$M$34,'abrasion emissions'!$I$7:$I$34,"PM 10",'abrasion emissions'!$J$7:$J$34,"urban",'abrasion emissions'!$K$7:$K$34,"Brake",'abrasion emissions'!$L$7:$L$34,"c")))))/1000000</f>
        <v>3.4485828989510811E-6</v>
      </c>
      <c r="CR17" s="7">
        <f>((SUMIFS('abrasion emissions'!$M$7:$M$34,'abrasion emissions'!$I$7:$I$34,"PM 2.5",'abrasion emissions'!$J$7:$J$34,"rural",'abrasion emissions'!$K$7:$K$34,"Brake",'abrasion emissions'!$L$7:$L$34,"b")*POWER(('vehicles specifications'!$Q17/1000),(1/SUMIFS('abrasion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specifications'!$P17/1000),(1/SUMIFS('abrasion emissions'!$M$7:$M$34,'abrasion emissions'!$I$7:$I$34,"PM 10",'abrasion emissions'!$J$7:$J$34,"rural",'abrasion emissions'!$K$7:$K$34,"Brake",'abrasion emissions'!$L$7:$L$34,"c")))))/1000000</f>
        <v>9.774193214854052E-7</v>
      </c>
      <c r="CS17" s="7">
        <f>((SUMIFS('abrasion emissions'!$M$7:$M$34,'abrasion emissions'!$I$7:$I$34,"PM 2.5",'abrasion emissions'!$J$7:$J$34,"motorway",'abrasion emissions'!$K$7:$K$34,"Brake",'abrasion emissions'!$L$7:$L$34,"b")*POWER(('vehicles specifications'!$Q17/1000),(1/SUMIFS('abrasion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specifications'!$P17/1000),(1/SUMIFS('abrasion emissions'!$M$7:$M$34,'abrasion emissions'!$I$7:$I$34,"PM 10",'abrasion emissions'!$J$7:$J$34,"motorway",'abrasion emissions'!$K$7:$K$34,"Brake",'abrasion emissions'!$L$7:$L$34,"c")))))/1000000</f>
        <v>1.661880407693439E-7</v>
      </c>
      <c r="CT17" s="7">
        <f>((SUMIFS('abrasion emissions'!$M$7:$M$38,'abrasion emissions'!$I$7:$I$38,"PM 2.5",'abrasion emissions'!$K$7:$K$38,"Re-susp.",'abrasion emissions'!$L$7:$L$38,"b")*POWER(('vehicles specifications'!$Q17/1000),(1/SUMIFS('abrasion emissions'!$M$7:$M$38,'abrasion emissions'!$I$7:$I$38,"PM 2.5",'abrasion emissions'!$K$7:$K$38,"Re-susp.",'abrasion emissions'!$L$7:$L$38,"c"))))+
(SUMIFS('abrasion emissions'!$M$7:$M$38,'abrasion emissions'!$I$7:$I$38,"PM 10",'abrasion emissions'!$K$7:$K$38,"Re-susp.",'abrasion emissions'!$L$7:$L$38,"b")*POWER(('vehicles specifications'!$Q17/1000),(1/SUMIFS('abrasion emissions'!$M$7:$M$38,'abrasion emissions'!$I$7:$I$38,"PM 10",'abrasion emissions'!$K$7:$K$38,"Re-susp.",'abrasion emissions'!$L$7:$L$38,"c")))))/1000000</f>
        <v>1.7888812582742277E-6</v>
      </c>
      <c r="CU17" s="7">
        <f>((SUMIFS('abrasion emissions'!$M$7:$M$38,'abrasion emissions'!$I$7:$I$38,"PM 2.5",'abrasion emissions'!$K$7:$K$38,"Road",'abrasion emissions'!$L$7:$L$38,"b")*POWER(('vehicles specifications'!$Q17/1000),(1/SUMIFS('abrasion emissions'!$M$7:$M$38,'abrasion emissions'!$I$7:$I$38,"PM 2.5",'abrasion emissions'!$K$7:$K$38,"Road",'abrasion emissions'!$L$7:$L$38,"c"))))+
(SUMIFS('abrasion emissions'!$M$7:$M$38,'abrasion emissions'!$I$7:$I$38,"PM 10",'abrasion emissions'!$K$7:$K$38,"Road",'abrasion emissions'!$L$7:$L$38,"b")*POWER(('vehicles specifications'!$Q17/1000),(1/SUMIFS('abrasion emissions'!$M$7:$M$38,'abrasion emissions'!$I$7:$I$38,"PM 10",'abrasion emissions'!$K$7:$K$38,"Road",'abrasion emissions'!$L$7:$L$38,"c")))))/1000000+CT17</f>
        <v>3.7977017358485391E-6</v>
      </c>
      <c r="CV17" s="7">
        <f>(CK17*CN17)+(CL17*CO17)+(CM17*CP17)</f>
        <v>3.6709463022322847E-6</v>
      </c>
      <c r="CW17" s="7">
        <f>(CK17*CQ17)+(CL17*CR17)+(CM17*CS17)</f>
        <v>3.4485828989510811E-6</v>
      </c>
    </row>
    <row r="18">
      <c r="A18" t="str">
        <f>B18&amp;" - "&amp;D18&amp;" - "&amp;IF(I18&lt;&gt;"",I18&amp;" - "&amp;E18,E18)</f>
        <v>Bicycle, conventional, urban - 2050 - CH</v>
      </c>
      <c r="B18" t="inlineStr">
        <is>
          <t>Bicycle, conventional, urban</t>
        </is>
      </c>
      <c r="D18" s="18" t="n">
        <v>2050</v>
      </c>
      <c r="E18" t="inlineStr">
        <is>
          <t>CH</t>
        </is>
      </c>
      <c r="F18" t="inlineStr">
        <is>
          <t>None</t>
        </is>
      </c>
      <c r="G18" t="inlineStr">
        <is>
          <t>vkm</t>
        </is>
      </c>
      <c r="J18" t="n">
        <v>15000</v>
      </c>
      <c r="K18" t="n">
        <v>1000</v>
      </c>
      <c r="L18" s="2">
        <f>J18/K18</f>
        <v>15</v>
      </c>
      <c r="M18" t="n">
        <v>1</v>
      </c>
      <c r="N18" t="n">
        <v>75</v>
      </c>
      <c r="O18" t="n">
        <v>1</v>
      </c>
      <c r="P18" s="2">
        <f>SUM(U18,V18,W18,AC18,AF18,AH18)</f>
        <v>11.16</v>
      </c>
      <c r="Q18" s="2">
        <f>P18+(M18*N18)+O18</f>
        <v>87.16</v>
      </c>
      <c r="R18" t="n">
        <v>0</v>
      </c>
      <c r="S18" s="2" t="n">
        <v>12</v>
      </c>
      <c r="T18" s="1" t="n">
        <v>0.07000000000000001</v>
      </c>
      <c r="U18" s="2">
        <f>S18*(1-T18)</f>
        <v>11.16</v>
      </c>
      <c r="V18" t="n">
        <v>0</v>
      </c>
      <c r="W18" t="n">
        <v>0</v>
      </c>
      <c r="X18" s="3" t="n">
        <v>0</v>
      </c>
      <c r="Y18" s="1" t="n">
        <v>0.8</v>
      </c>
      <c r="Z18" s="3">
        <f>Y18*X18</f>
        <v>0</v>
      </c>
      <c r="AA18" s="3">
        <f>IF(I18&lt;&gt;"",X18/INDEX('energy battery'!$B$3:$D$6,MATCH('vehicles specifications'!$D18,'energy battery'!$A$3:$A$6,0),MATCH('vehicles specifications'!$I18,'energy battery'!$B$2:$D$2,0)),"")</f>
        <v/>
      </c>
      <c r="AB18" s="3">
        <f>IF(AA18&lt;&gt;"",0.3*AA18,"")</f>
        <v/>
      </c>
      <c r="AC18" s="3">
        <f>IF(AA18&lt;&gt;"",AB18+AA18,"")</f>
        <v/>
      </c>
      <c r="AD18" t="n">
        <v>0</v>
      </c>
      <c r="AE18" t="n">
        <v>0</v>
      </c>
      <c r="AF18" t="n">
        <v>0</v>
      </c>
      <c r="AG18" t="n">
        <v>0</v>
      </c>
      <c r="AH18" t="n">
        <v>0</v>
      </c>
      <c r="AI18" t="n">
        <v>0</v>
      </c>
      <c r="AJ18" t="n">
        <v>0</v>
      </c>
      <c r="AK18" s="6" t="n">
        <v>1</v>
      </c>
      <c r="AL18">
        <f>0.000537/1000*Q18</f>
        <v>4.6804919999999998E-5</v>
      </c>
      <c r="AM18" t="n">
        <v>0</v>
      </c>
      <c r="AN18" s="2">
        <f>U18</f>
        <v>11.16</v>
      </c>
      <c r="AO18" s="2">
        <f>SUM(V18:W18)</f>
        <v>0</v>
      </c>
      <c r="AP18" s="2">
        <f>AC18</f>
        <v/>
      </c>
      <c r="AQ18" s="6" t="inlineStr"/>
      <c r="AR18" s="20" t="n"/>
      <c r="AS18" s="6">
        <f>IF($H18="BEV",SUMPRODUCT(#REF!,#REF!),"")</f>
        <v/>
      </c>
      <c r="AT18" s="2" t="n">
        <v>0</v>
      </c>
      <c r="AU18" s="5" t="n">
        <v>0</v>
      </c>
      <c r="AV18" s="5" t="n">
        <v>0</v>
      </c>
      <c r="AW18" s="7" t="n">
        <v>0</v>
      </c>
      <c r="AX18" s="7" t="n">
        <v>0</v>
      </c>
      <c r="AY18" s="7" t="n">
        <v>0</v>
      </c>
      <c r="AZ18" s="7" t="n">
        <v>0</v>
      </c>
      <c r="BA18" s="7" t="n">
        <v>0</v>
      </c>
      <c r="BB18" s="7" t="n">
        <v>0</v>
      </c>
      <c r="BC18" s="7" t="n">
        <v>0</v>
      </c>
      <c r="BD18" s="7" t="n">
        <v>0</v>
      </c>
      <c r="BE18" s="7" t="n">
        <v>0</v>
      </c>
      <c r="BF18" s="7" t="n">
        <v>0</v>
      </c>
      <c r="BG18" s="7" t="n">
        <v>0</v>
      </c>
      <c r="BH18" s="7" t="n">
        <v>0</v>
      </c>
      <c r="BI18" s="7" t="n">
        <v>0</v>
      </c>
      <c r="BJ18" s="7" t="n">
        <v>0</v>
      </c>
      <c r="BK18" s="7" t="n">
        <v>0</v>
      </c>
      <c r="BL18" s="7" t="n">
        <v>0</v>
      </c>
      <c r="BM18" s="7" t="n">
        <v>0</v>
      </c>
      <c r="BN18" s="7" t="n">
        <v>0</v>
      </c>
      <c r="BO18" s="7" t="n">
        <v>0</v>
      </c>
      <c r="BP18" s="7" t="n">
        <v>0</v>
      </c>
      <c r="BQ18" s="7" t="n">
        <v>0</v>
      </c>
      <c r="BR18" s="7" t="n">
        <v>0</v>
      </c>
      <c r="BS18" s="7" t="n">
        <v>0</v>
      </c>
      <c r="BT18" s="7" t="n">
        <v>0</v>
      </c>
      <c r="BU18" s="7" t="n">
        <v>0</v>
      </c>
      <c r="BV18" s="7" t="n">
        <v>0</v>
      </c>
      <c r="BW18" s="7" t="n">
        <v>0</v>
      </c>
      <c r="BX18" s="7" t="n">
        <v>0</v>
      </c>
      <c r="BY18" s="7" t="n">
        <v>0</v>
      </c>
      <c r="BZ18" s="7" t="n">
        <v>0</v>
      </c>
      <c r="CA18" s="7" t="n">
        <v>0</v>
      </c>
      <c r="CB18" s="7" t="n">
        <v>0</v>
      </c>
      <c r="CC18" s="7" t="n">
        <v>0</v>
      </c>
      <c r="CD18" s="7" t="n">
        <v>0</v>
      </c>
      <c r="CE18" s="7" t="n">
        <v>0</v>
      </c>
      <c r="CF18" s="7" t="n">
        <v>0</v>
      </c>
      <c r="CG18" s="7" t="n">
        <v>0</v>
      </c>
      <c r="CH18" s="7" t="n">
        <v>0</v>
      </c>
      <c r="CI18" s="7" t="n">
        <v>0</v>
      </c>
      <c r="CJ18" s="7" t="n">
        <v>0</v>
      </c>
      <c r="CK18" s="38">
        <f>VLOOKUP($B18,'abrasion emissions'!$O$7:$R$36,2,FALSE)</f>
        <v>1</v>
      </c>
      <c r="CL18" s="38">
        <f>VLOOKUP($B18,'abrasion emissions'!$O$7:$R$36,3,FALSE)</f>
        <v>0</v>
      </c>
      <c r="CM18" s="38">
        <f>VLOOKUP($B18,'abrasion emissions'!$O$7:$R$36,4,FALSE)</f>
        <v>0</v>
      </c>
      <c r="CN18" s="7">
        <f>((SUMIFS('abrasion emissions'!$M$7:$M$34,'abrasion emissions'!$I$7:$I$34,"PM 2.5",'abrasion emissions'!$J$7:$J$34,"urban",'abrasion emissions'!$K$7:$K$34,"Tyre",'abrasion emissions'!$L$7:$L$34,"b")*POWER(('vehicles specifications'!$Q18/1000),(1/SUMIFS('abrasion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specifications'!$P18/1000),(1/SUMIFS('abrasion emissions'!$M$7:$M$34,'abrasion emissions'!$I$7:$I$34,"PM 10",'abrasion emissions'!$J$7:$J$34,"urban",'abrasion emissions'!$K$7:$K$34,"Tyre",'abrasion emissions'!$L$7:$L$34,"c")))))/1000000</f>
        <v>3.6599161272458636E-6</v>
      </c>
      <c r="CO18" s="7">
        <f>((SUMIFS('abrasion emissions'!$M$7:$M$34,'abrasion emissions'!$I$7:$I$34,"PM 2.5",'abrasion emissions'!$J$7:$J$34,"rural",'abrasion emissions'!$K$7:$K$34,"Tyre",'abrasion emissions'!$L$7:$L$34,"b")*POWER(('vehicles specifications'!$Q18/1000),(1/SUMIFS('abrasion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specifications'!$P18/1000),(1/SUMIFS('abrasion emissions'!$M$7:$M$34,'abrasion emissions'!$I$7:$I$34,"PM 10",'abrasion emissions'!$J$7:$J$34,"rural",'abrasion emissions'!$K$7:$K$34,"Tyre",'abrasion emissions'!$L$7:$L$34,"c")))))/1000000</f>
        <v>2.852720047884896E-6</v>
      </c>
      <c r="CP18" s="7">
        <f>((SUMIFS('abrasion emissions'!$M$7:$M$34,'abrasion emissions'!$I$7:$I$34,"PM 2.5",'abrasion emissions'!$J$7:$J$34,"motorway",'abrasion emissions'!$K$7:$K$34,"Tyre",'abrasion emissions'!$L$7:$L$34,"b")*POWER(('vehicles specifications'!$Q18/1000),(1/SUMIFS('abrasion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specifications'!$P18/1000),(1/SUMIFS('abrasion emissions'!$M$7:$M$34,'abrasion emissions'!$I$7:$I$34,"PM 10",'abrasion emissions'!$J$7:$J$34,"motorway",'abrasion emissions'!$K$7:$K$34,"Tyre",'abrasion emissions'!$L$7:$L$34,"c")))))/1000000</f>
        <v>2.4420404578140958E-6</v>
      </c>
      <c r="CQ18" s="7">
        <f>((SUMIFS('abrasion emissions'!$M$7:$M$34,'abrasion emissions'!$I$7:$I$34,"PM 2.5",'abrasion emissions'!$J$7:$J$34,"urban",'abrasion emissions'!$K$7:$K$34,"Brake",'abrasion emissions'!$L$7:$L$34,"b")*POWER(('vehicles specifications'!$Q18/1000),(1/SUMIFS('abrasion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specifications'!$P18/1000),(1/SUMIFS('abrasion emissions'!$M$7:$M$34,'abrasion emissions'!$I$7:$I$34,"PM 10",'abrasion emissions'!$J$7:$J$34,"urban",'abrasion emissions'!$K$7:$K$34,"Brake",'abrasion emissions'!$L$7:$L$34,"c")))))/1000000</f>
        <v>3.4397328646650205E-6</v>
      </c>
      <c r="CR18" s="7">
        <f>((SUMIFS('abrasion emissions'!$M$7:$M$34,'abrasion emissions'!$I$7:$I$34,"PM 2.5",'abrasion emissions'!$J$7:$J$34,"rural",'abrasion emissions'!$K$7:$K$34,"Brake",'abrasion emissions'!$L$7:$L$34,"b")*POWER(('vehicles specifications'!$Q18/1000),(1/SUMIFS('abrasion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specifications'!$P18/1000),(1/SUMIFS('abrasion emissions'!$M$7:$M$34,'abrasion emissions'!$I$7:$I$34,"PM 10",'abrasion emissions'!$J$7:$J$34,"rural",'abrasion emissions'!$K$7:$K$34,"Brake",'abrasion emissions'!$L$7:$L$34,"c")))))/1000000</f>
        <v>9.7451198124909682E-7</v>
      </c>
      <c r="CS18" s="7">
        <f>((SUMIFS('abrasion emissions'!$M$7:$M$34,'abrasion emissions'!$I$7:$I$34,"PM 2.5",'abrasion emissions'!$J$7:$J$34,"motorway",'abrasion emissions'!$K$7:$K$34,"Brake",'abrasion emissions'!$L$7:$L$34,"b")*POWER(('vehicles specifications'!$Q18/1000),(1/SUMIFS('abrasion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specifications'!$P18/1000),(1/SUMIFS('abrasion emissions'!$M$7:$M$34,'abrasion emissions'!$I$7:$I$34,"PM 10",'abrasion emissions'!$J$7:$J$34,"motorway",'abrasion emissions'!$K$7:$K$34,"Brake",'abrasion emissions'!$L$7:$L$34,"c")))))/1000000</f>
        <v>1.6565607320927252E-7</v>
      </c>
      <c r="CT18" s="7">
        <f>((SUMIFS('abrasion emissions'!$M$7:$M$38,'abrasion emissions'!$I$7:$I$38,"PM 2.5",'abrasion emissions'!$K$7:$K$38,"Re-susp.",'abrasion emissions'!$L$7:$L$38,"b")*POWER(('vehicles specifications'!$Q18/1000),(1/SUMIFS('abrasion emissions'!$M$7:$M$38,'abrasion emissions'!$I$7:$I$38,"PM 2.5",'abrasion emissions'!$K$7:$K$38,"Re-susp.",'abrasion emissions'!$L$7:$L$38,"c"))))+
(SUMIFS('abrasion emissions'!$M$7:$M$38,'abrasion emissions'!$I$7:$I$38,"PM 10",'abrasion emissions'!$K$7:$K$38,"Re-susp.",'abrasion emissions'!$L$7:$L$38,"b")*POWER(('vehicles specifications'!$Q18/1000),(1/SUMIFS('abrasion emissions'!$M$7:$M$38,'abrasion emissions'!$I$7:$I$38,"PM 10",'abrasion emissions'!$K$7:$K$38,"Re-susp.",'abrasion emissions'!$L$7:$L$38,"c")))))/1000000</f>
        <v>1.7844150096382683E-6</v>
      </c>
      <c r="CU18" s="7">
        <f>((SUMIFS('abrasion emissions'!$M$7:$M$38,'abrasion emissions'!$I$7:$I$38,"PM 2.5",'abrasion emissions'!$K$7:$K$38,"Road",'abrasion emissions'!$L$7:$L$38,"b")*POWER(('vehicles specifications'!$Q18/1000),(1/SUMIFS('abrasion emissions'!$M$7:$M$38,'abrasion emissions'!$I$7:$I$38,"PM 2.5",'abrasion emissions'!$K$7:$K$38,"Road",'abrasion emissions'!$L$7:$L$38,"c"))))+
(SUMIFS('abrasion emissions'!$M$7:$M$38,'abrasion emissions'!$I$7:$I$38,"PM 10",'abrasion emissions'!$K$7:$K$38,"Road",'abrasion emissions'!$L$7:$L$38,"b")*POWER(('vehicles specifications'!$Q18/1000),(1/SUMIFS('abrasion emissions'!$M$7:$M$38,'abrasion emissions'!$I$7:$I$38,"PM 10",'abrasion emissions'!$K$7:$K$38,"Road",'abrasion emissions'!$L$7:$L$38,"c")))))/1000000+CT18</f>
        <v>3.7895563275420051E-6</v>
      </c>
      <c r="CV18" s="7">
        <f>(CK18*CN18)+(CL18*CO18)+(CM18*CP18)</f>
        <v>3.6599161272458636E-6</v>
      </c>
      <c r="CW18" s="7">
        <f>(CK18*CQ18)+(CL18*CR18)+(CM18*CS18)</f>
        <v>3.4397328646650205E-6</v>
      </c>
    </row>
    <row r="19">
      <c r="A19" t="str">
        <f>B19&amp;" - "&amp;D19&amp;" - "&amp;IF(I19&lt;&gt;"",I19&amp;" - "&amp;E19,E19)</f>
        <v>Bicycle, electric (&lt;25 km/h) - 2020 - NMC - CH</v>
      </c>
      <c r="B19" t="inlineStr">
        <is>
          <t>Bicycle, electric (&lt;25 km/h)</t>
        </is>
      </c>
      <c r="D19" s="18" t="n">
        <v>2020</v>
      </c>
      <c r="E19" t="inlineStr">
        <is>
          <t>CH</t>
        </is>
      </c>
      <c r="F19" t="inlineStr">
        <is>
          <t>None</t>
        </is>
      </c>
      <c r="G19" t="inlineStr">
        <is>
          <t>vkm</t>
        </is>
      </c>
      <c r="H19" t="inlineStr">
        <is>
          <t>BEV</t>
        </is>
      </c>
      <c r="I19" t="inlineStr">
        <is>
          <t>NMC</t>
        </is>
      </c>
      <c r="J19" t="n">
        <v>20000</v>
      </c>
      <c r="K19" t="n">
        <v>2000</v>
      </c>
      <c r="L19" s="2">
        <f>J19/K19</f>
        <v>10</v>
      </c>
      <c r="M19" t="n">
        <v>1</v>
      </c>
      <c r="N19" t="n">
        <v>75</v>
      </c>
      <c r="O19" t="n">
        <v>1</v>
      </c>
      <c r="P19" s="2">
        <f>SUM(U19,V19,W19,AC19,AF19,AH19)</f>
        <v>23.25</v>
      </c>
      <c r="Q19" s="2">
        <f>P19+(M19*N19)+O19</f>
        <v>99.25</v>
      </c>
      <c r="R19" t="n">
        <v>0.25</v>
      </c>
      <c r="S19" s="2" t="n">
        <v>16</v>
      </c>
      <c r="T19" s="1" t="n">
        <v>0</v>
      </c>
      <c r="U19" s="2">
        <f>S19*(1-T19)</f>
        <v>16</v>
      </c>
      <c r="V19" t="n">
        <v>0</v>
      </c>
      <c r="W19" t="n">
        <v>4</v>
      </c>
      <c r="X19" s="3" t="n">
        <v>0.5</v>
      </c>
      <c r="Y19" s="1" t="n">
        <v>0.8</v>
      </c>
      <c r="Z19" s="3">
        <f>Y19*X19</f>
        <v>0.4</v>
      </c>
      <c r="AA19" s="3">
        <f>IF(I19&lt;&gt;"",X19/INDEX('energy battery'!$B$3:$D$6,MATCH('vehicles specifications'!$D19,'energy battery'!$A$3:$A$6,0),MATCH('vehicles specifications'!$I19,'energy battery'!$B$2:$D$2,0)),"")</f>
        <v>2.5</v>
      </c>
      <c r="AB19" s="3">
        <f>IF(AA19&lt;&gt;"",0.3*AA19,"")</f>
        <v>0.75</v>
      </c>
      <c r="AC19" s="3">
        <f>IF(AA19&lt;&gt;"",AB19+AA19,"")</f>
        <v>3.25</v>
      </c>
      <c r="AD19" t="n">
        <v>1</v>
      </c>
      <c r="AE19" t="n">
        <v>0</v>
      </c>
      <c r="AF19" t="n">
        <v>0</v>
      </c>
      <c r="AG19" t="n">
        <v>0</v>
      </c>
      <c r="AH19" t="n">
        <v>0</v>
      </c>
      <c r="AI19" t="n">
        <v>0.5</v>
      </c>
      <c r="AJ19" t="n">
        <v>1</v>
      </c>
      <c r="AK19" s="6">
        <f>J19/15000</f>
        <v>1.3333333333333333</v>
      </c>
      <c r="AL19">
        <f>0.000537/1000*Q19</f>
        <v>5.3297249999999999E-5</v>
      </c>
      <c r="AM19" t="n">
        <v>0</v>
      </c>
      <c r="AN19" s="2">
        <f>U19</f>
        <v>16</v>
      </c>
      <c r="AO19" s="2">
        <f>SUM(V19:W19)</f>
        <v>4</v>
      </c>
      <c r="AP19" s="2">
        <f>AC19</f>
        <v>3.25</v>
      </c>
      <c r="AQ19" s="6" t="inlineStr"/>
      <c r="AR19" s="20" t="n"/>
      <c r="AS19" s="5" t="n">
        <v>0.02467063914986235</v>
      </c>
      <c r="AT19" s="2">
        <f>SUM(Z19,AG19)/(SUM(AQ19,AS19)/3.6)</f>
        <v>58.368978251949123</v>
      </c>
      <c r="AU19" s="5" t="n">
        <v>0</v>
      </c>
      <c r="AV19" s="5" t="n">
        <v>0</v>
      </c>
      <c r="AW19" s="7" t="n">
        <v>0</v>
      </c>
      <c r="AX19" s="7" t="n">
        <v>0</v>
      </c>
      <c r="AY19" s="7" t="n">
        <v>0</v>
      </c>
      <c r="AZ19" s="7" t="n">
        <v>0</v>
      </c>
      <c r="BA19" s="7" t="n">
        <v>0</v>
      </c>
      <c r="BB19" s="7" t="n">
        <v>0</v>
      </c>
      <c r="BC19" s="7" t="n">
        <v>0</v>
      </c>
      <c r="BD19" s="7" t="n">
        <v>0</v>
      </c>
      <c r="BE19" s="7" t="n">
        <v>0</v>
      </c>
      <c r="BF19" s="7" t="n">
        <v>0</v>
      </c>
      <c r="BG19" s="7" t="n">
        <v>0</v>
      </c>
      <c r="BH19" s="7" t="n">
        <v>0</v>
      </c>
      <c r="BI19" s="7" t="n">
        <v>0</v>
      </c>
      <c r="BJ19" s="7" t="n">
        <v>0</v>
      </c>
      <c r="BK19" s="7" t="n">
        <v>0</v>
      </c>
      <c r="BL19" s="7" t="n">
        <v>0</v>
      </c>
      <c r="BM19" s="7" t="n">
        <v>0</v>
      </c>
      <c r="BN19" s="7" t="n">
        <v>0</v>
      </c>
      <c r="BO19" s="7" t="n">
        <v>0</v>
      </c>
      <c r="BP19" s="7" t="n">
        <v>0</v>
      </c>
      <c r="BQ19" s="7" t="n">
        <v>0</v>
      </c>
      <c r="BR19" s="7" t="n">
        <v>0</v>
      </c>
      <c r="BS19" s="7" t="n">
        <v>0</v>
      </c>
      <c r="BT19" s="7" t="n">
        <v>0</v>
      </c>
      <c r="BU19" s="7" t="n">
        <v>0</v>
      </c>
      <c r="BV19" s="7" t="n">
        <v>0</v>
      </c>
      <c r="BW19" s="7" t="n">
        <v>0</v>
      </c>
      <c r="BX19" s="7" t="n">
        <v>0</v>
      </c>
      <c r="BY19" s="7" t="n">
        <v>0</v>
      </c>
      <c r="BZ19" s="7" t="n">
        <v>0</v>
      </c>
      <c r="CA19" s="7" t="n">
        <v>0</v>
      </c>
      <c r="CB19" s="7" t="n">
        <v>0</v>
      </c>
      <c r="CC19" s="7" t="n">
        <v>0</v>
      </c>
      <c r="CD19" s="7" t="n">
        <v>0</v>
      </c>
      <c r="CE19" s="7" t="n">
        <v>0</v>
      </c>
      <c r="CF19" s="7" t="n">
        <v>0</v>
      </c>
      <c r="CG19" s="7" t="n">
        <v>0</v>
      </c>
      <c r="CH19" s="7" t="n">
        <v>0</v>
      </c>
      <c r="CI19" s="7" t="n">
        <v>0</v>
      </c>
      <c r="CJ19" s="7" t="n">
        <v>0</v>
      </c>
      <c r="CK19" s="38">
        <f>VLOOKUP($B19,'abrasion emissions'!$O$7:$R$36,2,FALSE)</f>
        <v>1</v>
      </c>
      <c r="CL19" s="38">
        <f>VLOOKUP($B19,'abrasion emissions'!$O$7:$R$36,3,FALSE)</f>
        <v>0</v>
      </c>
      <c r="CM19" s="38">
        <f>VLOOKUP($B19,'abrasion emissions'!$O$7:$R$36,4,FALSE)</f>
        <v>0</v>
      </c>
      <c r="CN19" s="7">
        <f>((SUMIFS('abrasion emissions'!$M$7:$M$34,'abrasion emissions'!$I$7:$I$34,"PM 2.5",'abrasion emissions'!$J$7:$J$34,"urban",'abrasion emissions'!$K$7:$K$34,"Tyre",'abrasion emissions'!$L$7:$L$34,"b")*POWER(('vehicles specifications'!$Q19/1000),(1/SUMIFS('abrasion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specifications'!$P19/1000),(1/SUMIFS('abrasion emissions'!$M$7:$M$34,'abrasion emissions'!$I$7:$I$34,"PM 10",'abrasion emissions'!$J$7:$J$34,"urban",'abrasion emissions'!$K$7:$K$34,"Tyre",'abrasion emissions'!$L$7:$L$34,"c")))))/1000000</f>
        <v>4.1336328964445005E-6</v>
      </c>
      <c r="CO19" s="7">
        <f>((SUMIFS('abrasion emissions'!$M$7:$M$34,'abrasion emissions'!$I$7:$I$34,"PM 2.5",'abrasion emissions'!$J$7:$J$34,"rural",'abrasion emissions'!$K$7:$K$34,"Tyre",'abrasion emissions'!$L$7:$L$34,"b")*POWER(('vehicles specifications'!$Q19/1000),(1/SUMIFS('abrasion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specifications'!$P19/1000),(1/SUMIFS('abrasion emissions'!$M$7:$M$34,'abrasion emissions'!$I$7:$I$34,"PM 10",'abrasion emissions'!$J$7:$J$34,"rural",'abrasion emissions'!$K$7:$K$34,"Tyre",'abrasion emissions'!$L$7:$L$34,"c")))))/1000000</f>
        <v>3.2210217963264923E-6</v>
      </c>
      <c r="CP19" s="7">
        <f>((SUMIFS('abrasion emissions'!$M$7:$M$34,'abrasion emissions'!$I$7:$I$34,"PM 2.5",'abrasion emissions'!$J$7:$J$34,"motorway",'abrasion emissions'!$K$7:$K$34,"Tyre",'abrasion emissions'!$L$7:$L$34,"b")*POWER(('vehicles specifications'!$Q19/1000),(1/SUMIFS('abrasion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specifications'!$P19/1000),(1/SUMIFS('abrasion emissions'!$M$7:$M$34,'abrasion emissions'!$I$7:$I$34,"PM 10",'abrasion emissions'!$J$7:$J$34,"motorway",'abrasion emissions'!$K$7:$K$34,"Tyre",'abrasion emissions'!$L$7:$L$34,"c")))))/1000000</f>
        <v>2.75497265368395E-6</v>
      </c>
      <c r="CQ19" s="7">
        <f>((SUMIFS('abrasion emissions'!$M$7:$M$34,'abrasion emissions'!$I$7:$I$34,"PM 2.5",'abrasion emissions'!$J$7:$J$34,"urban",'abrasion emissions'!$K$7:$K$34,"Brake",'abrasion emissions'!$L$7:$L$34,"b")*POWER(('vehicles specifications'!$Q19/1000),(1/SUMIFS('abrasion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specifications'!$P19/1000),(1/SUMIFS('abrasion emissions'!$M$7:$M$34,'abrasion emissions'!$I$7:$I$34,"PM 10",'abrasion emissions'!$J$7:$J$34,"urban",'abrasion emissions'!$K$7:$K$34,"Brake",'abrasion emissions'!$L$7:$L$34,"c")))))/1000000</f>
        <v>3.8410985523805933E-6</v>
      </c>
      <c r="CR19" s="7">
        <f>((SUMIFS('abrasion emissions'!$M$7:$M$34,'abrasion emissions'!$I$7:$I$34,"PM 2.5",'abrasion emissions'!$J$7:$J$34,"rural",'abrasion emissions'!$K$7:$K$34,"Brake",'abrasion emissions'!$L$7:$L$34,"b")*POWER(('vehicles specifications'!$Q19/1000),(1/SUMIFS('abrasion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specifications'!$P19/1000),(1/SUMIFS('abrasion emissions'!$M$7:$M$34,'abrasion emissions'!$I$7:$I$34,"PM 10",'abrasion emissions'!$J$7:$J$34,"rural",'abrasion emissions'!$K$7:$K$34,"Brake",'abrasion emissions'!$L$7:$L$34,"c")))))/1000000</f>
        <v>1.1112714817922416E-6</v>
      </c>
      <c r="CS19" s="7">
        <f>((SUMIFS('abrasion emissions'!$M$7:$M$34,'abrasion emissions'!$I$7:$I$34,"PM 2.5",'abrasion emissions'!$J$7:$J$34,"motorway",'abrasion emissions'!$K$7:$K$34,"Brake",'abrasion emissions'!$L$7:$L$34,"b")*POWER(('vehicles specifications'!$Q19/1000),(1/SUMIFS('abrasion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specifications'!$P19/1000),(1/SUMIFS('abrasion emissions'!$M$7:$M$34,'abrasion emissions'!$I$7:$I$34,"PM 10",'abrasion emissions'!$J$7:$J$34,"motorway",'abrasion emissions'!$K$7:$K$34,"Brake",'abrasion emissions'!$L$7:$L$34,"c")))))/1000000</f>
        <v>1.9129759911208991E-7</v>
      </c>
      <c r="CT19" s="7">
        <f>((SUMIFS('abrasion emissions'!$M$7:$M$38,'abrasion emissions'!$I$7:$I$38,"PM 2.5",'abrasion emissions'!$K$7:$K$38,"Re-susp.",'abrasion emissions'!$L$7:$L$38,"b")*POWER(('vehicles specifications'!$Q19/1000),(1/SUMIFS('abrasion emissions'!$M$7:$M$38,'abrasion emissions'!$I$7:$I$38,"PM 2.5",'abrasion emissions'!$K$7:$K$38,"Re-susp.",'abrasion emissions'!$L$7:$L$38,"c"))))+
(SUMIFS('abrasion emissions'!$M$7:$M$38,'abrasion emissions'!$I$7:$I$38,"PM 10",'abrasion emissions'!$K$7:$K$38,"Re-susp.",'abrasion emissions'!$L$7:$L$38,"b")*POWER(('vehicles specifications'!$Q19/1000),(1/SUMIFS('abrasion emissions'!$M$7:$M$38,'abrasion emissions'!$I$7:$I$38,"PM 10",'abrasion emissions'!$K$7:$K$38,"Re-susp.",'abrasion emissions'!$L$7:$L$38,"c")))))/1000000</f>
        <v>2.0080784721395564E-6</v>
      </c>
      <c r="CU19" s="7">
        <f>((SUMIFS('abrasion emissions'!$M$7:$M$38,'abrasion emissions'!$I$7:$I$38,"PM 2.5",'abrasion emissions'!$K$7:$K$38,"Road",'abrasion emissions'!$L$7:$L$38,"b")*POWER(('vehicles specifications'!$Q19/1000),(1/SUMIFS('abrasion emissions'!$M$7:$M$38,'abrasion emissions'!$I$7:$I$38,"PM 2.5",'abrasion emissions'!$K$7:$K$38,"Road",'abrasion emissions'!$L$7:$L$38,"c"))))+
(SUMIFS('abrasion emissions'!$M$7:$M$38,'abrasion emissions'!$I$7:$I$38,"PM 10",'abrasion emissions'!$K$7:$K$38,"Road",'abrasion emissions'!$L$7:$L$38,"b")*POWER(('vehicles specifications'!$Q19/1000),(1/SUMIFS('abrasion emissions'!$M$7:$M$38,'abrasion emissions'!$I$7:$I$38,"PM 10",'abrasion emissions'!$K$7:$K$38,"Road",'abrasion emissions'!$L$7:$L$38,"c")))))/1000000+CT19</f>
        <v>4.1946004585487268E-6</v>
      </c>
      <c r="CV19" s="7">
        <f>(CK19*CN19)+(CL19*CO19)+(CM19*CP19)</f>
        <v>4.1336328964445005E-6</v>
      </c>
      <c r="CW19" s="7">
        <f>(CK19*CQ19)+(CL19*CR19)+(CM19*CS19)</f>
        <v>3.8410985523805933E-6</v>
      </c>
    </row>
    <row r="20">
      <c r="A20" t="str">
        <f>B20&amp;" - "&amp;D20&amp;" - "&amp;IF(I20&lt;&gt;"",I20&amp;" - "&amp;E20,E20)</f>
        <v>Bicycle, electric (&lt;25 km/h) - 2030 - NMC - CH</v>
      </c>
      <c r="B20" t="inlineStr">
        <is>
          <t>Bicycle, electric (&lt;25 km/h)</t>
        </is>
      </c>
      <c r="D20" s="18" t="n">
        <v>2030</v>
      </c>
      <c r="E20" t="inlineStr">
        <is>
          <t>CH</t>
        </is>
      </c>
      <c r="F20" t="inlineStr">
        <is>
          <t>None</t>
        </is>
      </c>
      <c r="G20" t="inlineStr">
        <is>
          <t>vkm</t>
        </is>
      </c>
      <c r="H20" t="inlineStr">
        <is>
          <t>BEV</t>
        </is>
      </c>
      <c r="I20" t="inlineStr">
        <is>
          <t>NMC</t>
        </is>
      </c>
      <c r="J20" t="n">
        <v>20000</v>
      </c>
      <c r="K20" t="n">
        <v>2000</v>
      </c>
      <c r="L20" s="2">
        <f>J20/K20</f>
        <v>10</v>
      </c>
      <c r="M20" t="n">
        <v>1</v>
      </c>
      <c r="N20" t="n">
        <v>75</v>
      </c>
      <c r="O20" t="n">
        <v>1</v>
      </c>
      <c r="P20" s="2">
        <f>SUM(U20,V20,W20,AC20,AF20,AH20)</f>
        <v>22.886666666666663</v>
      </c>
      <c r="Q20" s="2">
        <f>P20+(M20*N20)+O20</f>
        <v>98.886666666666656</v>
      </c>
      <c r="R20" t="n">
        <v>0.25</v>
      </c>
      <c r="S20" s="2" t="n">
        <v>16</v>
      </c>
      <c r="T20" s="1" t="n">
        <v>0.03</v>
      </c>
      <c r="U20" s="2">
        <f>S20*(1-T20)</f>
        <v>15.52</v>
      </c>
      <c r="V20" t="n">
        <v>0</v>
      </c>
      <c r="W20" t="n">
        <v>3.9</v>
      </c>
      <c r="X20" s="3" t="n">
        <v>0.8</v>
      </c>
      <c r="Y20" s="1" t="n">
        <v>0.8</v>
      </c>
      <c r="Z20" s="3">
        <f>Y20*X20</f>
        <v>0.64000000000000012</v>
      </c>
      <c r="AA20" s="3">
        <f>IF(I20&lt;&gt;"",X20/INDEX('energy battery'!$B$3:$D$6,MATCH('vehicles specifications'!$D20,'energy battery'!$A$3:$A$6,0),MATCH('vehicles specifications'!$I20,'energy battery'!$B$2:$D$2,0)),"")</f>
        <v>2.666666666666667</v>
      </c>
      <c r="AB20" s="3">
        <f>IF(AA20&lt;&gt;"",0.3*AA20,"")</f>
        <v>0.8</v>
      </c>
      <c r="AC20" s="3">
        <f>IF(AA20&lt;&gt;"",AB20+AA20,"")</f>
        <v>3.4666666666666668</v>
      </c>
      <c r="AD20" t="n">
        <v>0.5</v>
      </c>
      <c r="AE20" t="n">
        <v>0</v>
      </c>
      <c r="AF20" t="n">
        <v>0</v>
      </c>
      <c r="AG20" t="n">
        <v>0</v>
      </c>
      <c r="AH20" t="n">
        <v>0</v>
      </c>
      <c r="AI20" t="n">
        <v>0.5</v>
      </c>
      <c r="AJ20" t="n">
        <v>1</v>
      </c>
      <c r="AK20" s="6">
        <f>J20/15000</f>
        <v>1.3333333333333333</v>
      </c>
      <c r="AL20">
        <f>0.000537/1000*Q20</f>
        <v>5.3102139999999997E-5</v>
      </c>
      <c r="AM20" t="n">
        <v>0</v>
      </c>
      <c r="AN20" s="2">
        <f>U20</f>
        <v>15.52</v>
      </c>
      <c r="AO20" s="2">
        <f>SUM(V20:W20)</f>
        <v>3.9</v>
      </c>
      <c r="AP20" s="2">
        <f>AC20</f>
        <v>3.4666666666666668</v>
      </c>
      <c r="AQ20" s="6" t="inlineStr"/>
      <c r="AR20" s="20" t="n"/>
      <c r="AS20" s="5" t="n">
        <v>0.02467063914986235</v>
      </c>
      <c r="AT20" s="2">
        <f>SUM(Z20,AG20)/(SUM(AQ20,AS20)/3.6)</f>
        <v>93.390365203118606</v>
      </c>
      <c r="AU20" s="5" t="n">
        <v>0</v>
      </c>
      <c r="AV20" s="5" t="n">
        <v>0</v>
      </c>
      <c r="AW20" s="7" t="n">
        <v>0</v>
      </c>
      <c r="AX20" s="7" t="n">
        <v>0</v>
      </c>
      <c r="AY20" s="7" t="n">
        <v>0</v>
      </c>
      <c r="AZ20" s="7" t="n">
        <v>0</v>
      </c>
      <c r="BA20" s="7" t="n">
        <v>0</v>
      </c>
      <c r="BB20" s="7" t="n">
        <v>0</v>
      </c>
      <c r="BC20" s="7" t="n">
        <v>0</v>
      </c>
      <c r="BD20" s="7" t="n">
        <v>0</v>
      </c>
      <c r="BE20" s="7" t="n">
        <v>0</v>
      </c>
      <c r="BF20" s="7" t="n">
        <v>0</v>
      </c>
      <c r="BG20" s="7" t="n">
        <v>0</v>
      </c>
      <c r="BH20" s="7" t="n">
        <v>0</v>
      </c>
      <c r="BI20" s="7" t="n">
        <v>0</v>
      </c>
      <c r="BJ20" s="7" t="n">
        <v>0</v>
      </c>
      <c r="BK20" s="7" t="n">
        <v>0</v>
      </c>
      <c r="BL20" s="7" t="n">
        <v>0</v>
      </c>
      <c r="BM20" s="7" t="n">
        <v>0</v>
      </c>
      <c r="BN20" s="7" t="n">
        <v>0</v>
      </c>
      <c r="BO20" s="7" t="n">
        <v>0</v>
      </c>
      <c r="BP20" s="7" t="n">
        <v>0</v>
      </c>
      <c r="BQ20" s="7" t="n">
        <v>0</v>
      </c>
      <c r="BR20" s="7" t="n">
        <v>0</v>
      </c>
      <c r="BS20" s="7" t="n">
        <v>0</v>
      </c>
      <c r="BT20" s="7" t="n">
        <v>0</v>
      </c>
      <c r="BU20" s="7" t="n">
        <v>0</v>
      </c>
      <c r="BV20" s="7" t="n">
        <v>0</v>
      </c>
      <c r="BW20" s="7" t="n">
        <v>0</v>
      </c>
      <c r="BX20" s="7" t="n">
        <v>0</v>
      </c>
      <c r="BY20" s="7" t="n">
        <v>0</v>
      </c>
      <c r="BZ20" s="7" t="n">
        <v>0</v>
      </c>
      <c r="CA20" s="7" t="n">
        <v>0</v>
      </c>
      <c r="CB20" s="7" t="n">
        <v>0</v>
      </c>
      <c r="CC20" s="7" t="n">
        <v>0</v>
      </c>
      <c r="CD20" s="7" t="n">
        <v>0</v>
      </c>
      <c r="CE20" s="7" t="n">
        <v>0</v>
      </c>
      <c r="CF20" s="7" t="n">
        <v>0</v>
      </c>
      <c r="CG20" s="7" t="n">
        <v>0</v>
      </c>
      <c r="CH20" s="7" t="n">
        <v>0</v>
      </c>
      <c r="CI20" s="7" t="n">
        <v>0</v>
      </c>
      <c r="CJ20" s="7" t="n">
        <v>0</v>
      </c>
      <c r="CK20" s="38">
        <f>VLOOKUP($B20,'abrasion emissions'!$O$7:$R$36,2,FALSE)</f>
        <v>1</v>
      </c>
      <c r="CL20" s="38">
        <f>VLOOKUP($B20,'abrasion emissions'!$O$7:$R$36,3,FALSE)</f>
        <v>0</v>
      </c>
      <c r="CM20" s="38">
        <f>VLOOKUP($B20,'abrasion emissions'!$O$7:$R$36,4,FALSE)</f>
        <v>0</v>
      </c>
      <c r="CN20" s="7">
        <f>((SUMIFS('abrasion emissions'!$M$7:$M$34,'abrasion emissions'!$I$7:$I$34,"PM 2.5",'abrasion emissions'!$J$7:$J$34,"urban",'abrasion emissions'!$K$7:$K$34,"Tyre",'abrasion emissions'!$L$7:$L$34,"b")*POWER(('vehicles specifications'!$Q20/1000),(1/SUMIFS('abrasion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specifications'!$P20/1000),(1/SUMIFS('abrasion emissions'!$M$7:$M$34,'abrasion emissions'!$I$7:$I$34,"PM 10",'abrasion emissions'!$J$7:$J$34,"urban",'abrasion emissions'!$K$7:$K$34,"Tyre",'abrasion emissions'!$L$7:$L$34,"c")))))/1000000</f>
        <v>4.1211339548960909E-6</v>
      </c>
      <c r="CO20" s="7">
        <f>((SUMIFS('abrasion emissions'!$M$7:$M$34,'abrasion emissions'!$I$7:$I$34,"PM 2.5",'abrasion emissions'!$J$7:$J$34,"rural",'abrasion emissions'!$K$7:$K$34,"Tyre",'abrasion emissions'!$L$7:$L$34,"b")*POWER(('vehicles specifications'!$Q20/1000),(1/SUMIFS('abrasion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specifications'!$P20/1000),(1/SUMIFS('abrasion emissions'!$M$7:$M$34,'abrasion emissions'!$I$7:$I$34,"PM 10",'abrasion emissions'!$J$7:$J$34,"rural",'abrasion emissions'!$K$7:$K$34,"Tyre",'abrasion emissions'!$L$7:$L$34,"c")))))/1000000</f>
        <v>3.2113022062760271E-6</v>
      </c>
      <c r="CP20" s="7">
        <f>((SUMIFS('abrasion emissions'!$M$7:$M$34,'abrasion emissions'!$I$7:$I$34,"PM 2.5",'abrasion emissions'!$J$7:$J$34,"motorway",'abrasion emissions'!$K$7:$K$34,"Tyre",'abrasion emissions'!$L$7:$L$34,"b")*POWER(('vehicles specifications'!$Q20/1000),(1/SUMIFS('abrasion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specifications'!$P20/1000),(1/SUMIFS('abrasion emissions'!$M$7:$M$34,'abrasion emissions'!$I$7:$I$34,"PM 10",'abrasion emissions'!$J$7:$J$34,"motorway",'abrasion emissions'!$K$7:$K$34,"Tyre",'abrasion emissions'!$L$7:$L$34,"c")))))/1000000</f>
        <v>2.7467092365406412E-6</v>
      </c>
      <c r="CQ20" s="7">
        <f>((SUMIFS('abrasion emissions'!$M$7:$M$34,'abrasion emissions'!$I$7:$I$34,"PM 2.5",'abrasion emissions'!$J$7:$J$34,"urban",'abrasion emissions'!$K$7:$K$34,"Brake",'abrasion emissions'!$L$7:$L$34,"b")*POWER(('vehicles specifications'!$Q20/1000),(1/SUMIFS('abrasion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specifications'!$P20/1000),(1/SUMIFS('abrasion emissions'!$M$7:$M$34,'abrasion emissions'!$I$7:$I$34,"PM 10",'abrasion emissions'!$J$7:$J$34,"urban",'abrasion emissions'!$K$7:$K$34,"Brake",'abrasion emissions'!$L$7:$L$34,"c")))))/1000000</f>
        <v>3.8300212497294276E-6</v>
      </c>
      <c r="CR20" s="7">
        <f>((SUMIFS('abrasion emissions'!$M$7:$M$34,'abrasion emissions'!$I$7:$I$34,"PM 2.5",'abrasion emissions'!$J$7:$J$34,"rural",'abrasion emissions'!$K$7:$K$34,"Brake",'abrasion emissions'!$L$7:$L$34,"b")*POWER(('vehicles specifications'!$Q20/1000),(1/SUMIFS('abrasion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specifications'!$P20/1000),(1/SUMIFS('abrasion emissions'!$M$7:$M$34,'abrasion emissions'!$I$7:$I$34,"PM 10",'abrasion emissions'!$J$7:$J$34,"rural",'abrasion emissions'!$K$7:$K$34,"Brake",'abrasion emissions'!$L$7:$L$34,"c")))))/1000000</f>
        <v>1.107384193411907E-6</v>
      </c>
      <c r="CS20" s="7">
        <f>((SUMIFS('abrasion emissions'!$M$7:$M$34,'abrasion emissions'!$I$7:$I$34,"PM 2.5",'abrasion emissions'!$J$7:$J$34,"motorway",'abrasion emissions'!$K$7:$K$34,"Brake",'abrasion emissions'!$L$7:$L$34,"b")*POWER(('vehicles specifications'!$Q20/1000),(1/SUMIFS('abrasion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specifications'!$P20/1000),(1/SUMIFS('abrasion emissions'!$M$7:$M$34,'abrasion emissions'!$I$7:$I$34,"PM 10",'abrasion emissions'!$J$7:$J$34,"motorway",'abrasion emissions'!$K$7:$K$34,"Brake",'abrasion emissions'!$L$7:$L$34,"c")))))/1000000</f>
        <v>1.9055429036217945E-7</v>
      </c>
      <c r="CT20" s="7">
        <f>((SUMIFS('abrasion emissions'!$M$7:$M$38,'abrasion emissions'!$I$7:$I$38,"PM 2.5",'abrasion emissions'!$K$7:$K$38,"Re-susp.",'abrasion emissions'!$L$7:$L$38,"b")*POWER(('vehicles specifications'!$Q20/1000),(1/SUMIFS('abrasion emissions'!$M$7:$M$38,'abrasion emissions'!$I$7:$I$38,"PM 2.5",'abrasion emissions'!$K$7:$K$38,"Re-susp.",'abrasion emissions'!$L$7:$L$38,"c"))))+
(SUMIFS('abrasion emissions'!$M$7:$M$38,'abrasion emissions'!$I$7:$I$38,"PM 10",'abrasion emissions'!$K$7:$K$38,"Re-susp.",'abrasion emissions'!$L$7:$L$38,"b")*POWER(('vehicles specifications'!$Q20/1000),(1/SUMIFS('abrasion emissions'!$M$7:$M$38,'abrasion emissions'!$I$7:$I$38,"PM 10",'abrasion emissions'!$K$7:$K$38,"Re-susp.",'abrasion emissions'!$L$7:$L$38,"c")))))/1000000</f>
        <v>2.0013944930949743E-6</v>
      </c>
      <c r="CU20" s="7">
        <f>((SUMIFS('abrasion emissions'!$M$7:$M$38,'abrasion emissions'!$I$7:$I$38,"PM 2.5",'abrasion emissions'!$K$7:$K$38,"Road",'abrasion emissions'!$L$7:$L$38,"b")*POWER(('vehicles specifications'!$Q20/1000),(1/SUMIFS('abrasion emissions'!$M$7:$M$38,'abrasion emissions'!$I$7:$I$38,"PM 2.5",'abrasion emissions'!$K$7:$K$38,"Road",'abrasion emissions'!$L$7:$L$38,"c"))))+
(SUMIFS('abrasion emissions'!$M$7:$M$38,'abrasion emissions'!$I$7:$I$38,"PM 10",'abrasion emissions'!$K$7:$K$38,"Road",'abrasion emissions'!$L$7:$L$38,"b")*POWER(('vehicles specifications'!$Q20/1000),(1/SUMIFS('abrasion emissions'!$M$7:$M$38,'abrasion emissions'!$I$7:$I$38,"PM 10",'abrasion emissions'!$K$7:$K$38,"Road",'abrasion emissions'!$L$7:$L$38,"c")))))/1000000+CT20</f>
        <v>4.1825769542466615E-6</v>
      </c>
      <c r="CV20" s="7">
        <f>(CK20*CN20)+(CL20*CO20)+(CM20*CP20)</f>
        <v>4.1211339548960909E-6</v>
      </c>
      <c r="CW20" s="7">
        <f>(CK20*CQ20)+(CL20*CR20)+(CM20*CS20)</f>
        <v>3.8300212497294276E-6</v>
      </c>
    </row>
    <row r="21">
      <c r="A21" t="str">
        <f>B21&amp;" - "&amp;D21&amp;" - "&amp;IF(I21&lt;&gt;"",I21&amp;" - "&amp;E21,E21)</f>
        <v>Bicycle, electric (&lt;25 km/h) - 2040 - NMC - CH</v>
      </c>
      <c r="B21" t="inlineStr">
        <is>
          <t>Bicycle, electric (&lt;25 km/h)</t>
        </is>
      </c>
      <c r="D21" s="18" t="n">
        <v>2040</v>
      </c>
      <c r="E21" t="inlineStr">
        <is>
          <t>CH</t>
        </is>
      </c>
      <c r="F21" t="inlineStr">
        <is>
          <t>None</t>
        </is>
      </c>
      <c r="G21" t="inlineStr">
        <is>
          <t>vkm</t>
        </is>
      </c>
      <c r="H21" t="inlineStr">
        <is>
          <t>BEV</t>
        </is>
      </c>
      <c r="I21" t="inlineStr">
        <is>
          <t>NMC</t>
        </is>
      </c>
      <c r="J21" t="n">
        <v>20000</v>
      </c>
      <c r="K21" t="n">
        <v>2000</v>
      </c>
      <c r="L21" s="2">
        <f>J21/K21</f>
        <v>10</v>
      </c>
      <c r="M21" t="n">
        <v>1</v>
      </c>
      <c r="N21" t="n">
        <v>75</v>
      </c>
      <c r="O21" t="n">
        <v>1</v>
      </c>
      <c r="P21" s="2">
        <f>SUM(U21,V21,W21,AC21,AF21,AH21)</f>
        <v>22.25</v>
      </c>
      <c r="Q21" s="2">
        <f>P21+(M21*N21)+O21</f>
        <v>98.25</v>
      </c>
      <c r="R21" t="n">
        <v>0.25</v>
      </c>
      <c r="S21" s="2" t="n">
        <v>16</v>
      </c>
      <c r="T21" s="1" t="n">
        <v>0.05</v>
      </c>
      <c r="U21" s="2">
        <f>S21*(1-T21)</f>
        <v>15.2</v>
      </c>
      <c r="V21" t="n">
        <v>0</v>
      </c>
      <c r="W21" t="n">
        <v>3.8</v>
      </c>
      <c r="X21" s="3" t="n">
        <v>1</v>
      </c>
      <c r="Y21" s="1" t="n">
        <v>0.8</v>
      </c>
      <c r="Z21" s="3">
        <f>Y21*X21</f>
        <v>0.8</v>
      </c>
      <c r="AA21" s="3">
        <f>IF(I21&lt;&gt;"",X21/INDEX('energy battery'!$B$3:$D$6,MATCH('vehicles specifications'!$D21,'energy battery'!$A$3:$A$6,0),MATCH('vehicles specifications'!$I21,'energy battery'!$B$2:$D$2,0)),"")</f>
        <v>2.5</v>
      </c>
      <c r="AB21" s="3">
        <f>IF(AA21&lt;&gt;"",0.3*AA21,"")</f>
        <v>0.75</v>
      </c>
      <c r="AC21" s="3">
        <f>IF(AA21&lt;&gt;"",AB21+AA21,"")</f>
        <v>3.25</v>
      </c>
      <c r="AD21" t="n">
        <v>0.25</v>
      </c>
      <c r="AE21" t="n">
        <v>0</v>
      </c>
      <c r="AF21" t="n">
        <v>0</v>
      </c>
      <c r="AG21" t="n">
        <v>0</v>
      </c>
      <c r="AH21" t="n">
        <v>0</v>
      </c>
      <c r="AI21" t="n">
        <v>0.5</v>
      </c>
      <c r="AJ21" t="n">
        <v>1</v>
      </c>
      <c r="AK21" s="6">
        <f>J21/15000</f>
        <v>1.3333333333333333</v>
      </c>
      <c r="AL21">
        <f>0.000537/1000*Q21</f>
        <v>5.276025E-5</v>
      </c>
      <c r="AM21" t="n">
        <v>0</v>
      </c>
      <c r="AN21" s="2">
        <f>U21</f>
        <v>15.2</v>
      </c>
      <c r="AO21" s="2">
        <f>SUM(V21:W21)</f>
        <v>3.8</v>
      </c>
      <c r="AP21" s="2">
        <f>AC21</f>
        <v>3.25</v>
      </c>
      <c r="AQ21" s="6" t="inlineStr"/>
      <c r="AR21" s="20" t="n"/>
      <c r="AS21" s="5" t="n">
        <v>0.02467063914986235</v>
      </c>
      <c r="AT21" s="2">
        <f>SUM(Z21,AG21)/(SUM(AQ21,AS21)/3.6)</f>
        <v>116.73795650389825</v>
      </c>
      <c r="AU21" s="5" t="n">
        <v>0</v>
      </c>
      <c r="AV21" s="5" t="n">
        <v>0</v>
      </c>
      <c r="AW21" s="7" t="n">
        <v>0</v>
      </c>
      <c r="AX21" s="7" t="n">
        <v>0</v>
      </c>
      <c r="AY21" s="7" t="n">
        <v>0</v>
      </c>
      <c r="AZ21" s="7" t="n">
        <v>0</v>
      </c>
      <c r="BA21" s="7" t="n">
        <v>0</v>
      </c>
      <c r="BB21" s="7" t="n">
        <v>0</v>
      </c>
      <c r="BC21" s="7" t="n">
        <v>0</v>
      </c>
      <c r="BD21" s="7" t="n">
        <v>0</v>
      </c>
      <c r="BE21" s="7" t="n">
        <v>0</v>
      </c>
      <c r="BF21" s="7" t="n">
        <v>0</v>
      </c>
      <c r="BG21" s="7" t="n">
        <v>0</v>
      </c>
      <c r="BH21" s="7" t="n">
        <v>0</v>
      </c>
      <c r="BI21" s="7" t="n">
        <v>0</v>
      </c>
      <c r="BJ21" s="7" t="n">
        <v>0</v>
      </c>
      <c r="BK21" s="7" t="n">
        <v>0</v>
      </c>
      <c r="BL21" s="7" t="n">
        <v>0</v>
      </c>
      <c r="BM21" s="7" t="n">
        <v>0</v>
      </c>
      <c r="BN21" s="7" t="n">
        <v>0</v>
      </c>
      <c r="BO21" s="7" t="n">
        <v>0</v>
      </c>
      <c r="BP21" s="7" t="n">
        <v>0</v>
      </c>
      <c r="BQ21" s="7" t="n">
        <v>0</v>
      </c>
      <c r="BR21" s="7" t="n">
        <v>0</v>
      </c>
      <c r="BS21" s="7" t="n">
        <v>0</v>
      </c>
      <c r="BT21" s="7" t="n">
        <v>0</v>
      </c>
      <c r="BU21" s="7" t="n">
        <v>0</v>
      </c>
      <c r="BV21" s="7" t="n">
        <v>0</v>
      </c>
      <c r="BW21" s="7" t="n">
        <v>0</v>
      </c>
      <c r="BX21" s="7" t="n">
        <v>0</v>
      </c>
      <c r="BY21" s="7" t="n">
        <v>0</v>
      </c>
      <c r="BZ21" s="7" t="n">
        <v>0</v>
      </c>
      <c r="CA21" s="7" t="n">
        <v>0</v>
      </c>
      <c r="CB21" s="7" t="n">
        <v>0</v>
      </c>
      <c r="CC21" s="7" t="n">
        <v>0</v>
      </c>
      <c r="CD21" s="7" t="n">
        <v>0</v>
      </c>
      <c r="CE21" s="7" t="n">
        <v>0</v>
      </c>
      <c r="CF21" s="7" t="n">
        <v>0</v>
      </c>
      <c r="CG21" s="7" t="n">
        <v>0</v>
      </c>
      <c r="CH21" s="7" t="n">
        <v>0</v>
      </c>
      <c r="CI21" s="7" t="n">
        <v>0</v>
      </c>
      <c r="CJ21" s="7" t="n">
        <v>0</v>
      </c>
      <c r="CK21" s="38">
        <f>VLOOKUP($B21,'abrasion emissions'!$O$7:$R$36,2,FALSE)</f>
        <v>1</v>
      </c>
      <c r="CL21" s="38">
        <f>VLOOKUP($B21,'abrasion emissions'!$O$7:$R$36,3,FALSE)</f>
        <v>0</v>
      </c>
      <c r="CM21" s="38">
        <f>VLOOKUP($B21,'abrasion emissions'!$O$7:$R$36,4,FALSE)</f>
        <v>0</v>
      </c>
      <c r="CN21" s="7">
        <f>((SUMIFS('abrasion emissions'!$M$7:$M$34,'abrasion emissions'!$I$7:$I$34,"PM 2.5",'abrasion emissions'!$J$7:$J$34,"urban",'abrasion emissions'!$K$7:$K$34,"Tyre",'abrasion emissions'!$L$7:$L$34,"b")*POWER(('vehicles specifications'!$Q21/1000),(1/SUMIFS('abrasion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specifications'!$P21/1000),(1/SUMIFS('abrasion emissions'!$M$7:$M$34,'abrasion emissions'!$I$7:$I$34,"PM 10",'abrasion emissions'!$J$7:$J$34,"urban",'abrasion emissions'!$K$7:$K$34,"Tyre",'abrasion emissions'!$L$7:$L$34,"c")))))/1000000</f>
        <v>4.0990393865404142E-6</v>
      </c>
      <c r="CO21" s="7">
        <f>((SUMIFS('abrasion emissions'!$M$7:$M$34,'abrasion emissions'!$I$7:$I$34,"PM 2.5",'abrasion emissions'!$J$7:$J$34,"rural",'abrasion emissions'!$K$7:$K$34,"Tyre",'abrasion emissions'!$L$7:$L$34,"b")*POWER(('vehicles specifications'!$Q21/1000),(1/SUMIFS('abrasion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specifications'!$P21/1000),(1/SUMIFS('abrasion emissions'!$M$7:$M$34,'abrasion emissions'!$I$7:$I$34,"PM 10",'abrasion emissions'!$J$7:$J$34,"rural",'abrasion emissions'!$K$7:$K$34,"Tyre",'abrasion emissions'!$L$7:$L$34,"c")))))/1000000</f>
        <v>3.1941209699101401E-6</v>
      </c>
      <c r="CP21" s="7">
        <f>((SUMIFS('abrasion emissions'!$M$7:$M$34,'abrasion emissions'!$I$7:$I$34,"PM 2.5",'abrasion emissions'!$J$7:$J$34,"motorway",'abrasion emissions'!$K$7:$K$34,"Tyre",'abrasion emissions'!$L$7:$L$34,"b")*POWER(('vehicles specifications'!$Q21/1000),(1/SUMIFS('abrasion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specifications'!$P21/1000),(1/SUMIFS('abrasion emissions'!$M$7:$M$34,'abrasion emissions'!$I$7:$I$34,"PM 10",'abrasion emissions'!$J$7:$J$34,"motorway",'abrasion emissions'!$K$7:$K$34,"Tyre",'abrasion emissions'!$L$7:$L$34,"c")))))/1000000</f>
        <v>2.7321026432778438E-6</v>
      </c>
      <c r="CQ21" s="7">
        <f>((SUMIFS('abrasion emissions'!$M$7:$M$34,'abrasion emissions'!$I$7:$I$34,"PM 2.5",'abrasion emissions'!$J$7:$J$34,"urban",'abrasion emissions'!$K$7:$K$34,"Brake",'abrasion emissions'!$L$7:$L$34,"b")*POWER(('vehicles specifications'!$Q21/1000),(1/SUMIFS('abrasion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specifications'!$P21/1000),(1/SUMIFS('abrasion emissions'!$M$7:$M$34,'abrasion emissions'!$I$7:$I$34,"PM 10",'abrasion emissions'!$J$7:$J$34,"urban",'abrasion emissions'!$K$7:$K$34,"Brake",'abrasion emissions'!$L$7:$L$34,"c")))))/1000000</f>
        <v>3.8104964233430331E-6</v>
      </c>
      <c r="CR21" s="7">
        <f>((SUMIFS('abrasion emissions'!$M$7:$M$34,'abrasion emissions'!$I$7:$I$34,"PM 2.5",'abrasion emissions'!$J$7:$J$34,"rural",'abrasion emissions'!$K$7:$K$34,"Brake",'abrasion emissions'!$L$7:$L$34,"b")*POWER(('vehicles specifications'!$Q21/1000),(1/SUMIFS('abrasion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specifications'!$P21/1000),(1/SUMIFS('abrasion emissions'!$M$7:$M$34,'abrasion emissions'!$I$7:$I$34,"PM 10",'abrasion emissions'!$J$7:$J$34,"rural",'abrasion emissions'!$K$7:$K$34,"Brake",'abrasion emissions'!$L$7:$L$34,"c")))))/1000000</f>
        <v>1.1005458499758413E-6</v>
      </c>
      <c r="CS21" s="7">
        <f>((SUMIFS('abrasion emissions'!$M$7:$M$34,'abrasion emissions'!$I$7:$I$34,"PM 2.5",'abrasion emissions'!$J$7:$J$34,"motorway",'abrasion emissions'!$K$7:$K$34,"Brake",'abrasion emissions'!$L$7:$L$34,"b")*POWER(('vehicles specifications'!$Q21/1000),(1/SUMIFS('abrasion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specifications'!$P21/1000),(1/SUMIFS('abrasion emissions'!$M$7:$M$34,'abrasion emissions'!$I$7:$I$34,"PM 10",'abrasion emissions'!$J$7:$J$34,"motorway",'abrasion emissions'!$K$7:$K$34,"Brake",'abrasion emissions'!$L$7:$L$34,"c")))))/1000000</f>
        <v>1.8924844620855619E-7</v>
      </c>
      <c r="CT21" s="7">
        <f>((SUMIFS('abrasion emissions'!$M$7:$M$38,'abrasion emissions'!$I$7:$I$38,"PM 2.5",'abrasion emissions'!$K$7:$K$38,"Re-susp.",'abrasion emissions'!$L$7:$L$38,"b")*POWER(('vehicles specifications'!$Q21/1000),(1/SUMIFS('abrasion emissions'!$M$7:$M$38,'abrasion emissions'!$I$7:$I$38,"PM 2.5",'abrasion emissions'!$K$7:$K$38,"Re-susp.",'abrasion emissions'!$L$7:$L$38,"c"))))+
(SUMIFS('abrasion emissions'!$M$7:$M$38,'abrasion emissions'!$I$7:$I$38,"PM 10",'abrasion emissions'!$K$7:$K$38,"Re-susp.",'abrasion emissions'!$L$7:$L$38,"b")*POWER(('vehicles specifications'!$Q21/1000),(1/SUMIFS('abrasion emissions'!$M$7:$M$38,'abrasion emissions'!$I$7:$I$38,"PM 10",'abrasion emissions'!$K$7:$K$38,"Re-susp.",'abrasion emissions'!$L$7:$L$38,"c")))))/1000000</f>
        <v>1.9896768094889238E-6</v>
      </c>
      <c r="CU21" s="7">
        <f>((SUMIFS('abrasion emissions'!$M$7:$M$38,'abrasion emissions'!$I$7:$I$38,"PM 2.5",'abrasion emissions'!$K$7:$K$38,"Road",'abrasion emissions'!$L$7:$L$38,"b")*POWER(('vehicles specifications'!$Q21/1000),(1/SUMIFS('abrasion emissions'!$M$7:$M$38,'abrasion emissions'!$I$7:$I$38,"PM 2.5",'abrasion emissions'!$K$7:$K$38,"Road",'abrasion emissions'!$L$7:$L$38,"c"))))+
(SUMIFS('abrasion emissions'!$M$7:$M$38,'abrasion emissions'!$I$7:$I$38,"PM 10",'abrasion emissions'!$K$7:$K$38,"Road",'abrasion emissions'!$L$7:$L$38,"b")*POWER(('vehicles specifications'!$Q21/1000),(1/SUMIFS('abrasion emissions'!$M$7:$M$38,'abrasion emissions'!$I$7:$I$38,"PM 10",'abrasion emissions'!$K$7:$K$38,"Road",'abrasion emissions'!$L$7:$L$38,"c")))))/1000000+CT21</f>
        <v>4.1614870560677791E-6</v>
      </c>
      <c r="CV21" s="7">
        <f>(CK21*CN21)+(CL21*CO21)+(CM21*CP21)</f>
        <v>4.0990393865404142E-6</v>
      </c>
      <c r="CW21" s="7">
        <f>(CK21*CQ21)+(CL21*CR21)+(CM21*CS21)</f>
        <v>3.8104964233430331E-6</v>
      </c>
    </row>
    <row r="22">
      <c r="A22" t="str">
        <f>B22&amp;" - "&amp;D22&amp;" - "&amp;IF(I22&lt;&gt;"",I22&amp;" - "&amp;E22,E22)</f>
        <v>Bicycle, electric (&lt;25 km/h) - 2050 - NMC - CH</v>
      </c>
      <c r="B22" t="inlineStr">
        <is>
          <t>Bicycle, electric (&lt;25 km/h)</t>
        </is>
      </c>
      <c r="D22" s="18" t="n">
        <v>2050</v>
      </c>
      <c r="E22" t="inlineStr">
        <is>
          <t>CH</t>
        </is>
      </c>
      <c r="F22" t="inlineStr">
        <is>
          <t>None</t>
        </is>
      </c>
      <c r="G22" t="inlineStr">
        <is>
          <t>vkm</t>
        </is>
      </c>
      <c r="H22" t="inlineStr">
        <is>
          <t>BEV</t>
        </is>
      </c>
      <c r="I22" t="inlineStr">
        <is>
          <t>NMC</t>
        </is>
      </c>
      <c r="J22" t="n">
        <v>20000</v>
      </c>
      <c r="K22" t="n">
        <v>2000</v>
      </c>
      <c r="L22" s="2">
        <f>J22/K22</f>
        <v>10</v>
      </c>
      <c r="M22" t="n">
        <v>1</v>
      </c>
      <c r="N22" t="n">
        <v>75</v>
      </c>
      <c r="O22" t="n">
        <v>1</v>
      </c>
      <c r="P22" s="2">
        <f>SUM(U22,V22,W22,AC22,AF22,AH22)</f>
        <v>22.479999999999997</v>
      </c>
      <c r="Q22" s="2">
        <f>P22+(M22*N22)+O22</f>
        <v>98.47999999999999</v>
      </c>
      <c r="R22" t="n">
        <v>0.25</v>
      </c>
      <c r="S22" s="2" t="n">
        <v>16</v>
      </c>
      <c r="T22" s="1" t="n">
        <v>0.07000000000000001</v>
      </c>
      <c r="U22" s="2">
        <f>S22*(1-T22)</f>
        <v>14.879999999999999</v>
      </c>
      <c r="V22" t="n">
        <v>0</v>
      </c>
      <c r="W22" t="n">
        <v>3.7</v>
      </c>
      <c r="X22" s="3" t="n">
        <v>1.5</v>
      </c>
      <c r="Y22" s="1" t="n">
        <v>0.8</v>
      </c>
      <c r="Z22" s="3">
        <f>Y22*X22</f>
        <v>1.2000000000000002</v>
      </c>
      <c r="AA22" s="3">
        <f>IF(I22&lt;&gt;"",X22/INDEX('energy battery'!$B$3:$D$6,MATCH('vehicles specifications'!$D22,'energy battery'!$A$3:$A$6,0),MATCH('vehicles specifications'!$I22,'energy battery'!$B$2:$D$2,0)),"")</f>
        <v>3</v>
      </c>
      <c r="AB22" s="3">
        <f>IF(AA22&lt;&gt;"",0.3*AA22,"")</f>
        <v>0.89999999999999991</v>
      </c>
      <c r="AC22" s="3">
        <f>IF(AA22&lt;&gt;"",AB22+AA22,"")</f>
        <v>3.9</v>
      </c>
      <c r="AD22" t="n">
        <v>0</v>
      </c>
      <c r="AE22" t="n">
        <v>0</v>
      </c>
      <c r="AF22" t="n">
        <v>0</v>
      </c>
      <c r="AG22" t="n">
        <v>0</v>
      </c>
      <c r="AH22" t="n">
        <v>0</v>
      </c>
      <c r="AI22" t="n">
        <v>0.5</v>
      </c>
      <c r="AJ22" t="n">
        <v>1</v>
      </c>
      <c r="AK22" s="6">
        <f>J22/15000</f>
        <v>1.3333333333333333</v>
      </c>
      <c r="AL22">
        <f>0.000537/1000*Q22</f>
        <v>5.2883759999999994E-5</v>
      </c>
      <c r="AM22" t="n">
        <v>0</v>
      </c>
      <c r="AN22" s="2">
        <f>U22</f>
        <v>14.879999999999999</v>
      </c>
      <c r="AO22" s="2">
        <f>SUM(V22:W22)</f>
        <v>3.7</v>
      </c>
      <c r="AP22" s="2">
        <f>AC22</f>
        <v>3.9</v>
      </c>
      <c r="AQ22" s="6" t="inlineStr"/>
      <c r="AR22" s="20" t="n"/>
      <c r="AS22" s="5" t="n">
        <v>0.02467063914986235</v>
      </c>
      <c r="AT22" s="2">
        <f>SUM(Z22,AG22)/(SUM(AQ22,AS22)/3.6)</f>
        <v>175.10693475584739</v>
      </c>
      <c r="AU22" s="5" t="n">
        <v>0</v>
      </c>
      <c r="AV22" s="5" t="n">
        <v>0</v>
      </c>
      <c r="AW22" s="7" t="n">
        <v>0</v>
      </c>
      <c r="AX22" s="7" t="n">
        <v>0</v>
      </c>
      <c r="AY22" s="7" t="n">
        <v>0</v>
      </c>
      <c r="AZ22" s="7" t="n">
        <v>0</v>
      </c>
      <c r="BA22" s="7" t="n">
        <v>0</v>
      </c>
      <c r="BB22" s="7" t="n">
        <v>0</v>
      </c>
      <c r="BC22" s="7" t="n">
        <v>0</v>
      </c>
      <c r="BD22" s="7" t="n">
        <v>0</v>
      </c>
      <c r="BE22" s="7" t="n">
        <v>0</v>
      </c>
      <c r="BF22" s="7" t="n">
        <v>0</v>
      </c>
      <c r="BG22" s="7" t="n">
        <v>0</v>
      </c>
      <c r="BH22" s="7" t="n">
        <v>0</v>
      </c>
      <c r="BI22" s="7" t="n">
        <v>0</v>
      </c>
      <c r="BJ22" s="7" t="n">
        <v>0</v>
      </c>
      <c r="BK22" s="7" t="n">
        <v>0</v>
      </c>
      <c r="BL22" s="7" t="n">
        <v>0</v>
      </c>
      <c r="BM22" s="7" t="n">
        <v>0</v>
      </c>
      <c r="BN22" s="7" t="n">
        <v>0</v>
      </c>
      <c r="BO22" s="7" t="n">
        <v>0</v>
      </c>
      <c r="BP22" s="7" t="n">
        <v>0</v>
      </c>
      <c r="BQ22" s="7" t="n">
        <v>0</v>
      </c>
      <c r="BR22" s="7" t="n">
        <v>0</v>
      </c>
      <c r="BS22" s="7" t="n">
        <v>0</v>
      </c>
      <c r="BT22" s="7" t="n">
        <v>0</v>
      </c>
      <c r="BU22" s="7" t="n">
        <v>0</v>
      </c>
      <c r="BV22" s="7" t="n">
        <v>0</v>
      </c>
      <c r="BW22" s="7" t="n">
        <v>0</v>
      </c>
      <c r="BX22" s="7" t="n">
        <v>0</v>
      </c>
      <c r="BY22" s="7" t="n">
        <v>0</v>
      </c>
      <c r="BZ22" s="7" t="n">
        <v>0</v>
      </c>
      <c r="CA22" s="7" t="n">
        <v>0</v>
      </c>
      <c r="CB22" s="7" t="n">
        <v>0</v>
      </c>
      <c r="CC22" s="7" t="n">
        <v>0</v>
      </c>
      <c r="CD22" s="7" t="n">
        <v>0</v>
      </c>
      <c r="CE22" s="7" t="n">
        <v>0</v>
      </c>
      <c r="CF22" s="7" t="n">
        <v>0</v>
      </c>
      <c r="CG22" s="7" t="n">
        <v>0</v>
      </c>
      <c r="CH22" s="7" t="n">
        <v>0</v>
      </c>
      <c r="CI22" s="7" t="n">
        <v>0</v>
      </c>
      <c r="CJ22" s="7" t="n">
        <v>0</v>
      </c>
      <c r="CK22" s="38">
        <f>VLOOKUP($B22,'abrasion emissions'!$O$7:$R$36,2,FALSE)</f>
        <v>1</v>
      </c>
      <c r="CL22" s="38">
        <f>VLOOKUP($B22,'abrasion emissions'!$O$7:$R$36,3,FALSE)</f>
        <v>0</v>
      </c>
      <c r="CM22" s="38">
        <f>VLOOKUP($B22,'abrasion emissions'!$O$7:$R$36,4,FALSE)</f>
        <v>0</v>
      </c>
      <c r="CN22" s="7">
        <f>((SUMIFS('abrasion emissions'!$M$7:$M$34,'abrasion emissions'!$I$7:$I$34,"PM 2.5",'abrasion emissions'!$J$7:$J$34,"urban",'abrasion emissions'!$K$7:$K$34,"Tyre",'abrasion emissions'!$L$7:$L$34,"b")*POWER(('vehicles specifications'!$Q22/1000),(1/SUMIFS('abrasion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specifications'!$P22/1000),(1/SUMIFS('abrasion emissions'!$M$7:$M$34,'abrasion emissions'!$I$7:$I$34,"PM 10",'abrasion emissions'!$J$7:$J$34,"urban",'abrasion emissions'!$K$7:$K$34,"Tyre",'abrasion emissions'!$L$7:$L$34,"c")))))/1000000</f>
        <v>4.1070499667251542E-6</v>
      </c>
      <c r="CO22" s="7">
        <f>((SUMIFS('abrasion emissions'!$M$7:$M$34,'abrasion emissions'!$I$7:$I$34,"PM 2.5",'abrasion emissions'!$J$7:$J$34,"rural",'abrasion emissions'!$K$7:$K$34,"Tyre",'abrasion emissions'!$L$7:$L$34,"b")*POWER(('vehicles specifications'!$Q22/1000),(1/SUMIFS('abrasion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specifications'!$P22/1000),(1/SUMIFS('abrasion emissions'!$M$7:$M$34,'abrasion emissions'!$I$7:$I$34,"PM 10",'abrasion emissions'!$J$7:$J$34,"rural",'abrasion emissions'!$K$7:$K$34,"Tyre",'abrasion emissions'!$L$7:$L$34,"c")))))/1000000</f>
        <v>3.2003501440819219E-6</v>
      </c>
      <c r="CP22" s="7">
        <f>((SUMIFS('abrasion emissions'!$M$7:$M$34,'abrasion emissions'!$I$7:$I$34,"PM 2.5",'abrasion emissions'!$J$7:$J$34,"motorway",'abrasion emissions'!$K$7:$K$34,"Tyre",'abrasion emissions'!$L$7:$L$34,"b")*POWER(('vehicles specifications'!$Q22/1000),(1/SUMIFS('abrasion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specifications'!$P22/1000),(1/SUMIFS('abrasion emissions'!$M$7:$M$34,'abrasion emissions'!$I$7:$I$34,"PM 10",'abrasion emissions'!$J$7:$J$34,"motorway",'abrasion emissions'!$K$7:$K$34,"Tyre",'abrasion emissions'!$L$7:$L$34,"c")))))/1000000</f>
        <v>2.7373982769491173E-6</v>
      </c>
      <c r="CQ22" s="7">
        <f>((SUMIFS('abrasion emissions'!$M$7:$M$34,'abrasion emissions'!$I$7:$I$34,"PM 2.5",'abrasion emissions'!$J$7:$J$34,"urban",'abrasion emissions'!$K$7:$K$34,"Brake",'abrasion emissions'!$L$7:$L$34,"b")*POWER(('vehicles specifications'!$Q22/1000),(1/SUMIFS('abrasion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specifications'!$P22/1000),(1/SUMIFS('abrasion emissions'!$M$7:$M$34,'abrasion emissions'!$I$7:$I$34,"PM 10",'abrasion emissions'!$J$7:$J$34,"urban",'abrasion emissions'!$K$7:$K$34,"Brake",'abrasion emissions'!$L$7:$L$34,"c")))))/1000000</f>
        <v>3.8175668936151024E-6</v>
      </c>
      <c r="CR22" s="7">
        <f>((SUMIFS('abrasion emissions'!$M$7:$M$34,'abrasion emissions'!$I$7:$I$34,"PM 2.5",'abrasion emissions'!$J$7:$J$34,"rural",'abrasion emissions'!$K$7:$K$34,"Brake",'abrasion emissions'!$L$7:$L$34,"b")*POWER(('vehicles specifications'!$Q22/1000),(1/SUMIFS('abrasion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specifications'!$P22/1000),(1/SUMIFS('abrasion emissions'!$M$7:$M$34,'abrasion emissions'!$I$7:$I$34,"PM 10",'abrasion emissions'!$J$7:$J$34,"rural",'abrasion emissions'!$K$7:$K$34,"Brake",'abrasion emissions'!$L$7:$L$34,"c")))))/1000000</f>
        <v>1.1030202122144157E-6</v>
      </c>
      <c r="CS22" s="7">
        <f>((SUMIFS('abrasion emissions'!$M$7:$M$34,'abrasion emissions'!$I$7:$I$34,"PM 2.5",'abrasion emissions'!$J$7:$J$34,"motorway",'abrasion emissions'!$K$7:$K$34,"Brake",'abrasion emissions'!$L$7:$L$34,"b")*POWER(('vehicles specifications'!$Q22/1000),(1/SUMIFS('abrasion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specifications'!$P22/1000),(1/SUMIFS('abrasion emissions'!$M$7:$M$34,'abrasion emissions'!$I$7:$I$34,"PM 10",'abrasion emissions'!$J$7:$J$34,"motorway",'abrasion emissions'!$K$7:$K$34,"Brake",'abrasion emissions'!$L$7:$L$34,"c")))))/1000000</f>
        <v>1.8972068828943925E-7</v>
      </c>
      <c r="CT22" s="7">
        <f>((SUMIFS('abrasion emissions'!$M$7:$M$38,'abrasion emissions'!$I$7:$I$38,"PM 2.5",'abrasion emissions'!$K$7:$K$38,"Re-susp.",'abrasion emissions'!$L$7:$L$38,"b")*POWER(('vehicles specifications'!$Q22/1000),(1/SUMIFS('abrasion emissions'!$M$7:$M$38,'abrasion emissions'!$I$7:$I$38,"PM 2.5",'abrasion emissions'!$K$7:$K$38,"Re-susp.",'abrasion emissions'!$L$7:$L$38,"c"))))+
(SUMIFS('abrasion emissions'!$M$7:$M$38,'abrasion emissions'!$I$7:$I$38,"PM 10",'abrasion emissions'!$K$7:$K$38,"Re-susp.",'abrasion emissions'!$L$7:$L$38,"b")*POWER(('vehicles specifications'!$Q22/1000),(1/SUMIFS('abrasion emissions'!$M$7:$M$38,'abrasion emissions'!$I$7:$I$38,"PM 10",'abrasion emissions'!$K$7:$K$38,"Re-susp.",'abrasion emissions'!$L$7:$L$38,"c")))))/1000000</f>
        <v>1.9939106934837492E-6</v>
      </c>
      <c r="CU22" s="7">
        <f>((SUMIFS('abrasion emissions'!$M$7:$M$38,'abrasion emissions'!$I$7:$I$38,"PM 2.5",'abrasion emissions'!$K$7:$K$38,"Road",'abrasion emissions'!$L$7:$L$38,"b")*POWER(('vehicles specifications'!$Q22/1000),(1/SUMIFS('abrasion emissions'!$M$7:$M$38,'abrasion emissions'!$I$7:$I$38,"PM 2.5",'abrasion emissions'!$K$7:$K$38,"Road",'abrasion emissions'!$L$7:$L$38,"c"))))+
(SUMIFS('abrasion emissions'!$M$7:$M$38,'abrasion emissions'!$I$7:$I$38,"PM 10",'abrasion emissions'!$K$7:$K$38,"Road",'abrasion emissions'!$L$7:$L$38,"b")*POWER(('vehicles specifications'!$Q22/1000),(1/SUMIFS('abrasion emissions'!$M$7:$M$38,'abrasion emissions'!$I$7:$I$38,"PM 10",'abrasion emissions'!$K$7:$K$38,"Road",'abrasion emissions'!$L$7:$L$38,"c")))))/1000000+CT22</f>
        <v>4.1691090429791777E-6</v>
      </c>
      <c r="CV22" s="7">
        <f>(CK22*CN22)+(CL22*CO22)+(CM22*CP22)</f>
        <v>4.1070499667251542E-6</v>
      </c>
      <c r="CW22" s="7">
        <f>(CK22*CQ22)+(CL22*CR22)+(CM22*CS22)</f>
        <v>3.8175668936151024E-6</v>
      </c>
    </row>
    <row r="23">
      <c r="A23" t="str">
        <f>B23&amp;" - "&amp;D23&amp;" - "&amp;IF(I23&lt;&gt;"",I23&amp;" - "&amp;E23,E23)</f>
        <v>Bicycle, electric (&lt;45 km/h) - 2020 - NMC - CH</v>
      </c>
      <c r="B23" t="inlineStr">
        <is>
          <t>Bicycle, electric (&lt;45 km/h)</t>
        </is>
      </c>
      <c r="D23" s="18" t="n">
        <v>2020</v>
      </c>
      <c r="E23" t="inlineStr">
        <is>
          <t>CH</t>
        </is>
      </c>
      <c r="F23" t="inlineStr">
        <is>
          <t>None</t>
        </is>
      </c>
      <c r="G23" t="inlineStr">
        <is>
          <t>vkm</t>
        </is>
      </c>
      <c r="H23" t="inlineStr">
        <is>
          <t>BEV</t>
        </is>
      </c>
      <c r="I23" t="inlineStr">
        <is>
          <t>NMC</t>
        </is>
      </c>
      <c r="J23" t="n">
        <v>30000</v>
      </c>
      <c r="K23" t="n">
        <v>3000</v>
      </c>
      <c r="L23" s="2">
        <f>J23/K23</f>
        <v>10</v>
      </c>
      <c r="M23" t="n">
        <v>1</v>
      </c>
      <c r="N23" t="n">
        <v>75</v>
      </c>
      <c r="O23" t="n">
        <v>1</v>
      </c>
      <c r="P23" s="2">
        <f>SUM(U23,V23,W23,AC23,AF23,AH23)</f>
        <v>27.25</v>
      </c>
      <c r="Q23" s="2">
        <f>P23+(M23*N23)+O23</f>
        <v>103.25</v>
      </c>
      <c r="R23" t="n">
        <v>0.5</v>
      </c>
      <c r="S23" s="2" t="n">
        <v>19</v>
      </c>
      <c r="T23" s="1" t="n">
        <v>0</v>
      </c>
      <c r="U23" s="2">
        <f>S23*(1-T23)</f>
        <v>19</v>
      </c>
      <c r="V23" t="n">
        <v>0</v>
      </c>
      <c r="W23" t="n">
        <v>5</v>
      </c>
      <c r="X23" s="3" t="n">
        <v>0.5</v>
      </c>
      <c r="Y23" s="1" t="n">
        <v>0.8</v>
      </c>
      <c r="Z23" s="3">
        <f>Y23*X23</f>
        <v>0.4</v>
      </c>
      <c r="AA23" s="3">
        <f>IF(I23&lt;&gt;"",X23/INDEX('energy battery'!$B$3:$D$6,MATCH('vehicles specifications'!$D23,'energy battery'!$A$3:$A$6,0),MATCH('vehicles specifications'!$I23,'energy battery'!$B$2:$D$2,0)),"")</f>
        <v>2.5</v>
      </c>
      <c r="AB23" s="3">
        <f>IF(AA23&lt;&gt;"",0.3*AA23,"")</f>
        <v>0.75</v>
      </c>
      <c r="AC23" s="3">
        <f>IF(AA23&lt;&gt;"",AB23+AA23,"")</f>
        <v>3.25</v>
      </c>
      <c r="AD23" t="n">
        <v>1</v>
      </c>
      <c r="AE23" t="n">
        <v>0</v>
      </c>
      <c r="AF23" t="n">
        <v>0</v>
      </c>
      <c r="AG23" t="n">
        <v>0</v>
      </c>
      <c r="AH23" t="n">
        <v>0</v>
      </c>
      <c r="AI23" t="n">
        <v>0.5</v>
      </c>
      <c r="AJ23" t="n">
        <v>1</v>
      </c>
      <c r="AK23" s="6">
        <f>J23/15000</f>
        <v>2</v>
      </c>
      <c r="AL23">
        <f>0.000537/1000*Q23</f>
        <v>5.5445249999999999E-5</v>
      </c>
      <c r="AM23" t="n">
        <v>0</v>
      </c>
      <c r="AN23" s="2">
        <f>U23</f>
        <v>19</v>
      </c>
      <c r="AO23" s="2">
        <f>SUM(V23:W23)</f>
        <v>5</v>
      </c>
      <c r="AP23" s="2">
        <f>AC23</f>
        <v>3.25</v>
      </c>
      <c r="AQ23" s="6" t="inlineStr"/>
      <c r="AR23" s="20" t="n"/>
      <c r="AS23" s="5" t="n">
        <v>0.04530894085938152</v>
      </c>
      <c r="AT23" s="2">
        <f>SUM(Z23,AG23)/(SUM(AQ23,AS23)/3.6)</f>
        <v>31.78180669614656</v>
      </c>
      <c r="AU23" s="5" t="n">
        <v>0</v>
      </c>
      <c r="AV23" s="5" t="n">
        <v>0</v>
      </c>
      <c r="AW23" s="7" t="n">
        <v>0</v>
      </c>
      <c r="AX23" s="7" t="n">
        <v>0</v>
      </c>
      <c r="AY23" s="7" t="n">
        <v>0</v>
      </c>
      <c r="AZ23" s="7" t="n">
        <v>0</v>
      </c>
      <c r="BA23" s="7" t="n">
        <v>0</v>
      </c>
      <c r="BB23" s="7" t="n">
        <v>0</v>
      </c>
      <c r="BC23" s="7" t="n">
        <v>0</v>
      </c>
      <c r="BD23" s="7" t="n">
        <v>0</v>
      </c>
      <c r="BE23" s="7" t="n">
        <v>0</v>
      </c>
      <c r="BF23" s="7" t="n">
        <v>0</v>
      </c>
      <c r="BG23" s="7" t="n">
        <v>0</v>
      </c>
      <c r="BH23" s="7" t="n">
        <v>0</v>
      </c>
      <c r="BI23" s="7" t="n">
        <v>0</v>
      </c>
      <c r="BJ23" s="7" t="n">
        <v>0</v>
      </c>
      <c r="BK23" s="7" t="n">
        <v>0</v>
      </c>
      <c r="BL23" s="7" t="n">
        <v>0</v>
      </c>
      <c r="BM23" s="7" t="n">
        <v>0</v>
      </c>
      <c r="BN23" s="7" t="n">
        <v>0</v>
      </c>
      <c r="BO23" s="7" t="n">
        <v>0</v>
      </c>
      <c r="BP23" s="7" t="n">
        <v>0</v>
      </c>
      <c r="BQ23" s="7" t="n">
        <v>0</v>
      </c>
      <c r="BR23" s="7" t="n">
        <v>0</v>
      </c>
      <c r="BS23" s="7" t="n">
        <v>0</v>
      </c>
      <c r="BT23" s="7" t="n">
        <v>0</v>
      </c>
      <c r="BU23" s="7" t="n">
        <v>0</v>
      </c>
      <c r="BV23" s="7" t="n">
        <v>0</v>
      </c>
      <c r="BW23" s="7" t="n">
        <v>0</v>
      </c>
      <c r="BX23" s="7" t="n">
        <v>0</v>
      </c>
      <c r="BY23" s="7" t="n">
        <v>0</v>
      </c>
      <c r="BZ23" s="7" t="n">
        <v>0</v>
      </c>
      <c r="CA23" s="7" t="n">
        <v>0</v>
      </c>
      <c r="CB23" s="7" t="n">
        <v>0</v>
      </c>
      <c r="CC23" s="7" t="n">
        <v>0</v>
      </c>
      <c r="CD23" s="7" t="n">
        <v>0</v>
      </c>
      <c r="CE23" s="7" t="n">
        <v>0</v>
      </c>
      <c r="CF23" s="7" t="n">
        <v>0</v>
      </c>
      <c r="CG23" s="7" t="n">
        <v>0</v>
      </c>
      <c r="CH23" s="7" t="n">
        <v>0</v>
      </c>
      <c r="CI23" s="7" t="n">
        <v>0</v>
      </c>
      <c r="CJ23" s="7" t="n">
        <v>0</v>
      </c>
      <c r="CK23" s="38">
        <f>VLOOKUP($B23,'abrasion emissions'!$O$7:$R$36,2,FALSE)</f>
        <v>1</v>
      </c>
      <c r="CL23" s="38">
        <f>VLOOKUP($B23,'abrasion emissions'!$O$7:$R$36,3,FALSE)</f>
        <v>0</v>
      </c>
      <c r="CM23" s="38">
        <f>VLOOKUP($B23,'abrasion emissions'!$O$7:$R$36,4,FALSE)</f>
        <v>0</v>
      </c>
      <c r="CN23" s="7">
        <f>((SUMIFS('abrasion emissions'!$M$7:$M$34,'abrasion emissions'!$I$7:$I$34,"PM 2.5",'abrasion emissions'!$J$7:$J$34,"urban",'abrasion emissions'!$K$7:$K$34,"Tyre",'abrasion emissions'!$L$7:$L$34,"b")*POWER(('vehicles specifications'!$Q23/1000),(1/SUMIFS('abrasion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specifications'!$P23/1000),(1/SUMIFS('abrasion emissions'!$M$7:$M$34,'abrasion emissions'!$I$7:$I$34,"PM 10",'abrasion emissions'!$J$7:$J$34,"urban",'abrasion emissions'!$K$7:$K$34,"Tyre",'abrasion emissions'!$L$7:$L$34,"c")))))/1000000</f>
        <v>4.2664398392934627E-6</v>
      </c>
      <c r="CO23" s="7">
        <f>((SUMIFS('abrasion emissions'!$M$7:$M$34,'abrasion emissions'!$I$7:$I$34,"PM 2.5",'abrasion emissions'!$J$7:$J$34,"rural",'abrasion emissions'!$K$7:$K$34,"Tyre",'abrasion emissions'!$L$7:$L$34,"b")*POWER(('vehicles specifications'!$Q23/1000),(1/SUMIFS('abrasion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specifications'!$P23/1000),(1/SUMIFS('abrasion emissions'!$M$7:$M$34,'abrasion emissions'!$I$7:$I$34,"PM 10",'abrasion emissions'!$J$7:$J$34,"rural",'abrasion emissions'!$K$7:$K$34,"Tyre",'abrasion emissions'!$L$7:$L$34,"c")))))/1000000</f>
        <v>3.3243023900367355E-6</v>
      </c>
      <c r="CP23" s="7">
        <f>((SUMIFS('abrasion emissions'!$M$7:$M$34,'abrasion emissions'!$I$7:$I$34,"PM 2.5",'abrasion emissions'!$J$7:$J$34,"motorway",'abrasion emissions'!$K$7:$K$34,"Tyre",'abrasion emissions'!$L$7:$L$34,"b")*POWER(('vehicles specifications'!$Q23/1000),(1/SUMIFS('abrasion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specifications'!$P23/1000),(1/SUMIFS('abrasion emissions'!$M$7:$M$34,'abrasion emissions'!$I$7:$I$34,"PM 10",'abrasion emissions'!$J$7:$J$34,"motorway",'abrasion emissions'!$K$7:$K$34,"Tyre",'abrasion emissions'!$L$7:$L$34,"c")))))/1000000</f>
        <v>2.8427938078681607E-6</v>
      </c>
      <c r="CQ23" s="7">
        <f>((SUMIFS('abrasion emissions'!$M$7:$M$34,'abrasion emissions'!$I$7:$I$34,"PM 2.5",'abrasion emissions'!$J$7:$J$34,"urban",'abrasion emissions'!$K$7:$K$34,"Brake",'abrasion emissions'!$L$7:$L$34,"b")*POWER(('vehicles specifications'!$Q23/1000),(1/SUMIFS('abrasion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specifications'!$P23/1000),(1/SUMIFS('abrasion emissions'!$M$7:$M$34,'abrasion emissions'!$I$7:$I$34,"PM 10",'abrasion emissions'!$J$7:$J$34,"urban",'abrasion emissions'!$K$7:$K$34,"Brake",'abrasion emissions'!$L$7:$L$34,"c")))))/1000000</f>
        <v>3.960170488563306E-6</v>
      </c>
      <c r="CR23" s="7">
        <f>((SUMIFS('abrasion emissions'!$M$7:$M$34,'abrasion emissions'!$I$7:$I$34,"PM 2.5",'abrasion emissions'!$J$7:$J$34,"rural",'abrasion emissions'!$K$7:$K$34,"Brake",'abrasion emissions'!$L$7:$L$34,"b")*POWER(('vehicles specifications'!$Q23/1000),(1/SUMIFS('abrasion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specifications'!$P23/1000),(1/SUMIFS('abrasion emissions'!$M$7:$M$34,'abrasion emissions'!$I$7:$I$34,"PM 10",'abrasion emissions'!$J$7:$J$34,"rural",'abrasion emissions'!$K$7:$K$34,"Brake",'abrasion emissions'!$L$7:$L$34,"c")))))/1000000</f>
        <v>1.1533876437728229E-6</v>
      </c>
      <c r="CS23" s="7">
        <f>((SUMIFS('abrasion emissions'!$M$7:$M$34,'abrasion emissions'!$I$7:$I$34,"PM 2.5",'abrasion emissions'!$J$7:$J$34,"motorway",'abrasion emissions'!$K$7:$K$34,"Brake",'abrasion emissions'!$L$7:$L$34,"b")*POWER(('vehicles specifications'!$Q23/1000),(1/SUMIFS('abrasion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specifications'!$P23/1000),(1/SUMIFS('abrasion emissions'!$M$7:$M$34,'abrasion emissions'!$I$7:$I$34,"PM 10",'abrasion emissions'!$J$7:$J$34,"motorway",'abrasion emissions'!$K$7:$K$34,"Brake",'abrasion emissions'!$L$7:$L$34,"c")))))/1000000</f>
        <v>1.9939483572900624E-7</v>
      </c>
      <c r="CT23" s="7">
        <f>((SUMIFS('abrasion emissions'!$M$7:$M$38,'abrasion emissions'!$I$7:$I$38,"PM 2.5",'abrasion emissions'!$K$7:$K$38,"Re-susp.",'abrasion emissions'!$L$7:$L$38,"b")*POWER(('vehicles specifications'!$Q23/1000),(1/SUMIFS('abrasion emissions'!$M$7:$M$38,'abrasion emissions'!$I$7:$I$38,"PM 2.5",'abrasion emissions'!$K$7:$K$38,"Re-susp.",'abrasion emissions'!$L$7:$L$38,"c"))))+
(SUMIFS('abrasion emissions'!$M$7:$M$38,'abrasion emissions'!$I$7:$I$38,"PM 10",'abrasion emissions'!$K$7:$K$38,"Re-susp.",'abrasion emissions'!$L$7:$L$38,"b")*POWER(('vehicles specifications'!$Q23/1000),(1/SUMIFS('abrasion emissions'!$M$7:$M$38,'abrasion emissions'!$I$7:$I$38,"PM 10",'abrasion emissions'!$K$7:$K$38,"Re-susp.",'abrasion emissions'!$L$7:$L$38,"c")))))/1000000</f>
        <v>2.0815184587367837E-6</v>
      </c>
      <c r="CU23" s="7">
        <f>((SUMIFS('abrasion emissions'!$M$7:$M$38,'abrasion emissions'!$I$7:$I$38,"PM 2.5",'abrasion emissions'!$K$7:$K$38,"Road",'abrasion emissions'!$L$7:$L$38,"b")*POWER(('vehicles specifications'!$Q23/1000),(1/SUMIFS('abrasion emissions'!$M$7:$M$38,'abrasion emissions'!$I$7:$I$38,"PM 2.5",'abrasion emissions'!$K$7:$K$38,"Road",'abrasion emissions'!$L$7:$L$38,"c"))))+
(SUMIFS('abrasion emissions'!$M$7:$M$38,'abrasion emissions'!$I$7:$I$38,"PM 10",'abrasion emissions'!$K$7:$K$38,"Road",'abrasion emissions'!$L$7:$L$38,"b")*POWER(('vehicles specifications'!$Q23/1000),(1/SUMIFS('abrasion emissions'!$M$7:$M$38,'abrasion emissions'!$I$7:$I$38,"PM 10",'abrasion emissions'!$K$7:$K$38,"Road",'abrasion emissions'!$L$7:$L$38,"c")))))/1000000+CT23</f>
        <v>4.3264006015800174E-6</v>
      </c>
      <c r="CV23" s="7">
        <f>(CK23*CN23)+(CL23*CO23)+(CM23*CP23)</f>
        <v>4.2664398392934627E-6</v>
      </c>
      <c r="CW23" s="7">
        <f>(CK23*CQ23)+(CL23*CR23)+(CM23*CS23)</f>
        <v>3.960170488563306E-6</v>
      </c>
    </row>
    <row r="24">
      <c r="A24" t="str">
        <f>B24&amp;" - "&amp;D24&amp;" - "&amp;IF(I24&lt;&gt;"",I24&amp;" - "&amp;E24,E24)</f>
        <v>Bicycle, electric (&lt;45 km/h) - 2030 - NMC - CH</v>
      </c>
      <c r="B24" t="inlineStr">
        <is>
          <t>Bicycle, electric (&lt;45 km/h)</t>
        </is>
      </c>
      <c r="D24" s="18" t="n">
        <v>2030</v>
      </c>
      <c r="E24" t="inlineStr">
        <is>
          <t>CH</t>
        </is>
      </c>
      <c r="F24" t="inlineStr">
        <is>
          <t>None</t>
        </is>
      </c>
      <c r="G24" t="inlineStr">
        <is>
          <t>vkm</t>
        </is>
      </c>
      <c r="H24" t="inlineStr">
        <is>
          <t>BEV</t>
        </is>
      </c>
      <c r="I24" t="inlineStr">
        <is>
          <t>NMC</t>
        </is>
      </c>
      <c r="J24" t="n">
        <v>30000</v>
      </c>
      <c r="K24" t="n">
        <v>3000</v>
      </c>
      <c r="L24" s="2">
        <f>J24/K24</f>
        <v>10</v>
      </c>
      <c r="M24" t="n">
        <v>1</v>
      </c>
      <c r="N24" t="n">
        <v>75</v>
      </c>
      <c r="O24" t="n">
        <v>1</v>
      </c>
      <c r="P24" s="2">
        <f>SUM(U24,V24,W24,AC24,AF24,AH24)</f>
        <v>26.796666666666667</v>
      </c>
      <c r="Q24" s="2">
        <f>P24+(M24*N24)+O24</f>
        <v>102.79666666666667</v>
      </c>
      <c r="R24" t="n">
        <v>0.5</v>
      </c>
      <c r="S24" s="2" t="n">
        <v>19</v>
      </c>
      <c r="T24" s="1" t="n">
        <v>0.03</v>
      </c>
      <c r="U24" s="2">
        <f>S24*(1-T24)</f>
        <v>18.43</v>
      </c>
      <c r="V24" t="n">
        <v>0</v>
      </c>
      <c r="W24" t="n">
        <v>4.9</v>
      </c>
      <c r="X24" s="3" t="n">
        <v>0.8</v>
      </c>
      <c r="Y24" s="1" t="n">
        <v>0.8</v>
      </c>
      <c r="Z24" s="3">
        <f>Y24*X24</f>
        <v>0.64000000000000012</v>
      </c>
      <c r="AA24" s="3">
        <f>IF(I24&lt;&gt;"",X24/INDEX('energy battery'!$B$3:$D$6,MATCH('vehicles specifications'!$D24,'energy battery'!$A$3:$A$6,0),MATCH('vehicles specifications'!$I24,'energy battery'!$B$2:$D$2,0)),"")</f>
        <v>2.666666666666667</v>
      </c>
      <c r="AB24" s="3">
        <f>IF(AA24&lt;&gt;"",0.3*AA24,"")</f>
        <v>0.8</v>
      </c>
      <c r="AC24" s="3">
        <f>IF(AA24&lt;&gt;"",AB24+AA24,"")</f>
        <v>3.4666666666666668</v>
      </c>
      <c r="AD24" t="n">
        <v>0.5</v>
      </c>
      <c r="AE24" t="n">
        <v>0</v>
      </c>
      <c r="AF24" t="n">
        <v>0</v>
      </c>
      <c r="AG24" t="n">
        <v>0</v>
      </c>
      <c r="AH24" t="n">
        <v>0</v>
      </c>
      <c r="AI24" t="n">
        <v>0.5</v>
      </c>
      <c r="AJ24" t="n">
        <v>1</v>
      </c>
      <c r="AK24" s="6">
        <f>J24/15000</f>
        <v>2</v>
      </c>
      <c r="AL24">
        <f>0.000537/1000*Q24</f>
        <v>5.5201809999999998E-5</v>
      </c>
      <c r="AM24" t="n">
        <v>0</v>
      </c>
      <c r="AN24" s="2">
        <f>U24</f>
        <v>18.43</v>
      </c>
      <c r="AO24" s="2">
        <f>SUM(V24:W24)</f>
        <v>4.9000000000000004</v>
      </c>
      <c r="AP24" s="2">
        <f>AC24</f>
        <v>3.4666666666666668</v>
      </c>
      <c r="AQ24" s="6" t="inlineStr"/>
      <c r="AR24" s="20" t="n"/>
      <c r="AS24" s="5" t="n">
        <v>0.04530894085938152</v>
      </c>
      <c r="AT24" s="2">
        <f>SUM(Z24,AG24)/(SUM(AQ24,AS24)/3.6)</f>
        <v>50.850890713834502</v>
      </c>
      <c r="AU24" s="5" t="n">
        <v>0</v>
      </c>
      <c r="AV24" s="5" t="n">
        <v>0</v>
      </c>
      <c r="AW24" s="7" t="n">
        <v>0</v>
      </c>
      <c r="AX24" s="7" t="n">
        <v>0</v>
      </c>
      <c r="AY24" s="7" t="n">
        <v>0</v>
      </c>
      <c r="AZ24" s="7" t="n">
        <v>0</v>
      </c>
      <c r="BA24" s="7" t="n">
        <v>0</v>
      </c>
      <c r="BB24" s="7" t="n">
        <v>0</v>
      </c>
      <c r="BC24" s="7" t="n">
        <v>0</v>
      </c>
      <c r="BD24" s="7" t="n">
        <v>0</v>
      </c>
      <c r="BE24" s="7" t="n">
        <v>0</v>
      </c>
      <c r="BF24" s="7" t="n">
        <v>0</v>
      </c>
      <c r="BG24" s="7" t="n">
        <v>0</v>
      </c>
      <c r="BH24" s="7" t="n">
        <v>0</v>
      </c>
      <c r="BI24" s="7" t="n">
        <v>0</v>
      </c>
      <c r="BJ24" s="7" t="n">
        <v>0</v>
      </c>
      <c r="BK24" s="7" t="n">
        <v>0</v>
      </c>
      <c r="BL24" s="7" t="n">
        <v>0</v>
      </c>
      <c r="BM24" s="7" t="n">
        <v>0</v>
      </c>
      <c r="BN24" s="7" t="n">
        <v>0</v>
      </c>
      <c r="BO24" s="7" t="n">
        <v>0</v>
      </c>
      <c r="BP24" s="7" t="n">
        <v>0</v>
      </c>
      <c r="BQ24" s="7" t="n">
        <v>0</v>
      </c>
      <c r="BR24" s="7" t="n">
        <v>0</v>
      </c>
      <c r="BS24" s="7" t="n">
        <v>0</v>
      </c>
      <c r="BT24" s="7" t="n">
        <v>0</v>
      </c>
      <c r="BU24" s="7" t="n">
        <v>0</v>
      </c>
      <c r="BV24" s="7" t="n">
        <v>0</v>
      </c>
      <c r="BW24" s="7" t="n">
        <v>0</v>
      </c>
      <c r="BX24" s="7" t="n">
        <v>0</v>
      </c>
      <c r="BY24" s="7" t="n">
        <v>0</v>
      </c>
      <c r="BZ24" s="7" t="n">
        <v>0</v>
      </c>
      <c r="CA24" s="7" t="n">
        <v>0</v>
      </c>
      <c r="CB24" s="7" t="n">
        <v>0</v>
      </c>
      <c r="CC24" s="7" t="n">
        <v>0</v>
      </c>
      <c r="CD24" s="7" t="n">
        <v>0</v>
      </c>
      <c r="CE24" s="7" t="n">
        <v>0</v>
      </c>
      <c r="CF24" s="7" t="n">
        <v>0</v>
      </c>
      <c r="CG24" s="7" t="n">
        <v>0</v>
      </c>
      <c r="CH24" s="7" t="n">
        <v>0</v>
      </c>
      <c r="CI24" s="7" t="n">
        <v>0</v>
      </c>
      <c r="CJ24" s="7" t="n">
        <v>0</v>
      </c>
      <c r="CK24" s="38">
        <f>VLOOKUP($B24,'abrasion emissions'!$O$7:$R$36,2,FALSE)</f>
        <v>1</v>
      </c>
      <c r="CL24" s="38">
        <f>VLOOKUP($B24,'abrasion emissions'!$O$7:$R$36,3,FALSE)</f>
        <v>0</v>
      </c>
      <c r="CM24" s="38">
        <f>VLOOKUP($B24,'abrasion emissions'!$O$7:$R$36,4,FALSE)</f>
        <v>0</v>
      </c>
      <c r="CN24" s="7">
        <f>((SUMIFS('abrasion emissions'!$M$7:$M$34,'abrasion emissions'!$I$7:$I$34,"PM 2.5",'abrasion emissions'!$J$7:$J$34,"urban",'abrasion emissions'!$K$7:$K$34,"Tyre",'abrasion emissions'!$L$7:$L$34,"b")*POWER(('vehicles specifications'!$Q24/1000),(1/SUMIFS('abrasion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specifications'!$P24/1000),(1/SUMIFS('abrasion emissions'!$M$7:$M$34,'abrasion emissions'!$I$7:$I$34,"PM 10",'abrasion emissions'!$J$7:$J$34,"urban",'abrasion emissions'!$K$7:$K$34,"Tyre",'abrasion emissions'!$L$7:$L$34,"c")))))/1000000</f>
        <v>4.2517989039701259E-6</v>
      </c>
      <c r="CO24" s="7">
        <f>((SUMIFS('abrasion emissions'!$M$7:$M$34,'abrasion emissions'!$I$7:$I$34,"PM 2.5",'abrasion emissions'!$J$7:$J$34,"rural",'abrasion emissions'!$K$7:$K$34,"Tyre",'abrasion emissions'!$L$7:$L$34,"b")*POWER(('vehicles specifications'!$Q24/1000),(1/SUMIFS('abrasion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specifications'!$P24/1000),(1/SUMIFS('abrasion emissions'!$M$7:$M$34,'abrasion emissions'!$I$7:$I$34,"PM 10",'abrasion emissions'!$J$7:$J$34,"rural",'abrasion emissions'!$K$7:$K$34,"Tyre",'abrasion emissions'!$L$7:$L$34,"c")))))/1000000</f>
        <v>3.3129160295478674E-6</v>
      </c>
      <c r="CP24" s="7">
        <f>((SUMIFS('abrasion emissions'!$M$7:$M$34,'abrasion emissions'!$I$7:$I$34,"PM 2.5",'abrasion emissions'!$J$7:$J$34,"motorway",'abrasion emissions'!$K$7:$K$34,"Tyre",'abrasion emissions'!$L$7:$L$34,"b")*POWER(('vehicles specifications'!$Q24/1000),(1/SUMIFS('abrasion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specifications'!$P24/1000),(1/SUMIFS('abrasion emissions'!$M$7:$M$34,'abrasion emissions'!$I$7:$I$34,"PM 10",'abrasion emissions'!$J$7:$J$34,"motorway",'abrasion emissions'!$K$7:$K$34,"Tyre",'abrasion emissions'!$L$7:$L$34,"c")))))/1000000</f>
        <v>2.8331106052648527E-6</v>
      </c>
      <c r="CQ24" s="7">
        <f>((SUMIFS('abrasion emissions'!$M$7:$M$34,'abrasion emissions'!$I$7:$I$34,"PM 2.5",'abrasion emissions'!$J$7:$J$34,"urban",'abrasion emissions'!$K$7:$K$34,"Brake",'abrasion emissions'!$L$7:$L$34,"b")*POWER(('vehicles specifications'!$Q24/1000),(1/SUMIFS('abrasion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specifications'!$P24/1000),(1/SUMIFS('abrasion emissions'!$M$7:$M$34,'abrasion emissions'!$I$7:$I$34,"PM 10",'abrasion emissions'!$J$7:$J$34,"urban",'abrasion emissions'!$K$7:$K$34,"Brake",'abrasion emissions'!$L$7:$L$34,"c")))))/1000000</f>
        <v>3.9469248908384192E-6</v>
      </c>
      <c r="CR24" s="7">
        <f>((SUMIFS('abrasion emissions'!$M$7:$M$34,'abrasion emissions'!$I$7:$I$34,"PM 2.5",'abrasion emissions'!$J$7:$J$34,"rural",'abrasion emissions'!$K$7:$K$34,"Brake",'abrasion emissions'!$L$7:$L$34,"b")*POWER(('vehicles specifications'!$Q24/1000),(1/SUMIFS('abrasion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specifications'!$P24/1000),(1/SUMIFS('abrasion emissions'!$M$7:$M$34,'abrasion emissions'!$I$7:$I$34,"PM 10",'abrasion emissions'!$J$7:$J$34,"rural",'abrasion emissions'!$K$7:$K$34,"Brake",'abrasion emissions'!$L$7:$L$34,"c")))))/1000000</f>
        <v>1.1486737375288916E-6</v>
      </c>
      <c r="CS24" s="7">
        <f>((SUMIFS('abrasion emissions'!$M$7:$M$34,'abrasion emissions'!$I$7:$I$34,"PM 2.5",'abrasion emissions'!$J$7:$J$34,"motorway",'abrasion emissions'!$K$7:$K$34,"Brake",'abrasion emissions'!$L$7:$L$34,"b")*POWER(('vehicles specifications'!$Q24/1000),(1/SUMIFS('abrasion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specifications'!$P24/1000),(1/SUMIFS('abrasion emissions'!$M$7:$M$34,'abrasion emissions'!$I$7:$I$34,"PM 10",'abrasion emissions'!$J$7:$J$34,"motorway",'abrasion emissions'!$K$7:$K$34,"Brake",'abrasion emissions'!$L$7:$L$34,"c")))))/1000000</f>
        <v>1.9848468796768718E-7</v>
      </c>
      <c r="CT24" s="7">
        <f>((SUMIFS('abrasion emissions'!$M$7:$M$38,'abrasion emissions'!$I$7:$I$38,"PM 2.5",'abrasion emissions'!$K$7:$K$38,"Re-susp.",'abrasion emissions'!$L$7:$L$38,"b")*POWER(('vehicles specifications'!$Q24/1000),(1/SUMIFS('abrasion emissions'!$M$7:$M$38,'abrasion emissions'!$I$7:$I$38,"PM 2.5",'abrasion emissions'!$K$7:$K$38,"Re-susp.",'abrasion emissions'!$L$7:$L$38,"c"))))+
(SUMIFS('abrasion emissions'!$M$7:$M$38,'abrasion emissions'!$I$7:$I$38,"PM 10",'abrasion emissions'!$K$7:$K$38,"Re-susp.",'abrasion emissions'!$L$7:$L$38,"b")*POWER(('vehicles specifications'!$Q24/1000),(1/SUMIFS('abrasion emissions'!$M$7:$M$38,'abrasion emissions'!$I$7:$I$38,"PM 10",'abrasion emissions'!$K$7:$K$38,"Re-susp.",'abrasion emissions'!$L$7:$L$38,"c")))))/1000000</f>
        <v>2.0732084404631233E-6</v>
      </c>
      <c r="CU24" s="7">
        <f>((SUMIFS('abrasion emissions'!$M$7:$M$38,'abrasion emissions'!$I$7:$I$38,"PM 2.5",'abrasion emissions'!$K$7:$K$38,"Road",'abrasion emissions'!$L$7:$L$38,"b")*POWER(('vehicles specifications'!$Q24/1000),(1/SUMIFS('abrasion emissions'!$M$7:$M$38,'abrasion emissions'!$I$7:$I$38,"PM 2.5",'abrasion emissions'!$K$7:$K$38,"Road",'abrasion emissions'!$L$7:$L$38,"c"))))+
(SUMIFS('abrasion emissions'!$M$7:$M$38,'abrasion emissions'!$I$7:$I$38,"PM 10",'abrasion emissions'!$K$7:$K$38,"Road",'abrasion emissions'!$L$7:$L$38,"b")*POWER(('vehicles specifications'!$Q24/1000),(1/SUMIFS('abrasion emissions'!$M$7:$M$38,'abrasion emissions'!$I$7:$I$38,"PM 10",'abrasion emissions'!$K$7:$K$38,"Road",'abrasion emissions'!$L$7:$L$38,"c")))))/1000000+CT24</f>
        <v>4.3115147894576166E-6</v>
      </c>
      <c r="CV24" s="7">
        <f>(CK24*CN24)+(CL24*CO24)+(CM24*CP24)</f>
        <v>4.2517989039701259E-6</v>
      </c>
      <c r="CW24" s="7">
        <f>(CK24*CQ24)+(CL24*CR24)+(CM24*CS24)</f>
        <v>3.9469248908384192E-6</v>
      </c>
    </row>
    <row r="25">
      <c r="A25" t="str">
        <f>B25&amp;" - "&amp;D25&amp;" - "&amp;IF(I25&lt;&gt;"",I25&amp;" - "&amp;E25,E25)</f>
        <v>Bicycle, electric (&lt;45 km/h) - 2040 - NMC - CH</v>
      </c>
      <c r="B25" t="inlineStr">
        <is>
          <t>Bicycle, electric (&lt;45 km/h)</t>
        </is>
      </c>
      <c r="D25" s="18" t="n">
        <v>2040</v>
      </c>
      <c r="E25" t="inlineStr">
        <is>
          <t>CH</t>
        </is>
      </c>
      <c r="F25" t="inlineStr">
        <is>
          <t>None</t>
        </is>
      </c>
      <c r="G25" t="inlineStr">
        <is>
          <t>vkm</t>
        </is>
      </c>
      <c r="H25" t="inlineStr">
        <is>
          <t>BEV</t>
        </is>
      </c>
      <c r="I25" t="inlineStr">
        <is>
          <t>NMC</t>
        </is>
      </c>
      <c r="J25" t="n">
        <v>30000</v>
      </c>
      <c r="K25" t="n">
        <v>3000</v>
      </c>
      <c r="L25" s="2">
        <f>J25/K25</f>
        <v>10</v>
      </c>
      <c r="M25" t="n">
        <v>1</v>
      </c>
      <c r="N25" t="n">
        <v>75</v>
      </c>
      <c r="O25" t="n">
        <v>1</v>
      </c>
      <c r="P25" s="2">
        <f>SUM(U25,V25,W25,AC25,AF25,AH25)</f>
        <v>26</v>
      </c>
      <c r="Q25" s="2">
        <f>P25+(M25*N25)+O25</f>
        <v>102</v>
      </c>
      <c r="R25" t="n">
        <v>0.5</v>
      </c>
      <c r="S25" s="2" t="n">
        <v>19</v>
      </c>
      <c r="T25" s="1" t="n">
        <v>0.05</v>
      </c>
      <c r="U25" s="2">
        <f>S25*(1-T25)</f>
        <v>18.05</v>
      </c>
      <c r="V25" t="n">
        <v>0</v>
      </c>
      <c r="W25" t="n">
        <v>4.7</v>
      </c>
      <c r="X25" s="3" t="n">
        <v>1</v>
      </c>
      <c r="Y25" s="1" t="n">
        <v>0.8</v>
      </c>
      <c r="Z25" s="3">
        <f>Y25*X25</f>
        <v>0.8</v>
      </c>
      <c r="AA25" s="3">
        <f>IF(I25&lt;&gt;"",X25/INDEX('energy battery'!$B$3:$D$6,MATCH('vehicles specifications'!$D25,'energy battery'!$A$3:$A$6,0),MATCH('vehicles specifications'!$I25,'energy battery'!$B$2:$D$2,0)),"")</f>
        <v>2.5</v>
      </c>
      <c r="AB25" s="3">
        <f>IF(AA25&lt;&gt;"",0.3*AA25,"")</f>
        <v>0.75</v>
      </c>
      <c r="AC25" s="3">
        <f>IF(AA25&lt;&gt;"",AB25+AA25,"")</f>
        <v>3.25</v>
      </c>
      <c r="AD25" t="n">
        <v>0.25</v>
      </c>
      <c r="AE25" t="n">
        <v>0</v>
      </c>
      <c r="AF25" t="n">
        <v>0</v>
      </c>
      <c r="AG25" t="n">
        <v>0</v>
      </c>
      <c r="AH25" t="n">
        <v>0</v>
      </c>
      <c r="AI25" t="n">
        <v>0.5</v>
      </c>
      <c r="AJ25" t="n">
        <v>1</v>
      </c>
      <c r="AK25" s="6">
        <f>J25/15000</f>
        <v>2</v>
      </c>
      <c r="AL25">
        <f>0.000537/1000*Q25</f>
        <v>5.4774000000000001E-5</v>
      </c>
      <c r="AM25" t="n">
        <v>0</v>
      </c>
      <c r="AN25" s="2">
        <f>U25</f>
        <v>18.05</v>
      </c>
      <c r="AO25" s="2">
        <f>SUM(V25:W25)</f>
        <v>4.7</v>
      </c>
      <c r="AP25" s="2">
        <f>AC25</f>
        <v>3.25</v>
      </c>
      <c r="AQ25" s="6" t="inlineStr"/>
      <c r="AR25" s="20" t="n"/>
      <c r="AS25" s="5" t="n">
        <v>0.04530894085938152</v>
      </c>
      <c r="AT25" s="2">
        <f>SUM(Z25,AG25)/(SUM(AQ25,AS25)/3.6)</f>
        <v>63.563613392293121</v>
      </c>
      <c r="AU25" s="5" t="n">
        <v>0</v>
      </c>
      <c r="AV25" s="5" t="n">
        <v>0</v>
      </c>
      <c r="AW25" s="7" t="n">
        <v>0</v>
      </c>
      <c r="AX25" s="7" t="n">
        <v>0</v>
      </c>
      <c r="AY25" s="7" t="n">
        <v>0</v>
      </c>
      <c r="AZ25" s="7" t="n">
        <v>0</v>
      </c>
      <c r="BA25" s="7" t="n">
        <v>0</v>
      </c>
      <c r="BB25" s="7" t="n">
        <v>0</v>
      </c>
      <c r="BC25" s="7" t="n">
        <v>0</v>
      </c>
      <c r="BD25" s="7" t="n">
        <v>0</v>
      </c>
      <c r="BE25" s="7" t="n">
        <v>0</v>
      </c>
      <c r="BF25" s="7" t="n">
        <v>0</v>
      </c>
      <c r="BG25" s="7" t="n">
        <v>0</v>
      </c>
      <c r="BH25" s="7" t="n">
        <v>0</v>
      </c>
      <c r="BI25" s="7" t="n">
        <v>0</v>
      </c>
      <c r="BJ25" s="7" t="n">
        <v>0</v>
      </c>
      <c r="BK25" s="7" t="n">
        <v>0</v>
      </c>
      <c r="BL25" s="7" t="n">
        <v>0</v>
      </c>
      <c r="BM25" s="7" t="n">
        <v>0</v>
      </c>
      <c r="BN25" s="7" t="n">
        <v>0</v>
      </c>
      <c r="BO25" s="7" t="n">
        <v>0</v>
      </c>
      <c r="BP25" s="7" t="n">
        <v>0</v>
      </c>
      <c r="BQ25" s="7" t="n">
        <v>0</v>
      </c>
      <c r="BR25" s="7" t="n">
        <v>0</v>
      </c>
      <c r="BS25" s="7" t="n">
        <v>0</v>
      </c>
      <c r="BT25" s="7" t="n">
        <v>0</v>
      </c>
      <c r="BU25" s="7" t="n">
        <v>0</v>
      </c>
      <c r="BV25" s="7" t="n">
        <v>0</v>
      </c>
      <c r="BW25" s="7" t="n">
        <v>0</v>
      </c>
      <c r="BX25" s="7" t="n">
        <v>0</v>
      </c>
      <c r="BY25" s="7" t="n">
        <v>0</v>
      </c>
      <c r="BZ25" s="7" t="n">
        <v>0</v>
      </c>
      <c r="CA25" s="7" t="n">
        <v>0</v>
      </c>
      <c r="CB25" s="7" t="n">
        <v>0</v>
      </c>
      <c r="CC25" s="7" t="n">
        <v>0</v>
      </c>
      <c r="CD25" s="7" t="n">
        <v>0</v>
      </c>
      <c r="CE25" s="7" t="n">
        <v>0</v>
      </c>
      <c r="CF25" s="7" t="n">
        <v>0</v>
      </c>
      <c r="CG25" s="7" t="n">
        <v>0</v>
      </c>
      <c r="CH25" s="7" t="n">
        <v>0</v>
      </c>
      <c r="CI25" s="7" t="n">
        <v>0</v>
      </c>
      <c r="CJ25" s="7" t="n">
        <v>0</v>
      </c>
      <c r="CK25" s="38">
        <f>VLOOKUP($B25,'abrasion emissions'!$O$7:$R$36,2,FALSE)</f>
        <v>1</v>
      </c>
      <c r="CL25" s="38">
        <f>VLOOKUP($B25,'abrasion emissions'!$O$7:$R$36,3,FALSE)</f>
        <v>0</v>
      </c>
      <c r="CM25" s="38">
        <f>VLOOKUP($B25,'abrasion emissions'!$O$7:$R$36,4,FALSE)</f>
        <v>0</v>
      </c>
      <c r="CN25" s="7">
        <f>((SUMIFS('abrasion emissions'!$M$7:$M$34,'abrasion emissions'!$I$7:$I$34,"PM 2.5",'abrasion emissions'!$J$7:$J$34,"urban",'abrasion emissions'!$K$7:$K$34,"Tyre",'abrasion emissions'!$L$7:$L$34,"b")*POWER(('vehicles specifications'!$Q25/1000),(1/SUMIFS('abrasion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specifications'!$P25/1000),(1/SUMIFS('abrasion emissions'!$M$7:$M$34,'abrasion emissions'!$I$7:$I$34,"PM 10",'abrasion emissions'!$J$7:$J$34,"urban",'abrasion emissions'!$K$7:$K$34,"Tyre",'abrasion emissions'!$L$7:$L$34,"c")))))/1000000</f>
        <v>4.2258279579563645E-6</v>
      </c>
      <c r="CO25" s="7">
        <f>((SUMIFS('abrasion emissions'!$M$7:$M$34,'abrasion emissions'!$I$7:$I$34,"PM 2.5",'abrasion emissions'!$J$7:$J$34,"rural",'abrasion emissions'!$K$7:$K$34,"Tyre",'abrasion emissions'!$L$7:$L$34,"b")*POWER(('vehicles specifications'!$Q25/1000),(1/SUMIFS('abrasion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specifications'!$P25/1000),(1/SUMIFS('abrasion emissions'!$M$7:$M$34,'abrasion emissions'!$I$7:$I$34,"PM 10",'abrasion emissions'!$J$7:$J$34,"rural",'abrasion emissions'!$K$7:$K$34,"Tyre",'abrasion emissions'!$L$7:$L$34,"c")))))/1000000</f>
        <v>3.2927185206696987E-6</v>
      </c>
      <c r="CP25" s="7">
        <f>((SUMIFS('abrasion emissions'!$M$7:$M$34,'abrasion emissions'!$I$7:$I$34,"PM 2.5",'abrasion emissions'!$J$7:$J$34,"motorway",'abrasion emissions'!$K$7:$K$34,"Tyre",'abrasion emissions'!$L$7:$L$34,"b")*POWER(('vehicles specifications'!$Q25/1000),(1/SUMIFS('abrasion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specifications'!$P25/1000),(1/SUMIFS('abrasion emissions'!$M$7:$M$34,'abrasion emissions'!$I$7:$I$34,"PM 10",'abrasion emissions'!$J$7:$J$34,"motorway",'abrasion emissions'!$K$7:$K$34,"Tyre",'abrasion emissions'!$L$7:$L$34,"c")))))/1000000</f>
        <v>2.815934924428819E-6</v>
      </c>
      <c r="CQ25" s="7">
        <f>((SUMIFS('abrasion emissions'!$M$7:$M$34,'abrasion emissions'!$I$7:$I$34,"PM 2.5",'abrasion emissions'!$J$7:$J$34,"urban",'abrasion emissions'!$K$7:$K$34,"Brake",'abrasion emissions'!$L$7:$L$34,"b")*POWER(('vehicles specifications'!$Q25/1000),(1/SUMIFS('abrasion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specifications'!$P25/1000),(1/SUMIFS('abrasion emissions'!$M$7:$M$34,'abrasion emissions'!$I$7:$I$34,"PM 10",'abrasion emissions'!$J$7:$J$34,"urban",'abrasion emissions'!$K$7:$K$34,"Brake",'abrasion emissions'!$L$7:$L$34,"c")))))/1000000</f>
        <v>3.9234998540415566E-6</v>
      </c>
      <c r="CR25" s="7">
        <f>((SUMIFS('abrasion emissions'!$M$7:$M$34,'abrasion emissions'!$I$7:$I$34,"PM 2.5",'abrasion emissions'!$J$7:$J$34,"rural",'abrasion emissions'!$K$7:$K$34,"Brake",'abrasion emissions'!$L$7:$L$34,"b")*POWER(('vehicles specifications'!$Q25/1000),(1/SUMIFS('abrasion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specifications'!$P25/1000),(1/SUMIFS('abrasion emissions'!$M$7:$M$34,'abrasion emissions'!$I$7:$I$34,"PM 10",'abrasion emissions'!$J$7:$J$34,"rural",'abrasion emissions'!$K$7:$K$34,"Brake",'abrasion emissions'!$L$7:$L$34,"c")))))/1000000</f>
        <v>1.1403544017575488E-6</v>
      </c>
      <c r="CS25" s="7">
        <f>((SUMIFS('abrasion emissions'!$M$7:$M$34,'abrasion emissions'!$I$7:$I$34,"PM 2.5",'abrasion emissions'!$J$7:$J$34,"motorway",'abrasion emissions'!$K$7:$K$34,"Brake",'abrasion emissions'!$L$7:$L$34,"b")*POWER(('vehicles specifications'!$Q25/1000),(1/SUMIFS('abrasion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specifications'!$P25/1000),(1/SUMIFS('abrasion emissions'!$M$7:$M$34,'abrasion emissions'!$I$7:$I$34,"PM 10",'abrasion emissions'!$J$7:$J$34,"motorway",'abrasion emissions'!$K$7:$K$34,"Brake",'abrasion emissions'!$L$7:$L$34,"c")))))/1000000</f>
        <v>1.9688072341666679E-7</v>
      </c>
      <c r="CT25" s="7">
        <f>((SUMIFS('abrasion emissions'!$M$7:$M$38,'abrasion emissions'!$I$7:$I$38,"PM 2.5",'abrasion emissions'!$K$7:$K$38,"Re-susp.",'abrasion emissions'!$L$7:$L$38,"b")*POWER(('vehicles specifications'!$Q25/1000),(1/SUMIFS('abrasion emissions'!$M$7:$M$38,'abrasion emissions'!$I$7:$I$38,"PM 2.5",'abrasion emissions'!$K$7:$K$38,"Re-susp.",'abrasion emissions'!$L$7:$L$38,"c"))))+
(SUMIFS('abrasion emissions'!$M$7:$M$38,'abrasion emissions'!$I$7:$I$38,"PM 10",'abrasion emissions'!$K$7:$K$38,"Re-susp.",'abrasion emissions'!$L$7:$L$38,"b")*POWER(('vehicles specifications'!$Q25/1000),(1/SUMIFS('abrasion emissions'!$M$7:$M$38,'abrasion emissions'!$I$7:$I$38,"PM 10",'abrasion emissions'!$K$7:$K$38,"Re-susp.",'abrasion emissions'!$L$7:$L$38,"c")))))/1000000</f>
        <v>2.0585967221386468E-6</v>
      </c>
      <c r="CU25" s="7">
        <f>((SUMIFS('abrasion emissions'!$M$7:$M$38,'abrasion emissions'!$I$7:$I$38,"PM 2.5",'abrasion emissions'!$K$7:$K$38,"Road",'abrasion emissions'!$L$7:$L$38,"b")*POWER(('vehicles specifications'!$Q25/1000),(1/SUMIFS('abrasion emissions'!$M$7:$M$38,'abrasion emissions'!$I$7:$I$38,"PM 2.5",'abrasion emissions'!$K$7:$K$38,"Road",'abrasion emissions'!$L$7:$L$38,"c"))))+
(SUMIFS('abrasion emissions'!$M$7:$M$38,'abrasion emissions'!$I$7:$I$38,"PM 10",'abrasion emissions'!$K$7:$K$38,"Road",'abrasion emissions'!$L$7:$L$38,"b")*POWER(('vehicles specifications'!$Q25/1000),(1/SUMIFS('abrasion emissions'!$M$7:$M$38,'abrasion emissions'!$I$7:$I$38,"PM 10",'abrasion emissions'!$K$7:$K$38,"Road",'abrasion emissions'!$L$7:$L$38,"c")))))/1000000+CT25</f>
        <v>4.2853236082116621E-6</v>
      </c>
      <c r="CV25" s="7">
        <f>(CK25*CN25)+(CL25*CO25)+(CM25*CP25)</f>
        <v>4.2258279579563645E-6</v>
      </c>
      <c r="CW25" s="7">
        <f>(CK25*CQ25)+(CL25*CR25)+(CM25*CS25)</f>
        <v>3.9234998540415566E-6</v>
      </c>
    </row>
    <row r="26">
      <c r="A26" t="str">
        <f>B26&amp;" - "&amp;D26&amp;" - "&amp;IF(I26&lt;&gt;"",I26&amp;" - "&amp;E26,E26)</f>
        <v>Bicycle, electric (&lt;45 km/h) - 2050 - NMC - CH</v>
      </c>
      <c r="B26" t="inlineStr">
        <is>
          <t>Bicycle, electric (&lt;45 km/h)</t>
        </is>
      </c>
      <c r="D26" s="18" t="n">
        <v>2050</v>
      </c>
      <c r="E26" t="inlineStr">
        <is>
          <t>CH</t>
        </is>
      </c>
      <c r="F26" t="inlineStr">
        <is>
          <t>None</t>
        </is>
      </c>
      <c r="G26" t="inlineStr">
        <is>
          <t>vkm</t>
        </is>
      </c>
      <c r="H26" t="inlineStr">
        <is>
          <t>BEV</t>
        </is>
      </c>
      <c r="I26" t="inlineStr">
        <is>
          <t>NMC</t>
        </is>
      </c>
      <c r="J26" t="n">
        <v>30000</v>
      </c>
      <c r="K26" t="n">
        <v>3000</v>
      </c>
      <c r="L26" s="2">
        <f>J26/K26</f>
        <v>10</v>
      </c>
      <c r="M26" t="n">
        <v>1</v>
      </c>
      <c r="N26" t="n">
        <v>75</v>
      </c>
      <c r="O26" t="n">
        <v>1</v>
      </c>
      <c r="P26" s="2">
        <f>SUM(U26,V26,W26,AC26,AF26,AH26)</f>
        <v>26.169999999999995</v>
      </c>
      <c r="Q26" s="2">
        <f>P26+(M26*N26)+O26</f>
        <v>102.16999999999999</v>
      </c>
      <c r="R26" t="n">
        <v>0.5</v>
      </c>
      <c r="S26" s="2" t="n">
        <v>19</v>
      </c>
      <c r="T26" s="1" t="n">
        <v>0.07000000000000001</v>
      </c>
      <c r="U26" s="2">
        <f>S26*(1-T26)</f>
        <v>17.669999999999998</v>
      </c>
      <c r="V26" t="n">
        <v>0</v>
      </c>
      <c r="W26" t="n">
        <v>4.6</v>
      </c>
      <c r="X26" s="3" t="n">
        <v>1.5</v>
      </c>
      <c r="Y26" s="1" t="n">
        <v>0.8</v>
      </c>
      <c r="Z26" s="3">
        <f>Y26*X26</f>
        <v>1.2000000000000002</v>
      </c>
      <c r="AA26" s="3">
        <f>IF(I26&lt;&gt;"",X26/INDEX('energy battery'!$B$3:$D$6,MATCH('vehicles specifications'!$D26,'energy battery'!$A$3:$A$6,0),MATCH('vehicles specifications'!$I26,'energy battery'!$B$2:$D$2,0)),"")</f>
        <v>3</v>
      </c>
      <c r="AB26" s="3">
        <f>IF(AA26&lt;&gt;"",0.3*AA26,"")</f>
        <v>0.89999999999999991</v>
      </c>
      <c r="AC26" s="3">
        <f>IF(AA26&lt;&gt;"",AB26+AA26,"")</f>
        <v>3.9</v>
      </c>
      <c r="AD26" t="n">
        <v>0</v>
      </c>
      <c r="AE26" t="n">
        <v>0</v>
      </c>
      <c r="AF26" t="n">
        <v>0</v>
      </c>
      <c r="AG26" t="n">
        <v>0</v>
      </c>
      <c r="AH26" t="n">
        <v>0</v>
      </c>
      <c r="AI26" t="n">
        <v>0.5</v>
      </c>
      <c r="AJ26" t="n">
        <v>1</v>
      </c>
      <c r="AK26" s="6">
        <f>J26/15000</f>
        <v>2</v>
      </c>
      <c r="AL26">
        <f>0.000537/1000*Q26</f>
        <v>5.4865289999999991E-5</v>
      </c>
      <c r="AM26" t="n">
        <v>0</v>
      </c>
      <c r="AN26" s="2">
        <f>U26</f>
        <v>17.669999999999998</v>
      </c>
      <c r="AO26" s="2">
        <f>SUM(V26:W26)</f>
        <v>4.5999999999999996</v>
      </c>
      <c r="AP26" s="2">
        <f>AC26</f>
        <v>3.9</v>
      </c>
      <c r="AQ26" s="6" t="inlineStr"/>
      <c r="AR26" s="20" t="n"/>
      <c r="AS26" s="5" t="n">
        <v>0.04530894085938152</v>
      </c>
      <c r="AT26" s="2">
        <f>SUM(Z26,AG26)/(SUM(AQ26,AS26)/3.6)</f>
        <v>95.345420088439695</v>
      </c>
      <c r="AU26" s="5" t="n">
        <v>0</v>
      </c>
      <c r="AV26" s="5" t="n">
        <v>0</v>
      </c>
      <c r="AW26" s="7" t="n">
        <v>0</v>
      </c>
      <c r="AX26" s="7" t="n">
        <v>0</v>
      </c>
      <c r="AY26" s="7" t="n">
        <v>0</v>
      </c>
      <c r="AZ26" s="7" t="n">
        <v>0</v>
      </c>
      <c r="BA26" s="7" t="n">
        <v>0</v>
      </c>
      <c r="BB26" s="7" t="n">
        <v>0</v>
      </c>
      <c r="BC26" s="7" t="n">
        <v>0</v>
      </c>
      <c r="BD26" s="7" t="n">
        <v>0</v>
      </c>
      <c r="BE26" s="7" t="n">
        <v>0</v>
      </c>
      <c r="BF26" s="7" t="n">
        <v>0</v>
      </c>
      <c r="BG26" s="7" t="n">
        <v>0</v>
      </c>
      <c r="BH26" s="7" t="n">
        <v>0</v>
      </c>
      <c r="BI26" s="7" t="n">
        <v>0</v>
      </c>
      <c r="BJ26" s="7" t="n">
        <v>0</v>
      </c>
      <c r="BK26" s="7" t="n">
        <v>0</v>
      </c>
      <c r="BL26" s="7" t="n">
        <v>0</v>
      </c>
      <c r="BM26" s="7" t="n">
        <v>0</v>
      </c>
      <c r="BN26" s="7" t="n">
        <v>0</v>
      </c>
      <c r="BO26" s="7" t="n">
        <v>0</v>
      </c>
      <c r="BP26" s="7" t="n">
        <v>0</v>
      </c>
      <c r="BQ26" s="7" t="n">
        <v>0</v>
      </c>
      <c r="BR26" s="7" t="n">
        <v>0</v>
      </c>
      <c r="BS26" s="7" t="n">
        <v>0</v>
      </c>
      <c r="BT26" s="7" t="n">
        <v>0</v>
      </c>
      <c r="BU26" s="7" t="n">
        <v>0</v>
      </c>
      <c r="BV26" s="7" t="n">
        <v>0</v>
      </c>
      <c r="BW26" s="7" t="n">
        <v>0</v>
      </c>
      <c r="BX26" s="7" t="n">
        <v>0</v>
      </c>
      <c r="BY26" s="7" t="n">
        <v>0</v>
      </c>
      <c r="BZ26" s="7" t="n">
        <v>0</v>
      </c>
      <c r="CA26" s="7" t="n">
        <v>0</v>
      </c>
      <c r="CB26" s="7" t="n">
        <v>0</v>
      </c>
      <c r="CC26" s="7" t="n">
        <v>0</v>
      </c>
      <c r="CD26" s="7" t="n">
        <v>0</v>
      </c>
      <c r="CE26" s="7" t="n">
        <v>0</v>
      </c>
      <c r="CF26" s="7" t="n">
        <v>0</v>
      </c>
      <c r="CG26" s="7" t="n">
        <v>0</v>
      </c>
      <c r="CH26" s="7" t="n">
        <v>0</v>
      </c>
      <c r="CI26" s="7" t="n">
        <v>0</v>
      </c>
      <c r="CJ26" s="7" t="n">
        <v>0</v>
      </c>
      <c r="CK26" s="38">
        <f>VLOOKUP($B26,'abrasion emissions'!$O$7:$R$36,2,FALSE)</f>
        <v>1</v>
      </c>
      <c r="CL26" s="38">
        <f>VLOOKUP($B26,'abrasion emissions'!$O$7:$R$36,3,FALSE)</f>
        <v>0</v>
      </c>
      <c r="CM26" s="38">
        <f>VLOOKUP($B26,'abrasion emissions'!$O$7:$R$36,4,FALSE)</f>
        <v>0</v>
      </c>
      <c r="CN26" s="7">
        <f>((SUMIFS('abrasion emissions'!$M$7:$M$34,'abrasion emissions'!$I$7:$I$34,"PM 2.5",'abrasion emissions'!$J$7:$J$34,"urban",'abrasion emissions'!$K$7:$K$34,"Tyre",'abrasion emissions'!$L$7:$L$34,"b")*POWER(('vehicles specifications'!$Q26/1000),(1/SUMIFS('abrasion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specifications'!$P26/1000),(1/SUMIFS('abrasion emissions'!$M$7:$M$34,'abrasion emissions'!$I$7:$I$34,"PM 10",'abrasion emissions'!$J$7:$J$34,"urban",'abrasion emissions'!$K$7:$K$34,"Tyre",'abrasion emissions'!$L$7:$L$34,"c")))))/1000000</f>
        <v>4.2313962200767675E-6</v>
      </c>
      <c r="CO26" s="7">
        <f>((SUMIFS('abrasion emissions'!$M$7:$M$34,'abrasion emissions'!$I$7:$I$34,"PM 2.5",'abrasion emissions'!$J$7:$J$34,"rural",'abrasion emissions'!$K$7:$K$34,"Tyre",'abrasion emissions'!$L$7:$L$34,"b")*POWER(('vehicles specifications'!$Q26/1000),(1/SUMIFS('abrasion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specifications'!$P26/1000),(1/SUMIFS('abrasion emissions'!$M$7:$M$34,'abrasion emissions'!$I$7:$I$34,"PM 10",'abrasion emissions'!$J$7:$J$34,"rural",'abrasion emissions'!$K$7:$K$34,"Tyre",'abrasion emissions'!$L$7:$L$34,"c")))))/1000000</f>
        <v>3.2970489068519658E-6</v>
      </c>
      <c r="CP26" s="7">
        <f>((SUMIFS('abrasion emissions'!$M$7:$M$34,'abrasion emissions'!$I$7:$I$34,"PM 2.5",'abrasion emissions'!$J$7:$J$34,"motorway",'abrasion emissions'!$K$7:$K$34,"Tyre",'abrasion emissions'!$L$7:$L$34,"b")*POWER(('vehicles specifications'!$Q26/1000),(1/SUMIFS('abrasion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specifications'!$P26/1000),(1/SUMIFS('abrasion emissions'!$M$7:$M$34,'abrasion emissions'!$I$7:$I$34,"PM 10",'abrasion emissions'!$J$7:$J$34,"motorway",'abrasion emissions'!$K$7:$K$34,"Tyre",'abrasion emissions'!$L$7:$L$34,"c")))))/1000000</f>
        <v>2.8196173474429288E-6</v>
      </c>
      <c r="CQ26" s="7">
        <f>((SUMIFS('abrasion emissions'!$M$7:$M$34,'abrasion emissions'!$I$7:$I$34,"PM 2.5",'abrasion emissions'!$J$7:$J$34,"urban",'abrasion emissions'!$K$7:$K$34,"Brake",'abrasion emissions'!$L$7:$L$34,"b")*POWER(('vehicles specifications'!$Q26/1000),(1/SUMIFS('abrasion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specifications'!$P26/1000),(1/SUMIFS('abrasion emissions'!$M$7:$M$34,'abrasion emissions'!$I$7:$I$34,"PM 10",'abrasion emissions'!$J$7:$J$34,"urban",'abrasion emissions'!$K$7:$K$34,"Brake",'abrasion emissions'!$L$7:$L$34,"c")))))/1000000</f>
        <v>3.9285145743745862E-6</v>
      </c>
      <c r="CR26" s="7">
        <f>((SUMIFS('abrasion emissions'!$M$7:$M$34,'abrasion emissions'!$I$7:$I$34,"PM 2.5",'abrasion emissions'!$J$7:$J$34,"rural",'abrasion emissions'!$K$7:$K$34,"Brake",'abrasion emissions'!$L$7:$L$34,"b")*POWER(('vehicles specifications'!$Q26/1000),(1/SUMIFS('abrasion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specifications'!$P26/1000),(1/SUMIFS('abrasion emissions'!$M$7:$M$34,'abrasion emissions'!$I$7:$I$34,"PM 10",'abrasion emissions'!$J$7:$J$34,"rural",'abrasion emissions'!$K$7:$K$34,"Brake",'abrasion emissions'!$L$7:$L$34,"c")))))/1000000</f>
        <v>1.1421334918401469E-6</v>
      </c>
      <c r="CS26" s="7">
        <f>((SUMIFS('abrasion emissions'!$M$7:$M$34,'abrasion emissions'!$I$7:$I$34,"PM 2.5",'abrasion emissions'!$J$7:$J$34,"motorway",'abrasion emissions'!$K$7:$K$34,"Brake",'abrasion emissions'!$L$7:$L$34,"b")*POWER(('vehicles specifications'!$Q26/1000),(1/SUMIFS('abrasion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specifications'!$P26/1000),(1/SUMIFS('abrasion emissions'!$M$7:$M$34,'abrasion emissions'!$I$7:$I$34,"PM 10",'abrasion emissions'!$J$7:$J$34,"motorway",'abrasion emissions'!$K$7:$K$34,"Brake",'abrasion emissions'!$L$7:$L$34,"c")))))/1000000</f>
        <v>1.9722348104079455E-7</v>
      </c>
      <c r="CT26" s="7">
        <f>((SUMIFS('abrasion emissions'!$M$7:$M$38,'abrasion emissions'!$I$7:$I$38,"PM 2.5",'abrasion emissions'!$K$7:$K$38,"Re-susp.",'abrasion emissions'!$L$7:$L$38,"b")*POWER(('vehicles specifications'!$Q26/1000),(1/SUMIFS('abrasion emissions'!$M$7:$M$38,'abrasion emissions'!$I$7:$I$38,"PM 2.5",'abrasion emissions'!$K$7:$K$38,"Re-susp.",'abrasion emissions'!$L$7:$L$38,"c"))))+
(SUMIFS('abrasion emissions'!$M$7:$M$38,'abrasion emissions'!$I$7:$I$38,"PM 10",'abrasion emissions'!$K$7:$K$38,"Re-susp.",'abrasion emissions'!$L$7:$L$38,"b")*POWER(('vehicles specifications'!$Q26/1000),(1/SUMIFS('abrasion emissions'!$M$7:$M$38,'abrasion emissions'!$I$7:$I$38,"PM 10",'abrasion emissions'!$K$7:$K$38,"Re-susp.",'abrasion emissions'!$L$7:$L$38,"c")))))/1000000</f>
        <v>2.0617155719299752E-6</v>
      </c>
      <c r="CU26" s="7">
        <f>((SUMIFS('abrasion emissions'!$M$7:$M$38,'abrasion emissions'!$I$7:$I$38,"PM 2.5",'abrasion emissions'!$K$7:$K$38,"Road",'abrasion emissions'!$L$7:$L$38,"b")*POWER(('vehicles specifications'!$Q26/1000),(1/SUMIFS('abrasion emissions'!$M$7:$M$38,'abrasion emissions'!$I$7:$I$38,"PM 2.5",'abrasion emissions'!$K$7:$K$38,"Road",'abrasion emissions'!$L$7:$L$38,"c"))))+
(SUMIFS('abrasion emissions'!$M$7:$M$38,'abrasion emissions'!$I$7:$I$38,"PM 10",'abrasion emissions'!$K$7:$K$38,"Road",'abrasion emissions'!$L$7:$L$38,"b")*POWER(('vehicles specifications'!$Q26/1000),(1/SUMIFS('abrasion emissions'!$M$7:$M$38,'abrasion emissions'!$I$7:$I$38,"PM 10",'abrasion emissions'!$K$7:$K$38,"Road",'abrasion emissions'!$L$7:$L$38,"c")))))/1000000+CT26</f>
        <v>4.2909159122347196E-6</v>
      </c>
      <c r="CV26" s="7">
        <f>(CK26*CN26)+(CL26*CO26)+(CM26*CP26)</f>
        <v>4.2313962200767675E-6</v>
      </c>
      <c r="CW26" s="7">
        <f>(CK26*CQ26)+(CL26*CR26)+(CM26*CS26)</f>
        <v>3.9285145743745862E-6</v>
      </c>
    </row>
    <row r="27">
      <c r="A27" t="str">
        <f>B27&amp;" - "&amp;D27&amp;" - "&amp;IF(I27&lt;&gt;"",I27&amp;" - "&amp;E27,E27)</f>
        <v>Bicycle, battery electric, cargo bike - 2020 - NMC - CH</v>
      </c>
      <c r="B27" t="inlineStr">
        <is>
          <t>Bicycle, battery electric, cargo bike</t>
        </is>
      </c>
      <c r="D27" s="18" t="n">
        <v>2020</v>
      </c>
      <c r="E27" t="inlineStr">
        <is>
          <t>CH</t>
        </is>
      </c>
      <c r="F27" t="inlineStr">
        <is>
          <t>None</t>
        </is>
      </c>
      <c r="G27" t="inlineStr">
        <is>
          <t>vkm</t>
        </is>
      </c>
      <c r="H27" t="inlineStr">
        <is>
          <t>BEV</t>
        </is>
      </c>
      <c r="I27" t="inlineStr">
        <is>
          <t>NMC</t>
        </is>
      </c>
      <c r="J27" t="n">
        <v>20000</v>
      </c>
      <c r="K27" t="n">
        <v>2000</v>
      </c>
      <c r="L27" s="2">
        <f>J27/K27</f>
        <v>10</v>
      </c>
      <c r="M27" t="n">
        <v>1</v>
      </c>
      <c r="N27" t="n">
        <v>75</v>
      </c>
      <c r="O27" t="n">
        <v>50</v>
      </c>
      <c r="P27" s="2">
        <f>SUM(U27,V27,W27,AC27,AF27,AH27)</f>
        <v>45.25</v>
      </c>
      <c r="Q27" s="2">
        <f>P27+(M27*N27)+O27</f>
        <v>170.25</v>
      </c>
      <c r="R27" t="n">
        <v>0.25</v>
      </c>
      <c r="S27" s="2" t="n">
        <v>38</v>
      </c>
      <c r="T27" s="1" t="n">
        <v>0</v>
      </c>
      <c r="U27" s="2">
        <f>S27*(1-T27)</f>
        <v>38</v>
      </c>
      <c r="V27" t="n">
        <v>0</v>
      </c>
      <c r="W27" t="n">
        <v>4</v>
      </c>
      <c r="X27" s="3" t="n">
        <v>0.5</v>
      </c>
      <c r="Y27" s="1" t="n">
        <v>0.8</v>
      </c>
      <c r="Z27" s="3">
        <f>Y27*X27</f>
        <v>0.4</v>
      </c>
      <c r="AA27" s="3">
        <f>IF(I27&lt;&gt;"",X27/INDEX('energy battery'!$B$3:$D$6,MATCH('vehicles specifications'!$D27,'energy battery'!$A$3:$A$6,0),MATCH('vehicles specifications'!$I27,'energy battery'!$B$2:$D$2,0)),"")</f>
        <v>2.5</v>
      </c>
      <c r="AB27" s="3">
        <f>IF(AA27&lt;&gt;"",0.3*AA27,"")</f>
        <v>0.75</v>
      </c>
      <c r="AC27" s="3">
        <f>IF(AA27&lt;&gt;"",AB27+AA27,"")</f>
        <v>3.25</v>
      </c>
      <c r="AD27" t="n">
        <v>1</v>
      </c>
      <c r="AE27" t="n">
        <v>0</v>
      </c>
      <c r="AF27" t="n">
        <v>0</v>
      </c>
      <c r="AG27" t="n">
        <v>0</v>
      </c>
      <c r="AH27" t="n">
        <v>0</v>
      </c>
      <c r="AI27" t="n">
        <v>0.5</v>
      </c>
      <c r="AJ27" t="n">
        <v>1</v>
      </c>
      <c r="AK27" s="6">
        <f>J27/15000</f>
        <v>1.3333333333333333</v>
      </c>
      <c r="AL27">
        <f>0.000537/1000*Q27</f>
        <v>9.1424250000000001E-5</v>
      </c>
      <c r="AM27" t="n">
        <v>0</v>
      </c>
      <c r="AN27" s="2">
        <f>U27</f>
        <v>38</v>
      </c>
      <c r="AO27" s="2">
        <f>SUM(V27:W27)</f>
        <v>4</v>
      </c>
      <c r="AP27" s="2">
        <f>AC27</f>
        <v>3.25</v>
      </c>
      <c r="AQ27" s="6" t="inlineStr"/>
      <c r="AR27" s="20" t="n"/>
      <c r="AS27" s="5" t="n">
        <v>0.03470832316329021</v>
      </c>
      <c r="AT27" s="2">
        <f>SUM(Z27,AG27)/(SUM(AQ27,AS27)/3.6)</f>
        <v>41.48860759493671</v>
      </c>
      <c r="AU27" s="5" t="n">
        <v>0</v>
      </c>
      <c r="AV27" s="5" t="n">
        <v>0</v>
      </c>
      <c r="AW27" s="7" t="n">
        <v>0</v>
      </c>
      <c r="AX27" s="7" t="n">
        <v>0</v>
      </c>
      <c r="AY27" s="7" t="n">
        <v>0</v>
      </c>
      <c r="AZ27" s="7" t="n">
        <v>0</v>
      </c>
      <c r="BA27" s="7" t="n">
        <v>0</v>
      </c>
      <c r="BB27" s="7" t="n">
        <v>0</v>
      </c>
      <c r="BC27" s="7" t="n">
        <v>0</v>
      </c>
      <c r="BD27" s="7" t="n">
        <v>0</v>
      </c>
      <c r="BE27" s="7" t="n">
        <v>0</v>
      </c>
      <c r="BF27" s="7" t="n">
        <v>0</v>
      </c>
      <c r="BG27" s="7" t="n">
        <v>0</v>
      </c>
      <c r="BH27" s="7" t="n">
        <v>0</v>
      </c>
      <c r="BI27" s="7" t="n">
        <v>0</v>
      </c>
      <c r="BJ27" s="7" t="n">
        <v>0</v>
      </c>
      <c r="BK27" s="7" t="n">
        <v>0</v>
      </c>
      <c r="BL27" s="7" t="n">
        <v>0</v>
      </c>
      <c r="BM27" s="7" t="n">
        <v>0</v>
      </c>
      <c r="BN27" s="7" t="n">
        <v>0</v>
      </c>
      <c r="BO27" s="7" t="n">
        <v>0</v>
      </c>
      <c r="BP27" s="7" t="n">
        <v>0</v>
      </c>
      <c r="BQ27" s="7" t="n">
        <v>0</v>
      </c>
      <c r="BR27" s="7" t="n">
        <v>0</v>
      </c>
      <c r="BS27" s="7" t="n">
        <v>0</v>
      </c>
      <c r="BT27" s="7" t="n">
        <v>0</v>
      </c>
      <c r="BU27" s="7" t="n">
        <v>0</v>
      </c>
      <c r="BV27" s="7" t="n">
        <v>0</v>
      </c>
      <c r="BW27" s="7" t="n">
        <v>0</v>
      </c>
      <c r="BX27" s="7" t="n">
        <v>0</v>
      </c>
      <c r="BY27" s="7" t="n">
        <v>0</v>
      </c>
      <c r="BZ27" s="7" t="n">
        <v>0</v>
      </c>
      <c r="CA27" s="7" t="n">
        <v>0</v>
      </c>
      <c r="CB27" s="7" t="n">
        <v>0</v>
      </c>
      <c r="CC27" s="7" t="n">
        <v>0</v>
      </c>
      <c r="CD27" s="7" t="n">
        <v>0</v>
      </c>
      <c r="CE27" s="7" t="n">
        <v>0</v>
      </c>
      <c r="CF27" s="7" t="n">
        <v>0</v>
      </c>
      <c r="CG27" s="7" t="n">
        <v>0</v>
      </c>
      <c r="CH27" s="7" t="n">
        <v>0</v>
      </c>
      <c r="CI27" s="7" t="n">
        <v>0</v>
      </c>
      <c r="CJ27" s="7" t="n">
        <v>0</v>
      </c>
      <c r="CK27" s="38">
        <f>VLOOKUP($B27,'abrasion emissions'!$O$7:$R$36,2,FALSE)</f>
        <v>1</v>
      </c>
      <c r="CL27" s="38">
        <f>VLOOKUP($B27,'abrasion emissions'!$O$7:$R$36,3,FALSE)</f>
        <v>0</v>
      </c>
      <c r="CM27" s="38">
        <f>VLOOKUP($B27,'abrasion emissions'!$O$7:$R$36,4,FALSE)</f>
        <v>0</v>
      </c>
      <c r="CN27" s="7">
        <f>((SUMIFS('abrasion emissions'!$M$7:$M$34,'abrasion emissions'!$I$7:$I$34,"PM 2.5",'abrasion emissions'!$J$7:$J$34,"urban",'abrasion emissions'!$K$7:$K$34,"Tyre",'abrasion emissions'!$L$7:$L$34,"b")*POWER(('vehicles specifications'!$Q27/1000),(1/SUMIFS('abrasion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specifications'!$P27/1000),(1/SUMIFS('abrasion emissions'!$M$7:$M$34,'abrasion emissions'!$I$7:$I$34,"PM 10",'abrasion emissions'!$J$7:$J$34,"urban",'abrasion emissions'!$K$7:$K$34,"Tyre",'abrasion emissions'!$L$7:$L$34,"c")))))/1000000</f>
        <v>5.307335850102609E-6</v>
      </c>
      <c r="CO27" s="7">
        <f>((SUMIFS('abrasion emissions'!$M$7:$M$34,'abrasion emissions'!$I$7:$I$34,"PM 2.5",'abrasion emissions'!$J$7:$J$34,"rural",'abrasion emissions'!$K$7:$K$34,"Tyre",'abrasion emissions'!$L$7:$L$34,"b")*POWER(('vehicles specifications'!$Q27/1000),(1/SUMIFS('abrasion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specifications'!$P27/1000),(1/SUMIFS('abrasion emissions'!$M$7:$M$34,'abrasion emissions'!$I$7:$I$34,"PM 10",'abrasion emissions'!$J$7:$J$34,"rural",'abrasion emissions'!$K$7:$K$34,"Tyre",'abrasion emissions'!$L$7:$L$34,"c")))))/1000000</f>
        <v>4.1353270531173545E-6</v>
      </c>
      <c r="CP27" s="7">
        <f>((SUMIFS('abrasion emissions'!$M$7:$M$34,'abrasion emissions'!$I$7:$I$34,"PM 2.5",'abrasion emissions'!$J$7:$J$34,"motorway",'abrasion emissions'!$K$7:$K$34,"Tyre",'abrasion emissions'!$L$7:$L$34,"b")*POWER(('vehicles specifications'!$Q27/1000),(1/SUMIFS('abrasion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specifications'!$P27/1000),(1/SUMIFS('abrasion emissions'!$M$7:$M$34,'abrasion emissions'!$I$7:$I$34,"PM 10",'abrasion emissions'!$J$7:$J$34,"motorway",'abrasion emissions'!$K$7:$K$34,"Tyre",'abrasion emissions'!$L$7:$L$34,"c")))))/1000000</f>
        <v>3.536307289830545E-6</v>
      </c>
      <c r="CQ27" s="7">
        <f>((SUMIFS('abrasion emissions'!$M$7:$M$34,'abrasion emissions'!$I$7:$I$34,"PM 2.5",'abrasion emissions'!$J$7:$J$34,"urban",'abrasion emissions'!$K$7:$K$34,"Brake",'abrasion emissions'!$L$7:$L$34,"b")*POWER(('vehicles specifications'!$Q27/1000),(1/SUMIFS('abrasion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specifications'!$P27/1000),(1/SUMIFS('abrasion emissions'!$M$7:$M$34,'abrasion emissions'!$I$7:$I$34,"PM 10",'abrasion emissions'!$J$7:$J$34,"urban",'abrasion emissions'!$K$7:$K$34,"Brake",'abrasion emissions'!$L$7:$L$34,"c")))))/1000000</f>
        <v>5.1556634746423041E-6</v>
      </c>
      <c r="CR27" s="7">
        <f>((SUMIFS('abrasion emissions'!$M$7:$M$34,'abrasion emissions'!$I$7:$I$34,"PM 2.5",'abrasion emissions'!$J$7:$J$34,"rural",'abrasion emissions'!$K$7:$K$34,"Brake",'abrasion emissions'!$L$7:$L$34,"b")*POWER(('vehicles specifications'!$Q27/1000),(1/SUMIFS('abrasion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specifications'!$P27/1000),(1/SUMIFS('abrasion emissions'!$M$7:$M$34,'abrasion emissions'!$I$7:$I$34,"PM 10",'abrasion emissions'!$J$7:$J$34,"rural",'abrasion emissions'!$K$7:$K$34,"Brake",'abrasion emissions'!$L$7:$L$34,"c")))))/1000000</f>
        <v>1.6108746278502062E-6</v>
      </c>
      <c r="CS27" s="7">
        <f>((SUMIFS('abrasion emissions'!$M$7:$M$34,'abrasion emissions'!$I$7:$I$34,"PM 2.5",'abrasion emissions'!$J$7:$J$34,"motorway",'abrasion emissions'!$K$7:$K$34,"Brake",'abrasion emissions'!$L$7:$L$34,"b")*POWER(('vehicles specifications'!$Q27/1000),(1/SUMIFS('abrasion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specifications'!$P27/1000),(1/SUMIFS('abrasion emissions'!$M$7:$M$34,'abrasion emissions'!$I$7:$I$34,"PM 10",'abrasion emissions'!$J$7:$J$34,"motorway",'abrasion emissions'!$K$7:$K$34,"Brake",'abrasion emissions'!$L$7:$L$34,"c")))))/1000000</f>
        <v>2.9314621230767643E-7</v>
      </c>
      <c r="CT27" s="7">
        <f>((SUMIFS('abrasion emissions'!$M$7:$M$38,'abrasion emissions'!$I$7:$I$38,"PM 2.5",'abrasion emissions'!$K$7:$K$38,"Re-susp.",'abrasion emissions'!$L$7:$L$38,"b")*POWER(('vehicles specifications'!$Q27/1000),(1/SUMIFS('abrasion emissions'!$M$7:$M$38,'abrasion emissions'!$I$7:$I$38,"PM 2.5",'abrasion emissions'!$K$7:$K$38,"Re-susp.",'abrasion emissions'!$L$7:$L$38,"c"))))+
(SUMIFS('abrasion emissions'!$M$7:$M$38,'abrasion emissions'!$I$7:$I$38,"PM 10",'abrasion emissions'!$K$7:$K$38,"Re-susp.",'abrasion emissions'!$L$7:$L$38,"b")*POWER(('vehicles specifications'!$Q27/1000),(1/SUMIFS('abrasion emissions'!$M$7:$M$38,'abrasion emissions'!$I$7:$I$38,"PM 10",'abrasion emissions'!$K$7:$K$38,"Re-susp.",'abrasion emissions'!$L$7:$L$38,"c")))))/1000000</f>
        <v>3.2796850448478635E-6</v>
      </c>
      <c r="CU27" s="7">
        <f>((SUMIFS('abrasion emissions'!$M$7:$M$38,'abrasion emissions'!$I$7:$I$38,"PM 2.5",'abrasion emissions'!$K$7:$K$38,"Road",'abrasion emissions'!$L$7:$L$38,"b")*POWER(('vehicles specifications'!$Q27/1000),(1/SUMIFS('abrasion emissions'!$M$7:$M$38,'abrasion emissions'!$I$7:$I$38,"PM 2.5",'abrasion emissions'!$K$7:$K$38,"Road",'abrasion emissions'!$L$7:$L$38,"c"))))+
(SUMIFS('abrasion emissions'!$M$7:$M$38,'abrasion emissions'!$I$7:$I$38,"PM 10",'abrasion emissions'!$K$7:$K$38,"Road",'abrasion emissions'!$L$7:$L$38,"b")*POWER(('vehicles specifications'!$Q27/1000),(1/SUMIFS('abrasion emissions'!$M$7:$M$38,'abrasion emissions'!$I$7:$I$38,"PM 10",'abrasion emissions'!$K$7:$K$38,"Road",'abrasion emissions'!$L$7:$L$38,"c")))))/1000000+CT27</f>
        <v>6.4129100619129601E-6</v>
      </c>
      <c r="CV27" s="7">
        <f>(CK27*CN27)+(CL27*CO27)+(CM27*CP27)</f>
        <v>5.307335850102609E-6</v>
      </c>
      <c r="CW27" s="7">
        <f>(CK27*CQ27)+(CL27*CR27)+(CM27*CS27)</f>
        <v>5.1556634746423041E-6</v>
      </c>
    </row>
    <row r="28">
      <c r="A28" t="str">
        <f>B28&amp;" - "&amp;D28&amp;" - "&amp;IF(I28&lt;&gt;"",I28&amp;" - "&amp;E28,E28)</f>
        <v>Bicycle, battery electric, cargo bike - 2030 - NMC - CH</v>
      </c>
      <c r="B28" t="inlineStr">
        <is>
          <t>Bicycle, battery electric, cargo bike</t>
        </is>
      </c>
      <c r="D28" s="18" t="n">
        <v>2030</v>
      </c>
      <c r="E28" t="inlineStr">
        <is>
          <t>CH</t>
        </is>
      </c>
      <c r="F28" t="inlineStr">
        <is>
          <t>None</t>
        </is>
      </c>
      <c r="G28" t="inlineStr">
        <is>
          <t>vkm</t>
        </is>
      </c>
      <c r="H28" t="inlineStr">
        <is>
          <t>BEV</t>
        </is>
      </c>
      <c r="I28" t="inlineStr">
        <is>
          <t>NMC</t>
        </is>
      </c>
      <c r="J28" t="n">
        <v>20000</v>
      </c>
      <c r="K28" t="n">
        <v>2000</v>
      </c>
      <c r="L28" s="2">
        <f>J28/K28</f>
        <v>10</v>
      </c>
      <c r="M28" t="n">
        <v>1</v>
      </c>
      <c r="N28" t="n">
        <v>75</v>
      </c>
      <c r="O28" t="n">
        <v>50</v>
      </c>
      <c r="P28" s="2">
        <f>SUM(U28,V28,W28,AC28,AF28,AH28)</f>
        <v>43.793333333333329</v>
      </c>
      <c r="Q28" s="2">
        <f>P28+(M28*N28)+O28</f>
        <v>168.79333333333332</v>
      </c>
      <c r="R28" t="n">
        <v>0.25</v>
      </c>
      <c r="S28" s="2" t="n">
        <v>38</v>
      </c>
      <c r="T28" s="1" t="n">
        <v>0.03</v>
      </c>
      <c r="U28" s="2">
        <f>S28*(1-T28)</f>
        <v>36.86</v>
      </c>
      <c r="V28" t="n">
        <v>0</v>
      </c>
      <c r="W28" t="n">
        <v>3.9</v>
      </c>
      <c r="X28" s="3" t="n">
        <v>0.7</v>
      </c>
      <c r="Y28" s="1" t="n">
        <v>0.8</v>
      </c>
      <c r="Z28" s="3">
        <f>Y28*X28</f>
        <v>0.55999999999999994</v>
      </c>
      <c r="AA28" s="3">
        <f>IF(I28&lt;&gt;"",X28/INDEX('energy battery'!$B$3:$D$6,MATCH('vehicles specifications'!$D28,'energy battery'!$A$3:$A$6,0),MATCH('vehicles specifications'!$I28,'energy battery'!$B$2:$D$2,0)),"")</f>
        <v>2.3333333333333335</v>
      </c>
      <c r="AB28" s="3">
        <f>IF(AA28&lt;&gt;"",0.3*AA28,"")</f>
        <v>0.70000000000000007</v>
      </c>
      <c r="AC28" s="3">
        <f>IF(AA28&lt;&gt;"",AB28+AA28,"")</f>
        <v>3.0333333333333337</v>
      </c>
      <c r="AD28" t="n">
        <v>0.5</v>
      </c>
      <c r="AE28" t="n">
        <v>0</v>
      </c>
      <c r="AF28" t="n">
        <v>0</v>
      </c>
      <c r="AG28" t="n">
        <v>0</v>
      </c>
      <c r="AH28" t="n">
        <v>0</v>
      </c>
      <c r="AI28" t="n">
        <v>0.5</v>
      </c>
      <c r="AJ28" t="n">
        <v>1</v>
      </c>
      <c r="AK28" s="6">
        <f>J28/15000</f>
        <v>1.3333333333333333</v>
      </c>
      <c r="AL28">
        <f>0.000537/1000*Q28</f>
        <v>9.0642019999999992E-5</v>
      </c>
      <c r="AM28" t="n">
        <v>0</v>
      </c>
      <c r="AN28" s="2">
        <f>U28</f>
        <v>36.86</v>
      </c>
      <c r="AO28" s="2">
        <f>SUM(V28:W28)</f>
        <v>3.9</v>
      </c>
      <c r="AP28" s="2">
        <f>AC28</f>
        <v>3.0333333333333337</v>
      </c>
      <c r="AQ28" s="6" t="inlineStr"/>
      <c r="AR28" s="20" t="n"/>
      <c r="AS28" s="5" t="n">
        <v>0.03470832316329021</v>
      </c>
      <c r="AT28" s="2">
        <f>SUM(Z28,AG28)/(SUM(AQ28,AS28)/3.6)</f>
        <v>58.084050632911385</v>
      </c>
      <c r="AU28" s="5" t="n">
        <v>0</v>
      </c>
      <c r="AV28" s="5" t="n">
        <v>0</v>
      </c>
      <c r="AW28" s="7" t="n">
        <v>0</v>
      </c>
      <c r="AX28" s="7" t="n">
        <v>0</v>
      </c>
      <c r="AY28" s="7" t="n">
        <v>0</v>
      </c>
      <c r="AZ28" s="7" t="n">
        <v>0</v>
      </c>
      <c r="BA28" s="7" t="n">
        <v>0</v>
      </c>
      <c r="BB28" s="7" t="n">
        <v>0</v>
      </c>
      <c r="BC28" s="7" t="n">
        <v>0</v>
      </c>
      <c r="BD28" s="7" t="n">
        <v>0</v>
      </c>
      <c r="BE28" s="7" t="n">
        <v>0</v>
      </c>
      <c r="BF28" s="7" t="n">
        <v>0</v>
      </c>
      <c r="BG28" s="7" t="n">
        <v>0</v>
      </c>
      <c r="BH28" s="7" t="n">
        <v>0</v>
      </c>
      <c r="BI28" s="7" t="n">
        <v>0</v>
      </c>
      <c r="BJ28" s="7" t="n">
        <v>0</v>
      </c>
      <c r="BK28" s="7" t="n">
        <v>0</v>
      </c>
      <c r="BL28" s="7" t="n">
        <v>0</v>
      </c>
      <c r="BM28" s="7" t="n">
        <v>0</v>
      </c>
      <c r="BN28" s="7" t="n">
        <v>0</v>
      </c>
      <c r="BO28" s="7" t="n">
        <v>0</v>
      </c>
      <c r="BP28" s="7" t="n">
        <v>0</v>
      </c>
      <c r="BQ28" s="7" t="n">
        <v>0</v>
      </c>
      <c r="BR28" s="7" t="n">
        <v>0</v>
      </c>
      <c r="BS28" s="7" t="n">
        <v>0</v>
      </c>
      <c r="BT28" s="7" t="n">
        <v>0</v>
      </c>
      <c r="BU28" s="7" t="n">
        <v>0</v>
      </c>
      <c r="BV28" s="7" t="n">
        <v>0</v>
      </c>
      <c r="BW28" s="7" t="n">
        <v>0</v>
      </c>
      <c r="BX28" s="7" t="n">
        <v>0</v>
      </c>
      <c r="BY28" s="7" t="n">
        <v>0</v>
      </c>
      <c r="BZ28" s="7" t="n">
        <v>0</v>
      </c>
      <c r="CA28" s="7" t="n">
        <v>0</v>
      </c>
      <c r="CB28" s="7" t="n">
        <v>0</v>
      </c>
      <c r="CC28" s="7" t="n">
        <v>0</v>
      </c>
      <c r="CD28" s="7" t="n">
        <v>0</v>
      </c>
      <c r="CE28" s="7" t="n">
        <v>0</v>
      </c>
      <c r="CF28" s="7" t="n">
        <v>0</v>
      </c>
      <c r="CG28" s="7" t="n">
        <v>0</v>
      </c>
      <c r="CH28" s="7" t="n">
        <v>0</v>
      </c>
      <c r="CI28" s="7" t="n">
        <v>0</v>
      </c>
      <c r="CJ28" s="7" t="n">
        <v>0</v>
      </c>
      <c r="CK28" s="38">
        <f>VLOOKUP($B28,'abrasion emissions'!$O$7:$R$36,2,FALSE)</f>
        <v>1</v>
      </c>
      <c r="CL28" s="38">
        <f>VLOOKUP($B28,'abrasion emissions'!$O$7:$R$36,3,FALSE)</f>
        <v>0</v>
      </c>
      <c r="CM28" s="38">
        <f>VLOOKUP($B28,'abrasion emissions'!$O$7:$R$36,4,FALSE)</f>
        <v>0</v>
      </c>
      <c r="CN28" s="7">
        <f>((SUMIFS('abrasion emissions'!$M$7:$M$34,'abrasion emissions'!$I$7:$I$34,"PM 2.5",'abrasion emissions'!$J$7:$J$34,"urban",'abrasion emissions'!$K$7:$K$34,"Tyre",'abrasion emissions'!$L$7:$L$34,"b")*POWER(('vehicles specifications'!$Q28/1000),(1/SUMIFS('abrasion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specifications'!$P28/1000),(1/SUMIFS('abrasion emissions'!$M$7:$M$34,'abrasion emissions'!$I$7:$I$34,"PM 10",'abrasion emissions'!$J$7:$J$34,"urban",'abrasion emissions'!$K$7:$K$34,"Tyre",'abrasion emissions'!$L$7:$L$34,"c")))))/1000000</f>
        <v>5.2718476303726863E-6</v>
      </c>
      <c r="CO28" s="7">
        <f>((SUMIFS('abrasion emissions'!$M$7:$M$34,'abrasion emissions'!$I$7:$I$34,"PM 2.5",'abrasion emissions'!$J$7:$J$34,"rural",'abrasion emissions'!$K$7:$K$34,"Tyre",'abrasion emissions'!$L$7:$L$34,"b")*POWER(('vehicles specifications'!$Q28/1000),(1/SUMIFS('abrasion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specifications'!$P28/1000),(1/SUMIFS('abrasion emissions'!$M$7:$M$34,'abrasion emissions'!$I$7:$I$34,"PM 10",'abrasion emissions'!$J$7:$J$34,"rural",'abrasion emissions'!$K$7:$K$34,"Tyre",'abrasion emissions'!$L$7:$L$34,"c")))))/1000000</f>
        <v>4.1077275831644373E-6</v>
      </c>
      <c r="CP28" s="7">
        <f>((SUMIFS('abrasion emissions'!$M$7:$M$34,'abrasion emissions'!$I$7:$I$34,"PM 2.5",'abrasion emissions'!$J$7:$J$34,"motorway",'abrasion emissions'!$K$7:$K$34,"Tyre",'abrasion emissions'!$L$7:$L$34,"b")*POWER(('vehicles specifications'!$Q28/1000),(1/SUMIFS('abrasion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specifications'!$P28/1000),(1/SUMIFS('abrasion emissions'!$M$7:$M$34,'abrasion emissions'!$I$7:$I$34,"PM 10",'abrasion emissions'!$J$7:$J$34,"motorway",'abrasion emissions'!$K$7:$K$34,"Tyre",'abrasion emissions'!$L$7:$L$34,"c")))))/1000000</f>
        <v>3.5128360476428557E-6</v>
      </c>
      <c r="CQ28" s="7">
        <f>((SUMIFS('abrasion emissions'!$M$7:$M$34,'abrasion emissions'!$I$7:$I$34,"PM 2.5",'abrasion emissions'!$J$7:$J$34,"urban",'abrasion emissions'!$K$7:$K$34,"Brake",'abrasion emissions'!$L$7:$L$34,"b")*POWER(('vehicles specifications'!$Q28/1000),(1/SUMIFS('abrasion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specifications'!$P28/1000),(1/SUMIFS('abrasion emissions'!$M$7:$M$34,'abrasion emissions'!$I$7:$I$34,"PM 10",'abrasion emissions'!$J$7:$J$34,"urban",'abrasion emissions'!$K$7:$K$34,"Brake",'abrasion emissions'!$L$7:$L$34,"c")))))/1000000</f>
        <v>5.1220542818673449E-6</v>
      </c>
      <c r="CR28" s="7">
        <f>((SUMIFS('abrasion emissions'!$M$7:$M$34,'abrasion emissions'!$I$7:$I$34,"PM 2.5",'abrasion emissions'!$J$7:$J$34,"rural",'abrasion emissions'!$K$7:$K$34,"Brake",'abrasion emissions'!$L$7:$L$34,"b")*POWER(('vehicles specifications'!$Q28/1000),(1/SUMIFS('abrasion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specifications'!$P28/1000),(1/SUMIFS('abrasion emissions'!$M$7:$M$34,'abrasion emissions'!$I$7:$I$34,"PM 10",'abrasion emissions'!$J$7:$J$34,"rural",'abrasion emissions'!$K$7:$K$34,"Brake",'abrasion emissions'!$L$7:$L$34,"c")))))/1000000</f>
        <v>1.59804659517023E-6</v>
      </c>
      <c r="CS28" s="7">
        <f>((SUMIFS('abrasion emissions'!$M$7:$M$34,'abrasion emissions'!$I$7:$I$34,"PM 2.5",'abrasion emissions'!$J$7:$J$34,"motorway",'abrasion emissions'!$K$7:$K$34,"Brake",'abrasion emissions'!$L$7:$L$34,"b")*POWER(('vehicles specifications'!$Q28/1000),(1/SUMIFS('abrasion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specifications'!$P28/1000),(1/SUMIFS('abrasion emissions'!$M$7:$M$34,'abrasion emissions'!$I$7:$I$34,"PM 10",'abrasion emissions'!$J$7:$J$34,"motorway",'abrasion emissions'!$K$7:$K$34,"Brake",'abrasion emissions'!$L$7:$L$34,"c")))))/1000000</f>
        <v>2.9053946530829619E-7</v>
      </c>
      <c r="CT28" s="7">
        <f>((SUMIFS('abrasion emissions'!$M$7:$M$38,'abrasion emissions'!$I$7:$I$38,"PM 2.5",'abrasion emissions'!$K$7:$K$38,"Re-susp.",'abrasion emissions'!$L$7:$L$38,"b")*POWER(('vehicles specifications'!$Q28/1000),(1/SUMIFS('abrasion emissions'!$M$7:$M$38,'abrasion emissions'!$I$7:$I$38,"PM 2.5",'abrasion emissions'!$K$7:$K$38,"Re-susp.",'abrasion emissions'!$L$7:$L$38,"c"))))+
(SUMIFS('abrasion emissions'!$M$7:$M$38,'abrasion emissions'!$I$7:$I$38,"PM 10",'abrasion emissions'!$K$7:$K$38,"Re-susp.",'abrasion emissions'!$L$7:$L$38,"b")*POWER(('vehicles specifications'!$Q28/1000),(1/SUMIFS('abrasion emissions'!$M$7:$M$38,'abrasion emissions'!$I$7:$I$38,"PM 10",'abrasion emissions'!$K$7:$K$38,"Re-susp.",'abrasion emissions'!$L$7:$L$38,"c")))))/1000000</f>
        <v>3.2541649718223282E-6</v>
      </c>
      <c r="CU28" s="7">
        <f>((SUMIFS('abrasion emissions'!$M$7:$M$38,'abrasion emissions'!$I$7:$I$38,"PM 2.5",'abrasion emissions'!$K$7:$K$38,"Road",'abrasion emissions'!$L$7:$L$38,"b")*POWER(('vehicles specifications'!$Q28/1000),(1/SUMIFS('abrasion emissions'!$M$7:$M$38,'abrasion emissions'!$I$7:$I$38,"PM 2.5",'abrasion emissions'!$K$7:$K$38,"Road",'abrasion emissions'!$L$7:$L$38,"c"))))+
(SUMIFS('abrasion emissions'!$M$7:$M$38,'abrasion emissions'!$I$7:$I$38,"PM 10",'abrasion emissions'!$K$7:$K$38,"Road",'abrasion emissions'!$L$7:$L$38,"b")*POWER(('vehicles specifications'!$Q28/1000),(1/SUMIFS('abrasion emissions'!$M$7:$M$38,'abrasion emissions'!$I$7:$I$38,"PM 10",'abrasion emissions'!$K$7:$K$38,"Road",'abrasion emissions'!$L$7:$L$38,"c")))))/1000000+CT28</f>
        <v>6.369492396306806E-6</v>
      </c>
      <c r="CV28" s="7">
        <f>(CK28*CN28)+(CL28*CO28)+(CM28*CP28)</f>
        <v>5.2718476303726863E-6</v>
      </c>
      <c r="CW28" s="7">
        <f>(CK28*CQ28)+(CL28*CR28)+(CM28*CS28)</f>
        <v>5.1220542818673449E-6</v>
      </c>
    </row>
    <row r="29">
      <c r="A29" t="str">
        <f>B29&amp;" - "&amp;D29&amp;" - "&amp;IF(I29&lt;&gt;"",I29&amp;" - "&amp;E29,E29)</f>
        <v>Bicycle, battery electric, cargo bike - 2040 - NMC - CH</v>
      </c>
      <c r="B29" t="inlineStr">
        <is>
          <t>Bicycle, battery electric, cargo bike</t>
        </is>
      </c>
      <c r="D29" s="18" t="n">
        <v>2040</v>
      </c>
      <c r="E29" t="inlineStr">
        <is>
          <t>CH</t>
        </is>
      </c>
      <c r="F29" t="inlineStr">
        <is>
          <t>None</t>
        </is>
      </c>
      <c r="G29" t="inlineStr">
        <is>
          <t>vkm</t>
        </is>
      </c>
      <c r="H29" t="inlineStr">
        <is>
          <t>BEV</t>
        </is>
      </c>
      <c r="I29" t="inlineStr">
        <is>
          <t>NMC</t>
        </is>
      </c>
      <c r="J29" t="n">
        <v>20000</v>
      </c>
      <c r="K29" t="n">
        <v>2000</v>
      </c>
      <c r="L29" s="2">
        <f>J29/K29</f>
        <v>10</v>
      </c>
      <c r="M29" t="n">
        <v>1</v>
      </c>
      <c r="N29" t="n">
        <v>75</v>
      </c>
      <c r="O29" t="n">
        <v>50</v>
      </c>
      <c r="P29" s="2">
        <f>SUM(U29,V29,W29,AC29,AF29,AH29)</f>
        <v>42.5</v>
      </c>
      <c r="Q29" s="2">
        <f>P29+(M29*N29)+O29</f>
        <v>167.5</v>
      </c>
      <c r="R29" t="n">
        <v>0.25</v>
      </c>
      <c r="S29" s="2" t="n">
        <v>38</v>
      </c>
      <c r="T29" s="1" t="n">
        <v>0.05</v>
      </c>
      <c r="U29" s="2">
        <f>S29*(1-T29)</f>
        <v>36.1</v>
      </c>
      <c r="V29" t="n">
        <v>0</v>
      </c>
      <c r="W29" t="n">
        <v>3.8</v>
      </c>
      <c r="X29" s="3" t="n">
        <v>0.8</v>
      </c>
      <c r="Y29" s="1" t="n">
        <v>0.8</v>
      </c>
      <c r="Z29" s="3">
        <f>Y29*X29</f>
        <v>0.64000000000000012</v>
      </c>
      <c r="AA29" s="3">
        <f>IF(I29&lt;&gt;"",X29/INDEX('energy battery'!$B$3:$D$6,MATCH('vehicles specifications'!$D29,'energy battery'!$A$3:$A$6,0),MATCH('vehicles specifications'!$I29,'energy battery'!$B$2:$D$2,0)),"")</f>
        <v>2</v>
      </c>
      <c r="AB29" s="3">
        <f>IF(AA29&lt;&gt;"",0.3*AA29,"")</f>
        <v>0.6</v>
      </c>
      <c r="AC29" s="3">
        <f>IF(AA29&lt;&gt;"",AB29+AA29,"")</f>
        <v>2.6</v>
      </c>
      <c r="AD29" t="n">
        <v>0.25</v>
      </c>
      <c r="AE29" t="n">
        <v>0</v>
      </c>
      <c r="AF29" t="n">
        <v>0</v>
      </c>
      <c r="AG29" t="n">
        <v>0</v>
      </c>
      <c r="AH29" t="n">
        <v>0</v>
      </c>
      <c r="AI29" t="n">
        <v>0.5</v>
      </c>
      <c r="AJ29" t="n">
        <v>1</v>
      </c>
      <c r="AK29" s="6">
        <f>J29/15000</f>
        <v>1.3333333333333333</v>
      </c>
      <c r="AL29">
        <f>0.000537/1000*Q29</f>
        <v>8.9947500000000006E-5</v>
      </c>
      <c r="AM29" t="n">
        <v>0</v>
      </c>
      <c r="AN29" s="2">
        <f>U29</f>
        <v>36.1</v>
      </c>
      <c r="AO29" s="2">
        <f>SUM(V29:W29)</f>
        <v>3.8</v>
      </c>
      <c r="AP29" s="2">
        <f>AC29</f>
        <v>2.6</v>
      </c>
      <c r="AQ29" s="6" t="inlineStr"/>
      <c r="AR29" s="20" t="n"/>
      <c r="AS29" s="5" t="n">
        <v>0.03470832316329021</v>
      </c>
      <c r="AT29" s="2">
        <f>SUM(Z29,AG29)/(SUM(AQ29,AS29)/3.6)</f>
        <v>66.381772151898744</v>
      </c>
      <c r="AU29" s="5" t="n">
        <v>0</v>
      </c>
      <c r="AV29" s="5" t="n">
        <v>0</v>
      </c>
      <c r="AW29" s="7" t="n">
        <v>0</v>
      </c>
      <c r="AX29" s="7" t="n">
        <v>0</v>
      </c>
      <c r="AY29" s="7" t="n">
        <v>0</v>
      </c>
      <c r="AZ29" s="7" t="n">
        <v>0</v>
      </c>
      <c r="BA29" s="7" t="n">
        <v>0</v>
      </c>
      <c r="BB29" s="7" t="n">
        <v>0</v>
      </c>
      <c r="BC29" s="7" t="n">
        <v>0</v>
      </c>
      <c r="BD29" s="7" t="n">
        <v>0</v>
      </c>
      <c r="BE29" s="7" t="n">
        <v>0</v>
      </c>
      <c r="BF29" s="7" t="n">
        <v>0</v>
      </c>
      <c r="BG29" s="7" t="n">
        <v>0</v>
      </c>
      <c r="BH29" s="7" t="n">
        <v>0</v>
      </c>
      <c r="BI29" s="7" t="n">
        <v>0</v>
      </c>
      <c r="BJ29" s="7" t="n">
        <v>0</v>
      </c>
      <c r="BK29" s="7" t="n">
        <v>0</v>
      </c>
      <c r="BL29" s="7" t="n">
        <v>0</v>
      </c>
      <c r="BM29" s="7" t="n">
        <v>0</v>
      </c>
      <c r="BN29" s="7" t="n">
        <v>0</v>
      </c>
      <c r="BO29" s="7" t="n">
        <v>0</v>
      </c>
      <c r="BP29" s="7" t="n">
        <v>0</v>
      </c>
      <c r="BQ29" s="7" t="n">
        <v>0</v>
      </c>
      <c r="BR29" s="7" t="n">
        <v>0</v>
      </c>
      <c r="BS29" s="7" t="n">
        <v>0</v>
      </c>
      <c r="BT29" s="7" t="n">
        <v>0</v>
      </c>
      <c r="BU29" s="7" t="n">
        <v>0</v>
      </c>
      <c r="BV29" s="7" t="n">
        <v>0</v>
      </c>
      <c r="BW29" s="7" t="n">
        <v>0</v>
      </c>
      <c r="BX29" s="7" t="n">
        <v>0</v>
      </c>
      <c r="BY29" s="7" t="n">
        <v>0</v>
      </c>
      <c r="BZ29" s="7" t="n">
        <v>0</v>
      </c>
      <c r="CA29" s="7" t="n">
        <v>0</v>
      </c>
      <c r="CB29" s="7" t="n">
        <v>0</v>
      </c>
      <c r="CC29" s="7" t="n">
        <v>0</v>
      </c>
      <c r="CD29" s="7" t="n">
        <v>0</v>
      </c>
      <c r="CE29" s="7" t="n">
        <v>0</v>
      </c>
      <c r="CF29" s="7" t="n">
        <v>0</v>
      </c>
      <c r="CG29" s="7" t="n">
        <v>0</v>
      </c>
      <c r="CH29" s="7" t="n">
        <v>0</v>
      </c>
      <c r="CI29" s="7" t="n">
        <v>0</v>
      </c>
      <c r="CJ29" s="7" t="n">
        <v>0</v>
      </c>
      <c r="CK29" s="38">
        <f>VLOOKUP($B29,'abrasion emissions'!$O$7:$R$36,2,FALSE)</f>
        <v>1</v>
      </c>
      <c r="CL29" s="38">
        <f>VLOOKUP($B29,'abrasion emissions'!$O$7:$R$36,3,FALSE)</f>
        <v>0</v>
      </c>
      <c r="CM29" s="38">
        <f>VLOOKUP($B29,'abrasion emissions'!$O$7:$R$36,4,FALSE)</f>
        <v>0</v>
      </c>
      <c r="CN29" s="7">
        <f>((SUMIFS('abrasion emissions'!$M$7:$M$34,'abrasion emissions'!$I$7:$I$34,"PM 2.5",'abrasion emissions'!$J$7:$J$34,"urban",'abrasion emissions'!$K$7:$K$34,"Tyre",'abrasion emissions'!$L$7:$L$34,"b")*POWER(('vehicles specifications'!$Q29/1000),(1/SUMIFS('abrasion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specifications'!$P29/1000),(1/SUMIFS('abrasion emissions'!$M$7:$M$34,'abrasion emissions'!$I$7:$I$34,"PM 10",'abrasion emissions'!$J$7:$J$34,"urban",'abrasion emissions'!$K$7:$K$34,"Tyre",'abrasion emissions'!$L$7:$L$34,"c")))))/1000000</f>
        <v>5.2399420093405223E-6</v>
      </c>
      <c r="CO29" s="7">
        <f>((SUMIFS('abrasion emissions'!$M$7:$M$34,'abrasion emissions'!$I$7:$I$34,"PM 2.5",'abrasion emissions'!$J$7:$J$34,"rural",'abrasion emissions'!$K$7:$K$34,"Tyre",'abrasion emissions'!$L$7:$L$34,"b")*POWER(('vehicles specifications'!$Q29/1000),(1/SUMIFS('abrasion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specifications'!$P29/1000),(1/SUMIFS('abrasion emissions'!$M$7:$M$34,'abrasion emissions'!$I$7:$I$34,"PM 10",'abrasion emissions'!$J$7:$J$34,"rural",'abrasion emissions'!$K$7:$K$34,"Tyre",'abrasion emissions'!$L$7:$L$34,"c")))))/1000000</f>
        <v>4.0829147924434842E-6</v>
      </c>
      <c r="CP29" s="7">
        <f>((SUMIFS('abrasion emissions'!$M$7:$M$34,'abrasion emissions'!$I$7:$I$34,"PM 2.5",'abrasion emissions'!$J$7:$J$34,"motorway",'abrasion emissions'!$K$7:$K$34,"Tyre",'abrasion emissions'!$L$7:$L$34,"b")*POWER(('vehicles specifications'!$Q29/1000),(1/SUMIFS('abrasion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specifications'!$P29/1000),(1/SUMIFS('abrasion emissions'!$M$7:$M$34,'abrasion emissions'!$I$7:$I$34,"PM 10",'abrasion emissions'!$J$7:$J$34,"motorway",'abrasion emissions'!$K$7:$K$34,"Tyre",'abrasion emissions'!$L$7:$L$34,"c")))))/1000000</f>
        <v>3.4917358290534222E-6</v>
      </c>
      <c r="CQ29" s="7">
        <f>((SUMIFS('abrasion emissions'!$M$7:$M$34,'abrasion emissions'!$I$7:$I$34,"PM 2.5",'abrasion emissions'!$J$7:$J$34,"urban",'abrasion emissions'!$K$7:$K$34,"Brake",'abrasion emissions'!$L$7:$L$34,"b")*POWER(('vehicles specifications'!$Q29/1000),(1/SUMIFS('abrasion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specifications'!$P29/1000),(1/SUMIFS('abrasion emissions'!$M$7:$M$34,'abrasion emissions'!$I$7:$I$34,"PM 10",'abrasion emissions'!$J$7:$J$34,"urban",'abrasion emissions'!$K$7:$K$34,"Brake",'abrasion emissions'!$L$7:$L$34,"c")))))/1000000</f>
        <v>5.0919597087390986E-6</v>
      </c>
      <c r="CR29" s="7">
        <f>((SUMIFS('abrasion emissions'!$M$7:$M$34,'abrasion emissions'!$I$7:$I$34,"PM 2.5",'abrasion emissions'!$J$7:$J$34,"rural",'abrasion emissions'!$K$7:$K$34,"Brake",'abrasion emissions'!$L$7:$L$34,"b")*POWER(('vehicles specifications'!$Q29/1000),(1/SUMIFS('abrasion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specifications'!$P29/1000),(1/SUMIFS('abrasion emissions'!$M$7:$M$34,'abrasion emissions'!$I$7:$I$34,"PM 10",'abrasion emissions'!$J$7:$J$34,"rural",'abrasion emissions'!$K$7:$K$34,"Brake",'abrasion emissions'!$L$7:$L$34,"c")))))/1000000</f>
        <v>1.5865918729986505E-6</v>
      </c>
      <c r="CS29" s="7">
        <f>((SUMIFS('abrasion emissions'!$M$7:$M$34,'abrasion emissions'!$I$7:$I$34,"PM 2.5",'abrasion emissions'!$J$7:$J$34,"motorway",'abrasion emissions'!$K$7:$K$34,"Brake",'abrasion emissions'!$L$7:$L$34,"b")*POWER(('vehicles specifications'!$Q29/1000),(1/SUMIFS('abrasion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specifications'!$P29/1000),(1/SUMIFS('abrasion emissions'!$M$7:$M$34,'abrasion emissions'!$I$7:$I$34,"PM 10",'abrasion emissions'!$J$7:$J$34,"motorway",'abrasion emissions'!$K$7:$K$34,"Brake",'abrasion emissions'!$L$7:$L$34,"c")))))/1000000</f>
        <v>2.8821626217666933E-7</v>
      </c>
      <c r="CT29" s="7">
        <f>((SUMIFS('abrasion emissions'!$M$7:$M$38,'abrasion emissions'!$I$7:$I$38,"PM 2.5",'abrasion emissions'!$K$7:$K$38,"Re-susp.",'abrasion emissions'!$L$7:$L$38,"b")*POWER(('vehicles specifications'!$Q29/1000),(1/SUMIFS('abrasion emissions'!$M$7:$M$38,'abrasion emissions'!$I$7:$I$38,"PM 2.5",'abrasion emissions'!$K$7:$K$38,"Re-susp.",'abrasion emissions'!$L$7:$L$38,"c"))))+
(SUMIFS('abrasion emissions'!$M$7:$M$38,'abrasion emissions'!$I$7:$I$38,"PM 10",'abrasion emissions'!$K$7:$K$38,"Re-susp.",'abrasion emissions'!$L$7:$L$38,"b")*POWER(('vehicles specifications'!$Q29/1000),(1/SUMIFS('abrasion emissions'!$M$7:$M$38,'abrasion emissions'!$I$7:$I$38,"PM 10",'abrasion emissions'!$K$7:$K$38,"Re-susp.",'abrasion emissions'!$L$7:$L$38,"c")))))/1000000</f>
        <v>3.2314896366056883E-6</v>
      </c>
      <c r="CU29" s="7">
        <f>((SUMIFS('abrasion emissions'!$M$7:$M$38,'abrasion emissions'!$I$7:$I$38,"PM 2.5",'abrasion emissions'!$K$7:$K$38,"Road",'abrasion emissions'!$L$7:$L$38,"b")*POWER(('vehicles specifications'!$Q29/1000),(1/SUMIFS('abrasion emissions'!$M$7:$M$38,'abrasion emissions'!$I$7:$I$38,"PM 2.5",'abrasion emissions'!$K$7:$K$38,"Road",'abrasion emissions'!$L$7:$L$38,"c"))))+
(SUMIFS('abrasion emissions'!$M$7:$M$38,'abrasion emissions'!$I$7:$I$38,"PM 10",'abrasion emissions'!$K$7:$K$38,"Road",'abrasion emissions'!$L$7:$L$38,"b")*POWER(('vehicles specifications'!$Q29/1000),(1/SUMIFS('abrasion emissions'!$M$7:$M$38,'abrasion emissions'!$I$7:$I$38,"PM 10",'abrasion emissions'!$K$7:$K$38,"Road",'abrasion emissions'!$L$7:$L$38,"c")))))/1000000+CT29</f>
        <v>6.3308830992789148E-6</v>
      </c>
      <c r="CV29" s="7">
        <f>(CK29*CN29)+(CL29*CO29)+(CM29*CP29)</f>
        <v>5.2399420093405223E-6</v>
      </c>
      <c r="CW29" s="7">
        <f>(CK29*CQ29)+(CL29*CR29)+(CM29*CS29)</f>
        <v>5.0919597087390986E-6</v>
      </c>
    </row>
    <row r="30">
      <c r="A30" t="str">
        <f>B30&amp;" - "&amp;D30&amp;" - "&amp;IF(I30&lt;&gt;"",I30&amp;" - "&amp;E30,E30)</f>
        <v>Bicycle, battery electric, cargo bike - 2050 - NMC - CH</v>
      </c>
      <c r="B30" t="inlineStr">
        <is>
          <t>Bicycle, battery electric, cargo bike</t>
        </is>
      </c>
      <c r="D30" s="18" t="n">
        <v>2050</v>
      </c>
      <c r="E30" t="inlineStr">
        <is>
          <t>CH</t>
        </is>
      </c>
      <c r="F30" t="inlineStr">
        <is>
          <t>None</t>
        </is>
      </c>
      <c r="G30" t="inlineStr">
        <is>
          <t>vkm</t>
        </is>
      </c>
      <c r="H30" t="inlineStr">
        <is>
          <t>BEV</t>
        </is>
      </c>
      <c r="I30" t="inlineStr">
        <is>
          <t>NMC</t>
        </is>
      </c>
      <c r="J30" t="n">
        <v>20000</v>
      </c>
      <c r="K30" t="n">
        <v>2000</v>
      </c>
      <c r="L30" s="2">
        <f>J30/K30</f>
        <v>10</v>
      </c>
      <c r="M30" t="n">
        <v>1</v>
      </c>
      <c r="N30" t="n">
        <v>75</v>
      </c>
      <c r="O30" t="n">
        <v>50</v>
      </c>
      <c r="P30" s="2">
        <f>SUM(U30,V30,W30,AC30,AF30,AH30)</f>
        <v>41.64</v>
      </c>
      <c r="Q30" s="2">
        <f>P30+(M30*N30)+O30</f>
        <v>166.64</v>
      </c>
      <c r="R30" t="n">
        <v>0.25</v>
      </c>
      <c r="S30" s="2" t="n">
        <v>38</v>
      </c>
      <c r="T30" s="1" t="n">
        <v>0.07000000000000001</v>
      </c>
      <c r="U30" s="2">
        <f>S30*(1-T30)</f>
        <v>35.339999999999996</v>
      </c>
      <c r="V30" t="n">
        <v>0</v>
      </c>
      <c r="W30" t="n">
        <v>3.7</v>
      </c>
      <c r="X30" s="3" t="n">
        <v>1</v>
      </c>
      <c r="Y30" s="1" t="n">
        <v>0.8</v>
      </c>
      <c r="Z30" s="3">
        <f>Y30*X30</f>
        <v>0.8</v>
      </c>
      <c r="AA30" s="3">
        <f>IF(I30&lt;&gt;"",X30/INDEX('energy battery'!$B$3:$D$6,MATCH('vehicles specifications'!$D30,'energy battery'!$A$3:$A$6,0),MATCH('vehicles specifications'!$I30,'energy battery'!$B$2:$D$2,0)),"")</f>
        <v>2</v>
      </c>
      <c r="AB30" s="3">
        <f>IF(AA30&lt;&gt;"",0.3*AA30,"")</f>
        <v>0.6</v>
      </c>
      <c r="AC30" s="3">
        <f>IF(AA30&lt;&gt;"",AB30+AA30,"")</f>
        <v>2.6</v>
      </c>
      <c r="AD30" t="n">
        <v>0</v>
      </c>
      <c r="AE30" t="n">
        <v>0</v>
      </c>
      <c r="AF30" t="n">
        <v>0</v>
      </c>
      <c r="AG30" t="n">
        <v>0</v>
      </c>
      <c r="AH30" t="n">
        <v>0</v>
      </c>
      <c r="AI30" t="n">
        <v>0.5</v>
      </c>
      <c r="AJ30" t="n">
        <v>1</v>
      </c>
      <c r="AK30" s="6">
        <f>J30/15000</f>
        <v>1.3333333333333333</v>
      </c>
      <c r="AL30">
        <f>0.000537/1000*Q30</f>
        <v>8.9485679999999995E-5</v>
      </c>
      <c r="AM30" t="n">
        <v>0</v>
      </c>
      <c r="AN30" s="2">
        <f>U30</f>
        <v>35.339999999999996</v>
      </c>
      <c r="AO30" s="2">
        <f>SUM(V30:W30)</f>
        <v>3.7</v>
      </c>
      <c r="AP30" s="2">
        <f>AC30</f>
        <v>2.6</v>
      </c>
      <c r="AQ30" s="6" t="inlineStr"/>
      <c r="AR30" s="20" t="n"/>
      <c r="AS30" s="5" t="n">
        <v>0.03470832316329021</v>
      </c>
      <c r="AT30" s="2">
        <f>SUM(Z30,AG30)/(SUM(AQ30,AS30)/3.6)</f>
        <v>82.977215189873419</v>
      </c>
      <c r="AU30" s="5" t="n">
        <v>0</v>
      </c>
      <c r="AV30" s="5" t="n">
        <v>0</v>
      </c>
      <c r="AW30" s="7" t="n">
        <v>0</v>
      </c>
      <c r="AX30" s="7" t="n">
        <v>0</v>
      </c>
      <c r="AY30" s="7" t="n">
        <v>0</v>
      </c>
      <c r="AZ30" s="7" t="n">
        <v>0</v>
      </c>
      <c r="BA30" s="7" t="n">
        <v>0</v>
      </c>
      <c r="BB30" s="7" t="n">
        <v>0</v>
      </c>
      <c r="BC30" s="7" t="n">
        <v>0</v>
      </c>
      <c r="BD30" s="7" t="n">
        <v>0</v>
      </c>
      <c r="BE30" s="7" t="n">
        <v>0</v>
      </c>
      <c r="BF30" s="7" t="n">
        <v>0</v>
      </c>
      <c r="BG30" s="7" t="n">
        <v>0</v>
      </c>
      <c r="BH30" s="7" t="n">
        <v>0</v>
      </c>
      <c r="BI30" s="7" t="n">
        <v>0</v>
      </c>
      <c r="BJ30" s="7" t="n">
        <v>0</v>
      </c>
      <c r="BK30" s="7" t="n">
        <v>0</v>
      </c>
      <c r="BL30" s="7" t="n">
        <v>0</v>
      </c>
      <c r="BM30" s="7" t="n">
        <v>0</v>
      </c>
      <c r="BN30" s="7" t="n">
        <v>0</v>
      </c>
      <c r="BO30" s="7" t="n">
        <v>0</v>
      </c>
      <c r="BP30" s="7" t="n">
        <v>0</v>
      </c>
      <c r="BQ30" s="7" t="n">
        <v>0</v>
      </c>
      <c r="BR30" s="7" t="n">
        <v>0</v>
      </c>
      <c r="BS30" s="7" t="n">
        <v>0</v>
      </c>
      <c r="BT30" s="7" t="n">
        <v>0</v>
      </c>
      <c r="BU30" s="7" t="n">
        <v>0</v>
      </c>
      <c r="BV30" s="7" t="n">
        <v>0</v>
      </c>
      <c r="BW30" s="7" t="n">
        <v>0</v>
      </c>
      <c r="BX30" s="7" t="n">
        <v>0</v>
      </c>
      <c r="BY30" s="7" t="n">
        <v>0</v>
      </c>
      <c r="BZ30" s="7" t="n">
        <v>0</v>
      </c>
      <c r="CA30" s="7" t="n">
        <v>0</v>
      </c>
      <c r="CB30" s="7" t="n">
        <v>0</v>
      </c>
      <c r="CC30" s="7" t="n">
        <v>0</v>
      </c>
      <c r="CD30" s="7" t="n">
        <v>0</v>
      </c>
      <c r="CE30" s="7" t="n">
        <v>0</v>
      </c>
      <c r="CF30" s="7" t="n">
        <v>0</v>
      </c>
      <c r="CG30" s="7" t="n">
        <v>0</v>
      </c>
      <c r="CH30" s="7" t="n">
        <v>0</v>
      </c>
      <c r="CI30" s="7" t="n">
        <v>0</v>
      </c>
      <c r="CJ30" s="7" t="n">
        <v>0</v>
      </c>
      <c r="CK30" s="38">
        <f>VLOOKUP($B30,'abrasion emissions'!$O$7:$R$36,2,FALSE)</f>
        <v>1</v>
      </c>
      <c r="CL30" s="38">
        <f>VLOOKUP($B30,'abrasion emissions'!$O$7:$R$36,3,FALSE)</f>
        <v>0</v>
      </c>
      <c r="CM30" s="38">
        <f>VLOOKUP($B30,'abrasion emissions'!$O$7:$R$36,4,FALSE)</f>
        <v>0</v>
      </c>
      <c r="CN30" s="7">
        <f>((SUMIFS('abrasion emissions'!$M$7:$M$34,'abrasion emissions'!$I$7:$I$34,"PM 2.5",'abrasion emissions'!$J$7:$J$34,"urban",'abrasion emissions'!$K$7:$K$34,"Tyre",'abrasion emissions'!$L$7:$L$34,"b")*POWER(('vehicles specifications'!$Q30/1000),(1/SUMIFS('abrasion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specifications'!$P30/1000),(1/SUMIFS('abrasion emissions'!$M$7:$M$34,'abrasion emissions'!$I$7:$I$34,"PM 10",'abrasion emissions'!$J$7:$J$34,"urban",'abrasion emissions'!$K$7:$K$34,"Tyre",'abrasion emissions'!$L$7:$L$34,"c")))))/1000000</f>
        <v>5.2185117330067561E-6</v>
      </c>
      <c r="CO30" s="7">
        <f>((SUMIFS('abrasion emissions'!$M$7:$M$34,'abrasion emissions'!$I$7:$I$34,"PM 2.5",'abrasion emissions'!$J$7:$J$34,"rural",'abrasion emissions'!$K$7:$K$34,"Tyre",'abrasion emissions'!$L$7:$L$34,"b")*POWER(('vehicles specifications'!$Q30/1000),(1/SUMIFS('abrasion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specifications'!$P30/1000),(1/SUMIFS('abrasion emissions'!$M$7:$M$34,'abrasion emissions'!$I$7:$I$34,"PM 10",'abrasion emissions'!$J$7:$J$34,"rural",'abrasion emissions'!$K$7:$K$34,"Tyre",'abrasion emissions'!$L$7:$L$34,"c")))))/1000000</f>
        <v>4.0662488599771351E-6</v>
      </c>
      <c r="CP30" s="7">
        <f>((SUMIFS('abrasion emissions'!$M$7:$M$34,'abrasion emissions'!$I$7:$I$34,"PM 2.5",'abrasion emissions'!$J$7:$J$34,"motorway",'abrasion emissions'!$K$7:$K$34,"Tyre",'abrasion emissions'!$L$7:$L$34,"b")*POWER(('vehicles specifications'!$Q30/1000),(1/SUMIFS('abrasion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specifications'!$P30/1000),(1/SUMIFS('abrasion emissions'!$M$7:$M$34,'abrasion emissions'!$I$7:$I$34,"PM 10",'abrasion emissions'!$J$7:$J$34,"motorway",'abrasion emissions'!$K$7:$K$34,"Tyre",'abrasion emissions'!$L$7:$L$34,"c")))))/1000000</f>
        <v>3.4775641417735192E-6</v>
      </c>
      <c r="CQ30" s="7">
        <f>((SUMIFS('abrasion emissions'!$M$7:$M$34,'abrasion emissions'!$I$7:$I$34,"PM 2.5",'abrasion emissions'!$J$7:$J$34,"urban",'abrasion emissions'!$K$7:$K$34,"Brake",'abrasion emissions'!$L$7:$L$34,"b")*POWER(('vehicles specifications'!$Q30/1000),(1/SUMIFS('abrasion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specifications'!$P30/1000),(1/SUMIFS('abrasion emissions'!$M$7:$M$34,'abrasion emissions'!$I$7:$I$34,"PM 10",'abrasion emissions'!$J$7:$J$34,"urban",'abrasion emissions'!$K$7:$K$34,"Brake",'abrasion emissions'!$L$7:$L$34,"c")))))/1000000</f>
        <v>5.0718117291060781E-6</v>
      </c>
      <c r="CR30" s="7">
        <f>((SUMIFS('abrasion emissions'!$M$7:$M$34,'abrasion emissions'!$I$7:$I$34,"PM 2.5",'abrasion emissions'!$J$7:$J$34,"rural",'abrasion emissions'!$K$7:$K$34,"Brake",'abrasion emissions'!$L$7:$L$34,"b")*POWER(('vehicles specifications'!$Q30/1000),(1/SUMIFS('abrasion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specifications'!$P30/1000),(1/SUMIFS('abrasion emissions'!$M$7:$M$34,'abrasion emissions'!$I$7:$I$34,"PM 10",'abrasion emissions'!$J$7:$J$34,"rural",'abrasion emissions'!$K$7:$K$34,"Brake",'abrasion emissions'!$L$7:$L$34,"c")))))/1000000</f>
        <v>1.5789401928249315E-6</v>
      </c>
      <c r="CS30" s="7">
        <f>((SUMIFS('abrasion emissions'!$M$7:$M$34,'abrasion emissions'!$I$7:$I$34,"PM 2.5",'abrasion emissions'!$J$7:$J$34,"motorway",'abrasion emissions'!$K$7:$K$34,"Brake",'abrasion emissions'!$L$7:$L$34,"b")*POWER(('vehicles specifications'!$Q30/1000),(1/SUMIFS('abrasion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specifications'!$P30/1000),(1/SUMIFS('abrasion emissions'!$M$7:$M$34,'abrasion emissions'!$I$7:$I$34,"PM 10",'abrasion emissions'!$J$7:$J$34,"motorway",'abrasion emissions'!$K$7:$K$34,"Brake",'abrasion emissions'!$L$7:$L$34,"c")))))/1000000</f>
        <v>2.8666677785993169E-7</v>
      </c>
      <c r="CT30" s="7">
        <f>((SUMIFS('abrasion emissions'!$M$7:$M$38,'abrasion emissions'!$I$7:$I$38,"PM 2.5",'abrasion emissions'!$K$7:$K$38,"Re-susp.",'abrasion emissions'!$L$7:$L$38,"b")*POWER(('vehicles specifications'!$Q30/1000),(1/SUMIFS('abrasion emissions'!$M$7:$M$38,'abrasion emissions'!$I$7:$I$38,"PM 2.5",'abrasion emissions'!$K$7:$K$38,"Re-susp.",'abrasion emissions'!$L$7:$L$38,"c"))))+
(SUMIFS('abrasion emissions'!$M$7:$M$38,'abrasion emissions'!$I$7:$I$38,"PM 10",'abrasion emissions'!$K$7:$K$38,"Re-susp.",'abrasion emissions'!$L$7:$L$38,"b")*POWER(('vehicles specifications'!$Q30/1000),(1/SUMIFS('abrasion emissions'!$M$7:$M$38,'abrasion emissions'!$I$7:$I$38,"PM 10",'abrasion emissions'!$K$7:$K$38,"Re-susp.",'abrasion emissions'!$L$7:$L$38,"c")))))/1000000</f>
        <v>3.2164029018452979E-6</v>
      </c>
      <c r="CU30" s="7">
        <f>((SUMIFS('abrasion emissions'!$M$7:$M$38,'abrasion emissions'!$I$7:$I$38,"PM 2.5",'abrasion emissions'!$K$7:$K$38,"Road",'abrasion emissions'!$L$7:$L$38,"b")*POWER(('vehicles specifications'!$Q30/1000),(1/SUMIFS('abrasion emissions'!$M$7:$M$38,'abrasion emissions'!$I$7:$I$38,"PM 2.5",'abrasion emissions'!$K$7:$K$38,"Road",'abrasion emissions'!$L$7:$L$38,"c"))))+
(SUMIFS('abrasion emissions'!$M$7:$M$38,'abrasion emissions'!$I$7:$I$38,"PM 10",'abrasion emissions'!$K$7:$K$38,"Road",'abrasion emissions'!$L$7:$L$38,"b")*POWER(('vehicles specifications'!$Q30/1000),(1/SUMIFS('abrasion emissions'!$M$7:$M$38,'abrasion emissions'!$I$7:$I$38,"PM 10",'abrasion emissions'!$K$7:$K$38,"Road",'abrasion emissions'!$L$7:$L$38,"c")))))/1000000+CT30</f>
        <v>6.305178396338356E-6</v>
      </c>
      <c r="CV30" s="7">
        <f>(CK30*CN30)+(CL30*CO30)+(CM30*CP30)</f>
        <v>5.2185117330067561E-6</v>
      </c>
      <c r="CW30" s="7">
        <f>(CK30*CQ30)+(CL30*CR30)+(CM30*CS30)</f>
        <v>5.0718117291060781E-6</v>
      </c>
    </row>
    <row r="31">
      <c r="A31" t="str">
        <f>B31&amp;" - "&amp;D31&amp;" - "&amp;IF(I31&lt;&gt;"",I31&amp;" - "&amp;E31,E31)</f>
        <v>Bicycle, electric (&lt;25 km/h) - 2020 - LFP - CH</v>
      </c>
      <c r="B31" t="inlineStr">
        <is>
          <t>Bicycle, electric (&lt;25 km/h)</t>
        </is>
      </c>
      <c r="D31" s="18" t="n">
        <v>2020</v>
      </c>
      <c r="E31" t="inlineStr">
        <is>
          <t>CH</t>
        </is>
      </c>
      <c r="F31" t="inlineStr">
        <is>
          <t>None</t>
        </is>
      </c>
      <c r="G31" t="inlineStr">
        <is>
          <t>vkm</t>
        </is>
      </c>
      <c r="H31" t="inlineStr">
        <is>
          <t>BEV</t>
        </is>
      </c>
      <c r="I31" t="inlineStr">
        <is>
          <t>LFP</t>
        </is>
      </c>
      <c r="J31" t="n">
        <v>20000</v>
      </c>
      <c r="K31" t="n">
        <v>2000</v>
      </c>
      <c r="L31" s="2">
        <f>J31/K31</f>
        <v>10</v>
      </c>
      <c r="M31" t="n">
        <v>1</v>
      </c>
      <c r="N31" t="n">
        <v>75</v>
      </c>
      <c r="O31" t="n">
        <v>1</v>
      </c>
      <c r="P31" s="2">
        <f>SUM(U31,V31,W31,AC31,AF31,AH31)</f>
        <v>24</v>
      </c>
      <c r="Q31" s="2">
        <f>P31+(M31*N31)+O31</f>
        <v>100</v>
      </c>
      <c r="R31" t="n">
        <v>0.25</v>
      </c>
      <c r="S31" s="2" t="n">
        <v>16</v>
      </c>
      <c r="T31" s="1" t="n">
        <v>0</v>
      </c>
      <c r="U31" s="2">
        <f>S31*(1-T31)</f>
        <v>16</v>
      </c>
      <c r="V31" t="n">
        <v>0</v>
      </c>
      <c r="W31" t="n">
        <v>4</v>
      </c>
      <c r="X31" s="3" t="n">
        <v>0.5</v>
      </c>
      <c r="Y31" s="1" t="n">
        <v>0.8</v>
      </c>
      <c r="Z31" s="3">
        <f>Y31*X31</f>
        <v>0.4</v>
      </c>
      <c r="AA31" s="3">
        <f>IF(I31&lt;&gt;"",X31/INDEX('energy battery'!$B$3:$D$6,MATCH('vehicles specifications'!$D31,'energy battery'!$A$3:$A$6,0),MATCH('vehicles specifications'!$I31,'energy battery'!$B$2:$D$2,0)),"")</f>
        <v>3.3333333333333335</v>
      </c>
      <c r="AB31" s="3">
        <f>IF(AA31&lt;&gt;"",0.2*AA31,"")</f>
        <v>0.66666666666666674</v>
      </c>
      <c r="AC31" s="3">
        <f>IF(AA31&lt;&gt;"",AB31+AA31,"")</f>
        <v>4</v>
      </c>
      <c r="AD31" t="n">
        <v>1</v>
      </c>
      <c r="AE31" t="n">
        <v>0</v>
      </c>
      <c r="AF31" t="n">
        <v>0</v>
      </c>
      <c r="AG31" t="n">
        <v>0</v>
      </c>
      <c r="AH31" t="n">
        <v>0</v>
      </c>
      <c r="AI31" t="n">
        <v>0.5</v>
      </c>
      <c r="AJ31" t="n">
        <v>1</v>
      </c>
      <c r="AK31" s="6">
        <f>J31/15000</f>
        <v>1.3333333333333333</v>
      </c>
      <c r="AL31">
        <f>0.000537/1000*Q31</f>
        <v>5.3699999999999997E-5</v>
      </c>
      <c r="AM31" t="n">
        <v>0</v>
      </c>
      <c r="AN31" s="2">
        <f>U31</f>
        <v>16</v>
      </c>
      <c r="AO31" s="2">
        <f>SUM(V31:W31)</f>
        <v>4</v>
      </c>
      <c r="AP31" s="2">
        <f>AC31</f>
        <v>4</v>
      </c>
      <c r="AQ31" s="6" t="inlineStr"/>
      <c r="AR31" s="20" t="n"/>
      <c r="AS31" s="5" t="n">
        <v>0.02467063914986235</v>
      </c>
      <c r="AT31" s="2">
        <f>SUM(Z31,AG31)/(SUM(AQ31,AS31)/3.6)</f>
        <v>58.368978251949123</v>
      </c>
      <c r="AU31" s="5" t="n">
        <v>0</v>
      </c>
      <c r="AV31" s="5" t="n">
        <v>0</v>
      </c>
      <c r="AW31" s="7" t="n">
        <v>0</v>
      </c>
      <c r="AX31" s="7" t="n">
        <v>0</v>
      </c>
      <c r="AY31" s="7" t="n">
        <v>0</v>
      </c>
      <c r="AZ31" s="7" t="n">
        <v>0</v>
      </c>
      <c r="BA31" s="7" t="n">
        <v>0</v>
      </c>
      <c r="BB31" s="7" t="n">
        <v>0</v>
      </c>
      <c r="BC31" s="7" t="n">
        <v>0</v>
      </c>
      <c r="BD31" s="7" t="n">
        <v>0</v>
      </c>
      <c r="BE31" s="7" t="n">
        <v>0</v>
      </c>
      <c r="BF31" s="7" t="n">
        <v>0</v>
      </c>
      <c r="BG31" s="7" t="n">
        <v>0</v>
      </c>
      <c r="BH31" s="7" t="n">
        <v>0</v>
      </c>
      <c r="BI31" s="7" t="n">
        <v>0</v>
      </c>
      <c r="BJ31" s="7" t="n">
        <v>0</v>
      </c>
      <c r="BK31" s="7" t="n">
        <v>0</v>
      </c>
      <c r="BL31" s="7" t="n">
        <v>0</v>
      </c>
      <c r="BM31" s="7" t="n">
        <v>0</v>
      </c>
      <c r="BN31" s="7" t="n">
        <v>0</v>
      </c>
      <c r="BO31" s="7" t="n">
        <v>0</v>
      </c>
      <c r="BP31" s="7" t="n">
        <v>0</v>
      </c>
      <c r="BQ31" s="7" t="n">
        <v>0</v>
      </c>
      <c r="BR31" s="7" t="n">
        <v>0</v>
      </c>
      <c r="BS31" s="7" t="n">
        <v>0</v>
      </c>
      <c r="BT31" s="7" t="n">
        <v>0</v>
      </c>
      <c r="BU31" s="7" t="n">
        <v>0</v>
      </c>
      <c r="BV31" s="7" t="n">
        <v>0</v>
      </c>
      <c r="BW31" s="7" t="n">
        <v>0</v>
      </c>
      <c r="BX31" s="7" t="n">
        <v>0</v>
      </c>
      <c r="BY31" s="7" t="n">
        <v>0</v>
      </c>
      <c r="BZ31" s="7" t="n">
        <v>0</v>
      </c>
      <c r="CA31" s="7" t="n">
        <v>0</v>
      </c>
      <c r="CB31" s="7" t="n">
        <v>0</v>
      </c>
      <c r="CC31" s="7" t="n">
        <v>0</v>
      </c>
      <c r="CD31" s="7" t="n">
        <v>0</v>
      </c>
      <c r="CE31" s="7" t="n">
        <v>0</v>
      </c>
      <c r="CF31" s="7" t="n">
        <v>0</v>
      </c>
      <c r="CG31" s="7" t="n">
        <v>0</v>
      </c>
      <c r="CH31" s="7" t="n">
        <v>0</v>
      </c>
      <c r="CI31" s="7" t="n">
        <v>0</v>
      </c>
      <c r="CJ31" s="7" t="n">
        <v>0</v>
      </c>
      <c r="CK31" s="38">
        <f>VLOOKUP($B31,'abrasion emissions'!$O$7:$R$36,2,FALSE)</f>
        <v>1</v>
      </c>
      <c r="CL31" s="38">
        <f>VLOOKUP($B31,'abrasion emissions'!$O$7:$R$36,3,FALSE)</f>
        <v>0</v>
      </c>
      <c r="CM31" s="38">
        <f>VLOOKUP($B31,'abrasion emissions'!$O$7:$R$36,4,FALSE)</f>
        <v>0</v>
      </c>
      <c r="CN31" s="7">
        <f>((SUMIFS('abrasion emissions'!$M$7:$M$34,'abrasion emissions'!$I$7:$I$34,"PM 2.5",'abrasion emissions'!$J$7:$J$34,"urban",'abrasion emissions'!$K$7:$K$34,"Tyre",'abrasion emissions'!$L$7:$L$34,"b")*POWER(('vehicles specifications'!$Q31/1000),(1/SUMIFS('abrasion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specifications'!$P31/1000),(1/SUMIFS('abrasion emissions'!$M$7:$M$34,'abrasion emissions'!$I$7:$I$34,"PM 10",'abrasion emissions'!$J$7:$J$34,"urban",'abrasion emissions'!$K$7:$K$34,"Tyre",'abrasion emissions'!$L$7:$L$34,"c")))))/1000000</f>
        <v>4.1591895278234826E-6</v>
      </c>
      <c r="CO31" s="7">
        <f>((SUMIFS('abrasion emissions'!$M$7:$M$34,'abrasion emissions'!$I$7:$I$34,"PM 2.5",'abrasion emissions'!$J$7:$J$34,"rural",'abrasion emissions'!$K$7:$K$34,"Tyre",'abrasion emissions'!$L$7:$L$34,"b")*POWER(('vehicles specifications'!$Q31/1000),(1/SUMIFS('abrasion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specifications'!$P31/1000),(1/SUMIFS('abrasion emissions'!$M$7:$M$34,'abrasion emissions'!$I$7:$I$34,"PM 10",'abrasion emissions'!$J$7:$J$34,"rural",'abrasion emissions'!$K$7:$K$34,"Tyre",'abrasion emissions'!$L$7:$L$34,"c")))))/1000000</f>
        <v>3.2408957651554966E-6</v>
      </c>
      <c r="CP31" s="7">
        <f>((SUMIFS('abrasion emissions'!$M$7:$M$34,'abrasion emissions'!$I$7:$I$34,"PM 2.5",'abrasion emissions'!$J$7:$J$34,"motorway",'abrasion emissions'!$K$7:$K$34,"Tyre",'abrasion emissions'!$L$7:$L$34,"b")*POWER(('vehicles specifications'!$Q31/1000),(1/SUMIFS('abrasion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specifications'!$P31/1000),(1/SUMIFS('abrasion emissions'!$M$7:$M$34,'abrasion emissions'!$I$7:$I$34,"PM 10",'abrasion emissions'!$J$7:$J$34,"motorway",'abrasion emissions'!$K$7:$K$34,"Tyre",'abrasion emissions'!$L$7:$L$34,"c")))))/1000000</f>
        <v>2.7718698602316813E-6</v>
      </c>
      <c r="CQ31" s="7">
        <f>((SUMIFS('abrasion emissions'!$M$7:$M$34,'abrasion emissions'!$I$7:$I$34,"PM 2.5",'abrasion emissions'!$J$7:$J$34,"urban",'abrasion emissions'!$K$7:$K$34,"Brake",'abrasion emissions'!$L$7:$L$34,"b")*POWER(('vehicles specifications'!$Q31/1000),(1/SUMIFS('abrasion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specifications'!$P31/1000),(1/SUMIFS('abrasion emissions'!$M$7:$M$34,'abrasion emissions'!$I$7:$I$34,"PM 10",'abrasion emissions'!$J$7:$J$34,"urban",'abrasion emissions'!$K$7:$K$34,"Brake",'abrasion emissions'!$L$7:$L$34,"c")))))/1000000</f>
        <v>3.86381934741146E-6</v>
      </c>
      <c r="CR31" s="7">
        <f>((SUMIFS('abrasion emissions'!$M$7:$M$34,'abrasion emissions'!$I$7:$I$34,"PM 2.5",'abrasion emissions'!$J$7:$J$34,"rural",'abrasion emissions'!$K$7:$K$34,"Brake",'abrasion emissions'!$L$7:$L$34,"b")*POWER(('vehicles specifications'!$Q31/1000),(1/SUMIFS('abrasion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specifications'!$P31/1000),(1/SUMIFS('abrasion emissions'!$M$7:$M$34,'abrasion emissions'!$I$7:$I$34,"PM 10",'abrasion emissions'!$J$7:$J$34,"rural",'abrasion emissions'!$K$7:$K$34,"Brake",'abrasion emissions'!$L$7:$L$34,"c")))))/1000000</f>
        <v>1.1192616457740851E-6</v>
      </c>
      <c r="CS31" s="7">
        <f>((SUMIFS('abrasion emissions'!$M$7:$M$34,'abrasion emissions'!$I$7:$I$34,"PM 2.5",'abrasion emissions'!$J$7:$J$34,"motorway",'abrasion emissions'!$K$7:$K$34,"Brake",'abrasion emissions'!$L$7:$L$34,"b")*POWER(('vehicles specifications'!$Q31/1000),(1/SUMIFS('abrasion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specifications'!$P31/1000),(1/SUMIFS('abrasion emissions'!$M$7:$M$34,'abrasion emissions'!$I$7:$I$34,"PM 10",'abrasion emissions'!$J$7:$J$34,"motorway",'abrasion emissions'!$K$7:$K$34,"Brake",'abrasion emissions'!$L$7:$L$34,"c")))))/1000000</f>
        <v>1.9282766423350817E-7</v>
      </c>
      <c r="CT31" s="7">
        <f>((SUMIFS('abrasion emissions'!$M$7:$M$38,'abrasion emissions'!$I$7:$I$38,"PM 2.5",'abrasion emissions'!$K$7:$K$38,"Re-susp.",'abrasion emissions'!$L$7:$L$38,"b")*POWER(('vehicles specifications'!$Q31/1000),(1/SUMIFS('abrasion emissions'!$M$7:$M$38,'abrasion emissions'!$I$7:$I$38,"PM 2.5",'abrasion emissions'!$K$7:$K$38,"Re-susp.",'abrasion emissions'!$L$7:$L$38,"c"))))+
(SUMIFS('abrasion emissions'!$M$7:$M$38,'abrasion emissions'!$I$7:$I$38,"PM 10",'abrasion emissions'!$K$7:$K$38,"Re-susp.",'abrasion emissions'!$L$7:$L$38,"b")*POWER(('vehicles specifications'!$Q31/1000),(1/SUMIFS('abrasion emissions'!$M$7:$M$38,'abrasion emissions'!$I$7:$I$38,"PM 10",'abrasion emissions'!$K$7:$K$38,"Re-susp.",'abrasion emissions'!$L$7:$L$38,"c")))))/1000000</f>
        <v>2.0218686526849886E-6</v>
      </c>
      <c r="CU31" s="7">
        <f>((SUMIFS('abrasion emissions'!$M$7:$M$38,'abrasion emissions'!$I$7:$I$38,"PM 2.5",'abrasion emissions'!$K$7:$K$38,"Road",'abrasion emissions'!$L$7:$L$38,"b")*POWER(('vehicles specifications'!$Q31/1000),(1/SUMIFS('abrasion emissions'!$M$7:$M$38,'abrasion emissions'!$I$7:$I$38,"PM 2.5",'abrasion emissions'!$K$7:$K$38,"Road",'abrasion emissions'!$L$7:$L$38,"c"))))+
(SUMIFS('abrasion emissions'!$M$7:$M$38,'abrasion emissions'!$I$7:$I$38,"PM 10",'abrasion emissions'!$K$7:$K$38,"Road",'abrasion emissions'!$L$7:$L$38,"b")*POWER(('vehicles specifications'!$Q31/1000),(1/SUMIFS('abrasion emissions'!$M$7:$M$38,'abrasion emissions'!$I$7:$I$38,"PM 10",'abrasion emissions'!$K$7:$K$38,"Road",'abrasion emissions'!$L$7:$L$38,"c")))))/1000000+CT31</f>
        <v>4.2193920365175101E-6</v>
      </c>
      <c r="CV31" s="7">
        <f>(CK31*CN31)+(CL31*CO31)+(CM31*CP31)</f>
        <v>4.1591895278234826E-6</v>
      </c>
      <c r="CW31" s="7">
        <f>(CK31*CQ31)+(CL31*CR31)+(CM31*CS31)</f>
        <v>3.86381934741146E-6</v>
      </c>
    </row>
    <row r="32">
      <c r="A32" t="str">
        <f>B32&amp;" - "&amp;D32&amp;" - "&amp;IF(I32&lt;&gt;"",I32&amp;" - "&amp;E32,E32)</f>
        <v>Bicycle, electric (&lt;25 km/h) - 2030 - LFP - CH</v>
      </c>
      <c r="B32" t="inlineStr">
        <is>
          <t>Bicycle, electric (&lt;25 km/h)</t>
        </is>
      </c>
      <c r="D32" s="18" t="n">
        <v>2030</v>
      </c>
      <c r="E32" t="inlineStr">
        <is>
          <t>CH</t>
        </is>
      </c>
      <c r="F32" t="inlineStr">
        <is>
          <t>None</t>
        </is>
      </c>
      <c r="G32" t="inlineStr">
        <is>
          <t>vkm</t>
        </is>
      </c>
      <c r="H32" t="inlineStr">
        <is>
          <t>BEV</t>
        </is>
      </c>
      <c r="I32" t="inlineStr">
        <is>
          <t>LFP</t>
        </is>
      </c>
      <c r="J32" t="n">
        <v>20000</v>
      </c>
      <c r="K32" t="n">
        <v>2000</v>
      </c>
      <c r="L32" s="2">
        <f>J32/K32</f>
        <v>10</v>
      </c>
      <c r="M32" t="n">
        <v>1</v>
      </c>
      <c r="N32" t="n">
        <v>75</v>
      </c>
      <c r="O32" t="n">
        <v>1</v>
      </c>
      <c r="P32" s="2">
        <f>SUM(U32,V32,W32,AC32,AF32,AH32)</f>
        <v>24.75333333333333</v>
      </c>
      <c r="Q32" s="2">
        <f>P32+(M32*N32)+O32</f>
        <v>100.75333333333333</v>
      </c>
      <c r="R32" t="n">
        <v>0.25</v>
      </c>
      <c r="S32" s="2" t="n">
        <v>16</v>
      </c>
      <c r="T32" s="1" t="n">
        <v>0.03</v>
      </c>
      <c r="U32" s="2">
        <f>S32*(1-T32)</f>
        <v>15.52</v>
      </c>
      <c r="V32" t="n">
        <v>0</v>
      </c>
      <c r="W32" t="n">
        <v>3.9</v>
      </c>
      <c r="X32" s="3" t="n">
        <v>0.8</v>
      </c>
      <c r="Y32" s="1" t="n">
        <v>0.8</v>
      </c>
      <c r="Z32" s="3">
        <f>Y32*X32</f>
        <v>0.64000000000000012</v>
      </c>
      <c r="AA32" s="3">
        <f>IF(I32&lt;&gt;"",X32/INDEX('energy battery'!$B$3:$D$6,MATCH('vehicles specifications'!$D32,'energy battery'!$A$3:$A$6,0),MATCH('vehicles specifications'!$I32,'energy battery'!$B$2:$D$2,0)),"")</f>
        <v>4.4444444444444446</v>
      </c>
      <c r="AB32" s="3">
        <f>IF(AA32&lt;&gt;"",0.2*AA32,"")</f>
        <v>0.88888888888888895</v>
      </c>
      <c r="AC32" s="3">
        <f>IF(AA32&lt;&gt;"",AB32+AA32,"")</f>
        <v>5.3333333333333339</v>
      </c>
      <c r="AD32" t="n">
        <v>0.5</v>
      </c>
      <c r="AE32" t="n">
        <v>0</v>
      </c>
      <c r="AF32" t="n">
        <v>0</v>
      </c>
      <c r="AG32" t="n">
        <v>0</v>
      </c>
      <c r="AH32" t="n">
        <v>0</v>
      </c>
      <c r="AI32" t="n">
        <v>0.5</v>
      </c>
      <c r="AJ32" t="n">
        <v>1</v>
      </c>
      <c r="AK32" s="6">
        <f>J32/15000</f>
        <v>1.3333333333333333</v>
      </c>
      <c r="AL32">
        <f>0.000537/1000*Q32</f>
        <v>5.410454E-5</v>
      </c>
      <c r="AM32" t="n">
        <v>0</v>
      </c>
      <c r="AN32" s="2">
        <f>U32</f>
        <v>15.52</v>
      </c>
      <c r="AO32" s="2">
        <f>SUM(V32:W32)</f>
        <v>3.9</v>
      </c>
      <c r="AP32" s="2">
        <f>AC32</f>
        <v>5.3333333333333339</v>
      </c>
      <c r="AQ32" s="6" t="inlineStr"/>
      <c r="AR32" s="20" t="n"/>
      <c r="AS32" s="5" t="n">
        <v>0.02467063914986235</v>
      </c>
      <c r="AT32" s="2">
        <f>SUM(Z32,AG32)/(SUM(AQ32,AS32)/3.6)</f>
        <v>93.390365203118606</v>
      </c>
      <c r="AU32" s="5" t="n">
        <v>0</v>
      </c>
      <c r="AV32" s="5" t="n">
        <v>0</v>
      </c>
      <c r="AW32" s="7" t="n">
        <v>0</v>
      </c>
      <c r="AX32" s="7" t="n">
        <v>0</v>
      </c>
      <c r="AY32" s="7" t="n">
        <v>0</v>
      </c>
      <c r="AZ32" s="7" t="n">
        <v>0</v>
      </c>
      <c r="BA32" s="7" t="n">
        <v>0</v>
      </c>
      <c r="BB32" s="7" t="n">
        <v>0</v>
      </c>
      <c r="BC32" s="7" t="n">
        <v>0</v>
      </c>
      <c r="BD32" s="7" t="n">
        <v>0</v>
      </c>
      <c r="BE32" s="7" t="n">
        <v>0</v>
      </c>
      <c r="BF32" s="7" t="n">
        <v>0</v>
      </c>
      <c r="BG32" s="7" t="n">
        <v>0</v>
      </c>
      <c r="BH32" s="7" t="n">
        <v>0</v>
      </c>
      <c r="BI32" s="7" t="n">
        <v>0</v>
      </c>
      <c r="BJ32" s="7" t="n">
        <v>0</v>
      </c>
      <c r="BK32" s="7" t="n">
        <v>0</v>
      </c>
      <c r="BL32" s="7" t="n">
        <v>0</v>
      </c>
      <c r="BM32" s="7" t="n">
        <v>0</v>
      </c>
      <c r="BN32" s="7" t="n">
        <v>0</v>
      </c>
      <c r="BO32" s="7" t="n">
        <v>0</v>
      </c>
      <c r="BP32" s="7" t="n">
        <v>0</v>
      </c>
      <c r="BQ32" s="7" t="n">
        <v>0</v>
      </c>
      <c r="BR32" s="7" t="n">
        <v>0</v>
      </c>
      <c r="BS32" s="7" t="n">
        <v>0</v>
      </c>
      <c r="BT32" s="7" t="n">
        <v>0</v>
      </c>
      <c r="BU32" s="7" t="n">
        <v>0</v>
      </c>
      <c r="BV32" s="7" t="n">
        <v>0</v>
      </c>
      <c r="BW32" s="7" t="n">
        <v>0</v>
      </c>
      <c r="BX32" s="7" t="n">
        <v>0</v>
      </c>
      <c r="BY32" s="7" t="n">
        <v>0</v>
      </c>
      <c r="BZ32" s="7" t="n">
        <v>0</v>
      </c>
      <c r="CA32" s="7" t="n">
        <v>0</v>
      </c>
      <c r="CB32" s="7" t="n">
        <v>0</v>
      </c>
      <c r="CC32" s="7" t="n">
        <v>0</v>
      </c>
      <c r="CD32" s="7" t="n">
        <v>0</v>
      </c>
      <c r="CE32" s="7" t="n">
        <v>0</v>
      </c>
      <c r="CF32" s="7" t="n">
        <v>0</v>
      </c>
      <c r="CG32" s="7" t="n">
        <v>0</v>
      </c>
      <c r="CH32" s="7" t="n">
        <v>0</v>
      </c>
      <c r="CI32" s="7" t="n">
        <v>0</v>
      </c>
      <c r="CJ32" s="7" t="n">
        <v>0</v>
      </c>
      <c r="CK32" s="38">
        <f>VLOOKUP($B32,'abrasion emissions'!$O$7:$R$36,2,FALSE)</f>
        <v>1</v>
      </c>
      <c r="CL32" s="38">
        <f>VLOOKUP($B32,'abrasion emissions'!$O$7:$R$36,3,FALSE)</f>
        <v>0</v>
      </c>
      <c r="CM32" s="38">
        <f>VLOOKUP($B32,'abrasion emissions'!$O$7:$R$36,4,FALSE)</f>
        <v>0</v>
      </c>
      <c r="CN32" s="7">
        <f>((SUMIFS('abrasion emissions'!$M$7:$M$34,'abrasion emissions'!$I$7:$I$34,"PM 2.5",'abrasion emissions'!$J$7:$J$34,"urban",'abrasion emissions'!$K$7:$K$34,"Tyre",'abrasion emissions'!$L$7:$L$34,"b")*POWER(('vehicles specifications'!$Q32/1000),(1/SUMIFS('abrasion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specifications'!$P32/1000),(1/SUMIFS('abrasion emissions'!$M$7:$M$34,'abrasion emissions'!$I$7:$I$34,"PM 10",'abrasion emissions'!$J$7:$J$34,"urban",'abrasion emissions'!$K$7:$K$34,"Tyre",'abrasion emissions'!$L$7:$L$34,"c")))))/1000000</f>
        <v>4.1845408894143447E-6</v>
      </c>
      <c r="CO32" s="7">
        <f>((SUMIFS('abrasion emissions'!$M$7:$M$34,'abrasion emissions'!$I$7:$I$34,"PM 2.5",'abrasion emissions'!$J$7:$J$34,"rural",'abrasion emissions'!$K$7:$K$34,"Tyre",'abrasion emissions'!$L$7:$L$34,"b")*POWER(('vehicles specifications'!$Q32/1000),(1/SUMIFS('abrasion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specifications'!$P32/1000),(1/SUMIFS('abrasion emissions'!$M$7:$M$34,'abrasion emissions'!$I$7:$I$34,"PM 10",'abrasion emissions'!$J$7:$J$34,"rural",'abrasion emissions'!$K$7:$K$34,"Tyre",'abrasion emissions'!$L$7:$L$34,"c")))))/1000000</f>
        <v>3.2606104814169257E-6</v>
      </c>
      <c r="CP32" s="7">
        <f>((SUMIFS('abrasion emissions'!$M$7:$M$34,'abrasion emissions'!$I$7:$I$34,"PM 2.5",'abrasion emissions'!$J$7:$J$34,"motorway",'abrasion emissions'!$K$7:$K$34,"Tyre",'abrasion emissions'!$L$7:$L$34,"b")*POWER(('vehicles specifications'!$Q32/1000),(1/SUMIFS('abrasion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specifications'!$P32/1000),(1/SUMIFS('abrasion emissions'!$M$7:$M$34,'abrasion emissions'!$I$7:$I$34,"PM 10",'abrasion emissions'!$J$7:$J$34,"motorway",'abrasion emissions'!$K$7:$K$34,"Tyre",'abrasion emissions'!$L$7:$L$34,"c")))))/1000000</f>
        <v>2.7886326081834377E-6</v>
      </c>
      <c r="CQ32" s="7">
        <f>((SUMIFS('abrasion emissions'!$M$7:$M$34,'abrasion emissions'!$I$7:$I$34,"PM 2.5",'abrasion emissions'!$J$7:$J$34,"urban",'abrasion emissions'!$K$7:$K$34,"Brake",'abrasion emissions'!$L$7:$L$34,"b")*POWER(('vehicles specifications'!$Q32/1000),(1/SUMIFS('abrasion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specifications'!$P32/1000),(1/SUMIFS('abrasion emissions'!$M$7:$M$34,'abrasion emissions'!$I$7:$I$34,"PM 10",'abrasion emissions'!$J$7:$J$34,"urban",'abrasion emissions'!$K$7:$K$34,"Brake",'abrasion emissions'!$L$7:$L$34,"c")))))/1000000</f>
        <v>3.8864503090339279E-6</v>
      </c>
      <c r="CR32" s="7">
        <f>((SUMIFS('abrasion emissions'!$M$7:$M$34,'abrasion emissions'!$I$7:$I$34,"PM 2.5",'abrasion emissions'!$J$7:$J$34,"rural",'abrasion emissions'!$K$7:$K$34,"Brake",'abrasion emissions'!$L$7:$L$34,"b")*POWER(('vehicles specifications'!$Q32/1000),(1/SUMIFS('abrasion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specifications'!$P32/1000),(1/SUMIFS('abrasion emissions'!$M$7:$M$34,'abrasion emissions'!$I$7:$I$34,"PM 10",'abrasion emissions'!$J$7:$J$34,"rural",'abrasion emissions'!$K$7:$K$34,"Brake",'abrasion emissions'!$L$7:$L$34,"c")))))/1000000</f>
        <v>1.1272423973821869E-6</v>
      </c>
      <c r="CS32" s="7">
        <f>((SUMIFS('abrasion emissions'!$M$7:$M$34,'abrasion emissions'!$I$7:$I$34,"PM 2.5",'abrasion emissions'!$J$7:$J$34,"motorway",'abrasion emissions'!$K$7:$K$34,"Brake",'abrasion emissions'!$L$7:$L$34,"b")*POWER(('vehicles specifications'!$Q32/1000),(1/SUMIFS('abrasion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specifications'!$P32/1000),(1/SUMIFS('abrasion emissions'!$M$7:$M$34,'abrasion emissions'!$I$7:$I$34,"PM 10",'abrasion emissions'!$J$7:$J$34,"motorway",'abrasion emissions'!$K$7:$K$34,"Brake",'abrasion emissions'!$L$7:$L$34,"c")))))/1000000</f>
        <v>1.9435885709687684E-7</v>
      </c>
      <c r="CT32" s="7">
        <f>((SUMIFS('abrasion emissions'!$M$7:$M$38,'abrasion emissions'!$I$7:$I$38,"PM 2.5",'abrasion emissions'!$K$7:$K$38,"Re-susp.",'abrasion emissions'!$L$7:$L$38,"b")*POWER(('vehicles specifications'!$Q32/1000),(1/SUMIFS('abrasion emissions'!$M$7:$M$38,'abrasion emissions'!$I$7:$I$38,"PM 2.5",'abrasion emissions'!$K$7:$K$38,"Re-susp.",'abrasion emissions'!$L$7:$L$38,"c"))))+
(SUMIFS('abrasion emissions'!$M$7:$M$38,'abrasion emissions'!$I$7:$I$38,"PM 10",'abrasion emissions'!$K$7:$K$38,"Re-susp.",'abrasion emissions'!$L$7:$L$38,"b")*POWER(('vehicles specifications'!$Q32/1000),(1/SUMIFS('abrasion emissions'!$M$7:$M$38,'abrasion emissions'!$I$7:$I$38,"PM 10",'abrasion emissions'!$K$7:$K$38,"Re-susp.",'abrasion emissions'!$L$7:$L$38,"c")))))/1000000</f>
        <v>2.0357106609979695E-6</v>
      </c>
      <c r="CU32" s="7">
        <f>((SUMIFS('abrasion emissions'!$M$7:$M$38,'abrasion emissions'!$I$7:$I$38,"PM 2.5",'abrasion emissions'!$K$7:$K$38,"Road",'abrasion emissions'!$L$7:$L$38,"b")*POWER(('vehicles specifications'!$Q32/1000),(1/SUMIFS('abrasion emissions'!$M$7:$M$38,'abrasion emissions'!$I$7:$I$38,"PM 2.5",'abrasion emissions'!$K$7:$K$38,"Road",'abrasion emissions'!$L$7:$L$38,"c"))))+
(SUMIFS('abrasion emissions'!$M$7:$M$38,'abrasion emissions'!$I$7:$I$38,"PM 10",'abrasion emissions'!$K$7:$K$38,"Road",'abrasion emissions'!$L$7:$L$38,"b")*POWER(('vehicles specifications'!$Q32/1000),(1/SUMIFS('abrasion emissions'!$M$7:$M$38,'abrasion emissions'!$I$7:$I$38,"PM 10",'abrasion emissions'!$K$7:$K$38,"Road",'abrasion emissions'!$L$7:$L$38,"c")))))/1000000+CT32</f>
        <v>4.2442566849175639E-6</v>
      </c>
      <c r="CV32" s="7">
        <f>(CK32*CN32)+(CL32*CO32)+(CM32*CP32)</f>
        <v>4.1845408894143447E-6</v>
      </c>
      <c r="CW32" s="7">
        <f>(CK32*CQ32)+(CL32*CR32)+(CM32*CS32)</f>
        <v>3.8864503090339279E-6</v>
      </c>
    </row>
    <row r="33">
      <c r="A33" t="str">
        <f>B33&amp;" - "&amp;D33&amp;" - "&amp;IF(I33&lt;&gt;"",I33&amp;" - "&amp;E33,E33)</f>
        <v>Bicycle, electric (&lt;25 km/h) - 2040 - LFP - CH</v>
      </c>
      <c r="B33" t="inlineStr">
        <is>
          <t>Bicycle, electric (&lt;25 km/h)</t>
        </is>
      </c>
      <c r="D33" s="18" t="n">
        <v>2040</v>
      </c>
      <c r="E33" t="inlineStr">
        <is>
          <t>CH</t>
        </is>
      </c>
      <c r="F33" t="inlineStr">
        <is>
          <t>None</t>
        </is>
      </c>
      <c r="G33" t="inlineStr">
        <is>
          <t>vkm</t>
        </is>
      </c>
      <c r="H33" t="inlineStr">
        <is>
          <t>BEV</t>
        </is>
      </c>
      <c r="I33" t="inlineStr">
        <is>
          <t>LFP</t>
        </is>
      </c>
      <c r="J33" t="n">
        <v>20000</v>
      </c>
      <c r="K33" t="n">
        <v>2000</v>
      </c>
      <c r="L33" s="2">
        <f>J33/K33</f>
        <v>10</v>
      </c>
      <c r="M33" t="n">
        <v>1</v>
      </c>
      <c r="N33" t="n">
        <v>75</v>
      </c>
      <c r="O33" t="n">
        <v>1</v>
      </c>
      <c r="P33" s="2">
        <f>SUM(U33,V33,W33,AC33,AF33,AH33)</f>
        <v>25.666666666666664</v>
      </c>
      <c r="Q33" s="2">
        <f>P33+(M33*N33)+O33</f>
        <v>101.66666666666666</v>
      </c>
      <c r="R33" t="n">
        <v>0.25</v>
      </c>
      <c r="S33" s="2" t="n">
        <v>16</v>
      </c>
      <c r="T33" s="1" t="n">
        <v>0.05</v>
      </c>
      <c r="U33" s="2">
        <f>S33*(1-T33)</f>
        <v>15.2</v>
      </c>
      <c r="V33" t="n">
        <v>0</v>
      </c>
      <c r="W33" t="n">
        <v>3.8</v>
      </c>
      <c r="X33" s="3" t="n">
        <v>1</v>
      </c>
      <c r="Y33" s="1" t="n">
        <v>0.8</v>
      </c>
      <c r="Z33" s="3">
        <f>Y33*X33</f>
        <v>0.8</v>
      </c>
      <c r="AA33" s="3">
        <f>IF(I33&lt;&gt;"",X33/INDEX('energy battery'!$B$3:$D$6,MATCH('vehicles specifications'!$D33,'energy battery'!$A$3:$A$6,0),MATCH('vehicles specifications'!$I33,'energy battery'!$B$2:$D$2,0)),"")</f>
        <v>5.5555555555555554</v>
      </c>
      <c r="AB33" s="3">
        <f>IF(AA33&lt;&gt;"",0.2*AA33,"")</f>
        <v>1.1111111111111112</v>
      </c>
      <c r="AC33" s="3">
        <f>IF(AA33&lt;&gt;"",AB33+AA33,"")</f>
        <v>6.6666666666666661</v>
      </c>
      <c r="AD33" t="n">
        <v>0.25</v>
      </c>
      <c r="AE33" t="n">
        <v>0</v>
      </c>
      <c r="AF33" t="n">
        <v>0</v>
      </c>
      <c r="AG33" t="n">
        <v>0</v>
      </c>
      <c r="AH33" t="n">
        <v>0</v>
      </c>
      <c r="AI33" t="n">
        <v>0.5</v>
      </c>
      <c r="AJ33" t="n">
        <v>1</v>
      </c>
      <c r="AK33" s="6">
        <f>J33/15000</f>
        <v>1.3333333333333333</v>
      </c>
      <c r="AL33">
        <f>0.000537/1000*Q33</f>
        <v>5.4594999999999995E-5</v>
      </c>
      <c r="AM33" t="n">
        <v>0</v>
      </c>
      <c r="AN33" s="2">
        <f>U33</f>
        <v>15.2</v>
      </c>
      <c r="AO33" s="2">
        <f>SUM(V33:W33)</f>
        <v>3.8</v>
      </c>
      <c r="AP33" s="2">
        <f>AC33</f>
        <v>6.6666666666666661</v>
      </c>
      <c r="AQ33" s="6" t="inlineStr"/>
      <c r="AR33" s="20" t="n"/>
      <c r="AS33" s="5" t="n">
        <v>0.02467063914986235</v>
      </c>
      <c r="AT33" s="2">
        <f>SUM(Z33,AG33)/(SUM(AQ33,AS33)/3.6)</f>
        <v>116.73795650389825</v>
      </c>
      <c r="AU33" s="5" t="n">
        <v>0</v>
      </c>
      <c r="AV33" s="5" t="n">
        <v>0</v>
      </c>
      <c r="AW33" s="7" t="n">
        <v>0</v>
      </c>
      <c r="AX33" s="7" t="n">
        <v>0</v>
      </c>
      <c r="AY33" s="7" t="n">
        <v>0</v>
      </c>
      <c r="AZ33" s="7" t="n">
        <v>0</v>
      </c>
      <c r="BA33" s="7" t="n">
        <v>0</v>
      </c>
      <c r="BB33" s="7" t="n">
        <v>0</v>
      </c>
      <c r="BC33" s="7" t="n">
        <v>0</v>
      </c>
      <c r="BD33" s="7" t="n">
        <v>0</v>
      </c>
      <c r="BE33" s="7" t="n">
        <v>0</v>
      </c>
      <c r="BF33" s="7" t="n">
        <v>0</v>
      </c>
      <c r="BG33" s="7" t="n">
        <v>0</v>
      </c>
      <c r="BH33" s="7" t="n">
        <v>0</v>
      </c>
      <c r="BI33" s="7" t="n">
        <v>0</v>
      </c>
      <c r="BJ33" s="7" t="n">
        <v>0</v>
      </c>
      <c r="BK33" s="7" t="n">
        <v>0</v>
      </c>
      <c r="BL33" s="7" t="n">
        <v>0</v>
      </c>
      <c r="BM33" s="7" t="n">
        <v>0</v>
      </c>
      <c r="BN33" s="7" t="n">
        <v>0</v>
      </c>
      <c r="BO33" s="7" t="n">
        <v>0</v>
      </c>
      <c r="BP33" s="7" t="n">
        <v>0</v>
      </c>
      <c r="BQ33" s="7" t="n">
        <v>0</v>
      </c>
      <c r="BR33" s="7" t="n">
        <v>0</v>
      </c>
      <c r="BS33" s="7" t="n">
        <v>0</v>
      </c>
      <c r="BT33" s="7" t="n">
        <v>0</v>
      </c>
      <c r="BU33" s="7" t="n">
        <v>0</v>
      </c>
      <c r="BV33" s="7" t="n">
        <v>0</v>
      </c>
      <c r="BW33" s="7" t="n">
        <v>0</v>
      </c>
      <c r="BX33" s="7" t="n">
        <v>0</v>
      </c>
      <c r="BY33" s="7" t="n">
        <v>0</v>
      </c>
      <c r="BZ33" s="7" t="n">
        <v>0</v>
      </c>
      <c r="CA33" s="7" t="n">
        <v>0</v>
      </c>
      <c r="CB33" s="7" t="n">
        <v>0</v>
      </c>
      <c r="CC33" s="7" t="n">
        <v>0</v>
      </c>
      <c r="CD33" s="7" t="n">
        <v>0</v>
      </c>
      <c r="CE33" s="7" t="n">
        <v>0</v>
      </c>
      <c r="CF33" s="7" t="n">
        <v>0</v>
      </c>
      <c r="CG33" s="7" t="n">
        <v>0</v>
      </c>
      <c r="CH33" s="7" t="n">
        <v>0</v>
      </c>
      <c r="CI33" s="7" t="n">
        <v>0</v>
      </c>
      <c r="CJ33" s="7" t="n">
        <v>0</v>
      </c>
      <c r="CK33" s="38">
        <f>VLOOKUP($B33,'abrasion emissions'!$O$7:$R$36,2,FALSE)</f>
        <v>1</v>
      </c>
      <c r="CL33" s="38">
        <f>VLOOKUP($B33,'abrasion emissions'!$O$7:$R$36,3,FALSE)</f>
        <v>0</v>
      </c>
      <c r="CM33" s="38">
        <f>VLOOKUP($B33,'abrasion emissions'!$O$7:$R$36,4,FALSE)</f>
        <v>0</v>
      </c>
      <c r="CN33" s="7">
        <f>((SUMIFS('abrasion emissions'!$M$7:$M$34,'abrasion emissions'!$I$7:$I$34,"PM 2.5",'abrasion emissions'!$J$7:$J$34,"urban",'abrasion emissions'!$K$7:$K$34,"Tyre",'abrasion emissions'!$L$7:$L$34,"b")*POWER(('vehicles specifications'!$Q33/1000),(1/SUMIFS('abrasion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specifications'!$P33/1000),(1/SUMIFS('abrasion emissions'!$M$7:$M$34,'abrasion emissions'!$I$7:$I$34,"PM 10",'abrasion emissions'!$J$7:$J$34,"urban",'abrasion emissions'!$K$7:$K$34,"Tyre",'abrasion emissions'!$L$7:$L$34,"c")))))/1000000</f>
        <v>4.214867464251057E-6</v>
      </c>
      <c r="CO33" s="7">
        <f>((SUMIFS('abrasion emissions'!$M$7:$M$34,'abrasion emissions'!$I$7:$I$34,"PM 2.5",'abrasion emissions'!$J$7:$J$34,"rural",'abrasion emissions'!$K$7:$K$34,"Tyre",'abrasion emissions'!$L$7:$L$34,"b")*POWER(('vehicles specifications'!$Q33/1000),(1/SUMIFS('abrasion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specifications'!$P33/1000),(1/SUMIFS('abrasion emissions'!$M$7:$M$34,'abrasion emissions'!$I$7:$I$34,"PM 10",'abrasion emissions'!$J$7:$J$34,"rural",'abrasion emissions'!$K$7:$K$34,"Tyre",'abrasion emissions'!$L$7:$L$34,"c")))))/1000000</f>
        <v>3.2841946951657294E-6</v>
      </c>
      <c r="CP33" s="7">
        <f>((SUMIFS('abrasion emissions'!$M$7:$M$34,'abrasion emissions'!$I$7:$I$34,"PM 2.5",'abrasion emissions'!$J$7:$J$34,"motorway",'abrasion emissions'!$K$7:$K$34,"Tyre",'abrasion emissions'!$L$7:$L$34,"b")*POWER(('vehicles specifications'!$Q33/1000),(1/SUMIFS('abrasion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specifications'!$P33/1000),(1/SUMIFS('abrasion emissions'!$M$7:$M$34,'abrasion emissions'!$I$7:$I$34,"PM 10",'abrasion emissions'!$J$7:$J$34,"motorway",'abrasion emissions'!$K$7:$K$34,"Tyre",'abrasion emissions'!$L$7:$L$34,"c")))))/1000000</f>
        <v>2.8086866581576578E-6</v>
      </c>
      <c r="CQ33" s="7">
        <f>((SUMIFS('abrasion emissions'!$M$7:$M$34,'abrasion emissions'!$I$7:$I$34,"PM 2.5",'abrasion emissions'!$J$7:$J$34,"urban",'abrasion emissions'!$K$7:$K$34,"Brake",'abrasion emissions'!$L$7:$L$34,"b")*POWER(('vehicles specifications'!$Q33/1000),(1/SUMIFS('abrasion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specifications'!$P33/1000),(1/SUMIFS('abrasion emissions'!$M$7:$M$34,'abrasion emissions'!$I$7:$I$34,"PM 10",'abrasion emissions'!$J$7:$J$34,"urban",'abrasion emissions'!$K$7:$K$34,"Brake",'abrasion emissions'!$L$7:$L$34,"c")))))/1000000</f>
        <v>3.9136413205889548E-6</v>
      </c>
      <c r="CR33" s="7">
        <f>((SUMIFS('abrasion emissions'!$M$7:$M$34,'abrasion emissions'!$I$7:$I$34,"PM 2.5",'abrasion emissions'!$J$7:$J$34,"rural",'abrasion emissions'!$K$7:$K$34,"Brake",'abrasion emissions'!$L$7:$L$34,"b")*POWER(('vehicles specifications'!$Q33/1000),(1/SUMIFS('abrasion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specifications'!$P33/1000),(1/SUMIFS('abrasion emissions'!$M$7:$M$34,'abrasion emissions'!$I$7:$I$34,"PM 10",'abrasion emissions'!$J$7:$J$34,"rural",'abrasion emissions'!$K$7:$K$34,"Brake",'abrasion emissions'!$L$7:$L$34,"c")))))/1000000</f>
        <v>1.1368598595792827E-6</v>
      </c>
      <c r="CS33" s="7">
        <f>((SUMIFS('abrasion emissions'!$M$7:$M$34,'abrasion emissions'!$I$7:$I$34,"PM 2.5",'abrasion emissions'!$J$7:$J$34,"motorway",'abrasion emissions'!$K$7:$K$34,"Brake",'abrasion emissions'!$L$7:$L$34,"b")*POWER(('vehicles specifications'!$Q33/1000),(1/SUMIFS('abrasion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specifications'!$P33/1000),(1/SUMIFS('abrasion emissions'!$M$7:$M$34,'abrasion emissions'!$I$7:$I$34,"PM 10",'abrasion emissions'!$J$7:$J$34,"motorway",'abrasion emissions'!$K$7:$K$34,"Brake",'abrasion emissions'!$L$7:$L$34,"c")))))/1000000</f>
        <v>1.9620786898796311E-7</v>
      </c>
      <c r="CT33" s="7">
        <f>((SUMIFS('abrasion emissions'!$M$7:$M$38,'abrasion emissions'!$I$7:$I$38,"PM 2.5",'abrasion emissions'!$K$7:$K$38,"Re-susp.",'abrasion emissions'!$L$7:$L$38,"b")*POWER(('vehicles specifications'!$Q33/1000),(1/SUMIFS('abrasion emissions'!$M$7:$M$38,'abrasion emissions'!$I$7:$I$38,"PM 2.5",'abrasion emissions'!$K$7:$K$38,"Re-susp.",'abrasion emissions'!$L$7:$L$38,"c"))))+
(SUMIFS('abrasion emissions'!$M$7:$M$38,'abrasion emissions'!$I$7:$I$38,"PM 10",'abrasion emissions'!$K$7:$K$38,"Re-susp.",'abrasion emissions'!$L$7:$L$38,"b")*POWER(('vehicles specifications'!$Q33/1000),(1/SUMIFS('abrasion emissions'!$M$7:$M$38,'abrasion emissions'!$I$7:$I$38,"PM 10",'abrasion emissions'!$K$7:$K$38,"Re-susp.",'abrasion emissions'!$L$7:$L$38,"c")))))/1000000</f>
        <v>2.0524799577925673E-6</v>
      </c>
      <c r="CU33" s="7">
        <f>((SUMIFS('abrasion emissions'!$M$7:$M$38,'abrasion emissions'!$I$7:$I$38,"PM 2.5",'abrasion emissions'!$K$7:$K$38,"Road",'abrasion emissions'!$L$7:$L$38,"b")*POWER(('vehicles specifications'!$Q33/1000),(1/SUMIFS('abrasion emissions'!$M$7:$M$38,'abrasion emissions'!$I$7:$I$38,"PM 2.5",'abrasion emissions'!$K$7:$K$38,"Road",'abrasion emissions'!$L$7:$L$38,"c"))))+
(SUMIFS('abrasion emissions'!$M$7:$M$38,'abrasion emissions'!$I$7:$I$38,"PM 10",'abrasion emissions'!$K$7:$K$38,"Road",'abrasion emissions'!$L$7:$L$38,"b")*POWER(('vehicles specifications'!$Q33/1000),(1/SUMIFS('abrasion emissions'!$M$7:$M$38,'abrasion emissions'!$I$7:$I$38,"PM 10",'abrasion emissions'!$K$7:$K$38,"Road",'abrasion emissions'!$L$7:$L$38,"c")))))/1000000+CT33</f>
        <v>4.2743529408913396E-6</v>
      </c>
      <c r="CV33" s="7">
        <f>(CK33*CN33)+(CL33*CO33)+(CM33*CP33)</f>
        <v>4.214867464251057E-6</v>
      </c>
      <c r="CW33" s="7">
        <f>(CK33*CQ33)+(CL33*CR33)+(CM33*CS33)</f>
        <v>3.9136413205889548E-6</v>
      </c>
    </row>
    <row r="34">
      <c r="A34" t="str">
        <f>B34&amp;" - "&amp;D34&amp;" - "&amp;IF(I34&lt;&gt;"",I34&amp;" - "&amp;E34,E34)</f>
        <v>Bicycle, electric (&lt;25 km/h) - 2050 - LFP - CH</v>
      </c>
      <c r="B34" t="inlineStr">
        <is>
          <t>Bicycle, electric (&lt;25 km/h)</t>
        </is>
      </c>
      <c r="D34" s="18" t="n">
        <v>2050</v>
      </c>
      <c r="E34" t="inlineStr">
        <is>
          <t>CH</t>
        </is>
      </c>
      <c r="F34" t="inlineStr">
        <is>
          <t>None</t>
        </is>
      </c>
      <c r="G34" t="inlineStr">
        <is>
          <t>vkm</t>
        </is>
      </c>
      <c r="H34" t="inlineStr">
        <is>
          <t>BEV</t>
        </is>
      </c>
      <c r="I34" t="inlineStr">
        <is>
          <t>LFP</t>
        </is>
      </c>
      <c r="J34" t="n">
        <v>20000</v>
      </c>
      <c r="K34" t="n">
        <v>2000</v>
      </c>
      <c r="L34" s="2">
        <f>J34/K34</f>
        <v>10</v>
      </c>
      <c r="M34" t="n">
        <v>1</v>
      </c>
      <c r="N34" t="n">
        <v>75</v>
      </c>
      <c r="O34" t="n">
        <v>1</v>
      </c>
      <c r="P34" s="2">
        <f>SUM(U34,V34,W34,AC34,AF34,AH34)</f>
        <v>27.58</v>
      </c>
      <c r="Q34" s="2">
        <f>P34+(M34*N34)+O34</f>
        <v>103.58</v>
      </c>
      <c r="R34" t="n">
        <v>0.25</v>
      </c>
      <c r="S34" s="2" t="n">
        <v>16</v>
      </c>
      <c r="T34" s="1" t="n">
        <v>0.07000000000000001</v>
      </c>
      <c r="U34" s="2">
        <f>S34*(1-T34)</f>
        <v>14.879999999999999</v>
      </c>
      <c r="V34" t="n">
        <v>0</v>
      </c>
      <c r="W34" t="n">
        <v>3.7</v>
      </c>
      <c r="X34" s="3" t="n">
        <v>1.5</v>
      </c>
      <c r="Y34" s="1" t="n">
        <v>0.8</v>
      </c>
      <c r="Z34" s="3">
        <f>Y34*X34</f>
        <v>1.2000000000000002</v>
      </c>
      <c r="AA34" s="3">
        <f>IF(I34&lt;&gt;"",X34/INDEX('energy battery'!$B$3:$D$6,MATCH('vehicles specifications'!$D34,'energy battery'!$A$3:$A$6,0),MATCH('vehicles specifications'!$I34,'energy battery'!$B$2:$D$2,0)),"")</f>
        <v>7.5</v>
      </c>
      <c r="AB34" s="3">
        <f>IF(AA34&lt;&gt;"",0.2*AA34,"")</f>
        <v>1.5</v>
      </c>
      <c r="AC34" s="3">
        <f>IF(AA34&lt;&gt;"",AB34+AA34,"")</f>
        <v>9</v>
      </c>
      <c r="AD34" t="n">
        <v>0</v>
      </c>
      <c r="AE34" t="n">
        <v>0</v>
      </c>
      <c r="AF34" t="n">
        <v>0</v>
      </c>
      <c r="AG34" t="n">
        <v>0</v>
      </c>
      <c r="AH34" t="n">
        <v>0</v>
      </c>
      <c r="AI34" t="n">
        <v>0.5</v>
      </c>
      <c r="AJ34" t="n">
        <v>1</v>
      </c>
      <c r="AK34" s="6">
        <f>J34/15000</f>
        <v>1.3333333333333333</v>
      </c>
      <c r="AL34">
        <f>0.000537/1000*Q34</f>
        <v>5.5622460000000002E-5</v>
      </c>
      <c r="AM34" t="n">
        <v>0</v>
      </c>
      <c r="AN34" s="2">
        <f>U34</f>
        <v>14.879999999999999</v>
      </c>
      <c r="AO34" s="2">
        <f>SUM(V34:W34)</f>
        <v>3.7</v>
      </c>
      <c r="AP34" s="2">
        <f>AC34</f>
        <v>9</v>
      </c>
      <c r="AQ34" s="6" t="inlineStr"/>
      <c r="AR34" s="20" t="n"/>
      <c r="AS34" s="5" t="n">
        <v>0.02467063914986235</v>
      </c>
      <c r="AT34" s="2">
        <f>SUM(Z34,AG34)/(SUM(AQ34,AS34)/3.6)</f>
        <v>175.10693475584739</v>
      </c>
      <c r="AU34" s="5" t="n">
        <v>0</v>
      </c>
      <c r="AV34" s="5" t="n">
        <v>0</v>
      </c>
      <c r="AW34" s="7" t="n">
        <v>0</v>
      </c>
      <c r="AX34" s="7" t="n">
        <v>0</v>
      </c>
      <c r="AY34" s="7" t="n">
        <v>0</v>
      </c>
      <c r="AZ34" s="7" t="n">
        <v>0</v>
      </c>
      <c r="BA34" s="7" t="n">
        <v>0</v>
      </c>
      <c r="BB34" s="7" t="n">
        <v>0</v>
      </c>
      <c r="BC34" s="7" t="n">
        <v>0</v>
      </c>
      <c r="BD34" s="7" t="n">
        <v>0</v>
      </c>
      <c r="BE34" s="7" t="n">
        <v>0</v>
      </c>
      <c r="BF34" s="7" t="n">
        <v>0</v>
      </c>
      <c r="BG34" s="7" t="n">
        <v>0</v>
      </c>
      <c r="BH34" s="7" t="n">
        <v>0</v>
      </c>
      <c r="BI34" s="7" t="n">
        <v>0</v>
      </c>
      <c r="BJ34" s="7" t="n">
        <v>0</v>
      </c>
      <c r="BK34" s="7" t="n">
        <v>0</v>
      </c>
      <c r="BL34" s="7" t="n">
        <v>0</v>
      </c>
      <c r="BM34" s="7" t="n">
        <v>0</v>
      </c>
      <c r="BN34" s="7" t="n">
        <v>0</v>
      </c>
      <c r="BO34" s="7" t="n">
        <v>0</v>
      </c>
      <c r="BP34" s="7" t="n">
        <v>0</v>
      </c>
      <c r="BQ34" s="7" t="n">
        <v>0</v>
      </c>
      <c r="BR34" s="7" t="n">
        <v>0</v>
      </c>
      <c r="BS34" s="7" t="n">
        <v>0</v>
      </c>
      <c r="BT34" s="7" t="n">
        <v>0</v>
      </c>
      <c r="BU34" s="7" t="n">
        <v>0</v>
      </c>
      <c r="BV34" s="7" t="n">
        <v>0</v>
      </c>
      <c r="BW34" s="7" t="n">
        <v>0</v>
      </c>
      <c r="BX34" s="7" t="n">
        <v>0</v>
      </c>
      <c r="BY34" s="7" t="n">
        <v>0</v>
      </c>
      <c r="BZ34" s="7" t="n">
        <v>0</v>
      </c>
      <c r="CA34" s="7" t="n">
        <v>0</v>
      </c>
      <c r="CB34" s="7" t="n">
        <v>0</v>
      </c>
      <c r="CC34" s="7" t="n">
        <v>0</v>
      </c>
      <c r="CD34" s="7" t="n">
        <v>0</v>
      </c>
      <c r="CE34" s="7" t="n">
        <v>0</v>
      </c>
      <c r="CF34" s="7" t="n">
        <v>0</v>
      </c>
      <c r="CG34" s="7" t="n">
        <v>0</v>
      </c>
      <c r="CH34" s="7" t="n">
        <v>0</v>
      </c>
      <c r="CI34" s="7" t="n">
        <v>0</v>
      </c>
      <c r="CJ34" s="7" t="n">
        <v>0</v>
      </c>
      <c r="CK34" s="38">
        <f>VLOOKUP($B34,'abrasion emissions'!$O$7:$R$36,2,FALSE)</f>
        <v>1</v>
      </c>
      <c r="CL34" s="38">
        <f>VLOOKUP($B34,'abrasion emissions'!$O$7:$R$36,3,FALSE)</f>
        <v>0</v>
      </c>
      <c r="CM34" s="38">
        <f>VLOOKUP($B34,'abrasion emissions'!$O$7:$R$36,4,FALSE)</f>
        <v>0</v>
      </c>
      <c r="CN34" s="7">
        <f>((SUMIFS('abrasion emissions'!$M$7:$M$34,'abrasion emissions'!$I$7:$I$34,"PM 2.5",'abrasion emissions'!$J$7:$J$34,"urban",'abrasion emissions'!$K$7:$K$34,"Tyre",'abrasion emissions'!$L$7:$L$34,"b")*POWER(('vehicles specifications'!$Q34/1000),(1/SUMIFS('abrasion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specifications'!$P34/1000),(1/SUMIFS('abrasion emissions'!$M$7:$M$34,'abrasion emissions'!$I$7:$I$34,"PM 10",'abrasion emissions'!$J$7:$J$34,"urban",'abrasion emissions'!$K$7:$K$34,"Tyre",'abrasion emissions'!$L$7:$L$34,"c")))))/1000000</f>
        <v>4.2770365426043568E-6</v>
      </c>
      <c r="CO34" s="7">
        <f>((SUMIFS('abrasion emissions'!$M$7:$M$34,'abrasion emissions'!$I$7:$I$34,"PM 2.5",'abrasion emissions'!$J$7:$J$34,"rural",'abrasion emissions'!$K$7:$K$34,"Tyre",'abrasion emissions'!$L$7:$L$34,"b")*POWER(('vehicles specifications'!$Q34/1000),(1/SUMIFS('abrasion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specifications'!$P34/1000),(1/SUMIFS('abrasion emissions'!$M$7:$M$34,'abrasion emissions'!$I$7:$I$34,"PM 10",'abrasion emissions'!$J$7:$J$34,"rural",'abrasion emissions'!$K$7:$K$34,"Tyre",'abrasion emissions'!$L$7:$L$34,"c")))))/1000000</f>
        <v>3.3325435927432185E-6</v>
      </c>
      <c r="CP34" s="7">
        <f>((SUMIFS('abrasion emissions'!$M$7:$M$34,'abrasion emissions'!$I$7:$I$34,"PM 2.5",'abrasion emissions'!$J$7:$J$34,"motorway",'abrasion emissions'!$K$7:$K$34,"Tyre",'abrasion emissions'!$L$7:$L$34,"b")*POWER(('vehicles specifications'!$Q34/1000),(1/SUMIFS('abrasion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specifications'!$P34/1000),(1/SUMIFS('abrasion emissions'!$M$7:$M$34,'abrasion emissions'!$I$7:$I$34,"PM 10",'abrasion emissions'!$J$7:$J$34,"motorway",'abrasion emissions'!$K$7:$K$34,"Tyre",'abrasion emissions'!$L$7:$L$34,"c")))))/1000000</f>
        <v>2.8498024786823089E-6</v>
      </c>
      <c r="CQ34" s="7">
        <f>((SUMIFS('abrasion emissions'!$M$7:$M$34,'abrasion emissions'!$I$7:$I$34,"PM 2.5",'abrasion emissions'!$J$7:$J$34,"urban",'abrasion emissions'!$K$7:$K$34,"Brake",'abrasion emissions'!$L$7:$L$34,"b")*POWER(('vehicles specifications'!$Q34/1000),(1/SUMIFS('abrasion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specifications'!$P34/1000),(1/SUMIFS('abrasion emissions'!$M$7:$M$34,'abrasion emissions'!$I$7:$I$34,"PM 10",'abrasion emissions'!$J$7:$J$34,"urban",'abrasion emissions'!$K$7:$K$34,"Brake",'abrasion emissions'!$L$7:$L$34,"c")))))/1000000</f>
        <v>3.9697750071375261E-6</v>
      </c>
      <c r="CR34" s="7">
        <f>((SUMIFS('abrasion emissions'!$M$7:$M$34,'abrasion emissions'!$I$7:$I$34,"PM 2.5",'abrasion emissions'!$J$7:$J$34,"rural",'abrasion emissions'!$K$7:$K$34,"Brake",'abrasion emissions'!$L$7:$L$34,"b")*POWER(('vehicles specifications'!$Q34/1000),(1/SUMIFS('abrasion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specifications'!$P34/1000),(1/SUMIFS('abrasion emissions'!$M$7:$M$34,'abrasion emissions'!$I$7:$I$34,"PM 10",'abrasion emissions'!$J$7:$J$34,"rural",'abrasion emissions'!$K$7:$K$34,"Brake",'abrasion emissions'!$L$7:$L$34,"c")))))/1000000</f>
        <v>1.1568101026393505E-6</v>
      </c>
      <c r="CS34" s="7">
        <f>((SUMIFS('abrasion emissions'!$M$7:$M$34,'abrasion emissions'!$I$7:$I$34,"PM 2.5",'abrasion emissions'!$J$7:$J$34,"motorway",'abrasion emissions'!$K$7:$K$34,"Brake",'abrasion emissions'!$L$7:$L$34,"b")*POWER(('vehicles specifications'!$Q34/1000),(1/SUMIFS('abrasion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specifications'!$P34/1000),(1/SUMIFS('abrasion emissions'!$M$7:$M$34,'abrasion emissions'!$I$7:$I$34,"PM 10",'abrasion emissions'!$J$7:$J$34,"motorway",'abrasion emissions'!$K$7:$K$34,"Brake",'abrasion emissions'!$L$7:$L$34,"c")))))/1000000</f>
        <v>2.0005621939238598E-7</v>
      </c>
      <c r="CT34" s="7">
        <f>((SUMIFS('abrasion emissions'!$M$7:$M$38,'abrasion emissions'!$I$7:$I$38,"PM 2.5",'abrasion emissions'!$K$7:$K$38,"Re-susp.",'abrasion emissions'!$L$7:$L$38,"b")*POWER(('vehicles specifications'!$Q34/1000),(1/SUMIFS('abrasion emissions'!$M$7:$M$38,'abrasion emissions'!$I$7:$I$38,"PM 2.5",'abrasion emissions'!$K$7:$K$38,"Re-susp.",'abrasion emissions'!$L$7:$L$38,"c"))))+
(SUMIFS('abrasion emissions'!$M$7:$M$38,'abrasion emissions'!$I$7:$I$38,"PM 10",'abrasion emissions'!$K$7:$K$38,"Re-susp.",'abrasion emissions'!$L$7:$L$38,"b")*POWER(('vehicles specifications'!$Q34/1000),(1/SUMIFS('abrasion emissions'!$M$7:$M$38,'abrasion emissions'!$I$7:$I$38,"PM 10",'abrasion emissions'!$K$7:$K$38,"Re-susp.",'abrasion emissions'!$L$7:$L$38,"c")))))/1000000</f>
        <v>2.0875655766346007E-6</v>
      </c>
      <c r="CU34" s="7">
        <f>((SUMIFS('abrasion emissions'!$M$7:$M$38,'abrasion emissions'!$I$7:$I$38,"PM 2.5",'abrasion emissions'!$K$7:$K$38,"Road",'abrasion emissions'!$L$7:$L$38,"b")*POWER(('vehicles specifications'!$Q34/1000),(1/SUMIFS('abrasion emissions'!$M$7:$M$38,'abrasion emissions'!$I$7:$I$38,"PM 2.5",'abrasion emissions'!$K$7:$K$38,"Road",'abrasion emissions'!$L$7:$L$38,"c"))))+
(SUMIFS('abrasion emissions'!$M$7:$M$38,'abrasion emissions'!$I$7:$I$38,"PM 10",'abrasion emissions'!$K$7:$K$38,"Road",'abrasion emissions'!$L$7:$L$38,"b")*POWER(('vehicles specifications'!$Q34/1000),(1/SUMIFS('abrasion emissions'!$M$7:$M$38,'abrasion emissions'!$I$7:$I$38,"PM 10",'abrasion emissions'!$K$7:$K$38,"Road",'abrasion emissions'!$L$7:$L$38,"c")))))/1000000+CT34</f>
        <v>4.3372284590789695E-6</v>
      </c>
      <c r="CV34" s="7">
        <f>(CK34*CN34)+(CL34*CO34)+(CM34*CP34)</f>
        <v>4.2770365426043568E-6</v>
      </c>
      <c r="CW34" s="7">
        <f>(CK34*CQ34)+(CL34*CR34)+(CM34*CS34)</f>
        <v>3.9697750071375261E-6</v>
      </c>
    </row>
    <row r="35">
      <c r="A35" t="str">
        <f>B35&amp;" - "&amp;D35&amp;" - "&amp;IF(I35&lt;&gt;"",I35&amp;" - "&amp;E35,E35)</f>
        <v>Bicycle, electric (&lt;45 km/h) - 2020 - LFP - CH</v>
      </c>
      <c r="B35" t="inlineStr">
        <is>
          <t>Bicycle, electric (&lt;45 km/h)</t>
        </is>
      </c>
      <c r="D35" s="18" t="n">
        <v>2020</v>
      </c>
      <c r="E35" t="inlineStr">
        <is>
          <t>CH</t>
        </is>
      </c>
      <c r="F35" t="inlineStr">
        <is>
          <t>None</t>
        </is>
      </c>
      <c r="G35" t="inlineStr">
        <is>
          <t>vkm</t>
        </is>
      </c>
      <c r="H35" t="inlineStr">
        <is>
          <t>BEV</t>
        </is>
      </c>
      <c r="I35" t="inlineStr">
        <is>
          <t>LFP</t>
        </is>
      </c>
      <c r="J35" t="n">
        <v>30000</v>
      </c>
      <c r="K35" t="n">
        <v>3000</v>
      </c>
      <c r="L35" s="2">
        <f>J35/K35</f>
        <v>10</v>
      </c>
      <c r="M35" t="n">
        <v>1</v>
      </c>
      <c r="N35" t="n">
        <v>75</v>
      </c>
      <c r="O35" t="n">
        <v>1</v>
      </c>
      <c r="P35" s="2">
        <f>SUM(U35,V35,W35,AC35,AF35,AH35)</f>
        <v>28</v>
      </c>
      <c r="Q35" s="2">
        <f>P35+(M35*N35)+O35</f>
        <v>104</v>
      </c>
      <c r="R35" t="n">
        <v>0.5</v>
      </c>
      <c r="S35" s="2" t="n">
        <v>19</v>
      </c>
      <c r="T35" s="1" t="n">
        <v>0</v>
      </c>
      <c r="U35" s="2">
        <f>S35*(1-T35)</f>
        <v>19</v>
      </c>
      <c r="V35" t="n">
        <v>0</v>
      </c>
      <c r="W35" t="n">
        <v>5</v>
      </c>
      <c r="X35" s="3" t="n">
        <v>0.5</v>
      </c>
      <c r="Y35" s="1" t="n">
        <v>0.8</v>
      </c>
      <c r="Z35" s="3">
        <f>Y35*X35</f>
        <v>0.4</v>
      </c>
      <c r="AA35" s="3">
        <f>IF(I35&lt;&gt;"",X35/INDEX('energy battery'!$B$3:$D$6,MATCH('vehicles specifications'!$D35,'energy battery'!$A$3:$A$6,0),MATCH('vehicles specifications'!$I35,'energy battery'!$B$2:$D$2,0)),"")</f>
        <v>3.3333333333333335</v>
      </c>
      <c r="AB35" s="3">
        <f>IF(AA35&lt;&gt;"",0.2*AA35,"")</f>
        <v>0.66666666666666674</v>
      </c>
      <c r="AC35" s="3">
        <f>IF(AA35&lt;&gt;"",AB35+AA35,"")</f>
        <v>4</v>
      </c>
      <c r="AD35" t="n">
        <v>1</v>
      </c>
      <c r="AE35" t="n">
        <v>0</v>
      </c>
      <c r="AF35" t="n">
        <v>0</v>
      </c>
      <c r="AG35" t="n">
        <v>0</v>
      </c>
      <c r="AH35" t="n">
        <v>0</v>
      </c>
      <c r="AI35" t="n">
        <v>0.5</v>
      </c>
      <c r="AJ35" t="n">
        <v>1</v>
      </c>
      <c r="AK35" s="6">
        <f>J35/15000</f>
        <v>2</v>
      </c>
      <c r="AL35">
        <f>0.000537/1000*Q35</f>
        <v>5.5847999999999998E-5</v>
      </c>
      <c r="AM35" t="n">
        <v>0</v>
      </c>
      <c r="AN35" s="2">
        <f>U35</f>
        <v>19</v>
      </c>
      <c r="AO35" s="2">
        <f>SUM(V35:W35)</f>
        <v>5</v>
      </c>
      <c r="AP35" s="2">
        <f>AC35</f>
        <v>4</v>
      </c>
      <c r="AQ35" s="6" t="inlineStr"/>
      <c r="AR35" s="20" t="n"/>
      <c r="AS35" s="5" t="n">
        <v>0.04530894085938152</v>
      </c>
      <c r="AT35" s="2">
        <f>SUM(Z35,AG35)/(SUM(AQ35,AS35)/3.6)</f>
        <v>31.78180669614656</v>
      </c>
      <c r="AU35" s="5" t="n">
        <v>0</v>
      </c>
      <c r="AV35" s="5" t="n">
        <v>0</v>
      </c>
      <c r="AW35" s="7" t="n">
        <v>0</v>
      </c>
      <c r="AX35" s="7" t="n">
        <v>0</v>
      </c>
      <c r="AY35" s="7" t="n">
        <v>0</v>
      </c>
      <c r="AZ35" s="7" t="n">
        <v>0</v>
      </c>
      <c r="BA35" s="7" t="n">
        <v>0</v>
      </c>
      <c r="BB35" s="7" t="n">
        <v>0</v>
      </c>
      <c r="BC35" s="7" t="n">
        <v>0</v>
      </c>
      <c r="BD35" s="7" t="n">
        <v>0</v>
      </c>
      <c r="BE35" s="7" t="n">
        <v>0</v>
      </c>
      <c r="BF35" s="7" t="n">
        <v>0</v>
      </c>
      <c r="BG35" s="7" t="n">
        <v>0</v>
      </c>
      <c r="BH35" s="7" t="n">
        <v>0</v>
      </c>
      <c r="BI35" s="7" t="n">
        <v>0</v>
      </c>
      <c r="BJ35" s="7" t="n">
        <v>0</v>
      </c>
      <c r="BK35" s="7" t="n">
        <v>0</v>
      </c>
      <c r="BL35" s="7" t="n">
        <v>0</v>
      </c>
      <c r="BM35" s="7" t="n">
        <v>0</v>
      </c>
      <c r="BN35" s="7" t="n">
        <v>0</v>
      </c>
      <c r="BO35" s="7" t="n">
        <v>0</v>
      </c>
      <c r="BP35" s="7" t="n">
        <v>0</v>
      </c>
      <c r="BQ35" s="7" t="n">
        <v>0</v>
      </c>
      <c r="BR35" s="7" t="n">
        <v>0</v>
      </c>
      <c r="BS35" s="7" t="n">
        <v>0</v>
      </c>
      <c r="BT35" s="7" t="n">
        <v>0</v>
      </c>
      <c r="BU35" s="7" t="n">
        <v>0</v>
      </c>
      <c r="BV35" s="7" t="n">
        <v>0</v>
      </c>
      <c r="BW35" s="7" t="n">
        <v>0</v>
      </c>
      <c r="BX35" s="7" t="n">
        <v>0</v>
      </c>
      <c r="BY35" s="7" t="n">
        <v>0</v>
      </c>
      <c r="BZ35" s="7" t="n">
        <v>0</v>
      </c>
      <c r="CA35" s="7" t="n">
        <v>0</v>
      </c>
      <c r="CB35" s="7" t="n">
        <v>0</v>
      </c>
      <c r="CC35" s="7" t="n">
        <v>0</v>
      </c>
      <c r="CD35" s="7" t="n">
        <v>0</v>
      </c>
      <c r="CE35" s="7" t="n">
        <v>0</v>
      </c>
      <c r="CF35" s="7" t="n">
        <v>0</v>
      </c>
      <c r="CG35" s="7" t="n">
        <v>0</v>
      </c>
      <c r="CH35" s="7" t="n">
        <v>0</v>
      </c>
      <c r="CI35" s="7" t="n">
        <v>0</v>
      </c>
      <c r="CJ35" s="7" t="n">
        <v>0</v>
      </c>
      <c r="CK35" s="38">
        <f>VLOOKUP($B35,'abrasion emissions'!$O$7:$R$36,2,FALSE)</f>
        <v>1</v>
      </c>
      <c r="CL35" s="38">
        <f>VLOOKUP($B35,'abrasion emissions'!$O$7:$R$36,3,FALSE)</f>
        <v>0</v>
      </c>
      <c r="CM35" s="38">
        <f>VLOOKUP($B35,'abrasion emissions'!$O$7:$R$36,4,FALSE)</f>
        <v>0</v>
      </c>
      <c r="CN35" s="7">
        <f>((SUMIFS('abrasion emissions'!$M$7:$M$34,'abrasion emissions'!$I$7:$I$34,"PM 2.5",'abrasion emissions'!$J$7:$J$34,"urban",'abrasion emissions'!$K$7:$K$34,"Tyre",'abrasion emissions'!$L$7:$L$34,"b")*POWER(('vehicles specifications'!$Q35/1000),(1/SUMIFS('abrasion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specifications'!$P35/1000),(1/SUMIFS('abrasion emissions'!$M$7:$M$34,'abrasion emissions'!$I$7:$I$34,"PM 10",'abrasion emissions'!$J$7:$J$34,"urban",'abrasion emissions'!$K$7:$K$34,"Tyre",'abrasion emissions'!$L$7:$L$34,"c")))))/1000000</f>
        <v>4.2904503795224867E-6</v>
      </c>
      <c r="CO35" s="7">
        <f>((SUMIFS('abrasion emissions'!$M$7:$M$34,'abrasion emissions'!$I$7:$I$34,"PM 2.5",'abrasion emissions'!$J$7:$J$34,"rural",'abrasion emissions'!$K$7:$K$34,"Tyre",'abrasion emissions'!$L$7:$L$34,"b")*POWER(('vehicles specifications'!$Q35/1000),(1/SUMIFS('abrasion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specifications'!$P35/1000),(1/SUMIFS('abrasion emissions'!$M$7:$M$34,'abrasion emissions'!$I$7:$I$34,"PM 10",'abrasion emissions'!$J$7:$J$34,"rural",'abrasion emissions'!$K$7:$K$34,"Tyre",'abrasion emissions'!$L$7:$L$34,"c")))))/1000000</f>
        <v>3.3429758031278732E-6</v>
      </c>
      <c r="CP35" s="7">
        <f>((SUMIFS('abrasion emissions'!$M$7:$M$34,'abrasion emissions'!$I$7:$I$34,"PM 2.5",'abrasion emissions'!$J$7:$J$34,"motorway",'abrasion emissions'!$K$7:$K$34,"Tyre",'abrasion emissions'!$L$7:$L$34,"b")*POWER(('vehicles specifications'!$Q35/1000),(1/SUMIFS('abrasion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specifications'!$P35/1000),(1/SUMIFS('abrasion emissions'!$M$7:$M$34,'abrasion emissions'!$I$7:$I$34,"PM 10",'abrasion emissions'!$J$7:$J$34,"motorway",'abrasion emissions'!$K$7:$K$34,"Tyre",'abrasion emissions'!$L$7:$L$34,"c")))))/1000000</f>
        <v>2.8586746869088923E-6</v>
      </c>
      <c r="CQ35" s="7">
        <f>((SUMIFS('abrasion emissions'!$M$7:$M$34,'abrasion emissions'!$I$7:$I$34,"PM 2.5",'abrasion emissions'!$J$7:$J$34,"urban",'abrasion emissions'!$K$7:$K$34,"Brake",'abrasion emissions'!$L$7:$L$34,"b")*POWER(('vehicles specifications'!$Q35/1000),(1/SUMIFS('abrasion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specifications'!$P35/1000),(1/SUMIFS('abrasion emissions'!$M$7:$M$34,'abrasion emissions'!$I$7:$I$34,"PM 10",'abrasion emissions'!$J$7:$J$34,"urban",'abrasion emissions'!$K$7:$K$34,"Brake",'abrasion emissions'!$L$7:$L$34,"c")))))/1000000</f>
        <v>3.9819540299553051E-6</v>
      </c>
      <c r="CR35" s="7">
        <f>((SUMIFS('abrasion emissions'!$M$7:$M$34,'abrasion emissions'!$I$7:$I$34,"PM 2.5",'abrasion emissions'!$J$7:$J$34,"rural",'abrasion emissions'!$K$7:$K$34,"Brake",'abrasion emissions'!$L$7:$L$34,"b")*POWER(('vehicles specifications'!$Q35/1000),(1/SUMIFS('abrasion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specifications'!$P35/1000),(1/SUMIFS('abrasion emissions'!$M$7:$M$34,'abrasion emissions'!$I$7:$I$34,"PM 10",'abrasion emissions'!$J$7:$J$34,"rural",'abrasion emissions'!$K$7:$K$34,"Brake",'abrasion emissions'!$L$7:$L$34,"c")))))/1000000</f>
        <v>1.1611551729763012E-6</v>
      </c>
      <c r="CS35" s="7">
        <f>((SUMIFS('abrasion emissions'!$M$7:$M$34,'abrasion emissions'!$I$7:$I$34,"PM 2.5",'abrasion emissions'!$J$7:$J$34,"motorway",'abrasion emissions'!$K$7:$K$34,"Brake",'abrasion emissions'!$L$7:$L$34,"b")*POWER(('vehicles specifications'!$Q35/1000),(1/SUMIFS('abrasion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specifications'!$P35/1000),(1/SUMIFS('abrasion emissions'!$M$7:$M$34,'abrasion emissions'!$I$7:$I$34,"PM 10",'abrasion emissions'!$J$7:$J$34,"motorway",'abrasion emissions'!$K$7:$K$34,"Brake",'abrasion emissions'!$L$7:$L$34,"c")))))/1000000</f>
        <v>2.0089659765514957E-7</v>
      </c>
      <c r="CT35" s="7">
        <f>((SUMIFS('abrasion emissions'!$M$7:$M$38,'abrasion emissions'!$I$7:$I$38,"PM 2.5",'abrasion emissions'!$K$7:$K$38,"Re-susp.",'abrasion emissions'!$L$7:$L$38,"b")*POWER(('vehicles specifications'!$Q35/1000),(1/SUMIFS('abrasion emissions'!$M$7:$M$38,'abrasion emissions'!$I$7:$I$38,"PM 2.5",'abrasion emissions'!$K$7:$K$38,"Re-susp.",'abrasion emissions'!$L$7:$L$38,"c"))))+
(SUMIFS('abrasion emissions'!$M$7:$M$38,'abrasion emissions'!$I$7:$I$38,"PM 10",'abrasion emissions'!$K$7:$K$38,"Re-susp.",'abrasion emissions'!$L$7:$L$38,"b")*POWER(('vehicles specifications'!$Q35/1000),(1/SUMIFS('abrasion emissions'!$M$7:$M$38,'abrasion emissions'!$I$7:$I$38,"PM 10",'abrasion emissions'!$K$7:$K$38,"Re-susp.",'abrasion emissions'!$L$7:$L$38,"c")))))/1000000</f>
        <v>2.0952593765996613E-6</v>
      </c>
      <c r="CU35" s="7">
        <f>((SUMIFS('abrasion emissions'!$M$7:$M$38,'abrasion emissions'!$I$7:$I$38,"PM 2.5",'abrasion emissions'!$K$7:$K$38,"Road",'abrasion emissions'!$L$7:$L$38,"b")*POWER(('vehicles specifications'!$Q35/1000),(1/SUMIFS('abrasion emissions'!$M$7:$M$38,'abrasion emissions'!$I$7:$I$38,"PM 2.5",'abrasion emissions'!$K$7:$K$38,"Road",'abrasion emissions'!$L$7:$L$38,"c"))))+
(SUMIFS('abrasion emissions'!$M$7:$M$38,'abrasion emissions'!$I$7:$I$38,"PM 10",'abrasion emissions'!$K$7:$K$38,"Road",'abrasion emissions'!$L$7:$L$38,"b")*POWER(('vehicles specifications'!$Q35/1000),(1/SUMIFS('abrasion emissions'!$M$7:$M$38,'abrasion emissions'!$I$7:$I$38,"PM 10",'abrasion emissions'!$K$7:$K$38,"Road",'abrasion emissions'!$L$7:$L$38,"c")))))/1000000+CT35</f>
        <v>4.3509995005806409E-6</v>
      </c>
      <c r="CV35" s="7">
        <f>(CK35*CN35)+(CL35*CO35)+(CM35*CP35)</f>
        <v>4.2904503795224867E-6</v>
      </c>
      <c r="CW35" s="7">
        <f>(CK35*CQ35)+(CL35*CR35)+(CM35*CS35)</f>
        <v>3.9819540299553051E-6</v>
      </c>
    </row>
    <row r="36">
      <c r="A36" t="str">
        <f>B36&amp;" - "&amp;D36&amp;" - "&amp;IF(I36&lt;&gt;"",I36&amp;" - "&amp;E36,E36)</f>
        <v>Bicycle, electric (&lt;45 km/h) - 2030 - LFP - CH</v>
      </c>
      <c r="B36" t="inlineStr">
        <is>
          <t>Bicycle, electric (&lt;45 km/h)</t>
        </is>
      </c>
      <c r="D36" s="18" t="n">
        <v>2030</v>
      </c>
      <c r="E36" t="inlineStr">
        <is>
          <t>CH</t>
        </is>
      </c>
      <c r="F36" t="inlineStr">
        <is>
          <t>None</t>
        </is>
      </c>
      <c r="G36" t="inlineStr">
        <is>
          <t>vkm</t>
        </is>
      </c>
      <c r="H36" t="inlineStr">
        <is>
          <t>BEV</t>
        </is>
      </c>
      <c r="I36" t="inlineStr">
        <is>
          <t>LFP</t>
        </is>
      </c>
      <c r="J36" t="n">
        <v>30000</v>
      </c>
      <c r="K36" t="n">
        <v>3000</v>
      </c>
      <c r="L36" s="2">
        <f>J36/K36</f>
        <v>10</v>
      </c>
      <c r="M36" t="n">
        <v>1</v>
      </c>
      <c r="N36" t="n">
        <v>75</v>
      </c>
      <c r="O36" t="n">
        <v>1</v>
      </c>
      <c r="P36" s="2">
        <f>SUM(U36,V36,W36,AC36,AF36,AH36)</f>
        <v>28.663333333333334</v>
      </c>
      <c r="Q36" s="2">
        <f>P36+(M36*N36)+O36</f>
        <v>104.66333333333333</v>
      </c>
      <c r="R36" t="n">
        <v>0.5</v>
      </c>
      <c r="S36" s="2" t="n">
        <v>19</v>
      </c>
      <c r="T36" s="1" t="n">
        <v>0.03</v>
      </c>
      <c r="U36" s="2">
        <f>S36*(1-T36)</f>
        <v>18.43</v>
      </c>
      <c r="V36" t="n">
        <v>0</v>
      </c>
      <c r="W36" t="n">
        <v>4.9</v>
      </c>
      <c r="X36" s="3" t="n">
        <v>0.8</v>
      </c>
      <c r="Y36" s="1" t="n">
        <v>0.8</v>
      </c>
      <c r="Z36" s="3">
        <f>Y36*X36</f>
        <v>0.64000000000000012</v>
      </c>
      <c r="AA36" s="3">
        <f>IF(I36&lt;&gt;"",X36/INDEX('energy battery'!$B$3:$D$6,MATCH('vehicles specifications'!$D36,'energy battery'!$A$3:$A$6,0),MATCH('vehicles specifications'!$I36,'energy battery'!$B$2:$D$2,0)),"")</f>
        <v>4.4444444444444446</v>
      </c>
      <c r="AB36" s="3">
        <f>IF(AA36&lt;&gt;"",0.2*AA36,"")</f>
        <v>0.88888888888888895</v>
      </c>
      <c r="AC36" s="3">
        <f>IF(AA36&lt;&gt;"",AB36+AA36,"")</f>
        <v>5.3333333333333339</v>
      </c>
      <c r="AD36" t="n">
        <v>0.5</v>
      </c>
      <c r="AE36" t="n">
        <v>0</v>
      </c>
      <c r="AF36" t="n">
        <v>0</v>
      </c>
      <c r="AG36" t="n">
        <v>0</v>
      </c>
      <c r="AH36" t="n">
        <v>0</v>
      </c>
      <c r="AI36" t="n">
        <v>0.5</v>
      </c>
      <c r="AJ36" t="n">
        <v>1</v>
      </c>
      <c r="AK36" s="6">
        <f>J36/15000</f>
        <v>2</v>
      </c>
      <c r="AL36">
        <f>0.000537/1000*Q36</f>
        <v>5.6204209999999994E-5</v>
      </c>
      <c r="AM36" t="n">
        <v>0</v>
      </c>
      <c r="AN36" s="2">
        <f>U36</f>
        <v>18.43</v>
      </c>
      <c r="AO36" s="2">
        <f>SUM(V36:W36)</f>
        <v>4.9000000000000004</v>
      </c>
      <c r="AP36" s="2">
        <f>AC36</f>
        <v>5.3333333333333339</v>
      </c>
      <c r="AQ36" s="6" t="inlineStr"/>
      <c r="AR36" s="20" t="n"/>
      <c r="AS36" s="5" t="n">
        <v>0.04530894085938152</v>
      </c>
      <c r="AT36" s="2">
        <f>SUM(Z36,AG36)/(SUM(AQ36,AS36)/3.6)</f>
        <v>50.850890713834502</v>
      </c>
      <c r="AU36" s="5" t="n">
        <v>0</v>
      </c>
      <c r="AV36" s="5" t="n">
        <v>0</v>
      </c>
      <c r="AW36" s="7" t="n">
        <v>0</v>
      </c>
      <c r="AX36" s="7" t="n">
        <v>0</v>
      </c>
      <c r="AY36" s="7" t="n">
        <v>0</v>
      </c>
      <c r="AZ36" s="7" t="n">
        <v>0</v>
      </c>
      <c r="BA36" s="7" t="n">
        <v>0</v>
      </c>
      <c r="BB36" s="7" t="n">
        <v>0</v>
      </c>
      <c r="BC36" s="7" t="n">
        <v>0</v>
      </c>
      <c r="BD36" s="7" t="n">
        <v>0</v>
      </c>
      <c r="BE36" s="7" t="n">
        <v>0</v>
      </c>
      <c r="BF36" s="7" t="n">
        <v>0</v>
      </c>
      <c r="BG36" s="7" t="n">
        <v>0</v>
      </c>
      <c r="BH36" s="7" t="n">
        <v>0</v>
      </c>
      <c r="BI36" s="7" t="n">
        <v>0</v>
      </c>
      <c r="BJ36" s="7" t="n">
        <v>0</v>
      </c>
      <c r="BK36" s="7" t="n">
        <v>0</v>
      </c>
      <c r="BL36" s="7" t="n">
        <v>0</v>
      </c>
      <c r="BM36" s="7" t="n">
        <v>0</v>
      </c>
      <c r="BN36" s="7" t="n">
        <v>0</v>
      </c>
      <c r="BO36" s="7" t="n">
        <v>0</v>
      </c>
      <c r="BP36" s="7" t="n">
        <v>0</v>
      </c>
      <c r="BQ36" s="7" t="n">
        <v>0</v>
      </c>
      <c r="BR36" s="7" t="n">
        <v>0</v>
      </c>
      <c r="BS36" s="7" t="n">
        <v>0</v>
      </c>
      <c r="BT36" s="7" t="n">
        <v>0</v>
      </c>
      <c r="BU36" s="7" t="n">
        <v>0</v>
      </c>
      <c r="BV36" s="7" t="n">
        <v>0</v>
      </c>
      <c r="BW36" s="7" t="n">
        <v>0</v>
      </c>
      <c r="BX36" s="7" t="n">
        <v>0</v>
      </c>
      <c r="BY36" s="7" t="n">
        <v>0</v>
      </c>
      <c r="BZ36" s="7" t="n">
        <v>0</v>
      </c>
      <c r="CA36" s="7" t="n">
        <v>0</v>
      </c>
      <c r="CB36" s="7" t="n">
        <v>0</v>
      </c>
      <c r="CC36" s="7" t="n">
        <v>0</v>
      </c>
      <c r="CD36" s="7" t="n">
        <v>0</v>
      </c>
      <c r="CE36" s="7" t="n">
        <v>0</v>
      </c>
      <c r="CF36" s="7" t="n">
        <v>0</v>
      </c>
      <c r="CG36" s="7" t="n">
        <v>0</v>
      </c>
      <c r="CH36" s="7" t="n">
        <v>0</v>
      </c>
      <c r="CI36" s="7" t="n">
        <v>0</v>
      </c>
      <c r="CJ36" s="7" t="n">
        <v>0</v>
      </c>
      <c r="CK36" s="38">
        <f>VLOOKUP($B36,'abrasion emissions'!$O$7:$R$36,2,FALSE)</f>
        <v>1</v>
      </c>
      <c r="CL36" s="38">
        <f>VLOOKUP($B36,'abrasion emissions'!$O$7:$R$36,3,FALSE)</f>
        <v>0</v>
      </c>
      <c r="CM36" s="38">
        <f>VLOOKUP($B36,'abrasion emissions'!$O$7:$R$36,4,FALSE)</f>
        <v>0</v>
      </c>
      <c r="CN36" s="7">
        <f>((SUMIFS('abrasion emissions'!$M$7:$M$34,'abrasion emissions'!$I$7:$I$34,"PM 2.5",'abrasion emissions'!$J$7:$J$34,"urban",'abrasion emissions'!$K$7:$K$34,"Tyre",'abrasion emissions'!$L$7:$L$34,"b")*POWER(('vehicles specifications'!$Q36/1000),(1/SUMIFS('abrasion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specifications'!$P36/1000),(1/SUMIFS('abrasion emissions'!$M$7:$M$34,'abrasion emissions'!$I$7:$I$34,"PM 10",'abrasion emissions'!$J$7:$J$34,"urban",'abrasion emissions'!$K$7:$K$34,"Tyre",'abrasion emissions'!$L$7:$L$34,"c")))))/1000000</f>
        <v>4.3114733281385076E-6</v>
      </c>
      <c r="CO36" s="7">
        <f>((SUMIFS('abrasion emissions'!$M$7:$M$34,'abrasion emissions'!$I$7:$I$34,"PM 2.5",'abrasion emissions'!$J$7:$J$34,"rural",'abrasion emissions'!$K$7:$K$34,"Tyre",'abrasion emissions'!$L$7:$L$34,"b")*POWER(('vehicles specifications'!$Q36/1000),(1/SUMIFS('abrasion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specifications'!$P36/1000),(1/SUMIFS('abrasion emissions'!$M$7:$M$34,'abrasion emissions'!$I$7:$I$34,"PM 10",'abrasion emissions'!$J$7:$J$34,"rural",'abrasion emissions'!$K$7:$K$34,"Tyre",'abrasion emissions'!$L$7:$L$34,"c")))))/1000000</f>
        <v>3.3593259586381149E-6</v>
      </c>
      <c r="CP36" s="7">
        <f>((SUMIFS('abrasion emissions'!$M$7:$M$34,'abrasion emissions'!$I$7:$I$34,"PM 2.5",'abrasion emissions'!$J$7:$J$34,"motorway",'abrasion emissions'!$K$7:$K$34,"Tyre",'abrasion emissions'!$L$7:$L$34,"b")*POWER(('vehicles specifications'!$Q36/1000),(1/SUMIFS('abrasion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specifications'!$P36/1000),(1/SUMIFS('abrasion emissions'!$M$7:$M$34,'abrasion emissions'!$I$7:$I$34,"PM 10",'abrasion emissions'!$J$7:$J$34,"motorway",'abrasion emissions'!$K$7:$K$34,"Tyre",'abrasion emissions'!$L$7:$L$34,"c")))))/1000000</f>
        <v>2.8725803558756663E-6</v>
      </c>
      <c r="CQ36" s="7">
        <f>((SUMIFS('abrasion emissions'!$M$7:$M$34,'abrasion emissions'!$I$7:$I$34,"PM 2.5",'abrasion emissions'!$J$7:$J$34,"urban",'abrasion emissions'!$K$7:$K$34,"Brake",'abrasion emissions'!$L$7:$L$34,"b")*POWER(('vehicles specifications'!$Q36/1000),(1/SUMIFS('abrasion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specifications'!$P36/1000),(1/SUMIFS('abrasion emissions'!$M$7:$M$34,'abrasion emissions'!$I$7:$I$34,"PM 10",'abrasion emissions'!$J$7:$J$34,"urban",'abrasion emissions'!$K$7:$K$34,"Brake",'abrasion emissions'!$L$7:$L$34,"c")))))/1000000</f>
        <v>4.0010887186766688E-6</v>
      </c>
      <c r="CR36" s="7">
        <f>((SUMIFS('abrasion emissions'!$M$7:$M$34,'abrasion emissions'!$I$7:$I$34,"PM 2.5",'abrasion emissions'!$J$7:$J$34,"rural",'abrasion emissions'!$K$7:$K$34,"Brake",'abrasion emissions'!$L$7:$L$34,"b")*POWER(('vehicles specifications'!$Q36/1000),(1/SUMIFS('abrasion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specifications'!$P36/1000),(1/SUMIFS('abrasion emissions'!$M$7:$M$34,'abrasion emissions'!$I$7:$I$34,"PM 10",'abrasion emissions'!$J$7:$J$34,"rural",'abrasion emissions'!$K$7:$K$34,"Brake",'abrasion emissions'!$L$7:$L$34,"c")))))/1000000</f>
        <v>1.1679934461124606E-6</v>
      </c>
      <c r="CS36" s="7">
        <f>((SUMIFS('abrasion emissions'!$M$7:$M$34,'abrasion emissions'!$I$7:$I$34,"PM 2.5",'abrasion emissions'!$J$7:$J$34,"motorway",'abrasion emissions'!$K$7:$K$34,"Brake",'abrasion emissions'!$L$7:$L$34,"b")*POWER(('vehicles specifications'!$Q36/1000),(1/SUMIFS('abrasion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specifications'!$P36/1000),(1/SUMIFS('abrasion emissions'!$M$7:$M$34,'abrasion emissions'!$I$7:$I$34,"PM 10",'abrasion emissions'!$J$7:$J$34,"motorway",'abrasion emissions'!$K$7:$K$34,"Brake",'abrasion emissions'!$L$7:$L$34,"c")))))/1000000</f>
        <v>2.0222075652271754E-7</v>
      </c>
      <c r="CT36" s="7">
        <f>((SUMIFS('abrasion emissions'!$M$7:$M$38,'abrasion emissions'!$I$7:$I$38,"PM 2.5",'abrasion emissions'!$K$7:$K$38,"Re-susp.",'abrasion emissions'!$L$7:$L$38,"b")*POWER(('vehicles specifications'!$Q36/1000),(1/SUMIFS('abrasion emissions'!$M$7:$M$38,'abrasion emissions'!$I$7:$I$38,"PM 2.5",'abrasion emissions'!$K$7:$K$38,"Re-susp.",'abrasion emissions'!$L$7:$L$38,"c"))))+
(SUMIFS('abrasion emissions'!$M$7:$M$38,'abrasion emissions'!$I$7:$I$38,"PM 10",'abrasion emissions'!$K$7:$K$38,"Re-susp.",'abrasion emissions'!$L$7:$L$38,"b")*POWER(('vehicles specifications'!$Q36/1000),(1/SUMIFS('abrasion emissions'!$M$7:$M$38,'abrasion emissions'!$I$7:$I$38,"PM 10",'abrasion emissions'!$K$7:$K$38,"Re-susp.",'abrasion emissions'!$L$7:$L$38,"c")))))/1000000</f>
        <v>2.1074049480443473E-6</v>
      </c>
      <c r="CU36" s="7">
        <f>((SUMIFS('abrasion emissions'!$M$7:$M$38,'abrasion emissions'!$I$7:$I$38,"PM 2.5",'abrasion emissions'!$K$7:$K$38,"Road",'abrasion emissions'!$L$7:$L$38,"b")*POWER(('vehicles specifications'!$Q36/1000),(1/SUMIFS('abrasion emissions'!$M$7:$M$38,'abrasion emissions'!$I$7:$I$38,"PM 2.5",'abrasion emissions'!$K$7:$K$38,"Road",'abrasion emissions'!$L$7:$L$38,"c"))))+
(SUMIFS('abrasion emissions'!$M$7:$M$38,'abrasion emissions'!$I$7:$I$38,"PM 10",'abrasion emissions'!$K$7:$K$38,"Road",'abrasion emissions'!$L$7:$L$38,"b")*POWER(('vehicles specifications'!$Q36/1000),(1/SUMIFS('abrasion emissions'!$M$7:$M$38,'abrasion emissions'!$I$7:$I$38,"PM 10",'abrasion emissions'!$K$7:$K$38,"Road",'abrasion emissions'!$L$7:$L$38,"c")))))/1000000+CT36</f>
        <v>4.3727266199853108E-6</v>
      </c>
      <c r="CV36" s="7">
        <f>(CK36*CN36)+(CL36*CO36)+(CM36*CP36)</f>
        <v>4.3114733281385076E-6</v>
      </c>
      <c r="CW36" s="7">
        <f>(CK36*CQ36)+(CL36*CR36)+(CM36*CS36)</f>
        <v>4.0010887186766688E-6</v>
      </c>
    </row>
    <row r="37">
      <c r="A37" t="str">
        <f>B37&amp;" - "&amp;D37&amp;" - "&amp;IF(I37&lt;&gt;"",I37&amp;" - "&amp;E37,E37)</f>
        <v>Bicycle, electric (&lt;45 km/h) - 2040 - LFP - CH</v>
      </c>
      <c r="B37" t="inlineStr">
        <is>
          <t>Bicycle, electric (&lt;45 km/h)</t>
        </is>
      </c>
      <c r="D37" s="18" t="n">
        <v>2040</v>
      </c>
      <c r="E37" t="inlineStr">
        <is>
          <t>CH</t>
        </is>
      </c>
      <c r="F37" t="inlineStr">
        <is>
          <t>None</t>
        </is>
      </c>
      <c r="G37" t="inlineStr">
        <is>
          <t>vkm</t>
        </is>
      </c>
      <c r="H37" t="inlineStr">
        <is>
          <t>BEV</t>
        </is>
      </c>
      <c r="I37" t="inlineStr">
        <is>
          <t>LFP</t>
        </is>
      </c>
      <c r="J37" t="n">
        <v>30000</v>
      </c>
      <c r="K37" t="n">
        <v>3000</v>
      </c>
      <c r="L37" s="2">
        <f>J37/K37</f>
        <v>10</v>
      </c>
      <c r="M37" t="n">
        <v>1</v>
      </c>
      <c r="N37" t="n">
        <v>75</v>
      </c>
      <c r="O37" t="n">
        <v>1</v>
      </c>
      <c r="P37" s="2">
        <f>SUM(U37,V37,W37,AC37,AF37,AH37)</f>
        <v>29.416666666666664</v>
      </c>
      <c r="Q37" s="2">
        <f>P37+(M37*N37)+O37</f>
        <v>105.41666666666666</v>
      </c>
      <c r="R37" t="n">
        <v>0.5</v>
      </c>
      <c r="S37" s="2" t="n">
        <v>19</v>
      </c>
      <c r="T37" s="1" t="n">
        <v>0.05</v>
      </c>
      <c r="U37" s="2">
        <f>S37*(1-T37)</f>
        <v>18.05</v>
      </c>
      <c r="V37" t="n">
        <v>0</v>
      </c>
      <c r="W37" t="n">
        <v>4.7</v>
      </c>
      <c r="X37" s="3" t="n">
        <v>1</v>
      </c>
      <c r="Y37" s="1" t="n">
        <v>0.8</v>
      </c>
      <c r="Z37" s="3">
        <f>Y37*X37</f>
        <v>0.8</v>
      </c>
      <c r="AA37" s="3">
        <f>IF(I37&lt;&gt;"",X37/INDEX('energy battery'!$B$3:$D$6,MATCH('vehicles specifications'!$D37,'energy battery'!$A$3:$A$6,0),MATCH('vehicles specifications'!$I37,'energy battery'!$B$2:$D$2,0)),"")</f>
        <v>5.5555555555555554</v>
      </c>
      <c r="AB37" s="3">
        <f>IF(AA37&lt;&gt;"",0.2*AA37,"")</f>
        <v>1.1111111111111112</v>
      </c>
      <c r="AC37" s="3">
        <f>IF(AA37&lt;&gt;"",AB37+AA37,"")</f>
        <v>6.6666666666666661</v>
      </c>
      <c r="AD37" t="n">
        <v>0.25</v>
      </c>
      <c r="AE37" t="n">
        <v>0</v>
      </c>
      <c r="AF37" t="n">
        <v>0</v>
      </c>
      <c r="AG37" t="n">
        <v>0</v>
      </c>
      <c r="AH37" t="n">
        <v>0</v>
      </c>
      <c r="AI37" t="n">
        <v>0.5</v>
      </c>
      <c r="AJ37" t="n">
        <v>1</v>
      </c>
      <c r="AK37" s="6">
        <f>J37/15000</f>
        <v>2</v>
      </c>
      <c r="AL37">
        <f>0.000537/1000*Q37</f>
        <v>5.6608749999999996E-5</v>
      </c>
      <c r="AM37" t="n">
        <v>0</v>
      </c>
      <c r="AN37" s="2">
        <f>U37</f>
        <v>18.05</v>
      </c>
      <c r="AO37" s="2">
        <f>SUM(V37:W37)</f>
        <v>4.7</v>
      </c>
      <c r="AP37" s="2">
        <f>AC37</f>
        <v>6.6666666666666661</v>
      </c>
      <c r="AQ37" s="6" t="inlineStr"/>
      <c r="AR37" s="20" t="n"/>
      <c r="AS37" s="5" t="n">
        <v>0.04530894085938152</v>
      </c>
      <c r="AT37" s="2">
        <f>SUM(Z37,AG37)/(SUM(AQ37,AS37)/3.6)</f>
        <v>63.563613392293121</v>
      </c>
      <c r="AU37" s="5" t="n">
        <v>0</v>
      </c>
      <c r="AV37" s="5" t="n">
        <v>0</v>
      </c>
      <c r="AW37" s="7" t="n">
        <v>0</v>
      </c>
      <c r="AX37" s="7" t="n">
        <v>0</v>
      </c>
      <c r="AY37" s="7" t="n">
        <v>0</v>
      </c>
      <c r="AZ37" s="7" t="n">
        <v>0</v>
      </c>
      <c r="BA37" s="7" t="n">
        <v>0</v>
      </c>
      <c r="BB37" s="7" t="n">
        <v>0</v>
      </c>
      <c r="BC37" s="7" t="n">
        <v>0</v>
      </c>
      <c r="BD37" s="7" t="n">
        <v>0</v>
      </c>
      <c r="BE37" s="7" t="n">
        <v>0</v>
      </c>
      <c r="BF37" s="7" t="n">
        <v>0</v>
      </c>
      <c r="BG37" s="7" t="n">
        <v>0</v>
      </c>
      <c r="BH37" s="7" t="n">
        <v>0</v>
      </c>
      <c r="BI37" s="7" t="n">
        <v>0</v>
      </c>
      <c r="BJ37" s="7" t="n">
        <v>0</v>
      </c>
      <c r="BK37" s="7" t="n">
        <v>0</v>
      </c>
      <c r="BL37" s="7" t="n">
        <v>0</v>
      </c>
      <c r="BM37" s="7" t="n">
        <v>0</v>
      </c>
      <c r="BN37" s="7" t="n">
        <v>0</v>
      </c>
      <c r="BO37" s="7" t="n">
        <v>0</v>
      </c>
      <c r="BP37" s="7" t="n">
        <v>0</v>
      </c>
      <c r="BQ37" s="7" t="n">
        <v>0</v>
      </c>
      <c r="BR37" s="7" t="n">
        <v>0</v>
      </c>
      <c r="BS37" s="7" t="n">
        <v>0</v>
      </c>
      <c r="BT37" s="7" t="n">
        <v>0</v>
      </c>
      <c r="BU37" s="7" t="n">
        <v>0</v>
      </c>
      <c r="BV37" s="7" t="n">
        <v>0</v>
      </c>
      <c r="BW37" s="7" t="n">
        <v>0</v>
      </c>
      <c r="BX37" s="7" t="n">
        <v>0</v>
      </c>
      <c r="BY37" s="7" t="n">
        <v>0</v>
      </c>
      <c r="BZ37" s="7" t="n">
        <v>0</v>
      </c>
      <c r="CA37" s="7" t="n">
        <v>0</v>
      </c>
      <c r="CB37" s="7" t="n">
        <v>0</v>
      </c>
      <c r="CC37" s="7" t="n">
        <v>0</v>
      </c>
      <c r="CD37" s="7" t="n">
        <v>0</v>
      </c>
      <c r="CE37" s="7" t="n">
        <v>0</v>
      </c>
      <c r="CF37" s="7" t="n">
        <v>0</v>
      </c>
      <c r="CG37" s="7" t="n">
        <v>0</v>
      </c>
      <c r="CH37" s="7" t="n">
        <v>0</v>
      </c>
      <c r="CI37" s="7" t="n">
        <v>0</v>
      </c>
      <c r="CJ37" s="7" t="n">
        <v>0</v>
      </c>
      <c r="CK37" s="38">
        <f>VLOOKUP($B37,'abrasion emissions'!$O$7:$R$36,2,FALSE)</f>
        <v>1</v>
      </c>
      <c r="CL37" s="38">
        <f>VLOOKUP($B37,'abrasion emissions'!$O$7:$R$36,3,FALSE)</f>
        <v>0</v>
      </c>
      <c r="CM37" s="38">
        <f>VLOOKUP($B37,'abrasion emissions'!$O$7:$R$36,4,FALSE)</f>
        <v>0</v>
      </c>
      <c r="CN37" s="7">
        <f>((SUMIFS('abrasion emissions'!$M$7:$M$34,'abrasion emissions'!$I$7:$I$34,"PM 2.5",'abrasion emissions'!$J$7:$J$34,"urban",'abrasion emissions'!$K$7:$K$34,"Tyre",'abrasion emissions'!$L$7:$L$34,"b")*POWER(('vehicles specifications'!$Q37/1000),(1/SUMIFS('abrasion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specifications'!$P37/1000),(1/SUMIFS('abrasion emissions'!$M$7:$M$34,'abrasion emissions'!$I$7:$I$34,"PM 10",'abrasion emissions'!$J$7:$J$34,"urban",'abrasion emissions'!$K$7:$K$34,"Tyre",'abrasion emissions'!$L$7:$L$34,"c")))))/1000000</f>
        <v>4.3351145553325093E-6</v>
      </c>
      <c r="CO37" s="7">
        <f>((SUMIFS('abrasion emissions'!$M$7:$M$34,'abrasion emissions'!$I$7:$I$34,"PM 2.5",'abrasion emissions'!$J$7:$J$34,"rural",'abrasion emissions'!$K$7:$K$34,"Tyre",'abrasion emissions'!$L$7:$L$34,"b")*POWER(('vehicles specifications'!$Q37/1000),(1/SUMIFS('abrasion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specifications'!$P37/1000),(1/SUMIFS('abrasion emissions'!$M$7:$M$34,'abrasion emissions'!$I$7:$I$34,"PM 10",'abrasion emissions'!$J$7:$J$34,"rural",'abrasion emissions'!$K$7:$K$34,"Tyre",'abrasion emissions'!$L$7:$L$34,"c")))))/1000000</f>
        <v>3.3777126920472523E-6</v>
      </c>
      <c r="CP37" s="7">
        <f>((SUMIFS('abrasion emissions'!$M$7:$M$34,'abrasion emissions'!$I$7:$I$34,"PM 2.5",'abrasion emissions'!$J$7:$J$34,"motorway",'abrasion emissions'!$K$7:$K$34,"Tyre",'abrasion emissions'!$L$7:$L$34,"b")*POWER(('vehicles specifications'!$Q37/1000),(1/SUMIFS('abrasion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specifications'!$P37/1000),(1/SUMIFS('abrasion emissions'!$M$7:$M$34,'abrasion emissions'!$I$7:$I$34,"PM 10",'abrasion emissions'!$J$7:$J$34,"motorway",'abrasion emissions'!$K$7:$K$34,"Tyre",'abrasion emissions'!$L$7:$L$34,"c")))))/1000000</f>
        <v>2.8882187878272151E-6</v>
      </c>
      <c r="CQ37" s="7">
        <f>((SUMIFS('abrasion emissions'!$M$7:$M$34,'abrasion emissions'!$I$7:$I$34,"PM 2.5",'abrasion emissions'!$J$7:$J$34,"urban",'abrasion emissions'!$K$7:$K$34,"Brake",'abrasion emissions'!$L$7:$L$34,"b")*POWER(('vehicles specifications'!$Q37/1000),(1/SUMIFS('abrasion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specifications'!$P37/1000),(1/SUMIFS('abrasion emissions'!$M$7:$M$34,'abrasion emissions'!$I$7:$I$34,"PM 10",'abrasion emissions'!$J$7:$J$34,"urban",'abrasion emissions'!$K$7:$K$34,"Brake",'abrasion emissions'!$L$7:$L$34,"c")))))/1000000</f>
        <v>4.0226741413672842E-6</v>
      </c>
      <c r="CR37" s="7">
        <f>((SUMIFS('abrasion emissions'!$M$7:$M$34,'abrasion emissions'!$I$7:$I$34,"PM 2.5",'abrasion emissions'!$J$7:$J$34,"rural",'abrasion emissions'!$K$7:$K$34,"Brake",'abrasion emissions'!$L$7:$L$34,"b")*POWER(('vehicles specifications'!$Q37/1000),(1/SUMIFS('abrasion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specifications'!$P37/1000),(1/SUMIFS('abrasion emissions'!$M$7:$M$34,'abrasion emissions'!$I$7:$I$34,"PM 10",'abrasion emissions'!$J$7:$J$34,"rural",'abrasion emissions'!$K$7:$K$34,"Brake",'abrasion emissions'!$L$7:$L$34,"c")))))/1000000</f>
        <v>1.175724408499676E-6</v>
      </c>
      <c r="CS37" s="7">
        <f>((SUMIFS('abrasion emissions'!$M$7:$M$34,'abrasion emissions'!$I$7:$I$34,"PM 2.5",'abrasion emissions'!$J$7:$J$34,"motorway",'abrasion emissions'!$K$7:$K$34,"Brake",'abrasion emissions'!$L$7:$L$34,"b")*POWER(('vehicles specifications'!$Q37/1000),(1/SUMIFS('abrasion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specifications'!$P37/1000),(1/SUMIFS('abrasion emissions'!$M$7:$M$34,'abrasion emissions'!$I$7:$I$34,"PM 10",'abrasion emissions'!$J$7:$J$34,"motorway",'abrasion emissions'!$K$7:$K$34,"Brake",'abrasion emissions'!$L$7:$L$34,"c")))))/1000000</f>
        <v>2.0372005501270186E-7</v>
      </c>
      <c r="CT37" s="7">
        <f>((SUMIFS('abrasion emissions'!$M$7:$M$38,'abrasion emissions'!$I$7:$I$38,"PM 2.5",'abrasion emissions'!$K$7:$K$38,"Re-susp.",'abrasion emissions'!$L$7:$L$38,"b")*POWER(('vehicles specifications'!$Q37/1000),(1/SUMIFS('abrasion emissions'!$M$7:$M$38,'abrasion emissions'!$I$7:$I$38,"PM 2.5",'abrasion emissions'!$K$7:$K$38,"Re-susp.",'abrasion emissions'!$L$7:$L$38,"c"))))+
(SUMIFS('abrasion emissions'!$M$7:$M$38,'abrasion emissions'!$I$7:$I$38,"PM 10",'abrasion emissions'!$K$7:$K$38,"Re-susp.",'abrasion emissions'!$L$7:$L$38,"b")*POWER(('vehicles specifications'!$Q37/1000),(1/SUMIFS('abrasion emissions'!$M$7:$M$38,'abrasion emissions'!$I$7:$I$38,"PM 10",'abrasion emissions'!$K$7:$K$38,"Re-susp.",'abrasion emissions'!$L$7:$L$38,"c")))))/1000000</f>
        <v>2.121189929715088E-6</v>
      </c>
      <c r="CU37" s="7">
        <f>((SUMIFS('abrasion emissions'!$M$7:$M$38,'abrasion emissions'!$I$7:$I$38,"PM 2.5",'abrasion emissions'!$K$7:$K$38,"Road",'abrasion emissions'!$L$7:$L$38,"b")*POWER(('vehicles specifications'!$Q37/1000),(1/SUMIFS('abrasion emissions'!$M$7:$M$38,'abrasion emissions'!$I$7:$I$38,"PM 2.5",'abrasion emissions'!$K$7:$K$38,"Road",'abrasion emissions'!$L$7:$L$38,"c"))))+
(SUMIFS('abrasion emissions'!$M$7:$M$38,'abrasion emissions'!$I$7:$I$38,"PM 10",'abrasion emissions'!$K$7:$K$38,"Road",'abrasion emissions'!$L$7:$L$38,"b")*POWER(('vehicles specifications'!$Q37/1000),(1/SUMIFS('abrasion emissions'!$M$7:$M$38,'abrasion emissions'!$I$7:$I$38,"PM 10",'abrasion emissions'!$K$7:$K$38,"Road",'abrasion emissions'!$L$7:$L$38,"c")))))/1000000+CT37</f>
        <v>4.3973686458701393E-6</v>
      </c>
      <c r="CV37" s="7">
        <f>(CK37*CN37)+(CL37*CO37)+(CM37*CP37)</f>
        <v>4.3351145553325093E-6</v>
      </c>
      <c r="CW37" s="7">
        <f>(CK37*CQ37)+(CL37*CR37)+(CM37*CS37)</f>
        <v>4.0226741413672842E-6</v>
      </c>
    </row>
    <row r="38">
      <c r="A38" t="str">
        <f>B38&amp;" - "&amp;D38&amp;" - "&amp;IF(I38&lt;&gt;"",I38&amp;" - "&amp;E38,E38)</f>
        <v>Bicycle, electric (&lt;45 km/h) - 2050 - LFP - CH</v>
      </c>
      <c r="B38" t="inlineStr">
        <is>
          <t>Bicycle, electric (&lt;45 km/h)</t>
        </is>
      </c>
      <c r="D38" s="18" t="n">
        <v>2050</v>
      </c>
      <c r="E38" t="inlineStr">
        <is>
          <t>CH</t>
        </is>
      </c>
      <c r="F38" t="inlineStr">
        <is>
          <t>None</t>
        </is>
      </c>
      <c r="G38" t="inlineStr">
        <is>
          <t>vkm</t>
        </is>
      </c>
      <c r="H38" t="inlineStr">
        <is>
          <t>BEV</t>
        </is>
      </c>
      <c r="I38" t="inlineStr">
        <is>
          <t>LFP</t>
        </is>
      </c>
      <c r="J38" t="n">
        <v>30000</v>
      </c>
      <c r="K38" t="n">
        <v>3000</v>
      </c>
      <c r="L38" s="2">
        <f>J38/K38</f>
        <v>10</v>
      </c>
      <c r="M38" t="n">
        <v>1</v>
      </c>
      <c r="N38" t="n">
        <v>75</v>
      </c>
      <c r="O38" t="n">
        <v>1</v>
      </c>
      <c r="P38" s="2">
        <f>SUM(U38,V38,W38,AC38,AF38,AH38)</f>
        <v>31.269999999999996</v>
      </c>
      <c r="Q38" s="2">
        <f>P38+(M38*N38)+O38</f>
        <v>107.27</v>
      </c>
      <c r="R38" t="n">
        <v>0.5</v>
      </c>
      <c r="S38" s="2" t="n">
        <v>19</v>
      </c>
      <c r="T38" s="1" t="n">
        <v>0.07000000000000001</v>
      </c>
      <c r="U38" s="2">
        <f>S38*(1-T38)</f>
        <v>17.669999999999998</v>
      </c>
      <c r="V38" t="n">
        <v>0</v>
      </c>
      <c r="W38" t="n">
        <v>4.6</v>
      </c>
      <c r="X38" s="3" t="n">
        <v>1.5</v>
      </c>
      <c r="Y38" s="1" t="n">
        <v>0.8</v>
      </c>
      <c r="Z38" s="3">
        <f>Y38*X38</f>
        <v>1.2000000000000002</v>
      </c>
      <c r="AA38" s="3">
        <f>IF(I38&lt;&gt;"",X38/INDEX('energy battery'!$B$3:$D$6,MATCH('vehicles specifications'!$D38,'energy battery'!$A$3:$A$6,0),MATCH('vehicles specifications'!$I38,'energy battery'!$B$2:$D$2,0)),"")</f>
        <v>7.5</v>
      </c>
      <c r="AB38" s="3">
        <f>IF(AA38&lt;&gt;"",0.2*AA38,"")</f>
        <v>1.5</v>
      </c>
      <c r="AC38" s="3">
        <f>IF(AA38&lt;&gt;"",AB38+AA38,"")</f>
        <v>9</v>
      </c>
      <c r="AD38" t="n">
        <v>0</v>
      </c>
      <c r="AE38" t="n">
        <v>0</v>
      </c>
      <c r="AF38" t="n">
        <v>0</v>
      </c>
      <c r="AG38" t="n">
        <v>0</v>
      </c>
      <c r="AH38" t="n">
        <v>0</v>
      </c>
      <c r="AI38" t="n">
        <v>0.5</v>
      </c>
      <c r="AJ38" t="n">
        <v>1</v>
      </c>
      <c r="AK38" s="6">
        <f>J38/15000</f>
        <v>2</v>
      </c>
      <c r="AL38">
        <f>0.000537/1000*Q38</f>
        <v>5.7603989999999999E-5</v>
      </c>
      <c r="AM38" t="n">
        <v>0</v>
      </c>
      <c r="AN38" s="2">
        <f>U38</f>
        <v>17.669999999999998</v>
      </c>
      <c r="AO38" s="2">
        <f>SUM(V38:W38)</f>
        <v>4.5999999999999996</v>
      </c>
      <c r="AP38" s="2">
        <f>AC38</f>
        <v>9</v>
      </c>
      <c r="AQ38" s="6" t="inlineStr"/>
      <c r="AR38" s="20" t="n"/>
      <c r="AS38" s="5" t="n">
        <v>0.04530894085938152</v>
      </c>
      <c r="AT38" s="2">
        <f>SUM(Z38,AG38)/(SUM(AQ38,AS38)/3.6)</f>
        <v>95.345420088439695</v>
      </c>
      <c r="AU38" s="5" t="n">
        <v>0</v>
      </c>
      <c r="AV38" s="5" t="n">
        <v>0</v>
      </c>
      <c r="AW38" s="7" t="n">
        <v>0</v>
      </c>
      <c r="AX38" s="7" t="n">
        <v>0</v>
      </c>
      <c r="AY38" s="7" t="n">
        <v>0</v>
      </c>
      <c r="AZ38" s="7" t="n">
        <v>0</v>
      </c>
      <c r="BA38" s="7" t="n">
        <v>0</v>
      </c>
      <c r="BB38" s="7" t="n">
        <v>0</v>
      </c>
      <c r="BC38" s="7" t="n">
        <v>0</v>
      </c>
      <c r="BD38" s="7" t="n">
        <v>0</v>
      </c>
      <c r="BE38" s="7" t="n">
        <v>0</v>
      </c>
      <c r="BF38" s="7" t="n">
        <v>0</v>
      </c>
      <c r="BG38" s="7" t="n">
        <v>0</v>
      </c>
      <c r="BH38" s="7" t="n">
        <v>0</v>
      </c>
      <c r="BI38" s="7" t="n">
        <v>0</v>
      </c>
      <c r="BJ38" s="7" t="n">
        <v>0</v>
      </c>
      <c r="BK38" s="7" t="n">
        <v>0</v>
      </c>
      <c r="BL38" s="7" t="n">
        <v>0</v>
      </c>
      <c r="BM38" s="7" t="n">
        <v>0</v>
      </c>
      <c r="BN38" s="7" t="n">
        <v>0</v>
      </c>
      <c r="BO38" s="7" t="n">
        <v>0</v>
      </c>
      <c r="BP38" s="7" t="n">
        <v>0</v>
      </c>
      <c r="BQ38" s="7" t="n">
        <v>0</v>
      </c>
      <c r="BR38" s="7" t="n">
        <v>0</v>
      </c>
      <c r="BS38" s="7" t="n">
        <v>0</v>
      </c>
      <c r="BT38" s="7" t="n">
        <v>0</v>
      </c>
      <c r="BU38" s="7" t="n">
        <v>0</v>
      </c>
      <c r="BV38" s="7" t="n">
        <v>0</v>
      </c>
      <c r="BW38" s="7" t="n">
        <v>0</v>
      </c>
      <c r="BX38" s="7" t="n">
        <v>0</v>
      </c>
      <c r="BY38" s="7" t="n">
        <v>0</v>
      </c>
      <c r="BZ38" s="7" t="n">
        <v>0</v>
      </c>
      <c r="CA38" s="7" t="n">
        <v>0</v>
      </c>
      <c r="CB38" s="7" t="n">
        <v>0</v>
      </c>
      <c r="CC38" s="7" t="n">
        <v>0</v>
      </c>
      <c r="CD38" s="7" t="n">
        <v>0</v>
      </c>
      <c r="CE38" s="7" t="n">
        <v>0</v>
      </c>
      <c r="CF38" s="7" t="n">
        <v>0</v>
      </c>
      <c r="CG38" s="7" t="n">
        <v>0</v>
      </c>
      <c r="CH38" s="7" t="n">
        <v>0</v>
      </c>
      <c r="CI38" s="7" t="n">
        <v>0</v>
      </c>
      <c r="CJ38" s="7" t="n">
        <v>0</v>
      </c>
      <c r="CK38" s="38">
        <f>VLOOKUP($B38,'abrasion emissions'!$O$7:$R$36,2,FALSE)</f>
        <v>1</v>
      </c>
      <c r="CL38" s="38">
        <f>VLOOKUP($B38,'abrasion emissions'!$O$7:$R$36,3,FALSE)</f>
        <v>0</v>
      </c>
      <c r="CM38" s="38">
        <f>VLOOKUP($B38,'abrasion emissions'!$O$7:$R$36,4,FALSE)</f>
        <v>0</v>
      </c>
      <c r="CN38" s="7">
        <f>((SUMIFS('abrasion emissions'!$M$7:$M$34,'abrasion emissions'!$I$7:$I$34,"PM 2.5",'abrasion emissions'!$J$7:$J$34,"urban",'abrasion emissions'!$K$7:$K$34,"Tyre",'abrasion emissions'!$L$7:$L$34,"b")*POWER(('vehicles specifications'!$Q38/1000),(1/SUMIFS('abrasion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specifications'!$P38/1000),(1/SUMIFS('abrasion emissions'!$M$7:$M$34,'abrasion emissions'!$I$7:$I$34,"PM 10",'abrasion emissions'!$J$7:$J$34,"urban",'abrasion emissions'!$K$7:$K$34,"Tyre",'abrasion emissions'!$L$7:$L$34,"c")))))/1000000</f>
        <v>4.3922694420035416E-6</v>
      </c>
      <c r="CO38" s="7">
        <f>((SUMIFS('abrasion emissions'!$M$7:$M$34,'abrasion emissions'!$I$7:$I$34,"PM 2.5",'abrasion emissions'!$J$7:$J$34,"rural",'abrasion emissions'!$K$7:$K$34,"Tyre",'abrasion emissions'!$L$7:$L$34,"b")*POWER(('vehicles specifications'!$Q38/1000),(1/SUMIFS('abrasion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specifications'!$P38/1000),(1/SUMIFS('abrasion emissions'!$M$7:$M$34,'abrasion emissions'!$I$7:$I$34,"PM 10",'abrasion emissions'!$J$7:$J$34,"rural",'abrasion emissions'!$K$7:$K$34,"Tyre",'abrasion emissions'!$L$7:$L$34,"c")))))/1000000</f>
        <v>3.4221654796364176E-6</v>
      </c>
      <c r="CP38" s="7">
        <f>((SUMIFS('abrasion emissions'!$M$7:$M$34,'abrasion emissions'!$I$7:$I$34,"PM 2.5",'abrasion emissions'!$J$7:$J$34,"motorway",'abrasion emissions'!$K$7:$K$34,"Tyre",'abrasion emissions'!$L$7:$L$34,"b")*POWER(('vehicles specifications'!$Q38/1000),(1/SUMIFS('abrasion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specifications'!$P38/1000),(1/SUMIFS('abrasion emissions'!$M$7:$M$34,'abrasion emissions'!$I$7:$I$34,"PM 10",'abrasion emissions'!$J$7:$J$34,"motorway",'abrasion emissions'!$K$7:$K$34,"Tyre",'abrasion emissions'!$L$7:$L$34,"c")))))/1000000</f>
        <v>2.926029976679209E-6</v>
      </c>
      <c r="CQ38" s="7">
        <f>((SUMIFS('abrasion emissions'!$M$7:$M$34,'abrasion emissions'!$I$7:$I$34,"PM 2.5",'abrasion emissions'!$J$7:$J$34,"urban",'abrasion emissions'!$K$7:$K$34,"Brake",'abrasion emissions'!$L$7:$L$34,"b")*POWER(('vehicles specifications'!$Q38/1000),(1/SUMIFS('abrasion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specifications'!$P38/1000),(1/SUMIFS('abrasion emissions'!$M$7:$M$34,'abrasion emissions'!$I$7:$I$34,"PM 10",'abrasion emissions'!$J$7:$J$34,"urban",'abrasion emissions'!$K$7:$K$34,"Brake",'abrasion emissions'!$L$7:$L$34,"c")))))/1000000</f>
        <v>4.0751477180321837E-6</v>
      </c>
      <c r="CR38" s="7">
        <f>((SUMIFS('abrasion emissions'!$M$7:$M$34,'abrasion emissions'!$I$7:$I$34,"PM 2.5",'abrasion emissions'!$J$7:$J$34,"rural",'abrasion emissions'!$K$7:$K$34,"Brake",'abrasion emissions'!$L$7:$L$34,"b")*POWER(('vehicles specifications'!$Q38/1000),(1/SUMIFS('abrasion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specifications'!$P38/1000),(1/SUMIFS('abrasion emissions'!$M$7:$M$34,'abrasion emissions'!$I$7:$I$34,"PM 10",'abrasion emissions'!$J$7:$J$34,"rural",'abrasion emissions'!$K$7:$K$34,"Brake",'abrasion emissions'!$L$7:$L$34,"c")))))/1000000</f>
        <v>1.1945909477819722E-6</v>
      </c>
      <c r="CS38" s="7">
        <f>((SUMIFS('abrasion emissions'!$M$7:$M$34,'abrasion emissions'!$I$7:$I$34,"PM 2.5",'abrasion emissions'!$J$7:$J$34,"motorway",'abrasion emissions'!$K$7:$K$34,"Brake",'abrasion emissions'!$L$7:$L$34,"b")*POWER(('vehicles specifications'!$Q38/1000),(1/SUMIFS('abrasion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specifications'!$P38/1000),(1/SUMIFS('abrasion emissions'!$M$7:$M$34,'abrasion emissions'!$I$7:$I$34,"PM 10",'abrasion emissions'!$J$7:$J$34,"motorway",'abrasion emissions'!$K$7:$K$34,"Brake",'abrasion emissions'!$L$7:$L$34,"c")))))/1000000</f>
        <v>2.0738882477900456E-7</v>
      </c>
      <c r="CT38" s="7">
        <f>((SUMIFS('abrasion emissions'!$M$7:$M$38,'abrasion emissions'!$I$7:$I$38,"PM 2.5",'abrasion emissions'!$K$7:$K$38,"Re-susp.",'abrasion emissions'!$L$7:$L$38,"b")*POWER(('vehicles specifications'!$Q38/1000),(1/SUMIFS('abrasion emissions'!$M$7:$M$38,'abrasion emissions'!$I$7:$I$38,"PM 2.5",'abrasion emissions'!$K$7:$K$38,"Re-susp.",'abrasion emissions'!$L$7:$L$38,"c"))))+
(SUMIFS('abrasion emissions'!$M$7:$M$38,'abrasion emissions'!$I$7:$I$38,"PM 10",'abrasion emissions'!$K$7:$K$38,"Re-susp.",'abrasion emissions'!$L$7:$L$38,"b")*POWER(('vehicles specifications'!$Q38/1000),(1/SUMIFS('abrasion emissions'!$M$7:$M$38,'abrasion emissions'!$I$7:$I$38,"PM 10",'abrasion emissions'!$K$7:$K$38,"Re-susp.",'abrasion emissions'!$L$7:$L$38,"c")))))/1000000</f>
        <v>2.1550654621148659E-6</v>
      </c>
      <c r="CU38" s="7">
        <f>((SUMIFS('abrasion emissions'!$M$7:$M$38,'abrasion emissions'!$I$7:$I$38,"PM 2.5",'abrasion emissions'!$K$7:$K$38,"Road",'abrasion emissions'!$L$7:$L$38,"b")*POWER(('vehicles specifications'!$Q38/1000),(1/SUMIFS('abrasion emissions'!$M$7:$M$38,'abrasion emissions'!$I$7:$I$38,"PM 2.5",'abrasion emissions'!$K$7:$K$38,"Road",'abrasion emissions'!$L$7:$L$38,"c"))))+
(SUMIFS('abrasion emissions'!$M$7:$M$38,'abrasion emissions'!$I$7:$I$38,"PM 10",'abrasion emissions'!$K$7:$K$38,"Road",'abrasion emissions'!$L$7:$L$38,"b")*POWER(('vehicles specifications'!$Q38/1000),(1/SUMIFS('abrasion emissions'!$M$7:$M$38,'abrasion emissions'!$I$7:$I$38,"PM 10",'abrasion emissions'!$K$7:$K$38,"Road",'abrasion emissions'!$L$7:$L$38,"c")))))/1000000+CT38</f>
        <v>4.4578449846847377E-6</v>
      </c>
      <c r="CV38" s="7">
        <f>(CK38*CN38)+(CL38*CO38)+(CM38*CP38)</f>
        <v>4.3922694420035416E-6</v>
      </c>
      <c r="CW38" s="7">
        <f>(CK38*CQ38)+(CL38*CR38)+(CM38*CS38)</f>
        <v>4.0751477180321837E-6</v>
      </c>
    </row>
    <row r="39">
      <c r="A39" t="str">
        <f>B39&amp;" - "&amp;D39&amp;" - "&amp;IF(I39&lt;&gt;"",I39&amp;" - "&amp;E39,E39)</f>
        <v>Bicycle, battery electric, cargo bike - 2020 - LFP - CH</v>
      </c>
      <c r="B39" t="inlineStr">
        <is>
          <t>Bicycle, battery electric, cargo bike</t>
        </is>
      </c>
      <c r="D39" s="18" t="n">
        <v>2020</v>
      </c>
      <c r="E39" t="inlineStr">
        <is>
          <t>CH</t>
        </is>
      </c>
      <c r="F39" t="inlineStr">
        <is>
          <t>None</t>
        </is>
      </c>
      <c r="G39" t="inlineStr">
        <is>
          <t>vkm</t>
        </is>
      </c>
      <c r="H39" t="inlineStr">
        <is>
          <t>BEV</t>
        </is>
      </c>
      <c r="I39" t="inlineStr">
        <is>
          <t>LFP</t>
        </is>
      </c>
      <c r="J39" t="n">
        <v>20000</v>
      </c>
      <c r="K39" t="n">
        <v>2000</v>
      </c>
      <c r="L39" s="2">
        <f>J39/K39</f>
        <v>10</v>
      </c>
      <c r="M39" t="n">
        <v>1</v>
      </c>
      <c r="N39" t="n">
        <v>75</v>
      </c>
      <c r="O39" t="n">
        <v>50</v>
      </c>
      <c r="P39" s="2">
        <f>SUM(U39,V39,W39,AC39,AF39,AH39)</f>
        <v>46</v>
      </c>
      <c r="Q39" s="2">
        <f>P39+(M39*N39)+O39</f>
        <v>171</v>
      </c>
      <c r="R39" t="n">
        <v>0.25</v>
      </c>
      <c r="S39" s="2" t="n">
        <v>38</v>
      </c>
      <c r="T39" s="1" t="n">
        <v>0</v>
      </c>
      <c r="U39" s="2">
        <f>S39*(1-T39)</f>
        <v>38</v>
      </c>
      <c r="V39" t="n">
        <v>0</v>
      </c>
      <c r="W39" t="n">
        <v>4</v>
      </c>
      <c r="X39" s="3" t="n">
        <v>0.5</v>
      </c>
      <c r="Y39" s="1" t="n">
        <v>0.8</v>
      </c>
      <c r="Z39" s="3">
        <f>Y39*X39</f>
        <v>0.4</v>
      </c>
      <c r="AA39" s="3">
        <f>IF(I39&lt;&gt;"",X39/INDEX('energy battery'!$B$3:$D$6,MATCH('vehicles specifications'!$D39,'energy battery'!$A$3:$A$6,0),MATCH('vehicles specifications'!$I39,'energy battery'!$B$2:$D$2,0)),"")</f>
        <v>3.3333333333333335</v>
      </c>
      <c r="AB39" s="3">
        <f>IF(AA39&lt;&gt;"",0.2*AA39,"")</f>
        <v>0.66666666666666674</v>
      </c>
      <c r="AC39" s="3">
        <f>IF(AA39&lt;&gt;"",AB39+AA39,"")</f>
        <v>4</v>
      </c>
      <c r="AD39" t="n">
        <v>1</v>
      </c>
      <c r="AE39" t="n">
        <v>0</v>
      </c>
      <c r="AF39" t="n">
        <v>0</v>
      </c>
      <c r="AG39" t="n">
        <v>0</v>
      </c>
      <c r="AH39" t="n">
        <v>0</v>
      </c>
      <c r="AI39" t="n">
        <v>0.5</v>
      </c>
      <c r="AJ39" t="n">
        <v>1</v>
      </c>
      <c r="AK39" s="6">
        <f>J39/15000</f>
        <v>1.3333333333333333</v>
      </c>
      <c r="AL39">
        <f>0.000537/1000*Q39</f>
        <v>9.1827E-5</v>
      </c>
      <c r="AM39" t="n">
        <v>0</v>
      </c>
      <c r="AN39" s="2">
        <f>U39</f>
        <v>38</v>
      </c>
      <c r="AO39" s="2">
        <f>SUM(V39:W39)</f>
        <v>4</v>
      </c>
      <c r="AP39" s="2">
        <f>AC39</f>
        <v>4</v>
      </c>
      <c r="AQ39" s="6" t="inlineStr"/>
      <c r="AR39" s="20" t="n"/>
      <c r="AS39" s="5" t="n">
        <v>0.03470832316329021</v>
      </c>
      <c r="AT39" s="2">
        <f>SUM(Z39,AG39)/(SUM(AQ39,AS39)/3.6)</f>
        <v>41.48860759493671</v>
      </c>
      <c r="AU39" s="5" t="n">
        <v>0</v>
      </c>
      <c r="AV39" s="5" t="n">
        <v>0</v>
      </c>
      <c r="AW39" s="7" t="n">
        <v>0</v>
      </c>
      <c r="AX39" s="7" t="n">
        <v>0</v>
      </c>
      <c r="AY39" s="7" t="n">
        <v>0</v>
      </c>
      <c r="AZ39" s="7" t="n">
        <v>0</v>
      </c>
      <c r="BA39" s="7" t="n">
        <v>0</v>
      </c>
      <c r="BB39" s="7" t="n">
        <v>0</v>
      </c>
      <c r="BC39" s="7" t="n">
        <v>0</v>
      </c>
      <c r="BD39" s="7" t="n">
        <v>0</v>
      </c>
      <c r="BE39" s="7" t="n">
        <v>0</v>
      </c>
      <c r="BF39" s="7" t="n">
        <v>0</v>
      </c>
      <c r="BG39" s="7" t="n">
        <v>0</v>
      </c>
      <c r="BH39" s="7" t="n">
        <v>0</v>
      </c>
      <c r="BI39" s="7" t="n">
        <v>0</v>
      </c>
      <c r="BJ39" s="7" t="n">
        <v>0</v>
      </c>
      <c r="BK39" s="7" t="n">
        <v>0</v>
      </c>
      <c r="BL39" s="7" t="n">
        <v>0</v>
      </c>
      <c r="BM39" s="7" t="n">
        <v>0</v>
      </c>
      <c r="BN39" s="7" t="n">
        <v>0</v>
      </c>
      <c r="BO39" s="7" t="n">
        <v>0</v>
      </c>
      <c r="BP39" s="7" t="n">
        <v>0</v>
      </c>
      <c r="BQ39" s="7" t="n">
        <v>0</v>
      </c>
      <c r="BR39" s="7" t="n">
        <v>0</v>
      </c>
      <c r="BS39" s="7" t="n">
        <v>0</v>
      </c>
      <c r="BT39" s="7" t="n">
        <v>0</v>
      </c>
      <c r="BU39" s="7" t="n">
        <v>0</v>
      </c>
      <c r="BV39" s="7" t="n">
        <v>0</v>
      </c>
      <c r="BW39" s="7" t="n">
        <v>0</v>
      </c>
      <c r="BX39" s="7" t="n">
        <v>0</v>
      </c>
      <c r="BY39" s="7" t="n">
        <v>0</v>
      </c>
      <c r="BZ39" s="7" t="n">
        <v>0</v>
      </c>
      <c r="CA39" s="7" t="n">
        <v>0</v>
      </c>
      <c r="CB39" s="7" t="n">
        <v>0</v>
      </c>
      <c r="CC39" s="7" t="n">
        <v>0</v>
      </c>
      <c r="CD39" s="7" t="n">
        <v>0</v>
      </c>
      <c r="CE39" s="7" t="n">
        <v>0</v>
      </c>
      <c r="CF39" s="7" t="n">
        <v>0</v>
      </c>
      <c r="CG39" s="7" t="n">
        <v>0</v>
      </c>
      <c r="CH39" s="7" t="n">
        <v>0</v>
      </c>
      <c r="CI39" s="7" t="n">
        <v>0</v>
      </c>
      <c r="CJ39" s="7" t="n">
        <v>0</v>
      </c>
      <c r="CK39" s="38">
        <f>VLOOKUP($B39,'abrasion emissions'!$O$7:$R$36,2,FALSE)</f>
        <v>1</v>
      </c>
      <c r="CL39" s="38">
        <f>VLOOKUP($B39,'abrasion emissions'!$O$7:$R$36,3,FALSE)</f>
        <v>0</v>
      </c>
      <c r="CM39" s="38">
        <f>VLOOKUP($B39,'abrasion emissions'!$O$7:$R$36,4,FALSE)</f>
        <v>0</v>
      </c>
      <c r="CN39" s="7">
        <f>((SUMIFS('abrasion emissions'!$M$7:$M$34,'abrasion emissions'!$I$7:$I$34,"PM 2.5",'abrasion emissions'!$J$7:$J$34,"urban",'abrasion emissions'!$K$7:$K$34,"Tyre",'abrasion emissions'!$L$7:$L$34,"b")*POWER(('vehicles specifications'!$Q39/1000),(1/SUMIFS('abrasion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specifications'!$P39/1000),(1/SUMIFS('abrasion emissions'!$M$7:$M$34,'abrasion emissions'!$I$7:$I$34,"PM 10",'abrasion emissions'!$J$7:$J$34,"urban",'abrasion emissions'!$K$7:$K$34,"Tyre",'abrasion emissions'!$L$7:$L$34,"c")))))/1000000</f>
        <v>5.3254299086503285E-6</v>
      </c>
      <c r="CO39" s="7">
        <f>((SUMIFS('abrasion emissions'!$M$7:$M$34,'abrasion emissions'!$I$7:$I$34,"PM 2.5",'abrasion emissions'!$J$7:$J$34,"rural",'abrasion emissions'!$K$7:$K$34,"Tyre",'abrasion emissions'!$L$7:$L$34,"b")*POWER(('vehicles specifications'!$Q39/1000),(1/SUMIFS('abrasion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specifications'!$P39/1000),(1/SUMIFS('abrasion emissions'!$M$7:$M$34,'abrasion emissions'!$I$7:$I$34,"PM 10",'abrasion emissions'!$J$7:$J$34,"rural",'abrasion emissions'!$K$7:$K$34,"Tyre",'abrasion emissions'!$L$7:$L$34,"c")))))/1000000</f>
        <v>4.1493991508405939E-6</v>
      </c>
      <c r="CP39" s="7">
        <f>((SUMIFS('abrasion emissions'!$M$7:$M$34,'abrasion emissions'!$I$7:$I$34,"PM 2.5",'abrasion emissions'!$J$7:$J$34,"motorway",'abrasion emissions'!$K$7:$K$34,"Tyre",'abrasion emissions'!$L$7:$L$34,"b")*POWER(('vehicles specifications'!$Q39/1000),(1/SUMIFS('abrasion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specifications'!$P39/1000),(1/SUMIFS('abrasion emissions'!$M$7:$M$34,'abrasion emissions'!$I$7:$I$34,"PM 10",'abrasion emissions'!$J$7:$J$34,"motorway",'abrasion emissions'!$K$7:$K$34,"Tyre",'abrasion emissions'!$L$7:$L$34,"c")))))/1000000</f>
        <v>3.5482750495563533E-6</v>
      </c>
      <c r="CQ39" s="7">
        <f>((SUMIFS('abrasion emissions'!$M$7:$M$34,'abrasion emissions'!$I$7:$I$34,"PM 2.5",'abrasion emissions'!$J$7:$J$34,"urban",'abrasion emissions'!$K$7:$K$34,"Brake",'abrasion emissions'!$L$7:$L$34,"b")*POWER(('vehicles specifications'!$Q39/1000),(1/SUMIFS('abrasion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specifications'!$P39/1000),(1/SUMIFS('abrasion emissions'!$M$7:$M$34,'abrasion emissions'!$I$7:$I$34,"PM 10",'abrasion emissions'!$J$7:$J$34,"urban",'abrasion emissions'!$K$7:$K$34,"Brake",'abrasion emissions'!$L$7:$L$34,"c")))))/1000000</f>
        <v>5.1728534501662442E-6</v>
      </c>
      <c r="CR39" s="7">
        <f>((SUMIFS('abrasion emissions'!$M$7:$M$34,'abrasion emissions'!$I$7:$I$34,"PM 2.5",'abrasion emissions'!$J$7:$J$34,"rural",'abrasion emissions'!$K$7:$K$34,"Brake",'abrasion emissions'!$L$7:$L$34,"b")*POWER(('vehicles specifications'!$Q39/1000),(1/SUMIFS('abrasion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specifications'!$P39/1000),(1/SUMIFS('abrasion emissions'!$M$7:$M$34,'abrasion emissions'!$I$7:$I$34,"PM 10",'abrasion emissions'!$J$7:$J$34,"rural",'abrasion emissions'!$K$7:$K$34,"Brake",'abrasion emissions'!$L$7:$L$34,"c")))))/1000000</f>
        <v>1.6174499899418396E-6</v>
      </c>
      <c r="CS39" s="7">
        <f>((SUMIFS('abrasion emissions'!$M$7:$M$34,'abrasion emissions'!$I$7:$I$34,"PM 2.5",'abrasion emissions'!$J$7:$J$34,"motorway",'abrasion emissions'!$K$7:$K$34,"Brake",'abrasion emissions'!$L$7:$L$34,"b")*POWER(('vehicles specifications'!$Q39/1000),(1/SUMIFS('abrasion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specifications'!$P39/1000),(1/SUMIFS('abrasion emissions'!$M$7:$M$34,'abrasion emissions'!$I$7:$I$34,"PM 10",'abrasion emissions'!$J$7:$J$34,"motorway",'abrasion emissions'!$K$7:$K$34,"Brake",'abrasion emissions'!$L$7:$L$34,"c")))))/1000000</f>
        <v>2.944843882977142E-7</v>
      </c>
      <c r="CT39" s="7">
        <f>((SUMIFS('abrasion emissions'!$M$7:$M$38,'abrasion emissions'!$I$7:$I$38,"PM 2.5",'abrasion emissions'!$K$7:$K$38,"Re-susp.",'abrasion emissions'!$L$7:$L$38,"b")*POWER(('vehicles specifications'!$Q39/1000),(1/SUMIFS('abrasion emissions'!$M$7:$M$38,'abrasion emissions'!$I$7:$I$38,"PM 2.5",'abrasion emissions'!$K$7:$K$38,"Re-susp.",'abrasion emissions'!$L$7:$L$38,"c"))))+
(SUMIFS('abrasion emissions'!$M$7:$M$38,'abrasion emissions'!$I$7:$I$38,"PM 10",'abrasion emissions'!$K$7:$K$38,"Re-susp.",'abrasion emissions'!$L$7:$L$38,"b")*POWER(('vehicles specifications'!$Q39/1000),(1/SUMIFS('abrasion emissions'!$M$7:$M$38,'abrasion emissions'!$I$7:$I$38,"PM 10",'abrasion emissions'!$K$7:$K$38,"Re-susp.",'abrasion emissions'!$L$7:$L$38,"c")))))/1000000</f>
        <v>3.2928169205762391E-6</v>
      </c>
      <c r="CU39" s="7">
        <f>((SUMIFS('abrasion emissions'!$M$7:$M$38,'abrasion emissions'!$I$7:$I$38,"PM 2.5",'abrasion emissions'!$K$7:$K$38,"Road",'abrasion emissions'!$L$7:$L$38,"b")*POWER(('vehicles specifications'!$Q39/1000),(1/SUMIFS('abrasion emissions'!$M$7:$M$38,'abrasion emissions'!$I$7:$I$38,"PM 2.5",'abrasion emissions'!$K$7:$K$38,"Road",'abrasion emissions'!$L$7:$L$38,"c"))))+
(SUMIFS('abrasion emissions'!$M$7:$M$38,'abrasion emissions'!$I$7:$I$38,"PM 10",'abrasion emissions'!$K$7:$K$38,"Road",'abrasion emissions'!$L$7:$L$38,"b")*POWER(('vehicles specifications'!$Q39/1000),(1/SUMIFS('abrasion emissions'!$M$7:$M$38,'abrasion emissions'!$I$7:$I$38,"PM 10",'abrasion emissions'!$K$7:$K$38,"Road",'abrasion emissions'!$L$7:$L$38,"c")))))/1000000+CT39</f>
        <v>6.4352370303012724E-6</v>
      </c>
      <c r="CV39" s="7">
        <f>(CK39*CN39)+(CL39*CO39)+(CM39*CP39)</f>
        <v>5.3254299086503285E-6</v>
      </c>
      <c r="CW39" s="7">
        <f>(CK39*CQ39)+(CL39*CR39)+(CM39*CS39)</f>
        <v>5.1728534501662442E-6</v>
      </c>
    </row>
    <row r="40">
      <c r="A40" t="str">
        <f>B40&amp;" - "&amp;D40&amp;" - "&amp;IF(I40&lt;&gt;"",I40&amp;" - "&amp;E40,E40)</f>
        <v>Bicycle, battery electric, cargo bike - 2030 - LFP - CH</v>
      </c>
      <c r="B40" t="inlineStr">
        <is>
          <t>Bicycle, battery electric, cargo bike</t>
        </is>
      </c>
      <c r="D40" s="18" t="n">
        <v>2030</v>
      </c>
      <c r="E40" t="inlineStr">
        <is>
          <t>CH</t>
        </is>
      </c>
      <c r="F40" t="inlineStr">
        <is>
          <t>None</t>
        </is>
      </c>
      <c r="G40" t="inlineStr">
        <is>
          <t>vkm</t>
        </is>
      </c>
      <c r="H40" t="inlineStr">
        <is>
          <t>BEV</t>
        </is>
      </c>
      <c r="I40" t="inlineStr">
        <is>
          <t>LFP</t>
        </is>
      </c>
      <c r="J40" t="n">
        <v>20000</v>
      </c>
      <c r="K40" t="n">
        <v>2000</v>
      </c>
      <c r="L40" s="2">
        <f>J40/K40</f>
        <v>10</v>
      </c>
      <c r="M40" t="n">
        <v>1</v>
      </c>
      <c r="N40" t="n">
        <v>75</v>
      </c>
      <c r="O40" t="n">
        <v>50</v>
      </c>
      <c r="P40" s="2">
        <f>SUM(U40,V40,W40,AC40,AF40,AH40)</f>
        <v>45.426666666666662</v>
      </c>
      <c r="Q40" s="2">
        <f>P40+(M40*N40)+O40</f>
        <v>170.42666666666668</v>
      </c>
      <c r="R40" t="n">
        <v>0.25</v>
      </c>
      <c r="S40" s="2" t="n">
        <v>38</v>
      </c>
      <c r="T40" s="1" t="n">
        <v>0.03</v>
      </c>
      <c r="U40" s="2">
        <f>S40*(1-T40)</f>
        <v>36.86</v>
      </c>
      <c r="V40" t="n">
        <v>0</v>
      </c>
      <c r="W40" t="n">
        <v>3.9</v>
      </c>
      <c r="X40" s="3" t="n">
        <v>0.7</v>
      </c>
      <c r="Y40" s="1" t="n">
        <v>0.8</v>
      </c>
      <c r="Z40" s="3">
        <f>Y40*X40</f>
        <v>0.55999999999999994</v>
      </c>
      <c r="AA40" s="3">
        <f>IF(I40&lt;&gt;"",X40/INDEX('energy battery'!$B$3:$D$6,MATCH('vehicles specifications'!$D40,'energy battery'!$A$3:$A$6,0),MATCH('vehicles specifications'!$I40,'energy battery'!$B$2:$D$2,0)),"")</f>
        <v>3.8888888888888888</v>
      </c>
      <c r="AB40" s="3">
        <f>IF(AA40&lt;&gt;"",0.2*AA40,"")</f>
        <v>0.77777777777777779</v>
      </c>
      <c r="AC40" s="3">
        <f>IF(AA40&lt;&gt;"",AB40+AA40,"")</f>
        <v>4.666666666666667</v>
      </c>
      <c r="AD40" t="n">
        <v>0.5</v>
      </c>
      <c r="AE40" t="n">
        <v>0</v>
      </c>
      <c r="AF40" t="n">
        <v>0</v>
      </c>
      <c r="AG40" t="n">
        <v>0</v>
      </c>
      <c r="AH40" t="n">
        <v>0</v>
      </c>
      <c r="AI40" t="n">
        <v>0.5</v>
      </c>
      <c r="AJ40" t="n">
        <v>1</v>
      </c>
      <c r="AK40" s="6">
        <f>J40/15000</f>
        <v>1.3333333333333333</v>
      </c>
      <c r="AL40">
        <f>0.000537/1000*Q40</f>
        <v>9.1519120000000011E-5</v>
      </c>
      <c r="AM40" t="n">
        <v>0</v>
      </c>
      <c r="AN40" s="2">
        <f>U40</f>
        <v>36.86</v>
      </c>
      <c r="AO40" s="2">
        <f>SUM(V40:W40)</f>
        <v>3.9</v>
      </c>
      <c r="AP40" s="2">
        <f>AC40</f>
        <v>4.666666666666667</v>
      </c>
      <c r="AQ40" s="6" t="inlineStr"/>
      <c r="AR40" s="20" t="n"/>
      <c r="AS40" s="5" t="n">
        <v>0.03470832316329021</v>
      </c>
      <c r="AT40" s="2">
        <f>SUM(Z40,AG40)/(SUM(AQ40,AS40)/3.6)</f>
        <v>58.084050632911385</v>
      </c>
      <c r="AU40" s="5" t="n">
        <v>0</v>
      </c>
      <c r="AV40" s="5" t="n">
        <v>0</v>
      </c>
      <c r="AW40" s="7" t="n">
        <v>0</v>
      </c>
      <c r="AX40" s="7" t="n">
        <v>0</v>
      </c>
      <c r="AY40" s="7" t="n">
        <v>0</v>
      </c>
      <c r="AZ40" s="7" t="n">
        <v>0</v>
      </c>
      <c r="BA40" s="7" t="n">
        <v>0</v>
      </c>
      <c r="BB40" s="7" t="n">
        <v>0</v>
      </c>
      <c r="BC40" s="7" t="n">
        <v>0</v>
      </c>
      <c r="BD40" s="7" t="n">
        <v>0</v>
      </c>
      <c r="BE40" s="7" t="n">
        <v>0</v>
      </c>
      <c r="BF40" s="7" t="n">
        <v>0</v>
      </c>
      <c r="BG40" s="7" t="n">
        <v>0</v>
      </c>
      <c r="BH40" s="7" t="n">
        <v>0</v>
      </c>
      <c r="BI40" s="7" t="n">
        <v>0</v>
      </c>
      <c r="BJ40" s="7" t="n">
        <v>0</v>
      </c>
      <c r="BK40" s="7" t="n">
        <v>0</v>
      </c>
      <c r="BL40" s="7" t="n">
        <v>0</v>
      </c>
      <c r="BM40" s="7" t="n">
        <v>0</v>
      </c>
      <c r="BN40" s="7" t="n">
        <v>0</v>
      </c>
      <c r="BO40" s="7" t="n">
        <v>0</v>
      </c>
      <c r="BP40" s="7" t="n">
        <v>0</v>
      </c>
      <c r="BQ40" s="7" t="n">
        <v>0</v>
      </c>
      <c r="BR40" s="7" t="n">
        <v>0</v>
      </c>
      <c r="BS40" s="7" t="n">
        <v>0</v>
      </c>
      <c r="BT40" s="7" t="n">
        <v>0</v>
      </c>
      <c r="BU40" s="7" t="n">
        <v>0</v>
      </c>
      <c r="BV40" s="7" t="n">
        <v>0</v>
      </c>
      <c r="BW40" s="7" t="n">
        <v>0</v>
      </c>
      <c r="BX40" s="7" t="n">
        <v>0</v>
      </c>
      <c r="BY40" s="7" t="n">
        <v>0</v>
      </c>
      <c r="BZ40" s="7" t="n">
        <v>0</v>
      </c>
      <c r="CA40" s="7" t="n">
        <v>0</v>
      </c>
      <c r="CB40" s="7" t="n">
        <v>0</v>
      </c>
      <c r="CC40" s="7" t="n">
        <v>0</v>
      </c>
      <c r="CD40" s="7" t="n">
        <v>0</v>
      </c>
      <c r="CE40" s="7" t="n">
        <v>0</v>
      </c>
      <c r="CF40" s="7" t="n">
        <v>0</v>
      </c>
      <c r="CG40" s="7" t="n">
        <v>0</v>
      </c>
      <c r="CH40" s="7" t="n">
        <v>0</v>
      </c>
      <c r="CI40" s="7" t="n">
        <v>0</v>
      </c>
      <c r="CJ40" s="7" t="n">
        <v>0</v>
      </c>
      <c r="CK40" s="38">
        <f>VLOOKUP($B40,'abrasion emissions'!$O$7:$R$36,2,FALSE)</f>
        <v>1</v>
      </c>
      <c r="CL40" s="38">
        <f>VLOOKUP($B40,'abrasion emissions'!$O$7:$R$36,3,FALSE)</f>
        <v>0</v>
      </c>
      <c r="CM40" s="38">
        <f>VLOOKUP($B40,'abrasion emissions'!$O$7:$R$36,4,FALSE)</f>
        <v>0</v>
      </c>
      <c r="CN40" s="7">
        <f>((SUMIFS('abrasion emissions'!$M$7:$M$34,'abrasion emissions'!$I$7:$I$34,"PM 2.5",'abrasion emissions'!$J$7:$J$34,"urban",'abrasion emissions'!$K$7:$K$34,"Tyre",'abrasion emissions'!$L$7:$L$34,"b")*POWER(('vehicles specifications'!$Q40/1000),(1/SUMIFS('abrasion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specifications'!$P40/1000),(1/SUMIFS('abrasion emissions'!$M$7:$M$34,'abrasion emissions'!$I$7:$I$34,"PM 10",'abrasion emissions'!$J$7:$J$34,"urban",'abrasion emissions'!$K$7:$K$34,"Tyre",'abrasion emissions'!$L$7:$L$34,"c")))))/1000000</f>
        <v>5.31160871204398E-6</v>
      </c>
      <c r="CO40" s="7">
        <f>((SUMIFS('abrasion emissions'!$M$7:$M$34,'abrasion emissions'!$I$7:$I$34,"PM 2.5",'abrasion emissions'!$J$7:$J$34,"rural",'abrasion emissions'!$K$7:$K$34,"Tyre",'abrasion emissions'!$L$7:$L$34,"b")*POWER(('vehicles specifications'!$Q40/1000),(1/SUMIFS('abrasion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specifications'!$P40/1000),(1/SUMIFS('abrasion emissions'!$M$7:$M$34,'abrasion emissions'!$I$7:$I$34,"PM 10",'abrasion emissions'!$J$7:$J$34,"rural",'abrasion emissions'!$K$7:$K$34,"Tyre",'abrasion emissions'!$L$7:$L$34,"c")))))/1000000</f>
        <v>4.1386501277591583E-6</v>
      </c>
      <c r="CP40" s="7">
        <f>((SUMIFS('abrasion emissions'!$M$7:$M$34,'abrasion emissions'!$I$7:$I$34,"PM 2.5",'abrasion emissions'!$J$7:$J$34,"motorway",'abrasion emissions'!$K$7:$K$34,"Tyre",'abrasion emissions'!$L$7:$L$34,"b")*POWER(('vehicles specifications'!$Q40/1000),(1/SUMIFS('abrasion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specifications'!$P40/1000),(1/SUMIFS('abrasion emissions'!$M$7:$M$34,'abrasion emissions'!$I$7:$I$34,"PM 10",'abrasion emissions'!$J$7:$J$34,"motorway",'abrasion emissions'!$K$7:$K$34,"Tyre",'abrasion emissions'!$L$7:$L$34,"c")))))/1000000</f>
        <v>3.5391334016493897E-6</v>
      </c>
      <c r="CQ40" s="7">
        <f>((SUMIFS('abrasion emissions'!$M$7:$M$34,'abrasion emissions'!$I$7:$I$34,"PM 2.5",'abrasion emissions'!$J$7:$J$34,"urban",'abrasion emissions'!$K$7:$K$34,"Brake",'abrasion emissions'!$L$7:$L$34,"b")*POWER(('vehicles specifications'!$Q40/1000),(1/SUMIFS('abrasion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specifications'!$P40/1000),(1/SUMIFS('abrasion emissions'!$M$7:$M$34,'abrasion emissions'!$I$7:$I$34,"PM 10",'abrasion emissions'!$J$7:$J$34,"urban",'abrasion emissions'!$K$7:$K$34,"Brake",'abrasion emissions'!$L$7:$L$34,"c")))))/1000000</f>
        <v>5.1597195786025576E-6</v>
      </c>
      <c r="CR40" s="7">
        <f>((SUMIFS('abrasion emissions'!$M$7:$M$34,'abrasion emissions'!$I$7:$I$34,"PM 2.5",'abrasion emissions'!$J$7:$J$34,"rural",'abrasion emissions'!$K$7:$K$34,"Brake",'abrasion emissions'!$L$7:$L$34,"b")*POWER(('vehicles specifications'!$Q40/1000),(1/SUMIFS('abrasion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specifications'!$P40/1000),(1/SUMIFS('abrasion emissions'!$M$7:$M$34,'abrasion emissions'!$I$7:$I$34,"PM 10",'abrasion emissions'!$J$7:$J$34,"rural",'abrasion emissions'!$K$7:$K$34,"Brake",'abrasion emissions'!$L$7:$L$34,"c")))))/1000000</f>
        <v>1.6124252713471049E-6</v>
      </c>
      <c r="CS40" s="7">
        <f>((SUMIFS('abrasion emissions'!$M$7:$M$34,'abrasion emissions'!$I$7:$I$34,"PM 2.5",'abrasion emissions'!$J$7:$J$34,"motorway",'abrasion emissions'!$K$7:$K$34,"Brake",'abrasion emissions'!$L$7:$L$34,"b")*POWER(('vehicles specifications'!$Q40/1000),(1/SUMIFS('abrasion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specifications'!$P40/1000),(1/SUMIFS('abrasion emissions'!$M$7:$M$34,'abrasion emissions'!$I$7:$I$34,"PM 10",'abrasion emissions'!$J$7:$J$34,"motorway",'abrasion emissions'!$K$7:$K$34,"Brake",'abrasion emissions'!$L$7:$L$34,"c")))))/1000000</f>
        <v>2.9346166737242254E-7</v>
      </c>
      <c r="CT40" s="7">
        <f>((SUMIFS('abrasion emissions'!$M$7:$M$38,'abrasion emissions'!$I$7:$I$38,"PM 2.5",'abrasion emissions'!$K$7:$K$38,"Re-susp.",'abrasion emissions'!$L$7:$L$38,"b")*POWER(('vehicles specifications'!$Q40/1000),(1/SUMIFS('abrasion emissions'!$M$7:$M$38,'abrasion emissions'!$I$7:$I$38,"PM 2.5",'abrasion emissions'!$K$7:$K$38,"Re-susp.",'abrasion emissions'!$L$7:$L$38,"c"))))+
(SUMIFS('abrasion emissions'!$M$7:$M$38,'abrasion emissions'!$I$7:$I$38,"PM 10",'abrasion emissions'!$K$7:$K$38,"Re-susp.",'abrasion emissions'!$L$7:$L$38,"b")*POWER(('vehicles specifications'!$Q40/1000),(1/SUMIFS('abrasion emissions'!$M$7:$M$38,'abrasion emissions'!$I$7:$I$38,"PM 10",'abrasion emissions'!$K$7:$K$38,"Re-susp.",'abrasion emissions'!$L$7:$L$38,"c")))))/1000000</f>
        <v>3.2827788037874133E-6</v>
      </c>
      <c r="CU40" s="7">
        <f>((SUMIFS('abrasion emissions'!$M$7:$M$38,'abrasion emissions'!$I$7:$I$38,"PM 2.5",'abrasion emissions'!$K$7:$K$38,"Road",'abrasion emissions'!$L$7:$L$38,"b")*POWER(('vehicles specifications'!$Q40/1000),(1/SUMIFS('abrasion emissions'!$M$7:$M$38,'abrasion emissions'!$I$7:$I$38,"PM 2.5",'abrasion emissions'!$K$7:$K$38,"Road",'abrasion emissions'!$L$7:$L$38,"c"))))+
(SUMIFS('abrasion emissions'!$M$7:$M$38,'abrasion emissions'!$I$7:$I$38,"PM 10",'abrasion emissions'!$K$7:$K$38,"Road",'abrasion emissions'!$L$7:$L$38,"b")*POWER(('vehicles specifications'!$Q40/1000),(1/SUMIFS('abrasion emissions'!$M$7:$M$38,'abrasion emissions'!$I$7:$I$38,"PM 10",'abrasion emissions'!$K$7:$K$38,"Road",'abrasion emissions'!$L$7:$L$38,"c")))))/1000000+CT40</f>
        <v>6.4181709896459926E-6</v>
      </c>
      <c r="CV40" s="7">
        <f>(CK40*CN40)+(CL40*CO40)+(CM40*CP40)</f>
        <v>5.31160871204398E-6</v>
      </c>
      <c r="CW40" s="7">
        <f>(CK40*CQ40)+(CL40*CR40)+(CM40*CS40)</f>
        <v>5.1597195786025576E-6</v>
      </c>
    </row>
    <row r="41">
      <c r="A41" t="str">
        <f>B41&amp;" - "&amp;D41&amp;" - "&amp;IF(I41&lt;&gt;"",I41&amp;" - "&amp;E41,E41)</f>
        <v>Bicycle, battery electric, cargo bike - 2040 - LFP - CH</v>
      </c>
      <c r="B41" t="inlineStr">
        <is>
          <t>Bicycle, battery electric, cargo bike</t>
        </is>
      </c>
      <c r="D41" s="18" t="n">
        <v>2040</v>
      </c>
      <c r="E41" t="inlineStr">
        <is>
          <t>CH</t>
        </is>
      </c>
      <c r="F41" t="inlineStr">
        <is>
          <t>None</t>
        </is>
      </c>
      <c r="G41" t="inlineStr">
        <is>
          <t>vkm</t>
        </is>
      </c>
      <c r="H41" t="inlineStr">
        <is>
          <t>BEV</t>
        </is>
      </c>
      <c r="I41" t="inlineStr">
        <is>
          <t>LFP</t>
        </is>
      </c>
      <c r="J41" t="n">
        <v>20000</v>
      </c>
      <c r="K41" t="n">
        <v>2000</v>
      </c>
      <c r="L41" s="2">
        <f>J41/K41</f>
        <v>10</v>
      </c>
      <c r="M41" t="n">
        <v>1</v>
      </c>
      <c r="N41" t="n">
        <v>75</v>
      </c>
      <c r="O41" t="n">
        <v>50</v>
      </c>
      <c r="P41" s="2">
        <f>SUM(U41,V41,W41,AC41,AF41,AH41)</f>
        <v>45.233333333333334</v>
      </c>
      <c r="Q41" s="2">
        <f>P41+(M41*N41)+O41</f>
        <v>170.23333333333335</v>
      </c>
      <c r="R41" t="n">
        <v>0.25</v>
      </c>
      <c r="S41" s="2" t="n">
        <v>38</v>
      </c>
      <c r="T41" s="1" t="n">
        <v>0.05</v>
      </c>
      <c r="U41" s="2">
        <f>S41*(1-T41)</f>
        <v>36.1</v>
      </c>
      <c r="V41" t="n">
        <v>0</v>
      </c>
      <c r="W41" t="n">
        <v>3.8</v>
      </c>
      <c r="X41" s="3" t="n">
        <v>0.8</v>
      </c>
      <c r="Y41" s="1" t="n">
        <v>0.8</v>
      </c>
      <c r="Z41" s="3">
        <f>Y41*X41</f>
        <v>0.64000000000000012</v>
      </c>
      <c r="AA41" s="3">
        <f>IF(I41&lt;&gt;"",X41/INDEX('energy battery'!$B$3:$D$6,MATCH('vehicles specifications'!$D41,'energy battery'!$A$3:$A$6,0),MATCH('vehicles specifications'!$I41,'energy battery'!$B$2:$D$2,0)),"")</f>
        <v>4.4444444444444446</v>
      </c>
      <c r="AB41" s="3">
        <f>IF(AA41&lt;&gt;"",0.2*AA41,"")</f>
        <v>0.88888888888888895</v>
      </c>
      <c r="AC41" s="3">
        <f>IF(AA41&lt;&gt;"",AB41+AA41,"")</f>
        <v>5.3333333333333339</v>
      </c>
      <c r="AD41" t="n">
        <v>0.25</v>
      </c>
      <c r="AE41" t="n">
        <v>0</v>
      </c>
      <c r="AF41" t="n">
        <v>0</v>
      </c>
      <c r="AG41" t="n">
        <v>0</v>
      </c>
      <c r="AH41" t="n">
        <v>0</v>
      </c>
      <c r="AI41" t="n">
        <v>0.5</v>
      </c>
      <c r="AJ41" t="n">
        <v>1</v>
      </c>
      <c r="AK41" s="6">
        <f>J41/15000</f>
        <v>1.3333333333333333</v>
      </c>
      <c r="AL41">
        <f>0.000537/1000*Q41</f>
        <v>9.1415300000000012E-5</v>
      </c>
      <c r="AM41" t="n">
        <v>0</v>
      </c>
      <c r="AN41" s="2">
        <f>U41</f>
        <v>36.1</v>
      </c>
      <c r="AO41" s="2">
        <f>SUM(V41:W41)</f>
        <v>3.8</v>
      </c>
      <c r="AP41" s="2">
        <f>AC41</f>
        <v>5.3333333333333339</v>
      </c>
      <c r="AQ41" s="6" t="inlineStr"/>
      <c r="AR41" s="20" t="n"/>
      <c r="AS41" s="5" t="n">
        <v>0.03470832316329021</v>
      </c>
      <c r="AT41" s="2">
        <f>SUM(Z41,AG41)/(SUM(AQ41,AS41)/3.6)</f>
        <v>66.381772151898744</v>
      </c>
      <c r="AU41" s="5" t="n">
        <v>0</v>
      </c>
      <c r="AV41" s="5" t="n">
        <v>0</v>
      </c>
      <c r="AW41" s="7" t="n">
        <v>0</v>
      </c>
      <c r="AX41" s="7" t="n">
        <v>0</v>
      </c>
      <c r="AY41" s="7" t="n">
        <v>0</v>
      </c>
      <c r="AZ41" s="7" t="n">
        <v>0</v>
      </c>
      <c r="BA41" s="7" t="n">
        <v>0</v>
      </c>
      <c r="BB41" s="7" t="n">
        <v>0</v>
      </c>
      <c r="BC41" s="7" t="n">
        <v>0</v>
      </c>
      <c r="BD41" s="7" t="n">
        <v>0</v>
      </c>
      <c r="BE41" s="7" t="n">
        <v>0</v>
      </c>
      <c r="BF41" s="7" t="n">
        <v>0</v>
      </c>
      <c r="BG41" s="7" t="n">
        <v>0</v>
      </c>
      <c r="BH41" s="7" t="n">
        <v>0</v>
      </c>
      <c r="BI41" s="7" t="n">
        <v>0</v>
      </c>
      <c r="BJ41" s="7" t="n">
        <v>0</v>
      </c>
      <c r="BK41" s="7" t="n">
        <v>0</v>
      </c>
      <c r="BL41" s="7" t="n">
        <v>0</v>
      </c>
      <c r="BM41" s="7" t="n">
        <v>0</v>
      </c>
      <c r="BN41" s="7" t="n">
        <v>0</v>
      </c>
      <c r="BO41" s="7" t="n">
        <v>0</v>
      </c>
      <c r="BP41" s="7" t="n">
        <v>0</v>
      </c>
      <c r="BQ41" s="7" t="n">
        <v>0</v>
      </c>
      <c r="BR41" s="7" t="n">
        <v>0</v>
      </c>
      <c r="BS41" s="7" t="n">
        <v>0</v>
      </c>
      <c r="BT41" s="7" t="n">
        <v>0</v>
      </c>
      <c r="BU41" s="7" t="n">
        <v>0</v>
      </c>
      <c r="BV41" s="7" t="n">
        <v>0</v>
      </c>
      <c r="BW41" s="7" t="n">
        <v>0</v>
      </c>
      <c r="BX41" s="7" t="n">
        <v>0</v>
      </c>
      <c r="BY41" s="7" t="n">
        <v>0</v>
      </c>
      <c r="BZ41" s="7" t="n">
        <v>0</v>
      </c>
      <c r="CA41" s="7" t="n">
        <v>0</v>
      </c>
      <c r="CB41" s="7" t="n">
        <v>0</v>
      </c>
      <c r="CC41" s="7" t="n">
        <v>0</v>
      </c>
      <c r="CD41" s="7" t="n">
        <v>0</v>
      </c>
      <c r="CE41" s="7" t="n">
        <v>0</v>
      </c>
      <c r="CF41" s="7" t="n">
        <v>0</v>
      </c>
      <c r="CG41" s="7" t="n">
        <v>0</v>
      </c>
      <c r="CH41" s="7" t="n">
        <v>0</v>
      </c>
      <c r="CI41" s="7" t="n">
        <v>0</v>
      </c>
      <c r="CJ41" s="7" t="n">
        <v>0</v>
      </c>
      <c r="CK41" s="38">
        <f>VLOOKUP($B41,'abrasion emissions'!$O$7:$R$36,2,FALSE)</f>
        <v>1</v>
      </c>
      <c r="CL41" s="38">
        <f>VLOOKUP($B41,'abrasion emissions'!$O$7:$R$36,3,FALSE)</f>
        <v>0</v>
      </c>
      <c r="CM41" s="38">
        <f>VLOOKUP($B41,'abrasion emissions'!$O$7:$R$36,4,FALSE)</f>
        <v>0</v>
      </c>
      <c r="CN41" s="7">
        <f>((SUMIFS('abrasion emissions'!$M$7:$M$34,'abrasion emissions'!$I$7:$I$34,"PM 2.5",'abrasion emissions'!$J$7:$J$34,"urban",'abrasion emissions'!$K$7:$K$34,"Tyre",'abrasion emissions'!$L$7:$L$34,"b")*POWER(('vehicles specifications'!$Q41/1000),(1/SUMIFS('abrasion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specifications'!$P41/1000),(1/SUMIFS('abrasion emissions'!$M$7:$M$34,'abrasion emissions'!$I$7:$I$34,"PM 10",'abrasion emissions'!$J$7:$J$34,"urban",'abrasion emissions'!$K$7:$K$34,"Tyre",'abrasion emissions'!$L$7:$L$34,"c")))))/1000000</f>
        <v>5.3069324066711127E-6</v>
      </c>
      <c r="CO41" s="7">
        <f>((SUMIFS('abrasion emissions'!$M$7:$M$34,'abrasion emissions'!$I$7:$I$34,"PM 2.5",'abrasion emissions'!$J$7:$J$34,"rural",'abrasion emissions'!$K$7:$K$34,"Tyre",'abrasion emissions'!$L$7:$L$34,"b")*POWER(('vehicles specifications'!$Q41/1000),(1/SUMIFS('abrasion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specifications'!$P41/1000),(1/SUMIFS('abrasion emissions'!$M$7:$M$34,'abrasion emissions'!$I$7:$I$34,"PM 10",'abrasion emissions'!$J$7:$J$34,"rural",'abrasion emissions'!$K$7:$K$34,"Tyre",'abrasion emissions'!$L$7:$L$34,"c")))))/1000000</f>
        <v>4.1350132889564291E-6</v>
      </c>
      <c r="CP41" s="7">
        <f>((SUMIFS('abrasion emissions'!$M$7:$M$34,'abrasion emissions'!$I$7:$I$34,"PM 2.5",'abrasion emissions'!$J$7:$J$34,"motorway",'abrasion emissions'!$K$7:$K$34,"Tyre",'abrasion emissions'!$L$7:$L$34,"b")*POWER(('vehicles specifications'!$Q41/1000),(1/SUMIFS('abrasion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specifications'!$P41/1000),(1/SUMIFS('abrasion emissions'!$M$7:$M$34,'abrasion emissions'!$I$7:$I$34,"PM 10",'abrasion emissions'!$J$7:$J$34,"motorway",'abrasion emissions'!$K$7:$K$34,"Tyre",'abrasion emissions'!$L$7:$L$34,"c")))))/1000000</f>
        <v>3.5360404498144495E-6</v>
      </c>
      <c r="CQ41" s="7">
        <f>((SUMIFS('abrasion emissions'!$M$7:$M$34,'abrasion emissions'!$I$7:$I$34,"PM 2.5",'abrasion emissions'!$J$7:$J$34,"urban",'abrasion emissions'!$K$7:$K$34,"Brake",'abrasion emissions'!$L$7:$L$34,"b")*POWER(('vehicles specifications'!$Q41/1000),(1/SUMIFS('abrasion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specifications'!$P41/1000),(1/SUMIFS('abrasion emissions'!$M$7:$M$34,'abrasion emissions'!$I$7:$I$34,"PM 10",'abrasion emissions'!$J$7:$J$34,"urban",'abrasion emissions'!$K$7:$K$34,"Brake",'abrasion emissions'!$L$7:$L$34,"c")))))/1000000</f>
        <v>5.1552806020513532E-6</v>
      </c>
      <c r="CR41" s="7">
        <f>((SUMIFS('abrasion emissions'!$M$7:$M$34,'abrasion emissions'!$I$7:$I$34,"PM 2.5",'abrasion emissions'!$J$7:$J$34,"rural",'abrasion emissions'!$K$7:$K$34,"Brake",'abrasion emissions'!$L$7:$L$34,"b")*POWER(('vehicles specifications'!$Q41/1000),(1/SUMIFS('abrasion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specifications'!$P41/1000),(1/SUMIFS('abrasion emissions'!$M$7:$M$34,'abrasion emissions'!$I$7:$I$34,"PM 10",'abrasion emissions'!$J$7:$J$34,"rural",'abrasion emissions'!$K$7:$K$34,"Brake",'abrasion emissions'!$L$7:$L$34,"c")))))/1000000</f>
        <v>1.6107282837570491E-6</v>
      </c>
      <c r="CS41" s="7">
        <f>((SUMIFS('abrasion emissions'!$M$7:$M$34,'abrasion emissions'!$I$7:$I$34,"PM 2.5",'abrasion emissions'!$J$7:$J$34,"motorway",'abrasion emissions'!$K$7:$K$34,"Brake",'abrasion emissions'!$L$7:$L$34,"b")*POWER(('vehicles specifications'!$Q41/1000),(1/SUMIFS('abrasion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specifications'!$P41/1000),(1/SUMIFS('abrasion emissions'!$M$7:$M$34,'abrasion emissions'!$I$7:$I$34,"PM 10",'abrasion emissions'!$J$7:$J$34,"motorway",'abrasion emissions'!$K$7:$K$34,"Brake",'abrasion emissions'!$L$7:$L$34,"c")))))/1000000</f>
        <v>2.9311644471204378E-7</v>
      </c>
      <c r="CT41" s="7">
        <f>((SUMIFS('abrasion emissions'!$M$7:$M$38,'abrasion emissions'!$I$7:$I$38,"PM 2.5",'abrasion emissions'!$K$7:$K$38,"Re-susp.",'abrasion emissions'!$L$7:$L$38,"b")*POWER(('vehicles specifications'!$Q41/1000),(1/SUMIFS('abrasion emissions'!$M$7:$M$38,'abrasion emissions'!$I$7:$I$38,"PM 2.5",'abrasion emissions'!$K$7:$K$38,"Re-susp.",'abrasion emissions'!$L$7:$L$38,"c"))))+
(SUMIFS('abrasion emissions'!$M$7:$M$38,'abrasion emissions'!$I$7:$I$38,"PM 10",'abrasion emissions'!$K$7:$K$38,"Re-susp.",'abrasion emissions'!$L$7:$L$38,"b")*POWER(('vehicles specifications'!$Q41/1000),(1/SUMIFS('abrasion emissions'!$M$7:$M$38,'abrasion emissions'!$I$7:$I$38,"PM 10",'abrasion emissions'!$K$7:$K$38,"Re-susp.",'abrasion emissions'!$L$7:$L$38,"c")))))/1000000</f>
        <v>3.2793931657361068E-6</v>
      </c>
      <c r="CU41" s="7">
        <f>((SUMIFS('abrasion emissions'!$M$7:$M$38,'abrasion emissions'!$I$7:$I$38,"PM 2.5",'abrasion emissions'!$K$7:$K$38,"Road",'abrasion emissions'!$L$7:$L$38,"b")*POWER(('vehicles specifications'!$Q41/1000),(1/SUMIFS('abrasion emissions'!$M$7:$M$38,'abrasion emissions'!$I$7:$I$38,"PM 2.5",'abrasion emissions'!$K$7:$K$38,"Road",'abrasion emissions'!$L$7:$L$38,"c"))))+
(SUMIFS('abrasion emissions'!$M$7:$M$38,'abrasion emissions'!$I$7:$I$38,"PM 10",'abrasion emissions'!$K$7:$K$38,"Road",'abrasion emissions'!$L$7:$L$38,"b")*POWER(('vehicles specifications'!$Q41/1000),(1/SUMIFS('abrasion emissions'!$M$7:$M$38,'abrasion emissions'!$I$7:$I$38,"PM 10",'abrasion emissions'!$K$7:$K$38,"Road",'abrasion emissions'!$L$7:$L$38,"c")))))/1000000+CT41</f>
        <v>6.4124136942294567E-6</v>
      </c>
      <c r="CV41" s="7">
        <f>(CK41*CN41)+(CL41*CO41)+(CM41*CP41)</f>
        <v>5.3069324066711127E-6</v>
      </c>
      <c r="CW41" s="7">
        <f>(CK41*CQ41)+(CL41*CR41)+(CM41*CS41)</f>
        <v>5.1552806020513532E-6</v>
      </c>
    </row>
    <row r="42">
      <c r="A42" t="str">
        <f>B42&amp;" - "&amp;D42&amp;" - "&amp;IF(I42&lt;&gt;"",I42&amp;" - "&amp;E42,E42)</f>
        <v>Bicycle, battery electric, cargo bike - 2050 - LFP - CH</v>
      </c>
      <c r="B42" t="inlineStr">
        <is>
          <t>Bicycle, battery electric, cargo bike</t>
        </is>
      </c>
      <c r="D42" s="18" t="n">
        <v>2050</v>
      </c>
      <c r="E42" t="inlineStr">
        <is>
          <t>CH</t>
        </is>
      </c>
      <c r="F42" t="inlineStr">
        <is>
          <t>None</t>
        </is>
      </c>
      <c r="G42" t="inlineStr">
        <is>
          <t>vkm</t>
        </is>
      </c>
      <c r="H42" t="inlineStr">
        <is>
          <t>BEV</t>
        </is>
      </c>
      <c r="I42" t="inlineStr">
        <is>
          <t>LFP</t>
        </is>
      </c>
      <c r="J42" t="n">
        <v>20000</v>
      </c>
      <c r="K42" t="n">
        <v>2000</v>
      </c>
      <c r="L42" s="2">
        <f>J42/K42</f>
        <v>10</v>
      </c>
      <c r="M42" t="n">
        <v>1</v>
      </c>
      <c r="N42" t="n">
        <v>75</v>
      </c>
      <c r="O42" t="n">
        <v>50</v>
      </c>
      <c r="P42" s="2">
        <f>SUM(U42,V42,W42,AC42,AF42,AH42)</f>
        <v>45.04</v>
      </c>
      <c r="Q42" s="2">
        <f>P42+(M42*N42)+O42</f>
        <v>170.04</v>
      </c>
      <c r="R42" t="n">
        <v>0.25</v>
      </c>
      <c r="S42" s="2" t="n">
        <v>38</v>
      </c>
      <c r="T42" s="1" t="n">
        <v>0.07000000000000001</v>
      </c>
      <c r="U42" s="2">
        <f>S42*(1-T42)</f>
        <v>35.339999999999996</v>
      </c>
      <c r="V42" t="n">
        <v>0</v>
      </c>
      <c r="W42" t="n">
        <v>3.7</v>
      </c>
      <c r="X42" s="3" t="n">
        <v>1</v>
      </c>
      <c r="Y42" s="1" t="n">
        <v>0.8</v>
      </c>
      <c r="Z42" s="3">
        <f>Y42*X42</f>
        <v>0.8</v>
      </c>
      <c r="AA42" s="3">
        <f>IF(I42&lt;&gt;"",X42/INDEX('energy battery'!$B$3:$D$6,MATCH('vehicles specifications'!$D42,'energy battery'!$A$3:$A$6,0),MATCH('vehicles specifications'!$I42,'energy battery'!$B$2:$D$2,0)),"")</f>
        <v>5</v>
      </c>
      <c r="AB42" s="3">
        <f>IF(AA42&lt;&gt;"",0.2*AA42,"")</f>
        <v>1</v>
      </c>
      <c r="AC42" s="3">
        <f>IF(AA42&lt;&gt;"",AB42+AA42,"")</f>
        <v>6</v>
      </c>
      <c r="AD42" t="n">
        <v>0</v>
      </c>
      <c r="AE42" t="n">
        <v>0</v>
      </c>
      <c r="AF42" t="n">
        <v>0</v>
      </c>
      <c r="AG42" t="n">
        <v>0</v>
      </c>
      <c r="AH42" t="n">
        <v>0</v>
      </c>
      <c r="AI42" t="n">
        <v>0.5</v>
      </c>
      <c r="AJ42" t="n">
        <v>1</v>
      </c>
      <c r="AK42" s="6">
        <f>J42/15000</f>
        <v>1.3333333333333333</v>
      </c>
      <c r="AL42">
        <f>0.000537/1000*Q42</f>
        <v>9.131148E-5</v>
      </c>
      <c r="AM42" t="n">
        <v>0</v>
      </c>
      <c r="AN42" s="2">
        <f>U42</f>
        <v>35.339999999999996</v>
      </c>
      <c r="AO42" s="2">
        <f>SUM(V42:W42)</f>
        <v>3.7</v>
      </c>
      <c r="AP42" s="2">
        <f>AC42</f>
        <v>6</v>
      </c>
      <c r="AQ42" s="6" t="inlineStr"/>
      <c r="AR42" s="20" t="n"/>
      <c r="AS42" s="5" t="n">
        <v>0.03470832316329021</v>
      </c>
      <c r="AT42" s="2">
        <f>SUM(Z42,AG42)/(SUM(AQ42,AS42)/3.6)</f>
        <v>82.977215189873419</v>
      </c>
      <c r="AU42" s="5" t="n">
        <v>0</v>
      </c>
      <c r="AV42" s="5" t="n">
        <v>0</v>
      </c>
      <c r="AW42" s="7" t="n">
        <v>0</v>
      </c>
      <c r="AX42" s="7" t="n">
        <v>0</v>
      </c>
      <c r="AY42" s="7" t="n">
        <v>0</v>
      </c>
      <c r="AZ42" s="7" t="n">
        <v>0</v>
      </c>
      <c r="BA42" s="7" t="n">
        <v>0</v>
      </c>
      <c r="BB42" s="7" t="n">
        <v>0</v>
      </c>
      <c r="BC42" s="7" t="n">
        <v>0</v>
      </c>
      <c r="BD42" s="7" t="n">
        <v>0</v>
      </c>
      <c r="BE42" s="7" t="n">
        <v>0</v>
      </c>
      <c r="BF42" s="7" t="n">
        <v>0</v>
      </c>
      <c r="BG42" s="7" t="n">
        <v>0</v>
      </c>
      <c r="BH42" s="7" t="n">
        <v>0</v>
      </c>
      <c r="BI42" s="7" t="n">
        <v>0</v>
      </c>
      <c r="BJ42" s="7" t="n">
        <v>0</v>
      </c>
      <c r="BK42" s="7" t="n">
        <v>0</v>
      </c>
      <c r="BL42" s="7" t="n">
        <v>0</v>
      </c>
      <c r="BM42" s="7" t="n">
        <v>0</v>
      </c>
      <c r="BN42" s="7" t="n">
        <v>0</v>
      </c>
      <c r="BO42" s="7" t="n">
        <v>0</v>
      </c>
      <c r="BP42" s="7" t="n">
        <v>0</v>
      </c>
      <c r="BQ42" s="7" t="n">
        <v>0</v>
      </c>
      <c r="BR42" s="7" t="n">
        <v>0</v>
      </c>
      <c r="BS42" s="7" t="n">
        <v>0</v>
      </c>
      <c r="BT42" s="7" t="n">
        <v>0</v>
      </c>
      <c r="BU42" s="7" t="n">
        <v>0</v>
      </c>
      <c r="BV42" s="7" t="n">
        <v>0</v>
      </c>
      <c r="BW42" s="7" t="n">
        <v>0</v>
      </c>
      <c r="BX42" s="7" t="n">
        <v>0</v>
      </c>
      <c r="BY42" s="7" t="n">
        <v>0</v>
      </c>
      <c r="BZ42" s="7" t="n">
        <v>0</v>
      </c>
      <c r="CA42" s="7" t="n">
        <v>0</v>
      </c>
      <c r="CB42" s="7" t="n">
        <v>0</v>
      </c>
      <c r="CC42" s="7" t="n">
        <v>0</v>
      </c>
      <c r="CD42" s="7" t="n">
        <v>0</v>
      </c>
      <c r="CE42" s="7" t="n">
        <v>0</v>
      </c>
      <c r="CF42" s="7" t="n">
        <v>0</v>
      </c>
      <c r="CG42" s="7" t="n">
        <v>0</v>
      </c>
      <c r="CH42" s="7" t="n">
        <v>0</v>
      </c>
      <c r="CI42" s="7" t="n">
        <v>0</v>
      </c>
      <c r="CJ42" s="7" t="n">
        <v>0</v>
      </c>
      <c r="CK42" s="38">
        <f>VLOOKUP($B42,'abrasion emissions'!$O$7:$R$36,2,FALSE)</f>
        <v>1</v>
      </c>
      <c r="CL42" s="38">
        <f>VLOOKUP($B42,'abrasion emissions'!$O$7:$R$36,3,FALSE)</f>
        <v>0</v>
      </c>
      <c r="CM42" s="38">
        <f>VLOOKUP($B42,'abrasion emissions'!$O$7:$R$36,4,FALSE)</f>
        <v>0</v>
      </c>
      <c r="CN42" s="7">
        <f>((SUMIFS('abrasion emissions'!$M$7:$M$34,'abrasion emissions'!$I$7:$I$34,"PM 2.5",'abrasion emissions'!$J$7:$J$34,"urban",'abrasion emissions'!$K$7:$K$34,"Tyre",'abrasion emissions'!$L$7:$L$34,"b")*POWER(('vehicles specifications'!$Q42/1000),(1/SUMIFS('abrasion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specifications'!$P42/1000),(1/SUMIFS('abrasion emissions'!$M$7:$M$34,'abrasion emissions'!$I$7:$I$34,"PM 10",'abrasion emissions'!$J$7:$J$34,"urban",'abrasion emissions'!$K$7:$K$34,"Tyre",'abrasion emissions'!$L$7:$L$34,"c")))))/1000000</f>
        <v>5.3022481207505905E-6</v>
      </c>
      <c r="CO42" s="7">
        <f>((SUMIFS('abrasion emissions'!$M$7:$M$34,'abrasion emissions'!$I$7:$I$34,"PM 2.5",'abrasion emissions'!$J$7:$J$34,"rural",'abrasion emissions'!$K$7:$K$34,"Tyre",'abrasion emissions'!$L$7:$L$34,"b")*POWER(('vehicles specifications'!$Q42/1000),(1/SUMIFS('abrasion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specifications'!$P42/1000),(1/SUMIFS('abrasion emissions'!$M$7:$M$34,'abrasion emissions'!$I$7:$I$34,"PM 10",'abrasion emissions'!$J$7:$J$34,"rural",'abrasion emissions'!$K$7:$K$34,"Tyre",'abrasion emissions'!$L$7:$L$34,"c")))))/1000000</f>
        <v>4.1313702527817513E-6</v>
      </c>
      <c r="CP42" s="7">
        <f>((SUMIFS('abrasion emissions'!$M$7:$M$34,'abrasion emissions'!$I$7:$I$34,"PM 2.5",'abrasion emissions'!$J$7:$J$34,"motorway",'abrasion emissions'!$K$7:$K$34,"Tyre",'abrasion emissions'!$L$7:$L$34,"b")*POWER(('vehicles specifications'!$Q42/1000),(1/SUMIFS('abrasion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specifications'!$P42/1000),(1/SUMIFS('abrasion emissions'!$M$7:$M$34,'abrasion emissions'!$I$7:$I$34,"PM 10",'abrasion emissions'!$J$7:$J$34,"motorway",'abrasion emissions'!$K$7:$K$34,"Tyre",'abrasion emissions'!$L$7:$L$34,"c")))))/1000000</f>
        <v>3.5329422506170095E-6</v>
      </c>
      <c r="CQ42" s="7">
        <f>((SUMIFS('abrasion emissions'!$M$7:$M$34,'abrasion emissions'!$I$7:$I$34,"PM 2.5",'abrasion emissions'!$J$7:$J$34,"urban",'abrasion emissions'!$K$7:$K$34,"Brake",'abrasion emissions'!$L$7:$L$34,"b")*POWER(('vehicles specifications'!$Q42/1000),(1/SUMIFS('abrasion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specifications'!$P42/1000),(1/SUMIFS('abrasion emissions'!$M$7:$M$34,'abrasion emissions'!$I$7:$I$34,"PM 10",'abrasion emissions'!$J$7:$J$34,"urban",'abrasion emissions'!$K$7:$K$34,"Brake",'abrasion emissions'!$L$7:$L$34,"c")))))/1000000</f>
        <v>5.1508364825503638E-6</v>
      </c>
      <c r="CR42" s="7">
        <f>((SUMIFS('abrasion emissions'!$M$7:$M$34,'abrasion emissions'!$I$7:$I$34,"PM 2.5",'abrasion emissions'!$J$7:$J$34,"rural",'abrasion emissions'!$K$7:$K$34,"Brake",'abrasion emissions'!$L$7:$L$34,"b")*POWER(('vehicles specifications'!$Q42/1000),(1/SUMIFS('abrasion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specifications'!$P42/1000),(1/SUMIFS('abrasion emissions'!$M$7:$M$34,'abrasion emissions'!$I$7:$I$34,"PM 10",'abrasion emissions'!$J$7:$J$34,"rural",'abrasion emissions'!$K$7:$K$34,"Brake",'abrasion emissions'!$L$7:$L$34,"c")))))/1000000</f>
        <v>1.6090299723133019E-6</v>
      </c>
      <c r="CS42" s="7">
        <f>((SUMIFS('abrasion emissions'!$M$7:$M$34,'abrasion emissions'!$I$7:$I$34,"PM 2.5",'abrasion emissions'!$J$7:$J$34,"motorway",'abrasion emissions'!$K$7:$K$34,"Brake",'abrasion emissions'!$L$7:$L$34,"b")*POWER(('vehicles specifications'!$Q42/1000),(1/SUMIFS('abrasion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specifications'!$P42/1000),(1/SUMIFS('abrasion emissions'!$M$7:$M$34,'abrasion emissions'!$I$7:$I$34,"PM 10",'abrasion emissions'!$J$7:$J$34,"motorway",'abrasion emissions'!$K$7:$K$34,"Brake",'abrasion emissions'!$L$7:$L$34,"c")))))/1000000</f>
        <v>2.9277104352806159E-7</v>
      </c>
      <c r="CT42" s="7">
        <f>((SUMIFS('abrasion emissions'!$M$7:$M$38,'abrasion emissions'!$I$7:$I$38,"PM 2.5",'abrasion emissions'!$K$7:$K$38,"Re-susp.",'abrasion emissions'!$L$7:$L$38,"b")*POWER(('vehicles specifications'!$Q42/1000),(1/SUMIFS('abrasion emissions'!$M$7:$M$38,'abrasion emissions'!$I$7:$I$38,"PM 2.5",'abrasion emissions'!$K$7:$K$38,"Re-susp.",'abrasion emissions'!$L$7:$L$38,"c"))))+
(SUMIFS('abrasion emissions'!$M$7:$M$38,'abrasion emissions'!$I$7:$I$38,"PM 10",'abrasion emissions'!$K$7:$K$38,"Re-susp.",'abrasion emissions'!$L$7:$L$38,"b")*POWER(('vehicles specifications'!$Q42/1000),(1/SUMIFS('abrasion emissions'!$M$7:$M$38,'abrasion emissions'!$I$7:$I$38,"PM 10",'abrasion emissions'!$K$7:$K$38,"Re-susp.",'abrasion emissions'!$L$7:$L$38,"c")))))/1000000</f>
        <v>3.276007178116135E-6</v>
      </c>
      <c r="CU42" s="7">
        <f>((SUMIFS('abrasion emissions'!$M$7:$M$38,'abrasion emissions'!$I$7:$I$38,"PM 2.5",'abrasion emissions'!$K$7:$K$38,"Road",'abrasion emissions'!$L$7:$L$38,"b")*POWER(('vehicles specifications'!$Q42/1000),(1/SUMIFS('abrasion emissions'!$M$7:$M$38,'abrasion emissions'!$I$7:$I$38,"PM 2.5",'abrasion emissions'!$K$7:$K$38,"Road",'abrasion emissions'!$L$7:$L$38,"c"))))+
(SUMIFS('abrasion emissions'!$M$7:$M$38,'abrasion emissions'!$I$7:$I$38,"PM 10",'abrasion emissions'!$K$7:$K$38,"Road",'abrasion emissions'!$L$7:$L$38,"b")*POWER(('vehicles specifications'!$Q42/1000),(1/SUMIFS('abrasion emissions'!$M$7:$M$38,'abrasion emissions'!$I$7:$I$38,"PM 10",'abrasion emissions'!$K$7:$K$38,"Road",'abrasion emissions'!$L$7:$L$38,"c")))))/1000000+CT42</f>
        <v>6.4066551512467225E-6</v>
      </c>
      <c r="CV42" s="7">
        <f>(CK42*CN42)+(CL42*CO42)+(CM42*CP42)</f>
        <v>5.3022481207505905E-6</v>
      </c>
      <c r="CW42" s="7">
        <f>(CK42*CQ42)+(CL42*CR42)+(CM42*CS42)</f>
        <v>5.1508364825503638E-6</v>
      </c>
    </row>
    <row r="43">
      <c r="A43" t="str">
        <f>B43&amp;" - "&amp;D43&amp;" - "&amp;IF(I43&lt;&gt;"",I43&amp;" - "&amp;E43,E43)</f>
        <v>Bicycle, electric (&lt;25 km/h) - 2020 - NCA - CH</v>
      </c>
      <c r="B43" t="inlineStr">
        <is>
          <t>Bicycle, electric (&lt;25 km/h)</t>
        </is>
      </c>
      <c r="D43" s="18" t="n">
        <v>2020</v>
      </c>
      <c r="E43" t="inlineStr">
        <is>
          <t>CH</t>
        </is>
      </c>
      <c r="F43" t="inlineStr">
        <is>
          <t>None</t>
        </is>
      </c>
      <c r="G43" t="inlineStr">
        <is>
          <t>vkm</t>
        </is>
      </c>
      <c r="H43" t="inlineStr">
        <is>
          <t>BEV</t>
        </is>
      </c>
      <c r="I43" t="inlineStr">
        <is>
          <t>NCA</t>
        </is>
      </c>
      <c r="J43" t="n">
        <v>20000</v>
      </c>
      <c r="K43" t="n">
        <v>2000</v>
      </c>
      <c r="L43" s="2">
        <f>J43/K43</f>
        <v>10</v>
      </c>
      <c r="M43" t="n">
        <v>1</v>
      </c>
      <c r="N43" t="n">
        <v>75</v>
      </c>
      <c r="O43" t="n">
        <v>1</v>
      </c>
      <c r="P43" s="2">
        <f>SUM(U43,V43,W43,AC43,AF43,AH43)</f>
        <v>22.826086956521738</v>
      </c>
      <c r="Q43" s="2">
        <f>P43+(M43*N43)+O43</f>
        <v>98.826086956521735</v>
      </c>
      <c r="R43" t="n">
        <v>0.25</v>
      </c>
      <c r="S43" s="2" t="n">
        <v>16</v>
      </c>
      <c r="T43" s="1" t="n">
        <v>0</v>
      </c>
      <c r="U43" s="2">
        <f>S43*(1-T43)</f>
        <v>16</v>
      </c>
      <c r="V43" t="n">
        <v>0</v>
      </c>
      <c r="W43" t="n">
        <v>4</v>
      </c>
      <c r="X43" s="3" t="n">
        <v>0.5</v>
      </c>
      <c r="Y43" s="1" t="n">
        <v>0.8</v>
      </c>
      <c r="Z43" s="3">
        <f>Y43*X43</f>
        <v>0.4</v>
      </c>
      <c r="AA43" s="3">
        <f>IF(I43&lt;&gt;"",X43/INDEX('energy battery'!$B$3:$D$6,MATCH('vehicles specifications'!$D43,'energy battery'!$A$3:$A$6,0),MATCH('vehicles specifications'!$I43,'energy battery'!$B$2:$D$2,0)),"")</f>
        <v>2.1739130434782608</v>
      </c>
      <c r="AB43" s="3">
        <f>IF(AA43&lt;&gt;"",0.3*AA43,"")</f>
        <v>0.65217391304347816</v>
      </c>
      <c r="AC43" s="3">
        <f>IF(AA43&lt;&gt;"",AB43+AA43,"")</f>
        <v>2.8260869565217388</v>
      </c>
      <c r="AD43" t="n">
        <v>1</v>
      </c>
      <c r="AE43" t="n">
        <v>0</v>
      </c>
      <c r="AF43" t="n">
        <v>0</v>
      </c>
      <c r="AG43" t="n">
        <v>0</v>
      </c>
      <c r="AH43" t="n">
        <v>0</v>
      </c>
      <c r="AI43" t="n">
        <v>0.5</v>
      </c>
      <c r="AJ43" t="n">
        <v>1</v>
      </c>
      <c r="AK43" s="6">
        <f>J43/15000</f>
        <v>1.3333333333333333</v>
      </c>
      <c r="AL43">
        <f>0.000537/1000*Q43</f>
        <v>5.3069608695652174E-5</v>
      </c>
      <c r="AM43" t="n">
        <v>0</v>
      </c>
      <c r="AN43" s="2">
        <f>U43</f>
        <v>16</v>
      </c>
      <c r="AO43" s="2">
        <f>SUM(V43:W43)</f>
        <v>4</v>
      </c>
      <c r="AP43" s="2">
        <f>AC43</f>
        <v>2.8260869565217388</v>
      </c>
      <c r="AQ43" s="6" t="inlineStr"/>
      <c r="AR43" s="20" t="n"/>
      <c r="AS43" s="5" t="n">
        <v>0.02467063914986235</v>
      </c>
      <c r="AT43" s="2">
        <f>SUM(Z43,AG43)/(SUM(AQ43,AS43)/3.6)</f>
        <v>58.368978251949123</v>
      </c>
      <c r="AU43" s="5" t="n">
        <v>0</v>
      </c>
      <c r="AV43" s="5" t="n">
        <v>0</v>
      </c>
      <c r="AW43" s="7" t="n">
        <v>0</v>
      </c>
      <c r="AX43" s="7" t="n">
        <v>0</v>
      </c>
      <c r="AY43" s="7" t="n">
        <v>0</v>
      </c>
      <c r="AZ43" s="7" t="n">
        <v>0</v>
      </c>
      <c r="BA43" s="7" t="n">
        <v>0</v>
      </c>
      <c r="BB43" s="7" t="n">
        <v>0</v>
      </c>
      <c r="BC43" s="7" t="n">
        <v>0</v>
      </c>
      <c r="BD43" s="7" t="n">
        <v>0</v>
      </c>
      <c r="BE43" s="7" t="n">
        <v>0</v>
      </c>
      <c r="BF43" s="7" t="n">
        <v>0</v>
      </c>
      <c r="BG43" s="7" t="n">
        <v>0</v>
      </c>
      <c r="BH43" s="7" t="n">
        <v>0</v>
      </c>
      <c r="BI43" s="7" t="n">
        <v>0</v>
      </c>
      <c r="BJ43" s="7" t="n">
        <v>0</v>
      </c>
      <c r="BK43" s="7" t="n">
        <v>0</v>
      </c>
      <c r="BL43" s="7" t="n">
        <v>0</v>
      </c>
      <c r="BM43" s="7" t="n">
        <v>0</v>
      </c>
      <c r="BN43" s="7" t="n">
        <v>0</v>
      </c>
      <c r="BO43" s="7" t="n">
        <v>0</v>
      </c>
      <c r="BP43" s="7" t="n">
        <v>0</v>
      </c>
      <c r="BQ43" s="7" t="n">
        <v>0</v>
      </c>
      <c r="BR43" s="7" t="n">
        <v>0</v>
      </c>
      <c r="BS43" s="7" t="n">
        <v>0</v>
      </c>
      <c r="BT43" s="7" t="n">
        <v>0</v>
      </c>
      <c r="BU43" s="7" t="n">
        <v>0</v>
      </c>
      <c r="BV43" s="7" t="n">
        <v>0</v>
      </c>
      <c r="BW43" s="7" t="n">
        <v>0</v>
      </c>
      <c r="BX43" s="7" t="n">
        <v>0</v>
      </c>
      <c r="BY43" s="7" t="n">
        <v>0</v>
      </c>
      <c r="BZ43" s="7" t="n">
        <v>0</v>
      </c>
      <c r="CA43" s="7" t="n">
        <v>0</v>
      </c>
      <c r="CB43" s="7" t="n">
        <v>0</v>
      </c>
      <c r="CC43" s="7" t="n">
        <v>0</v>
      </c>
      <c r="CD43" s="7" t="n">
        <v>0</v>
      </c>
      <c r="CE43" s="7" t="n">
        <v>0</v>
      </c>
      <c r="CF43" s="7" t="n">
        <v>0</v>
      </c>
      <c r="CG43" s="7" t="n">
        <v>0</v>
      </c>
      <c r="CH43" s="7" t="n">
        <v>0</v>
      </c>
      <c r="CI43" s="7" t="n">
        <v>0</v>
      </c>
      <c r="CJ43" s="7" t="n">
        <v>0</v>
      </c>
      <c r="CK43" s="38">
        <f>VLOOKUP($B43,'abrasion emissions'!$O$7:$R$36,2,FALSE)</f>
        <v>1</v>
      </c>
      <c r="CL43" s="38">
        <f>VLOOKUP($B43,'abrasion emissions'!$O$7:$R$36,3,FALSE)</f>
        <v>0</v>
      </c>
      <c r="CM43" s="38">
        <f>VLOOKUP($B43,'abrasion emissions'!$O$7:$R$36,4,FALSE)</f>
        <v>0</v>
      </c>
      <c r="CN43" s="7">
        <f>((SUMIFS('abrasion emissions'!$M$7:$M$34,'abrasion emissions'!$I$7:$I$34,"PM 2.5",'abrasion emissions'!$J$7:$J$34,"urban",'abrasion emissions'!$K$7:$K$34,"Tyre",'abrasion emissions'!$L$7:$L$34,"b")*POWER(('vehicles specifications'!$Q43/1000),(1/SUMIFS('abrasion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specifications'!$P43/1000),(1/SUMIFS('abrasion emissions'!$M$7:$M$34,'abrasion emissions'!$I$7:$I$34,"PM 10",'abrasion emissions'!$J$7:$J$34,"urban",'abrasion emissions'!$K$7:$K$34,"Tyre",'abrasion emissions'!$L$7:$L$34,"c")))))/1000000</f>
        <v>4.1190422847669845E-6</v>
      </c>
      <c r="CO43" s="7">
        <f>((SUMIFS('abrasion emissions'!$M$7:$M$34,'abrasion emissions'!$I$7:$I$34,"PM 2.5",'abrasion emissions'!$J$7:$J$34,"rural",'abrasion emissions'!$K$7:$K$34,"Tyre",'abrasion emissions'!$L$7:$L$34,"b")*POWER(('vehicles specifications'!$Q43/1000),(1/SUMIFS('abrasion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specifications'!$P43/1000),(1/SUMIFS('abrasion emissions'!$M$7:$M$34,'abrasion emissions'!$I$7:$I$34,"PM 10",'abrasion emissions'!$J$7:$J$34,"rural",'abrasion emissions'!$K$7:$K$34,"Tyre",'abrasion emissions'!$L$7:$L$34,"c")))))/1000000</f>
        <v>3.2096756635882126E-6</v>
      </c>
      <c r="CP43" s="7">
        <f>((SUMIFS('abrasion emissions'!$M$7:$M$34,'abrasion emissions'!$I$7:$I$34,"PM 2.5",'abrasion emissions'!$J$7:$J$34,"motorway",'abrasion emissions'!$K$7:$K$34,"Tyre",'abrasion emissions'!$L$7:$L$34,"b")*POWER(('vehicles specifications'!$Q43/1000),(1/SUMIFS('abrasion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specifications'!$P43/1000),(1/SUMIFS('abrasion emissions'!$M$7:$M$34,'abrasion emissions'!$I$7:$I$34,"PM 10",'abrasion emissions'!$J$7:$J$34,"motorway",'abrasion emissions'!$K$7:$K$34,"Tyre",'abrasion emissions'!$L$7:$L$34,"c")))))/1000000</f>
        <v>2.7453264027521539E-6</v>
      </c>
      <c r="CQ43" s="7">
        <f>((SUMIFS('abrasion emissions'!$M$7:$M$34,'abrasion emissions'!$I$7:$I$34,"PM 2.5",'abrasion emissions'!$J$7:$J$34,"urban",'abrasion emissions'!$K$7:$K$34,"Brake",'abrasion emissions'!$L$7:$L$34,"b")*POWER(('vehicles specifications'!$Q43/1000),(1/SUMIFS('abrasion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specifications'!$P43/1000),(1/SUMIFS('abrasion emissions'!$M$7:$M$34,'abrasion emissions'!$I$7:$I$34,"PM 10",'abrasion emissions'!$J$7:$J$34,"urban",'abrasion emissions'!$K$7:$K$34,"Brake",'abrasion emissions'!$L$7:$L$34,"c")))))/1000000</f>
        <v>3.8281697391828444E-6</v>
      </c>
      <c r="CR43" s="7">
        <f>((SUMIFS('abrasion emissions'!$M$7:$M$34,'abrasion emissions'!$I$7:$I$34,"PM 2.5",'abrasion emissions'!$J$7:$J$34,"rural",'abrasion emissions'!$K$7:$K$34,"Brake",'abrasion emissions'!$L$7:$L$34,"b")*POWER(('vehicles specifications'!$Q43/1000),(1/SUMIFS('abrasion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specifications'!$P43/1000),(1/SUMIFS('abrasion emissions'!$M$7:$M$34,'abrasion emissions'!$I$7:$I$34,"PM 10",'abrasion emissions'!$J$7:$J$34,"rural",'abrasion emissions'!$K$7:$K$34,"Brake",'abrasion emissions'!$L$7:$L$34,"c")))))/1000000</f>
        <v>1.1067349873561749E-6</v>
      </c>
      <c r="CS43" s="7">
        <f>((SUMIFS('abrasion emissions'!$M$7:$M$34,'abrasion emissions'!$I$7:$I$34,"PM 2.5",'abrasion emissions'!$J$7:$J$34,"motorway",'abrasion emissions'!$K$7:$K$34,"Brake",'abrasion emissions'!$L$7:$L$34,"b")*POWER(('vehicles specifications'!$Q43/1000),(1/SUMIFS('abrasion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specifications'!$P43/1000),(1/SUMIFS('abrasion emissions'!$M$7:$M$34,'abrasion emissions'!$I$7:$I$34,"PM 10",'abrasion emissions'!$J$7:$J$34,"motorway",'abrasion emissions'!$K$7:$K$34,"Brake",'abrasion emissions'!$L$7:$L$34,"c")))))/1000000</f>
        <v>1.9043022215576232E-7</v>
      </c>
      <c r="CT43" s="7">
        <f>((SUMIFS('abrasion emissions'!$M$7:$M$38,'abrasion emissions'!$I$7:$I$38,"PM 2.5",'abrasion emissions'!$K$7:$K$38,"Re-susp.",'abrasion emissions'!$L$7:$L$38,"b")*POWER(('vehicles specifications'!$Q43/1000),(1/SUMIFS('abrasion emissions'!$M$7:$M$38,'abrasion emissions'!$I$7:$I$38,"PM 2.5",'abrasion emissions'!$K$7:$K$38,"Re-susp.",'abrasion emissions'!$L$7:$L$38,"c"))))+
(SUMIFS('abrasion emissions'!$M$7:$M$38,'abrasion emissions'!$I$7:$I$38,"PM 10",'abrasion emissions'!$K$7:$K$38,"Re-susp.",'abrasion emissions'!$L$7:$L$38,"b")*POWER(('vehicles specifications'!$Q43/1000),(1/SUMIFS('abrasion emissions'!$M$7:$M$38,'abrasion emissions'!$I$7:$I$38,"PM 10",'abrasion emissions'!$K$7:$K$38,"Re-susp.",'abrasion emissions'!$L$7:$L$38,"c")))))/1000000</f>
        <v>2.0002798352814563E-6</v>
      </c>
      <c r="CU43" s="7">
        <f>((SUMIFS('abrasion emissions'!$M$7:$M$38,'abrasion emissions'!$I$7:$I$38,"PM 2.5",'abrasion emissions'!$K$7:$K$38,"Road",'abrasion emissions'!$L$7:$L$38,"b")*POWER(('vehicles specifications'!$Q43/1000),(1/SUMIFS('abrasion emissions'!$M$7:$M$38,'abrasion emissions'!$I$7:$I$38,"PM 2.5",'abrasion emissions'!$K$7:$K$38,"Road",'abrasion emissions'!$L$7:$L$38,"c"))))+
(SUMIFS('abrasion emissions'!$M$7:$M$38,'abrasion emissions'!$I$7:$I$38,"PM 10",'abrasion emissions'!$K$7:$K$38,"Road",'abrasion emissions'!$L$7:$L$38,"b")*POWER(('vehicles specifications'!$Q43/1000),(1/SUMIFS('abrasion emissions'!$M$7:$M$38,'abrasion emissions'!$I$7:$I$38,"PM 10",'abrasion emissions'!$K$7:$K$38,"Road",'abrasion emissions'!$L$7:$L$38,"c")))))/1000000+CT43</f>
        <v>4.1805713849765551E-6</v>
      </c>
      <c r="CV43" s="7">
        <f>(CK43*CN43)+(CL43*CO43)+(CM43*CP43)</f>
        <v>4.1190422847669845E-6</v>
      </c>
      <c r="CW43" s="7">
        <f>(CK43*CQ43)+(CL43*CR43)+(CM43*CS43)</f>
        <v>3.8281697391828444E-6</v>
      </c>
    </row>
    <row r="44">
      <c r="A44" t="str">
        <f>B44&amp;" - "&amp;D44&amp;" - "&amp;IF(I44&lt;&gt;"",I44&amp;" - "&amp;E44,E44)</f>
        <v>Bicycle, electric (&lt;25 km/h) - 2030 - NCA - CH</v>
      </c>
      <c r="B44" t="inlineStr">
        <is>
          <t>Bicycle, electric (&lt;25 km/h)</t>
        </is>
      </c>
      <c r="D44" s="18" t="n">
        <v>2030</v>
      </c>
      <c r="E44" t="inlineStr">
        <is>
          <t>CH</t>
        </is>
      </c>
      <c r="F44" t="inlineStr">
        <is>
          <t>None</t>
        </is>
      </c>
      <c r="G44" t="inlineStr">
        <is>
          <t>vkm</t>
        </is>
      </c>
      <c r="H44" t="inlineStr">
        <is>
          <t>BEV</t>
        </is>
      </c>
      <c r="I44" t="inlineStr">
        <is>
          <t>NCA</t>
        </is>
      </c>
      <c r="J44" t="n">
        <v>20000</v>
      </c>
      <c r="K44" t="n">
        <v>2000</v>
      </c>
      <c r="L44" s="2">
        <f>J44/K44</f>
        <v>10</v>
      </c>
      <c r="M44" t="n">
        <v>1</v>
      </c>
      <c r="N44" t="n">
        <v>75</v>
      </c>
      <c r="O44" t="n">
        <v>1</v>
      </c>
      <c r="P44" s="2">
        <f>SUM(U44,V44,W44,AC44,AF44,AH44)</f>
        <v>22.886666666666663</v>
      </c>
      <c r="Q44" s="2">
        <f>P44+(M44*N44)+O44</f>
        <v>98.886666666666656</v>
      </c>
      <c r="R44" t="n">
        <v>0.25</v>
      </c>
      <c r="S44" s="2" t="n">
        <v>16</v>
      </c>
      <c r="T44" s="1" t="n">
        <v>0.03</v>
      </c>
      <c r="U44" s="2">
        <f>S44*(1-T44)</f>
        <v>15.52</v>
      </c>
      <c r="V44" t="n">
        <v>0</v>
      </c>
      <c r="W44" t="n">
        <v>3.9</v>
      </c>
      <c r="X44" s="3" t="n">
        <v>0.8</v>
      </c>
      <c r="Y44" s="1" t="n">
        <v>0.8</v>
      </c>
      <c r="Z44" s="3">
        <f>Y44*X44</f>
        <v>0.64000000000000012</v>
      </c>
      <c r="AA44" s="3">
        <f>IF(I44&lt;&gt;"",X44/INDEX('energy battery'!$B$3:$D$6,MATCH('vehicles specifications'!$D44,'energy battery'!$A$3:$A$6,0),MATCH('vehicles specifications'!$I44,'energy battery'!$B$2:$D$2,0)),"")</f>
        <v>2.666666666666667</v>
      </c>
      <c r="AB44" s="3">
        <f>IF(AA44&lt;&gt;"",0.3*AA44,"")</f>
        <v>0.8</v>
      </c>
      <c r="AC44" s="3">
        <f>IF(AA44&lt;&gt;"",AB44+AA44,"")</f>
        <v>3.4666666666666668</v>
      </c>
      <c r="AD44" t="n">
        <v>0.5</v>
      </c>
      <c r="AE44" t="n">
        <v>0</v>
      </c>
      <c r="AF44" t="n">
        <v>0</v>
      </c>
      <c r="AG44" t="n">
        <v>0</v>
      </c>
      <c r="AH44" t="n">
        <v>0</v>
      </c>
      <c r="AI44" t="n">
        <v>0.5</v>
      </c>
      <c r="AJ44" t="n">
        <v>1</v>
      </c>
      <c r="AK44" s="6">
        <f>J44/15000</f>
        <v>1.3333333333333333</v>
      </c>
      <c r="AL44">
        <f>0.000537/1000*Q44</f>
        <v>5.3102139999999997E-5</v>
      </c>
      <c r="AM44" t="n">
        <v>0</v>
      </c>
      <c r="AN44" s="2">
        <f>U44</f>
        <v>15.52</v>
      </c>
      <c r="AO44" s="2">
        <f>SUM(V44:W44)</f>
        <v>3.9</v>
      </c>
      <c r="AP44" s="2">
        <f>AC44</f>
        <v>3.4666666666666668</v>
      </c>
      <c r="AQ44" s="6" t="inlineStr"/>
      <c r="AR44" s="20" t="n"/>
      <c r="AS44" s="5" t="n">
        <v>0.02467063914986235</v>
      </c>
      <c r="AT44" s="2">
        <f>SUM(Z44,AG44)/(SUM(AQ44,AS44)/3.6)</f>
        <v>93.390365203118606</v>
      </c>
      <c r="AU44" s="5" t="n">
        <v>0</v>
      </c>
      <c r="AV44" s="5" t="n">
        <v>0</v>
      </c>
      <c r="AW44" s="7" t="n">
        <v>0</v>
      </c>
      <c r="AX44" s="7" t="n">
        <v>0</v>
      </c>
      <c r="AY44" s="7" t="n">
        <v>0</v>
      </c>
      <c r="AZ44" s="7" t="n">
        <v>0</v>
      </c>
      <c r="BA44" s="7" t="n">
        <v>0</v>
      </c>
      <c r="BB44" s="7" t="n">
        <v>0</v>
      </c>
      <c r="BC44" s="7" t="n">
        <v>0</v>
      </c>
      <c r="BD44" s="7" t="n">
        <v>0</v>
      </c>
      <c r="BE44" s="7" t="n">
        <v>0</v>
      </c>
      <c r="BF44" s="7" t="n">
        <v>0</v>
      </c>
      <c r="BG44" s="7" t="n">
        <v>0</v>
      </c>
      <c r="BH44" s="7" t="n">
        <v>0</v>
      </c>
      <c r="BI44" s="7" t="n">
        <v>0</v>
      </c>
      <c r="BJ44" s="7" t="n">
        <v>0</v>
      </c>
      <c r="BK44" s="7" t="n">
        <v>0</v>
      </c>
      <c r="BL44" s="7" t="n">
        <v>0</v>
      </c>
      <c r="BM44" s="7" t="n">
        <v>0</v>
      </c>
      <c r="BN44" s="7" t="n">
        <v>0</v>
      </c>
      <c r="BO44" s="7" t="n">
        <v>0</v>
      </c>
      <c r="BP44" s="7" t="n">
        <v>0</v>
      </c>
      <c r="BQ44" s="7" t="n">
        <v>0</v>
      </c>
      <c r="BR44" s="7" t="n">
        <v>0</v>
      </c>
      <c r="BS44" s="7" t="n">
        <v>0</v>
      </c>
      <c r="BT44" s="7" t="n">
        <v>0</v>
      </c>
      <c r="BU44" s="7" t="n">
        <v>0</v>
      </c>
      <c r="BV44" s="7" t="n">
        <v>0</v>
      </c>
      <c r="BW44" s="7" t="n">
        <v>0</v>
      </c>
      <c r="BX44" s="7" t="n">
        <v>0</v>
      </c>
      <c r="BY44" s="7" t="n">
        <v>0</v>
      </c>
      <c r="BZ44" s="7" t="n">
        <v>0</v>
      </c>
      <c r="CA44" s="7" t="n">
        <v>0</v>
      </c>
      <c r="CB44" s="7" t="n">
        <v>0</v>
      </c>
      <c r="CC44" s="7" t="n">
        <v>0</v>
      </c>
      <c r="CD44" s="7" t="n">
        <v>0</v>
      </c>
      <c r="CE44" s="7" t="n">
        <v>0</v>
      </c>
      <c r="CF44" s="7" t="n">
        <v>0</v>
      </c>
      <c r="CG44" s="7" t="n">
        <v>0</v>
      </c>
      <c r="CH44" s="7" t="n">
        <v>0</v>
      </c>
      <c r="CI44" s="7" t="n">
        <v>0</v>
      </c>
      <c r="CJ44" s="7" t="n">
        <v>0</v>
      </c>
      <c r="CK44" s="38">
        <f>VLOOKUP($B44,'abrasion emissions'!$O$7:$R$36,2,FALSE)</f>
        <v>1</v>
      </c>
      <c r="CL44" s="38">
        <f>VLOOKUP($B44,'abrasion emissions'!$O$7:$R$36,3,FALSE)</f>
        <v>0</v>
      </c>
      <c r="CM44" s="38">
        <f>VLOOKUP($B44,'abrasion emissions'!$O$7:$R$36,4,FALSE)</f>
        <v>0</v>
      </c>
      <c r="CN44" s="7">
        <f>((SUMIFS('abrasion emissions'!$M$7:$M$34,'abrasion emissions'!$I$7:$I$34,"PM 2.5",'abrasion emissions'!$J$7:$J$34,"urban",'abrasion emissions'!$K$7:$K$34,"Tyre",'abrasion emissions'!$L$7:$L$34,"b")*POWER(('vehicles specifications'!$Q44/1000),(1/SUMIFS('abrasion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specifications'!$P44/1000),(1/SUMIFS('abrasion emissions'!$M$7:$M$34,'abrasion emissions'!$I$7:$I$34,"PM 10",'abrasion emissions'!$J$7:$J$34,"urban",'abrasion emissions'!$K$7:$K$34,"Tyre",'abrasion emissions'!$L$7:$L$34,"c")))))/1000000</f>
        <v>4.1211339548960909E-6</v>
      </c>
      <c r="CO44" s="7">
        <f>((SUMIFS('abrasion emissions'!$M$7:$M$34,'abrasion emissions'!$I$7:$I$34,"PM 2.5",'abrasion emissions'!$J$7:$J$34,"rural",'abrasion emissions'!$K$7:$K$34,"Tyre",'abrasion emissions'!$L$7:$L$34,"b")*POWER(('vehicles specifications'!$Q44/1000),(1/SUMIFS('abrasion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specifications'!$P44/1000),(1/SUMIFS('abrasion emissions'!$M$7:$M$34,'abrasion emissions'!$I$7:$I$34,"PM 10",'abrasion emissions'!$J$7:$J$34,"rural",'abrasion emissions'!$K$7:$K$34,"Tyre",'abrasion emissions'!$L$7:$L$34,"c")))))/1000000</f>
        <v>3.2113022062760271E-6</v>
      </c>
      <c r="CP44" s="7">
        <f>((SUMIFS('abrasion emissions'!$M$7:$M$34,'abrasion emissions'!$I$7:$I$34,"PM 2.5",'abrasion emissions'!$J$7:$J$34,"motorway",'abrasion emissions'!$K$7:$K$34,"Tyre",'abrasion emissions'!$L$7:$L$34,"b")*POWER(('vehicles specifications'!$Q44/1000),(1/SUMIFS('abrasion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specifications'!$P44/1000),(1/SUMIFS('abrasion emissions'!$M$7:$M$34,'abrasion emissions'!$I$7:$I$34,"PM 10",'abrasion emissions'!$J$7:$J$34,"motorway",'abrasion emissions'!$K$7:$K$34,"Tyre",'abrasion emissions'!$L$7:$L$34,"c")))))/1000000</f>
        <v>2.7467092365406412E-6</v>
      </c>
      <c r="CQ44" s="7">
        <f>((SUMIFS('abrasion emissions'!$M$7:$M$34,'abrasion emissions'!$I$7:$I$34,"PM 2.5",'abrasion emissions'!$J$7:$J$34,"urban",'abrasion emissions'!$K$7:$K$34,"Brake",'abrasion emissions'!$L$7:$L$34,"b")*POWER(('vehicles specifications'!$Q44/1000),(1/SUMIFS('abrasion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specifications'!$P44/1000),(1/SUMIFS('abrasion emissions'!$M$7:$M$34,'abrasion emissions'!$I$7:$I$34,"PM 10",'abrasion emissions'!$J$7:$J$34,"urban",'abrasion emissions'!$K$7:$K$34,"Brake",'abrasion emissions'!$L$7:$L$34,"c")))))/1000000</f>
        <v>3.8300212497294276E-6</v>
      </c>
      <c r="CR44" s="7">
        <f>((SUMIFS('abrasion emissions'!$M$7:$M$34,'abrasion emissions'!$I$7:$I$34,"PM 2.5",'abrasion emissions'!$J$7:$J$34,"rural",'abrasion emissions'!$K$7:$K$34,"Brake",'abrasion emissions'!$L$7:$L$34,"b")*POWER(('vehicles specifications'!$Q44/1000),(1/SUMIFS('abrasion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specifications'!$P44/1000),(1/SUMIFS('abrasion emissions'!$M$7:$M$34,'abrasion emissions'!$I$7:$I$34,"PM 10",'abrasion emissions'!$J$7:$J$34,"rural",'abrasion emissions'!$K$7:$K$34,"Brake",'abrasion emissions'!$L$7:$L$34,"c")))))/1000000</f>
        <v>1.107384193411907E-6</v>
      </c>
      <c r="CS44" s="7">
        <f>((SUMIFS('abrasion emissions'!$M$7:$M$34,'abrasion emissions'!$I$7:$I$34,"PM 2.5",'abrasion emissions'!$J$7:$J$34,"motorway",'abrasion emissions'!$K$7:$K$34,"Brake",'abrasion emissions'!$L$7:$L$34,"b")*POWER(('vehicles specifications'!$Q44/1000),(1/SUMIFS('abrasion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specifications'!$P44/1000),(1/SUMIFS('abrasion emissions'!$M$7:$M$34,'abrasion emissions'!$I$7:$I$34,"PM 10",'abrasion emissions'!$J$7:$J$34,"motorway",'abrasion emissions'!$K$7:$K$34,"Brake",'abrasion emissions'!$L$7:$L$34,"c")))))/1000000</f>
        <v>1.9055429036217945E-7</v>
      </c>
      <c r="CT44" s="7">
        <f>((SUMIFS('abrasion emissions'!$M$7:$M$38,'abrasion emissions'!$I$7:$I$38,"PM 2.5",'abrasion emissions'!$K$7:$K$38,"Re-susp.",'abrasion emissions'!$L$7:$L$38,"b")*POWER(('vehicles specifications'!$Q44/1000),(1/SUMIFS('abrasion emissions'!$M$7:$M$38,'abrasion emissions'!$I$7:$I$38,"PM 2.5",'abrasion emissions'!$K$7:$K$38,"Re-susp.",'abrasion emissions'!$L$7:$L$38,"c"))))+
(SUMIFS('abrasion emissions'!$M$7:$M$38,'abrasion emissions'!$I$7:$I$38,"PM 10",'abrasion emissions'!$K$7:$K$38,"Re-susp.",'abrasion emissions'!$L$7:$L$38,"b")*POWER(('vehicles specifications'!$Q44/1000),(1/SUMIFS('abrasion emissions'!$M$7:$M$38,'abrasion emissions'!$I$7:$I$38,"PM 10",'abrasion emissions'!$K$7:$K$38,"Re-susp.",'abrasion emissions'!$L$7:$L$38,"c")))))/1000000</f>
        <v>2.0013944930949743E-6</v>
      </c>
      <c r="CU44" s="7">
        <f>((SUMIFS('abrasion emissions'!$M$7:$M$38,'abrasion emissions'!$I$7:$I$38,"PM 2.5",'abrasion emissions'!$K$7:$K$38,"Road",'abrasion emissions'!$L$7:$L$38,"b")*POWER(('vehicles specifications'!$Q44/1000),(1/SUMIFS('abrasion emissions'!$M$7:$M$38,'abrasion emissions'!$I$7:$I$38,"PM 2.5",'abrasion emissions'!$K$7:$K$38,"Road",'abrasion emissions'!$L$7:$L$38,"c"))))+
(SUMIFS('abrasion emissions'!$M$7:$M$38,'abrasion emissions'!$I$7:$I$38,"PM 10",'abrasion emissions'!$K$7:$K$38,"Road",'abrasion emissions'!$L$7:$L$38,"b")*POWER(('vehicles specifications'!$Q44/1000),(1/SUMIFS('abrasion emissions'!$M$7:$M$38,'abrasion emissions'!$I$7:$I$38,"PM 10",'abrasion emissions'!$K$7:$K$38,"Road",'abrasion emissions'!$L$7:$L$38,"c")))))/1000000+CT44</f>
        <v>4.1825769542466615E-6</v>
      </c>
      <c r="CV44" s="7">
        <f>(CK44*CN44)+(CL44*CO44)+(CM44*CP44)</f>
        <v>4.1211339548960909E-6</v>
      </c>
      <c r="CW44" s="7">
        <f>(CK44*CQ44)+(CL44*CR44)+(CM44*CS44)</f>
        <v>3.8300212497294276E-6</v>
      </c>
    </row>
    <row r="45">
      <c r="A45" t="str">
        <f>B45&amp;" - "&amp;D45&amp;" - "&amp;IF(I45&lt;&gt;"",I45&amp;" - "&amp;E45,E45)</f>
        <v>Bicycle, electric (&lt;25 km/h) - 2040 - NCA - CH</v>
      </c>
      <c r="B45" t="inlineStr">
        <is>
          <t>Bicycle, electric (&lt;25 km/h)</t>
        </is>
      </c>
      <c r="D45" s="18" t="n">
        <v>2040</v>
      </c>
      <c r="E45" t="inlineStr">
        <is>
          <t>CH</t>
        </is>
      </c>
      <c r="F45" t="inlineStr">
        <is>
          <t>None</t>
        </is>
      </c>
      <c r="G45" t="inlineStr">
        <is>
          <t>vkm</t>
        </is>
      </c>
      <c r="H45" t="inlineStr">
        <is>
          <t>BEV</t>
        </is>
      </c>
      <c r="I45" t="inlineStr">
        <is>
          <t>NCA</t>
        </is>
      </c>
      <c r="J45" t="n">
        <v>20000</v>
      </c>
      <c r="K45" t="n">
        <v>2000</v>
      </c>
      <c r="L45" s="2">
        <f>J45/K45</f>
        <v>10</v>
      </c>
      <c r="M45" t="n">
        <v>1</v>
      </c>
      <c r="N45" t="n">
        <v>75</v>
      </c>
      <c r="O45" t="n">
        <v>1</v>
      </c>
      <c r="P45" s="2">
        <f>SUM(U45,V45,W45,AC45,AF45,AH45)</f>
        <v>22.25</v>
      </c>
      <c r="Q45" s="2">
        <f>P45+(M45*N45)+O45</f>
        <v>98.25</v>
      </c>
      <c r="R45" t="n">
        <v>0.25</v>
      </c>
      <c r="S45" s="2" t="n">
        <v>16</v>
      </c>
      <c r="T45" s="1" t="n">
        <v>0.05</v>
      </c>
      <c r="U45" s="2">
        <f>S45*(1-T45)</f>
        <v>15.2</v>
      </c>
      <c r="V45" t="n">
        <v>0</v>
      </c>
      <c r="W45" t="n">
        <v>3.8</v>
      </c>
      <c r="X45" s="3" t="n">
        <v>1</v>
      </c>
      <c r="Y45" s="1" t="n">
        <v>0.8</v>
      </c>
      <c r="Z45" s="3">
        <f>Y45*X45</f>
        <v>0.8</v>
      </c>
      <c r="AA45" s="3">
        <f>IF(I45&lt;&gt;"",X45/INDEX('energy battery'!$B$3:$D$6,MATCH('vehicles specifications'!$D45,'energy battery'!$A$3:$A$6,0),MATCH('vehicles specifications'!$I45,'energy battery'!$B$2:$D$2,0)),"")</f>
        <v>2.5</v>
      </c>
      <c r="AB45" s="3">
        <f>IF(AA45&lt;&gt;"",0.3*AA45,"")</f>
        <v>0.75</v>
      </c>
      <c r="AC45" s="3">
        <f>IF(AA45&lt;&gt;"",AB45+AA45,"")</f>
        <v>3.25</v>
      </c>
      <c r="AD45" t="n">
        <v>0.25</v>
      </c>
      <c r="AE45" t="n">
        <v>0</v>
      </c>
      <c r="AF45" t="n">
        <v>0</v>
      </c>
      <c r="AG45" t="n">
        <v>0</v>
      </c>
      <c r="AH45" t="n">
        <v>0</v>
      </c>
      <c r="AI45" t="n">
        <v>0.5</v>
      </c>
      <c r="AJ45" t="n">
        <v>1</v>
      </c>
      <c r="AK45" s="6">
        <f>J45/15000</f>
        <v>1.3333333333333333</v>
      </c>
      <c r="AL45">
        <f>0.000537/1000*Q45</f>
        <v>5.276025E-5</v>
      </c>
      <c r="AM45" t="n">
        <v>0</v>
      </c>
      <c r="AN45" s="2">
        <f>U45</f>
        <v>15.2</v>
      </c>
      <c r="AO45" s="2">
        <f>SUM(V45:W45)</f>
        <v>3.8</v>
      </c>
      <c r="AP45" s="2">
        <f>AC45</f>
        <v>3.25</v>
      </c>
      <c r="AQ45" s="6" t="inlineStr"/>
      <c r="AR45" s="20" t="n"/>
      <c r="AS45" s="5" t="n">
        <v>0.02467063914986235</v>
      </c>
      <c r="AT45" s="2">
        <f>SUM(Z45,AG45)/(SUM(AQ45,AS45)/3.6)</f>
        <v>116.73795650389825</v>
      </c>
      <c r="AU45" s="5" t="n">
        <v>0</v>
      </c>
      <c r="AV45" s="5" t="n">
        <v>0</v>
      </c>
      <c r="AW45" s="7" t="n">
        <v>0</v>
      </c>
      <c r="AX45" s="7" t="n">
        <v>0</v>
      </c>
      <c r="AY45" s="7" t="n">
        <v>0</v>
      </c>
      <c r="AZ45" s="7" t="n">
        <v>0</v>
      </c>
      <c r="BA45" s="7" t="n">
        <v>0</v>
      </c>
      <c r="BB45" s="7" t="n">
        <v>0</v>
      </c>
      <c r="BC45" s="7" t="n">
        <v>0</v>
      </c>
      <c r="BD45" s="7" t="n">
        <v>0</v>
      </c>
      <c r="BE45" s="7" t="n">
        <v>0</v>
      </c>
      <c r="BF45" s="7" t="n">
        <v>0</v>
      </c>
      <c r="BG45" s="7" t="n">
        <v>0</v>
      </c>
      <c r="BH45" s="7" t="n">
        <v>0</v>
      </c>
      <c r="BI45" s="7" t="n">
        <v>0</v>
      </c>
      <c r="BJ45" s="7" t="n">
        <v>0</v>
      </c>
      <c r="BK45" s="7" t="n">
        <v>0</v>
      </c>
      <c r="BL45" s="7" t="n">
        <v>0</v>
      </c>
      <c r="BM45" s="7" t="n">
        <v>0</v>
      </c>
      <c r="BN45" s="7" t="n">
        <v>0</v>
      </c>
      <c r="BO45" s="7" t="n">
        <v>0</v>
      </c>
      <c r="BP45" s="7" t="n">
        <v>0</v>
      </c>
      <c r="BQ45" s="7" t="n">
        <v>0</v>
      </c>
      <c r="BR45" s="7" t="n">
        <v>0</v>
      </c>
      <c r="BS45" s="7" t="n">
        <v>0</v>
      </c>
      <c r="BT45" s="7" t="n">
        <v>0</v>
      </c>
      <c r="BU45" s="7" t="n">
        <v>0</v>
      </c>
      <c r="BV45" s="7" t="n">
        <v>0</v>
      </c>
      <c r="BW45" s="7" t="n">
        <v>0</v>
      </c>
      <c r="BX45" s="7" t="n">
        <v>0</v>
      </c>
      <c r="BY45" s="7" t="n">
        <v>0</v>
      </c>
      <c r="BZ45" s="7" t="n">
        <v>0</v>
      </c>
      <c r="CA45" s="7" t="n">
        <v>0</v>
      </c>
      <c r="CB45" s="7" t="n">
        <v>0</v>
      </c>
      <c r="CC45" s="7" t="n">
        <v>0</v>
      </c>
      <c r="CD45" s="7" t="n">
        <v>0</v>
      </c>
      <c r="CE45" s="7" t="n">
        <v>0</v>
      </c>
      <c r="CF45" s="7" t="n">
        <v>0</v>
      </c>
      <c r="CG45" s="7" t="n">
        <v>0</v>
      </c>
      <c r="CH45" s="7" t="n">
        <v>0</v>
      </c>
      <c r="CI45" s="7" t="n">
        <v>0</v>
      </c>
      <c r="CJ45" s="7" t="n">
        <v>0</v>
      </c>
      <c r="CK45" s="38">
        <f>VLOOKUP($B45,'abrasion emissions'!$O$7:$R$36,2,FALSE)</f>
        <v>1</v>
      </c>
      <c r="CL45" s="38">
        <f>VLOOKUP($B45,'abrasion emissions'!$O$7:$R$36,3,FALSE)</f>
        <v>0</v>
      </c>
      <c r="CM45" s="38">
        <f>VLOOKUP($B45,'abrasion emissions'!$O$7:$R$36,4,FALSE)</f>
        <v>0</v>
      </c>
      <c r="CN45" s="7">
        <f>((SUMIFS('abrasion emissions'!$M$7:$M$34,'abrasion emissions'!$I$7:$I$34,"PM 2.5",'abrasion emissions'!$J$7:$J$34,"urban",'abrasion emissions'!$K$7:$K$34,"Tyre",'abrasion emissions'!$L$7:$L$34,"b")*POWER(('vehicles specifications'!$Q45/1000),(1/SUMIFS('abrasion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specifications'!$P45/1000),(1/SUMIFS('abrasion emissions'!$M$7:$M$34,'abrasion emissions'!$I$7:$I$34,"PM 10",'abrasion emissions'!$J$7:$J$34,"urban",'abrasion emissions'!$K$7:$K$34,"Tyre",'abrasion emissions'!$L$7:$L$34,"c")))))/1000000</f>
        <v>4.0990393865404142E-6</v>
      </c>
      <c r="CO45" s="7">
        <f>((SUMIFS('abrasion emissions'!$M$7:$M$34,'abrasion emissions'!$I$7:$I$34,"PM 2.5",'abrasion emissions'!$J$7:$J$34,"rural",'abrasion emissions'!$K$7:$K$34,"Tyre",'abrasion emissions'!$L$7:$L$34,"b")*POWER(('vehicles specifications'!$Q45/1000),(1/SUMIFS('abrasion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specifications'!$P45/1000),(1/SUMIFS('abrasion emissions'!$M$7:$M$34,'abrasion emissions'!$I$7:$I$34,"PM 10",'abrasion emissions'!$J$7:$J$34,"rural",'abrasion emissions'!$K$7:$K$34,"Tyre",'abrasion emissions'!$L$7:$L$34,"c")))))/1000000</f>
        <v>3.1941209699101401E-6</v>
      </c>
      <c r="CP45" s="7">
        <f>((SUMIFS('abrasion emissions'!$M$7:$M$34,'abrasion emissions'!$I$7:$I$34,"PM 2.5",'abrasion emissions'!$J$7:$J$34,"motorway",'abrasion emissions'!$K$7:$K$34,"Tyre",'abrasion emissions'!$L$7:$L$34,"b")*POWER(('vehicles specifications'!$Q45/1000),(1/SUMIFS('abrasion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specifications'!$P45/1000),(1/SUMIFS('abrasion emissions'!$M$7:$M$34,'abrasion emissions'!$I$7:$I$34,"PM 10",'abrasion emissions'!$J$7:$J$34,"motorway",'abrasion emissions'!$K$7:$K$34,"Tyre",'abrasion emissions'!$L$7:$L$34,"c")))))/1000000</f>
        <v>2.7321026432778438E-6</v>
      </c>
      <c r="CQ45" s="7">
        <f>((SUMIFS('abrasion emissions'!$M$7:$M$34,'abrasion emissions'!$I$7:$I$34,"PM 2.5",'abrasion emissions'!$J$7:$J$34,"urban",'abrasion emissions'!$K$7:$K$34,"Brake",'abrasion emissions'!$L$7:$L$34,"b")*POWER(('vehicles specifications'!$Q45/1000),(1/SUMIFS('abrasion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specifications'!$P45/1000),(1/SUMIFS('abrasion emissions'!$M$7:$M$34,'abrasion emissions'!$I$7:$I$34,"PM 10",'abrasion emissions'!$J$7:$J$34,"urban",'abrasion emissions'!$K$7:$K$34,"Brake",'abrasion emissions'!$L$7:$L$34,"c")))))/1000000</f>
        <v>3.8104964233430331E-6</v>
      </c>
      <c r="CR45" s="7">
        <f>((SUMIFS('abrasion emissions'!$M$7:$M$34,'abrasion emissions'!$I$7:$I$34,"PM 2.5",'abrasion emissions'!$J$7:$J$34,"rural",'abrasion emissions'!$K$7:$K$34,"Brake",'abrasion emissions'!$L$7:$L$34,"b")*POWER(('vehicles specifications'!$Q45/1000),(1/SUMIFS('abrasion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specifications'!$P45/1000),(1/SUMIFS('abrasion emissions'!$M$7:$M$34,'abrasion emissions'!$I$7:$I$34,"PM 10",'abrasion emissions'!$J$7:$J$34,"rural",'abrasion emissions'!$K$7:$K$34,"Brake",'abrasion emissions'!$L$7:$L$34,"c")))))/1000000</f>
        <v>1.1005458499758413E-6</v>
      </c>
      <c r="CS45" s="7">
        <f>((SUMIFS('abrasion emissions'!$M$7:$M$34,'abrasion emissions'!$I$7:$I$34,"PM 2.5",'abrasion emissions'!$J$7:$J$34,"motorway",'abrasion emissions'!$K$7:$K$34,"Brake",'abrasion emissions'!$L$7:$L$34,"b")*POWER(('vehicles specifications'!$Q45/1000),(1/SUMIFS('abrasion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specifications'!$P45/1000),(1/SUMIFS('abrasion emissions'!$M$7:$M$34,'abrasion emissions'!$I$7:$I$34,"PM 10",'abrasion emissions'!$J$7:$J$34,"motorway",'abrasion emissions'!$K$7:$K$34,"Brake",'abrasion emissions'!$L$7:$L$34,"c")))))/1000000</f>
        <v>1.8924844620855619E-7</v>
      </c>
      <c r="CT45" s="7">
        <f>((SUMIFS('abrasion emissions'!$M$7:$M$38,'abrasion emissions'!$I$7:$I$38,"PM 2.5",'abrasion emissions'!$K$7:$K$38,"Re-susp.",'abrasion emissions'!$L$7:$L$38,"b")*POWER(('vehicles specifications'!$Q45/1000),(1/SUMIFS('abrasion emissions'!$M$7:$M$38,'abrasion emissions'!$I$7:$I$38,"PM 2.5",'abrasion emissions'!$K$7:$K$38,"Re-susp.",'abrasion emissions'!$L$7:$L$38,"c"))))+
(SUMIFS('abrasion emissions'!$M$7:$M$38,'abrasion emissions'!$I$7:$I$38,"PM 10",'abrasion emissions'!$K$7:$K$38,"Re-susp.",'abrasion emissions'!$L$7:$L$38,"b")*POWER(('vehicles specifications'!$Q45/1000),(1/SUMIFS('abrasion emissions'!$M$7:$M$38,'abrasion emissions'!$I$7:$I$38,"PM 10",'abrasion emissions'!$K$7:$K$38,"Re-susp.",'abrasion emissions'!$L$7:$L$38,"c")))))/1000000</f>
        <v>1.9896768094889238E-6</v>
      </c>
      <c r="CU45" s="7">
        <f>((SUMIFS('abrasion emissions'!$M$7:$M$38,'abrasion emissions'!$I$7:$I$38,"PM 2.5",'abrasion emissions'!$K$7:$K$38,"Road",'abrasion emissions'!$L$7:$L$38,"b")*POWER(('vehicles specifications'!$Q45/1000),(1/SUMIFS('abrasion emissions'!$M$7:$M$38,'abrasion emissions'!$I$7:$I$38,"PM 2.5",'abrasion emissions'!$K$7:$K$38,"Road",'abrasion emissions'!$L$7:$L$38,"c"))))+
(SUMIFS('abrasion emissions'!$M$7:$M$38,'abrasion emissions'!$I$7:$I$38,"PM 10",'abrasion emissions'!$K$7:$K$38,"Road",'abrasion emissions'!$L$7:$L$38,"b")*POWER(('vehicles specifications'!$Q45/1000),(1/SUMIFS('abrasion emissions'!$M$7:$M$38,'abrasion emissions'!$I$7:$I$38,"PM 10",'abrasion emissions'!$K$7:$K$38,"Road",'abrasion emissions'!$L$7:$L$38,"c")))))/1000000+CT45</f>
        <v>4.1614870560677791E-6</v>
      </c>
      <c r="CV45" s="7">
        <f>(CK45*CN45)+(CL45*CO45)+(CM45*CP45)</f>
        <v>4.0990393865404142E-6</v>
      </c>
      <c r="CW45" s="7">
        <f>(CK45*CQ45)+(CL45*CR45)+(CM45*CS45)</f>
        <v>3.8104964233430331E-6</v>
      </c>
    </row>
    <row r="46">
      <c r="A46" t="str">
        <f>B46&amp;" - "&amp;D46&amp;" - "&amp;IF(I46&lt;&gt;"",I46&amp;" - "&amp;E46,E46)</f>
        <v>Bicycle, electric (&lt;25 km/h) - 2050 - NCA - CH</v>
      </c>
      <c r="B46" t="inlineStr">
        <is>
          <t>Bicycle, electric (&lt;25 km/h)</t>
        </is>
      </c>
      <c r="D46" s="18" t="n">
        <v>2050</v>
      </c>
      <c r="E46" t="inlineStr">
        <is>
          <t>CH</t>
        </is>
      </c>
      <c r="F46" t="inlineStr">
        <is>
          <t>None</t>
        </is>
      </c>
      <c r="G46" t="inlineStr">
        <is>
          <t>vkm</t>
        </is>
      </c>
      <c r="H46" t="inlineStr">
        <is>
          <t>BEV</t>
        </is>
      </c>
      <c r="I46" t="inlineStr">
        <is>
          <t>NCA</t>
        </is>
      </c>
      <c r="J46" t="n">
        <v>20000</v>
      </c>
      <c r="K46" t="n">
        <v>2000</v>
      </c>
      <c r="L46" s="2">
        <f>J46/K46</f>
        <v>10</v>
      </c>
      <c r="M46" t="n">
        <v>1</v>
      </c>
      <c r="N46" t="n">
        <v>75</v>
      </c>
      <c r="O46" t="n">
        <v>1</v>
      </c>
      <c r="P46" s="2">
        <f>SUM(U46,V46,W46,AC46,AF46,AH46)</f>
        <v>22.479999999999997</v>
      </c>
      <c r="Q46" s="2">
        <f>P46+(M46*N46)+O46</f>
        <v>98.47999999999999</v>
      </c>
      <c r="R46" t="n">
        <v>0.25</v>
      </c>
      <c r="S46" s="2" t="n">
        <v>16</v>
      </c>
      <c r="T46" s="1" t="n">
        <v>0.07000000000000001</v>
      </c>
      <c r="U46" s="2">
        <f>S46*(1-T46)</f>
        <v>14.879999999999999</v>
      </c>
      <c r="V46" t="n">
        <v>0</v>
      </c>
      <c r="W46" t="n">
        <v>3.7</v>
      </c>
      <c r="X46" s="3" t="n">
        <v>1.5</v>
      </c>
      <c r="Y46" s="1" t="n">
        <v>0.8</v>
      </c>
      <c r="Z46" s="3">
        <f>Y46*X46</f>
        <v>1.2000000000000002</v>
      </c>
      <c r="AA46" s="3">
        <f>IF(I46&lt;&gt;"",X46/INDEX('energy battery'!$B$3:$D$6,MATCH('vehicles specifications'!$D46,'energy battery'!$A$3:$A$6,0),MATCH('vehicles specifications'!$I46,'energy battery'!$B$2:$D$2,0)),"")</f>
        <v>3</v>
      </c>
      <c r="AB46" s="3">
        <f>IF(AA46&lt;&gt;"",0.3*AA46,"")</f>
        <v>0.89999999999999991</v>
      </c>
      <c r="AC46" s="3">
        <f>IF(AA46&lt;&gt;"",AB46+AA46,"")</f>
        <v>3.9</v>
      </c>
      <c r="AD46" t="n">
        <v>0</v>
      </c>
      <c r="AE46" t="n">
        <v>0</v>
      </c>
      <c r="AF46" t="n">
        <v>0</v>
      </c>
      <c r="AG46" t="n">
        <v>0</v>
      </c>
      <c r="AH46" t="n">
        <v>0</v>
      </c>
      <c r="AI46" t="n">
        <v>0.5</v>
      </c>
      <c r="AJ46" t="n">
        <v>1</v>
      </c>
      <c r="AK46" s="6">
        <f>J46/15000</f>
        <v>1.3333333333333333</v>
      </c>
      <c r="AL46">
        <f>0.000537/1000*Q46</f>
        <v>5.2883759999999994E-5</v>
      </c>
      <c r="AM46" t="n">
        <v>0</v>
      </c>
      <c r="AN46" s="2">
        <f>U46</f>
        <v>14.879999999999999</v>
      </c>
      <c r="AO46" s="2">
        <f>SUM(V46:W46)</f>
        <v>3.7</v>
      </c>
      <c r="AP46" s="2">
        <f>AC46</f>
        <v>3.9</v>
      </c>
      <c r="AQ46" s="6" t="inlineStr"/>
      <c r="AR46" s="20" t="n"/>
      <c r="AS46" s="5" t="n">
        <v>0.02467063914986235</v>
      </c>
      <c r="AT46" s="2">
        <f>SUM(Z46,AG46)/(SUM(AQ46,AS46)/3.6)</f>
        <v>175.10693475584739</v>
      </c>
      <c r="AU46" s="5" t="n">
        <v>0</v>
      </c>
      <c r="AV46" s="5" t="n">
        <v>0</v>
      </c>
      <c r="AW46" s="7" t="n">
        <v>0</v>
      </c>
      <c r="AX46" s="7" t="n">
        <v>0</v>
      </c>
      <c r="AY46" s="7" t="n">
        <v>0</v>
      </c>
      <c r="AZ46" s="7" t="n">
        <v>0</v>
      </c>
      <c r="BA46" s="7" t="n">
        <v>0</v>
      </c>
      <c r="BB46" s="7" t="n">
        <v>0</v>
      </c>
      <c r="BC46" s="7" t="n">
        <v>0</v>
      </c>
      <c r="BD46" s="7" t="n">
        <v>0</v>
      </c>
      <c r="BE46" s="7" t="n">
        <v>0</v>
      </c>
      <c r="BF46" s="7" t="n">
        <v>0</v>
      </c>
      <c r="BG46" s="7" t="n">
        <v>0</v>
      </c>
      <c r="BH46" s="7" t="n">
        <v>0</v>
      </c>
      <c r="BI46" s="7" t="n">
        <v>0</v>
      </c>
      <c r="BJ46" s="7" t="n">
        <v>0</v>
      </c>
      <c r="BK46" s="7" t="n">
        <v>0</v>
      </c>
      <c r="BL46" s="7" t="n">
        <v>0</v>
      </c>
      <c r="BM46" s="7" t="n">
        <v>0</v>
      </c>
      <c r="BN46" s="7" t="n">
        <v>0</v>
      </c>
      <c r="BO46" s="7" t="n">
        <v>0</v>
      </c>
      <c r="BP46" s="7" t="n">
        <v>0</v>
      </c>
      <c r="BQ46" s="7" t="n">
        <v>0</v>
      </c>
      <c r="BR46" s="7" t="n">
        <v>0</v>
      </c>
      <c r="BS46" s="7" t="n">
        <v>0</v>
      </c>
      <c r="BT46" s="7" t="n">
        <v>0</v>
      </c>
      <c r="BU46" s="7" t="n">
        <v>0</v>
      </c>
      <c r="BV46" s="7" t="n">
        <v>0</v>
      </c>
      <c r="BW46" s="7" t="n">
        <v>0</v>
      </c>
      <c r="BX46" s="7" t="n">
        <v>0</v>
      </c>
      <c r="BY46" s="7" t="n">
        <v>0</v>
      </c>
      <c r="BZ46" s="7" t="n">
        <v>0</v>
      </c>
      <c r="CA46" s="7" t="n">
        <v>0</v>
      </c>
      <c r="CB46" s="7" t="n">
        <v>0</v>
      </c>
      <c r="CC46" s="7" t="n">
        <v>0</v>
      </c>
      <c r="CD46" s="7" t="n">
        <v>0</v>
      </c>
      <c r="CE46" s="7" t="n">
        <v>0</v>
      </c>
      <c r="CF46" s="7" t="n">
        <v>0</v>
      </c>
      <c r="CG46" s="7" t="n">
        <v>0</v>
      </c>
      <c r="CH46" s="7" t="n">
        <v>0</v>
      </c>
      <c r="CI46" s="7" t="n">
        <v>0</v>
      </c>
      <c r="CJ46" s="7" t="n">
        <v>0</v>
      </c>
      <c r="CK46" s="38">
        <f>VLOOKUP($B46,'abrasion emissions'!$O$7:$R$36,2,FALSE)</f>
        <v>1</v>
      </c>
      <c r="CL46" s="38">
        <f>VLOOKUP($B46,'abrasion emissions'!$O$7:$R$36,3,FALSE)</f>
        <v>0</v>
      </c>
      <c r="CM46" s="38">
        <f>VLOOKUP($B46,'abrasion emissions'!$O$7:$R$36,4,FALSE)</f>
        <v>0</v>
      </c>
      <c r="CN46" s="7">
        <f>((SUMIFS('abrasion emissions'!$M$7:$M$34,'abrasion emissions'!$I$7:$I$34,"PM 2.5",'abrasion emissions'!$J$7:$J$34,"urban",'abrasion emissions'!$K$7:$K$34,"Tyre",'abrasion emissions'!$L$7:$L$34,"b")*POWER(('vehicles specifications'!$Q46/1000),(1/SUMIFS('abrasion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specifications'!$P46/1000),(1/SUMIFS('abrasion emissions'!$M$7:$M$34,'abrasion emissions'!$I$7:$I$34,"PM 10",'abrasion emissions'!$J$7:$J$34,"urban",'abrasion emissions'!$K$7:$K$34,"Tyre",'abrasion emissions'!$L$7:$L$34,"c")))))/1000000</f>
        <v>4.1070499667251542E-6</v>
      </c>
      <c r="CO46" s="7">
        <f>((SUMIFS('abrasion emissions'!$M$7:$M$34,'abrasion emissions'!$I$7:$I$34,"PM 2.5",'abrasion emissions'!$J$7:$J$34,"rural",'abrasion emissions'!$K$7:$K$34,"Tyre",'abrasion emissions'!$L$7:$L$34,"b")*POWER(('vehicles specifications'!$Q46/1000),(1/SUMIFS('abrasion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specifications'!$P46/1000),(1/SUMIFS('abrasion emissions'!$M$7:$M$34,'abrasion emissions'!$I$7:$I$34,"PM 10",'abrasion emissions'!$J$7:$J$34,"rural",'abrasion emissions'!$K$7:$K$34,"Tyre",'abrasion emissions'!$L$7:$L$34,"c")))))/1000000</f>
        <v>3.2003501440819219E-6</v>
      </c>
      <c r="CP46" s="7">
        <f>((SUMIFS('abrasion emissions'!$M$7:$M$34,'abrasion emissions'!$I$7:$I$34,"PM 2.5",'abrasion emissions'!$J$7:$J$34,"motorway",'abrasion emissions'!$K$7:$K$34,"Tyre",'abrasion emissions'!$L$7:$L$34,"b")*POWER(('vehicles specifications'!$Q46/1000),(1/SUMIFS('abrasion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specifications'!$P46/1000),(1/SUMIFS('abrasion emissions'!$M$7:$M$34,'abrasion emissions'!$I$7:$I$34,"PM 10",'abrasion emissions'!$J$7:$J$34,"motorway",'abrasion emissions'!$K$7:$K$34,"Tyre",'abrasion emissions'!$L$7:$L$34,"c")))))/1000000</f>
        <v>2.7373982769491173E-6</v>
      </c>
      <c r="CQ46" s="7">
        <f>((SUMIFS('abrasion emissions'!$M$7:$M$34,'abrasion emissions'!$I$7:$I$34,"PM 2.5",'abrasion emissions'!$J$7:$J$34,"urban",'abrasion emissions'!$K$7:$K$34,"Brake",'abrasion emissions'!$L$7:$L$34,"b")*POWER(('vehicles specifications'!$Q46/1000),(1/SUMIFS('abrasion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specifications'!$P46/1000),(1/SUMIFS('abrasion emissions'!$M$7:$M$34,'abrasion emissions'!$I$7:$I$34,"PM 10",'abrasion emissions'!$J$7:$J$34,"urban",'abrasion emissions'!$K$7:$K$34,"Brake",'abrasion emissions'!$L$7:$L$34,"c")))))/1000000</f>
        <v>3.8175668936151024E-6</v>
      </c>
      <c r="CR46" s="7">
        <f>((SUMIFS('abrasion emissions'!$M$7:$M$34,'abrasion emissions'!$I$7:$I$34,"PM 2.5",'abrasion emissions'!$J$7:$J$34,"rural",'abrasion emissions'!$K$7:$K$34,"Brake",'abrasion emissions'!$L$7:$L$34,"b")*POWER(('vehicles specifications'!$Q46/1000),(1/SUMIFS('abrasion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specifications'!$P46/1000),(1/SUMIFS('abrasion emissions'!$M$7:$M$34,'abrasion emissions'!$I$7:$I$34,"PM 10",'abrasion emissions'!$J$7:$J$34,"rural",'abrasion emissions'!$K$7:$K$34,"Brake",'abrasion emissions'!$L$7:$L$34,"c")))))/1000000</f>
        <v>1.1030202122144157E-6</v>
      </c>
      <c r="CS46" s="7">
        <f>((SUMIFS('abrasion emissions'!$M$7:$M$34,'abrasion emissions'!$I$7:$I$34,"PM 2.5",'abrasion emissions'!$J$7:$J$34,"motorway",'abrasion emissions'!$K$7:$K$34,"Brake",'abrasion emissions'!$L$7:$L$34,"b")*POWER(('vehicles specifications'!$Q46/1000),(1/SUMIFS('abrasion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specifications'!$P46/1000),(1/SUMIFS('abrasion emissions'!$M$7:$M$34,'abrasion emissions'!$I$7:$I$34,"PM 10",'abrasion emissions'!$J$7:$J$34,"motorway",'abrasion emissions'!$K$7:$K$34,"Brake",'abrasion emissions'!$L$7:$L$34,"c")))))/1000000</f>
        <v>1.8972068828943925E-7</v>
      </c>
      <c r="CT46" s="7">
        <f>((SUMIFS('abrasion emissions'!$M$7:$M$38,'abrasion emissions'!$I$7:$I$38,"PM 2.5",'abrasion emissions'!$K$7:$K$38,"Re-susp.",'abrasion emissions'!$L$7:$L$38,"b")*POWER(('vehicles specifications'!$Q46/1000),(1/SUMIFS('abrasion emissions'!$M$7:$M$38,'abrasion emissions'!$I$7:$I$38,"PM 2.5",'abrasion emissions'!$K$7:$K$38,"Re-susp.",'abrasion emissions'!$L$7:$L$38,"c"))))+
(SUMIFS('abrasion emissions'!$M$7:$M$38,'abrasion emissions'!$I$7:$I$38,"PM 10",'abrasion emissions'!$K$7:$K$38,"Re-susp.",'abrasion emissions'!$L$7:$L$38,"b")*POWER(('vehicles specifications'!$Q46/1000),(1/SUMIFS('abrasion emissions'!$M$7:$M$38,'abrasion emissions'!$I$7:$I$38,"PM 10",'abrasion emissions'!$K$7:$K$38,"Re-susp.",'abrasion emissions'!$L$7:$L$38,"c")))))/1000000</f>
        <v>1.9939106934837492E-6</v>
      </c>
      <c r="CU46" s="7">
        <f>((SUMIFS('abrasion emissions'!$M$7:$M$38,'abrasion emissions'!$I$7:$I$38,"PM 2.5",'abrasion emissions'!$K$7:$K$38,"Road",'abrasion emissions'!$L$7:$L$38,"b")*POWER(('vehicles specifications'!$Q46/1000),(1/SUMIFS('abrasion emissions'!$M$7:$M$38,'abrasion emissions'!$I$7:$I$38,"PM 2.5",'abrasion emissions'!$K$7:$K$38,"Road",'abrasion emissions'!$L$7:$L$38,"c"))))+
(SUMIFS('abrasion emissions'!$M$7:$M$38,'abrasion emissions'!$I$7:$I$38,"PM 10",'abrasion emissions'!$K$7:$K$38,"Road",'abrasion emissions'!$L$7:$L$38,"b")*POWER(('vehicles specifications'!$Q46/1000),(1/SUMIFS('abrasion emissions'!$M$7:$M$38,'abrasion emissions'!$I$7:$I$38,"PM 10",'abrasion emissions'!$K$7:$K$38,"Road",'abrasion emissions'!$L$7:$L$38,"c")))))/1000000+CT46</f>
        <v>4.1691090429791777E-6</v>
      </c>
      <c r="CV46" s="7">
        <f>(CK46*CN46)+(CL46*CO46)+(CM46*CP46)</f>
        <v>4.1070499667251542E-6</v>
      </c>
      <c r="CW46" s="7">
        <f>(CK46*CQ46)+(CL46*CR46)+(CM46*CS46)</f>
        <v>3.8175668936151024E-6</v>
      </c>
    </row>
    <row r="47">
      <c r="A47" t="str">
        <f>B47&amp;" - "&amp;D47&amp;" - "&amp;IF(I47&lt;&gt;"",I47&amp;" - "&amp;E47,E47)</f>
        <v>Bicycle, electric (&lt;45 km/h) - 2020 - NCA - CH</v>
      </c>
      <c r="B47" t="inlineStr">
        <is>
          <t>Bicycle, electric (&lt;45 km/h)</t>
        </is>
      </c>
      <c r="D47" s="18" t="n">
        <v>2020</v>
      </c>
      <c r="E47" t="inlineStr">
        <is>
          <t>CH</t>
        </is>
      </c>
      <c r="F47" t="inlineStr">
        <is>
          <t>None</t>
        </is>
      </c>
      <c r="G47" t="inlineStr">
        <is>
          <t>vkm</t>
        </is>
      </c>
      <c r="H47" t="inlineStr">
        <is>
          <t>BEV</t>
        </is>
      </c>
      <c r="I47" t="inlineStr">
        <is>
          <t>NCA</t>
        </is>
      </c>
      <c r="J47" t="n">
        <v>30000</v>
      </c>
      <c r="K47" t="n">
        <v>3000</v>
      </c>
      <c r="L47" s="2">
        <f>J47/K47</f>
        <v>10</v>
      </c>
      <c r="M47" t="n">
        <v>1</v>
      </c>
      <c r="N47" t="n">
        <v>75</v>
      </c>
      <c r="O47" t="n">
        <v>1</v>
      </c>
      <c r="P47" s="2">
        <f>SUM(U47,V47,W47,AC47,AF47,AH47)</f>
        <v>26.826086956521738</v>
      </c>
      <c r="Q47" s="2">
        <f>P47+(M47*N47)+O47</f>
        <v>102.82608695652173</v>
      </c>
      <c r="R47" t="n">
        <v>0.5</v>
      </c>
      <c r="S47" s="2" t="n">
        <v>19</v>
      </c>
      <c r="T47" s="1" t="n">
        <v>0</v>
      </c>
      <c r="U47" s="2">
        <f>S47*(1-T47)</f>
        <v>19</v>
      </c>
      <c r="V47" t="n">
        <v>0</v>
      </c>
      <c r="W47" t="n">
        <v>5</v>
      </c>
      <c r="X47" s="3" t="n">
        <v>0.5</v>
      </c>
      <c r="Y47" s="1" t="n">
        <v>0.8</v>
      </c>
      <c r="Z47" s="3">
        <f>Y47*X47</f>
        <v>0.4</v>
      </c>
      <c r="AA47" s="3">
        <f>IF(I47&lt;&gt;"",X47/INDEX('energy battery'!$B$3:$D$6,MATCH('vehicles specifications'!$D47,'energy battery'!$A$3:$A$6,0),MATCH('vehicles specifications'!$I47,'energy battery'!$B$2:$D$2,0)),"")</f>
        <v>2.1739130434782608</v>
      </c>
      <c r="AB47" s="3">
        <f>IF(AA47&lt;&gt;"",0.3*AA47,"")</f>
        <v>0.65217391304347816</v>
      </c>
      <c r="AC47" s="3">
        <f>IF(AA47&lt;&gt;"",AB47+AA47,"")</f>
        <v>2.8260869565217388</v>
      </c>
      <c r="AD47" t="n">
        <v>1</v>
      </c>
      <c r="AE47" t="n">
        <v>0</v>
      </c>
      <c r="AF47" t="n">
        <v>0</v>
      </c>
      <c r="AG47" t="n">
        <v>0</v>
      </c>
      <c r="AH47" t="n">
        <v>0</v>
      </c>
      <c r="AI47" t="n">
        <v>0.5</v>
      </c>
      <c r="AJ47" t="n">
        <v>1</v>
      </c>
      <c r="AK47" s="6">
        <f>J47/15000</f>
        <v>2</v>
      </c>
      <c r="AL47">
        <f>0.000537/1000*Q47</f>
        <v>5.5217608695652174E-5</v>
      </c>
      <c r="AM47" t="n">
        <v>0</v>
      </c>
      <c r="AN47" s="2">
        <f>U47</f>
        <v>19</v>
      </c>
      <c r="AO47" s="2">
        <f>SUM(V47:W47)</f>
        <v>5</v>
      </c>
      <c r="AP47" s="2">
        <f>AC47</f>
        <v>2.8260869565217388</v>
      </c>
      <c r="AQ47" s="6" t="inlineStr"/>
      <c r="AR47" s="20" t="n"/>
      <c r="AS47" s="5" t="n">
        <v>0.04530894085938152</v>
      </c>
      <c r="AT47" s="2">
        <f>SUM(Z47,AG47)/(SUM(AQ47,AS47)/3.6)</f>
        <v>31.78180669614656</v>
      </c>
      <c r="AU47" s="5" t="n">
        <v>0</v>
      </c>
      <c r="AV47" s="5" t="n">
        <v>0</v>
      </c>
      <c r="AW47" s="7" t="n">
        <v>0</v>
      </c>
      <c r="AX47" s="7" t="n">
        <v>0</v>
      </c>
      <c r="AY47" s="7" t="n">
        <v>0</v>
      </c>
      <c r="AZ47" s="7" t="n">
        <v>0</v>
      </c>
      <c r="BA47" s="7" t="n">
        <v>0</v>
      </c>
      <c r="BB47" s="7" t="n">
        <v>0</v>
      </c>
      <c r="BC47" s="7" t="n">
        <v>0</v>
      </c>
      <c r="BD47" s="7" t="n">
        <v>0</v>
      </c>
      <c r="BE47" s="7" t="n">
        <v>0</v>
      </c>
      <c r="BF47" s="7" t="n">
        <v>0</v>
      </c>
      <c r="BG47" s="7" t="n">
        <v>0</v>
      </c>
      <c r="BH47" s="7" t="n">
        <v>0</v>
      </c>
      <c r="BI47" s="7" t="n">
        <v>0</v>
      </c>
      <c r="BJ47" s="7" t="n">
        <v>0</v>
      </c>
      <c r="BK47" s="7" t="n">
        <v>0</v>
      </c>
      <c r="BL47" s="7" t="n">
        <v>0</v>
      </c>
      <c r="BM47" s="7" t="n">
        <v>0</v>
      </c>
      <c r="BN47" s="7" t="n">
        <v>0</v>
      </c>
      <c r="BO47" s="7" t="n">
        <v>0</v>
      </c>
      <c r="BP47" s="7" t="n">
        <v>0</v>
      </c>
      <c r="BQ47" s="7" t="n">
        <v>0</v>
      </c>
      <c r="BR47" s="7" t="n">
        <v>0</v>
      </c>
      <c r="BS47" s="7" t="n">
        <v>0</v>
      </c>
      <c r="BT47" s="7" t="n">
        <v>0</v>
      </c>
      <c r="BU47" s="7" t="n">
        <v>0</v>
      </c>
      <c r="BV47" s="7" t="n">
        <v>0</v>
      </c>
      <c r="BW47" s="7" t="n">
        <v>0</v>
      </c>
      <c r="BX47" s="7" t="n">
        <v>0</v>
      </c>
      <c r="BY47" s="7" t="n">
        <v>0</v>
      </c>
      <c r="BZ47" s="7" t="n">
        <v>0</v>
      </c>
      <c r="CA47" s="7" t="n">
        <v>0</v>
      </c>
      <c r="CB47" s="7" t="n">
        <v>0</v>
      </c>
      <c r="CC47" s="7" t="n">
        <v>0</v>
      </c>
      <c r="CD47" s="7" t="n">
        <v>0</v>
      </c>
      <c r="CE47" s="7" t="n">
        <v>0</v>
      </c>
      <c r="CF47" s="7" t="n">
        <v>0</v>
      </c>
      <c r="CG47" s="7" t="n">
        <v>0</v>
      </c>
      <c r="CH47" s="7" t="n">
        <v>0</v>
      </c>
      <c r="CI47" s="7" t="n">
        <v>0</v>
      </c>
      <c r="CJ47" s="7" t="n">
        <v>0</v>
      </c>
      <c r="CK47" s="38">
        <f>VLOOKUP($B47,'abrasion emissions'!$O$7:$R$36,2,FALSE)</f>
        <v>1</v>
      </c>
      <c r="CL47" s="38">
        <f>VLOOKUP($B47,'abrasion emissions'!$O$7:$R$36,3,FALSE)</f>
        <v>0</v>
      </c>
      <c r="CM47" s="38">
        <f>VLOOKUP($B47,'abrasion emissions'!$O$7:$R$36,4,FALSE)</f>
        <v>0</v>
      </c>
      <c r="CN47" s="7">
        <f>((SUMIFS('abrasion emissions'!$M$7:$M$34,'abrasion emissions'!$I$7:$I$34,"PM 2.5",'abrasion emissions'!$J$7:$J$34,"urban",'abrasion emissions'!$K$7:$K$34,"Tyre",'abrasion emissions'!$L$7:$L$34,"b")*POWER(('vehicles specifications'!$Q47/1000),(1/SUMIFS('abrasion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specifications'!$P47/1000),(1/SUMIFS('abrasion emissions'!$M$7:$M$34,'abrasion emissions'!$I$7:$I$34,"PM 10",'abrasion emissions'!$J$7:$J$34,"urban",'abrasion emissions'!$K$7:$K$34,"Tyre",'abrasion emissions'!$L$7:$L$34,"c")))))/1000000</f>
        <v>4.2527520499734952E-6</v>
      </c>
      <c r="CO47" s="7">
        <f>((SUMIFS('abrasion emissions'!$M$7:$M$34,'abrasion emissions'!$I$7:$I$34,"PM 2.5",'abrasion emissions'!$J$7:$J$34,"rural",'abrasion emissions'!$K$7:$K$34,"Tyre",'abrasion emissions'!$L$7:$L$34,"b")*POWER(('vehicles specifications'!$Q47/1000),(1/SUMIFS('abrasion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specifications'!$P47/1000),(1/SUMIFS('abrasion emissions'!$M$7:$M$34,'abrasion emissions'!$I$7:$I$34,"PM 10",'abrasion emissions'!$J$7:$J$34,"rural",'abrasion emissions'!$K$7:$K$34,"Tyre",'abrasion emissions'!$L$7:$L$34,"c")))))/1000000</f>
        <v>3.3136572945728107E-6</v>
      </c>
      <c r="CP47" s="7">
        <f>((SUMIFS('abrasion emissions'!$M$7:$M$34,'abrasion emissions'!$I$7:$I$34,"PM 2.5",'abrasion emissions'!$J$7:$J$34,"motorway",'abrasion emissions'!$K$7:$K$34,"Tyre",'abrasion emissions'!$L$7:$L$34,"b")*POWER(('vehicles specifications'!$Q47/1000),(1/SUMIFS('abrasion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specifications'!$P47/1000),(1/SUMIFS('abrasion emissions'!$M$7:$M$34,'abrasion emissions'!$I$7:$I$34,"PM 10",'abrasion emissions'!$J$7:$J$34,"motorway",'abrasion emissions'!$K$7:$K$34,"Tyre",'abrasion emissions'!$L$7:$L$34,"c")))))/1000000</f>
        <v>2.8337409840694394E-6</v>
      </c>
      <c r="CQ47" s="7">
        <f>((SUMIFS('abrasion emissions'!$M$7:$M$34,'abrasion emissions'!$I$7:$I$34,"PM 2.5",'abrasion emissions'!$J$7:$J$34,"urban",'abrasion emissions'!$K$7:$K$34,"Brake",'abrasion emissions'!$L$7:$L$34,"b")*POWER(('vehicles specifications'!$Q47/1000),(1/SUMIFS('abrasion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specifications'!$P47/1000),(1/SUMIFS('abrasion emissions'!$M$7:$M$34,'abrasion emissions'!$I$7:$I$34,"PM 10",'abrasion emissions'!$J$7:$J$34,"urban",'abrasion emissions'!$K$7:$K$34,"Brake",'abrasion emissions'!$L$7:$L$34,"c")))))/1000000</f>
        <v>3.9477863286675544E-6</v>
      </c>
      <c r="CR47" s="7">
        <f>((SUMIFS('abrasion emissions'!$M$7:$M$34,'abrasion emissions'!$I$7:$I$34,"PM 2.5",'abrasion emissions'!$J$7:$J$34,"rural",'abrasion emissions'!$K$7:$K$34,"Brake",'abrasion emissions'!$L$7:$L$34,"b")*POWER(('vehicles specifications'!$Q47/1000),(1/SUMIFS('abrasion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specifications'!$P47/1000),(1/SUMIFS('abrasion emissions'!$M$7:$M$34,'abrasion emissions'!$I$7:$I$34,"PM 10",'abrasion emissions'!$J$7:$J$34,"rural",'abrasion emissions'!$K$7:$K$34,"Brake",'abrasion emissions'!$L$7:$L$34,"c")))))/1000000</f>
        <v>1.1489800970148208E-6</v>
      </c>
      <c r="CS47" s="7">
        <f>((SUMIFS('abrasion emissions'!$M$7:$M$34,'abrasion emissions'!$I$7:$I$34,"PM 2.5",'abrasion emissions'!$J$7:$J$34,"motorway",'abrasion emissions'!$K$7:$K$34,"Brake",'abrasion emissions'!$L$7:$L$34,"b")*POWER(('vehicles specifications'!$Q47/1000),(1/SUMIFS('abrasion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specifications'!$P47/1000),(1/SUMIFS('abrasion emissions'!$M$7:$M$34,'abrasion emissions'!$I$7:$I$34,"PM 10",'abrasion emissions'!$J$7:$J$34,"motorway",'abrasion emissions'!$K$7:$K$34,"Brake",'abrasion emissions'!$L$7:$L$34,"c")))))/1000000</f>
        <v>1.985438104461272E-7</v>
      </c>
      <c r="CT47" s="7">
        <f>((SUMIFS('abrasion emissions'!$M$7:$M$38,'abrasion emissions'!$I$7:$I$38,"PM 2.5",'abrasion emissions'!$K$7:$K$38,"Re-susp.",'abrasion emissions'!$L$7:$L$38,"b")*POWER(('vehicles specifications'!$Q47/1000),(1/SUMIFS('abrasion emissions'!$M$7:$M$38,'abrasion emissions'!$I$7:$I$38,"PM 2.5",'abrasion emissions'!$K$7:$K$38,"Re-susp.",'abrasion emissions'!$L$7:$L$38,"c"))))+
(SUMIFS('abrasion emissions'!$M$7:$M$38,'abrasion emissions'!$I$7:$I$38,"PM 10",'abrasion emissions'!$K$7:$K$38,"Re-susp.",'abrasion emissions'!$L$7:$L$38,"b")*POWER(('vehicles specifications'!$Q47/1000),(1/SUMIFS('abrasion emissions'!$M$7:$M$38,'abrasion emissions'!$I$7:$I$38,"PM 10",'abrasion emissions'!$K$7:$K$38,"Re-susp.",'abrasion emissions'!$L$7:$L$38,"c")))))/1000000</f>
        <v>2.0737478424587E-6</v>
      </c>
      <c r="CU47" s="7">
        <f>((SUMIFS('abrasion emissions'!$M$7:$M$38,'abrasion emissions'!$I$7:$I$38,"PM 2.5",'abrasion emissions'!$K$7:$K$38,"Road",'abrasion emissions'!$L$7:$L$38,"b")*POWER(('vehicles specifications'!$Q47/1000),(1/SUMIFS('abrasion emissions'!$M$7:$M$38,'abrasion emissions'!$I$7:$I$38,"PM 2.5",'abrasion emissions'!$K$7:$K$38,"Road",'abrasion emissions'!$L$7:$L$38,"c"))))+
(SUMIFS('abrasion emissions'!$M$7:$M$38,'abrasion emissions'!$I$7:$I$38,"PM 10",'abrasion emissions'!$K$7:$K$38,"Road",'abrasion emissions'!$L$7:$L$38,"b")*POWER(('vehicles specifications'!$Q47/1000),(1/SUMIFS('abrasion emissions'!$M$7:$M$38,'abrasion emissions'!$I$7:$I$38,"PM 10",'abrasion emissions'!$K$7:$K$38,"Road",'abrasion emissions'!$L$7:$L$38,"c")))))/1000000+CT47</f>
        <v>4.3124812382501794E-6</v>
      </c>
      <c r="CV47" s="7">
        <f>(CK47*CN47)+(CL47*CO47)+(CM47*CP47)</f>
        <v>4.2527520499734952E-6</v>
      </c>
      <c r="CW47" s="7">
        <f>(CK47*CQ47)+(CL47*CR47)+(CM47*CS47)</f>
        <v>3.9477863286675544E-6</v>
      </c>
    </row>
    <row r="48">
      <c r="A48" t="str">
        <f>B48&amp;" - "&amp;D48&amp;" - "&amp;IF(I48&lt;&gt;"",I48&amp;" - "&amp;E48,E48)</f>
        <v>Bicycle, electric (&lt;45 km/h) - 2030 - NCA - CH</v>
      </c>
      <c r="B48" t="inlineStr">
        <is>
          <t>Bicycle, electric (&lt;45 km/h)</t>
        </is>
      </c>
      <c r="D48" s="18" t="n">
        <v>2030</v>
      </c>
      <c r="E48" t="inlineStr">
        <is>
          <t>CH</t>
        </is>
      </c>
      <c r="F48" t="inlineStr">
        <is>
          <t>None</t>
        </is>
      </c>
      <c r="G48" t="inlineStr">
        <is>
          <t>vkm</t>
        </is>
      </c>
      <c r="H48" t="inlineStr">
        <is>
          <t>BEV</t>
        </is>
      </c>
      <c r="I48" t="inlineStr">
        <is>
          <t>NCA</t>
        </is>
      </c>
      <c r="J48" t="n">
        <v>30000</v>
      </c>
      <c r="K48" t="n">
        <v>3000</v>
      </c>
      <c r="L48" s="2">
        <f>J48/K48</f>
        <v>10</v>
      </c>
      <c r="M48" t="n">
        <v>1</v>
      </c>
      <c r="N48" t="n">
        <v>75</v>
      </c>
      <c r="O48" t="n">
        <v>1</v>
      </c>
      <c r="P48" s="2">
        <f>SUM(U48,V48,W48,AC48,AF48,AH48)</f>
        <v>26.796666666666667</v>
      </c>
      <c r="Q48" s="2">
        <f>P48+(M48*N48)+O48</f>
        <v>102.79666666666667</v>
      </c>
      <c r="R48" t="n">
        <v>0.5</v>
      </c>
      <c r="S48" s="2" t="n">
        <v>19</v>
      </c>
      <c r="T48" s="1" t="n">
        <v>0.03</v>
      </c>
      <c r="U48" s="2">
        <f>S48*(1-T48)</f>
        <v>18.43</v>
      </c>
      <c r="V48" t="n">
        <v>0</v>
      </c>
      <c r="W48" t="n">
        <v>4.9</v>
      </c>
      <c r="X48" s="3" t="n">
        <v>0.8</v>
      </c>
      <c r="Y48" s="1" t="n">
        <v>0.8</v>
      </c>
      <c r="Z48" s="3">
        <f>Y48*X48</f>
        <v>0.64000000000000012</v>
      </c>
      <c r="AA48" s="3">
        <f>IF(I48&lt;&gt;"",X48/INDEX('energy battery'!$B$3:$D$6,MATCH('vehicles specifications'!$D48,'energy battery'!$A$3:$A$6,0),MATCH('vehicles specifications'!$I48,'energy battery'!$B$2:$D$2,0)),"")</f>
        <v>2.666666666666667</v>
      </c>
      <c r="AB48" s="3">
        <f>IF(AA48&lt;&gt;"",0.3*AA48,"")</f>
        <v>0.8</v>
      </c>
      <c r="AC48" s="3">
        <f>IF(AA48&lt;&gt;"",AB48+AA48,"")</f>
        <v>3.4666666666666668</v>
      </c>
      <c r="AD48" t="n">
        <v>0.5</v>
      </c>
      <c r="AE48" t="n">
        <v>0</v>
      </c>
      <c r="AF48" t="n">
        <v>0</v>
      </c>
      <c r="AG48" t="n">
        <v>0</v>
      </c>
      <c r="AH48" t="n">
        <v>0</v>
      </c>
      <c r="AI48" t="n">
        <v>0.5</v>
      </c>
      <c r="AJ48" t="n">
        <v>1</v>
      </c>
      <c r="AK48" s="6">
        <f>J48/15000</f>
        <v>2</v>
      </c>
      <c r="AL48">
        <f>0.000537/1000*Q48</f>
        <v>5.5201809999999998E-5</v>
      </c>
      <c r="AM48" t="n">
        <v>0</v>
      </c>
      <c r="AN48" s="2">
        <f>U48</f>
        <v>18.43</v>
      </c>
      <c r="AO48" s="2">
        <f>SUM(V48:W48)</f>
        <v>4.9000000000000004</v>
      </c>
      <c r="AP48" s="2">
        <f>AC48</f>
        <v>3.4666666666666668</v>
      </c>
      <c r="AQ48" s="6" t="inlineStr"/>
      <c r="AR48" s="20" t="n"/>
      <c r="AS48" s="5" t="n">
        <v>0.04530894085938152</v>
      </c>
      <c r="AT48" s="2">
        <f>SUM(Z48,AG48)/(SUM(AQ48,AS48)/3.6)</f>
        <v>50.850890713834502</v>
      </c>
      <c r="AU48" s="5" t="n">
        <v>0</v>
      </c>
      <c r="AV48" s="5" t="n">
        <v>0</v>
      </c>
      <c r="AW48" s="7" t="n">
        <v>0</v>
      </c>
      <c r="AX48" s="7" t="n">
        <v>0</v>
      </c>
      <c r="AY48" s="7" t="n">
        <v>0</v>
      </c>
      <c r="AZ48" s="7" t="n">
        <v>0</v>
      </c>
      <c r="BA48" s="7" t="n">
        <v>0</v>
      </c>
      <c r="BB48" s="7" t="n">
        <v>0</v>
      </c>
      <c r="BC48" s="7" t="n">
        <v>0</v>
      </c>
      <c r="BD48" s="7" t="n">
        <v>0</v>
      </c>
      <c r="BE48" s="7" t="n">
        <v>0</v>
      </c>
      <c r="BF48" s="7" t="n">
        <v>0</v>
      </c>
      <c r="BG48" s="7" t="n">
        <v>0</v>
      </c>
      <c r="BH48" s="7" t="n">
        <v>0</v>
      </c>
      <c r="BI48" s="7" t="n">
        <v>0</v>
      </c>
      <c r="BJ48" s="7" t="n">
        <v>0</v>
      </c>
      <c r="BK48" s="7" t="n">
        <v>0</v>
      </c>
      <c r="BL48" s="7" t="n">
        <v>0</v>
      </c>
      <c r="BM48" s="7" t="n">
        <v>0</v>
      </c>
      <c r="BN48" s="7" t="n">
        <v>0</v>
      </c>
      <c r="BO48" s="7" t="n">
        <v>0</v>
      </c>
      <c r="BP48" s="7" t="n">
        <v>0</v>
      </c>
      <c r="BQ48" s="7" t="n">
        <v>0</v>
      </c>
      <c r="BR48" s="7" t="n">
        <v>0</v>
      </c>
      <c r="BS48" s="7" t="n">
        <v>0</v>
      </c>
      <c r="BT48" s="7" t="n">
        <v>0</v>
      </c>
      <c r="BU48" s="7" t="n">
        <v>0</v>
      </c>
      <c r="BV48" s="7" t="n">
        <v>0</v>
      </c>
      <c r="BW48" s="7" t="n">
        <v>0</v>
      </c>
      <c r="BX48" s="7" t="n">
        <v>0</v>
      </c>
      <c r="BY48" s="7" t="n">
        <v>0</v>
      </c>
      <c r="BZ48" s="7" t="n">
        <v>0</v>
      </c>
      <c r="CA48" s="7" t="n">
        <v>0</v>
      </c>
      <c r="CB48" s="7" t="n">
        <v>0</v>
      </c>
      <c r="CC48" s="7" t="n">
        <v>0</v>
      </c>
      <c r="CD48" s="7" t="n">
        <v>0</v>
      </c>
      <c r="CE48" s="7" t="n">
        <v>0</v>
      </c>
      <c r="CF48" s="7" t="n">
        <v>0</v>
      </c>
      <c r="CG48" s="7" t="n">
        <v>0</v>
      </c>
      <c r="CH48" s="7" t="n">
        <v>0</v>
      </c>
      <c r="CI48" s="7" t="n">
        <v>0</v>
      </c>
      <c r="CJ48" s="7" t="n">
        <v>0</v>
      </c>
      <c r="CK48" s="38">
        <f>VLOOKUP($B48,'abrasion emissions'!$O$7:$R$36,2,FALSE)</f>
        <v>1</v>
      </c>
      <c r="CL48" s="38">
        <f>VLOOKUP($B48,'abrasion emissions'!$O$7:$R$36,3,FALSE)</f>
        <v>0</v>
      </c>
      <c r="CM48" s="38">
        <f>VLOOKUP($B48,'abrasion emissions'!$O$7:$R$36,4,FALSE)</f>
        <v>0</v>
      </c>
      <c r="CN48" s="7">
        <f>((SUMIFS('abrasion emissions'!$M$7:$M$34,'abrasion emissions'!$I$7:$I$34,"PM 2.5",'abrasion emissions'!$J$7:$J$34,"urban",'abrasion emissions'!$K$7:$K$34,"Tyre",'abrasion emissions'!$L$7:$L$34,"b")*POWER(('vehicles specifications'!$Q48/1000),(1/SUMIFS('abrasion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specifications'!$P48/1000),(1/SUMIFS('abrasion emissions'!$M$7:$M$34,'abrasion emissions'!$I$7:$I$34,"PM 10",'abrasion emissions'!$J$7:$J$34,"urban",'abrasion emissions'!$K$7:$K$34,"Tyre",'abrasion emissions'!$L$7:$L$34,"c")))))/1000000</f>
        <v>4.2517989039701259E-6</v>
      </c>
      <c r="CO48" s="7">
        <f>((SUMIFS('abrasion emissions'!$M$7:$M$34,'abrasion emissions'!$I$7:$I$34,"PM 2.5",'abrasion emissions'!$J$7:$J$34,"rural",'abrasion emissions'!$K$7:$K$34,"Tyre",'abrasion emissions'!$L$7:$L$34,"b")*POWER(('vehicles specifications'!$Q48/1000),(1/SUMIFS('abrasion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specifications'!$P48/1000),(1/SUMIFS('abrasion emissions'!$M$7:$M$34,'abrasion emissions'!$I$7:$I$34,"PM 10",'abrasion emissions'!$J$7:$J$34,"rural",'abrasion emissions'!$K$7:$K$34,"Tyre",'abrasion emissions'!$L$7:$L$34,"c")))))/1000000</f>
        <v>3.3129160295478674E-6</v>
      </c>
      <c r="CP48" s="7">
        <f>((SUMIFS('abrasion emissions'!$M$7:$M$34,'abrasion emissions'!$I$7:$I$34,"PM 2.5",'abrasion emissions'!$J$7:$J$34,"motorway",'abrasion emissions'!$K$7:$K$34,"Tyre",'abrasion emissions'!$L$7:$L$34,"b")*POWER(('vehicles specifications'!$Q48/1000),(1/SUMIFS('abrasion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specifications'!$P48/1000),(1/SUMIFS('abrasion emissions'!$M$7:$M$34,'abrasion emissions'!$I$7:$I$34,"PM 10",'abrasion emissions'!$J$7:$J$34,"motorway",'abrasion emissions'!$K$7:$K$34,"Tyre",'abrasion emissions'!$L$7:$L$34,"c")))))/1000000</f>
        <v>2.8331106052648527E-6</v>
      </c>
      <c r="CQ48" s="7">
        <f>((SUMIFS('abrasion emissions'!$M$7:$M$34,'abrasion emissions'!$I$7:$I$34,"PM 2.5",'abrasion emissions'!$J$7:$J$34,"urban",'abrasion emissions'!$K$7:$K$34,"Brake",'abrasion emissions'!$L$7:$L$34,"b")*POWER(('vehicles specifications'!$Q48/1000),(1/SUMIFS('abrasion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specifications'!$P48/1000),(1/SUMIFS('abrasion emissions'!$M$7:$M$34,'abrasion emissions'!$I$7:$I$34,"PM 10",'abrasion emissions'!$J$7:$J$34,"urban",'abrasion emissions'!$K$7:$K$34,"Brake",'abrasion emissions'!$L$7:$L$34,"c")))))/1000000</f>
        <v>3.9469248908384192E-6</v>
      </c>
      <c r="CR48" s="7">
        <f>((SUMIFS('abrasion emissions'!$M$7:$M$34,'abrasion emissions'!$I$7:$I$34,"PM 2.5",'abrasion emissions'!$J$7:$J$34,"rural",'abrasion emissions'!$K$7:$K$34,"Brake",'abrasion emissions'!$L$7:$L$34,"b")*POWER(('vehicles specifications'!$Q48/1000),(1/SUMIFS('abrasion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specifications'!$P48/1000),(1/SUMIFS('abrasion emissions'!$M$7:$M$34,'abrasion emissions'!$I$7:$I$34,"PM 10",'abrasion emissions'!$J$7:$J$34,"rural",'abrasion emissions'!$K$7:$K$34,"Brake",'abrasion emissions'!$L$7:$L$34,"c")))))/1000000</f>
        <v>1.1486737375288916E-6</v>
      </c>
      <c r="CS48" s="7">
        <f>((SUMIFS('abrasion emissions'!$M$7:$M$34,'abrasion emissions'!$I$7:$I$34,"PM 2.5",'abrasion emissions'!$J$7:$J$34,"motorway",'abrasion emissions'!$K$7:$K$34,"Brake",'abrasion emissions'!$L$7:$L$34,"b")*POWER(('vehicles specifications'!$Q48/1000),(1/SUMIFS('abrasion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specifications'!$P48/1000),(1/SUMIFS('abrasion emissions'!$M$7:$M$34,'abrasion emissions'!$I$7:$I$34,"PM 10",'abrasion emissions'!$J$7:$J$34,"motorway",'abrasion emissions'!$K$7:$K$34,"Brake",'abrasion emissions'!$L$7:$L$34,"c")))))/1000000</f>
        <v>1.9848468796768718E-7</v>
      </c>
      <c r="CT48" s="7">
        <f>((SUMIFS('abrasion emissions'!$M$7:$M$38,'abrasion emissions'!$I$7:$I$38,"PM 2.5",'abrasion emissions'!$K$7:$K$38,"Re-susp.",'abrasion emissions'!$L$7:$L$38,"b")*POWER(('vehicles specifications'!$Q48/1000),(1/SUMIFS('abrasion emissions'!$M$7:$M$38,'abrasion emissions'!$I$7:$I$38,"PM 2.5",'abrasion emissions'!$K$7:$K$38,"Re-susp.",'abrasion emissions'!$L$7:$L$38,"c"))))+
(SUMIFS('abrasion emissions'!$M$7:$M$38,'abrasion emissions'!$I$7:$I$38,"PM 10",'abrasion emissions'!$K$7:$K$38,"Re-susp.",'abrasion emissions'!$L$7:$L$38,"b")*POWER(('vehicles specifications'!$Q48/1000),(1/SUMIFS('abrasion emissions'!$M$7:$M$38,'abrasion emissions'!$I$7:$I$38,"PM 10",'abrasion emissions'!$K$7:$K$38,"Re-susp.",'abrasion emissions'!$L$7:$L$38,"c")))))/1000000</f>
        <v>2.0732084404631233E-6</v>
      </c>
      <c r="CU48" s="7">
        <f>((SUMIFS('abrasion emissions'!$M$7:$M$38,'abrasion emissions'!$I$7:$I$38,"PM 2.5",'abrasion emissions'!$K$7:$K$38,"Road",'abrasion emissions'!$L$7:$L$38,"b")*POWER(('vehicles specifications'!$Q48/1000),(1/SUMIFS('abrasion emissions'!$M$7:$M$38,'abrasion emissions'!$I$7:$I$38,"PM 2.5",'abrasion emissions'!$K$7:$K$38,"Road",'abrasion emissions'!$L$7:$L$38,"c"))))+
(SUMIFS('abrasion emissions'!$M$7:$M$38,'abrasion emissions'!$I$7:$I$38,"PM 10",'abrasion emissions'!$K$7:$K$38,"Road",'abrasion emissions'!$L$7:$L$38,"b")*POWER(('vehicles specifications'!$Q48/1000),(1/SUMIFS('abrasion emissions'!$M$7:$M$38,'abrasion emissions'!$I$7:$I$38,"PM 10",'abrasion emissions'!$K$7:$K$38,"Road",'abrasion emissions'!$L$7:$L$38,"c")))))/1000000+CT48</f>
        <v>4.3115147894576166E-6</v>
      </c>
      <c r="CV48" s="7">
        <f>(CK48*CN48)+(CL48*CO48)+(CM48*CP48)</f>
        <v>4.2517989039701259E-6</v>
      </c>
      <c r="CW48" s="7">
        <f>(CK48*CQ48)+(CL48*CR48)+(CM48*CS48)</f>
        <v>3.9469248908384192E-6</v>
      </c>
    </row>
    <row r="49">
      <c r="A49" t="str">
        <f>B49&amp;" - "&amp;D49&amp;" - "&amp;IF(I49&lt;&gt;"",I49&amp;" - "&amp;E49,E49)</f>
        <v>Bicycle, electric (&lt;45 km/h) - 2040 - NCA - CH</v>
      </c>
      <c r="B49" t="inlineStr">
        <is>
          <t>Bicycle, electric (&lt;45 km/h)</t>
        </is>
      </c>
      <c r="D49" s="18" t="n">
        <v>2040</v>
      </c>
      <c r="E49" t="inlineStr">
        <is>
          <t>CH</t>
        </is>
      </c>
      <c r="F49" t="inlineStr">
        <is>
          <t>None</t>
        </is>
      </c>
      <c r="G49" t="inlineStr">
        <is>
          <t>vkm</t>
        </is>
      </c>
      <c r="H49" t="inlineStr">
        <is>
          <t>BEV</t>
        </is>
      </c>
      <c r="I49" t="inlineStr">
        <is>
          <t>NCA</t>
        </is>
      </c>
      <c r="J49" t="n">
        <v>30000</v>
      </c>
      <c r="K49" t="n">
        <v>3000</v>
      </c>
      <c r="L49" s="2">
        <f>J49/K49</f>
        <v>10</v>
      </c>
      <c r="M49" t="n">
        <v>1</v>
      </c>
      <c r="N49" t="n">
        <v>75</v>
      </c>
      <c r="O49" t="n">
        <v>1</v>
      </c>
      <c r="P49" s="2">
        <f>SUM(U49,V49,W49,AC49,AF49,AH49)</f>
        <v>26</v>
      </c>
      <c r="Q49" s="2">
        <f>P49+(M49*N49)+O49</f>
        <v>102</v>
      </c>
      <c r="R49" t="n">
        <v>0.5</v>
      </c>
      <c r="S49" s="2" t="n">
        <v>19</v>
      </c>
      <c r="T49" s="1" t="n">
        <v>0.05</v>
      </c>
      <c r="U49" s="2">
        <f>S49*(1-T49)</f>
        <v>18.05</v>
      </c>
      <c r="V49" t="n">
        <v>0</v>
      </c>
      <c r="W49" t="n">
        <v>4.7</v>
      </c>
      <c r="X49" s="3" t="n">
        <v>1</v>
      </c>
      <c r="Y49" s="1" t="n">
        <v>0.8</v>
      </c>
      <c r="Z49" s="3">
        <f>Y49*X49</f>
        <v>0.8</v>
      </c>
      <c r="AA49" s="3">
        <f>IF(I49&lt;&gt;"",X49/INDEX('energy battery'!$B$3:$D$6,MATCH('vehicles specifications'!$D49,'energy battery'!$A$3:$A$6,0),MATCH('vehicles specifications'!$I49,'energy battery'!$B$2:$D$2,0)),"")</f>
        <v>2.5</v>
      </c>
      <c r="AB49" s="3">
        <f>IF(AA49&lt;&gt;"",0.3*AA49,"")</f>
        <v>0.75</v>
      </c>
      <c r="AC49" s="3">
        <f>IF(AA49&lt;&gt;"",AB49+AA49,"")</f>
        <v>3.25</v>
      </c>
      <c r="AD49" t="n">
        <v>0.25</v>
      </c>
      <c r="AE49" t="n">
        <v>0</v>
      </c>
      <c r="AF49" t="n">
        <v>0</v>
      </c>
      <c r="AG49" t="n">
        <v>0</v>
      </c>
      <c r="AH49" t="n">
        <v>0</v>
      </c>
      <c r="AI49" t="n">
        <v>0.5</v>
      </c>
      <c r="AJ49" t="n">
        <v>1</v>
      </c>
      <c r="AK49" s="6">
        <f>J49/15000</f>
        <v>2</v>
      </c>
      <c r="AL49">
        <f>0.000537/1000*Q49</f>
        <v>5.4774000000000001E-5</v>
      </c>
      <c r="AM49" t="n">
        <v>0</v>
      </c>
      <c r="AN49" s="2">
        <f>U49</f>
        <v>18.05</v>
      </c>
      <c r="AO49" s="2">
        <f>SUM(V49:W49)</f>
        <v>4.7</v>
      </c>
      <c r="AP49" s="2">
        <f>AC49</f>
        <v>3.25</v>
      </c>
      <c r="AQ49" s="6" t="inlineStr"/>
      <c r="AR49" s="20" t="n"/>
      <c r="AS49" s="5" t="n">
        <v>0.04530894085938152</v>
      </c>
      <c r="AT49" s="2">
        <f>SUM(Z49,AG49)/(SUM(AQ49,AS49)/3.6)</f>
        <v>63.563613392293121</v>
      </c>
      <c r="AU49" s="5" t="n">
        <v>0</v>
      </c>
      <c r="AV49" s="5" t="n">
        <v>0</v>
      </c>
      <c r="AW49" s="7" t="n">
        <v>0</v>
      </c>
      <c r="AX49" s="7" t="n">
        <v>0</v>
      </c>
      <c r="AY49" s="7" t="n">
        <v>0</v>
      </c>
      <c r="AZ49" s="7" t="n">
        <v>0</v>
      </c>
      <c r="BA49" s="7" t="n">
        <v>0</v>
      </c>
      <c r="BB49" s="7" t="n">
        <v>0</v>
      </c>
      <c r="BC49" s="7" t="n">
        <v>0</v>
      </c>
      <c r="BD49" s="7" t="n">
        <v>0</v>
      </c>
      <c r="BE49" s="7" t="n">
        <v>0</v>
      </c>
      <c r="BF49" s="7" t="n">
        <v>0</v>
      </c>
      <c r="BG49" s="7" t="n">
        <v>0</v>
      </c>
      <c r="BH49" s="7" t="n">
        <v>0</v>
      </c>
      <c r="BI49" s="7" t="n">
        <v>0</v>
      </c>
      <c r="BJ49" s="7" t="n">
        <v>0</v>
      </c>
      <c r="BK49" s="7" t="n">
        <v>0</v>
      </c>
      <c r="BL49" s="7" t="n">
        <v>0</v>
      </c>
      <c r="BM49" s="7" t="n">
        <v>0</v>
      </c>
      <c r="BN49" s="7" t="n">
        <v>0</v>
      </c>
      <c r="BO49" s="7" t="n">
        <v>0</v>
      </c>
      <c r="BP49" s="7" t="n">
        <v>0</v>
      </c>
      <c r="BQ49" s="7" t="n">
        <v>0</v>
      </c>
      <c r="BR49" s="7" t="n">
        <v>0</v>
      </c>
      <c r="BS49" s="7" t="n">
        <v>0</v>
      </c>
      <c r="BT49" s="7" t="n">
        <v>0</v>
      </c>
      <c r="BU49" s="7" t="n">
        <v>0</v>
      </c>
      <c r="BV49" s="7" t="n">
        <v>0</v>
      </c>
      <c r="BW49" s="7" t="n">
        <v>0</v>
      </c>
      <c r="BX49" s="7" t="n">
        <v>0</v>
      </c>
      <c r="BY49" s="7" t="n">
        <v>0</v>
      </c>
      <c r="BZ49" s="7" t="n">
        <v>0</v>
      </c>
      <c r="CA49" s="7" t="n">
        <v>0</v>
      </c>
      <c r="CB49" s="7" t="n">
        <v>0</v>
      </c>
      <c r="CC49" s="7" t="n">
        <v>0</v>
      </c>
      <c r="CD49" s="7" t="n">
        <v>0</v>
      </c>
      <c r="CE49" s="7" t="n">
        <v>0</v>
      </c>
      <c r="CF49" s="7" t="n">
        <v>0</v>
      </c>
      <c r="CG49" s="7" t="n">
        <v>0</v>
      </c>
      <c r="CH49" s="7" t="n">
        <v>0</v>
      </c>
      <c r="CI49" s="7" t="n">
        <v>0</v>
      </c>
      <c r="CJ49" s="7" t="n">
        <v>0</v>
      </c>
      <c r="CK49" s="38">
        <f>VLOOKUP($B49,'abrasion emissions'!$O$7:$R$36,2,FALSE)</f>
        <v>1</v>
      </c>
      <c r="CL49" s="38">
        <f>VLOOKUP($B49,'abrasion emissions'!$O$7:$R$36,3,FALSE)</f>
        <v>0</v>
      </c>
      <c r="CM49" s="38">
        <f>VLOOKUP($B49,'abrasion emissions'!$O$7:$R$36,4,FALSE)</f>
        <v>0</v>
      </c>
      <c r="CN49" s="7">
        <f>((SUMIFS('abrasion emissions'!$M$7:$M$34,'abrasion emissions'!$I$7:$I$34,"PM 2.5",'abrasion emissions'!$J$7:$J$34,"urban",'abrasion emissions'!$K$7:$K$34,"Tyre",'abrasion emissions'!$L$7:$L$34,"b")*POWER(('vehicles specifications'!$Q49/1000),(1/SUMIFS('abrasion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specifications'!$P49/1000),(1/SUMIFS('abrasion emissions'!$M$7:$M$34,'abrasion emissions'!$I$7:$I$34,"PM 10",'abrasion emissions'!$J$7:$J$34,"urban",'abrasion emissions'!$K$7:$K$34,"Tyre",'abrasion emissions'!$L$7:$L$34,"c")))))/1000000</f>
        <v>4.2258279579563645E-6</v>
      </c>
      <c r="CO49" s="7">
        <f>((SUMIFS('abrasion emissions'!$M$7:$M$34,'abrasion emissions'!$I$7:$I$34,"PM 2.5",'abrasion emissions'!$J$7:$J$34,"rural",'abrasion emissions'!$K$7:$K$34,"Tyre",'abrasion emissions'!$L$7:$L$34,"b")*POWER(('vehicles specifications'!$Q49/1000),(1/SUMIFS('abrasion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specifications'!$P49/1000),(1/SUMIFS('abrasion emissions'!$M$7:$M$34,'abrasion emissions'!$I$7:$I$34,"PM 10",'abrasion emissions'!$J$7:$J$34,"rural",'abrasion emissions'!$K$7:$K$34,"Tyre",'abrasion emissions'!$L$7:$L$34,"c")))))/1000000</f>
        <v>3.2927185206696987E-6</v>
      </c>
      <c r="CP49" s="7">
        <f>((SUMIFS('abrasion emissions'!$M$7:$M$34,'abrasion emissions'!$I$7:$I$34,"PM 2.5",'abrasion emissions'!$J$7:$J$34,"motorway",'abrasion emissions'!$K$7:$K$34,"Tyre",'abrasion emissions'!$L$7:$L$34,"b")*POWER(('vehicles specifications'!$Q49/1000),(1/SUMIFS('abrasion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specifications'!$P49/1000),(1/SUMIFS('abrasion emissions'!$M$7:$M$34,'abrasion emissions'!$I$7:$I$34,"PM 10",'abrasion emissions'!$J$7:$J$34,"motorway",'abrasion emissions'!$K$7:$K$34,"Tyre",'abrasion emissions'!$L$7:$L$34,"c")))))/1000000</f>
        <v>2.815934924428819E-6</v>
      </c>
      <c r="CQ49" s="7">
        <f>((SUMIFS('abrasion emissions'!$M$7:$M$34,'abrasion emissions'!$I$7:$I$34,"PM 2.5",'abrasion emissions'!$J$7:$J$34,"urban",'abrasion emissions'!$K$7:$K$34,"Brake",'abrasion emissions'!$L$7:$L$34,"b")*POWER(('vehicles specifications'!$Q49/1000),(1/SUMIFS('abrasion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specifications'!$P49/1000),(1/SUMIFS('abrasion emissions'!$M$7:$M$34,'abrasion emissions'!$I$7:$I$34,"PM 10",'abrasion emissions'!$J$7:$J$34,"urban",'abrasion emissions'!$K$7:$K$34,"Brake",'abrasion emissions'!$L$7:$L$34,"c")))))/1000000</f>
        <v>3.9234998540415566E-6</v>
      </c>
      <c r="CR49" s="7">
        <f>((SUMIFS('abrasion emissions'!$M$7:$M$34,'abrasion emissions'!$I$7:$I$34,"PM 2.5",'abrasion emissions'!$J$7:$J$34,"rural",'abrasion emissions'!$K$7:$K$34,"Brake",'abrasion emissions'!$L$7:$L$34,"b")*POWER(('vehicles specifications'!$Q49/1000),(1/SUMIFS('abrasion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specifications'!$P49/1000),(1/SUMIFS('abrasion emissions'!$M$7:$M$34,'abrasion emissions'!$I$7:$I$34,"PM 10",'abrasion emissions'!$J$7:$J$34,"rural",'abrasion emissions'!$K$7:$K$34,"Brake",'abrasion emissions'!$L$7:$L$34,"c")))))/1000000</f>
        <v>1.1403544017575488E-6</v>
      </c>
      <c r="CS49" s="7">
        <f>((SUMIFS('abrasion emissions'!$M$7:$M$34,'abrasion emissions'!$I$7:$I$34,"PM 2.5",'abrasion emissions'!$J$7:$J$34,"motorway",'abrasion emissions'!$K$7:$K$34,"Brake",'abrasion emissions'!$L$7:$L$34,"b")*POWER(('vehicles specifications'!$Q49/1000),(1/SUMIFS('abrasion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specifications'!$P49/1000),(1/SUMIFS('abrasion emissions'!$M$7:$M$34,'abrasion emissions'!$I$7:$I$34,"PM 10",'abrasion emissions'!$J$7:$J$34,"motorway",'abrasion emissions'!$K$7:$K$34,"Brake",'abrasion emissions'!$L$7:$L$34,"c")))))/1000000</f>
        <v>1.9688072341666679E-7</v>
      </c>
      <c r="CT49" s="7">
        <f>((SUMIFS('abrasion emissions'!$M$7:$M$38,'abrasion emissions'!$I$7:$I$38,"PM 2.5",'abrasion emissions'!$K$7:$K$38,"Re-susp.",'abrasion emissions'!$L$7:$L$38,"b")*POWER(('vehicles specifications'!$Q49/1000),(1/SUMIFS('abrasion emissions'!$M$7:$M$38,'abrasion emissions'!$I$7:$I$38,"PM 2.5",'abrasion emissions'!$K$7:$K$38,"Re-susp.",'abrasion emissions'!$L$7:$L$38,"c"))))+
(SUMIFS('abrasion emissions'!$M$7:$M$38,'abrasion emissions'!$I$7:$I$38,"PM 10",'abrasion emissions'!$K$7:$K$38,"Re-susp.",'abrasion emissions'!$L$7:$L$38,"b")*POWER(('vehicles specifications'!$Q49/1000),(1/SUMIFS('abrasion emissions'!$M$7:$M$38,'abrasion emissions'!$I$7:$I$38,"PM 10",'abrasion emissions'!$K$7:$K$38,"Re-susp.",'abrasion emissions'!$L$7:$L$38,"c")))))/1000000</f>
        <v>2.0585967221386468E-6</v>
      </c>
      <c r="CU49" s="7">
        <f>((SUMIFS('abrasion emissions'!$M$7:$M$38,'abrasion emissions'!$I$7:$I$38,"PM 2.5",'abrasion emissions'!$K$7:$K$38,"Road",'abrasion emissions'!$L$7:$L$38,"b")*POWER(('vehicles specifications'!$Q49/1000),(1/SUMIFS('abrasion emissions'!$M$7:$M$38,'abrasion emissions'!$I$7:$I$38,"PM 2.5",'abrasion emissions'!$K$7:$K$38,"Road",'abrasion emissions'!$L$7:$L$38,"c"))))+
(SUMIFS('abrasion emissions'!$M$7:$M$38,'abrasion emissions'!$I$7:$I$38,"PM 10",'abrasion emissions'!$K$7:$K$38,"Road",'abrasion emissions'!$L$7:$L$38,"b")*POWER(('vehicles specifications'!$Q49/1000),(1/SUMIFS('abrasion emissions'!$M$7:$M$38,'abrasion emissions'!$I$7:$I$38,"PM 10",'abrasion emissions'!$K$7:$K$38,"Road",'abrasion emissions'!$L$7:$L$38,"c")))))/1000000+CT49</f>
        <v>4.2853236082116621E-6</v>
      </c>
      <c r="CV49" s="7">
        <f>(CK49*CN49)+(CL49*CO49)+(CM49*CP49)</f>
        <v>4.2258279579563645E-6</v>
      </c>
      <c r="CW49" s="7">
        <f>(CK49*CQ49)+(CL49*CR49)+(CM49*CS49)</f>
        <v>3.9234998540415566E-6</v>
      </c>
    </row>
    <row r="50">
      <c r="A50" t="str">
        <f>B50&amp;" - "&amp;D50&amp;" - "&amp;IF(I50&lt;&gt;"",I50&amp;" - "&amp;E50,E50)</f>
        <v>Bicycle, electric (&lt;45 km/h) - 2050 - NCA - CH</v>
      </c>
      <c r="B50" t="inlineStr">
        <is>
          <t>Bicycle, electric (&lt;45 km/h)</t>
        </is>
      </c>
      <c r="D50" s="18" t="n">
        <v>2050</v>
      </c>
      <c r="E50" t="inlineStr">
        <is>
          <t>CH</t>
        </is>
      </c>
      <c r="F50" t="inlineStr">
        <is>
          <t>None</t>
        </is>
      </c>
      <c r="G50" t="inlineStr">
        <is>
          <t>vkm</t>
        </is>
      </c>
      <c r="H50" t="inlineStr">
        <is>
          <t>BEV</t>
        </is>
      </c>
      <c r="I50" t="inlineStr">
        <is>
          <t>NCA</t>
        </is>
      </c>
      <c r="J50" t="n">
        <v>30000</v>
      </c>
      <c r="K50" t="n">
        <v>3000</v>
      </c>
      <c r="L50" s="2">
        <f>J50/K50</f>
        <v>10</v>
      </c>
      <c r="M50" t="n">
        <v>1</v>
      </c>
      <c r="N50" t="n">
        <v>75</v>
      </c>
      <c r="O50" t="n">
        <v>1</v>
      </c>
      <c r="P50" s="2">
        <f>SUM(U50,V50,W50,AC50,AF50,AH50)</f>
        <v>26.169999999999995</v>
      </c>
      <c r="Q50" s="2">
        <f>P50+(M50*N50)+O50</f>
        <v>102.16999999999999</v>
      </c>
      <c r="R50" t="n">
        <v>0.5</v>
      </c>
      <c r="S50" s="2" t="n">
        <v>19</v>
      </c>
      <c r="T50" s="1" t="n">
        <v>0.07000000000000001</v>
      </c>
      <c r="U50" s="2">
        <f>S50*(1-T50)</f>
        <v>17.669999999999998</v>
      </c>
      <c r="V50" t="n">
        <v>0</v>
      </c>
      <c r="W50" t="n">
        <v>4.6</v>
      </c>
      <c r="X50" s="3" t="n">
        <v>1.5</v>
      </c>
      <c r="Y50" s="1" t="n">
        <v>0.8</v>
      </c>
      <c r="Z50" s="3">
        <f>Y50*X50</f>
        <v>1.2000000000000002</v>
      </c>
      <c r="AA50" s="3">
        <f>IF(I50&lt;&gt;"",X50/INDEX('energy battery'!$B$3:$D$6,MATCH('vehicles specifications'!$D50,'energy battery'!$A$3:$A$6,0),MATCH('vehicles specifications'!$I50,'energy battery'!$B$2:$D$2,0)),"")</f>
        <v>3</v>
      </c>
      <c r="AB50" s="3">
        <f>IF(AA50&lt;&gt;"",0.3*AA50,"")</f>
        <v>0.89999999999999991</v>
      </c>
      <c r="AC50" s="3">
        <f>IF(AA50&lt;&gt;"",AB50+AA50,"")</f>
        <v>3.9</v>
      </c>
      <c r="AD50" t="n">
        <v>0</v>
      </c>
      <c r="AE50" t="n">
        <v>0</v>
      </c>
      <c r="AF50" t="n">
        <v>0</v>
      </c>
      <c r="AG50" t="n">
        <v>0</v>
      </c>
      <c r="AH50" t="n">
        <v>0</v>
      </c>
      <c r="AI50" t="n">
        <v>0.5</v>
      </c>
      <c r="AJ50" t="n">
        <v>1</v>
      </c>
      <c r="AK50" s="6">
        <f>J50/15000</f>
        <v>2</v>
      </c>
      <c r="AL50">
        <f>0.000537/1000*Q50</f>
        <v>5.4865289999999991E-5</v>
      </c>
      <c r="AM50" t="n">
        <v>0</v>
      </c>
      <c r="AN50" s="2">
        <f>U50</f>
        <v>17.669999999999998</v>
      </c>
      <c r="AO50" s="2">
        <f>SUM(V50:W50)</f>
        <v>4.5999999999999996</v>
      </c>
      <c r="AP50" s="2">
        <f>AC50</f>
        <v>3.9</v>
      </c>
      <c r="AQ50" s="6" t="inlineStr"/>
      <c r="AR50" s="20" t="n"/>
      <c r="AS50" s="5" t="n">
        <v>0.04530894085938152</v>
      </c>
      <c r="AT50" s="2">
        <f>SUM(Z50,AG50)/(SUM(AQ50,AS50)/3.6)</f>
        <v>95.345420088439695</v>
      </c>
      <c r="AU50" s="5" t="n">
        <v>0</v>
      </c>
      <c r="AV50" s="5" t="n">
        <v>0</v>
      </c>
      <c r="AW50" s="7" t="n">
        <v>0</v>
      </c>
      <c r="AX50" s="7" t="n">
        <v>0</v>
      </c>
      <c r="AY50" s="7" t="n">
        <v>0</v>
      </c>
      <c r="AZ50" s="7" t="n">
        <v>0</v>
      </c>
      <c r="BA50" s="7" t="n">
        <v>0</v>
      </c>
      <c r="BB50" s="7" t="n">
        <v>0</v>
      </c>
      <c r="BC50" s="7" t="n">
        <v>0</v>
      </c>
      <c r="BD50" s="7" t="n">
        <v>0</v>
      </c>
      <c r="BE50" s="7" t="n">
        <v>0</v>
      </c>
      <c r="BF50" s="7" t="n">
        <v>0</v>
      </c>
      <c r="BG50" s="7" t="n">
        <v>0</v>
      </c>
      <c r="BH50" s="7" t="n">
        <v>0</v>
      </c>
      <c r="BI50" s="7" t="n">
        <v>0</v>
      </c>
      <c r="BJ50" s="7" t="n">
        <v>0</v>
      </c>
      <c r="BK50" s="7" t="n">
        <v>0</v>
      </c>
      <c r="BL50" s="7" t="n">
        <v>0</v>
      </c>
      <c r="BM50" s="7" t="n">
        <v>0</v>
      </c>
      <c r="BN50" s="7" t="n">
        <v>0</v>
      </c>
      <c r="BO50" s="7" t="n">
        <v>0</v>
      </c>
      <c r="BP50" s="7" t="n">
        <v>0</v>
      </c>
      <c r="BQ50" s="7" t="n">
        <v>0</v>
      </c>
      <c r="BR50" s="7" t="n">
        <v>0</v>
      </c>
      <c r="BS50" s="7" t="n">
        <v>0</v>
      </c>
      <c r="BT50" s="7" t="n">
        <v>0</v>
      </c>
      <c r="BU50" s="7" t="n">
        <v>0</v>
      </c>
      <c r="BV50" s="7" t="n">
        <v>0</v>
      </c>
      <c r="BW50" s="7" t="n">
        <v>0</v>
      </c>
      <c r="BX50" s="7" t="n">
        <v>0</v>
      </c>
      <c r="BY50" s="7" t="n">
        <v>0</v>
      </c>
      <c r="BZ50" s="7" t="n">
        <v>0</v>
      </c>
      <c r="CA50" s="7" t="n">
        <v>0</v>
      </c>
      <c r="CB50" s="7" t="n">
        <v>0</v>
      </c>
      <c r="CC50" s="7" t="n">
        <v>0</v>
      </c>
      <c r="CD50" s="7" t="n">
        <v>0</v>
      </c>
      <c r="CE50" s="7" t="n">
        <v>0</v>
      </c>
      <c r="CF50" s="7" t="n">
        <v>0</v>
      </c>
      <c r="CG50" s="7" t="n">
        <v>0</v>
      </c>
      <c r="CH50" s="7" t="n">
        <v>0</v>
      </c>
      <c r="CI50" s="7" t="n">
        <v>0</v>
      </c>
      <c r="CJ50" s="7" t="n">
        <v>0</v>
      </c>
      <c r="CK50" s="38">
        <f>VLOOKUP($B50,'abrasion emissions'!$O$7:$R$36,2,FALSE)</f>
        <v>1</v>
      </c>
      <c r="CL50" s="38">
        <f>VLOOKUP($B50,'abrasion emissions'!$O$7:$R$36,3,FALSE)</f>
        <v>0</v>
      </c>
      <c r="CM50" s="38">
        <f>VLOOKUP($B50,'abrasion emissions'!$O$7:$R$36,4,FALSE)</f>
        <v>0</v>
      </c>
      <c r="CN50" s="7">
        <f>((SUMIFS('abrasion emissions'!$M$7:$M$34,'abrasion emissions'!$I$7:$I$34,"PM 2.5",'abrasion emissions'!$J$7:$J$34,"urban",'abrasion emissions'!$K$7:$K$34,"Tyre",'abrasion emissions'!$L$7:$L$34,"b")*POWER(('vehicles specifications'!$Q50/1000),(1/SUMIFS('abrasion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specifications'!$P50/1000),(1/SUMIFS('abrasion emissions'!$M$7:$M$34,'abrasion emissions'!$I$7:$I$34,"PM 10",'abrasion emissions'!$J$7:$J$34,"urban",'abrasion emissions'!$K$7:$K$34,"Tyre",'abrasion emissions'!$L$7:$L$34,"c")))))/1000000</f>
        <v>4.2313962200767675E-6</v>
      </c>
      <c r="CO50" s="7">
        <f>((SUMIFS('abrasion emissions'!$M$7:$M$34,'abrasion emissions'!$I$7:$I$34,"PM 2.5",'abrasion emissions'!$J$7:$J$34,"rural",'abrasion emissions'!$K$7:$K$34,"Tyre",'abrasion emissions'!$L$7:$L$34,"b")*POWER(('vehicles specifications'!$Q50/1000),(1/SUMIFS('abrasion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specifications'!$P50/1000),(1/SUMIFS('abrasion emissions'!$M$7:$M$34,'abrasion emissions'!$I$7:$I$34,"PM 10",'abrasion emissions'!$J$7:$J$34,"rural",'abrasion emissions'!$K$7:$K$34,"Tyre",'abrasion emissions'!$L$7:$L$34,"c")))))/1000000</f>
        <v>3.2970489068519658E-6</v>
      </c>
      <c r="CP50" s="7">
        <f>((SUMIFS('abrasion emissions'!$M$7:$M$34,'abrasion emissions'!$I$7:$I$34,"PM 2.5",'abrasion emissions'!$J$7:$J$34,"motorway",'abrasion emissions'!$K$7:$K$34,"Tyre",'abrasion emissions'!$L$7:$L$34,"b")*POWER(('vehicles specifications'!$Q50/1000),(1/SUMIFS('abrasion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specifications'!$P50/1000),(1/SUMIFS('abrasion emissions'!$M$7:$M$34,'abrasion emissions'!$I$7:$I$34,"PM 10",'abrasion emissions'!$J$7:$J$34,"motorway",'abrasion emissions'!$K$7:$K$34,"Tyre",'abrasion emissions'!$L$7:$L$34,"c")))))/1000000</f>
        <v>2.8196173474429288E-6</v>
      </c>
      <c r="CQ50" s="7">
        <f>((SUMIFS('abrasion emissions'!$M$7:$M$34,'abrasion emissions'!$I$7:$I$34,"PM 2.5",'abrasion emissions'!$J$7:$J$34,"urban",'abrasion emissions'!$K$7:$K$34,"Brake",'abrasion emissions'!$L$7:$L$34,"b")*POWER(('vehicles specifications'!$Q50/1000),(1/SUMIFS('abrasion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specifications'!$P50/1000),(1/SUMIFS('abrasion emissions'!$M$7:$M$34,'abrasion emissions'!$I$7:$I$34,"PM 10",'abrasion emissions'!$J$7:$J$34,"urban",'abrasion emissions'!$K$7:$K$34,"Brake",'abrasion emissions'!$L$7:$L$34,"c")))))/1000000</f>
        <v>3.9285145743745862E-6</v>
      </c>
      <c r="CR50" s="7">
        <f>((SUMIFS('abrasion emissions'!$M$7:$M$34,'abrasion emissions'!$I$7:$I$34,"PM 2.5",'abrasion emissions'!$J$7:$J$34,"rural",'abrasion emissions'!$K$7:$K$34,"Brake",'abrasion emissions'!$L$7:$L$34,"b")*POWER(('vehicles specifications'!$Q50/1000),(1/SUMIFS('abrasion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specifications'!$P50/1000),(1/SUMIFS('abrasion emissions'!$M$7:$M$34,'abrasion emissions'!$I$7:$I$34,"PM 10",'abrasion emissions'!$J$7:$J$34,"rural",'abrasion emissions'!$K$7:$K$34,"Brake",'abrasion emissions'!$L$7:$L$34,"c")))))/1000000</f>
        <v>1.1421334918401469E-6</v>
      </c>
      <c r="CS50" s="7">
        <f>((SUMIFS('abrasion emissions'!$M$7:$M$34,'abrasion emissions'!$I$7:$I$34,"PM 2.5",'abrasion emissions'!$J$7:$J$34,"motorway",'abrasion emissions'!$K$7:$K$34,"Brake",'abrasion emissions'!$L$7:$L$34,"b")*POWER(('vehicles specifications'!$Q50/1000),(1/SUMIFS('abrasion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specifications'!$P50/1000),(1/SUMIFS('abrasion emissions'!$M$7:$M$34,'abrasion emissions'!$I$7:$I$34,"PM 10",'abrasion emissions'!$J$7:$J$34,"motorway",'abrasion emissions'!$K$7:$K$34,"Brake",'abrasion emissions'!$L$7:$L$34,"c")))))/1000000</f>
        <v>1.9722348104079455E-7</v>
      </c>
      <c r="CT50" s="7">
        <f>((SUMIFS('abrasion emissions'!$M$7:$M$38,'abrasion emissions'!$I$7:$I$38,"PM 2.5",'abrasion emissions'!$K$7:$K$38,"Re-susp.",'abrasion emissions'!$L$7:$L$38,"b")*POWER(('vehicles specifications'!$Q50/1000),(1/SUMIFS('abrasion emissions'!$M$7:$M$38,'abrasion emissions'!$I$7:$I$38,"PM 2.5",'abrasion emissions'!$K$7:$K$38,"Re-susp.",'abrasion emissions'!$L$7:$L$38,"c"))))+
(SUMIFS('abrasion emissions'!$M$7:$M$38,'abrasion emissions'!$I$7:$I$38,"PM 10",'abrasion emissions'!$K$7:$K$38,"Re-susp.",'abrasion emissions'!$L$7:$L$38,"b")*POWER(('vehicles specifications'!$Q50/1000),(1/SUMIFS('abrasion emissions'!$M$7:$M$38,'abrasion emissions'!$I$7:$I$38,"PM 10",'abrasion emissions'!$K$7:$K$38,"Re-susp.",'abrasion emissions'!$L$7:$L$38,"c")))))/1000000</f>
        <v>2.0617155719299752E-6</v>
      </c>
      <c r="CU50" s="7">
        <f>((SUMIFS('abrasion emissions'!$M$7:$M$38,'abrasion emissions'!$I$7:$I$38,"PM 2.5",'abrasion emissions'!$K$7:$K$38,"Road",'abrasion emissions'!$L$7:$L$38,"b")*POWER(('vehicles specifications'!$Q50/1000),(1/SUMIFS('abrasion emissions'!$M$7:$M$38,'abrasion emissions'!$I$7:$I$38,"PM 2.5",'abrasion emissions'!$K$7:$K$38,"Road",'abrasion emissions'!$L$7:$L$38,"c"))))+
(SUMIFS('abrasion emissions'!$M$7:$M$38,'abrasion emissions'!$I$7:$I$38,"PM 10",'abrasion emissions'!$K$7:$K$38,"Road",'abrasion emissions'!$L$7:$L$38,"b")*POWER(('vehicles specifications'!$Q50/1000),(1/SUMIFS('abrasion emissions'!$M$7:$M$38,'abrasion emissions'!$I$7:$I$38,"PM 10",'abrasion emissions'!$K$7:$K$38,"Road",'abrasion emissions'!$L$7:$L$38,"c")))))/1000000+CT50</f>
        <v>4.2909159122347196E-6</v>
      </c>
      <c r="CV50" s="7">
        <f>(CK50*CN50)+(CL50*CO50)+(CM50*CP50)</f>
        <v>4.2313962200767675E-6</v>
      </c>
      <c r="CW50" s="7">
        <f>(CK50*CQ50)+(CL50*CR50)+(CM50*CS50)</f>
        <v>3.9285145743745862E-6</v>
      </c>
    </row>
    <row r="51">
      <c r="A51" t="str">
        <f>B51&amp;" - "&amp;D51&amp;" - "&amp;IF(I51&lt;&gt;"",I51&amp;" - "&amp;E51,E51)</f>
        <v>Bicycle, battery electric, cargo bike - 2020 - NCA - CH</v>
      </c>
      <c r="B51" t="inlineStr">
        <is>
          <t>Bicycle, battery electric, cargo bike</t>
        </is>
      </c>
      <c r="D51" s="18" t="n">
        <v>2020</v>
      </c>
      <c r="E51" t="inlineStr">
        <is>
          <t>CH</t>
        </is>
      </c>
      <c r="F51" t="inlineStr">
        <is>
          <t>None</t>
        </is>
      </c>
      <c r="G51" t="inlineStr">
        <is>
          <t>vkm</t>
        </is>
      </c>
      <c r="H51" t="inlineStr">
        <is>
          <t>BEV</t>
        </is>
      </c>
      <c r="I51" t="inlineStr">
        <is>
          <t>NCA</t>
        </is>
      </c>
      <c r="J51" t="n">
        <v>20000</v>
      </c>
      <c r="K51" t="n">
        <v>2000</v>
      </c>
      <c r="L51" s="2">
        <f>J51/K51</f>
        <v>10</v>
      </c>
      <c r="M51" t="n">
        <v>1</v>
      </c>
      <c r="N51" t="n">
        <v>75</v>
      </c>
      <c r="O51" t="n">
        <v>50</v>
      </c>
      <c r="P51" s="2">
        <f>SUM(U51,V51,W51,AC51,AF51,AH51)</f>
        <v>44.826086956521742</v>
      </c>
      <c r="Q51" s="2">
        <f>P51+(M51*N51)+O51</f>
        <v>169.82608695652175</v>
      </c>
      <c r="R51" t="n">
        <v>0.25</v>
      </c>
      <c r="S51" s="2" t="n">
        <v>38</v>
      </c>
      <c r="T51" s="1" t="n">
        <v>0</v>
      </c>
      <c r="U51" s="2">
        <f>S51*(1-T51)</f>
        <v>38</v>
      </c>
      <c r="V51" t="n">
        <v>0</v>
      </c>
      <c r="W51" t="n">
        <v>4</v>
      </c>
      <c r="X51" s="3" t="n">
        <v>0.5</v>
      </c>
      <c r="Y51" s="1" t="n">
        <v>0.8</v>
      </c>
      <c r="Z51" s="3">
        <f>Y51*X51</f>
        <v>0.4</v>
      </c>
      <c r="AA51" s="3">
        <f>IF(I51&lt;&gt;"",X51/INDEX('energy battery'!$B$3:$D$6,MATCH('vehicles specifications'!$D51,'energy battery'!$A$3:$A$6,0),MATCH('vehicles specifications'!$I51,'energy battery'!$B$2:$D$2,0)),"")</f>
        <v>2.1739130434782608</v>
      </c>
      <c r="AB51" s="3">
        <f>IF(AA51&lt;&gt;"",0.3*AA51,"")</f>
        <v>0.65217391304347816</v>
      </c>
      <c r="AC51" s="3">
        <f>IF(AA51&lt;&gt;"",AB51+AA51,"")</f>
        <v>2.8260869565217388</v>
      </c>
      <c r="AD51" t="n">
        <v>1</v>
      </c>
      <c r="AE51" t="n">
        <v>0</v>
      </c>
      <c r="AF51" t="n">
        <v>0</v>
      </c>
      <c r="AG51" t="n">
        <v>0</v>
      </c>
      <c r="AH51" t="n">
        <v>0</v>
      </c>
      <c r="AI51" t="n">
        <v>0.5</v>
      </c>
      <c r="AJ51" t="n">
        <v>1</v>
      </c>
      <c r="AK51" s="6">
        <f>J51/15000</f>
        <v>1.3333333333333333</v>
      </c>
      <c r="AL51">
        <f>0.000537/1000*Q51</f>
        <v>9.1196608695652177E-5</v>
      </c>
      <c r="AM51" t="n">
        <v>0</v>
      </c>
      <c r="AN51" s="2">
        <f>U51</f>
        <v>38</v>
      </c>
      <c r="AO51" s="2">
        <f>SUM(V51:W51)</f>
        <v>4</v>
      </c>
      <c r="AP51" s="2">
        <f>AC51</f>
        <v>2.8260869565217388</v>
      </c>
      <c r="AQ51" s="6" t="inlineStr"/>
      <c r="AR51" s="20" t="n"/>
      <c r="AS51" s="5" t="n">
        <v>0.03470832316329021</v>
      </c>
      <c r="AT51" s="2">
        <f>SUM(Z51,AG51)/(SUM(AQ51,AS51)/3.6)</f>
        <v>41.48860759493671</v>
      </c>
      <c r="AU51" s="5" t="n">
        <v>0</v>
      </c>
      <c r="AV51" s="5" t="n">
        <v>0</v>
      </c>
      <c r="AW51" s="7" t="n">
        <v>0</v>
      </c>
      <c r="AX51" s="7" t="n">
        <v>0</v>
      </c>
      <c r="AY51" s="7" t="n">
        <v>0</v>
      </c>
      <c r="AZ51" s="7" t="n">
        <v>0</v>
      </c>
      <c r="BA51" s="7" t="n">
        <v>0</v>
      </c>
      <c r="BB51" s="7" t="n">
        <v>0</v>
      </c>
      <c r="BC51" s="7" t="n">
        <v>0</v>
      </c>
      <c r="BD51" s="7" t="n">
        <v>0</v>
      </c>
      <c r="BE51" s="7" t="n">
        <v>0</v>
      </c>
      <c r="BF51" s="7" t="n">
        <v>0</v>
      </c>
      <c r="BG51" s="7" t="n">
        <v>0</v>
      </c>
      <c r="BH51" s="7" t="n">
        <v>0</v>
      </c>
      <c r="BI51" s="7" t="n">
        <v>0</v>
      </c>
      <c r="BJ51" s="7" t="n">
        <v>0</v>
      </c>
      <c r="BK51" s="7" t="n">
        <v>0</v>
      </c>
      <c r="BL51" s="7" t="n">
        <v>0</v>
      </c>
      <c r="BM51" s="7" t="n">
        <v>0</v>
      </c>
      <c r="BN51" s="7" t="n">
        <v>0</v>
      </c>
      <c r="BO51" s="7" t="n">
        <v>0</v>
      </c>
      <c r="BP51" s="7" t="n">
        <v>0</v>
      </c>
      <c r="BQ51" s="7" t="n">
        <v>0</v>
      </c>
      <c r="BR51" s="7" t="n">
        <v>0</v>
      </c>
      <c r="BS51" s="7" t="n">
        <v>0</v>
      </c>
      <c r="BT51" s="7" t="n">
        <v>0</v>
      </c>
      <c r="BU51" s="7" t="n">
        <v>0</v>
      </c>
      <c r="BV51" s="7" t="n">
        <v>0</v>
      </c>
      <c r="BW51" s="7" t="n">
        <v>0</v>
      </c>
      <c r="BX51" s="7" t="n">
        <v>0</v>
      </c>
      <c r="BY51" s="7" t="n">
        <v>0</v>
      </c>
      <c r="BZ51" s="7" t="n">
        <v>0</v>
      </c>
      <c r="CA51" s="7" t="n">
        <v>0</v>
      </c>
      <c r="CB51" s="7" t="n">
        <v>0</v>
      </c>
      <c r="CC51" s="7" t="n">
        <v>0</v>
      </c>
      <c r="CD51" s="7" t="n">
        <v>0</v>
      </c>
      <c r="CE51" s="7" t="n">
        <v>0</v>
      </c>
      <c r="CF51" s="7" t="n">
        <v>0</v>
      </c>
      <c r="CG51" s="7" t="n">
        <v>0</v>
      </c>
      <c r="CH51" s="7" t="n">
        <v>0</v>
      </c>
      <c r="CI51" s="7" t="n">
        <v>0</v>
      </c>
      <c r="CJ51" s="7" t="n">
        <v>0</v>
      </c>
      <c r="CK51" s="38">
        <f>VLOOKUP($B51,'abrasion emissions'!$O$7:$R$36,2,FALSE)</f>
        <v>1</v>
      </c>
      <c r="CL51" s="38">
        <f>VLOOKUP($B51,'abrasion emissions'!$O$7:$R$36,3,FALSE)</f>
        <v>0</v>
      </c>
      <c r="CM51" s="38">
        <f>VLOOKUP($B51,'abrasion emissions'!$O$7:$R$36,4,FALSE)</f>
        <v>0</v>
      </c>
      <c r="CN51" s="7">
        <f>((SUMIFS('abrasion emissions'!$M$7:$M$34,'abrasion emissions'!$I$7:$I$34,"PM 2.5",'abrasion emissions'!$J$7:$J$34,"urban",'abrasion emissions'!$K$7:$K$34,"Tyre",'abrasion emissions'!$L$7:$L$34,"b")*POWER(('vehicles specifications'!$Q51/1000),(1/SUMIFS('abrasion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specifications'!$P51/1000),(1/SUMIFS('abrasion emissions'!$M$7:$M$34,'abrasion emissions'!$I$7:$I$34,"PM 10",'abrasion emissions'!$J$7:$J$34,"urban",'abrasion emissions'!$K$7:$K$34,"Tyre",'abrasion emissions'!$L$7:$L$34,"c")))))/1000000</f>
        <v>5.2970558500651591E-6</v>
      </c>
      <c r="CO51" s="7">
        <f>((SUMIFS('abrasion emissions'!$M$7:$M$34,'abrasion emissions'!$I$7:$I$34,"PM 2.5",'abrasion emissions'!$J$7:$J$34,"rural",'abrasion emissions'!$K$7:$K$34,"Tyre",'abrasion emissions'!$L$7:$L$34,"b")*POWER(('vehicles specifications'!$Q51/1000),(1/SUMIFS('abrasion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specifications'!$P51/1000),(1/SUMIFS('abrasion emissions'!$M$7:$M$34,'abrasion emissions'!$I$7:$I$34,"PM 10",'abrasion emissions'!$J$7:$J$34,"rural",'abrasion emissions'!$K$7:$K$34,"Tyre",'abrasion emissions'!$L$7:$L$34,"c")))))/1000000</f>
        <v>4.127332160420385E-6</v>
      </c>
      <c r="CP51" s="7">
        <f>((SUMIFS('abrasion emissions'!$M$7:$M$34,'abrasion emissions'!$I$7:$I$34,"PM 2.5",'abrasion emissions'!$J$7:$J$34,"motorway",'abrasion emissions'!$K$7:$K$34,"Tyre",'abrasion emissions'!$L$7:$L$34,"b")*POWER(('vehicles specifications'!$Q51/1000),(1/SUMIFS('abrasion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specifications'!$P51/1000),(1/SUMIFS('abrasion emissions'!$M$7:$M$34,'abrasion emissions'!$I$7:$I$34,"PM 10",'abrasion emissions'!$J$7:$J$34,"motorway",'abrasion emissions'!$K$7:$K$34,"Tyre",'abrasion emissions'!$L$7:$L$34,"c")))))/1000000</f>
        <v>3.5295081053775763E-6</v>
      </c>
      <c r="CQ51" s="7">
        <f>((SUMIFS('abrasion emissions'!$M$7:$M$34,'abrasion emissions'!$I$7:$I$34,"PM 2.5",'abrasion emissions'!$J$7:$J$34,"urban",'abrasion emissions'!$K$7:$K$34,"Brake",'abrasion emissions'!$L$7:$L$34,"b")*POWER(('vehicles specifications'!$Q51/1000),(1/SUMIFS('abrasion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specifications'!$P51/1000),(1/SUMIFS('abrasion emissions'!$M$7:$M$34,'abrasion emissions'!$I$7:$I$34,"PM 10",'abrasion emissions'!$J$7:$J$34,"urban",'abrasion emissions'!$K$7:$K$34,"Brake",'abrasion emissions'!$L$7:$L$34,"c")))))/1000000</f>
        <v>5.145913276111852E-6</v>
      </c>
      <c r="CR51" s="7">
        <f>((SUMIFS('abrasion emissions'!$M$7:$M$34,'abrasion emissions'!$I$7:$I$34,"PM 2.5",'abrasion emissions'!$J$7:$J$34,"rural",'abrasion emissions'!$K$7:$K$34,"Brake",'abrasion emissions'!$L$7:$L$34,"b")*POWER(('vehicles specifications'!$Q51/1000),(1/SUMIFS('abrasion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specifications'!$P51/1000),(1/SUMIFS('abrasion emissions'!$M$7:$M$34,'abrasion emissions'!$I$7:$I$34,"PM 10",'abrasion emissions'!$J$7:$J$34,"rural",'abrasion emissions'!$K$7:$K$34,"Brake",'abrasion emissions'!$L$7:$L$34,"c")))))/1000000</f>
        <v>1.6071493312188078E-6</v>
      </c>
      <c r="CS51" s="7">
        <f>((SUMIFS('abrasion emissions'!$M$7:$M$34,'abrasion emissions'!$I$7:$I$34,"PM 2.5",'abrasion emissions'!$J$7:$J$34,"motorway",'abrasion emissions'!$K$7:$K$34,"Brake",'abrasion emissions'!$L$7:$L$34,"b")*POWER(('vehicles specifications'!$Q51/1000),(1/SUMIFS('abrasion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specifications'!$P51/1000),(1/SUMIFS('abrasion emissions'!$M$7:$M$34,'abrasion emissions'!$I$7:$I$34,"PM 10",'abrasion emissions'!$J$7:$J$34,"motorway",'abrasion emissions'!$K$7:$K$34,"Brake",'abrasion emissions'!$L$7:$L$34,"c")))))/1000000</f>
        <v>2.9238866659765762E-7</v>
      </c>
      <c r="CT51" s="7">
        <f>((SUMIFS('abrasion emissions'!$M$7:$M$38,'abrasion emissions'!$I$7:$I$38,"PM 2.5",'abrasion emissions'!$K$7:$K$38,"Re-susp.",'abrasion emissions'!$L$7:$L$38,"b")*POWER(('vehicles specifications'!$Q51/1000),(1/SUMIFS('abrasion emissions'!$M$7:$M$38,'abrasion emissions'!$I$7:$I$38,"PM 2.5",'abrasion emissions'!$K$7:$K$38,"Re-susp.",'abrasion emissions'!$L$7:$L$38,"c"))))+
(SUMIFS('abrasion emissions'!$M$7:$M$38,'abrasion emissions'!$I$7:$I$38,"PM 10",'abrasion emissions'!$K$7:$K$38,"Re-susp.",'abrasion emissions'!$L$7:$L$38,"b")*POWER(('vehicles specifications'!$Q51/1000),(1/SUMIFS('abrasion emissions'!$M$7:$M$38,'abrasion emissions'!$I$7:$I$38,"PM 10",'abrasion emissions'!$K$7:$K$38,"Re-susp.",'abrasion emissions'!$L$7:$L$38,"c")))))/1000000</f>
        <v>3.272260355140291E-6</v>
      </c>
      <c r="CU51" s="7">
        <f>((SUMIFS('abrasion emissions'!$M$7:$M$38,'abrasion emissions'!$I$7:$I$38,"PM 2.5",'abrasion emissions'!$K$7:$K$38,"Road",'abrasion emissions'!$L$7:$L$38,"b")*POWER(('vehicles specifications'!$Q51/1000),(1/SUMIFS('abrasion emissions'!$M$7:$M$38,'abrasion emissions'!$I$7:$I$38,"PM 2.5",'abrasion emissions'!$K$7:$K$38,"Road",'abrasion emissions'!$L$7:$L$38,"c"))))+
(SUMIFS('abrasion emissions'!$M$7:$M$38,'abrasion emissions'!$I$7:$I$38,"PM 10",'abrasion emissions'!$K$7:$K$38,"Road",'abrasion emissions'!$L$7:$L$38,"b")*POWER(('vehicles specifications'!$Q51/1000),(1/SUMIFS('abrasion emissions'!$M$7:$M$38,'abrasion emissions'!$I$7:$I$38,"PM 10",'abrasion emissions'!$K$7:$K$38,"Road",'abrasion emissions'!$L$7:$L$38,"c")))))/1000000+CT51</f>
        <v>6.4002821739257562E-6</v>
      </c>
      <c r="CV51" s="7">
        <f>(CK51*CN51)+(CL51*CO51)+(CM51*CP51)</f>
        <v>5.2970558500651591E-6</v>
      </c>
      <c r="CW51" s="7">
        <f>(CK51*CQ51)+(CL51*CR51)+(CM51*CS51)</f>
        <v>5.145913276111852E-6</v>
      </c>
    </row>
    <row r="52">
      <c r="A52" t="str">
        <f>B52&amp;" - "&amp;D52&amp;" - "&amp;IF(I52&lt;&gt;"",I52&amp;" - "&amp;E52,E52)</f>
        <v>Bicycle, battery electric, cargo bike - 2030 - NCA - CH</v>
      </c>
      <c r="B52" t="inlineStr">
        <is>
          <t>Bicycle, battery electric, cargo bike</t>
        </is>
      </c>
      <c r="D52" s="18" t="n">
        <v>2030</v>
      </c>
      <c r="E52" t="inlineStr">
        <is>
          <t>CH</t>
        </is>
      </c>
      <c r="F52" t="inlineStr">
        <is>
          <t>None</t>
        </is>
      </c>
      <c r="G52" t="inlineStr">
        <is>
          <t>vkm</t>
        </is>
      </c>
      <c r="H52" t="inlineStr">
        <is>
          <t>BEV</t>
        </is>
      </c>
      <c r="I52" t="inlineStr">
        <is>
          <t>NCA</t>
        </is>
      </c>
      <c r="J52" t="n">
        <v>20000</v>
      </c>
      <c r="K52" t="n">
        <v>2000</v>
      </c>
      <c r="L52" s="2">
        <f>J52/K52</f>
        <v>10</v>
      </c>
      <c r="M52" t="n">
        <v>1</v>
      </c>
      <c r="N52" t="n">
        <v>75</v>
      </c>
      <c r="O52" t="n">
        <v>50</v>
      </c>
      <c r="P52" s="2">
        <f>SUM(U52,V52,W52,AC52,AF52,AH52)</f>
        <v>43.793333333333329</v>
      </c>
      <c r="Q52" s="2">
        <f>P52+(M52*N52)+O52</f>
        <v>168.79333333333332</v>
      </c>
      <c r="R52" t="n">
        <v>0.25</v>
      </c>
      <c r="S52" s="2" t="n">
        <v>38</v>
      </c>
      <c r="T52" s="1" t="n">
        <v>0.03</v>
      </c>
      <c r="U52" s="2">
        <f>S52*(1-T52)</f>
        <v>36.86</v>
      </c>
      <c r="V52" t="n">
        <v>0</v>
      </c>
      <c r="W52" t="n">
        <v>3.9</v>
      </c>
      <c r="X52" s="3" t="n">
        <v>0.7</v>
      </c>
      <c r="Y52" s="1" t="n">
        <v>0.8</v>
      </c>
      <c r="Z52" s="3">
        <f>Y52*X52</f>
        <v>0.55999999999999994</v>
      </c>
      <c r="AA52" s="3">
        <f>IF(I52&lt;&gt;"",X52/INDEX('energy battery'!$B$3:$D$6,MATCH('vehicles specifications'!$D52,'energy battery'!$A$3:$A$6,0),MATCH('vehicles specifications'!$I52,'energy battery'!$B$2:$D$2,0)),"")</f>
        <v>2.3333333333333335</v>
      </c>
      <c r="AB52" s="3">
        <f>IF(AA52&lt;&gt;"",0.3*AA52,"")</f>
        <v>0.70000000000000007</v>
      </c>
      <c r="AC52" s="3">
        <f>IF(AA52&lt;&gt;"",AB52+AA52,"")</f>
        <v>3.0333333333333337</v>
      </c>
      <c r="AD52" t="n">
        <v>0.5</v>
      </c>
      <c r="AE52" t="n">
        <v>0</v>
      </c>
      <c r="AF52" t="n">
        <v>0</v>
      </c>
      <c r="AG52" t="n">
        <v>0</v>
      </c>
      <c r="AH52" t="n">
        <v>0</v>
      </c>
      <c r="AI52" t="n">
        <v>0.5</v>
      </c>
      <c r="AJ52" t="n">
        <v>1</v>
      </c>
      <c r="AK52" s="6">
        <f>J52/15000</f>
        <v>1.3333333333333333</v>
      </c>
      <c r="AL52">
        <f>0.000537/1000*Q52</f>
        <v>9.0642019999999992E-5</v>
      </c>
      <c r="AM52" t="n">
        <v>0</v>
      </c>
      <c r="AN52" s="2">
        <f>U52</f>
        <v>36.86</v>
      </c>
      <c r="AO52" s="2">
        <f>SUM(V52:W52)</f>
        <v>3.9</v>
      </c>
      <c r="AP52" s="2">
        <f>AC52</f>
        <v>3.0333333333333337</v>
      </c>
      <c r="AQ52" s="6" t="inlineStr"/>
      <c r="AR52" s="20" t="n"/>
      <c r="AS52" s="5" t="n">
        <v>0.03470832316329021</v>
      </c>
      <c r="AT52" s="2">
        <f>SUM(Z52,AG52)/(SUM(AQ52,AS52)/3.6)</f>
        <v>58.084050632911385</v>
      </c>
      <c r="AU52" s="5" t="n">
        <v>0</v>
      </c>
      <c r="AV52" s="5" t="n">
        <v>0</v>
      </c>
      <c r="AW52" s="7" t="n">
        <v>0</v>
      </c>
      <c r="AX52" s="7" t="n">
        <v>0</v>
      </c>
      <c r="AY52" s="7" t="n">
        <v>0</v>
      </c>
      <c r="AZ52" s="7" t="n">
        <v>0</v>
      </c>
      <c r="BA52" s="7" t="n">
        <v>0</v>
      </c>
      <c r="BB52" s="7" t="n">
        <v>0</v>
      </c>
      <c r="BC52" s="7" t="n">
        <v>0</v>
      </c>
      <c r="BD52" s="7" t="n">
        <v>0</v>
      </c>
      <c r="BE52" s="7" t="n">
        <v>0</v>
      </c>
      <c r="BF52" s="7" t="n">
        <v>0</v>
      </c>
      <c r="BG52" s="7" t="n">
        <v>0</v>
      </c>
      <c r="BH52" s="7" t="n">
        <v>0</v>
      </c>
      <c r="BI52" s="7" t="n">
        <v>0</v>
      </c>
      <c r="BJ52" s="7" t="n">
        <v>0</v>
      </c>
      <c r="BK52" s="7" t="n">
        <v>0</v>
      </c>
      <c r="BL52" s="7" t="n">
        <v>0</v>
      </c>
      <c r="BM52" s="7" t="n">
        <v>0</v>
      </c>
      <c r="BN52" s="7" t="n">
        <v>0</v>
      </c>
      <c r="BO52" s="7" t="n">
        <v>0</v>
      </c>
      <c r="BP52" s="7" t="n">
        <v>0</v>
      </c>
      <c r="BQ52" s="7" t="n">
        <v>0</v>
      </c>
      <c r="BR52" s="7" t="n">
        <v>0</v>
      </c>
      <c r="BS52" s="7" t="n">
        <v>0</v>
      </c>
      <c r="BT52" s="7" t="n">
        <v>0</v>
      </c>
      <c r="BU52" s="7" t="n">
        <v>0</v>
      </c>
      <c r="BV52" s="7" t="n">
        <v>0</v>
      </c>
      <c r="BW52" s="7" t="n">
        <v>0</v>
      </c>
      <c r="BX52" s="7" t="n">
        <v>0</v>
      </c>
      <c r="BY52" s="7" t="n">
        <v>0</v>
      </c>
      <c r="BZ52" s="7" t="n">
        <v>0</v>
      </c>
      <c r="CA52" s="7" t="n">
        <v>0</v>
      </c>
      <c r="CB52" s="7" t="n">
        <v>0</v>
      </c>
      <c r="CC52" s="7" t="n">
        <v>0</v>
      </c>
      <c r="CD52" s="7" t="n">
        <v>0</v>
      </c>
      <c r="CE52" s="7" t="n">
        <v>0</v>
      </c>
      <c r="CF52" s="7" t="n">
        <v>0</v>
      </c>
      <c r="CG52" s="7" t="n">
        <v>0</v>
      </c>
      <c r="CH52" s="7" t="n">
        <v>0</v>
      </c>
      <c r="CI52" s="7" t="n">
        <v>0</v>
      </c>
      <c r="CJ52" s="7" t="n">
        <v>0</v>
      </c>
      <c r="CK52" s="38">
        <f>VLOOKUP($B52,'abrasion emissions'!$O$7:$R$36,2,FALSE)</f>
        <v>1</v>
      </c>
      <c r="CL52" s="38">
        <f>VLOOKUP($B52,'abrasion emissions'!$O$7:$R$36,3,FALSE)</f>
        <v>0</v>
      </c>
      <c r="CM52" s="38">
        <f>VLOOKUP($B52,'abrasion emissions'!$O$7:$R$36,4,FALSE)</f>
        <v>0</v>
      </c>
      <c r="CN52" s="7">
        <f>((SUMIFS('abrasion emissions'!$M$7:$M$34,'abrasion emissions'!$I$7:$I$34,"PM 2.5",'abrasion emissions'!$J$7:$J$34,"urban",'abrasion emissions'!$K$7:$K$34,"Tyre",'abrasion emissions'!$L$7:$L$34,"b")*POWER(('vehicles specifications'!$Q52/1000),(1/SUMIFS('abrasion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specifications'!$P52/1000),(1/SUMIFS('abrasion emissions'!$M$7:$M$34,'abrasion emissions'!$I$7:$I$34,"PM 10",'abrasion emissions'!$J$7:$J$34,"urban",'abrasion emissions'!$K$7:$K$34,"Tyre",'abrasion emissions'!$L$7:$L$34,"c")))))/1000000</f>
        <v>5.2718476303726863E-6</v>
      </c>
      <c r="CO52" s="7">
        <f>((SUMIFS('abrasion emissions'!$M$7:$M$34,'abrasion emissions'!$I$7:$I$34,"PM 2.5",'abrasion emissions'!$J$7:$J$34,"rural",'abrasion emissions'!$K$7:$K$34,"Tyre",'abrasion emissions'!$L$7:$L$34,"b")*POWER(('vehicles specifications'!$Q52/1000),(1/SUMIFS('abrasion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specifications'!$P52/1000),(1/SUMIFS('abrasion emissions'!$M$7:$M$34,'abrasion emissions'!$I$7:$I$34,"PM 10",'abrasion emissions'!$J$7:$J$34,"rural",'abrasion emissions'!$K$7:$K$34,"Tyre",'abrasion emissions'!$L$7:$L$34,"c")))))/1000000</f>
        <v>4.1077275831644373E-6</v>
      </c>
      <c r="CP52" s="7">
        <f>((SUMIFS('abrasion emissions'!$M$7:$M$34,'abrasion emissions'!$I$7:$I$34,"PM 2.5",'abrasion emissions'!$J$7:$J$34,"motorway",'abrasion emissions'!$K$7:$K$34,"Tyre",'abrasion emissions'!$L$7:$L$34,"b")*POWER(('vehicles specifications'!$Q52/1000),(1/SUMIFS('abrasion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specifications'!$P52/1000),(1/SUMIFS('abrasion emissions'!$M$7:$M$34,'abrasion emissions'!$I$7:$I$34,"PM 10",'abrasion emissions'!$J$7:$J$34,"motorway",'abrasion emissions'!$K$7:$K$34,"Tyre",'abrasion emissions'!$L$7:$L$34,"c")))))/1000000</f>
        <v>3.5128360476428557E-6</v>
      </c>
      <c r="CQ52" s="7">
        <f>((SUMIFS('abrasion emissions'!$M$7:$M$34,'abrasion emissions'!$I$7:$I$34,"PM 2.5",'abrasion emissions'!$J$7:$J$34,"urban",'abrasion emissions'!$K$7:$K$34,"Brake",'abrasion emissions'!$L$7:$L$34,"b")*POWER(('vehicles specifications'!$Q52/1000),(1/SUMIFS('abrasion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specifications'!$P52/1000),(1/SUMIFS('abrasion emissions'!$M$7:$M$34,'abrasion emissions'!$I$7:$I$34,"PM 10",'abrasion emissions'!$J$7:$J$34,"urban",'abrasion emissions'!$K$7:$K$34,"Brake",'abrasion emissions'!$L$7:$L$34,"c")))))/1000000</f>
        <v>5.1220542818673449E-6</v>
      </c>
      <c r="CR52" s="7">
        <f>((SUMIFS('abrasion emissions'!$M$7:$M$34,'abrasion emissions'!$I$7:$I$34,"PM 2.5",'abrasion emissions'!$J$7:$J$34,"rural",'abrasion emissions'!$K$7:$K$34,"Brake",'abrasion emissions'!$L$7:$L$34,"b")*POWER(('vehicles specifications'!$Q52/1000),(1/SUMIFS('abrasion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specifications'!$P52/1000),(1/SUMIFS('abrasion emissions'!$M$7:$M$34,'abrasion emissions'!$I$7:$I$34,"PM 10",'abrasion emissions'!$J$7:$J$34,"rural",'abrasion emissions'!$K$7:$K$34,"Brake",'abrasion emissions'!$L$7:$L$34,"c")))))/1000000</f>
        <v>1.59804659517023E-6</v>
      </c>
      <c r="CS52" s="7">
        <f>((SUMIFS('abrasion emissions'!$M$7:$M$34,'abrasion emissions'!$I$7:$I$34,"PM 2.5",'abrasion emissions'!$J$7:$J$34,"motorway",'abrasion emissions'!$K$7:$K$34,"Brake",'abrasion emissions'!$L$7:$L$34,"b")*POWER(('vehicles specifications'!$Q52/1000),(1/SUMIFS('abrasion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specifications'!$P52/1000),(1/SUMIFS('abrasion emissions'!$M$7:$M$34,'abrasion emissions'!$I$7:$I$34,"PM 10",'abrasion emissions'!$J$7:$J$34,"motorway",'abrasion emissions'!$K$7:$K$34,"Brake",'abrasion emissions'!$L$7:$L$34,"c")))))/1000000</f>
        <v>2.9053946530829619E-7</v>
      </c>
      <c r="CT52" s="7">
        <f>((SUMIFS('abrasion emissions'!$M$7:$M$38,'abrasion emissions'!$I$7:$I$38,"PM 2.5",'abrasion emissions'!$K$7:$K$38,"Re-susp.",'abrasion emissions'!$L$7:$L$38,"b")*POWER(('vehicles specifications'!$Q52/1000),(1/SUMIFS('abrasion emissions'!$M$7:$M$38,'abrasion emissions'!$I$7:$I$38,"PM 2.5",'abrasion emissions'!$K$7:$K$38,"Re-susp.",'abrasion emissions'!$L$7:$L$38,"c"))))+
(SUMIFS('abrasion emissions'!$M$7:$M$38,'abrasion emissions'!$I$7:$I$38,"PM 10",'abrasion emissions'!$K$7:$K$38,"Re-susp.",'abrasion emissions'!$L$7:$L$38,"b")*POWER(('vehicles specifications'!$Q52/1000),(1/SUMIFS('abrasion emissions'!$M$7:$M$38,'abrasion emissions'!$I$7:$I$38,"PM 10",'abrasion emissions'!$K$7:$K$38,"Re-susp.",'abrasion emissions'!$L$7:$L$38,"c")))))/1000000</f>
        <v>3.2541649718223282E-6</v>
      </c>
      <c r="CU52" s="7">
        <f>((SUMIFS('abrasion emissions'!$M$7:$M$38,'abrasion emissions'!$I$7:$I$38,"PM 2.5",'abrasion emissions'!$K$7:$K$38,"Road",'abrasion emissions'!$L$7:$L$38,"b")*POWER(('vehicles specifications'!$Q52/1000),(1/SUMIFS('abrasion emissions'!$M$7:$M$38,'abrasion emissions'!$I$7:$I$38,"PM 2.5",'abrasion emissions'!$K$7:$K$38,"Road",'abrasion emissions'!$L$7:$L$38,"c"))))+
(SUMIFS('abrasion emissions'!$M$7:$M$38,'abrasion emissions'!$I$7:$I$38,"PM 10",'abrasion emissions'!$K$7:$K$38,"Road",'abrasion emissions'!$L$7:$L$38,"b")*POWER(('vehicles specifications'!$Q52/1000),(1/SUMIFS('abrasion emissions'!$M$7:$M$38,'abrasion emissions'!$I$7:$I$38,"PM 10",'abrasion emissions'!$K$7:$K$38,"Road",'abrasion emissions'!$L$7:$L$38,"c")))))/1000000+CT52</f>
        <v>6.369492396306806E-6</v>
      </c>
      <c r="CV52" s="7">
        <f>(CK52*CN52)+(CL52*CO52)+(CM52*CP52)</f>
        <v>5.2718476303726863E-6</v>
      </c>
      <c r="CW52" s="7">
        <f>(CK52*CQ52)+(CL52*CR52)+(CM52*CS52)</f>
        <v>5.1220542818673449E-6</v>
      </c>
    </row>
    <row r="53">
      <c r="A53" t="str">
        <f>B53&amp;" - "&amp;D53&amp;" - "&amp;IF(I53&lt;&gt;"",I53&amp;" - "&amp;E53,E53)</f>
        <v>Bicycle, battery electric, cargo bike - 2040 - NCA - CH</v>
      </c>
      <c r="B53" t="inlineStr">
        <is>
          <t>Bicycle, battery electric, cargo bike</t>
        </is>
      </c>
      <c r="D53" s="18" t="n">
        <v>2040</v>
      </c>
      <c r="E53" t="inlineStr">
        <is>
          <t>CH</t>
        </is>
      </c>
      <c r="F53" t="inlineStr">
        <is>
          <t>None</t>
        </is>
      </c>
      <c r="G53" t="inlineStr">
        <is>
          <t>vkm</t>
        </is>
      </c>
      <c r="H53" t="inlineStr">
        <is>
          <t>BEV</t>
        </is>
      </c>
      <c r="I53" t="inlineStr">
        <is>
          <t>NCA</t>
        </is>
      </c>
      <c r="J53" t="n">
        <v>20000</v>
      </c>
      <c r="K53" t="n">
        <v>2000</v>
      </c>
      <c r="L53" s="2">
        <f>J53/K53</f>
        <v>10</v>
      </c>
      <c r="M53" t="n">
        <v>1</v>
      </c>
      <c r="N53" t="n">
        <v>75</v>
      </c>
      <c r="O53" t="n">
        <v>50</v>
      </c>
      <c r="P53" s="2">
        <f>SUM(U53,V53,W53,AC53,AF53,AH53)</f>
        <v>42.5</v>
      </c>
      <c r="Q53" s="2">
        <f>P53+(M53*N53)+O53</f>
        <v>167.5</v>
      </c>
      <c r="R53" t="n">
        <v>0.25</v>
      </c>
      <c r="S53" s="2" t="n">
        <v>38</v>
      </c>
      <c r="T53" s="1" t="n">
        <v>0.05</v>
      </c>
      <c r="U53" s="2">
        <f>S53*(1-T53)</f>
        <v>36.1</v>
      </c>
      <c r="V53" t="n">
        <v>0</v>
      </c>
      <c r="W53" t="n">
        <v>3.8</v>
      </c>
      <c r="X53" s="3" t="n">
        <v>0.8</v>
      </c>
      <c r="Y53" s="1" t="n">
        <v>0.8</v>
      </c>
      <c r="Z53" s="3">
        <f>Y53*X53</f>
        <v>0.64000000000000012</v>
      </c>
      <c r="AA53" s="3">
        <f>IF(I53&lt;&gt;"",X53/INDEX('energy battery'!$B$3:$D$6,MATCH('vehicles specifications'!$D53,'energy battery'!$A$3:$A$6,0),MATCH('vehicles specifications'!$I53,'energy battery'!$B$2:$D$2,0)),"")</f>
        <v>2</v>
      </c>
      <c r="AB53" s="3">
        <f>IF(AA53&lt;&gt;"",0.3*AA53,"")</f>
        <v>0.6</v>
      </c>
      <c r="AC53" s="3">
        <f>IF(AA53&lt;&gt;"",AB53+AA53,"")</f>
        <v>2.6</v>
      </c>
      <c r="AD53" t="n">
        <v>0.25</v>
      </c>
      <c r="AE53" t="n">
        <v>0</v>
      </c>
      <c r="AF53" t="n">
        <v>0</v>
      </c>
      <c r="AG53" t="n">
        <v>0</v>
      </c>
      <c r="AH53" t="n">
        <v>0</v>
      </c>
      <c r="AI53" t="n">
        <v>0.5</v>
      </c>
      <c r="AJ53" t="n">
        <v>1</v>
      </c>
      <c r="AK53" s="6">
        <f>J53/15000</f>
        <v>1.3333333333333333</v>
      </c>
      <c r="AL53">
        <f>0.000537/1000*Q53</f>
        <v>8.9947500000000006E-5</v>
      </c>
      <c r="AM53" t="n">
        <v>0</v>
      </c>
      <c r="AN53" s="2">
        <f>U53</f>
        <v>36.1</v>
      </c>
      <c r="AO53" s="2">
        <f>SUM(V53:W53)</f>
        <v>3.8</v>
      </c>
      <c r="AP53" s="2">
        <f>AC53</f>
        <v>2.6</v>
      </c>
      <c r="AQ53" s="6" t="inlineStr"/>
      <c r="AR53" s="20" t="n"/>
      <c r="AS53" s="5" t="n">
        <v>0.03470832316329021</v>
      </c>
      <c r="AT53" s="2">
        <f>SUM(Z53,AG53)/(SUM(AQ53,AS53)/3.6)</f>
        <v>66.381772151898744</v>
      </c>
      <c r="AU53" s="5" t="n">
        <v>0</v>
      </c>
      <c r="AV53" s="5" t="n">
        <v>0</v>
      </c>
      <c r="AW53" s="7" t="n">
        <v>0</v>
      </c>
      <c r="AX53" s="7" t="n">
        <v>0</v>
      </c>
      <c r="AY53" s="7" t="n">
        <v>0</v>
      </c>
      <c r="AZ53" s="7" t="n">
        <v>0</v>
      </c>
      <c r="BA53" s="7" t="n">
        <v>0</v>
      </c>
      <c r="BB53" s="7" t="n">
        <v>0</v>
      </c>
      <c r="BC53" s="7" t="n">
        <v>0</v>
      </c>
      <c r="BD53" s="7" t="n">
        <v>0</v>
      </c>
      <c r="BE53" s="7" t="n">
        <v>0</v>
      </c>
      <c r="BF53" s="7" t="n">
        <v>0</v>
      </c>
      <c r="BG53" s="7" t="n">
        <v>0</v>
      </c>
      <c r="BH53" s="7" t="n">
        <v>0</v>
      </c>
      <c r="BI53" s="7" t="n">
        <v>0</v>
      </c>
      <c r="BJ53" s="7" t="n">
        <v>0</v>
      </c>
      <c r="BK53" s="7" t="n">
        <v>0</v>
      </c>
      <c r="BL53" s="7" t="n">
        <v>0</v>
      </c>
      <c r="BM53" s="7" t="n">
        <v>0</v>
      </c>
      <c r="BN53" s="7" t="n">
        <v>0</v>
      </c>
      <c r="BO53" s="7" t="n">
        <v>0</v>
      </c>
      <c r="BP53" s="7" t="n">
        <v>0</v>
      </c>
      <c r="BQ53" s="7" t="n">
        <v>0</v>
      </c>
      <c r="BR53" s="7" t="n">
        <v>0</v>
      </c>
      <c r="BS53" s="7" t="n">
        <v>0</v>
      </c>
      <c r="BT53" s="7" t="n">
        <v>0</v>
      </c>
      <c r="BU53" s="7" t="n">
        <v>0</v>
      </c>
      <c r="BV53" s="7" t="n">
        <v>0</v>
      </c>
      <c r="BW53" s="7" t="n">
        <v>0</v>
      </c>
      <c r="BX53" s="7" t="n">
        <v>0</v>
      </c>
      <c r="BY53" s="7" t="n">
        <v>0</v>
      </c>
      <c r="BZ53" s="7" t="n">
        <v>0</v>
      </c>
      <c r="CA53" s="7" t="n">
        <v>0</v>
      </c>
      <c r="CB53" s="7" t="n">
        <v>0</v>
      </c>
      <c r="CC53" s="7" t="n">
        <v>0</v>
      </c>
      <c r="CD53" s="7" t="n">
        <v>0</v>
      </c>
      <c r="CE53" s="7" t="n">
        <v>0</v>
      </c>
      <c r="CF53" s="7" t="n">
        <v>0</v>
      </c>
      <c r="CG53" s="7" t="n">
        <v>0</v>
      </c>
      <c r="CH53" s="7" t="n">
        <v>0</v>
      </c>
      <c r="CI53" s="7" t="n">
        <v>0</v>
      </c>
      <c r="CJ53" s="7" t="n">
        <v>0</v>
      </c>
      <c r="CK53" s="38">
        <f>VLOOKUP($B53,'abrasion emissions'!$O$7:$R$36,2,FALSE)</f>
        <v>1</v>
      </c>
      <c r="CL53" s="38">
        <f>VLOOKUP($B53,'abrasion emissions'!$O$7:$R$36,3,FALSE)</f>
        <v>0</v>
      </c>
      <c r="CM53" s="38">
        <f>VLOOKUP($B53,'abrasion emissions'!$O$7:$R$36,4,FALSE)</f>
        <v>0</v>
      </c>
      <c r="CN53" s="7">
        <f>((SUMIFS('abrasion emissions'!$M$7:$M$34,'abrasion emissions'!$I$7:$I$34,"PM 2.5",'abrasion emissions'!$J$7:$J$34,"urban",'abrasion emissions'!$K$7:$K$34,"Tyre",'abrasion emissions'!$L$7:$L$34,"b")*POWER(('vehicles specifications'!$Q53/1000),(1/SUMIFS('abrasion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specifications'!$P53/1000),(1/SUMIFS('abrasion emissions'!$M$7:$M$34,'abrasion emissions'!$I$7:$I$34,"PM 10",'abrasion emissions'!$J$7:$J$34,"urban",'abrasion emissions'!$K$7:$K$34,"Tyre",'abrasion emissions'!$L$7:$L$34,"c")))))/1000000</f>
        <v>5.2399420093405223E-6</v>
      </c>
      <c r="CO53" s="7">
        <f>((SUMIFS('abrasion emissions'!$M$7:$M$34,'abrasion emissions'!$I$7:$I$34,"PM 2.5",'abrasion emissions'!$J$7:$J$34,"rural",'abrasion emissions'!$K$7:$K$34,"Tyre",'abrasion emissions'!$L$7:$L$34,"b")*POWER(('vehicles specifications'!$Q53/1000),(1/SUMIFS('abrasion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specifications'!$P53/1000),(1/SUMIFS('abrasion emissions'!$M$7:$M$34,'abrasion emissions'!$I$7:$I$34,"PM 10",'abrasion emissions'!$J$7:$J$34,"rural",'abrasion emissions'!$K$7:$K$34,"Tyre",'abrasion emissions'!$L$7:$L$34,"c")))))/1000000</f>
        <v>4.0829147924434842E-6</v>
      </c>
      <c r="CP53" s="7">
        <f>((SUMIFS('abrasion emissions'!$M$7:$M$34,'abrasion emissions'!$I$7:$I$34,"PM 2.5",'abrasion emissions'!$J$7:$J$34,"motorway",'abrasion emissions'!$K$7:$K$34,"Tyre",'abrasion emissions'!$L$7:$L$34,"b")*POWER(('vehicles specifications'!$Q53/1000),(1/SUMIFS('abrasion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specifications'!$P53/1000),(1/SUMIFS('abrasion emissions'!$M$7:$M$34,'abrasion emissions'!$I$7:$I$34,"PM 10",'abrasion emissions'!$J$7:$J$34,"motorway",'abrasion emissions'!$K$7:$K$34,"Tyre",'abrasion emissions'!$L$7:$L$34,"c")))))/1000000</f>
        <v>3.4917358290534222E-6</v>
      </c>
      <c r="CQ53" s="7">
        <f>((SUMIFS('abrasion emissions'!$M$7:$M$34,'abrasion emissions'!$I$7:$I$34,"PM 2.5",'abrasion emissions'!$J$7:$J$34,"urban",'abrasion emissions'!$K$7:$K$34,"Brake",'abrasion emissions'!$L$7:$L$34,"b")*POWER(('vehicles specifications'!$Q53/1000),(1/SUMIFS('abrasion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specifications'!$P53/1000),(1/SUMIFS('abrasion emissions'!$M$7:$M$34,'abrasion emissions'!$I$7:$I$34,"PM 10",'abrasion emissions'!$J$7:$J$34,"urban",'abrasion emissions'!$K$7:$K$34,"Brake",'abrasion emissions'!$L$7:$L$34,"c")))))/1000000</f>
        <v>5.0919597087390986E-6</v>
      </c>
      <c r="CR53" s="7">
        <f>((SUMIFS('abrasion emissions'!$M$7:$M$34,'abrasion emissions'!$I$7:$I$34,"PM 2.5",'abrasion emissions'!$J$7:$J$34,"rural",'abrasion emissions'!$K$7:$K$34,"Brake",'abrasion emissions'!$L$7:$L$34,"b")*POWER(('vehicles specifications'!$Q53/1000),(1/SUMIFS('abrasion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specifications'!$P53/1000),(1/SUMIFS('abrasion emissions'!$M$7:$M$34,'abrasion emissions'!$I$7:$I$34,"PM 10",'abrasion emissions'!$J$7:$J$34,"rural",'abrasion emissions'!$K$7:$K$34,"Brake",'abrasion emissions'!$L$7:$L$34,"c")))))/1000000</f>
        <v>1.5865918729986505E-6</v>
      </c>
      <c r="CS53" s="7">
        <f>((SUMIFS('abrasion emissions'!$M$7:$M$34,'abrasion emissions'!$I$7:$I$34,"PM 2.5",'abrasion emissions'!$J$7:$J$34,"motorway",'abrasion emissions'!$K$7:$K$34,"Brake",'abrasion emissions'!$L$7:$L$34,"b")*POWER(('vehicles specifications'!$Q53/1000),(1/SUMIFS('abrasion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specifications'!$P53/1000),(1/SUMIFS('abrasion emissions'!$M$7:$M$34,'abrasion emissions'!$I$7:$I$34,"PM 10",'abrasion emissions'!$J$7:$J$34,"motorway",'abrasion emissions'!$K$7:$K$34,"Brake",'abrasion emissions'!$L$7:$L$34,"c")))))/1000000</f>
        <v>2.8821626217666933E-7</v>
      </c>
      <c r="CT53" s="7">
        <f>((SUMIFS('abrasion emissions'!$M$7:$M$38,'abrasion emissions'!$I$7:$I$38,"PM 2.5",'abrasion emissions'!$K$7:$K$38,"Re-susp.",'abrasion emissions'!$L$7:$L$38,"b")*POWER(('vehicles specifications'!$Q53/1000),(1/SUMIFS('abrasion emissions'!$M$7:$M$38,'abrasion emissions'!$I$7:$I$38,"PM 2.5",'abrasion emissions'!$K$7:$K$38,"Re-susp.",'abrasion emissions'!$L$7:$L$38,"c"))))+
(SUMIFS('abrasion emissions'!$M$7:$M$38,'abrasion emissions'!$I$7:$I$38,"PM 10",'abrasion emissions'!$K$7:$K$38,"Re-susp.",'abrasion emissions'!$L$7:$L$38,"b")*POWER(('vehicles specifications'!$Q53/1000),(1/SUMIFS('abrasion emissions'!$M$7:$M$38,'abrasion emissions'!$I$7:$I$38,"PM 10",'abrasion emissions'!$K$7:$K$38,"Re-susp.",'abrasion emissions'!$L$7:$L$38,"c")))))/1000000</f>
        <v>3.2314896366056883E-6</v>
      </c>
      <c r="CU53" s="7">
        <f>((SUMIFS('abrasion emissions'!$M$7:$M$38,'abrasion emissions'!$I$7:$I$38,"PM 2.5",'abrasion emissions'!$K$7:$K$38,"Road",'abrasion emissions'!$L$7:$L$38,"b")*POWER(('vehicles specifications'!$Q53/1000),(1/SUMIFS('abrasion emissions'!$M$7:$M$38,'abrasion emissions'!$I$7:$I$38,"PM 2.5",'abrasion emissions'!$K$7:$K$38,"Road",'abrasion emissions'!$L$7:$L$38,"c"))))+
(SUMIFS('abrasion emissions'!$M$7:$M$38,'abrasion emissions'!$I$7:$I$38,"PM 10",'abrasion emissions'!$K$7:$K$38,"Road",'abrasion emissions'!$L$7:$L$38,"b")*POWER(('vehicles specifications'!$Q53/1000),(1/SUMIFS('abrasion emissions'!$M$7:$M$38,'abrasion emissions'!$I$7:$I$38,"PM 10",'abrasion emissions'!$K$7:$K$38,"Road",'abrasion emissions'!$L$7:$L$38,"c")))))/1000000+CT53</f>
        <v>6.3308830992789148E-6</v>
      </c>
      <c r="CV53" s="7">
        <f>(CK53*CN53)+(CL53*CO53)+(CM53*CP53)</f>
        <v>5.2399420093405223E-6</v>
      </c>
      <c r="CW53" s="7">
        <f>(CK53*CQ53)+(CL53*CR53)+(CM53*CS53)</f>
        <v>5.0919597087390986E-6</v>
      </c>
    </row>
    <row r="54">
      <c r="A54" t="str">
        <f>B54&amp;" - "&amp;D54&amp;" - "&amp;IF(I54&lt;&gt;"",I54&amp;" - "&amp;E54,E54)</f>
        <v>Bicycle, battery electric, cargo bike - 2050 - NCA - CH</v>
      </c>
      <c r="B54" t="inlineStr">
        <is>
          <t>Bicycle, battery electric, cargo bike</t>
        </is>
      </c>
      <c r="D54" s="18" t="n">
        <v>2050</v>
      </c>
      <c r="E54" t="inlineStr">
        <is>
          <t>CH</t>
        </is>
      </c>
      <c r="F54" t="inlineStr">
        <is>
          <t>None</t>
        </is>
      </c>
      <c r="G54" t="inlineStr">
        <is>
          <t>vkm</t>
        </is>
      </c>
      <c r="H54" t="inlineStr">
        <is>
          <t>BEV</t>
        </is>
      </c>
      <c r="I54" t="inlineStr">
        <is>
          <t>NCA</t>
        </is>
      </c>
      <c r="J54" t="n">
        <v>20000</v>
      </c>
      <c r="K54" t="n">
        <v>2000</v>
      </c>
      <c r="L54" s="2">
        <f>J54/K54</f>
        <v>10</v>
      </c>
      <c r="M54" t="n">
        <v>1</v>
      </c>
      <c r="N54" t="n">
        <v>75</v>
      </c>
      <c r="O54" t="n">
        <v>50</v>
      </c>
      <c r="P54" s="2">
        <f>SUM(U54,V54,W54,AC54,AF54,AH54)</f>
        <v>41.64</v>
      </c>
      <c r="Q54" s="2">
        <f>P54+(M54*N54)+O54</f>
        <v>166.64</v>
      </c>
      <c r="R54" t="n">
        <v>0.25</v>
      </c>
      <c r="S54" s="2" t="n">
        <v>38</v>
      </c>
      <c r="T54" s="1" t="n">
        <v>0.07000000000000001</v>
      </c>
      <c r="U54" s="2">
        <f>S54*(1-T54)</f>
        <v>35.339999999999996</v>
      </c>
      <c r="V54" t="n">
        <v>0</v>
      </c>
      <c r="W54" t="n">
        <v>3.7</v>
      </c>
      <c r="X54" s="3" t="n">
        <v>1</v>
      </c>
      <c r="Y54" s="1" t="n">
        <v>0.8</v>
      </c>
      <c r="Z54" s="3">
        <f>Y54*X54</f>
        <v>0.8</v>
      </c>
      <c r="AA54" s="3">
        <f>IF(I54&lt;&gt;"",X54/INDEX('energy battery'!$B$3:$D$6,MATCH('vehicles specifications'!$D54,'energy battery'!$A$3:$A$6,0),MATCH('vehicles specifications'!$I54,'energy battery'!$B$2:$D$2,0)),"")</f>
        <v>2</v>
      </c>
      <c r="AB54" s="3">
        <f>IF(AA54&lt;&gt;"",0.3*AA54,"")</f>
        <v>0.6</v>
      </c>
      <c r="AC54" s="3">
        <f>IF(AA54&lt;&gt;"",AB54+AA54,"")</f>
        <v>2.6</v>
      </c>
      <c r="AD54" t="n">
        <v>0</v>
      </c>
      <c r="AE54" t="n">
        <v>0</v>
      </c>
      <c r="AF54" t="n">
        <v>0</v>
      </c>
      <c r="AG54" t="n">
        <v>0</v>
      </c>
      <c r="AH54" t="n">
        <v>0</v>
      </c>
      <c r="AI54" t="n">
        <v>0.5</v>
      </c>
      <c r="AJ54" t="n">
        <v>1</v>
      </c>
      <c r="AK54" s="6">
        <f>J54/15000</f>
        <v>1.3333333333333333</v>
      </c>
      <c r="AL54">
        <f>0.000537/1000*Q54</f>
        <v>8.9485679999999995E-5</v>
      </c>
      <c r="AM54" t="n">
        <v>0</v>
      </c>
      <c r="AN54" s="2">
        <f>U54</f>
        <v>35.339999999999996</v>
      </c>
      <c r="AO54" s="2">
        <f>SUM(V54:W54)</f>
        <v>3.7</v>
      </c>
      <c r="AP54" s="2">
        <f>AC54</f>
        <v>2.6</v>
      </c>
      <c r="AQ54" s="6" t="inlineStr"/>
      <c r="AR54" s="20" t="n"/>
      <c r="AS54" s="5" t="n">
        <v>0.03470832316329021</v>
      </c>
      <c r="AT54" s="2">
        <f>SUM(Z54,AG54)/(SUM(AQ54,AS54)/3.6)</f>
        <v>82.977215189873419</v>
      </c>
      <c r="AU54" s="5" t="n">
        <v>0</v>
      </c>
      <c r="AV54" s="5" t="n">
        <v>0</v>
      </c>
      <c r="AW54" s="7" t="n">
        <v>0</v>
      </c>
      <c r="AX54" s="7" t="n">
        <v>0</v>
      </c>
      <c r="AY54" s="7" t="n">
        <v>0</v>
      </c>
      <c r="AZ54" s="7" t="n">
        <v>0</v>
      </c>
      <c r="BA54" s="7" t="n">
        <v>0</v>
      </c>
      <c r="BB54" s="7" t="n">
        <v>0</v>
      </c>
      <c r="BC54" s="7" t="n">
        <v>0</v>
      </c>
      <c r="BD54" s="7" t="n">
        <v>0</v>
      </c>
      <c r="BE54" s="7" t="n">
        <v>0</v>
      </c>
      <c r="BF54" s="7" t="n">
        <v>0</v>
      </c>
      <c r="BG54" s="7" t="n">
        <v>0</v>
      </c>
      <c r="BH54" s="7" t="n">
        <v>0</v>
      </c>
      <c r="BI54" s="7" t="n">
        <v>0</v>
      </c>
      <c r="BJ54" s="7" t="n">
        <v>0</v>
      </c>
      <c r="BK54" s="7" t="n">
        <v>0</v>
      </c>
      <c r="BL54" s="7" t="n">
        <v>0</v>
      </c>
      <c r="BM54" s="7" t="n">
        <v>0</v>
      </c>
      <c r="BN54" s="7" t="n">
        <v>0</v>
      </c>
      <c r="BO54" s="7" t="n">
        <v>0</v>
      </c>
      <c r="BP54" s="7" t="n">
        <v>0</v>
      </c>
      <c r="BQ54" s="7" t="n">
        <v>0</v>
      </c>
      <c r="BR54" s="7" t="n">
        <v>0</v>
      </c>
      <c r="BS54" s="7" t="n">
        <v>0</v>
      </c>
      <c r="BT54" s="7" t="n">
        <v>0</v>
      </c>
      <c r="BU54" s="7" t="n">
        <v>0</v>
      </c>
      <c r="BV54" s="7" t="n">
        <v>0</v>
      </c>
      <c r="BW54" s="7" t="n">
        <v>0</v>
      </c>
      <c r="BX54" s="7" t="n">
        <v>0</v>
      </c>
      <c r="BY54" s="7" t="n">
        <v>0</v>
      </c>
      <c r="BZ54" s="7" t="n">
        <v>0</v>
      </c>
      <c r="CA54" s="7" t="n">
        <v>0</v>
      </c>
      <c r="CB54" s="7" t="n">
        <v>0</v>
      </c>
      <c r="CC54" s="7" t="n">
        <v>0</v>
      </c>
      <c r="CD54" s="7" t="n">
        <v>0</v>
      </c>
      <c r="CE54" s="7" t="n">
        <v>0</v>
      </c>
      <c r="CF54" s="7" t="n">
        <v>0</v>
      </c>
      <c r="CG54" s="7" t="n">
        <v>0</v>
      </c>
      <c r="CH54" s="7" t="n">
        <v>0</v>
      </c>
      <c r="CI54" s="7" t="n">
        <v>0</v>
      </c>
      <c r="CJ54" s="7" t="n">
        <v>0</v>
      </c>
      <c r="CK54" s="38">
        <f>VLOOKUP($B54,'abrasion emissions'!$O$7:$R$36,2,FALSE)</f>
        <v>1</v>
      </c>
      <c r="CL54" s="38">
        <f>VLOOKUP($B54,'abrasion emissions'!$O$7:$R$36,3,FALSE)</f>
        <v>0</v>
      </c>
      <c r="CM54" s="38">
        <f>VLOOKUP($B54,'abrasion emissions'!$O$7:$R$36,4,FALSE)</f>
        <v>0</v>
      </c>
      <c r="CN54" s="7">
        <f>((SUMIFS('abrasion emissions'!$M$7:$M$34,'abrasion emissions'!$I$7:$I$34,"PM 2.5",'abrasion emissions'!$J$7:$J$34,"urban",'abrasion emissions'!$K$7:$K$34,"Tyre",'abrasion emissions'!$L$7:$L$34,"b")*POWER(('vehicles specifications'!$Q54/1000),(1/SUMIFS('abrasion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specifications'!$P54/1000),(1/SUMIFS('abrasion emissions'!$M$7:$M$34,'abrasion emissions'!$I$7:$I$34,"PM 10",'abrasion emissions'!$J$7:$J$34,"urban",'abrasion emissions'!$K$7:$K$34,"Tyre",'abrasion emissions'!$L$7:$L$34,"c")))))/1000000</f>
        <v>5.2185117330067561E-6</v>
      </c>
      <c r="CO54" s="7">
        <f>((SUMIFS('abrasion emissions'!$M$7:$M$34,'abrasion emissions'!$I$7:$I$34,"PM 2.5",'abrasion emissions'!$J$7:$J$34,"rural",'abrasion emissions'!$K$7:$K$34,"Tyre",'abrasion emissions'!$L$7:$L$34,"b")*POWER(('vehicles specifications'!$Q54/1000),(1/SUMIFS('abrasion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specifications'!$P54/1000),(1/SUMIFS('abrasion emissions'!$M$7:$M$34,'abrasion emissions'!$I$7:$I$34,"PM 10",'abrasion emissions'!$J$7:$J$34,"rural",'abrasion emissions'!$K$7:$K$34,"Tyre",'abrasion emissions'!$L$7:$L$34,"c")))))/1000000</f>
        <v>4.0662488599771351E-6</v>
      </c>
      <c r="CP54" s="7">
        <f>((SUMIFS('abrasion emissions'!$M$7:$M$34,'abrasion emissions'!$I$7:$I$34,"PM 2.5",'abrasion emissions'!$J$7:$J$34,"motorway",'abrasion emissions'!$K$7:$K$34,"Tyre",'abrasion emissions'!$L$7:$L$34,"b")*POWER(('vehicles specifications'!$Q54/1000),(1/SUMIFS('abrasion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specifications'!$P54/1000),(1/SUMIFS('abrasion emissions'!$M$7:$M$34,'abrasion emissions'!$I$7:$I$34,"PM 10",'abrasion emissions'!$J$7:$J$34,"motorway",'abrasion emissions'!$K$7:$K$34,"Tyre",'abrasion emissions'!$L$7:$L$34,"c")))))/1000000</f>
        <v>3.4775641417735192E-6</v>
      </c>
      <c r="CQ54" s="7">
        <f>((SUMIFS('abrasion emissions'!$M$7:$M$34,'abrasion emissions'!$I$7:$I$34,"PM 2.5",'abrasion emissions'!$J$7:$J$34,"urban",'abrasion emissions'!$K$7:$K$34,"Brake",'abrasion emissions'!$L$7:$L$34,"b")*POWER(('vehicles specifications'!$Q54/1000),(1/SUMIFS('abrasion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specifications'!$P54/1000),(1/SUMIFS('abrasion emissions'!$M$7:$M$34,'abrasion emissions'!$I$7:$I$34,"PM 10",'abrasion emissions'!$J$7:$J$34,"urban",'abrasion emissions'!$K$7:$K$34,"Brake",'abrasion emissions'!$L$7:$L$34,"c")))))/1000000</f>
        <v>5.0718117291060781E-6</v>
      </c>
      <c r="CR54" s="7">
        <f>((SUMIFS('abrasion emissions'!$M$7:$M$34,'abrasion emissions'!$I$7:$I$34,"PM 2.5",'abrasion emissions'!$J$7:$J$34,"rural",'abrasion emissions'!$K$7:$K$34,"Brake",'abrasion emissions'!$L$7:$L$34,"b")*POWER(('vehicles specifications'!$Q54/1000),(1/SUMIFS('abrasion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specifications'!$P54/1000),(1/SUMIFS('abrasion emissions'!$M$7:$M$34,'abrasion emissions'!$I$7:$I$34,"PM 10",'abrasion emissions'!$J$7:$J$34,"rural",'abrasion emissions'!$K$7:$K$34,"Brake",'abrasion emissions'!$L$7:$L$34,"c")))))/1000000</f>
        <v>1.5789401928249315E-6</v>
      </c>
      <c r="CS54" s="7">
        <f>((SUMIFS('abrasion emissions'!$M$7:$M$34,'abrasion emissions'!$I$7:$I$34,"PM 2.5",'abrasion emissions'!$J$7:$J$34,"motorway",'abrasion emissions'!$K$7:$K$34,"Brake",'abrasion emissions'!$L$7:$L$34,"b")*POWER(('vehicles specifications'!$Q54/1000),(1/SUMIFS('abrasion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specifications'!$P54/1000),(1/SUMIFS('abrasion emissions'!$M$7:$M$34,'abrasion emissions'!$I$7:$I$34,"PM 10",'abrasion emissions'!$J$7:$J$34,"motorway",'abrasion emissions'!$K$7:$K$34,"Brake",'abrasion emissions'!$L$7:$L$34,"c")))))/1000000</f>
        <v>2.8666677785993169E-7</v>
      </c>
      <c r="CT54" s="7">
        <f>((SUMIFS('abrasion emissions'!$M$7:$M$38,'abrasion emissions'!$I$7:$I$38,"PM 2.5",'abrasion emissions'!$K$7:$K$38,"Re-susp.",'abrasion emissions'!$L$7:$L$38,"b")*POWER(('vehicles specifications'!$Q54/1000),(1/SUMIFS('abrasion emissions'!$M$7:$M$38,'abrasion emissions'!$I$7:$I$38,"PM 2.5",'abrasion emissions'!$K$7:$K$38,"Re-susp.",'abrasion emissions'!$L$7:$L$38,"c"))))+
(SUMIFS('abrasion emissions'!$M$7:$M$38,'abrasion emissions'!$I$7:$I$38,"PM 10",'abrasion emissions'!$K$7:$K$38,"Re-susp.",'abrasion emissions'!$L$7:$L$38,"b")*POWER(('vehicles specifications'!$Q54/1000),(1/SUMIFS('abrasion emissions'!$M$7:$M$38,'abrasion emissions'!$I$7:$I$38,"PM 10",'abrasion emissions'!$K$7:$K$38,"Re-susp.",'abrasion emissions'!$L$7:$L$38,"c")))))/1000000</f>
        <v>3.2164029018452979E-6</v>
      </c>
      <c r="CU54" s="7">
        <f>((SUMIFS('abrasion emissions'!$M$7:$M$38,'abrasion emissions'!$I$7:$I$38,"PM 2.5",'abrasion emissions'!$K$7:$K$38,"Road",'abrasion emissions'!$L$7:$L$38,"b")*POWER(('vehicles specifications'!$Q54/1000),(1/SUMIFS('abrasion emissions'!$M$7:$M$38,'abrasion emissions'!$I$7:$I$38,"PM 2.5",'abrasion emissions'!$K$7:$K$38,"Road",'abrasion emissions'!$L$7:$L$38,"c"))))+
(SUMIFS('abrasion emissions'!$M$7:$M$38,'abrasion emissions'!$I$7:$I$38,"PM 10",'abrasion emissions'!$K$7:$K$38,"Road",'abrasion emissions'!$L$7:$L$38,"b")*POWER(('vehicles specifications'!$Q54/1000),(1/SUMIFS('abrasion emissions'!$M$7:$M$38,'abrasion emissions'!$I$7:$I$38,"PM 10",'abrasion emissions'!$K$7:$K$38,"Road",'abrasion emissions'!$L$7:$L$38,"c")))))/1000000+CT54</f>
        <v>6.305178396338356E-6</v>
      </c>
      <c r="CV54" s="7">
        <f>(CK54*CN54)+(CL54*CO54)+(CM54*CP54)</f>
        <v>5.2185117330067561E-6</v>
      </c>
      <c r="CW54" s="7">
        <f>(CK54*CQ54)+(CL54*CR54)+(CM54*CS54)</f>
        <v>5.0718117291060781E-6</v>
      </c>
    </row>
    <row r="55">
      <c r="A55" t="str">
        <f>B55&amp;" - "&amp;D55&amp;" - "&amp;IF(I55&lt;&gt;"",I55&amp;" - "&amp;E55,E55)</f>
        <v>Tram, electric - 2020 - CH</v>
      </c>
      <c r="B55" t="inlineStr">
        <is>
          <t>Tram, electric</t>
        </is>
      </c>
      <c r="C55" t="inlineStr">
        <is>
          <t>43m</t>
        </is>
      </c>
      <c r="D55" s="18" t="n">
        <v>2020</v>
      </c>
      <c r="E55" t="inlineStr">
        <is>
          <t>CH</t>
        </is>
      </c>
      <c r="F55" t="inlineStr">
        <is>
          <t>None</t>
        </is>
      </c>
      <c r="G55" t="inlineStr">
        <is>
          <t>pkm</t>
        </is>
      </c>
      <c r="H55" t="inlineStr">
        <is>
          <t>BEV</t>
        </is>
      </c>
      <c r="J55" t="n">
        <v>2800000</v>
      </c>
      <c r="K55" t="n">
        <v>70000</v>
      </c>
      <c r="L55" s="2">
        <f>J55/K55</f>
        <v>40</v>
      </c>
      <c r="M55" t="n">
        <v>38</v>
      </c>
      <c r="N55" t="n">
        <v>75</v>
      </c>
      <c r="O55" t="n">
        <v>120</v>
      </c>
      <c r="P55" s="2">
        <f>SUM(U55,V55,W55,AC55,AF55,AH55)</f>
        <v>54000</v>
      </c>
      <c r="Q55">
        <f>P55+(M55*N55)+O55</f>
        <v>56970</v>
      </c>
      <c r="R55" t="n">
        <v>660</v>
      </c>
      <c r="S55" s="2" t="n">
        <v>43200</v>
      </c>
      <c r="T55" s="1" t="n">
        <v>0</v>
      </c>
      <c r="U55" s="2">
        <f>S55*(1-T55)</f>
        <v>43200</v>
      </c>
      <c r="V55" t="n">
        <v>7800</v>
      </c>
      <c r="W55" t="n">
        <v>3000</v>
      </c>
      <c r="X55" s="3" t="n">
        <v>0</v>
      </c>
      <c r="Y55" s="1" t="n">
        <v>0.8</v>
      </c>
      <c r="Z55" s="3">
        <f>Y55*X55</f>
        <v>0</v>
      </c>
      <c r="AA55" s="3">
        <f>IF(I55&lt;&gt;"",X55/INDEX('energy battery'!$B$3:$D$6,MATCH('vehicles specifications'!$D55,'energy battery'!$A$3:$A$6,0),MATCH('vehicles specifications'!$I55,'energy battery'!$B$2:$D$2,0)),"")</f>
        <v/>
      </c>
      <c r="AB55" s="3">
        <f>IF(AA55&lt;&gt;"",0.3*AA55,"")</f>
        <v/>
      </c>
      <c r="AC55" s="3">
        <f>IF(AA55&lt;&gt;"",AB55+AA55,"")</f>
        <v/>
      </c>
      <c r="AD55" s="3" t="n">
        <v>0</v>
      </c>
      <c r="AE55" t="n">
        <v>0</v>
      </c>
      <c r="AF55" t="n">
        <v>0</v>
      </c>
      <c r="AG55" t="n">
        <v>0</v>
      </c>
      <c r="AH55" t="n">
        <v>0</v>
      </c>
      <c r="AI55" t="n">
        <v>0</v>
      </c>
      <c r="AJ55" t="n">
        <v>0</v>
      </c>
      <c r="AK55" s="6">
        <f>L55/30</f>
        <v>1.3333333333333333</v>
      </c>
      <c r="AL55">
        <f>0.00012*M55</f>
        <v>4.5599999999999998E-3</v>
      </c>
      <c r="AM55" t="n">
        <v>0</v>
      </c>
      <c r="AN55" s="2">
        <f>U55</f>
        <v>43200</v>
      </c>
      <c r="AO55" s="2">
        <f>SUM(V55:W55)</f>
        <v>10800</v>
      </c>
      <c r="AP55" s="2">
        <f>AC55</f>
        <v/>
      </c>
      <c r="AQ55" s="6" t="inlineStr"/>
      <c r="AR55" s="20" t="n"/>
      <c r="AS55" s="6" t="n">
        <v>13.3</v>
      </c>
      <c r="AT55" s="2">
        <f>SUM(Z55,AG55)/(SUM(AQ55,AS55)/3.6)</f>
        <v>0</v>
      </c>
      <c r="AU55" s="5" t="n">
        <v>0</v>
      </c>
      <c r="AV55" s="5" t="n">
        <v>0</v>
      </c>
      <c r="AW55" s="7" t="n">
        <v>0</v>
      </c>
      <c r="AX55" s="7" t="n">
        <v>0</v>
      </c>
      <c r="AY55" s="7" t="n">
        <v>0</v>
      </c>
      <c r="AZ55" s="7" t="n">
        <v>0</v>
      </c>
      <c r="BA55" s="7" t="n">
        <v>0</v>
      </c>
      <c r="BB55" s="7" t="n">
        <v>0</v>
      </c>
      <c r="BC55" s="7" t="n">
        <v>0</v>
      </c>
      <c r="BD55" s="7" t="n">
        <v>0</v>
      </c>
      <c r="BE55" s="7" t="n">
        <v>0</v>
      </c>
      <c r="BF55" s="7" t="n">
        <v>0</v>
      </c>
      <c r="BG55" s="7" t="n">
        <v>0</v>
      </c>
      <c r="BH55" s="7" t="n">
        <v>0</v>
      </c>
      <c r="BI55" s="7" t="n">
        <v>0</v>
      </c>
      <c r="BJ55" s="7" t="n">
        <v>0</v>
      </c>
      <c r="BK55" s="7" t="n">
        <v>0</v>
      </c>
      <c r="BL55" s="7" t="n">
        <v>0</v>
      </c>
      <c r="BM55" s="7" t="n">
        <v>0</v>
      </c>
      <c r="BN55" s="7" t="n">
        <v>0</v>
      </c>
      <c r="BO55" s="7" t="n">
        <v>0</v>
      </c>
      <c r="BP55" s="7" t="n">
        <v>0</v>
      </c>
      <c r="BQ55" s="7" t="n">
        <v>0</v>
      </c>
      <c r="BR55" s="7" t="n">
        <v>0</v>
      </c>
      <c r="BS55" s="7" t="n">
        <v>0</v>
      </c>
      <c r="BT55" s="7" t="n">
        <v>0</v>
      </c>
      <c r="BU55" s="7" t="n">
        <v>0</v>
      </c>
      <c r="BV55" s="7" t="n">
        <v>0</v>
      </c>
      <c r="BW55" s="7" t="n">
        <v>0</v>
      </c>
      <c r="BX55" s="7" t="n">
        <v>0</v>
      </c>
      <c r="BY55" s="7" t="n">
        <v>0</v>
      </c>
      <c r="BZ55" s="7" t="n">
        <v>0</v>
      </c>
      <c r="CA55" s="7" t="n">
        <v>0</v>
      </c>
      <c r="CB55" s="7" t="n">
        <v>0</v>
      </c>
      <c r="CC55" s="7" t="n">
        <v>0</v>
      </c>
      <c r="CD55" s="7" t="n">
        <v>0</v>
      </c>
      <c r="CE55" s="7" t="n">
        <v>0</v>
      </c>
      <c r="CF55" s="7" t="n">
        <v>0</v>
      </c>
      <c r="CG55" s="7" t="n">
        <v>0</v>
      </c>
      <c r="CH55" s="7" t="n">
        <v>0</v>
      </c>
      <c r="CI55" s="7" t="n">
        <v>0</v>
      </c>
      <c r="CJ55" s="7" t="n">
        <v>0</v>
      </c>
      <c r="CK55" s="38" t="str">
        <f>VLOOKUP($B55,'abrasion emissions'!$O$7:$R$36,2,FALSE)</f>
        <v>#N/A</v>
      </c>
      <c r="CL55" s="38" t="str">
        <f>VLOOKUP($B55,'abrasion emissions'!$O$7:$R$36,3,FALSE)</f>
        <v>#N/A</v>
      </c>
      <c r="CM55" s="38" t="str">
        <f>VLOOKUP($B55,'abrasion emissions'!$O$7:$R$36,4,FALSE)</f>
        <v>#N/A</v>
      </c>
      <c r="CN55" s="7">
        <f>((SUMIFS('abrasion emissions'!$M$7:$M$34,'abrasion emissions'!$I$7:$I$34,"PM 2.5",'abrasion emissions'!$J$7:$J$34,"urban",'abrasion emissions'!$K$7:$K$34,"Tyre",'abrasion emissions'!$L$7:$L$34,"b")*POWER(('vehicles specifications'!$Q55/1000),(1/SUMIFS('abrasion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specifications'!$P55/1000),(1/SUMIFS('abrasion emissions'!$M$7:$M$34,'abrasion emissions'!$I$7:$I$34,"PM 10",'abrasion emissions'!$J$7:$J$34,"urban",'abrasion emissions'!$K$7:$K$34,"Tyre",'abrasion emissions'!$L$7:$L$34,"c")))))/1000000</f>
        <v>8.0406778461654231E-5</v>
      </c>
      <c r="CO55" s="7">
        <f>((SUMIFS('abrasion emissions'!$M$7:$M$34,'abrasion emissions'!$I$7:$I$34,"PM 2.5",'abrasion emissions'!$J$7:$J$34,"rural",'abrasion emissions'!$K$7:$K$34,"Tyre",'abrasion emissions'!$L$7:$L$34,"b")*POWER(('vehicles specifications'!$Q55/1000),(1/SUMIFS('abrasion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specifications'!$P55/1000),(1/SUMIFS('abrasion emissions'!$M$7:$M$34,'abrasion emissions'!$I$7:$I$34,"PM 10",'abrasion emissions'!$J$7:$J$34,"rural",'abrasion emissions'!$K$7:$K$34,"Tyre",'abrasion emissions'!$L$7:$L$34,"c")))))/1000000</f>
        <v>6.2604517047010552E-5</v>
      </c>
      <c r="CP55" s="7">
        <f>((SUMIFS('abrasion emissions'!$M$7:$M$34,'abrasion emissions'!$I$7:$I$34,"PM 2.5",'abrasion emissions'!$J$7:$J$34,"motorway",'abrasion emissions'!$K$7:$K$34,"Tyre",'abrasion emissions'!$L$7:$L$34,"b")*POWER(('vehicles specifications'!$Q55/1000),(1/SUMIFS('abrasion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specifications'!$P55/1000),(1/SUMIFS('abrasion emissions'!$M$7:$M$34,'abrasion emissions'!$I$7:$I$34,"PM 10",'abrasion emissions'!$J$7:$J$34,"motorway",'abrasion emissions'!$K$7:$K$34,"Tyre",'abrasion emissions'!$L$7:$L$34,"c")))))/1000000</f>
        <v>5.3420126710347625E-5</v>
      </c>
      <c r="CQ55" s="7">
        <f>((SUMIFS('abrasion emissions'!$M$7:$M$34,'abrasion emissions'!$I$7:$I$34,"PM 2.5",'abrasion emissions'!$J$7:$J$34,"urban",'abrasion emissions'!$K$7:$K$34,"Brake",'abrasion emissions'!$L$7:$L$34,"b")*POWER(('vehicles specifications'!$Q55/1000),(1/SUMIFS('abrasion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specifications'!$P55/1000),(1/SUMIFS('abrasion emissions'!$M$7:$M$34,'abrasion emissions'!$I$7:$I$34,"PM 10",'abrasion emissions'!$J$7:$J$34,"urban",'abrasion emissions'!$K$7:$K$34,"Brake",'abrasion emissions'!$L$7:$L$34,"c")))))/1000000</f>
        <v>1.2662534993081333E-4</v>
      </c>
      <c r="CR55" s="7">
        <f>((SUMIFS('abrasion emissions'!$M$7:$M$34,'abrasion emissions'!$I$7:$I$34,"PM 2.5",'abrasion emissions'!$J$7:$J$34,"rural",'abrasion emissions'!$K$7:$K$34,"Brake",'abrasion emissions'!$L$7:$L$34,"b")*POWER(('vehicles specifications'!$Q55/1000),(1/SUMIFS('abrasion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specifications'!$P55/1000),(1/SUMIFS('abrasion emissions'!$M$7:$M$34,'abrasion emissions'!$I$7:$I$34,"PM 10",'abrasion emissions'!$J$7:$J$34,"rural",'abrasion emissions'!$K$7:$K$34,"Brake",'abrasion emissions'!$L$7:$L$34,"c")))))/1000000</f>
        <v>9.2341833570672464E-5</v>
      </c>
      <c r="CS55" s="7">
        <f>((SUMIFS('abrasion emissions'!$M$7:$M$34,'abrasion emissions'!$I$7:$I$34,"PM 2.5",'abrasion emissions'!$J$7:$J$34,"motorway",'abrasion emissions'!$K$7:$K$34,"Brake",'abrasion emissions'!$L$7:$L$34,"b")*POWER(('vehicles specifications'!$Q55/1000),(1/SUMIFS('abrasion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specifications'!$P55/1000),(1/SUMIFS('abrasion emissions'!$M$7:$M$34,'abrasion emissions'!$I$7:$I$34,"PM 10",'abrasion emissions'!$J$7:$J$34,"motorway",'abrasion emissions'!$K$7:$K$34,"Brake",'abrasion emissions'!$L$7:$L$34,"c")))))/1000000</f>
        <v>3.1016259503069494E-5</v>
      </c>
      <c r="CT55" s="7">
        <f>((SUMIFS('abrasion emissions'!$M$7:$M$38,'abrasion emissions'!$I$7:$I$38,"PM 2.5",'abrasion emissions'!$K$7:$K$38,"Re-susp.",'abrasion emissions'!$L$7:$L$38,"b")*POWER(('vehicles specifications'!$Q55/1000),(1/SUMIFS('abrasion emissions'!$M$7:$M$38,'abrasion emissions'!$I$7:$I$38,"PM 2.5",'abrasion emissions'!$K$7:$K$38,"Re-susp.",'abrasion emissions'!$L$7:$L$38,"c"))))+
(SUMIFS('abrasion emissions'!$M$7:$M$38,'abrasion emissions'!$I$7:$I$38,"PM 10",'abrasion emissions'!$K$7:$K$38,"Re-susp.",'abrasion emissions'!$L$7:$L$38,"b")*POWER(('vehicles specifications'!$Q55/1000),(1/SUMIFS('abrasion emissions'!$M$7:$M$38,'abrasion emissions'!$I$7:$I$38,"PM 10",'abrasion emissions'!$K$7:$K$38,"Re-susp.",'abrasion emissions'!$L$7:$L$38,"c")))))/1000000</f>
        <v>6.469725665196656E-4</v>
      </c>
      <c r="CU55" s="7">
        <f>((SUMIFS('abrasion emissions'!$M$7:$M$38,'abrasion emissions'!$I$7:$I$38,"PM 2.5",'abrasion emissions'!$K$7:$K$38,"Road",'abrasion emissions'!$L$7:$L$38,"b")*POWER(('vehicles specifications'!$Q55/1000),(1/SUMIFS('abrasion emissions'!$M$7:$M$38,'abrasion emissions'!$I$7:$I$38,"PM 2.5",'abrasion emissions'!$K$7:$K$38,"Road",'abrasion emissions'!$L$7:$L$38,"c"))))+
(SUMIFS('abrasion emissions'!$M$7:$M$38,'abrasion emissions'!$I$7:$I$38,"PM 10",'abrasion emissions'!$K$7:$K$38,"Road",'abrasion emissions'!$L$7:$L$38,"b")*POWER(('vehicles specifications'!$Q55/1000),(1/SUMIFS('abrasion emissions'!$M$7:$M$38,'abrasion emissions'!$I$7:$I$38,"PM 10",'abrasion emissions'!$K$7:$K$38,"Road",'abrasion emissions'!$L$7:$L$38,"c")))))/1000000+CT55</f>
        <v>7.9799135598491761E-4</v>
      </c>
      <c r="CV55" s="7" t="str">
        <f>(CK55*CN55)+(CL55*CO55)+(CM55*CP55)</f>
        <v>#N/A</v>
      </c>
      <c r="CW55" s="7" t="str">
        <f>(CK55*CQ55)+(CL55*CR55)+(CM55*CS55)</f>
        <v>#N/A</v>
      </c>
    </row>
    <row r="56">
      <c r="A56" t="str">
        <f>B56&amp;" - "&amp;D56&amp;" - "&amp;IF(I56&lt;&gt;"",I56&amp;" - "&amp;E56,E56)</f>
        <v>Tram, electric - 2030 - CH</v>
      </c>
      <c r="B56" t="inlineStr">
        <is>
          <t>Tram, electric</t>
        </is>
      </c>
      <c r="C56" t="inlineStr">
        <is>
          <t>43m</t>
        </is>
      </c>
      <c r="D56" s="18" t="n">
        <v>2030</v>
      </c>
      <c r="E56" t="inlineStr">
        <is>
          <t>CH</t>
        </is>
      </c>
      <c r="F56" t="inlineStr">
        <is>
          <t>None</t>
        </is>
      </c>
      <c r="G56" t="inlineStr">
        <is>
          <t>pkm</t>
        </is>
      </c>
      <c r="H56" t="inlineStr">
        <is>
          <t>BEV</t>
        </is>
      </c>
      <c r="J56" t="n">
        <v>2800000</v>
      </c>
      <c r="K56" t="n">
        <v>70000</v>
      </c>
      <c r="L56" s="2">
        <f>J56/K56</f>
        <v>40</v>
      </c>
      <c r="M56" t="n">
        <v>38</v>
      </c>
      <c r="N56" t="n">
        <v>75</v>
      </c>
      <c r="O56" t="n">
        <v>120</v>
      </c>
      <c r="P56" s="2">
        <f>SUM(U56,V56,W56,AC56,AF56,AH56)</f>
        <v>52380</v>
      </c>
      <c r="Q56">
        <f>P56+(M56*N56)+O56</f>
        <v>55350</v>
      </c>
      <c r="R56" t="n">
        <v>660</v>
      </c>
      <c r="S56" s="2" t="n">
        <v>43200</v>
      </c>
      <c r="T56" s="1" t="n">
        <v>0.03</v>
      </c>
      <c r="U56" s="2">
        <f>S56*(1-T56)</f>
        <v>41904</v>
      </c>
      <c r="V56" t="n">
        <v>7566</v>
      </c>
      <c r="W56" t="n">
        <v>2910</v>
      </c>
      <c r="X56" s="3" t="n">
        <v>0</v>
      </c>
      <c r="Y56" s="1" t="n">
        <v>0.8</v>
      </c>
      <c r="Z56" s="3">
        <f>Y56*X56</f>
        <v>0</v>
      </c>
      <c r="AA56" s="3">
        <f>IF(I56&lt;&gt;"",X56/INDEX('energy battery'!$B$3:$D$6,MATCH('vehicles specifications'!$D56,'energy battery'!$A$3:$A$6,0),MATCH('vehicles specifications'!$I56,'energy battery'!$B$2:$D$2,0)),"")</f>
        <v/>
      </c>
      <c r="AB56" s="3">
        <f>IF(AA56&lt;&gt;"",0.3*AA56,"")</f>
        <v/>
      </c>
      <c r="AC56" s="3">
        <f>IF(AA56&lt;&gt;"",AB56+AA56,"")</f>
        <v/>
      </c>
      <c r="AD56" s="3" t="n">
        <v>0</v>
      </c>
      <c r="AE56" t="n">
        <v>0</v>
      </c>
      <c r="AF56" t="n">
        <v>0</v>
      </c>
      <c r="AG56" t="n">
        <v>0</v>
      </c>
      <c r="AH56" t="n">
        <v>0</v>
      </c>
      <c r="AI56" t="n">
        <v>0</v>
      </c>
      <c r="AJ56" t="n">
        <v>0</v>
      </c>
      <c r="AK56" s="6">
        <f>L56/30</f>
        <v>1.3333333333333333</v>
      </c>
      <c r="AL56">
        <f>0.00012*M56</f>
        <v>4.5599999999999998E-3</v>
      </c>
      <c r="AM56" t="n">
        <v>0</v>
      </c>
      <c r="AN56" s="2">
        <f>U56</f>
        <v>41904</v>
      </c>
      <c r="AO56" s="2">
        <f>SUM(V56:W56)</f>
        <v>10476</v>
      </c>
      <c r="AP56" s="2">
        <f>AC56</f>
        <v/>
      </c>
      <c r="AQ56" s="6" t="inlineStr"/>
      <c r="AR56" s="20" t="n"/>
      <c r="AS56" s="6" t="n">
        <v>13.3</v>
      </c>
      <c r="AT56" s="2">
        <f>SUM(Z56,AG56)/(SUM(AQ56,AS56)/3.6)</f>
        <v>0</v>
      </c>
      <c r="AU56" s="5" t="n">
        <v>0</v>
      </c>
      <c r="AV56" s="5" t="n">
        <v>0</v>
      </c>
      <c r="AW56" s="7" t="n">
        <v>0</v>
      </c>
      <c r="AX56" s="7" t="n">
        <v>0</v>
      </c>
      <c r="AY56" s="7" t="n">
        <v>0</v>
      </c>
      <c r="AZ56" s="7" t="n">
        <v>0</v>
      </c>
      <c r="BA56" s="7" t="n">
        <v>0</v>
      </c>
      <c r="BB56" s="7" t="n">
        <v>0</v>
      </c>
      <c r="BC56" s="7" t="n">
        <v>0</v>
      </c>
      <c r="BD56" s="7" t="n">
        <v>0</v>
      </c>
      <c r="BE56" s="7" t="n">
        <v>0</v>
      </c>
      <c r="BF56" s="7" t="n">
        <v>0</v>
      </c>
      <c r="BG56" s="7" t="n">
        <v>0</v>
      </c>
      <c r="BH56" s="7" t="n">
        <v>0</v>
      </c>
      <c r="BI56" s="7" t="n">
        <v>0</v>
      </c>
      <c r="BJ56" s="7" t="n">
        <v>0</v>
      </c>
      <c r="BK56" s="7" t="n">
        <v>0</v>
      </c>
      <c r="BL56" s="7" t="n">
        <v>0</v>
      </c>
      <c r="BM56" s="7" t="n">
        <v>0</v>
      </c>
      <c r="BN56" s="7" t="n">
        <v>0</v>
      </c>
      <c r="BO56" s="7" t="n">
        <v>0</v>
      </c>
      <c r="BP56" s="7" t="n">
        <v>0</v>
      </c>
      <c r="BQ56" s="7" t="n">
        <v>0</v>
      </c>
      <c r="BR56" s="7" t="n">
        <v>0</v>
      </c>
      <c r="BS56" s="7" t="n">
        <v>0</v>
      </c>
      <c r="BT56" s="7" t="n">
        <v>0</v>
      </c>
      <c r="BU56" s="7" t="n">
        <v>0</v>
      </c>
      <c r="BV56" s="7" t="n">
        <v>0</v>
      </c>
      <c r="BW56" s="7" t="n">
        <v>0</v>
      </c>
      <c r="BX56" s="7" t="n">
        <v>0</v>
      </c>
      <c r="BY56" s="7" t="n">
        <v>0</v>
      </c>
      <c r="BZ56" s="7" t="n">
        <v>0</v>
      </c>
      <c r="CA56" s="7" t="n">
        <v>0</v>
      </c>
      <c r="CB56" s="7" t="n">
        <v>0</v>
      </c>
      <c r="CC56" s="7" t="n">
        <v>0</v>
      </c>
      <c r="CD56" s="7" t="n">
        <v>0</v>
      </c>
      <c r="CE56" s="7" t="n">
        <v>0</v>
      </c>
      <c r="CF56" s="7" t="n">
        <v>0</v>
      </c>
      <c r="CG56" s="7" t="n">
        <v>0</v>
      </c>
      <c r="CH56" s="7" t="n">
        <v>0</v>
      </c>
      <c r="CI56" s="7" t="n">
        <v>0</v>
      </c>
      <c r="CJ56" s="7" t="n">
        <v>0</v>
      </c>
      <c r="CK56" s="38" t="str">
        <f>VLOOKUP($B56,'abrasion emissions'!$O$7:$R$36,2,FALSE)</f>
        <v>#N/A</v>
      </c>
      <c r="CL56" s="38" t="str">
        <f>VLOOKUP($B56,'abrasion emissions'!$O$7:$R$36,3,FALSE)</f>
        <v>#N/A</v>
      </c>
      <c r="CM56" s="38" t="str">
        <f>VLOOKUP($B56,'abrasion emissions'!$O$7:$R$36,4,FALSE)</f>
        <v>#N/A</v>
      </c>
      <c r="CN56" s="7">
        <f>((SUMIFS('abrasion emissions'!$M$7:$M$34,'abrasion emissions'!$I$7:$I$34,"PM 2.5",'abrasion emissions'!$J$7:$J$34,"urban",'abrasion emissions'!$K$7:$K$34,"Tyre",'abrasion emissions'!$L$7:$L$34,"b")*POWER(('vehicles specifications'!$Q56/1000),(1/SUMIFS('abrasion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specifications'!$P56/1000),(1/SUMIFS('abrasion emissions'!$M$7:$M$34,'abrasion emissions'!$I$7:$I$34,"PM 10",'abrasion emissions'!$J$7:$J$34,"urban",'abrasion emissions'!$K$7:$K$34,"Tyre",'abrasion emissions'!$L$7:$L$34,"c")))))/1000000</f>
        <v>7.9381839799667054E-5</v>
      </c>
      <c r="CO56" s="7">
        <f>((SUMIFS('abrasion emissions'!$M$7:$M$34,'abrasion emissions'!$I$7:$I$34,"PM 2.5",'abrasion emissions'!$J$7:$J$34,"rural",'abrasion emissions'!$K$7:$K$34,"Tyre",'abrasion emissions'!$L$7:$L$34,"b")*POWER(('vehicles specifications'!$Q56/1000),(1/SUMIFS('abrasion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specifications'!$P56/1000),(1/SUMIFS('abrasion emissions'!$M$7:$M$34,'abrasion emissions'!$I$7:$I$34,"PM 10",'abrasion emissions'!$J$7:$J$34,"rural",'abrasion emissions'!$K$7:$K$34,"Tyre",'abrasion emissions'!$L$7:$L$34,"c")))))/1000000</f>
        <v>6.1806564514160783E-5</v>
      </c>
      <c r="CP56" s="7">
        <f>((SUMIFS('abrasion emissions'!$M$7:$M$34,'abrasion emissions'!$I$7:$I$34,"PM 2.5",'abrasion emissions'!$J$7:$J$34,"motorway",'abrasion emissions'!$K$7:$K$34,"Tyre",'abrasion emissions'!$L$7:$L$34,"b")*POWER(('vehicles specifications'!$Q56/1000),(1/SUMIFS('abrasion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specifications'!$P56/1000),(1/SUMIFS('abrasion emissions'!$M$7:$M$34,'abrasion emissions'!$I$7:$I$34,"PM 10",'abrasion emissions'!$J$7:$J$34,"motorway",'abrasion emissions'!$K$7:$K$34,"Tyre",'abrasion emissions'!$L$7:$L$34,"c")))))/1000000</f>
        <v>5.2739393757373405E-5</v>
      </c>
      <c r="CQ56" s="7">
        <f>((SUMIFS('abrasion emissions'!$M$7:$M$34,'abrasion emissions'!$I$7:$I$34,"PM 2.5",'abrasion emissions'!$J$7:$J$34,"urban",'abrasion emissions'!$K$7:$K$34,"Brake",'abrasion emissions'!$L$7:$L$34,"b")*POWER(('vehicles specifications'!$Q56/1000),(1/SUMIFS('abrasion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specifications'!$P56/1000),(1/SUMIFS('abrasion emissions'!$M$7:$M$34,'abrasion emissions'!$I$7:$I$34,"PM 10",'abrasion emissions'!$J$7:$J$34,"urban",'abrasion emissions'!$K$7:$K$34,"Brake",'abrasion emissions'!$L$7:$L$34,"c")))))/1000000</f>
        <v>1.2468867258201335E-4</v>
      </c>
      <c r="CR56" s="7">
        <f>((SUMIFS('abrasion emissions'!$M$7:$M$34,'abrasion emissions'!$I$7:$I$34,"PM 2.5",'abrasion emissions'!$J$7:$J$34,"rural",'abrasion emissions'!$K$7:$K$34,"Brake",'abrasion emissions'!$L$7:$L$34,"b")*POWER(('vehicles specifications'!$Q56/1000),(1/SUMIFS('abrasion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specifications'!$P56/1000),(1/SUMIFS('abrasion emissions'!$M$7:$M$34,'abrasion emissions'!$I$7:$I$34,"PM 10",'abrasion emissions'!$J$7:$J$34,"rural",'abrasion emissions'!$K$7:$K$34,"Brake",'abrasion emissions'!$L$7:$L$34,"c")))))/1000000</f>
        <v>9.0555795255209073E-5</v>
      </c>
      <c r="CS56" s="7">
        <f>((SUMIFS('abrasion emissions'!$M$7:$M$34,'abrasion emissions'!$I$7:$I$34,"PM 2.5",'abrasion emissions'!$J$7:$J$34,"motorway",'abrasion emissions'!$K$7:$K$34,"Brake",'abrasion emissions'!$L$7:$L$34,"b")*POWER(('vehicles specifications'!$Q56/1000),(1/SUMIFS('abrasion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specifications'!$P56/1000),(1/SUMIFS('abrasion emissions'!$M$7:$M$34,'abrasion emissions'!$I$7:$I$34,"PM 10",'abrasion emissions'!$J$7:$J$34,"motorway",'abrasion emissions'!$K$7:$K$34,"Brake",'abrasion emissions'!$L$7:$L$34,"c")))))/1000000</f>
        <v>3.032514023108255E-5</v>
      </c>
      <c r="CT56" s="7">
        <f>((SUMIFS('abrasion emissions'!$M$7:$M$38,'abrasion emissions'!$I$7:$I$38,"PM 2.5",'abrasion emissions'!$K$7:$K$38,"Re-susp.",'abrasion emissions'!$L$7:$L$38,"b")*POWER(('vehicles specifications'!$Q56/1000),(1/SUMIFS('abrasion emissions'!$M$7:$M$38,'abrasion emissions'!$I$7:$I$38,"PM 2.5",'abrasion emissions'!$K$7:$K$38,"Re-susp.",'abrasion emissions'!$L$7:$L$38,"c"))))+
(SUMIFS('abrasion emissions'!$M$7:$M$38,'abrasion emissions'!$I$7:$I$38,"PM 10",'abrasion emissions'!$K$7:$K$38,"Re-susp.",'abrasion emissions'!$L$7:$L$38,"b")*POWER(('vehicles specifications'!$Q56/1000),(1/SUMIFS('abrasion emissions'!$M$7:$M$38,'abrasion emissions'!$I$7:$I$38,"PM 10",'abrasion emissions'!$K$7:$K$38,"Re-susp.",'abrasion emissions'!$L$7:$L$38,"c")))))/1000000</f>
        <v>6.3022588182128157E-4</v>
      </c>
      <c r="CU56" s="7">
        <f>((SUMIFS('abrasion emissions'!$M$7:$M$38,'abrasion emissions'!$I$7:$I$38,"PM 2.5",'abrasion emissions'!$K$7:$K$38,"Road",'abrasion emissions'!$L$7:$L$38,"b")*POWER(('vehicles specifications'!$Q56/1000),(1/SUMIFS('abrasion emissions'!$M$7:$M$38,'abrasion emissions'!$I$7:$I$38,"PM 2.5",'abrasion emissions'!$K$7:$K$38,"Road",'abrasion emissions'!$L$7:$L$38,"c"))))+
(SUMIFS('abrasion emissions'!$M$7:$M$38,'abrasion emissions'!$I$7:$I$38,"PM 10",'abrasion emissions'!$K$7:$K$38,"Road",'abrasion emissions'!$L$7:$L$38,"b")*POWER(('vehicles specifications'!$Q56/1000),(1/SUMIFS('abrasion emissions'!$M$7:$M$38,'abrasion emissions'!$I$7:$I$38,"PM 10",'abrasion emissions'!$K$7:$K$38,"Road",'abrasion emissions'!$L$7:$L$38,"c")))))/1000000+CT56</f>
        <v>7.7836801314775707E-4</v>
      </c>
      <c r="CV56" s="7" t="str">
        <f>(CK56*CN56)+(CL56*CO56)+(CM56*CP56)</f>
        <v>#N/A</v>
      </c>
      <c r="CW56" s="7" t="str">
        <f>(CK56*CQ56)+(CL56*CR56)+(CM56*CS56)</f>
        <v>#N/A</v>
      </c>
    </row>
    <row r="57">
      <c r="A57" t="str">
        <f>B57&amp;" - "&amp;D57&amp;" - "&amp;IF(I57&lt;&gt;"",I57&amp;" - "&amp;E57,E57)</f>
        <v>Tram, electric - 2040 - CH</v>
      </c>
      <c r="B57" t="inlineStr">
        <is>
          <t>Tram, electric</t>
        </is>
      </c>
      <c r="C57" t="inlineStr">
        <is>
          <t>43m</t>
        </is>
      </c>
      <c r="D57" s="18" t="n">
        <v>2040</v>
      </c>
      <c r="E57" t="inlineStr">
        <is>
          <t>CH</t>
        </is>
      </c>
      <c r="F57" t="inlineStr">
        <is>
          <t>None</t>
        </is>
      </c>
      <c r="G57" t="inlineStr">
        <is>
          <t>pkm</t>
        </is>
      </c>
      <c r="H57" t="inlineStr">
        <is>
          <t>BEV</t>
        </is>
      </c>
      <c r="J57" t="n">
        <v>2800000</v>
      </c>
      <c r="K57" t="n">
        <v>70000</v>
      </c>
      <c r="L57" s="2">
        <f>J57/K57</f>
        <v>40</v>
      </c>
      <c r="M57" t="n">
        <v>38</v>
      </c>
      <c r="N57" t="n">
        <v>75</v>
      </c>
      <c r="O57" t="n">
        <v>120</v>
      </c>
      <c r="P57" s="2">
        <f>SUM(U57,V57,W57,AC57,AF57,AH57)</f>
        <v>51202</v>
      </c>
      <c r="Q57">
        <f>P57+(M57*N57)+O57</f>
        <v>54172</v>
      </c>
      <c r="R57" t="n">
        <v>660</v>
      </c>
      <c r="S57" s="2" t="n">
        <v>43200</v>
      </c>
      <c r="T57" s="1" t="n">
        <v>0.05</v>
      </c>
      <c r="U57" s="2">
        <f>S57*(1-T57)</f>
        <v>41040</v>
      </c>
      <c r="V57" t="n">
        <v>7340</v>
      </c>
      <c r="W57" t="n">
        <v>2822</v>
      </c>
      <c r="X57" s="3" t="n">
        <v>0</v>
      </c>
      <c r="Y57" s="1" t="n">
        <v>0.8</v>
      </c>
      <c r="Z57" s="3">
        <f>Y57*X57</f>
        <v>0</v>
      </c>
      <c r="AA57" s="3">
        <f>IF(I57&lt;&gt;"",X57/INDEX('energy battery'!$B$3:$D$6,MATCH('vehicles specifications'!$D57,'energy battery'!$A$3:$A$6,0),MATCH('vehicles specifications'!$I57,'energy battery'!$B$2:$D$2,0)),"")</f>
        <v/>
      </c>
      <c r="AB57" s="3">
        <f>IF(AA57&lt;&gt;"",0.3*AA57,"")</f>
        <v/>
      </c>
      <c r="AC57" s="3">
        <f>IF(AA57&lt;&gt;"",AB57+AA57,"")</f>
        <v/>
      </c>
      <c r="AD57" s="3" t="n">
        <v>0</v>
      </c>
      <c r="AE57" t="n">
        <v>0</v>
      </c>
      <c r="AF57" t="n">
        <v>0</v>
      </c>
      <c r="AG57" t="n">
        <v>0</v>
      </c>
      <c r="AH57" t="n">
        <v>0</v>
      </c>
      <c r="AI57" t="n">
        <v>0</v>
      </c>
      <c r="AJ57" t="n">
        <v>0</v>
      </c>
      <c r="AK57" s="6">
        <f>L57/30</f>
        <v>1.3333333333333333</v>
      </c>
      <c r="AL57">
        <f>0.00012*M57</f>
        <v>4.5599999999999998E-3</v>
      </c>
      <c r="AM57" t="n">
        <v>0</v>
      </c>
      <c r="AN57" s="2">
        <f>U57</f>
        <v>41040</v>
      </c>
      <c r="AO57" s="2">
        <f>SUM(V57:W57)</f>
        <v>10162</v>
      </c>
      <c r="AP57" s="2">
        <f>AC57</f>
        <v/>
      </c>
      <c r="AQ57" s="6" t="inlineStr"/>
      <c r="AR57" s="20" t="n"/>
      <c r="AS57" s="6" t="n">
        <v>13.3</v>
      </c>
      <c r="AT57" s="2">
        <f>SUM(Z57,AG57)/(SUM(AQ57,AS57)/3.6)</f>
        <v>0</v>
      </c>
      <c r="AU57" s="5" t="n">
        <v>0</v>
      </c>
      <c r="AV57" s="5" t="n">
        <v>0</v>
      </c>
      <c r="AW57" s="7" t="n">
        <v>0</v>
      </c>
      <c r="AX57" s="7" t="n">
        <v>0</v>
      </c>
      <c r="AY57" s="7" t="n">
        <v>0</v>
      </c>
      <c r="AZ57" s="7" t="n">
        <v>0</v>
      </c>
      <c r="BA57" s="7" t="n">
        <v>0</v>
      </c>
      <c r="BB57" s="7" t="n">
        <v>0</v>
      </c>
      <c r="BC57" s="7" t="n">
        <v>0</v>
      </c>
      <c r="BD57" s="7" t="n">
        <v>0</v>
      </c>
      <c r="BE57" s="7" t="n">
        <v>0</v>
      </c>
      <c r="BF57" s="7" t="n">
        <v>0</v>
      </c>
      <c r="BG57" s="7" t="n">
        <v>0</v>
      </c>
      <c r="BH57" s="7" t="n">
        <v>0</v>
      </c>
      <c r="BI57" s="7" t="n">
        <v>0</v>
      </c>
      <c r="BJ57" s="7" t="n">
        <v>0</v>
      </c>
      <c r="BK57" s="7" t="n">
        <v>0</v>
      </c>
      <c r="BL57" s="7" t="n">
        <v>0</v>
      </c>
      <c r="BM57" s="7" t="n">
        <v>0</v>
      </c>
      <c r="BN57" s="7" t="n">
        <v>0</v>
      </c>
      <c r="BO57" s="7" t="n">
        <v>0</v>
      </c>
      <c r="BP57" s="7" t="n">
        <v>0</v>
      </c>
      <c r="BQ57" s="7" t="n">
        <v>0</v>
      </c>
      <c r="BR57" s="7" t="n">
        <v>0</v>
      </c>
      <c r="BS57" s="7" t="n">
        <v>0</v>
      </c>
      <c r="BT57" s="7" t="n">
        <v>0</v>
      </c>
      <c r="BU57" s="7" t="n">
        <v>0</v>
      </c>
      <c r="BV57" s="7" t="n">
        <v>0</v>
      </c>
      <c r="BW57" s="7" t="n">
        <v>0</v>
      </c>
      <c r="BX57" s="7" t="n">
        <v>0</v>
      </c>
      <c r="BY57" s="7" t="n">
        <v>0</v>
      </c>
      <c r="BZ57" s="7" t="n">
        <v>0</v>
      </c>
      <c r="CA57" s="7" t="n">
        <v>0</v>
      </c>
      <c r="CB57" s="7" t="n">
        <v>0</v>
      </c>
      <c r="CC57" s="7" t="n">
        <v>0</v>
      </c>
      <c r="CD57" s="7" t="n">
        <v>0</v>
      </c>
      <c r="CE57" s="7" t="n">
        <v>0</v>
      </c>
      <c r="CF57" s="7" t="n">
        <v>0</v>
      </c>
      <c r="CG57" s="7" t="n">
        <v>0</v>
      </c>
      <c r="CH57" s="7" t="n">
        <v>0</v>
      </c>
      <c r="CI57" s="7" t="n">
        <v>0</v>
      </c>
      <c r="CJ57" s="7" t="n">
        <v>0</v>
      </c>
      <c r="CK57" s="38" t="str">
        <f>VLOOKUP($B57,'abrasion emissions'!$O$7:$R$36,2,FALSE)</f>
        <v>#N/A</v>
      </c>
      <c r="CL57" s="38" t="str">
        <f>VLOOKUP($B57,'abrasion emissions'!$O$7:$R$36,3,FALSE)</f>
        <v>#N/A</v>
      </c>
      <c r="CM57" s="38" t="str">
        <f>VLOOKUP($B57,'abrasion emissions'!$O$7:$R$36,4,FALSE)</f>
        <v>#N/A</v>
      </c>
      <c r="CN57" s="7">
        <f>((SUMIFS('abrasion emissions'!$M$7:$M$34,'abrasion emissions'!$I$7:$I$34,"PM 2.5",'abrasion emissions'!$J$7:$J$34,"urban",'abrasion emissions'!$K$7:$K$34,"Tyre",'abrasion emissions'!$L$7:$L$34,"b")*POWER(('vehicles specifications'!$Q57/1000),(1/SUMIFS('abrasion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specifications'!$P57/1000),(1/SUMIFS('abrasion emissions'!$M$7:$M$34,'abrasion emissions'!$I$7:$I$34,"PM 10",'abrasion emissions'!$J$7:$J$34,"urban",'abrasion emissions'!$K$7:$K$34,"Tyre",'abrasion emissions'!$L$7:$L$34,"c")))))/1000000</f>
        <v>7.8625595429657321E-5</v>
      </c>
      <c r="CO57" s="7">
        <f>((SUMIFS('abrasion emissions'!$M$7:$M$34,'abrasion emissions'!$I$7:$I$34,"PM 2.5",'abrasion emissions'!$J$7:$J$34,"rural",'abrasion emissions'!$K$7:$K$34,"Tyre",'abrasion emissions'!$L$7:$L$34,"b")*POWER(('vehicles specifications'!$Q57/1000),(1/SUMIFS('abrasion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specifications'!$P57/1000),(1/SUMIFS('abrasion emissions'!$M$7:$M$34,'abrasion emissions'!$I$7:$I$34,"PM 10",'abrasion emissions'!$J$7:$J$34,"rural",'abrasion emissions'!$K$7:$K$34,"Tyre",'abrasion emissions'!$L$7:$L$34,"c")))))/1000000</f>
        <v>6.1217801080177934E-5</v>
      </c>
      <c r="CP57" s="7">
        <f>((SUMIFS('abrasion emissions'!$M$7:$M$34,'abrasion emissions'!$I$7:$I$34,"PM 2.5",'abrasion emissions'!$J$7:$J$34,"motorway",'abrasion emissions'!$K$7:$K$34,"Tyre",'abrasion emissions'!$L$7:$L$34,"b")*POWER(('vehicles specifications'!$Q57/1000),(1/SUMIFS('abrasion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specifications'!$P57/1000),(1/SUMIFS('abrasion emissions'!$M$7:$M$34,'abrasion emissions'!$I$7:$I$34,"PM 10",'abrasion emissions'!$J$7:$J$34,"motorway",'abrasion emissions'!$K$7:$K$34,"Tyre",'abrasion emissions'!$L$7:$L$34,"c")))))/1000000</f>
        <v>5.2237121657177369E-5</v>
      </c>
      <c r="CQ57" s="7">
        <f>((SUMIFS('abrasion emissions'!$M$7:$M$34,'abrasion emissions'!$I$7:$I$34,"PM 2.5",'abrasion emissions'!$J$7:$J$34,"urban",'abrasion emissions'!$K$7:$K$34,"Brake",'abrasion emissions'!$L$7:$L$34,"b")*POWER(('vehicles specifications'!$Q57/1000),(1/SUMIFS('abrasion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specifications'!$P57/1000),(1/SUMIFS('abrasion emissions'!$M$7:$M$34,'abrasion emissions'!$I$7:$I$34,"PM 10",'abrasion emissions'!$J$7:$J$34,"urban",'abrasion emissions'!$K$7:$K$34,"Brake",'abrasion emissions'!$L$7:$L$34,"c")))))/1000000</f>
        <v>1.2326321276807963E-4</v>
      </c>
      <c r="CR57" s="7">
        <f>((SUMIFS('abrasion emissions'!$M$7:$M$34,'abrasion emissions'!$I$7:$I$34,"PM 2.5",'abrasion emissions'!$J$7:$J$34,"rural",'abrasion emissions'!$K$7:$K$34,"Brake",'abrasion emissions'!$L$7:$L$34,"b")*POWER(('vehicles specifications'!$Q57/1000),(1/SUMIFS('abrasion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specifications'!$P57/1000),(1/SUMIFS('abrasion emissions'!$M$7:$M$34,'abrasion emissions'!$I$7:$I$34,"PM 10",'abrasion emissions'!$J$7:$J$34,"rural",'abrasion emissions'!$K$7:$K$34,"Brake",'abrasion emissions'!$L$7:$L$34,"c")))))/1000000</f>
        <v>8.9245920681234149E-5</v>
      </c>
      <c r="CS57" s="7">
        <f>((SUMIFS('abrasion emissions'!$M$7:$M$34,'abrasion emissions'!$I$7:$I$34,"PM 2.5",'abrasion emissions'!$J$7:$J$34,"motorway",'abrasion emissions'!$K$7:$K$34,"Brake",'abrasion emissions'!$L$7:$L$34,"b")*POWER(('vehicles specifications'!$Q57/1000),(1/SUMIFS('abrasion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specifications'!$P57/1000),(1/SUMIFS('abrasion emissions'!$M$7:$M$34,'abrasion emissions'!$I$7:$I$34,"PM 10",'abrasion emissions'!$J$7:$J$34,"motorway",'abrasion emissions'!$K$7:$K$34,"Brake",'abrasion emissions'!$L$7:$L$34,"c")))))/1000000</f>
        <v>2.9819605713689123E-5</v>
      </c>
      <c r="CT57" s="7">
        <f>((SUMIFS('abrasion emissions'!$M$7:$M$38,'abrasion emissions'!$I$7:$I$38,"PM 2.5",'abrasion emissions'!$K$7:$K$38,"Re-susp.",'abrasion emissions'!$L$7:$L$38,"b")*POWER(('vehicles specifications'!$Q57/1000),(1/SUMIFS('abrasion emissions'!$M$7:$M$38,'abrasion emissions'!$I$7:$I$38,"PM 2.5",'abrasion emissions'!$K$7:$K$38,"Re-susp.",'abrasion emissions'!$L$7:$L$38,"c"))))+
(SUMIFS('abrasion emissions'!$M$7:$M$38,'abrasion emissions'!$I$7:$I$38,"PM 10",'abrasion emissions'!$K$7:$K$38,"Re-susp.",'abrasion emissions'!$L$7:$L$38,"b")*POWER(('vehicles specifications'!$Q57/1000),(1/SUMIFS('abrasion emissions'!$M$7:$M$38,'abrasion emissions'!$I$7:$I$38,"PM 10",'abrasion emissions'!$K$7:$K$38,"Re-susp.",'abrasion emissions'!$L$7:$L$38,"c")))))/1000000</f>
        <v>6.1802041394619801E-4</v>
      </c>
      <c r="CU57" s="7">
        <f>((SUMIFS('abrasion emissions'!$M$7:$M$38,'abrasion emissions'!$I$7:$I$38,"PM 2.5",'abrasion emissions'!$K$7:$K$38,"Road",'abrasion emissions'!$L$7:$L$38,"b")*POWER(('vehicles specifications'!$Q57/1000),(1/SUMIFS('abrasion emissions'!$M$7:$M$38,'abrasion emissions'!$I$7:$I$38,"PM 2.5",'abrasion emissions'!$K$7:$K$38,"Road",'abrasion emissions'!$L$7:$L$38,"c"))))+
(SUMIFS('abrasion emissions'!$M$7:$M$38,'abrasion emissions'!$I$7:$I$38,"PM 10",'abrasion emissions'!$K$7:$K$38,"Road",'abrasion emissions'!$L$7:$L$38,"b")*POWER(('vehicles specifications'!$Q57/1000),(1/SUMIFS('abrasion emissions'!$M$7:$M$38,'abrasion emissions'!$I$7:$I$38,"PM 10",'abrasion emissions'!$K$7:$K$38,"Road",'abrasion emissions'!$L$7:$L$38,"c")))))/1000000+CT57</f>
        <v>7.6405310385816469E-4</v>
      </c>
      <c r="CV57" s="7" t="str">
        <f>(CK57*CN57)+(CL57*CO57)+(CM57*CP57)</f>
        <v>#N/A</v>
      </c>
      <c r="CW57" s="7" t="str">
        <f>(CK57*CQ57)+(CL57*CR57)+(CM57*CS57)</f>
        <v>#N/A</v>
      </c>
    </row>
    <row r="58">
      <c r="A58" t="str">
        <f>B58&amp;" - "&amp;D58&amp;" - "&amp;IF(I58&lt;&gt;"",I58&amp;" - "&amp;E58,E58)</f>
        <v>Tram, electric - 2050 - CH</v>
      </c>
      <c r="B58" t="inlineStr">
        <is>
          <t>Tram, electric</t>
        </is>
      </c>
      <c r="C58" t="inlineStr">
        <is>
          <t>43m</t>
        </is>
      </c>
      <c r="D58" s="18" t="n">
        <v>2050</v>
      </c>
      <c r="E58" t="inlineStr">
        <is>
          <t>CH</t>
        </is>
      </c>
      <c r="F58" t="inlineStr">
        <is>
          <t>None</t>
        </is>
      </c>
      <c r="G58" t="inlineStr">
        <is>
          <t>pkm</t>
        </is>
      </c>
      <c r="H58" t="inlineStr">
        <is>
          <t>BEV</t>
        </is>
      </c>
      <c r="J58" t="n">
        <v>2800000</v>
      </c>
      <c r="K58" t="n">
        <v>70000</v>
      </c>
      <c r="L58" s="2">
        <f>J58/K58</f>
        <v>40</v>
      </c>
      <c r="M58" t="n">
        <v>38</v>
      </c>
      <c r="N58" t="n">
        <v>75</v>
      </c>
      <c r="O58" t="n">
        <v>120</v>
      </c>
      <c r="P58" s="2">
        <f>SUM(U58,V58,W58,AC58,AF58,AH58)</f>
        <v>50033</v>
      </c>
      <c r="Q58">
        <f>P58+(M58*N58)+O58</f>
        <v>53003</v>
      </c>
      <c r="R58" t="n">
        <v>660</v>
      </c>
      <c r="S58" s="2" t="n">
        <v>43200</v>
      </c>
      <c r="T58" s="1" t="n">
        <v>0.07000000000000001</v>
      </c>
      <c r="U58" s="2">
        <f>S58*(1-T58)</f>
        <v>40176</v>
      </c>
      <c r="V58" t="n">
        <v>7119</v>
      </c>
      <c r="W58" t="n">
        <v>2738</v>
      </c>
      <c r="X58" s="3" t="n">
        <v>0</v>
      </c>
      <c r="Y58" s="1" t="n">
        <v>0.8</v>
      </c>
      <c r="Z58" s="3">
        <f>Y58*X58</f>
        <v>0</v>
      </c>
      <c r="AA58" s="3">
        <f>IF(I58&lt;&gt;"",X58/INDEX('energy battery'!$B$3:$D$6,MATCH('vehicles specifications'!$D58,'energy battery'!$A$3:$A$6,0),MATCH('vehicles specifications'!$I58,'energy battery'!$B$2:$D$2,0)),"")</f>
        <v/>
      </c>
      <c r="AB58" s="3">
        <f>IF(AA58&lt;&gt;"",0.3*AA58,"")</f>
        <v/>
      </c>
      <c r="AC58" s="3">
        <f>IF(AA58&lt;&gt;"",AB58+AA58,"")</f>
        <v/>
      </c>
      <c r="AD58" s="3" t="n">
        <v>0</v>
      </c>
      <c r="AE58" t="n">
        <v>0</v>
      </c>
      <c r="AF58" t="n">
        <v>0</v>
      </c>
      <c r="AG58" t="n">
        <v>0</v>
      </c>
      <c r="AH58" t="n">
        <v>0</v>
      </c>
      <c r="AI58" t="n">
        <v>0</v>
      </c>
      <c r="AJ58" t="n">
        <v>0</v>
      </c>
      <c r="AK58" s="6">
        <f>L58/30</f>
        <v>1.3333333333333333</v>
      </c>
      <c r="AL58">
        <f>0.00012*M58</f>
        <v>4.5599999999999998E-3</v>
      </c>
      <c r="AM58" t="n">
        <v>0</v>
      </c>
      <c r="AN58" s="2">
        <f>U58</f>
        <v>40176</v>
      </c>
      <c r="AO58" s="2">
        <f>SUM(V58:W58)</f>
        <v>9857</v>
      </c>
      <c r="AP58" s="2">
        <f>AC58</f>
        <v/>
      </c>
      <c r="AQ58" s="6" t="inlineStr"/>
      <c r="AR58" s="20" t="n"/>
      <c r="AS58" s="6" t="n">
        <v>13.3</v>
      </c>
      <c r="AT58" s="2">
        <f>SUM(Z58,AG58)/(SUM(AQ58,AS58)/3.6)</f>
        <v>0</v>
      </c>
      <c r="AU58" s="5" t="n">
        <v>0</v>
      </c>
      <c r="AV58" s="5" t="n">
        <v>0</v>
      </c>
      <c r="AW58" s="7" t="n">
        <v>0</v>
      </c>
      <c r="AX58" s="7" t="n">
        <v>0</v>
      </c>
      <c r="AY58" s="7" t="n">
        <v>0</v>
      </c>
      <c r="AZ58" s="7" t="n">
        <v>0</v>
      </c>
      <c r="BA58" s="7" t="n">
        <v>0</v>
      </c>
      <c r="BB58" s="7" t="n">
        <v>0</v>
      </c>
      <c r="BC58" s="7" t="n">
        <v>0</v>
      </c>
      <c r="BD58" s="7" t="n">
        <v>0</v>
      </c>
      <c r="BE58" s="7" t="n">
        <v>0</v>
      </c>
      <c r="BF58" s="7" t="n">
        <v>0</v>
      </c>
      <c r="BG58" s="7" t="n">
        <v>0</v>
      </c>
      <c r="BH58" s="7" t="n">
        <v>0</v>
      </c>
      <c r="BI58" s="7" t="n">
        <v>0</v>
      </c>
      <c r="BJ58" s="7" t="n">
        <v>0</v>
      </c>
      <c r="BK58" s="7" t="n">
        <v>0</v>
      </c>
      <c r="BL58" s="7" t="n">
        <v>0</v>
      </c>
      <c r="BM58" s="7" t="n">
        <v>0</v>
      </c>
      <c r="BN58" s="7" t="n">
        <v>0</v>
      </c>
      <c r="BO58" s="7" t="n">
        <v>0</v>
      </c>
      <c r="BP58" s="7" t="n">
        <v>0</v>
      </c>
      <c r="BQ58" s="7" t="n">
        <v>0</v>
      </c>
      <c r="BR58" s="7" t="n">
        <v>0</v>
      </c>
      <c r="BS58" s="7" t="n">
        <v>0</v>
      </c>
      <c r="BT58" s="7" t="n">
        <v>0</v>
      </c>
      <c r="BU58" s="7" t="n">
        <v>0</v>
      </c>
      <c r="BV58" s="7" t="n">
        <v>0</v>
      </c>
      <c r="BW58" s="7" t="n">
        <v>0</v>
      </c>
      <c r="BX58" s="7" t="n">
        <v>0</v>
      </c>
      <c r="BY58" s="7" t="n">
        <v>0</v>
      </c>
      <c r="BZ58" s="7" t="n">
        <v>0</v>
      </c>
      <c r="CA58" s="7" t="n">
        <v>0</v>
      </c>
      <c r="CB58" s="7" t="n">
        <v>0</v>
      </c>
      <c r="CC58" s="7" t="n">
        <v>0</v>
      </c>
      <c r="CD58" s="7" t="n">
        <v>0</v>
      </c>
      <c r="CE58" s="7" t="n">
        <v>0</v>
      </c>
      <c r="CF58" s="7" t="n">
        <v>0</v>
      </c>
      <c r="CG58" s="7" t="n">
        <v>0</v>
      </c>
      <c r="CH58" s="7" t="n">
        <v>0</v>
      </c>
      <c r="CI58" s="7" t="n">
        <v>0</v>
      </c>
      <c r="CJ58" s="7" t="n">
        <v>0</v>
      </c>
      <c r="CK58" s="38" t="str">
        <f>VLOOKUP($B58,'abrasion emissions'!$O$7:$R$36,2,FALSE)</f>
        <v>#N/A</v>
      </c>
      <c r="CL58" s="38" t="str">
        <f>VLOOKUP($B58,'abrasion emissions'!$O$7:$R$36,3,FALSE)</f>
        <v>#N/A</v>
      </c>
      <c r="CM58" s="38" t="str">
        <f>VLOOKUP($B58,'abrasion emissions'!$O$7:$R$36,4,FALSE)</f>
        <v>#N/A</v>
      </c>
      <c r="CN58" s="7">
        <f>((SUMIFS('abrasion emissions'!$M$7:$M$34,'abrasion emissions'!$I$7:$I$34,"PM 2.5",'abrasion emissions'!$J$7:$J$34,"urban",'abrasion emissions'!$K$7:$K$34,"Tyre",'abrasion emissions'!$L$7:$L$34,"b")*POWER(('vehicles specifications'!$Q58/1000),(1/SUMIFS('abrasion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specifications'!$P58/1000),(1/SUMIFS('abrasion emissions'!$M$7:$M$34,'abrasion emissions'!$I$7:$I$34,"PM 10",'abrasion emissions'!$J$7:$J$34,"urban",'abrasion emissions'!$K$7:$K$34,"Tyre",'abrasion emissions'!$L$7:$L$34,"c")))))/1000000</f>
        <v>7.7865655472198655E-5</v>
      </c>
      <c r="CO58" s="7">
        <f>((SUMIFS('abrasion emissions'!$M$7:$M$34,'abrasion emissions'!$I$7:$I$34,"PM 2.5",'abrasion emissions'!$J$7:$J$34,"rural",'abrasion emissions'!$K$7:$K$34,"Tyre",'abrasion emissions'!$L$7:$L$34,"b")*POWER(('vehicles specifications'!$Q58/1000),(1/SUMIFS('abrasion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specifications'!$P58/1000),(1/SUMIFS('abrasion emissions'!$M$7:$M$34,'abrasion emissions'!$I$7:$I$34,"PM 10",'abrasion emissions'!$J$7:$J$34,"rural",'abrasion emissions'!$K$7:$K$34,"Tyre",'abrasion emissions'!$L$7:$L$34,"c")))))/1000000</f>
        <v>6.0626161107583212E-5</v>
      </c>
      <c r="CP58" s="7">
        <f>((SUMIFS('abrasion emissions'!$M$7:$M$34,'abrasion emissions'!$I$7:$I$34,"PM 2.5",'abrasion emissions'!$J$7:$J$34,"motorway",'abrasion emissions'!$K$7:$K$34,"Tyre",'abrasion emissions'!$L$7:$L$34,"b")*POWER(('vehicles specifications'!$Q58/1000),(1/SUMIFS('abrasion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specifications'!$P58/1000),(1/SUMIFS('abrasion emissions'!$M$7:$M$34,'abrasion emissions'!$I$7:$I$34,"PM 10",'abrasion emissions'!$J$7:$J$34,"motorway",'abrasion emissions'!$K$7:$K$34,"Tyre",'abrasion emissions'!$L$7:$L$34,"c")))))/1000000</f>
        <v>5.1732397120755224E-5</v>
      </c>
      <c r="CQ58" s="7">
        <f>((SUMIFS('abrasion emissions'!$M$7:$M$34,'abrasion emissions'!$I$7:$I$34,"PM 2.5",'abrasion emissions'!$J$7:$J$34,"urban",'abrasion emissions'!$K$7:$K$34,"Brake",'abrasion emissions'!$L$7:$L$34,"b")*POWER(('vehicles specifications'!$Q58/1000),(1/SUMIFS('abrasion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specifications'!$P58/1000),(1/SUMIFS('abrasion emissions'!$M$7:$M$34,'abrasion emissions'!$I$7:$I$34,"PM 10",'abrasion emissions'!$J$7:$J$34,"urban",'abrasion emissions'!$K$7:$K$34,"Brake",'abrasion emissions'!$L$7:$L$34,"c")))))/1000000</f>
        <v>1.2183381350335447E-4</v>
      </c>
      <c r="CR58" s="7">
        <f>((SUMIFS('abrasion emissions'!$M$7:$M$34,'abrasion emissions'!$I$7:$I$34,"PM 2.5",'abrasion emissions'!$J$7:$J$34,"rural",'abrasion emissions'!$K$7:$K$34,"Brake",'abrasion emissions'!$L$7:$L$34,"b")*POWER(('vehicles specifications'!$Q58/1000),(1/SUMIFS('abrasion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specifications'!$P58/1000),(1/SUMIFS('abrasion emissions'!$M$7:$M$34,'abrasion emissions'!$I$7:$I$34,"PM 10",'abrasion emissions'!$J$7:$J$34,"rural",'abrasion emissions'!$K$7:$K$34,"Brake",'abrasion emissions'!$L$7:$L$34,"c")))))/1000000</f>
        <v>8.7936474425447136E-5</v>
      </c>
      <c r="CS58" s="7">
        <f>((SUMIFS('abrasion emissions'!$M$7:$M$34,'abrasion emissions'!$I$7:$I$34,"PM 2.5",'abrasion emissions'!$J$7:$J$34,"motorway",'abrasion emissions'!$K$7:$K$34,"Brake",'abrasion emissions'!$L$7:$L$34,"b")*POWER(('vehicles specifications'!$Q58/1000),(1/SUMIFS('abrasion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specifications'!$P58/1000),(1/SUMIFS('abrasion emissions'!$M$7:$M$34,'abrasion emissions'!$I$7:$I$34,"PM 10",'abrasion emissions'!$J$7:$J$34,"motorway",'abrasion emissions'!$K$7:$K$34,"Brake",'abrasion emissions'!$L$7:$L$34,"c")))))/1000000</f>
        <v>2.9315377117454594E-5</v>
      </c>
      <c r="CT58" s="7">
        <f>((SUMIFS('abrasion emissions'!$M$7:$M$38,'abrasion emissions'!$I$7:$I$38,"PM 2.5",'abrasion emissions'!$K$7:$K$38,"Re-susp.",'abrasion emissions'!$L$7:$L$38,"b")*POWER(('vehicles specifications'!$Q58/1000),(1/SUMIFS('abrasion emissions'!$M$7:$M$38,'abrasion emissions'!$I$7:$I$38,"PM 2.5",'abrasion emissions'!$K$7:$K$38,"Re-susp.",'abrasion emissions'!$L$7:$L$38,"c"))))+
(SUMIFS('abrasion emissions'!$M$7:$M$38,'abrasion emissions'!$I$7:$I$38,"PM 10",'abrasion emissions'!$K$7:$K$38,"Re-susp.",'abrasion emissions'!$L$7:$L$38,"b")*POWER(('vehicles specifications'!$Q58/1000),(1/SUMIFS('abrasion emissions'!$M$7:$M$38,'abrasion emissions'!$I$7:$I$38,"PM 10",'abrasion emissions'!$K$7:$K$38,"Re-susp.",'abrasion emissions'!$L$7:$L$38,"c")))))/1000000</f>
        <v>6.0588431978129791E-4</v>
      </c>
      <c r="CU58" s="7">
        <f>((SUMIFS('abrasion emissions'!$M$7:$M$38,'abrasion emissions'!$I$7:$I$38,"PM 2.5",'abrasion emissions'!$K$7:$K$38,"Road",'abrasion emissions'!$L$7:$L$38,"b")*POWER(('vehicles specifications'!$Q58/1000),(1/SUMIFS('abrasion emissions'!$M$7:$M$38,'abrasion emissions'!$I$7:$I$38,"PM 2.5",'abrasion emissions'!$K$7:$K$38,"Road",'abrasion emissions'!$L$7:$L$38,"c"))))+
(SUMIFS('abrasion emissions'!$M$7:$M$38,'abrasion emissions'!$I$7:$I$38,"PM 10",'abrasion emissions'!$K$7:$K$38,"Road",'abrasion emissions'!$L$7:$L$38,"b")*POWER(('vehicles specifications'!$Q58/1000),(1/SUMIFS('abrasion emissions'!$M$7:$M$38,'abrasion emissions'!$I$7:$I$38,"PM 10",'abrasion emissions'!$K$7:$K$38,"Road",'abrasion emissions'!$L$7:$L$38,"c")))))/1000000+CT58</f>
        <v>7.4980851383390362E-4</v>
      </c>
      <c r="CV58" s="7" t="str">
        <f>(CK58*CN58)+(CL58*CO58)+(CM58*CP58)</f>
        <v>#N/A</v>
      </c>
      <c r="CW58" s="7" t="str">
        <f>(CK58*CQ58)+(CL58*CR58)+(CM58*CS58)</f>
        <v>#N/A</v>
      </c>
    </row>
    <row r="59">
      <c r="A59" t="str">
        <f>B59&amp;" - "&amp;D59&amp;" - "&amp;IF(I59&lt;&gt;"",I59&amp;" - "&amp;E59,E59)</f>
        <v>Moped, gasoline, &lt;4kW, EURO-3 - 2006 - CH</v>
      </c>
      <c r="B59" t="inlineStr">
        <is>
          <t>Moped, gasoline, &lt;4kW, EURO-3</t>
        </is>
      </c>
      <c r="D59" s="18" t="n">
        <v>2006</v>
      </c>
      <c r="E59" t="inlineStr">
        <is>
          <t>CH</t>
        </is>
      </c>
      <c r="F59" t="inlineStr">
        <is>
          <t>EURO-3</t>
        </is>
      </c>
      <c r="G59" t="inlineStr">
        <is>
          <t>vkm</t>
        </is>
      </c>
      <c r="H59" t="inlineStr">
        <is>
          <t>ICEV-p</t>
        </is>
      </c>
      <c r="J59" t="n">
        <v>25000</v>
      </c>
      <c r="K59" t="n">
        <v>1570</v>
      </c>
      <c r="L59" s="2">
        <f>J59/K59</f>
        <v>15.923566878980891</v>
      </c>
      <c r="M59" t="n">
        <v>1</v>
      </c>
      <c r="N59" t="n">
        <v>75</v>
      </c>
      <c r="O59" t="n">
        <v>2</v>
      </c>
      <c r="P59" s="2">
        <f>SUM(U59,V59,W59,AC59,AF59,AH59)</f>
        <v>65.098124999999996</v>
      </c>
      <c r="Q59" s="2">
        <f>P59+(M59*N59)+O59</f>
        <v>142.09812499999998</v>
      </c>
      <c r="R59" t="n">
        <v>2.5</v>
      </c>
      <c r="S59" s="2" t="n">
        <v>41.9625</v>
      </c>
      <c r="T59" s="1" t="n">
        <v>-0.05</v>
      </c>
      <c r="U59" s="2">
        <f>S59*(1-T59)</f>
        <v>44.060625000000002</v>
      </c>
      <c r="V59" t="n">
        <v>15</v>
      </c>
      <c r="W59" t="n">
        <v>0</v>
      </c>
      <c r="X59" s="3" t="n">
        <v>0</v>
      </c>
      <c r="Y59" s="1" t="n">
        <v>0.8</v>
      </c>
      <c r="Z59" s="3">
        <f>Y59*X59</f>
        <v>0</v>
      </c>
      <c r="AA59" s="3">
        <f>IF(I59&lt;&gt;"",X59/INDEX('energy battery'!$B$3:$D$6,MATCH('vehicles specifications'!$D59,'energy battery'!$A$3:$A$6,0),MATCH('vehicles specifications'!$I59,'energy battery'!$B$2:$D$2,0)),"")</f>
        <v/>
      </c>
      <c r="AB59" s="3">
        <f>IF(AA59&lt;&gt;"",0.3*AA59,"")</f>
        <v/>
      </c>
      <c r="AC59" s="3">
        <f>IF(AA59&lt;&gt;"",AB59+AA59,"")</f>
        <v/>
      </c>
      <c r="AD59" s="3" t="n">
        <v>0</v>
      </c>
      <c r="AE59" s="3" t="n">
        <v>7</v>
      </c>
      <c r="AF59">
        <f>AE59*'fuels and tailpipe emissions'!$B$3</f>
        <v>5.25</v>
      </c>
      <c r="AG59" s="2">
        <f>AF59*'fuels and tailpipe emissions'!$C$3</f>
        <v>62.125</v>
      </c>
      <c r="AH59" s="3">
        <f>0.15*AF59</f>
        <v>0.78749999999999998</v>
      </c>
      <c r="AI59" t="n">
        <v>0</v>
      </c>
      <c r="AJ59" t="n">
        <v>0</v>
      </c>
      <c r="AK59">
        <f>J59/25000</f>
        <v>1</v>
      </c>
      <c r="AL59">
        <f>0.000537/1000*Q59</f>
        <v>7.6306693124999993E-5</v>
      </c>
      <c r="AM59" t="n">
        <v>0.00129</v>
      </c>
      <c r="AN59" s="2">
        <f>U59</f>
        <v>44.060625000000002</v>
      </c>
      <c r="AO59" s="2">
        <f>SUM(V59:W59)</f>
        <v>15</v>
      </c>
      <c r="AP59" s="2">
        <f>AC59</f>
        <v/>
      </c>
      <c r="AQ59" s="6" t="n">
        <v>0.8395021332941003</v>
      </c>
      <c r="AR59" s="20" t="n">
        <v>0</v>
      </c>
      <c r="AS59" s="6">
        <f>IF($H59="BEV",SUMPRODUCT(#REF!,#REF!),"")</f>
        <v/>
      </c>
      <c r="AT59" s="2">
        <f>SUM(Z59,AG59)/(SUM(AQ59,AS59)/3.6)</f>
        <v>266.4078995516374</v>
      </c>
      <c r="AU59" s="5">
        <f>IF($H59="ICEV-p",$AQ59/('fuels and tailpipe emissions'!$C$3*3.6)*'fuels and tailpipe emissions'!$D$3,"")*(1-AR59)</f>
        <v>6.1878795740457154E-2</v>
      </c>
      <c r="AV59" s="5">
        <f>IF($H59="ICEV-p",$AQ59/('fuels and tailpipe emissions'!$C$3*3.6)*'fuels and tailpipe emissions'!$D$3,"")*AR59</f>
        <v>0</v>
      </c>
      <c r="AW59" s="7">
        <f>IF($H59="ICEV-p",$AQ59/('fuels and tailpipe emissions'!$C$3*3.6)*'fuels and tailpipe emissions'!$E$3,"")</f>
        <v>3.1530596555646953E-7</v>
      </c>
      <c r="AX59" s="7">
        <f>SUMIFS('fuels and tailpipe emissions'!$C$10:$C$126,'fuels and tailpipe emissions'!$A$10:$A$126,'vehicles specifications'!$F59,'fuels and tailpipe emissions'!$B$10:$B$126,'vehicles specifications'!AX$2)/1000*$AQ59</f>
        <v>1.0310040666120319E-4</v>
      </c>
      <c r="AY59" s="7">
        <f>SUMIFS('fuels and tailpipe emissions'!$C$10:$C$126,'fuels and tailpipe emissions'!$A$10:$A$126,'vehicles specifications'!$F59,'fuels and tailpipe emissions'!$B$10:$B$126,'vehicles specifications'!AY$2)/1000*$AQ59</f>
        <v>2.2338843798195468E-5</v>
      </c>
      <c r="AZ59" s="7">
        <f>SUMIFS('fuels and tailpipe emissions'!$C$10:$C$126,'fuels and tailpipe emissions'!$A$10:$A$126,'vehicles specifications'!$F59,'fuels and tailpipe emissions'!$B$10:$B$126,'vehicles specifications'!AZ$2)/1000*$AQ59</f>
        <v>3.277971259693117E-3</v>
      </c>
      <c r="BA59" s="7">
        <f>SUMIFS('fuels and tailpipe emissions'!$C$10:$C$126,'fuels and tailpipe emissions'!$A$10:$A$126,'vehicles specifications'!$F59,'fuels and tailpipe emissions'!$B$10:$B$126,'vehicles specifications'!BA$2)/1000*$AQ59</f>
        <v>1.1333761439977408E-6</v>
      </c>
      <c r="BB59" s="7">
        <f>SUMIFS('fuels and tailpipe emissions'!$C$10:$C$126,'fuels and tailpipe emissions'!$A$10:$A$126,'vehicles specifications'!$F59,'fuels and tailpipe emissions'!$B$10:$B$126,'vehicles specifications'!BB$2)/1000*$AQ59</f>
        <v>1.1333761439977408E-6</v>
      </c>
      <c r="BC59" s="7">
        <f>SUMIFS('fuels and tailpipe emissions'!$C$10:$C$126,'fuels and tailpipe emissions'!$A$10:$A$126,'vehicles specifications'!$F59,'fuels and tailpipe emissions'!$B$10:$B$126,'vehicles specifications'!BC$2)/1000*$AQ59</f>
        <v>3.7393687755796559E-4</v>
      </c>
      <c r="BD59" s="7">
        <f>SUMIFS('fuels and tailpipe emissions'!$C$10:$C$126,'fuels and tailpipe emissions'!$A$10:$A$126,'vehicles specifications'!$F59,'fuels and tailpipe emissions'!$B$10:$B$126,'vehicles specifications'!BD$2)/1000*$AQ59</f>
        <v>1.1713745554585587E-5</v>
      </c>
      <c r="BE59" s="7">
        <f>SUMIFS('fuels and tailpipe emissions'!$C$10:$C$126,'fuels and tailpipe emissions'!$A$10:$A$126,'vehicles specifications'!$F59,'fuels and tailpipe emissions'!$B$10:$B$126,'vehicles specifications'!BE$2)/1000*$AQ59</f>
        <v>8.3141932216628021E-4</v>
      </c>
      <c r="BF59" s="7">
        <f>SUMIFS('fuels and tailpipe emissions'!$C$10:$C$126,'fuels and tailpipe emissions'!$A$10:$A$126,'vehicles specifications'!$F59,'fuels and tailpipe emissions'!$B$10:$B$126,'vehicles specifications'!BF$2)/1000*$AQ59</f>
        <v>5.8625721434801813E-5</v>
      </c>
      <c r="BG59" s="7">
        <f>SUMIFS('fuels and tailpipe emissions'!$C$10:$C$126,'fuels and tailpipe emissions'!$A$10:$A$126,'vehicles specifications'!$F59,'fuels and tailpipe emissions'!$B$10:$B$126,'vehicles specifications'!BG$2)/1000*$AQ59</f>
        <v>1.1945679916182187E-5</v>
      </c>
      <c r="BH59" s="7">
        <f>SUMIFS('fuels and tailpipe emissions'!$C$10:$C$126,'fuels and tailpipe emissions'!$A$10:$A$126,'vehicles specifications'!$F59,'fuels and tailpipe emissions'!$B$10:$B$126,'vehicles specifications'!BH$2)/1000*$AQ59</f>
        <v>9.6300558093530248E-5</v>
      </c>
      <c r="BI59" s="7">
        <f>SUMIFS('fuels and tailpipe emissions'!$C$10:$C$126,'fuels and tailpipe emissions'!$A$10:$A$126,'vehicles specifications'!$F59,'fuels and tailpipe emissions'!$B$10:$B$126,'vehicles specifications'!BI$2)/1000*$AQ59</f>
        <v>3.9512633568910311E-5</v>
      </c>
      <c r="BJ59" s="7">
        <f>SUMIFS('fuels and tailpipe emissions'!$C$10:$C$126,'fuels and tailpipe emissions'!$A$10:$A$126,'vehicles specifications'!$F59,'fuels and tailpipe emissions'!$B$10:$B$126,'vehicles specifications'!BJ$2)/1000*$AQ59</f>
        <v>2.9588530253928191E-5</v>
      </c>
      <c r="BK59" s="7">
        <f>SUMIFS('fuels and tailpipe emissions'!$C$10:$C$126,'fuels and tailpipe emissions'!$A$10:$A$126,'vehicles specifications'!$F59,'fuels and tailpipe emissions'!$B$10:$B$126,'vehicles specifications'!BK$2)/1000*$AQ59</f>
        <v>2.0950884776073375E-5</v>
      </c>
      <c r="BL59" s="7">
        <f>SUMIFS('fuels and tailpipe emissions'!$C$10:$C$126,'fuels and tailpipe emissions'!$A$10:$A$126,'vehicles specifications'!$F59,'fuels and tailpipe emissions'!$B$10:$B$126,'vehicles specifications'!BL$2)/1000*$AQ59</f>
        <v>1.3599697135345875E-5</v>
      </c>
      <c r="BM59" s="7">
        <f>SUMIFS('fuels and tailpipe emissions'!$C$10:$C$126,'fuels and tailpipe emissions'!$A$10:$A$126,'vehicles specifications'!$F59,'fuels and tailpipe emissions'!$B$10:$B$126,'vehicles specifications'!BM$2)/1000*$AQ59</f>
        <v>1.3415917444327687E-4</v>
      </c>
      <c r="BN59" s="7">
        <f>SUMIFS('fuels and tailpipe emissions'!$C$10:$C$126,'fuels and tailpipe emissions'!$A$10:$A$126,'vehicles specifications'!$F59,'fuels and tailpipe emissions'!$B$10:$B$126,'vehicles specifications'!BN$2)/1000*$AQ59</f>
        <v>7.0203841968947625E-5</v>
      </c>
      <c r="BO59" s="7">
        <f>SUMIFS('fuels and tailpipe emissions'!$C$10:$C$126,'fuels and tailpipe emissions'!$A$10:$A$126,'vehicles specifications'!$F59,'fuels and tailpipe emissions'!$B$10:$B$126,'vehicles specifications'!BO$2)/1000*$AQ59</f>
        <v>2.0215766012000624E-6</v>
      </c>
      <c r="BP59" s="7">
        <f>SUMIFS('fuels and tailpipe emissions'!$C$10:$C$126,'fuels and tailpipe emissions'!$A$10:$A$126,'vehicles specifications'!$F59,'fuels and tailpipe emissions'!$B$10:$B$126,'vehicles specifications'!BP$2)/1000*$AQ59</f>
        <v>1.0310040666120319E-4</v>
      </c>
      <c r="BQ59" s="7">
        <f>SUMIFS('fuels and tailpipe emissions'!$C$10:$C$126,'fuels and tailpipe emissions'!$A$10:$A$126,'vehicles specifications'!$F59,'fuels and tailpipe emissions'!$B$10:$B$126,'vehicles specifications'!BQ$2)/1000*$AQ59</f>
        <v>2.0179010073796986E-4</v>
      </c>
      <c r="BR59" s="7">
        <f>SUMIFS('fuels and tailpipe emissions'!$C$10:$C$126,'fuels and tailpipe emissions'!$A$10:$A$126,'vehicles specifications'!$F59,'fuels and tailpipe emissions'!$B$10:$B$126,'vehicles specifications'!BR$2)/1000*$AQ59</f>
        <v>9.9792372222875822E-5</v>
      </c>
      <c r="BS59" s="7">
        <f>SUMIFS('fuels and tailpipe emissions'!$C$10:$C$126,'fuels and tailpipe emissions'!$A$10:$A$126,'vehicles specifications'!$F59,'fuels and tailpipe emissions'!$B$10:$B$126,'vehicles specifications'!BS$2)/1000*$AQ59</f>
        <v>4.1534210170110372E-5</v>
      </c>
      <c r="BT59" s="7">
        <f>SUMIFS('fuels and tailpipe emissions'!$C$10:$C$126,'fuels and tailpipe emissions'!$A$10:$A$126,'vehicles specifications'!$F59,'fuels and tailpipe emissions'!$B$10:$B$126,'vehicles specifications'!BT$2)/1000*$AQ59</f>
        <v>3.1242547473091882E-5</v>
      </c>
      <c r="BU59" s="7">
        <f>SUMIFS('fuels and tailpipe emissions'!$C$10:$C$126,'fuels and tailpipe emissions'!$A$10:$A$126,'vehicles specifications'!$F59,'fuels and tailpipe emissions'!$B$10:$B$126,'vehicles specifications'!BU$2)/1000*$AQ59</f>
        <v>1.3783476826364063E-5</v>
      </c>
      <c r="BV59" s="7">
        <f>SUMIFS('fuels and tailpipe emissions'!$C$10:$C$126,'fuels and tailpipe emissions'!$A$10:$A$126,'vehicles specifications'!$F59,'fuels and tailpipe emissions'!$B$10:$B$126,'vehicles specifications'!BV$2)/1000*$AQ59</f>
        <v>4.0431532024001248E-6</v>
      </c>
      <c r="BW59" s="7">
        <f>SUMIFS('fuels and tailpipe emissions'!$C$10:$C$126,'fuels and tailpipe emissions'!$A$10:$A$126,'vehicles specifications'!$F59,'fuels and tailpipe emissions'!$B$10:$B$126,'vehicles specifications'!BW$2)/1000*$AQ59</f>
        <v>1.1210561152109439E-5</v>
      </c>
      <c r="BX59" s="7">
        <f>SUMIFS('fuels and tailpipe emissions'!$C$10:$C$126,'fuels and tailpipe emissions'!$A$10:$A$126,'vehicles specifications'!$F59,'fuels and tailpipe emissions'!$B$10:$B$126,'vehicles specifications'!BX$2)/1000*$AQ59</f>
        <v>9.1889845509093757E-7</v>
      </c>
      <c r="BY59" s="7">
        <f>SUMIFS('fuels and tailpipe emissions'!$C$10:$C$126,'fuels and tailpipe emissions'!$A$10:$A$126,'vehicles specifications'!$F59,'fuels and tailpipe emissions'!$B$10:$B$126,'vehicles specifications'!BY$2)/1000*$AQ59</f>
        <v>3.4918141293455624E-6</v>
      </c>
      <c r="BZ59" s="7">
        <f>SUMIFS('fuels and tailpipe emissions'!$C$10:$C$126,'fuels and tailpipe emissions'!$A$10:$A$126,'vehicles specifications'!$F59,'fuels and tailpipe emissions'!$B$10:$B$126,'vehicles specifications'!BZ$2)/1000*$AQ59</f>
        <v>1.8561748792836937E-5</v>
      </c>
      <c r="CA59" s="7">
        <f>SUMIFS('fuels and tailpipe emissions'!$C$10:$C$126,'fuels and tailpipe emissions'!$A$10:$A$126,'vehicles specifications'!$F59,'fuels and tailpipe emissions'!$B$10:$B$126,'vehicles specifications'!CA$2)/1000*$AQ59</f>
        <v>6.8740409973258097E-10</v>
      </c>
      <c r="CB59" s="7">
        <f>SUMIFS('fuels and tailpipe emissions'!$C$10:$C$126,'fuels and tailpipe emissions'!$A$10:$A$126,'vehicles specifications'!$F59,'fuels and tailpipe emissions'!$B$10:$B$126,'vehicles specifications'!CB$2)/1000*$AQ59</f>
        <v>5.9258974114877665E-12</v>
      </c>
      <c r="CC59" s="7">
        <f>SUMIFS('fuels and tailpipe emissions'!$C$10:$C$126,'fuels and tailpipe emissions'!$A$10:$A$126,'vehicles specifications'!$F59,'fuels and tailpipe emissions'!$B$10:$B$126,'vehicles specifications'!CC$2)/1000*$AQ59</f>
        <v>3.9505982743251777E-12</v>
      </c>
      <c r="CD59" s="7">
        <f>SUMIFS('fuels and tailpipe emissions'!$C$10:$C$126,'fuels and tailpipe emissions'!$A$10:$A$126,'vehicles specifications'!$F59,'fuels and tailpipe emissions'!$B$10:$B$126,'vehicles specifications'!CD$2)/1000*$AQ59</f>
        <v>4.2666461362711927E-8</v>
      </c>
      <c r="CE59" s="7">
        <f>SUMIFS('fuels and tailpipe emissions'!$C$10:$C$126,'fuels and tailpipe emissions'!$A$10:$A$126,'vehicles specifications'!$F59,'fuels and tailpipe emissions'!$B$10:$B$126,'vehicles specifications'!CE$2)/1000*$AQ59</f>
        <v>8.2962563760828726E-10</v>
      </c>
      <c r="CF59" s="7">
        <f>SUMIFS('fuels and tailpipe emissions'!$C$10:$C$126,'fuels and tailpipe emissions'!$A$10:$A$126,'vehicles specifications'!$F59,'fuels and tailpipe emissions'!$B$10:$B$126,'vehicles specifications'!CF$2)/1000*$AQ59</f>
        <v>2.5678888783113659E-10</v>
      </c>
      <c r="CG59" s="7">
        <f>SUMIFS('fuels and tailpipe emissions'!$C$10:$C$126,'fuels and tailpipe emissions'!$A$10:$A$126,'vehicles specifications'!$F59,'fuels and tailpipe emissions'!$B$10:$B$126,'vehicles specifications'!CG$2)/1000*$AQ59</f>
        <v>3.1604786194601424E-10</v>
      </c>
      <c r="CH59" s="7">
        <f>SUMIFS('fuels and tailpipe emissions'!$C$10:$C$126,'fuels and tailpipe emissions'!$A$10:$A$126,'vehicles specifications'!$F59,'fuels and tailpipe emissions'!$B$10:$B$126,'vehicles specifications'!CH$2)/1000*$AQ59</f>
        <v>6.3209572389202838E-13</v>
      </c>
      <c r="CI59" s="7">
        <f>SUMIFS('fuels and tailpipe emissions'!$C$10:$C$126,'fuels and tailpipe emissions'!$A$10:$A$126,'vehicles specifications'!$F59,'fuels and tailpipe emissions'!$B$10:$B$126,'vehicles specifications'!CI$2)/1000*$AQ59</f>
        <v>1.7185102493314524E-10</v>
      </c>
      <c r="CJ59" s="7">
        <f>SUMIFS('fuels and tailpipe emissions'!$C$10:$C$126,'fuels and tailpipe emissions'!$A$10:$A$126,'vehicles specifications'!$F59,'fuels and tailpipe emissions'!$B$10:$B$126,'vehicles specifications'!CJ$2)/1000*$AQ59</f>
        <v>2.1333230681355966E-10</v>
      </c>
      <c r="CK59" s="38">
        <f>VLOOKUP($B59,'abrasion emissions'!$O$7:$R$36,2,FALSE)</f>
        <v>0.5</v>
      </c>
      <c r="CL59" s="38">
        <f>VLOOKUP($B59,'abrasion emissions'!$O$7:$R$36,3,FALSE)</f>
        <v>0.5</v>
      </c>
      <c r="CM59" s="38">
        <f>VLOOKUP($B59,'abrasion emissions'!$O$7:$R$36,4,FALSE)</f>
        <v>0</v>
      </c>
      <c r="CN59" s="7">
        <f>((SUMIFS('abrasion emissions'!$M$7:$M$34,'abrasion emissions'!$I$7:$I$34,"PM 2.5",'abrasion emissions'!$J$7:$J$34,"urban",'abrasion emissions'!$K$7:$K$34,"Tyre",'abrasion emissions'!$L$7:$L$34,"b")*POWER(('vehicles specifications'!$Q59/1000),(1/SUMIFS('abrasion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specifications'!$P59/1000),(1/SUMIFS('abrasion emissions'!$M$7:$M$34,'abrasion emissions'!$I$7:$I$34,"PM 10",'abrasion emissions'!$J$7:$J$34,"urban",'abrasion emissions'!$K$7:$K$34,"Tyre",'abrasion emissions'!$L$7:$L$34,"c")))))/1000000</f>
        <v>5.2789719644806837E-6</v>
      </c>
      <c r="CO59" s="7">
        <f>((SUMIFS('abrasion emissions'!$M$7:$M$34,'abrasion emissions'!$I$7:$I$34,"PM 2.5",'abrasion emissions'!$J$7:$J$34,"rural",'abrasion emissions'!$K$7:$K$34,"Tyre",'abrasion emissions'!$L$7:$L$34,"b")*POWER(('vehicles specifications'!$Q59/1000),(1/SUMIFS('abrasion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specifications'!$P59/1000),(1/SUMIFS('abrasion emissions'!$M$7:$M$34,'abrasion emissions'!$I$7:$I$34,"PM 10",'abrasion emissions'!$J$7:$J$34,"rural",'abrasion emissions'!$K$7:$K$34,"Tyre",'abrasion emissions'!$L$7:$L$34,"c")))))/1000000</f>
        <v>4.1119929442236188E-6</v>
      </c>
      <c r="CP59" s="7">
        <f>((SUMIFS('abrasion emissions'!$M$7:$M$34,'abrasion emissions'!$I$7:$I$34,"PM 2.5",'abrasion emissions'!$J$7:$J$34,"motorway",'abrasion emissions'!$K$7:$K$34,"Tyre",'abrasion emissions'!$L$7:$L$34,"b")*POWER(('vehicles specifications'!$Q59/1000),(1/SUMIFS('abrasion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specifications'!$P59/1000),(1/SUMIFS('abrasion emissions'!$M$7:$M$34,'abrasion emissions'!$I$7:$I$34,"PM 10",'abrasion emissions'!$J$7:$J$34,"motorway",'abrasion emissions'!$K$7:$K$34,"Tyre",'abrasion emissions'!$L$7:$L$34,"c")))))/1000000</f>
        <v>3.5132583363581064E-6</v>
      </c>
      <c r="CQ59" s="7">
        <f>((SUMIFS('abrasion emissions'!$M$7:$M$34,'abrasion emissions'!$I$7:$I$34,"PM 2.5",'abrasion emissions'!$J$7:$J$34,"urban",'abrasion emissions'!$K$7:$K$34,"Brake",'abrasion emissions'!$L$7:$L$34,"b")*POWER(('vehicles specifications'!$Q59/1000),(1/SUMIFS('abrasion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specifications'!$P59/1000),(1/SUMIFS('abrasion emissions'!$M$7:$M$34,'abrasion emissions'!$I$7:$I$34,"PM 10",'abrasion emissions'!$J$7:$J$34,"urban",'abrasion emissions'!$K$7:$K$34,"Brake",'abrasion emissions'!$L$7:$L$34,"c")))))/1000000</f>
        <v>4.9362726417290589E-6</v>
      </c>
      <c r="CR59" s="7">
        <f>((SUMIFS('abrasion emissions'!$M$7:$M$34,'abrasion emissions'!$I$7:$I$34,"PM 2.5",'abrasion emissions'!$J$7:$J$34,"rural",'abrasion emissions'!$K$7:$K$34,"Brake",'abrasion emissions'!$L$7:$L$34,"b")*POWER(('vehicles specifications'!$Q59/1000),(1/SUMIFS('abrasion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specifications'!$P59/1000),(1/SUMIFS('abrasion emissions'!$M$7:$M$34,'abrasion emissions'!$I$7:$I$34,"PM 10",'abrasion emissions'!$J$7:$J$34,"rural",'abrasion emissions'!$K$7:$K$34,"Brake",'abrasion emissions'!$L$7:$L$34,"c")))))/1000000</f>
        <v>1.5166667867339179E-6</v>
      </c>
      <c r="CS59" s="7">
        <f>((SUMIFS('abrasion emissions'!$M$7:$M$34,'abrasion emissions'!$I$7:$I$34,"PM 2.5",'abrasion emissions'!$J$7:$J$34,"motorway",'abrasion emissions'!$K$7:$K$34,"Brake",'abrasion emissions'!$L$7:$L$34,"b")*POWER(('vehicles specifications'!$Q59/1000),(1/SUMIFS('abrasion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specifications'!$P59/1000),(1/SUMIFS('abrasion emissions'!$M$7:$M$34,'abrasion emissions'!$I$7:$I$34,"PM 10",'abrasion emissions'!$J$7:$J$34,"motorway",'abrasion emissions'!$K$7:$K$34,"Brake",'abrasion emissions'!$L$7:$L$34,"c")))))/1000000</f>
        <v>2.7183042520566158E-7</v>
      </c>
      <c r="CT59" s="7">
        <f>((SUMIFS('abrasion emissions'!$M$7:$M$38,'abrasion emissions'!$I$7:$I$38,"PM 2.5",'abrasion emissions'!$K$7:$K$38,"Re-susp.",'abrasion emissions'!$L$7:$L$38,"b")*POWER(('vehicles specifications'!$Q59/1000),(1/SUMIFS('abrasion emissions'!$M$7:$M$38,'abrasion emissions'!$I$7:$I$38,"PM 2.5",'abrasion emissions'!$K$7:$K$38,"Re-susp.",'abrasion emissions'!$L$7:$L$38,"c"))))+
(SUMIFS('abrasion emissions'!$M$7:$M$38,'abrasion emissions'!$I$7:$I$38,"PM 10",'abrasion emissions'!$K$7:$K$38,"Re-susp.",'abrasion emissions'!$L$7:$L$38,"b")*POWER(('vehicles specifications'!$Q59/1000),(1/SUMIFS('abrasion emissions'!$M$7:$M$38,'abrasion emissions'!$I$7:$I$38,"PM 10",'abrasion emissions'!$K$7:$K$38,"Re-susp.",'abrasion emissions'!$L$7:$L$38,"c")))))/1000000</f>
        <v>2.7827206985141324E-6</v>
      </c>
      <c r="CU59" s="7">
        <f>((SUMIFS('abrasion emissions'!$M$7:$M$38,'abrasion emissions'!$I$7:$I$38,"PM 2.5",'abrasion emissions'!$K$7:$K$38,"Road",'abrasion emissions'!$L$7:$L$38,"b")*POWER(('vehicles specifications'!$Q59/1000),(1/SUMIFS('abrasion emissions'!$M$7:$M$38,'abrasion emissions'!$I$7:$I$38,"PM 2.5",'abrasion emissions'!$K$7:$K$38,"Road",'abrasion emissions'!$L$7:$L$38,"c"))))+
(SUMIFS('abrasion emissions'!$M$7:$M$38,'abrasion emissions'!$I$7:$I$38,"PM 10",'abrasion emissions'!$K$7:$K$38,"Road",'abrasion emissions'!$L$7:$L$38,"b")*POWER(('vehicles specifications'!$Q59/1000),(1/SUMIFS('abrasion emissions'!$M$7:$M$38,'abrasion emissions'!$I$7:$I$38,"PM 10",'abrasion emissions'!$K$7:$K$38,"Road",'abrasion emissions'!$L$7:$L$38,"c")))))/1000000+CT59</f>
        <v>5.5602526913109987E-6</v>
      </c>
      <c r="CV59" s="7">
        <f>(CK59*CN59)+(CL59*CO59)+(CM59*CP59)</f>
        <v>4.6954824543521508E-6</v>
      </c>
      <c r="CW59" s="7">
        <f>(CK59*CQ59)+(CL59*CR59)+(CM59*CS59)</f>
        <v>3.2264697142314886E-6</v>
      </c>
    </row>
    <row r="60">
      <c r="A60" t="str">
        <f>B60&amp;" - "&amp;D60&amp;" - "&amp;IF(I60&lt;&gt;"",I60&amp;" - "&amp;E60,E60)</f>
        <v>Moped, gasoline, &lt;4kW, EURO-4 - 2016 - CH</v>
      </c>
      <c r="B60" t="inlineStr">
        <is>
          <t>Moped, gasoline, &lt;4kW, EURO-4</t>
        </is>
      </c>
      <c r="D60" s="18" t="n">
        <v>2016</v>
      </c>
      <c r="E60" t="inlineStr">
        <is>
          <t>CH</t>
        </is>
      </c>
      <c r="F60" t="inlineStr">
        <is>
          <t>EURO-4</t>
        </is>
      </c>
      <c r="G60" t="inlineStr">
        <is>
          <t>vkm</t>
        </is>
      </c>
      <c r="H60" t="inlineStr">
        <is>
          <t>ICEV-p</t>
        </is>
      </c>
      <c r="J60" t="n">
        <v>25000</v>
      </c>
      <c r="K60" t="n">
        <v>1570</v>
      </c>
      <c r="L60" s="2">
        <f>J60/K60</f>
        <v>15.923566878980891</v>
      </c>
      <c r="M60" t="n">
        <v>1</v>
      </c>
      <c r="N60" t="n">
        <v>75</v>
      </c>
      <c r="O60" t="n">
        <v>2</v>
      </c>
      <c r="P60" s="2">
        <f>SUM(U60,V60,W60,AC60,AF60,AH60)</f>
        <v>63.83925</v>
      </c>
      <c r="Q60" s="2">
        <f>P60+(M60*N60)+O60</f>
        <v>140.83924999999999</v>
      </c>
      <c r="R60" t="n">
        <v>2.5</v>
      </c>
      <c r="S60" s="2" t="n">
        <v>41.9625</v>
      </c>
      <c r="T60" s="1" t="n">
        <v>-0.02</v>
      </c>
      <c r="U60" s="2">
        <f>S60*(1-T60)</f>
        <v>42.801749999999998</v>
      </c>
      <c r="V60" t="n">
        <v>15</v>
      </c>
      <c r="W60" t="n">
        <v>0</v>
      </c>
      <c r="X60" s="3" t="n">
        <v>0</v>
      </c>
      <c r="Y60" s="1" t="n">
        <v>0.8</v>
      </c>
      <c r="Z60" s="3">
        <f>Y60*X60</f>
        <v>0</v>
      </c>
      <c r="AA60" s="3">
        <f>IF(I60&lt;&gt;"",X60/INDEX('energy battery'!$B$3:$D$6,MATCH('vehicles specifications'!$D60,'energy battery'!$A$3:$A$6,0),MATCH('vehicles specifications'!$I60,'energy battery'!$B$2:$D$2,0)),"")</f>
        <v/>
      </c>
      <c r="AB60" s="3">
        <f>IF(AA60&lt;&gt;"",0.3*AA60,"")</f>
        <v/>
      </c>
      <c r="AC60" s="3">
        <f>IF(AA60&lt;&gt;"",AB60+AA60,"")</f>
        <v/>
      </c>
      <c r="AD60" s="3" t="n">
        <v>0</v>
      </c>
      <c r="AE60" s="3" t="n">
        <v>7</v>
      </c>
      <c r="AF60">
        <f>AE60*'fuels and tailpipe emissions'!$B$3</f>
        <v>5.25</v>
      </c>
      <c r="AG60" s="2">
        <f>AF60*'fuels and tailpipe emissions'!$C$3</f>
        <v>62.125</v>
      </c>
      <c r="AH60" s="3">
        <f>0.15*AF60</f>
        <v>0.78749999999999998</v>
      </c>
      <c r="AI60" t="n">
        <v>0</v>
      </c>
      <c r="AJ60" t="n">
        <v>0</v>
      </c>
      <c r="AK60">
        <f>J60/25000</f>
        <v>1</v>
      </c>
      <c r="AL60">
        <f>0.000537/1000*Q60</f>
        <v>7.5630677249999997E-5</v>
      </c>
      <c r="AM60" t="n">
        <v>0.00129</v>
      </c>
      <c r="AN60" s="2">
        <f>U60</f>
        <v>42.801749999999998</v>
      </c>
      <c r="AO60" s="2">
        <f>SUM(V60:W60)</f>
        <v>15</v>
      </c>
      <c r="AP60" s="2">
        <f>AC60</f>
        <v/>
      </c>
      <c r="AQ60" s="6" t="n">
        <v>0.8311902309842577</v>
      </c>
      <c r="AR60" s="20" t="n">
        <v>0</v>
      </c>
      <c r="AS60" s="6">
        <f>IF($H60="BEV",SUMPRODUCT(#REF!,#REF!),"")</f>
        <v/>
      </c>
      <c r="AT60" s="2">
        <f>SUM(Z60,AG60)/(SUM(AQ60,AS60)/3.6)</f>
        <v>269.07197854715383</v>
      </c>
      <c r="AU60" s="5">
        <f>IF($H60="ICEV-p",$AQ60/('fuels and tailpipe emissions'!$C$3*3.6)*'fuels and tailpipe emissions'!$D$3,"")*(1-AR60)</f>
        <v>6.1266134396492228E-2</v>
      </c>
      <c r="AV60" s="5">
        <f>IF($H60="ICEV-p",$AQ60/('fuels and tailpipe emissions'!$C$3*3.6)*'fuels and tailpipe emissions'!$D$3,"")*AR60</f>
        <v>0</v>
      </c>
      <c r="AW60" s="7">
        <f>IF($H60="ICEV-p",$AQ60/('fuels and tailpipe emissions'!$C$3*3.6)*'fuels and tailpipe emissions'!$E$3,"")</f>
        <v>3.1218412431333619E-7</v>
      </c>
      <c r="AX60" s="7">
        <f>SUMIFS('fuels and tailpipe emissions'!$C$10:$C$126,'fuels and tailpipe emissions'!$A$10:$A$126,'vehicles specifications'!$F60,'fuels and tailpipe emissions'!$B$10:$B$126,'vehicles specifications'!AX$2)/1000*$AQ60</f>
        <v>5.0538174149900782E-5</v>
      </c>
      <c r="AY60" s="7">
        <f>SUMIFS('fuels and tailpipe emissions'!$C$10:$C$126,'fuels and tailpipe emissions'!$A$10:$A$126,'vehicles specifications'!$F60,'fuels and tailpipe emissions'!$B$10:$B$126,'vehicles specifications'!AY$2)/1000*$AQ60</f>
        <v>2.2915507072459244E-5</v>
      </c>
      <c r="AZ60" s="7">
        <f>SUMIFS('fuels and tailpipe emissions'!$C$10:$C$126,'fuels and tailpipe emissions'!$A$10:$A$126,'vehicles specifications'!$F60,'fuels and tailpipe emissions'!$B$10:$B$126,'vehicles specifications'!AZ$2)/1000*$AQ60</f>
        <v>2.4230819782310601E-3</v>
      </c>
      <c r="BA60" s="7">
        <f>SUMIFS('fuels and tailpipe emissions'!$C$10:$C$126,'fuels and tailpipe emissions'!$A$10:$A$126,'vehicles specifications'!$F60,'fuels and tailpipe emissions'!$B$10:$B$126,'vehicles specifications'!BA$2)/1000*$AQ60</f>
        <v>1.1626335399522705E-6</v>
      </c>
      <c r="BB60" s="7">
        <f>SUMIFS('fuels and tailpipe emissions'!$C$10:$C$126,'fuels and tailpipe emissions'!$A$10:$A$126,'vehicles specifications'!$F60,'fuels and tailpipe emissions'!$B$10:$B$126,'vehicles specifications'!BB$2)/1000*$AQ60</f>
        <v>1.1626335399522705E-6</v>
      </c>
      <c r="BC60" s="7">
        <f>SUMIFS('fuels and tailpipe emissions'!$C$10:$C$126,'fuels and tailpipe emissions'!$A$10:$A$126,'vehicles specifications'!$F60,'fuels and tailpipe emissions'!$B$10:$B$126,'vehicles specifications'!BC$2)/1000*$AQ60</f>
        <v>8.7186713305431907E-5</v>
      </c>
      <c r="BD60" s="7">
        <f>SUMIFS('fuels and tailpipe emissions'!$C$10:$C$126,'fuels and tailpipe emissions'!$A$10:$A$126,'vehicles specifications'!$F60,'fuels and tailpipe emissions'!$B$10:$B$126,'vehicles specifications'!BD$2)/1000*$AQ60</f>
        <v>6.6770044199458891E-6</v>
      </c>
      <c r="BE60" s="7">
        <f>SUMIFS('fuels and tailpipe emissions'!$C$10:$C$126,'fuels and tailpipe emissions'!$A$10:$A$126,'vehicles specifications'!$F60,'fuels and tailpipe emissions'!$B$10:$B$126,'vehicles specifications'!BE$2)/1000*$AQ60</f>
        <v>4.0754848458850478E-4</v>
      </c>
      <c r="BF60" s="7">
        <f>SUMIFS('fuels and tailpipe emissions'!$C$10:$C$126,'fuels and tailpipe emissions'!$A$10:$A$126,'vehicles specifications'!$F60,'fuels and tailpipe emissions'!$B$10:$B$126,'vehicles specifications'!BF$2)/1000*$AQ60</f>
        <v>2.873739314406123E-5</v>
      </c>
      <c r="BG60" s="7">
        <f>SUMIFS('fuels and tailpipe emissions'!$C$10:$C$126,'fuels and tailpipe emissions'!$A$10:$A$126,'vehicles specifications'!$F60,'fuels and tailpipe emissions'!$B$10:$B$126,'vehicles specifications'!BG$2)/1000*$AQ60</f>
        <v>5.8555816751221947E-6</v>
      </c>
      <c r="BH60" s="7">
        <f>SUMIFS('fuels and tailpipe emissions'!$C$10:$C$126,'fuels and tailpipe emissions'!$A$10:$A$126,'vehicles specifications'!$F60,'fuels and tailpipe emissions'!$B$10:$B$126,'vehicles specifications'!BH$2)/1000*$AQ60</f>
        <v>4.7204996888677385E-5</v>
      </c>
      <c r="BI60" s="7">
        <f>SUMIFS('fuels and tailpipe emissions'!$C$10:$C$126,'fuels and tailpipe emissions'!$A$10:$A$126,'vehicles specifications'!$F60,'fuels and tailpipe emissions'!$B$10:$B$126,'vehicles specifications'!BI$2)/1000*$AQ60</f>
        <v>1.936846246386572E-5</v>
      </c>
      <c r="BJ60" s="7">
        <f>SUMIFS('fuels and tailpipe emissions'!$C$10:$C$126,'fuels and tailpipe emissions'!$A$10:$A$126,'vehicles specifications'!$F60,'fuels and tailpipe emissions'!$B$10:$B$126,'vehicles specifications'!BJ$2)/1000*$AQ60</f>
        <v>1.4503825379918051E-5</v>
      </c>
      <c r="BK60" s="7">
        <f>SUMIFS('fuels and tailpipe emissions'!$C$10:$C$126,'fuels and tailpipe emissions'!$A$10:$A$126,'vehicles specifications'!$F60,'fuels and tailpipe emissions'!$B$10:$B$126,'vehicles specifications'!BK$2)/1000*$AQ60</f>
        <v>1.0269789399445079E-5</v>
      </c>
      <c r="BL60" s="7">
        <f>SUMIFS('fuels and tailpipe emissions'!$C$10:$C$126,'fuels and tailpipe emissions'!$A$10:$A$126,'vehicles specifications'!$F60,'fuels and tailpipe emissions'!$B$10:$B$126,'vehicles specifications'!BL$2)/1000*$AQ60</f>
        <v>6.6663545224468059E-6</v>
      </c>
      <c r="BM60" s="7">
        <f>SUMIFS('fuels and tailpipe emissions'!$C$10:$C$126,'fuels and tailpipe emissions'!$A$10:$A$126,'vehicles specifications'!$F60,'fuels and tailpipe emissions'!$B$10:$B$126,'vehicles specifications'!BM$2)/1000*$AQ60</f>
        <v>6.5762686505218488E-5</v>
      </c>
      <c r="BN60" s="7">
        <f>SUMIFS('fuels and tailpipe emissions'!$C$10:$C$126,'fuels and tailpipe emissions'!$A$10:$A$126,'vehicles specifications'!$F60,'fuels and tailpipe emissions'!$B$10:$B$126,'vehicles specifications'!BN$2)/1000*$AQ60</f>
        <v>3.441280307533351E-5</v>
      </c>
      <c r="BO60" s="7">
        <f>SUMIFS('fuels and tailpipe emissions'!$C$10:$C$126,'fuels and tailpipe emissions'!$A$10:$A$126,'vehicles specifications'!$F60,'fuels and tailpipe emissions'!$B$10:$B$126,'vehicles specifications'!BO$2)/1000*$AQ60</f>
        <v>9.9094459117452519E-7</v>
      </c>
      <c r="BP60" s="7">
        <f>SUMIFS('fuels and tailpipe emissions'!$C$10:$C$126,'fuels and tailpipe emissions'!$A$10:$A$126,'vehicles specifications'!$F60,'fuels and tailpipe emissions'!$B$10:$B$126,'vehicles specifications'!BP$2)/1000*$AQ60</f>
        <v>5.0538174149900782E-5</v>
      </c>
      <c r="BQ60" s="7">
        <f>SUMIFS('fuels and tailpipe emissions'!$C$10:$C$126,'fuels and tailpipe emissions'!$A$10:$A$126,'vehicles specifications'!$F60,'fuels and tailpipe emissions'!$B$10:$B$126,'vehicles specifications'!BQ$2)/1000*$AQ60</f>
        <v>9.8914287373602611E-5</v>
      </c>
      <c r="BR60" s="7">
        <f>SUMIFS('fuels and tailpipe emissions'!$C$10:$C$126,'fuels and tailpipe emissions'!$A$10:$A$126,'vehicles specifications'!$F60,'fuels and tailpipe emissions'!$B$10:$B$126,'vehicles specifications'!BR$2)/1000*$AQ60</f>
        <v>4.8916628455251568E-5</v>
      </c>
      <c r="BS60" s="7">
        <f>SUMIFS('fuels and tailpipe emissions'!$C$10:$C$126,'fuels and tailpipe emissions'!$A$10:$A$126,'vehicles specifications'!$F60,'fuels and tailpipe emissions'!$B$10:$B$126,'vehicles specifications'!BS$2)/1000*$AQ60</f>
        <v>2.0359407055040244E-5</v>
      </c>
      <c r="BT60" s="7">
        <f>SUMIFS('fuels and tailpipe emissions'!$C$10:$C$126,'fuels and tailpipe emissions'!$A$10:$A$126,'vehicles specifications'!$F60,'fuels and tailpipe emissions'!$B$10:$B$126,'vehicles specifications'!BT$2)/1000*$AQ60</f>
        <v>1.5314598227242665E-5</v>
      </c>
      <c r="BU60" s="7">
        <f>SUMIFS('fuels and tailpipe emissions'!$C$10:$C$126,'fuels and tailpipe emissions'!$A$10:$A$126,'vehicles specifications'!$F60,'fuels and tailpipe emissions'!$B$10:$B$126,'vehicles specifications'!BU$2)/1000*$AQ60</f>
        <v>6.7564403943717619E-6</v>
      </c>
      <c r="BV60" s="7">
        <f>SUMIFS('fuels and tailpipe emissions'!$C$10:$C$126,'fuels and tailpipe emissions'!$A$10:$A$126,'vehicles specifications'!$F60,'fuels and tailpipe emissions'!$B$10:$B$126,'vehicles specifications'!BV$2)/1000*$AQ60</f>
        <v>1.9818891823490504E-6</v>
      </c>
      <c r="BW60" s="7">
        <f>SUMIFS('fuels and tailpipe emissions'!$C$10:$C$126,'fuels and tailpipe emissions'!$A$10:$A$126,'vehicles specifications'!$F60,'fuels and tailpipe emissions'!$B$10:$B$126,'vehicles specifications'!BW$2)/1000*$AQ60</f>
        <v>5.495238187422368E-6</v>
      </c>
      <c r="BX60" s="7">
        <f>SUMIFS('fuels and tailpipe emissions'!$C$10:$C$126,'fuels and tailpipe emissions'!$A$10:$A$126,'vehicles specifications'!$F60,'fuels and tailpipe emissions'!$B$10:$B$126,'vehicles specifications'!BX$2)/1000*$AQ60</f>
        <v>0</v>
      </c>
      <c r="BY60" s="7">
        <f>SUMIFS('fuels and tailpipe emissions'!$C$10:$C$126,'fuels and tailpipe emissions'!$A$10:$A$126,'vehicles specifications'!$F60,'fuels and tailpipe emissions'!$B$10:$B$126,'vehicles specifications'!BY$2)/1000*$AQ60</f>
        <v>1.7116315665741799E-6</v>
      </c>
      <c r="BZ60" s="7">
        <f>SUMIFS('fuels and tailpipe emissions'!$C$10:$C$126,'fuels and tailpipe emissions'!$A$10:$A$126,'vehicles specifications'!$F60,'fuels and tailpipe emissions'!$B$10:$B$126,'vehicles specifications'!BZ$2)/1000*$AQ60</f>
        <v>9.0986730644206395E-6</v>
      </c>
      <c r="CA60" s="7">
        <f>SUMIFS('fuels and tailpipe emissions'!$C$10:$C$126,'fuels and tailpipe emissions'!$A$10:$A$126,'vehicles specifications'!$F60,'fuels and tailpipe emissions'!$B$10:$B$126,'vehicles specifications'!CA$2)/1000*$AQ60</f>
        <v>6.8059811854710989E-10</v>
      </c>
      <c r="CB60" s="7">
        <f>SUMIFS('fuels and tailpipe emissions'!$C$10:$C$126,'fuels and tailpipe emissions'!$A$10:$A$126,'vehicles specifications'!$F60,'fuels and tailpipe emissions'!$B$10:$B$126,'vehicles specifications'!CB$2)/1000*$AQ60</f>
        <v>5.8672251598888778E-12</v>
      </c>
      <c r="CC60" s="7">
        <f>SUMIFS('fuels and tailpipe emissions'!$C$10:$C$126,'fuels and tailpipe emissions'!$A$10:$A$126,'vehicles specifications'!$F60,'fuels and tailpipe emissions'!$B$10:$B$126,'vehicles specifications'!CC$2)/1000*$AQ60</f>
        <v>3.9114834399259186E-12</v>
      </c>
      <c r="CD60" s="7">
        <f>SUMIFS('fuels and tailpipe emissions'!$C$10:$C$126,'fuels and tailpipe emissions'!$A$10:$A$126,'vehicles specifications'!$F60,'fuels and tailpipe emissions'!$B$10:$B$126,'vehicles specifications'!CD$2)/1000*$AQ60</f>
        <v>4.2244021151199922E-8</v>
      </c>
      <c r="CE60" s="7">
        <f>SUMIFS('fuels and tailpipe emissions'!$C$10:$C$126,'fuels and tailpipe emissions'!$A$10:$A$126,'vehicles specifications'!$F60,'fuels and tailpipe emissions'!$B$10:$B$126,'vehicles specifications'!CE$2)/1000*$AQ60</f>
        <v>8.2141152238444284E-10</v>
      </c>
      <c r="CF60" s="7">
        <f>SUMIFS('fuels and tailpipe emissions'!$C$10:$C$126,'fuels and tailpipe emissions'!$A$10:$A$126,'vehicles specifications'!$F60,'fuels and tailpipe emissions'!$B$10:$B$126,'vehicles specifications'!CF$2)/1000*$AQ60</f>
        <v>2.5424642359518471E-10</v>
      </c>
      <c r="CG60" s="7">
        <f>SUMIFS('fuels and tailpipe emissions'!$C$10:$C$126,'fuels and tailpipe emissions'!$A$10:$A$126,'vehicles specifications'!$F60,'fuels and tailpipe emissions'!$B$10:$B$126,'vehicles specifications'!CG$2)/1000*$AQ60</f>
        <v>3.1291867519407351E-10</v>
      </c>
      <c r="CH60" s="7">
        <f>SUMIFS('fuels and tailpipe emissions'!$C$10:$C$126,'fuels and tailpipe emissions'!$A$10:$A$126,'vehicles specifications'!$F60,'fuels and tailpipe emissions'!$B$10:$B$126,'vehicles specifications'!CH$2)/1000*$AQ60</f>
        <v>6.258373503881469E-13</v>
      </c>
      <c r="CI60" s="7">
        <f>SUMIFS('fuels and tailpipe emissions'!$C$10:$C$126,'fuels and tailpipe emissions'!$A$10:$A$126,'vehicles specifications'!$F60,'fuels and tailpipe emissions'!$B$10:$B$126,'vehicles specifications'!CI$2)/1000*$AQ60</f>
        <v>1.7014952963677747E-10</v>
      </c>
      <c r="CJ60" s="7">
        <f>SUMIFS('fuels and tailpipe emissions'!$C$10:$C$126,'fuels and tailpipe emissions'!$A$10:$A$126,'vehicles specifications'!$F60,'fuels and tailpipe emissions'!$B$10:$B$126,'vehicles specifications'!CJ$2)/1000*$AQ60</f>
        <v>2.1122010575599965E-10</v>
      </c>
      <c r="CK60" s="38">
        <f>VLOOKUP($B60,'abrasion emissions'!$O$7:$R$36,2,FALSE)</f>
        <v>0.5</v>
      </c>
      <c r="CL60" s="38">
        <f>VLOOKUP($B60,'abrasion emissions'!$O$7:$R$36,3,FALSE)</f>
        <v>0.5</v>
      </c>
      <c r="CM60" s="38">
        <f>VLOOKUP($B60,'abrasion emissions'!$O$7:$R$36,4,FALSE)</f>
        <v>0</v>
      </c>
      <c r="CN60" s="7">
        <f>((SUMIFS('abrasion emissions'!$M$7:$M$34,'abrasion emissions'!$I$7:$I$34,"PM 2.5",'abrasion emissions'!$J$7:$J$34,"urban",'abrasion emissions'!$K$7:$K$34,"Tyre",'abrasion emissions'!$L$7:$L$34,"b")*POWER(('vehicles specifications'!$Q60/1000),(1/SUMIFS('abrasion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specifications'!$P60/1000),(1/SUMIFS('abrasion emissions'!$M$7:$M$34,'abrasion emissions'!$I$7:$I$34,"PM 10",'abrasion emissions'!$J$7:$J$34,"urban",'abrasion emissions'!$K$7:$K$34,"Tyre",'abrasion emissions'!$L$7:$L$34,"c")))))/1000000</f>
        <v>5.2504651270529482E-6</v>
      </c>
      <c r="CO60" s="7">
        <f>((SUMIFS('abrasion emissions'!$M$7:$M$34,'abrasion emissions'!$I$7:$I$34,"PM 2.5",'abrasion emissions'!$J$7:$J$34,"rural",'abrasion emissions'!$K$7:$K$34,"Tyre",'abrasion emissions'!$L$7:$L$34,"b")*POWER(('vehicles specifications'!$Q60/1000),(1/SUMIFS('abrasion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specifications'!$P60/1000),(1/SUMIFS('abrasion emissions'!$M$7:$M$34,'abrasion emissions'!$I$7:$I$34,"PM 10",'abrasion emissions'!$J$7:$J$34,"rural",'abrasion emissions'!$K$7:$K$34,"Tyre",'abrasion emissions'!$L$7:$L$34,"c")))))/1000000</f>
        <v>4.0898128638973128E-6</v>
      </c>
      <c r="CP60" s="7">
        <f>((SUMIFS('abrasion emissions'!$M$7:$M$34,'abrasion emissions'!$I$7:$I$34,"PM 2.5",'abrasion emissions'!$J$7:$J$34,"motorway",'abrasion emissions'!$K$7:$K$34,"Tyre",'abrasion emissions'!$L$7:$L$34,"b")*POWER(('vehicles specifications'!$Q60/1000),(1/SUMIFS('abrasion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specifications'!$P60/1000),(1/SUMIFS('abrasion emissions'!$M$7:$M$34,'abrasion emissions'!$I$7:$I$34,"PM 10",'abrasion emissions'!$J$7:$J$34,"motorway",'abrasion emissions'!$K$7:$K$34,"Tyre",'abrasion emissions'!$L$7:$L$34,"c")))))/1000000</f>
        <v>3.4943705211420178E-6</v>
      </c>
      <c r="CQ60" s="7">
        <f>((SUMIFS('abrasion emissions'!$M$7:$M$34,'abrasion emissions'!$I$7:$I$34,"PM 2.5",'abrasion emissions'!$J$7:$J$34,"urban",'abrasion emissions'!$K$7:$K$34,"Brake",'abrasion emissions'!$L$7:$L$34,"b")*POWER(('vehicles specifications'!$Q60/1000),(1/SUMIFS('abrasion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specifications'!$P60/1000),(1/SUMIFS('abrasion emissions'!$M$7:$M$34,'abrasion emissions'!$I$7:$I$34,"PM 10",'abrasion emissions'!$J$7:$J$34,"urban",'abrasion emissions'!$K$7:$K$34,"Brake",'abrasion emissions'!$L$7:$L$34,"c")))))/1000000</f>
        <v>4.9076703228365884E-6</v>
      </c>
      <c r="CR60" s="7">
        <f>((SUMIFS('abrasion emissions'!$M$7:$M$34,'abrasion emissions'!$I$7:$I$34,"PM 2.5",'abrasion emissions'!$J$7:$J$34,"rural",'abrasion emissions'!$K$7:$K$34,"Brake",'abrasion emissions'!$L$7:$L$34,"b")*POWER(('vehicles specifications'!$Q60/1000),(1/SUMIFS('abrasion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specifications'!$P60/1000),(1/SUMIFS('abrasion emissions'!$M$7:$M$34,'abrasion emissions'!$I$7:$I$34,"PM 10",'abrasion emissions'!$J$7:$J$34,"rural",'abrasion emissions'!$K$7:$K$34,"Brake",'abrasion emissions'!$L$7:$L$34,"c")))))/1000000</f>
        <v>1.5056513170814299E-6</v>
      </c>
      <c r="CS60" s="7">
        <f>((SUMIFS('abrasion emissions'!$M$7:$M$34,'abrasion emissions'!$I$7:$I$34,"PM 2.5",'abrasion emissions'!$J$7:$J$34,"motorway",'abrasion emissions'!$K$7:$K$34,"Brake",'abrasion emissions'!$L$7:$L$34,"b")*POWER(('vehicles specifications'!$Q60/1000),(1/SUMIFS('abrasion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specifications'!$P60/1000),(1/SUMIFS('abrasion emissions'!$M$7:$M$34,'abrasion emissions'!$I$7:$I$34,"PM 10",'abrasion emissions'!$J$7:$J$34,"motorway",'abrasion emissions'!$K$7:$K$34,"Brake",'abrasion emissions'!$L$7:$L$34,"c")))))/1000000</f>
        <v>2.6958049975262109E-7</v>
      </c>
      <c r="CT60" s="7">
        <f>((SUMIFS('abrasion emissions'!$M$7:$M$38,'abrasion emissions'!$I$7:$I$38,"PM 2.5",'abrasion emissions'!$K$7:$K$38,"Re-susp.",'abrasion emissions'!$L$7:$L$38,"b")*POWER(('vehicles specifications'!$Q60/1000),(1/SUMIFS('abrasion emissions'!$M$7:$M$38,'abrasion emissions'!$I$7:$I$38,"PM 2.5",'abrasion emissions'!$K$7:$K$38,"Re-susp.",'abrasion emissions'!$L$7:$L$38,"c"))))+
(SUMIFS('abrasion emissions'!$M$7:$M$38,'abrasion emissions'!$I$7:$I$38,"PM 10",'abrasion emissions'!$K$7:$K$38,"Re-susp.",'abrasion emissions'!$L$7:$L$38,"b")*POWER(('vehicles specifications'!$Q60/1000),(1/SUMIFS('abrasion emissions'!$M$7:$M$38,'abrasion emissions'!$I$7:$I$38,"PM 10",'abrasion emissions'!$K$7:$K$38,"Re-susp.",'abrasion emissions'!$L$7:$L$38,"c")))))/1000000</f>
        <v>2.760300130462521E-6</v>
      </c>
      <c r="CU60" s="7">
        <f>((SUMIFS('abrasion emissions'!$M$7:$M$38,'abrasion emissions'!$I$7:$I$38,"PM 2.5",'abrasion emissions'!$K$7:$K$38,"Road",'abrasion emissions'!$L$7:$L$38,"b")*POWER(('vehicles specifications'!$Q60/1000),(1/SUMIFS('abrasion emissions'!$M$7:$M$38,'abrasion emissions'!$I$7:$I$38,"PM 2.5",'abrasion emissions'!$K$7:$K$38,"Road",'abrasion emissions'!$L$7:$L$38,"c"))))+
(SUMIFS('abrasion emissions'!$M$7:$M$38,'abrasion emissions'!$I$7:$I$38,"PM 10",'abrasion emissions'!$K$7:$K$38,"Road",'abrasion emissions'!$L$7:$L$38,"b")*POWER(('vehicles specifications'!$Q60/1000),(1/SUMIFS('abrasion emissions'!$M$7:$M$38,'abrasion emissions'!$I$7:$I$38,"PM 10",'abrasion emissions'!$K$7:$K$38,"Road",'abrasion emissions'!$L$7:$L$38,"c")))))/1000000+CT60</f>
        <v>5.5214033406186255E-6</v>
      </c>
      <c r="CV60" s="7">
        <f>(CK60*CN60)+(CL60*CO60)+(CM60*CP60)</f>
        <v>4.6701389954751309E-6</v>
      </c>
      <c r="CW60" s="7">
        <f>(CK60*CQ60)+(CL60*CR60)+(CM60*CS60)</f>
        <v>3.206660819959009E-6</v>
      </c>
    </row>
    <row r="61">
      <c r="A61" t="str">
        <f>B61&amp;" - "&amp;D61&amp;" - "&amp;IF(I61&lt;&gt;"",I61&amp;" - "&amp;E61,E61)</f>
        <v>Moped, gasoline, &lt;4kW, EURO-5 - 2020 - CH</v>
      </c>
      <c r="B61" t="inlineStr">
        <is>
          <t>Moped, gasoline, &lt;4kW, EURO-5</t>
        </is>
      </c>
      <c r="D61" s="18" t="n">
        <v>2020</v>
      </c>
      <c r="E61" t="inlineStr">
        <is>
          <t>CH</t>
        </is>
      </c>
      <c r="F61" t="inlineStr">
        <is>
          <t>EURO-5</t>
        </is>
      </c>
      <c r="G61" t="inlineStr">
        <is>
          <t>vkm</t>
        </is>
      </c>
      <c r="H61" t="inlineStr">
        <is>
          <t>ICEV-p</t>
        </is>
      </c>
      <c r="J61" t="n">
        <v>25000</v>
      </c>
      <c r="K61" t="n">
        <v>1570</v>
      </c>
      <c r="L61" s="2">
        <f>J61/K61</f>
        <v>15.923566878980891</v>
      </c>
      <c r="M61" t="n">
        <v>1</v>
      </c>
      <c r="N61" t="n">
        <v>75</v>
      </c>
      <c r="O61" t="n">
        <v>2</v>
      </c>
      <c r="P61" s="2">
        <f>SUM(U61,V61,W61,AC61,AF61,AH61)</f>
        <v>63</v>
      </c>
      <c r="Q61" s="2">
        <f>P61+(M61*N61)+O61</f>
        <v>140</v>
      </c>
      <c r="R61" t="n">
        <v>2.5</v>
      </c>
      <c r="S61" s="2" t="n">
        <v>41.9625</v>
      </c>
      <c r="T61" s="1" t="n">
        <v>0</v>
      </c>
      <c r="U61" s="2">
        <f>S61*(1-T61)</f>
        <v>41.962499999999999</v>
      </c>
      <c r="V61" t="n">
        <v>15</v>
      </c>
      <c r="W61" t="n">
        <v>0</v>
      </c>
      <c r="X61" s="3" t="n">
        <v>0</v>
      </c>
      <c r="Y61" s="1" t="n">
        <v>0.8</v>
      </c>
      <c r="Z61" s="3">
        <f>Y61*X61</f>
        <v>0</v>
      </c>
      <c r="AA61" s="3">
        <f>IF(I61&lt;&gt;"",X61/INDEX('energy battery'!$B$3:$D$6,MATCH('vehicles specifications'!$D61,'energy battery'!$A$3:$A$6,0),MATCH('vehicles specifications'!$I61,'energy battery'!$B$2:$D$2,0)),"")</f>
        <v/>
      </c>
      <c r="AB61" s="3">
        <f>IF(AA61&lt;&gt;"",0.3*AA61,"")</f>
        <v/>
      </c>
      <c r="AC61" s="3">
        <f>IF(AA61&lt;&gt;"",AB61+AA61,"")</f>
        <v/>
      </c>
      <c r="AD61" s="3" t="n">
        <v>0</v>
      </c>
      <c r="AE61" s="3" t="n">
        <v>7</v>
      </c>
      <c r="AF61">
        <f>AE61*'fuels and tailpipe emissions'!$B$3</f>
        <v>5.25</v>
      </c>
      <c r="AG61" s="2">
        <f>AF61*'fuels and tailpipe emissions'!$C$3</f>
        <v>62.125</v>
      </c>
      <c r="AH61" s="3">
        <f>0.15*AF61</f>
        <v>0.78749999999999998</v>
      </c>
      <c r="AI61" t="n">
        <v>0</v>
      </c>
      <c r="AJ61" t="n">
        <v>0</v>
      </c>
      <c r="AK61">
        <f>J61/25000</f>
        <v>1</v>
      </c>
      <c r="AL61">
        <f>0.000537/1000*Q61</f>
        <v>7.5179999999999995E-5</v>
      </c>
      <c r="AM61" t="n">
        <v>0.00129</v>
      </c>
      <c r="AN61" s="2">
        <f>U61</f>
        <v>41.962499999999999</v>
      </c>
      <c r="AO61" s="2">
        <f>SUM(V61:W61)</f>
        <v>15</v>
      </c>
      <c r="AP61" s="2">
        <f>AC61</f>
        <v/>
      </c>
      <c r="AQ61" s="6" t="n">
        <v>0.8228783286744151</v>
      </c>
      <c r="AR61" s="20" t="n">
        <v>0</v>
      </c>
      <c r="AS61" s="6">
        <f>IF($H61="BEV",SUMPRODUCT(#REF!,#REF!),"")</f>
        <v/>
      </c>
      <c r="AT61" s="2">
        <f>SUM(Z61,AG61)/(SUM(AQ61,AS61)/3.6)</f>
        <v>271.78987732035739</v>
      </c>
      <c r="AU61" s="5">
        <f>IF($H61="ICEV-p",$AQ61/('fuels and tailpipe emissions'!$C$3*3.6)*'fuels and tailpipe emissions'!$D$3,"")*(1-AR61)</f>
        <v>6.0653473052527308E-2</v>
      </c>
      <c r="AV61" s="5">
        <f>IF($H61="ICEV-p",$AQ61/('fuels and tailpipe emissions'!$C$3*3.6)*'fuels and tailpipe emissions'!$D$3,"")*AR61</f>
        <v>0</v>
      </c>
      <c r="AW61" s="7">
        <f>IF($H61="ICEV-p",$AQ61/('fuels and tailpipe emissions'!$C$3*3.6)*'fuels and tailpipe emissions'!$E$3,"")</f>
        <v>3.0906228307020284E-7</v>
      </c>
      <c r="AX61" s="7">
        <f>SUMIFS('fuels and tailpipe emissions'!$C$10:$C$126,'fuels and tailpipe emissions'!$A$10:$A$126,'vehicles specifications'!$F61,'fuels and tailpipe emissions'!$B$10:$B$126,'vehicles specifications'!AX$2)/1000*$AQ61</f>
        <v>5.0032792408401772E-5</v>
      </c>
      <c r="AY61" s="7">
        <f>SUMIFS('fuels and tailpipe emissions'!$C$10:$C$126,'fuels and tailpipe emissions'!$A$10:$A$126,'vehicles specifications'!$F61,'fuels and tailpipe emissions'!$B$10:$B$126,'vehicles specifications'!AY$2)/1000*$AQ61</f>
        <v>2.2686352001734651E-5</v>
      </c>
      <c r="AZ61" s="7">
        <f>SUMIFS('fuels and tailpipe emissions'!$C$10:$C$126,'fuels and tailpipe emissions'!$A$10:$A$126,'vehicles specifications'!$F61,'fuels and tailpipe emissions'!$B$10:$B$126,'vehicles specifications'!AZ$2)/1000*$AQ61</f>
        <v>2.3988511584487494E-3</v>
      </c>
      <c r="BA61" s="7">
        <f>SUMIFS('fuels and tailpipe emissions'!$C$10:$C$126,'fuels and tailpipe emissions'!$A$10:$A$126,'vehicles specifications'!$F61,'fuels and tailpipe emissions'!$B$10:$B$126,'vehicles specifications'!BA$2)/1000*$AQ61</f>
        <v>1.1510072045527478E-6</v>
      </c>
      <c r="BB61" s="7">
        <f>SUMIFS('fuels and tailpipe emissions'!$C$10:$C$126,'fuels and tailpipe emissions'!$A$10:$A$126,'vehicles specifications'!$F61,'fuels and tailpipe emissions'!$B$10:$B$126,'vehicles specifications'!BB$2)/1000*$AQ61</f>
        <v>1.1510072045527478E-6</v>
      </c>
      <c r="BC61" s="7">
        <f>SUMIFS('fuels and tailpipe emissions'!$C$10:$C$126,'fuels and tailpipe emissions'!$A$10:$A$126,'vehicles specifications'!$F61,'fuels and tailpipe emissions'!$B$10:$B$126,'vehicles specifications'!BC$2)/1000*$AQ61</f>
        <v>8.6314846172377596E-5</v>
      </c>
      <c r="BD61" s="7">
        <f>SUMIFS('fuels and tailpipe emissions'!$C$10:$C$126,'fuels and tailpipe emissions'!$A$10:$A$126,'vehicles specifications'!$F61,'fuels and tailpipe emissions'!$B$10:$B$126,'vehicles specifications'!BD$2)/1000*$AQ61</f>
        <v>6.6102343757464297E-6</v>
      </c>
      <c r="BE61" s="7">
        <f>SUMIFS('fuels and tailpipe emissions'!$C$10:$C$126,'fuels and tailpipe emissions'!$A$10:$A$126,'vehicles specifications'!$F61,'fuels and tailpipe emissions'!$B$10:$B$126,'vehicles specifications'!BE$2)/1000*$AQ61</f>
        <v>4.0347299974261968E-4</v>
      </c>
      <c r="BF61" s="7">
        <f>SUMIFS('fuels and tailpipe emissions'!$C$10:$C$126,'fuels and tailpipe emissions'!$A$10:$A$126,'vehicles specifications'!$F61,'fuels and tailpipe emissions'!$B$10:$B$126,'vehicles specifications'!BF$2)/1000*$AQ61</f>
        <v>2.8450019212620617E-5</v>
      </c>
      <c r="BG61" s="7">
        <f>SUMIFS('fuels and tailpipe emissions'!$C$10:$C$126,'fuels and tailpipe emissions'!$A$10:$A$126,'vehicles specifications'!$F61,'fuels and tailpipe emissions'!$B$10:$B$126,'vehicles specifications'!BG$2)/1000*$AQ61</f>
        <v>5.7970258583709726E-6</v>
      </c>
      <c r="BH61" s="7">
        <f>SUMIFS('fuels and tailpipe emissions'!$C$10:$C$126,'fuels and tailpipe emissions'!$A$10:$A$126,'vehicles specifications'!$F61,'fuels and tailpipe emissions'!$B$10:$B$126,'vehicles specifications'!BH$2)/1000*$AQ61</f>
        <v>4.6732946919790611E-5</v>
      </c>
      <c r="BI61" s="7">
        <f>SUMIFS('fuels and tailpipe emissions'!$C$10:$C$126,'fuels and tailpipe emissions'!$A$10:$A$126,'vehicles specifications'!$F61,'fuels and tailpipe emissions'!$B$10:$B$126,'vehicles specifications'!BI$2)/1000*$AQ61</f>
        <v>1.9174777839227063E-5</v>
      </c>
      <c r="BJ61" s="7">
        <f>SUMIFS('fuels and tailpipe emissions'!$C$10:$C$126,'fuels and tailpipe emissions'!$A$10:$A$126,'vehicles specifications'!$F61,'fuels and tailpipe emissions'!$B$10:$B$126,'vehicles specifications'!BJ$2)/1000*$AQ61</f>
        <v>1.4358787126118871E-5</v>
      </c>
      <c r="BK61" s="7">
        <f>SUMIFS('fuels and tailpipe emissions'!$C$10:$C$126,'fuels and tailpipe emissions'!$A$10:$A$126,'vehicles specifications'!$F61,'fuels and tailpipe emissions'!$B$10:$B$126,'vehicles specifications'!BK$2)/1000*$AQ61</f>
        <v>1.016709150545063E-5</v>
      </c>
      <c r="BL61" s="7">
        <f>SUMIFS('fuels and tailpipe emissions'!$C$10:$C$126,'fuels and tailpipe emissions'!$A$10:$A$126,'vehicles specifications'!$F61,'fuels and tailpipe emissions'!$B$10:$B$126,'vehicles specifications'!BL$2)/1000*$AQ61</f>
        <v>6.599690977222338E-6</v>
      </c>
      <c r="BM61" s="7">
        <f>SUMIFS('fuels and tailpipe emissions'!$C$10:$C$126,'fuels and tailpipe emissions'!$A$10:$A$126,'vehicles specifications'!$F61,'fuels and tailpipe emissions'!$B$10:$B$126,'vehicles specifications'!BM$2)/1000*$AQ61</f>
        <v>6.5105059640166308E-5</v>
      </c>
      <c r="BN61" s="7">
        <f>SUMIFS('fuels and tailpipe emissions'!$C$10:$C$126,'fuels and tailpipe emissions'!$A$10:$A$126,'vehicles specifications'!$F61,'fuels and tailpipe emissions'!$B$10:$B$126,'vehicles specifications'!BN$2)/1000*$AQ61</f>
        <v>3.406867504458017E-5</v>
      </c>
      <c r="BO61" s="7">
        <f>SUMIFS('fuels and tailpipe emissions'!$C$10:$C$126,'fuels and tailpipe emissions'!$A$10:$A$126,'vehicles specifications'!$F61,'fuels and tailpipe emissions'!$B$10:$B$126,'vehicles specifications'!BO$2)/1000*$AQ61</f>
        <v>9.8103514526278003E-7</v>
      </c>
      <c r="BP61" s="7">
        <f>SUMIFS('fuels and tailpipe emissions'!$C$10:$C$126,'fuels and tailpipe emissions'!$A$10:$A$126,'vehicles specifications'!$F61,'fuels and tailpipe emissions'!$B$10:$B$126,'vehicles specifications'!BP$2)/1000*$AQ61</f>
        <v>5.0032792408401772E-5</v>
      </c>
      <c r="BQ61" s="7">
        <f>SUMIFS('fuels and tailpipe emissions'!$C$10:$C$126,'fuels and tailpipe emissions'!$A$10:$A$126,'vehicles specifications'!$F61,'fuels and tailpipe emissions'!$B$10:$B$126,'vehicles specifications'!BQ$2)/1000*$AQ61</f>
        <v>9.7925144499866576E-5</v>
      </c>
      <c r="BR61" s="7">
        <f>SUMIFS('fuels and tailpipe emissions'!$C$10:$C$126,'fuels and tailpipe emissions'!$A$10:$A$126,'vehicles specifications'!$F61,'fuels and tailpipe emissions'!$B$10:$B$126,'vehicles specifications'!BR$2)/1000*$AQ61</f>
        <v>4.8427462170699053E-5</v>
      </c>
      <c r="BS61" s="7">
        <f>SUMIFS('fuels and tailpipe emissions'!$C$10:$C$126,'fuels and tailpipe emissions'!$A$10:$A$126,'vehicles specifications'!$F61,'fuels and tailpipe emissions'!$B$10:$B$126,'vehicles specifications'!BS$2)/1000*$AQ61</f>
        <v>2.0155812984489841E-5</v>
      </c>
      <c r="BT61" s="7">
        <f>SUMIFS('fuels and tailpipe emissions'!$C$10:$C$126,'fuels and tailpipe emissions'!$A$10:$A$126,'vehicles specifications'!$F61,'fuels and tailpipe emissions'!$B$10:$B$126,'vehicles specifications'!BT$2)/1000*$AQ61</f>
        <v>1.5161452244970237E-5</v>
      </c>
      <c r="BU61" s="7">
        <f>SUMIFS('fuels and tailpipe emissions'!$C$10:$C$126,'fuels and tailpipe emissions'!$A$10:$A$126,'vehicles specifications'!$F61,'fuels and tailpipe emissions'!$B$10:$B$126,'vehicles specifications'!BU$2)/1000*$AQ61</f>
        <v>6.6888759904280447E-6</v>
      </c>
      <c r="BV61" s="7">
        <f>SUMIFS('fuels and tailpipe emissions'!$C$10:$C$126,'fuels and tailpipe emissions'!$A$10:$A$126,'vehicles specifications'!$F61,'fuels and tailpipe emissions'!$B$10:$B$126,'vehicles specifications'!BV$2)/1000*$AQ61</f>
        <v>1.9620702905255601E-6</v>
      </c>
      <c r="BW61" s="7">
        <f>SUMIFS('fuels and tailpipe emissions'!$C$10:$C$126,'fuels and tailpipe emissions'!$A$10:$A$126,'vehicles specifications'!$F61,'fuels and tailpipe emissions'!$B$10:$B$126,'vehicles specifications'!BW$2)/1000*$AQ61</f>
        <v>5.4402858055481441E-6</v>
      </c>
      <c r="BX61" s="7">
        <f>SUMIFS('fuels and tailpipe emissions'!$C$10:$C$126,'fuels and tailpipe emissions'!$A$10:$A$126,'vehicles specifications'!$F61,'fuels and tailpipe emissions'!$B$10:$B$126,'vehicles specifications'!BX$2)/1000*$AQ61</f>
        <v>0</v>
      </c>
      <c r="BY61" s="7">
        <f>SUMIFS('fuels and tailpipe emissions'!$C$10:$C$126,'fuels and tailpipe emissions'!$A$10:$A$126,'vehicles specifications'!$F61,'fuels and tailpipe emissions'!$B$10:$B$126,'vehicles specifications'!BY$2)/1000*$AQ61</f>
        <v>1.6945152509084381E-6</v>
      </c>
      <c r="BZ61" s="7">
        <f>SUMIFS('fuels and tailpipe emissions'!$C$10:$C$126,'fuels and tailpipe emissions'!$A$10:$A$126,'vehicles specifications'!$F61,'fuels and tailpipe emissions'!$B$10:$B$126,'vehicles specifications'!BZ$2)/1000*$AQ61</f>
        <v>9.0076863337764332E-6</v>
      </c>
      <c r="CA61" s="7">
        <f>SUMIFS('fuels and tailpipe emissions'!$C$10:$C$126,'fuels and tailpipe emissions'!$A$10:$A$126,'vehicles specifications'!$F61,'fuels and tailpipe emissions'!$B$10:$B$126,'vehicles specifications'!CA$2)/1000*$AQ61</f>
        <v>6.7379213736163881E-10</v>
      </c>
      <c r="CB61" s="7">
        <f>SUMIFS('fuels and tailpipe emissions'!$C$10:$C$126,'fuels and tailpipe emissions'!$A$10:$A$126,'vehicles specifications'!$F61,'fuels and tailpipe emissions'!$B$10:$B$126,'vehicles specifications'!CB$2)/1000*$AQ61</f>
        <v>5.8085529082899891E-12</v>
      </c>
      <c r="CC61" s="7">
        <f>SUMIFS('fuels and tailpipe emissions'!$C$10:$C$126,'fuels and tailpipe emissions'!$A$10:$A$126,'vehicles specifications'!$F61,'fuels and tailpipe emissions'!$B$10:$B$126,'vehicles specifications'!CC$2)/1000*$AQ61</f>
        <v>3.8723686055266594E-12</v>
      </c>
      <c r="CD61" s="7">
        <f>SUMIFS('fuels and tailpipe emissions'!$C$10:$C$126,'fuels and tailpipe emissions'!$A$10:$A$126,'vehicles specifications'!$F61,'fuels and tailpipe emissions'!$B$10:$B$126,'vehicles specifications'!CD$2)/1000*$AQ61</f>
        <v>4.1821580939687923E-8</v>
      </c>
      <c r="CE61" s="7">
        <f>SUMIFS('fuels and tailpipe emissions'!$C$10:$C$126,'fuels and tailpipe emissions'!$A$10:$A$126,'vehicles specifications'!$F61,'fuels and tailpipe emissions'!$B$10:$B$126,'vehicles specifications'!CE$2)/1000*$AQ61</f>
        <v>8.1319740716059841E-10</v>
      </c>
      <c r="CF61" s="7">
        <f>SUMIFS('fuels and tailpipe emissions'!$C$10:$C$126,'fuels and tailpipe emissions'!$A$10:$A$126,'vehicles specifications'!$F61,'fuels and tailpipe emissions'!$B$10:$B$126,'vehicles specifications'!CF$2)/1000*$AQ61</f>
        <v>2.5170395935923289E-10</v>
      </c>
      <c r="CG61" s="7">
        <f>SUMIFS('fuels and tailpipe emissions'!$C$10:$C$126,'fuels and tailpipe emissions'!$A$10:$A$126,'vehicles specifications'!$F61,'fuels and tailpipe emissions'!$B$10:$B$126,'vehicles specifications'!CG$2)/1000*$AQ61</f>
        <v>3.0978948844213278E-10</v>
      </c>
      <c r="CH61" s="7">
        <f>SUMIFS('fuels and tailpipe emissions'!$C$10:$C$126,'fuels and tailpipe emissions'!$A$10:$A$126,'vehicles specifications'!$F61,'fuels and tailpipe emissions'!$B$10:$B$126,'vehicles specifications'!CH$2)/1000*$AQ61</f>
        <v>6.1957897688426542E-13</v>
      </c>
      <c r="CI61" s="7">
        <f>SUMIFS('fuels and tailpipe emissions'!$C$10:$C$126,'fuels and tailpipe emissions'!$A$10:$A$126,'vehicles specifications'!$F61,'fuels and tailpipe emissions'!$B$10:$B$126,'vehicles specifications'!CI$2)/1000*$AQ61</f>
        <v>1.684480343404097E-10</v>
      </c>
      <c r="CJ61" s="7">
        <f>SUMIFS('fuels and tailpipe emissions'!$C$10:$C$126,'fuels and tailpipe emissions'!$A$10:$A$126,'vehicles specifications'!$F61,'fuels and tailpipe emissions'!$B$10:$B$126,'vehicles specifications'!CJ$2)/1000*$AQ61</f>
        <v>2.0910790469843966E-10</v>
      </c>
      <c r="CK61" s="38">
        <f>VLOOKUP($B61,'abrasion emissions'!$O$7:$R$36,2,FALSE)</f>
        <v>0.5</v>
      </c>
      <c r="CL61" s="38">
        <f>VLOOKUP($B61,'abrasion emissions'!$O$7:$R$36,3,FALSE)</f>
        <v>0.5</v>
      </c>
      <c r="CM61" s="38">
        <f>VLOOKUP($B61,'abrasion emissions'!$O$7:$R$36,4,FALSE)</f>
        <v>0</v>
      </c>
      <c r="CN61" s="7">
        <f>((SUMIFS('abrasion emissions'!$M$7:$M$34,'abrasion emissions'!$I$7:$I$34,"PM 2.5",'abrasion emissions'!$J$7:$J$34,"urban",'abrasion emissions'!$K$7:$K$34,"Tyre",'abrasion emissions'!$L$7:$L$34,"b")*POWER(('vehicles specifications'!$Q61/1000),(1/SUMIFS('abrasion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specifications'!$P61/1000),(1/SUMIFS('abrasion emissions'!$M$7:$M$34,'abrasion emissions'!$I$7:$I$34,"PM 10",'abrasion emissions'!$J$7:$J$34,"urban",'abrasion emissions'!$K$7:$K$34,"Tyre",'abrasion emissions'!$L$7:$L$34,"c")))))/1000000</f>
        <v>5.2313297025527667E-6</v>
      </c>
      <c r="CO61" s="7">
        <f>((SUMIFS('abrasion emissions'!$M$7:$M$34,'abrasion emissions'!$I$7:$I$34,"PM 2.5",'abrasion emissions'!$J$7:$J$34,"rural",'abrasion emissions'!$K$7:$K$34,"Tyre",'abrasion emissions'!$L$7:$L$34,"b")*POWER(('vehicles specifications'!$Q61/1000),(1/SUMIFS('abrasion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specifications'!$P61/1000),(1/SUMIFS('abrasion emissions'!$M$7:$M$34,'abrasion emissions'!$I$7:$I$34,"PM 10",'abrasion emissions'!$J$7:$J$34,"rural",'abrasion emissions'!$K$7:$K$34,"Tyre",'abrasion emissions'!$L$7:$L$34,"c")))))/1000000</f>
        <v>4.0749244333737954E-6</v>
      </c>
      <c r="CP61" s="7">
        <f>((SUMIFS('abrasion emissions'!$M$7:$M$34,'abrasion emissions'!$I$7:$I$34,"PM 2.5",'abrasion emissions'!$J$7:$J$34,"motorway",'abrasion emissions'!$K$7:$K$34,"Tyre",'abrasion emissions'!$L$7:$L$34,"b")*POWER(('vehicles specifications'!$Q61/1000),(1/SUMIFS('abrasion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specifications'!$P61/1000),(1/SUMIFS('abrasion emissions'!$M$7:$M$34,'abrasion emissions'!$I$7:$I$34,"PM 10",'abrasion emissions'!$J$7:$J$34,"motorway",'abrasion emissions'!$K$7:$K$34,"Tyre",'abrasion emissions'!$L$7:$L$34,"c")))))/1000000</f>
        <v>3.4816923118132662E-6</v>
      </c>
      <c r="CQ61" s="7">
        <f>((SUMIFS('abrasion emissions'!$M$7:$M$34,'abrasion emissions'!$I$7:$I$34,"PM 2.5",'abrasion emissions'!$J$7:$J$34,"urban",'abrasion emissions'!$K$7:$K$34,"Brake",'abrasion emissions'!$L$7:$L$34,"b")*POWER(('vehicles specifications'!$Q61/1000),(1/SUMIFS('abrasion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specifications'!$P61/1000),(1/SUMIFS('abrasion emissions'!$M$7:$M$34,'abrasion emissions'!$I$7:$I$34,"PM 10",'abrasion emissions'!$J$7:$J$34,"urban",'abrasion emissions'!$K$7:$K$34,"Brake",'abrasion emissions'!$L$7:$L$34,"c")))))/1000000</f>
        <v>4.8885057934681661E-6</v>
      </c>
      <c r="CR61" s="7">
        <f>((SUMIFS('abrasion emissions'!$M$7:$M$34,'abrasion emissions'!$I$7:$I$34,"PM 2.5",'abrasion emissions'!$J$7:$J$34,"rural",'abrasion emissions'!$K$7:$K$34,"Brake",'abrasion emissions'!$L$7:$L$34,"b")*POWER(('vehicles specifications'!$Q61/1000),(1/SUMIFS('abrasion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specifications'!$P61/1000),(1/SUMIFS('abrasion emissions'!$M$7:$M$34,'abrasion emissions'!$I$7:$I$34,"PM 10",'abrasion emissions'!$J$7:$J$34,"rural",'abrasion emissions'!$K$7:$K$34,"Brake",'abrasion emissions'!$L$7:$L$34,"c")))))/1000000</f>
        <v>1.4982819076459531E-6</v>
      </c>
      <c r="CS61" s="7">
        <f>((SUMIFS('abrasion emissions'!$M$7:$M$34,'abrasion emissions'!$I$7:$I$34,"PM 2.5",'abrasion emissions'!$J$7:$J$34,"motorway",'abrasion emissions'!$K$7:$K$34,"Brake",'abrasion emissions'!$L$7:$L$34,"b")*POWER(('vehicles specifications'!$Q61/1000),(1/SUMIFS('abrasion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specifications'!$P61/1000),(1/SUMIFS('abrasion emissions'!$M$7:$M$34,'abrasion emissions'!$I$7:$I$34,"PM 10",'abrasion emissions'!$J$7:$J$34,"motorway",'abrasion emissions'!$K$7:$K$34,"Brake",'abrasion emissions'!$L$7:$L$34,"c")))))/1000000</f>
        <v>2.6807696421830676E-7</v>
      </c>
      <c r="CT61" s="7">
        <f>((SUMIFS('abrasion emissions'!$M$7:$M$38,'abrasion emissions'!$I$7:$I$38,"PM 2.5",'abrasion emissions'!$K$7:$K$38,"Re-susp.",'abrasion emissions'!$L$7:$L$38,"b")*POWER(('vehicles specifications'!$Q61/1000),(1/SUMIFS('abrasion emissions'!$M$7:$M$38,'abrasion emissions'!$I$7:$I$38,"PM 2.5",'abrasion emissions'!$K$7:$K$38,"Re-susp.",'abrasion emissions'!$L$7:$L$38,"c"))))+
(SUMIFS('abrasion emissions'!$M$7:$M$38,'abrasion emissions'!$I$7:$I$38,"PM 10",'abrasion emissions'!$K$7:$K$38,"Re-susp.",'abrasion emissions'!$L$7:$L$38,"b")*POWER(('vehicles specifications'!$Q61/1000),(1/SUMIFS('abrasion emissions'!$M$7:$M$38,'abrasion emissions'!$I$7:$I$38,"PM 10",'abrasion emissions'!$K$7:$K$38,"Re-susp.",'abrasion emissions'!$L$7:$L$38,"c")))))/1000000</f>
        <v>2.7453429704514766E-6</v>
      </c>
      <c r="CU61" s="7">
        <f>((SUMIFS('abrasion emissions'!$M$7:$M$38,'abrasion emissions'!$I$7:$I$38,"PM 2.5",'abrasion emissions'!$K$7:$K$38,"Road",'abrasion emissions'!$L$7:$L$38,"b")*POWER(('vehicles specifications'!$Q61/1000),(1/SUMIFS('abrasion emissions'!$M$7:$M$38,'abrasion emissions'!$I$7:$I$38,"PM 2.5",'abrasion emissions'!$K$7:$K$38,"Road",'abrasion emissions'!$L$7:$L$38,"c"))))+
(SUMIFS('abrasion emissions'!$M$7:$M$38,'abrasion emissions'!$I$7:$I$38,"PM 10",'abrasion emissions'!$K$7:$K$38,"Road",'abrasion emissions'!$L$7:$L$38,"b")*POWER(('vehicles specifications'!$Q61/1000),(1/SUMIFS('abrasion emissions'!$M$7:$M$38,'abrasion emissions'!$I$7:$I$38,"PM 10",'abrasion emissions'!$K$7:$K$38,"Road",'abrasion emissions'!$L$7:$L$38,"c")))))/1000000+CT61</f>
        <v>5.4954664602228434E-6</v>
      </c>
      <c r="CV61" s="7">
        <f>(CK61*CN61)+(CL61*CO61)+(CM61*CP61)</f>
        <v>4.653127067963281E-6</v>
      </c>
      <c r="CW61" s="7">
        <f>(CK61*CQ61)+(CL61*CR61)+(CM61*CS61)</f>
        <v>3.1933938505570598E-6</v>
      </c>
    </row>
    <row r="62">
      <c r="A62" t="str">
        <f>B62&amp;" - "&amp;D62&amp;" - "&amp;IF(I62&lt;&gt;"",I62&amp;" - "&amp;E62,E62)</f>
        <v>Moped, gasoline, &lt;4kW, EURO-5 - 2030 - CH</v>
      </c>
      <c r="B62" t="inlineStr">
        <is>
          <t>Moped, gasoline, &lt;4kW, EURO-5</t>
        </is>
      </c>
      <c r="D62" s="18" t="n">
        <v>2030</v>
      </c>
      <c r="E62" t="inlineStr">
        <is>
          <t>CH</t>
        </is>
      </c>
      <c r="F62" t="inlineStr">
        <is>
          <t>EURO-5</t>
        </is>
      </c>
      <c r="G62" t="inlineStr">
        <is>
          <t>vkm</t>
        </is>
      </c>
      <c r="H62" t="inlineStr">
        <is>
          <t>ICEV-p</t>
        </is>
      </c>
      <c r="J62" t="n">
        <v>25000</v>
      </c>
      <c r="K62" t="n">
        <v>1570</v>
      </c>
      <c r="L62" s="2">
        <f>J62/K62</f>
        <v>15.923566878980891</v>
      </c>
      <c r="M62" t="n">
        <v>1</v>
      </c>
      <c r="N62" t="n">
        <v>75</v>
      </c>
      <c r="O62" t="n">
        <v>2</v>
      </c>
      <c r="P62" s="2">
        <f>SUM(U62,V62,W62,AC62,AF62,AH62)</f>
        <v>61.729124999999996</v>
      </c>
      <c r="Q62" s="2">
        <f>P62+(M62*N62)+O62</f>
        <v>138.72912500000001</v>
      </c>
      <c r="R62" t="n">
        <v>2.5</v>
      </c>
      <c r="S62" s="2" t="n">
        <v>42.3625</v>
      </c>
      <c r="T62" s="1" t="n">
        <v>0.03</v>
      </c>
      <c r="U62" s="2">
        <f>S62*(1-T62)</f>
        <v>41.091624999999993</v>
      </c>
      <c r="V62" t="n">
        <v>14.6</v>
      </c>
      <c r="W62" t="n">
        <v>0</v>
      </c>
      <c r="X62" s="3" t="n">
        <v>0</v>
      </c>
      <c r="Y62" s="1" t="n">
        <v>0.8</v>
      </c>
      <c r="Z62" s="3">
        <f>Y62*X62</f>
        <v>0</v>
      </c>
      <c r="AA62" s="3">
        <f>IF(I62&lt;&gt;"",X62/INDEX('energy battery'!$B$3:$D$6,MATCH('vehicles specifications'!$D62,'energy battery'!$A$3:$A$6,0),MATCH('vehicles specifications'!$I62,'energy battery'!$B$2:$D$2,0)),"")</f>
        <v/>
      </c>
      <c r="AB62" s="3">
        <f>IF(AA62&lt;&gt;"",0.3*AA62,"")</f>
        <v/>
      </c>
      <c r="AC62" s="3">
        <f>IF(AA62&lt;&gt;"",AB62+AA62,"")</f>
        <v/>
      </c>
      <c r="AD62" s="3" t="n">
        <v>0</v>
      </c>
      <c r="AE62" s="3" t="n">
        <v>7</v>
      </c>
      <c r="AF62">
        <f>AE62*'fuels and tailpipe emissions'!$B$3</f>
        <v>5.25</v>
      </c>
      <c r="AG62" s="2">
        <f>AF62*'fuels and tailpipe emissions'!$C$3</f>
        <v>62.125</v>
      </c>
      <c r="AH62" s="3">
        <f>0.15*AF62</f>
        <v>0.78749999999999998</v>
      </c>
      <c r="AI62" t="n">
        <v>0</v>
      </c>
      <c r="AJ62" t="n">
        <v>0</v>
      </c>
      <c r="AK62">
        <f>J62/25000</f>
        <v>1</v>
      </c>
      <c r="AL62">
        <f>0.000537/1000*Q62</f>
        <v>7.4497540125000012E-5</v>
      </c>
      <c r="AM62" t="n">
        <v>0.00129</v>
      </c>
      <c r="AN62" s="2">
        <f>U62</f>
        <v>41.091624999999993</v>
      </c>
      <c r="AO62" s="2">
        <f>SUM(V62:W62)</f>
        <v>14.6</v>
      </c>
      <c r="AP62" s="2">
        <f>AC62</f>
        <v/>
      </c>
      <c r="AQ62" s="6" t="n">
        <v>0.814649545387671</v>
      </c>
      <c r="AR62" s="20" t="n">
        <v>0</v>
      </c>
      <c r="AS62" s="6">
        <f>IF($H62="BEV",SUMPRODUCT(#REF!,#REF!),"")</f>
        <v/>
      </c>
      <c r="AT62" s="2">
        <f>SUM(Z62,AG62)/(SUM(AQ62,AS62)/3.6)</f>
        <v>274.5352296165226</v>
      </c>
      <c r="AU62" s="5">
        <f>IF($H62="ICEV-p",$AQ62/('fuels and tailpipe emissions'!$C$3*3.6)*'fuels and tailpipe emissions'!$D$3,"")*(1-AR62)</f>
        <v>6.0046938322002044E-2</v>
      </c>
      <c r="AV62" s="5">
        <f>IF($H62="ICEV-p",$AQ62/('fuels and tailpipe emissions'!$C$3*3.6)*'fuels and tailpipe emissions'!$D$3,"")*AR62</f>
        <v>0</v>
      </c>
      <c r="AW62" s="7">
        <f>IF($H62="ICEV-p",$AQ62/('fuels and tailpipe emissions'!$C$3*3.6)*'fuels and tailpipe emissions'!$E$3,"")</f>
        <v>3.0597166023950081E-7</v>
      </c>
      <c r="AX62" s="7">
        <f>SUMIFS('fuels and tailpipe emissions'!$C$10:$C$126,'fuels and tailpipe emissions'!$A$10:$A$126,'vehicles specifications'!$F62,'fuels and tailpipe emissions'!$B$10:$B$126,'vehicles specifications'!AX$2)/1000*$AQ62</f>
        <v>4.9532464484317754E-5</v>
      </c>
      <c r="AY62" s="7">
        <f>SUMIFS('fuels and tailpipe emissions'!$C$10:$C$126,'fuels and tailpipe emissions'!$A$10:$A$126,'vehicles specifications'!$F62,'fuels and tailpipe emissions'!$B$10:$B$126,'vehicles specifications'!AY$2)/1000*$AQ62</f>
        <v>2.2459488481717305E-5</v>
      </c>
      <c r="AZ62" s="7">
        <f>SUMIFS('fuels and tailpipe emissions'!$C$10:$C$126,'fuels and tailpipe emissions'!$A$10:$A$126,'vehicles specifications'!$F62,'fuels and tailpipe emissions'!$B$10:$B$126,'vehicles specifications'!AZ$2)/1000*$AQ62</f>
        <v>2.374862646864262E-3</v>
      </c>
      <c r="BA62" s="7">
        <f>SUMIFS('fuels and tailpipe emissions'!$C$10:$C$126,'fuels and tailpipe emissions'!$A$10:$A$126,'vehicles specifications'!$F62,'fuels and tailpipe emissions'!$B$10:$B$126,'vehicles specifications'!BA$2)/1000*$AQ62</f>
        <v>1.1394971325072205E-6</v>
      </c>
      <c r="BB62" s="7">
        <f>SUMIFS('fuels and tailpipe emissions'!$C$10:$C$126,'fuels and tailpipe emissions'!$A$10:$A$126,'vehicles specifications'!$F62,'fuels and tailpipe emissions'!$B$10:$B$126,'vehicles specifications'!BB$2)/1000*$AQ62</f>
        <v>1.1394971325072205E-6</v>
      </c>
      <c r="BC62" s="7">
        <f>SUMIFS('fuels and tailpipe emissions'!$C$10:$C$126,'fuels and tailpipe emissions'!$A$10:$A$126,'vehicles specifications'!$F62,'fuels and tailpipe emissions'!$B$10:$B$126,'vehicles specifications'!BC$2)/1000*$AQ62</f>
        <v>8.5451697710653811E-5</v>
      </c>
      <c r="BD62" s="7">
        <f>SUMIFS('fuels and tailpipe emissions'!$C$10:$C$126,'fuels and tailpipe emissions'!$A$10:$A$126,'vehicles specifications'!$F62,'fuels and tailpipe emissions'!$B$10:$B$126,'vehicles specifications'!BD$2)/1000*$AQ62</f>
        <v>6.5441320319889656E-6</v>
      </c>
      <c r="BE62" s="7">
        <f>SUMIFS('fuels and tailpipe emissions'!$C$10:$C$126,'fuels and tailpipe emissions'!$A$10:$A$126,'vehicles specifications'!$F62,'fuels and tailpipe emissions'!$B$10:$B$126,'vehicles specifications'!BE$2)/1000*$AQ62</f>
        <v>3.9943826974519353E-4</v>
      </c>
      <c r="BF62" s="7">
        <f>SUMIFS('fuels and tailpipe emissions'!$C$10:$C$126,'fuels and tailpipe emissions'!$A$10:$A$126,'vehicles specifications'!$F62,'fuels and tailpipe emissions'!$B$10:$B$126,'vehicles specifications'!BF$2)/1000*$AQ62</f>
        <v>2.8165519020494411E-5</v>
      </c>
      <c r="BG62" s="7">
        <f>SUMIFS('fuels and tailpipe emissions'!$C$10:$C$126,'fuels and tailpipe emissions'!$A$10:$A$126,'vehicles specifications'!$F62,'fuels and tailpipe emissions'!$B$10:$B$126,'vehicles specifications'!BG$2)/1000*$AQ62</f>
        <v>5.7390555997872623E-6</v>
      </c>
      <c r="BH62" s="7">
        <f>SUMIFS('fuels and tailpipe emissions'!$C$10:$C$126,'fuels and tailpipe emissions'!$A$10:$A$126,'vehicles specifications'!$F62,'fuels and tailpipe emissions'!$B$10:$B$126,'vehicles specifications'!BH$2)/1000*$AQ62</f>
        <v>4.6265617450592708E-5</v>
      </c>
      <c r="BI62" s="7">
        <f>SUMIFS('fuels and tailpipe emissions'!$C$10:$C$126,'fuels and tailpipe emissions'!$A$10:$A$126,'vehicles specifications'!$F62,'fuels and tailpipe emissions'!$B$10:$B$126,'vehicles specifications'!BI$2)/1000*$AQ62</f>
        <v>1.898303006083479E-5</v>
      </c>
      <c r="BJ62" s="7">
        <f>SUMIFS('fuels and tailpipe emissions'!$C$10:$C$126,'fuels and tailpipe emissions'!$A$10:$A$126,'vehicles specifications'!$F62,'fuels and tailpipe emissions'!$B$10:$B$126,'vehicles specifications'!BJ$2)/1000*$AQ62</f>
        <v>1.4215199254857682E-5</v>
      </c>
      <c r="BK62" s="7">
        <f>SUMIFS('fuels and tailpipe emissions'!$C$10:$C$126,'fuels and tailpipe emissions'!$A$10:$A$126,'vehicles specifications'!$F62,'fuels and tailpipe emissions'!$B$10:$B$126,'vehicles specifications'!BK$2)/1000*$AQ62</f>
        <v>1.0065420590396123E-5</v>
      </c>
      <c r="BL62" s="7">
        <f>SUMIFS('fuels and tailpipe emissions'!$C$10:$C$126,'fuels and tailpipe emissions'!$A$10:$A$126,'vehicles specifications'!$F62,'fuels and tailpipe emissions'!$B$10:$B$126,'vehicles specifications'!BL$2)/1000*$AQ62</f>
        <v>6.5336940674501146E-6</v>
      </c>
      <c r="BM62" s="7">
        <f>SUMIFS('fuels and tailpipe emissions'!$C$10:$C$126,'fuels and tailpipe emissions'!$A$10:$A$126,'vehicles specifications'!$F62,'fuels and tailpipe emissions'!$B$10:$B$126,'vehicles specifications'!BM$2)/1000*$AQ62</f>
        <v>6.4454009043764642E-5</v>
      </c>
      <c r="BN62" s="7">
        <f>SUMIFS('fuels and tailpipe emissions'!$C$10:$C$126,'fuels and tailpipe emissions'!$A$10:$A$126,'vehicles specifications'!$F62,'fuels and tailpipe emissions'!$B$10:$B$126,'vehicles specifications'!BN$2)/1000*$AQ62</f>
        <v>3.3727988294134373E-5</v>
      </c>
      <c r="BO62" s="7">
        <f>SUMIFS('fuels and tailpipe emissions'!$C$10:$C$126,'fuels and tailpipe emissions'!$A$10:$A$126,'vehicles specifications'!$F62,'fuels and tailpipe emissions'!$B$10:$B$126,'vehicles specifications'!BO$2)/1000*$AQ62</f>
        <v>9.7122479381015224E-7</v>
      </c>
      <c r="BP62" s="7">
        <f>SUMIFS('fuels and tailpipe emissions'!$C$10:$C$126,'fuels and tailpipe emissions'!$A$10:$A$126,'vehicles specifications'!$F62,'fuels and tailpipe emissions'!$B$10:$B$126,'vehicles specifications'!BP$2)/1000*$AQ62</f>
        <v>4.9532464484317754E-5</v>
      </c>
      <c r="BQ62" s="7">
        <f>SUMIFS('fuels and tailpipe emissions'!$C$10:$C$126,'fuels and tailpipe emissions'!$A$10:$A$126,'vehicles specifications'!$F62,'fuels and tailpipe emissions'!$B$10:$B$126,'vehicles specifications'!BQ$2)/1000*$AQ62</f>
        <v>9.6945893054867918E-5</v>
      </c>
      <c r="BR62" s="7">
        <f>SUMIFS('fuels and tailpipe emissions'!$C$10:$C$126,'fuels and tailpipe emissions'!$A$10:$A$126,'vehicles specifications'!$F62,'fuels and tailpipe emissions'!$B$10:$B$126,'vehicles specifications'!BR$2)/1000*$AQ62</f>
        <v>4.7943187548992062E-5</v>
      </c>
      <c r="BS62" s="7">
        <f>SUMIFS('fuels and tailpipe emissions'!$C$10:$C$126,'fuels and tailpipe emissions'!$A$10:$A$126,'vehicles specifications'!$F62,'fuels and tailpipe emissions'!$B$10:$B$126,'vehicles specifications'!BS$2)/1000*$AQ62</f>
        <v>1.9954254854644945E-5</v>
      </c>
      <c r="BT62" s="7">
        <f>SUMIFS('fuels and tailpipe emissions'!$C$10:$C$126,'fuels and tailpipe emissions'!$A$10:$A$126,'vehicles specifications'!$F62,'fuels and tailpipe emissions'!$B$10:$B$126,'vehicles specifications'!BT$2)/1000*$AQ62</f>
        <v>1.5009837722520535E-5</v>
      </c>
      <c r="BU62" s="7">
        <f>SUMIFS('fuels and tailpipe emissions'!$C$10:$C$126,'fuels and tailpipe emissions'!$A$10:$A$126,'vehicles specifications'!$F62,'fuels and tailpipe emissions'!$B$10:$B$126,'vehicles specifications'!BU$2)/1000*$AQ62</f>
        <v>6.6219872305237644E-6</v>
      </c>
      <c r="BV62" s="7">
        <f>SUMIFS('fuels and tailpipe emissions'!$C$10:$C$126,'fuels and tailpipe emissions'!$A$10:$A$126,'vehicles specifications'!$F62,'fuels and tailpipe emissions'!$B$10:$B$126,'vehicles specifications'!BV$2)/1000*$AQ62</f>
        <v>1.9424495876203045E-6</v>
      </c>
      <c r="BW62" s="7">
        <f>SUMIFS('fuels and tailpipe emissions'!$C$10:$C$126,'fuels and tailpipe emissions'!$A$10:$A$126,'vehicles specifications'!$F62,'fuels and tailpipe emissions'!$B$10:$B$126,'vehicles specifications'!BW$2)/1000*$AQ62</f>
        <v>5.3858829474926628E-6</v>
      </c>
      <c r="BX62" s="7">
        <f>SUMIFS('fuels and tailpipe emissions'!$C$10:$C$126,'fuels and tailpipe emissions'!$A$10:$A$126,'vehicles specifications'!$F62,'fuels and tailpipe emissions'!$B$10:$B$126,'vehicles specifications'!BX$2)/1000*$AQ62</f>
        <v>0</v>
      </c>
      <c r="BY62" s="7">
        <f>SUMIFS('fuels and tailpipe emissions'!$C$10:$C$126,'fuels and tailpipe emissions'!$A$10:$A$126,'vehicles specifications'!$F62,'fuels and tailpipe emissions'!$B$10:$B$126,'vehicles specifications'!BY$2)/1000*$AQ62</f>
        <v>1.6775700983993538E-6</v>
      </c>
      <c r="BZ62" s="7">
        <f>SUMIFS('fuels and tailpipe emissions'!$C$10:$C$126,'fuels and tailpipe emissions'!$A$10:$A$126,'vehicles specifications'!$F62,'fuels and tailpipe emissions'!$B$10:$B$126,'vehicles specifications'!BZ$2)/1000*$AQ62</f>
        <v>8.9176094704386688E-6</v>
      </c>
      <c r="CA62" s="7">
        <f>SUMIFS('fuels and tailpipe emissions'!$C$10:$C$126,'fuels and tailpipe emissions'!$A$10:$A$126,'vehicles specifications'!$F62,'fuels and tailpipe emissions'!$B$10:$B$126,'vehicles specifications'!CA$2)/1000*$AQ62</f>
        <v>6.6705421598802242E-10</v>
      </c>
      <c r="CB62" s="7">
        <f>SUMIFS('fuels and tailpipe emissions'!$C$10:$C$126,'fuels and tailpipe emissions'!$A$10:$A$126,'vehicles specifications'!$F62,'fuels and tailpipe emissions'!$B$10:$B$126,'vehicles specifications'!CB$2)/1000*$AQ62</f>
        <v>5.7504673792070894E-12</v>
      </c>
      <c r="CC62" s="7">
        <f>SUMIFS('fuels and tailpipe emissions'!$C$10:$C$126,'fuels and tailpipe emissions'!$A$10:$A$126,'vehicles specifications'!$F62,'fuels and tailpipe emissions'!$B$10:$B$126,'vehicles specifications'!CC$2)/1000*$AQ62</f>
        <v>3.8336449194713932E-12</v>
      </c>
      <c r="CD62" s="7">
        <f>SUMIFS('fuels and tailpipe emissions'!$C$10:$C$126,'fuels and tailpipe emissions'!$A$10:$A$126,'vehicles specifications'!$F62,'fuels and tailpipe emissions'!$B$10:$B$126,'vehicles specifications'!CD$2)/1000*$AQ62</f>
        <v>4.1403365130291049E-8</v>
      </c>
      <c r="CE62" s="7">
        <f>SUMIFS('fuels and tailpipe emissions'!$C$10:$C$126,'fuels and tailpipe emissions'!$A$10:$A$126,'vehicles specifications'!$F62,'fuels and tailpipe emissions'!$B$10:$B$126,'vehicles specifications'!CE$2)/1000*$AQ62</f>
        <v>8.0506543308899247E-10</v>
      </c>
      <c r="CF62" s="7">
        <f>SUMIFS('fuels and tailpipe emissions'!$C$10:$C$126,'fuels and tailpipe emissions'!$A$10:$A$126,'vehicles specifications'!$F62,'fuels and tailpipe emissions'!$B$10:$B$126,'vehicles specifications'!CF$2)/1000*$AQ62</f>
        <v>2.4918691976564053E-10</v>
      </c>
      <c r="CG62" s="7">
        <f>SUMIFS('fuels and tailpipe emissions'!$C$10:$C$126,'fuels and tailpipe emissions'!$A$10:$A$126,'vehicles specifications'!$F62,'fuels and tailpipe emissions'!$B$10:$B$126,'vehicles specifications'!CG$2)/1000*$AQ62</f>
        <v>3.0669159355771147E-10</v>
      </c>
      <c r="CH62" s="7">
        <f>SUMIFS('fuels and tailpipe emissions'!$C$10:$C$126,'fuels and tailpipe emissions'!$A$10:$A$126,'vehicles specifications'!$F62,'fuels and tailpipe emissions'!$B$10:$B$126,'vehicles specifications'!CH$2)/1000*$AQ62</f>
        <v>6.1338318711542279E-13</v>
      </c>
      <c r="CI62" s="7">
        <f>SUMIFS('fuels and tailpipe emissions'!$C$10:$C$126,'fuels and tailpipe emissions'!$A$10:$A$126,'vehicles specifications'!$F62,'fuels and tailpipe emissions'!$B$10:$B$126,'vehicles specifications'!CI$2)/1000*$AQ62</f>
        <v>1.667635539970056E-10</v>
      </c>
      <c r="CJ62" s="7">
        <f>SUMIFS('fuels and tailpipe emissions'!$C$10:$C$126,'fuels and tailpipe emissions'!$A$10:$A$126,'vehicles specifications'!$F62,'fuels and tailpipe emissions'!$B$10:$B$126,'vehicles specifications'!CJ$2)/1000*$AQ62</f>
        <v>2.0701682565145526E-10</v>
      </c>
      <c r="CK62" s="38">
        <f>VLOOKUP($B62,'abrasion emissions'!$O$7:$R$36,2,FALSE)</f>
        <v>0.5</v>
      </c>
      <c r="CL62" s="38">
        <f>VLOOKUP($B62,'abrasion emissions'!$O$7:$R$36,3,FALSE)</f>
        <v>0.5</v>
      </c>
      <c r="CM62" s="38">
        <f>VLOOKUP($B62,'abrasion emissions'!$O$7:$R$36,4,FALSE)</f>
        <v>0</v>
      </c>
      <c r="CN62" s="7">
        <f>((SUMIFS('abrasion emissions'!$M$7:$M$34,'abrasion emissions'!$I$7:$I$34,"PM 2.5",'abrasion emissions'!$J$7:$J$34,"urban",'abrasion emissions'!$K$7:$K$34,"Tyre",'abrasion emissions'!$L$7:$L$34,"b")*POWER(('vehicles specifications'!$Q62/1000),(1/SUMIFS('abrasion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specifications'!$P62/1000),(1/SUMIFS('abrasion emissions'!$M$7:$M$34,'abrasion emissions'!$I$7:$I$34,"PM 10",'abrasion emissions'!$J$7:$J$34,"urban",'abrasion emissions'!$K$7:$K$34,"Tyre",'abrasion emissions'!$L$7:$L$34,"c")))))/1000000</f>
        <v>5.2021489517015507E-6</v>
      </c>
      <c r="CO62" s="7">
        <f>((SUMIFS('abrasion emissions'!$M$7:$M$34,'abrasion emissions'!$I$7:$I$34,"PM 2.5",'abrasion emissions'!$J$7:$J$34,"rural",'abrasion emissions'!$K$7:$K$34,"Tyre",'abrasion emissions'!$L$7:$L$34,"b")*POWER(('vehicles specifications'!$Q62/1000),(1/SUMIFS('abrasion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specifications'!$P62/1000),(1/SUMIFS('abrasion emissions'!$M$7:$M$34,'abrasion emissions'!$I$7:$I$34,"PM 10",'abrasion emissions'!$J$7:$J$34,"rural",'abrasion emissions'!$K$7:$K$34,"Tyre",'abrasion emissions'!$L$7:$L$34,"c")))))/1000000</f>
        <v>4.0522203529817079E-6</v>
      </c>
      <c r="CP62" s="7">
        <f>((SUMIFS('abrasion emissions'!$M$7:$M$34,'abrasion emissions'!$I$7:$I$34,"PM 2.5",'abrasion emissions'!$J$7:$J$34,"motorway",'abrasion emissions'!$K$7:$K$34,"Tyre",'abrasion emissions'!$L$7:$L$34,"b")*POWER(('vehicles specifications'!$Q62/1000),(1/SUMIFS('abrasion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specifications'!$P62/1000),(1/SUMIFS('abrasion emissions'!$M$7:$M$34,'abrasion emissions'!$I$7:$I$34,"PM 10",'abrasion emissions'!$J$7:$J$34,"motorway",'abrasion emissions'!$K$7:$K$34,"Tyre",'abrasion emissions'!$L$7:$L$34,"c")))))/1000000</f>
        <v>3.4623591453399859E-6</v>
      </c>
      <c r="CQ62" s="7">
        <f>((SUMIFS('abrasion emissions'!$M$7:$M$34,'abrasion emissions'!$I$7:$I$34,"PM 2.5",'abrasion emissions'!$J$7:$J$34,"urban",'abrasion emissions'!$K$7:$K$34,"Brake",'abrasion emissions'!$L$7:$L$34,"b")*POWER(('vehicles specifications'!$Q62/1000),(1/SUMIFS('abrasion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specifications'!$P62/1000),(1/SUMIFS('abrasion emissions'!$M$7:$M$34,'abrasion emissions'!$I$7:$I$34,"PM 10",'abrasion emissions'!$J$7:$J$34,"urban",'abrasion emissions'!$K$7:$K$34,"Brake",'abrasion emissions'!$L$7:$L$34,"c")))))/1000000</f>
        <v>4.8593353726651997E-6</v>
      </c>
      <c r="CR62" s="7">
        <f>((SUMIFS('abrasion emissions'!$M$7:$M$34,'abrasion emissions'!$I$7:$I$34,"PM 2.5",'abrasion emissions'!$J$7:$J$34,"rural",'abrasion emissions'!$K$7:$K$34,"Brake",'abrasion emissions'!$L$7:$L$34,"b")*POWER(('vehicles specifications'!$Q62/1000),(1/SUMIFS('abrasion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specifications'!$P62/1000),(1/SUMIFS('abrasion emissions'!$M$7:$M$34,'abrasion emissions'!$I$7:$I$34,"PM 10",'abrasion emissions'!$J$7:$J$34,"rural",'abrasion emissions'!$K$7:$K$34,"Brake",'abrasion emissions'!$L$7:$L$34,"c")))))/1000000</f>
        <v>1.4870824893160028E-6</v>
      </c>
      <c r="CS62" s="7">
        <f>((SUMIFS('abrasion emissions'!$M$7:$M$34,'abrasion emissions'!$I$7:$I$34,"PM 2.5",'abrasion emissions'!$J$7:$J$34,"motorway",'abrasion emissions'!$K$7:$K$34,"Brake",'abrasion emissions'!$L$7:$L$34,"b")*POWER(('vehicles specifications'!$Q62/1000),(1/SUMIFS('abrasion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specifications'!$P62/1000),(1/SUMIFS('abrasion emissions'!$M$7:$M$34,'abrasion emissions'!$I$7:$I$34,"PM 10",'abrasion emissions'!$J$7:$J$34,"motorway",'abrasion emissions'!$K$7:$K$34,"Brake",'abrasion emissions'!$L$7:$L$34,"c")))))/1000000</f>
        <v>2.6579461437856476E-7</v>
      </c>
      <c r="CT62" s="7">
        <f>((SUMIFS('abrasion emissions'!$M$7:$M$38,'abrasion emissions'!$I$7:$I$38,"PM 2.5",'abrasion emissions'!$K$7:$K$38,"Re-susp.",'abrasion emissions'!$L$7:$L$38,"b")*POWER(('vehicles specifications'!$Q62/1000),(1/SUMIFS('abrasion emissions'!$M$7:$M$38,'abrasion emissions'!$I$7:$I$38,"PM 2.5",'abrasion emissions'!$K$7:$K$38,"Re-susp.",'abrasion emissions'!$L$7:$L$38,"c"))))+
(SUMIFS('abrasion emissions'!$M$7:$M$38,'abrasion emissions'!$I$7:$I$38,"PM 10",'abrasion emissions'!$K$7:$K$38,"Re-susp.",'abrasion emissions'!$L$7:$L$38,"b")*POWER(('vehicles specifications'!$Q62/1000),(1/SUMIFS('abrasion emissions'!$M$7:$M$38,'abrasion emissions'!$I$7:$I$38,"PM 10",'abrasion emissions'!$K$7:$K$38,"Re-susp.",'abrasion emissions'!$L$7:$L$38,"c")))))/1000000</f>
        <v>2.7226778265899195E-6</v>
      </c>
      <c r="CU62" s="7">
        <f>((SUMIFS('abrasion emissions'!$M$7:$M$38,'abrasion emissions'!$I$7:$I$38,"PM 2.5",'abrasion emissions'!$K$7:$K$38,"Road",'abrasion emissions'!$L$7:$L$38,"b")*POWER(('vehicles specifications'!$Q62/1000),(1/SUMIFS('abrasion emissions'!$M$7:$M$38,'abrasion emissions'!$I$7:$I$38,"PM 2.5",'abrasion emissions'!$K$7:$K$38,"Road",'abrasion emissions'!$L$7:$L$38,"c"))))+
(SUMIFS('abrasion emissions'!$M$7:$M$38,'abrasion emissions'!$I$7:$I$38,"PM 10",'abrasion emissions'!$K$7:$K$38,"Road",'abrasion emissions'!$L$7:$L$38,"b")*POWER(('vehicles specifications'!$Q62/1000),(1/SUMIFS('abrasion emissions'!$M$7:$M$38,'abrasion emissions'!$I$7:$I$38,"PM 10",'abrasion emissions'!$K$7:$K$38,"Road",'abrasion emissions'!$L$7:$L$38,"c")))))/1000000+CT62</f>
        <v>5.4561328759754661E-6</v>
      </c>
      <c r="CV62" s="7">
        <f>(CK62*CN62)+(CL62*CO62)+(CM62*CP62)</f>
        <v>4.6271846523416297E-6</v>
      </c>
      <c r="CW62" s="7">
        <f>(CK62*CQ62)+(CL62*CR62)+(CM62*CS62)</f>
        <v>3.1732089309906012E-6</v>
      </c>
    </row>
    <row r="63">
      <c r="A63" t="str">
        <f>B63&amp;" - "&amp;D63&amp;" - "&amp;IF(I63&lt;&gt;"",I63&amp;" - "&amp;E63,E63)</f>
        <v>Moped, gasoline, &lt;4kW, EURO-5 - 2040 - CH</v>
      </c>
      <c r="B63" t="inlineStr">
        <is>
          <t>Moped, gasoline, &lt;4kW, EURO-5</t>
        </is>
      </c>
      <c r="D63" s="18" t="n">
        <v>2040</v>
      </c>
      <c r="E63" t="inlineStr">
        <is>
          <t>CH</t>
        </is>
      </c>
      <c r="F63" t="inlineStr">
        <is>
          <t>EURO-5</t>
        </is>
      </c>
      <c r="G63" t="inlineStr">
        <is>
          <t>vkm</t>
        </is>
      </c>
      <c r="H63" t="inlineStr">
        <is>
          <t>ICEV-p</t>
        </is>
      </c>
      <c r="J63" t="n">
        <v>25000</v>
      </c>
      <c r="K63" t="n">
        <v>1570</v>
      </c>
      <c r="L63" s="2">
        <f>J63/K63</f>
        <v>15.923566878980891</v>
      </c>
      <c r="M63" t="n">
        <v>1</v>
      </c>
      <c r="N63" t="n">
        <v>75</v>
      </c>
      <c r="O63" t="n">
        <v>2</v>
      </c>
      <c r="P63" s="2">
        <f>SUM(U63,V63,W63,AC63,AF63,AH63)</f>
        <v>60.856874999999995</v>
      </c>
      <c r="Q63" s="2">
        <f>P63+(M63*N63)+O63</f>
        <v>137.856875</v>
      </c>
      <c r="R63" t="n">
        <v>2.5</v>
      </c>
      <c r="S63" s="2" t="n">
        <v>42.8625</v>
      </c>
      <c r="T63" s="1" t="n">
        <v>0.05</v>
      </c>
      <c r="U63" s="2">
        <f>S63*(1-T63)</f>
        <v>40.719374999999992</v>
      </c>
      <c r="V63" t="n">
        <v>14.1</v>
      </c>
      <c r="W63" t="n">
        <v>0</v>
      </c>
      <c r="X63" s="3" t="n">
        <v>0</v>
      </c>
      <c r="Y63" s="1" t="n">
        <v>0.8</v>
      </c>
      <c r="Z63" s="3">
        <f>Y63*X63</f>
        <v>0</v>
      </c>
      <c r="AA63" s="3">
        <f>IF(I63&lt;&gt;"",X63/INDEX('energy battery'!$B$3:$D$6,MATCH('vehicles specifications'!$D63,'energy battery'!$A$3:$A$6,0),MATCH('vehicles specifications'!$I63,'energy battery'!$B$2:$D$2,0)),"")</f>
        <v/>
      </c>
      <c r="AB63" s="3">
        <f>IF(AA63&lt;&gt;"",0.3*AA63,"")</f>
        <v/>
      </c>
      <c r="AC63" s="3">
        <f>IF(AA63&lt;&gt;"",AB63+AA63,"")</f>
        <v/>
      </c>
      <c r="AD63" s="3" t="n">
        <v>0</v>
      </c>
      <c r="AE63" s="3" t="n">
        <v>7</v>
      </c>
      <c r="AF63">
        <f>AE63*'fuels and tailpipe emissions'!$B$3</f>
        <v>5.25</v>
      </c>
      <c r="AG63" s="2">
        <f>AF63*'fuels and tailpipe emissions'!$C$3</f>
        <v>62.125</v>
      </c>
      <c r="AH63" s="3">
        <f>0.15*AF63</f>
        <v>0.78749999999999998</v>
      </c>
      <c r="AI63" t="n">
        <v>0</v>
      </c>
      <c r="AJ63" t="n">
        <v>0</v>
      </c>
      <c r="AK63">
        <f>J63/25000</f>
        <v>1</v>
      </c>
      <c r="AL63">
        <f>0.000537/1000*Q63</f>
        <v>7.4029141875000008E-5</v>
      </c>
      <c r="AM63" t="n">
        <v>0.00129</v>
      </c>
      <c r="AN63" s="2">
        <f>U63</f>
        <v>40.719374999999992</v>
      </c>
      <c r="AO63" s="2">
        <f>SUM(V63:W63)</f>
        <v>14.1</v>
      </c>
      <c r="AP63" s="2">
        <f>AC63</f>
        <v/>
      </c>
      <c r="AQ63" s="6" t="n">
        <v>0.8065030499337943</v>
      </c>
      <c r="AR63" s="20" t="n">
        <v>0</v>
      </c>
      <c r="AS63" s="6">
        <f>IF($H63="BEV",SUMPRODUCT(#REF!,#REF!),"")</f>
        <v/>
      </c>
      <c r="AT63" s="2">
        <f>SUM(Z63,AG63)/(SUM(AQ63,AS63)/3.6)</f>
        <v>277.30831274396223</v>
      </c>
      <c r="AU63" s="5">
        <f>IF($H63="ICEV-p",$AQ63/('fuels and tailpipe emissions'!$C$3*3.6)*'fuels and tailpipe emissions'!$D$3,"")*(1-AR63)</f>
        <v>5.944646893878202E-2</v>
      </c>
      <c r="AV63" s="5">
        <f>IF($H63="ICEV-p",$AQ63/('fuels and tailpipe emissions'!$C$3*3.6)*'fuels and tailpipe emissions'!$D$3,"")*AR63</f>
        <v>0</v>
      </c>
      <c r="AW63" s="7">
        <f>IF($H63="ICEV-p",$AQ63/('fuels and tailpipe emissions'!$C$3*3.6)*'fuels and tailpipe emissions'!$E$3,"")</f>
        <v>3.029119436371058E-7</v>
      </c>
      <c r="AX63" s="7">
        <f>SUMIFS('fuels and tailpipe emissions'!$C$10:$C$126,'fuels and tailpipe emissions'!$A$10:$A$126,'vehicles specifications'!$F63,'fuels and tailpipe emissions'!$B$10:$B$126,'vehicles specifications'!AX$2)/1000*$AQ63</f>
        <v>4.9037139839474579E-5</v>
      </c>
      <c r="AY63" s="7">
        <f>SUMIFS('fuels and tailpipe emissions'!$C$10:$C$126,'fuels and tailpipe emissions'!$A$10:$A$126,'vehicles specifications'!$F63,'fuels and tailpipe emissions'!$B$10:$B$126,'vehicles specifications'!AY$2)/1000*$AQ63</f>
        <v>2.2234893596900134E-5</v>
      </c>
      <c r="AZ63" s="7">
        <f>SUMIFS('fuels and tailpipe emissions'!$C$10:$C$126,'fuels and tailpipe emissions'!$A$10:$A$126,'vehicles specifications'!$F63,'fuels and tailpipe emissions'!$B$10:$B$126,'vehicles specifications'!AZ$2)/1000*$AQ63</f>
        <v>2.3511140203956193E-3</v>
      </c>
      <c r="BA63" s="7">
        <f>SUMIFS('fuels and tailpipe emissions'!$C$10:$C$126,'fuels and tailpipe emissions'!$A$10:$A$126,'vehicles specifications'!$F63,'fuels and tailpipe emissions'!$B$10:$B$126,'vehicles specifications'!BA$2)/1000*$AQ63</f>
        <v>1.1281021611821482E-6</v>
      </c>
      <c r="BB63" s="7">
        <f>SUMIFS('fuels and tailpipe emissions'!$C$10:$C$126,'fuels and tailpipe emissions'!$A$10:$A$126,'vehicles specifications'!$F63,'fuels and tailpipe emissions'!$B$10:$B$126,'vehicles specifications'!BB$2)/1000*$AQ63</f>
        <v>1.1281021611821482E-6</v>
      </c>
      <c r="BC63" s="7">
        <f>SUMIFS('fuels and tailpipe emissions'!$C$10:$C$126,'fuels and tailpipe emissions'!$A$10:$A$126,'vehicles specifications'!$F63,'fuels and tailpipe emissions'!$B$10:$B$126,'vehicles specifications'!BC$2)/1000*$AQ63</f>
        <v>8.4597180733547286E-5</v>
      </c>
      <c r="BD63" s="7">
        <f>SUMIFS('fuels and tailpipe emissions'!$C$10:$C$126,'fuels and tailpipe emissions'!$A$10:$A$126,'vehicles specifications'!$F63,'fuels and tailpipe emissions'!$B$10:$B$126,'vehicles specifications'!BD$2)/1000*$AQ63</f>
        <v>6.4786907116690766E-6</v>
      </c>
      <c r="BE63" s="7">
        <f>SUMIFS('fuels and tailpipe emissions'!$C$10:$C$126,'fuels and tailpipe emissions'!$A$10:$A$126,'vehicles specifications'!$F63,'fuels and tailpipe emissions'!$B$10:$B$126,'vehicles specifications'!BE$2)/1000*$AQ63</f>
        <v>3.9544388704774156E-4</v>
      </c>
      <c r="BF63" s="7">
        <f>SUMIFS('fuels and tailpipe emissions'!$C$10:$C$126,'fuels and tailpipe emissions'!$A$10:$A$126,'vehicles specifications'!$F63,'fuels and tailpipe emissions'!$B$10:$B$126,'vehicles specifications'!BF$2)/1000*$AQ63</f>
        <v>2.7883863830289469E-5</v>
      </c>
      <c r="BG63" s="7">
        <f>SUMIFS('fuels and tailpipe emissions'!$C$10:$C$126,'fuels and tailpipe emissions'!$A$10:$A$126,'vehicles specifications'!$F63,'fuels and tailpipe emissions'!$B$10:$B$126,'vehicles specifications'!BG$2)/1000*$AQ63</f>
        <v>5.6816650437893903E-6</v>
      </c>
      <c r="BH63" s="7">
        <f>SUMIFS('fuels and tailpipe emissions'!$C$10:$C$126,'fuels and tailpipe emissions'!$A$10:$A$126,'vehicles specifications'!$F63,'fuels and tailpipe emissions'!$B$10:$B$126,'vehicles specifications'!BH$2)/1000*$AQ63</f>
        <v>4.5802961276086779E-5</v>
      </c>
      <c r="BI63" s="7">
        <f>SUMIFS('fuels and tailpipe emissions'!$C$10:$C$126,'fuels and tailpipe emissions'!$A$10:$A$126,'vehicles specifications'!$F63,'fuels and tailpipe emissions'!$B$10:$B$126,'vehicles specifications'!BI$2)/1000*$AQ63</f>
        <v>1.8793199760226445E-5</v>
      </c>
      <c r="BJ63" s="7">
        <f>SUMIFS('fuels and tailpipe emissions'!$C$10:$C$126,'fuels and tailpipe emissions'!$A$10:$A$126,'vehicles specifications'!$F63,'fuels and tailpipe emissions'!$B$10:$B$126,'vehicles specifications'!BJ$2)/1000*$AQ63</f>
        <v>1.4073047262309106E-5</v>
      </c>
      <c r="BK63" s="7">
        <f>SUMIFS('fuels and tailpipe emissions'!$C$10:$C$126,'fuels and tailpipe emissions'!$A$10:$A$126,'vehicles specifications'!$F63,'fuels and tailpipe emissions'!$B$10:$B$126,'vehicles specifications'!BK$2)/1000*$AQ63</f>
        <v>9.9647663844921616E-6</v>
      </c>
      <c r="BL63" s="7">
        <f>SUMIFS('fuels and tailpipe emissions'!$C$10:$C$126,'fuels and tailpipe emissions'!$A$10:$A$126,'vehicles specifications'!$F63,'fuels and tailpipe emissions'!$B$10:$B$126,'vehicles specifications'!BL$2)/1000*$AQ63</f>
        <v>6.4683571267756131E-6</v>
      </c>
      <c r="BM63" s="7">
        <f>SUMIFS('fuels and tailpipe emissions'!$C$10:$C$126,'fuels and tailpipe emissions'!$A$10:$A$126,'vehicles specifications'!$F63,'fuels and tailpipe emissions'!$B$10:$B$126,'vehicles specifications'!BM$2)/1000*$AQ63</f>
        <v>6.3809468953327002E-5</v>
      </c>
      <c r="BN63" s="7">
        <f>SUMIFS('fuels and tailpipe emissions'!$C$10:$C$126,'fuels and tailpipe emissions'!$A$10:$A$126,'vehicles specifications'!$F63,'fuels and tailpipe emissions'!$B$10:$B$126,'vehicles specifications'!BN$2)/1000*$AQ63</f>
        <v>3.3390708411193032E-5</v>
      </c>
      <c r="BO63" s="7">
        <f>SUMIFS('fuels and tailpipe emissions'!$C$10:$C$126,'fuels and tailpipe emissions'!$A$10:$A$126,'vehicles specifications'!$F63,'fuels and tailpipe emissions'!$B$10:$B$126,'vehicles specifications'!BO$2)/1000*$AQ63</f>
        <v>9.6151254587205081E-7</v>
      </c>
      <c r="BP63" s="7">
        <f>SUMIFS('fuels and tailpipe emissions'!$C$10:$C$126,'fuels and tailpipe emissions'!$A$10:$A$126,'vehicles specifications'!$F63,'fuels and tailpipe emissions'!$B$10:$B$126,'vehicles specifications'!BP$2)/1000*$AQ63</f>
        <v>4.9037139839474579E-5</v>
      </c>
      <c r="BQ63" s="7">
        <f>SUMIFS('fuels and tailpipe emissions'!$C$10:$C$126,'fuels and tailpipe emissions'!$A$10:$A$126,'vehicles specifications'!$F63,'fuels and tailpipe emissions'!$B$10:$B$126,'vehicles specifications'!BQ$2)/1000*$AQ63</f>
        <v>9.5976434124319234E-5</v>
      </c>
      <c r="BR63" s="7">
        <f>SUMIFS('fuels and tailpipe emissions'!$C$10:$C$126,'fuels and tailpipe emissions'!$A$10:$A$126,'vehicles specifications'!$F63,'fuels and tailpipe emissions'!$B$10:$B$126,'vehicles specifications'!BR$2)/1000*$AQ63</f>
        <v>4.7463755673502142E-5</v>
      </c>
      <c r="BS63" s="7">
        <f>SUMIFS('fuels and tailpipe emissions'!$C$10:$C$126,'fuels and tailpipe emissions'!$A$10:$A$126,'vehicles specifications'!$F63,'fuels and tailpipe emissions'!$B$10:$B$126,'vehicles specifications'!BS$2)/1000*$AQ63</f>
        <v>1.9754712306098495E-5</v>
      </c>
      <c r="BT63" s="7">
        <f>SUMIFS('fuels and tailpipe emissions'!$C$10:$C$126,'fuels and tailpipe emissions'!$A$10:$A$126,'vehicles specifications'!$F63,'fuels and tailpipe emissions'!$B$10:$B$126,'vehicles specifications'!BT$2)/1000*$AQ63</f>
        <v>1.485973934529533E-5</v>
      </c>
      <c r="BU63" s="7">
        <f>SUMIFS('fuels and tailpipe emissions'!$C$10:$C$126,'fuels and tailpipe emissions'!$A$10:$A$126,'vehicles specifications'!$F63,'fuels and tailpipe emissions'!$B$10:$B$126,'vehicles specifications'!BU$2)/1000*$AQ63</f>
        <v>6.5557673582185264E-6</v>
      </c>
      <c r="BV63" s="7">
        <f>SUMIFS('fuels and tailpipe emissions'!$C$10:$C$126,'fuels and tailpipe emissions'!$A$10:$A$126,'vehicles specifications'!$F63,'fuels and tailpipe emissions'!$B$10:$B$126,'vehicles specifications'!BV$2)/1000*$AQ63</f>
        <v>1.9230250917441016E-6</v>
      </c>
      <c r="BW63" s="7">
        <f>SUMIFS('fuels and tailpipe emissions'!$C$10:$C$126,'fuels and tailpipe emissions'!$A$10:$A$126,'vehicles specifications'!$F63,'fuels and tailpipe emissions'!$B$10:$B$126,'vehicles specifications'!BW$2)/1000*$AQ63</f>
        <v>5.3320241180177364E-6</v>
      </c>
      <c r="BX63" s="7">
        <f>SUMIFS('fuels and tailpipe emissions'!$C$10:$C$126,'fuels and tailpipe emissions'!$A$10:$A$126,'vehicles specifications'!$F63,'fuels and tailpipe emissions'!$B$10:$B$126,'vehicles specifications'!BX$2)/1000*$AQ63</f>
        <v>0</v>
      </c>
      <c r="BY63" s="7">
        <f>SUMIFS('fuels and tailpipe emissions'!$C$10:$C$126,'fuels and tailpipe emissions'!$A$10:$A$126,'vehicles specifications'!$F63,'fuels and tailpipe emissions'!$B$10:$B$126,'vehicles specifications'!BY$2)/1000*$AQ63</f>
        <v>1.6607943974153603E-6</v>
      </c>
      <c r="BZ63" s="7">
        <f>SUMIFS('fuels and tailpipe emissions'!$C$10:$C$126,'fuels and tailpipe emissions'!$A$10:$A$126,'vehicles specifications'!$F63,'fuels and tailpipe emissions'!$B$10:$B$126,'vehicles specifications'!BZ$2)/1000*$AQ63</f>
        <v>8.8284333757342832E-6</v>
      </c>
      <c r="CA63" s="7">
        <f>SUMIFS('fuels and tailpipe emissions'!$C$10:$C$126,'fuels and tailpipe emissions'!$A$10:$A$126,'vehicles specifications'!$F63,'fuels and tailpipe emissions'!$B$10:$B$126,'vehicles specifications'!CA$2)/1000*$AQ63</f>
        <v>6.603836738281422E-10</v>
      </c>
      <c r="CB63" s="7">
        <f>SUMIFS('fuels and tailpipe emissions'!$C$10:$C$126,'fuels and tailpipe emissions'!$A$10:$A$126,'vehicles specifications'!$F63,'fuels and tailpipe emissions'!$B$10:$B$126,'vehicles specifications'!CB$2)/1000*$AQ63</f>
        <v>5.6929627054150187E-12</v>
      </c>
      <c r="CC63" s="7">
        <f>SUMIFS('fuels and tailpipe emissions'!$C$10:$C$126,'fuels and tailpipe emissions'!$A$10:$A$126,'vehicles specifications'!$F63,'fuels and tailpipe emissions'!$B$10:$B$126,'vehicles specifications'!CC$2)/1000*$AQ63</f>
        <v>3.7953084702766794E-12</v>
      </c>
      <c r="CD63" s="7">
        <f>SUMIFS('fuels and tailpipe emissions'!$C$10:$C$126,'fuels and tailpipe emissions'!$A$10:$A$126,'vehicles specifications'!$F63,'fuels and tailpipe emissions'!$B$10:$B$126,'vehicles specifications'!CD$2)/1000*$AQ63</f>
        <v>4.0989331478988139E-8</v>
      </c>
      <c r="CE63" s="7">
        <f>SUMIFS('fuels and tailpipe emissions'!$C$10:$C$126,'fuels and tailpipe emissions'!$A$10:$A$126,'vehicles specifications'!$F63,'fuels and tailpipe emissions'!$B$10:$B$126,'vehicles specifications'!CE$2)/1000*$AQ63</f>
        <v>7.9701477875810258E-10</v>
      </c>
      <c r="CF63" s="7">
        <f>SUMIFS('fuels and tailpipe emissions'!$C$10:$C$126,'fuels and tailpipe emissions'!$A$10:$A$126,'vehicles specifications'!$F63,'fuels and tailpipe emissions'!$B$10:$B$126,'vehicles specifications'!CF$2)/1000*$AQ63</f>
        <v>2.4669505056798415E-10</v>
      </c>
      <c r="CG63" s="7">
        <f>SUMIFS('fuels and tailpipe emissions'!$C$10:$C$126,'fuels and tailpipe emissions'!$A$10:$A$126,'vehicles specifications'!$F63,'fuels and tailpipe emissions'!$B$10:$B$126,'vehicles specifications'!CG$2)/1000*$AQ63</f>
        <v>3.0362467762213434E-10</v>
      </c>
      <c r="CH63" s="7">
        <f>SUMIFS('fuels and tailpipe emissions'!$C$10:$C$126,'fuels and tailpipe emissions'!$A$10:$A$126,'vehicles specifications'!$F63,'fuels and tailpipe emissions'!$B$10:$B$126,'vehicles specifications'!CH$2)/1000*$AQ63</f>
        <v>6.0724935524426863E-13</v>
      </c>
      <c r="CI63" s="7">
        <f>SUMIFS('fuels and tailpipe emissions'!$C$10:$C$126,'fuels and tailpipe emissions'!$A$10:$A$126,'vehicles specifications'!$F63,'fuels and tailpipe emissions'!$B$10:$B$126,'vehicles specifications'!CI$2)/1000*$AQ63</f>
        <v>1.6509591845703555E-10</v>
      </c>
      <c r="CJ63" s="7">
        <f>SUMIFS('fuels and tailpipe emissions'!$C$10:$C$126,'fuels and tailpipe emissions'!$A$10:$A$126,'vehicles specifications'!$F63,'fuels and tailpipe emissions'!$B$10:$B$126,'vehicles specifications'!CJ$2)/1000*$AQ63</f>
        <v>2.0494665739494072E-10</v>
      </c>
      <c r="CK63" s="38">
        <f>VLOOKUP($B63,'abrasion emissions'!$O$7:$R$36,2,FALSE)</f>
        <v>0.5</v>
      </c>
      <c r="CL63" s="38">
        <f>VLOOKUP($B63,'abrasion emissions'!$O$7:$R$36,3,FALSE)</f>
        <v>0.5</v>
      </c>
      <c r="CM63" s="38">
        <f>VLOOKUP($B63,'abrasion emissions'!$O$7:$R$36,4,FALSE)</f>
        <v>0</v>
      </c>
      <c r="CN63" s="7">
        <f>((SUMIFS('abrasion emissions'!$M$7:$M$34,'abrasion emissions'!$I$7:$I$34,"PM 2.5",'abrasion emissions'!$J$7:$J$34,"urban",'abrasion emissions'!$K$7:$K$34,"Tyre",'abrasion emissions'!$L$7:$L$34,"b")*POWER(('vehicles specifications'!$Q63/1000),(1/SUMIFS('abrasion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specifications'!$P63/1000),(1/SUMIFS('abrasion emissions'!$M$7:$M$34,'abrasion emissions'!$I$7:$I$34,"PM 10",'abrasion emissions'!$J$7:$J$34,"urban",'abrasion emissions'!$K$7:$K$34,"Tyre",'abrasion emissions'!$L$7:$L$34,"c")))))/1000000</f>
        <v>5.1819758628212954E-6</v>
      </c>
      <c r="CO63" s="7">
        <f>((SUMIFS('abrasion emissions'!$M$7:$M$34,'abrasion emissions'!$I$7:$I$34,"PM 2.5",'abrasion emissions'!$J$7:$J$34,"rural",'abrasion emissions'!$K$7:$K$34,"Tyre",'abrasion emissions'!$L$7:$L$34,"b")*POWER(('vehicles specifications'!$Q63/1000),(1/SUMIFS('abrasion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specifications'!$P63/1000),(1/SUMIFS('abrasion emissions'!$M$7:$M$34,'abrasion emissions'!$I$7:$I$34,"PM 10",'abrasion emissions'!$J$7:$J$34,"rural",'abrasion emissions'!$K$7:$K$34,"Tyre",'abrasion emissions'!$L$7:$L$34,"c")))))/1000000</f>
        <v>4.0365248093398033E-6</v>
      </c>
      <c r="CP63" s="7">
        <f>((SUMIFS('abrasion emissions'!$M$7:$M$34,'abrasion emissions'!$I$7:$I$34,"PM 2.5",'abrasion emissions'!$J$7:$J$34,"motorway",'abrasion emissions'!$K$7:$K$34,"Tyre",'abrasion emissions'!$L$7:$L$34,"b")*POWER(('vehicles specifications'!$Q63/1000),(1/SUMIFS('abrasion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specifications'!$P63/1000),(1/SUMIFS('abrasion emissions'!$M$7:$M$34,'abrasion emissions'!$I$7:$I$34,"PM 10",'abrasion emissions'!$J$7:$J$34,"motorway",'abrasion emissions'!$K$7:$K$34,"Tyre",'abrasion emissions'!$L$7:$L$34,"c")))))/1000000</f>
        <v>3.4489942631740767E-6</v>
      </c>
      <c r="CQ63" s="7">
        <f>((SUMIFS('abrasion emissions'!$M$7:$M$34,'abrasion emissions'!$I$7:$I$34,"PM 2.5",'abrasion emissions'!$J$7:$J$34,"urban",'abrasion emissions'!$K$7:$K$34,"Brake",'abrasion emissions'!$L$7:$L$34,"b")*POWER(('vehicles specifications'!$Q63/1000),(1/SUMIFS('abrasion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specifications'!$P63/1000),(1/SUMIFS('abrasion emissions'!$M$7:$M$34,'abrasion emissions'!$I$7:$I$34,"PM 10",'abrasion emissions'!$J$7:$J$34,"urban",'abrasion emissions'!$K$7:$K$34,"Brake",'abrasion emissions'!$L$7:$L$34,"c")))))/1000000</f>
        <v>4.8392084509214339E-6</v>
      </c>
      <c r="CR63" s="7">
        <f>((SUMIFS('abrasion emissions'!$M$7:$M$34,'abrasion emissions'!$I$7:$I$34,"PM 2.5",'abrasion emissions'!$J$7:$J$34,"rural",'abrasion emissions'!$K$7:$K$34,"Brake",'abrasion emissions'!$L$7:$L$34,"b")*POWER(('vehicles specifications'!$Q63/1000),(1/SUMIFS('abrasion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specifications'!$P63/1000),(1/SUMIFS('abrasion emissions'!$M$7:$M$34,'abrasion emissions'!$I$7:$I$34,"PM 10",'abrasion emissions'!$J$7:$J$34,"rural",'abrasion emissions'!$K$7:$K$34,"Brake",'abrasion emissions'!$L$7:$L$34,"c")))))/1000000</f>
        <v>1.4793676206509226E-6</v>
      </c>
      <c r="CS63" s="7">
        <f>((SUMIFS('abrasion emissions'!$M$7:$M$34,'abrasion emissions'!$I$7:$I$34,"PM 2.5",'abrasion emissions'!$J$7:$J$34,"motorway",'abrasion emissions'!$K$7:$K$34,"Brake",'abrasion emissions'!$L$7:$L$34,"b")*POWER(('vehicles specifications'!$Q63/1000),(1/SUMIFS('abrasion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specifications'!$P63/1000),(1/SUMIFS('abrasion emissions'!$M$7:$M$34,'abrasion emissions'!$I$7:$I$34,"PM 10",'abrasion emissions'!$J$7:$J$34,"motorway",'abrasion emissions'!$K$7:$K$34,"Brake",'abrasion emissions'!$L$7:$L$34,"c")))))/1000000</f>
        <v>2.6422422696406521E-7</v>
      </c>
      <c r="CT63" s="7">
        <f>((SUMIFS('abrasion emissions'!$M$7:$M$38,'abrasion emissions'!$I$7:$I$38,"PM 2.5",'abrasion emissions'!$K$7:$K$38,"Re-susp.",'abrasion emissions'!$L$7:$L$38,"b")*POWER(('vehicles specifications'!$Q63/1000),(1/SUMIFS('abrasion emissions'!$M$7:$M$38,'abrasion emissions'!$I$7:$I$38,"PM 2.5",'abrasion emissions'!$K$7:$K$38,"Re-susp.",'abrasion emissions'!$L$7:$L$38,"c"))))+
(SUMIFS('abrasion emissions'!$M$7:$M$38,'abrasion emissions'!$I$7:$I$38,"PM 10",'abrasion emissions'!$K$7:$K$38,"Re-susp.",'abrasion emissions'!$L$7:$L$38,"b")*POWER(('vehicles specifications'!$Q63/1000),(1/SUMIFS('abrasion emissions'!$M$7:$M$38,'abrasion emissions'!$I$7:$I$38,"PM 10",'abrasion emissions'!$K$7:$K$38,"Re-susp.",'abrasion emissions'!$L$7:$L$38,"c")))))/1000000</f>
        <v>2.7071109570661907E-6</v>
      </c>
      <c r="CU63" s="7">
        <f>((SUMIFS('abrasion emissions'!$M$7:$M$38,'abrasion emissions'!$I$7:$I$38,"PM 2.5",'abrasion emissions'!$K$7:$K$38,"Road",'abrasion emissions'!$L$7:$L$38,"b")*POWER(('vehicles specifications'!$Q63/1000),(1/SUMIFS('abrasion emissions'!$M$7:$M$38,'abrasion emissions'!$I$7:$I$38,"PM 2.5",'abrasion emissions'!$K$7:$K$38,"Road",'abrasion emissions'!$L$7:$L$38,"c"))))+
(SUMIFS('abrasion emissions'!$M$7:$M$38,'abrasion emissions'!$I$7:$I$38,"PM 10",'abrasion emissions'!$K$7:$K$38,"Road",'abrasion emissions'!$L$7:$L$38,"b")*POWER(('vehicles specifications'!$Q63/1000),(1/SUMIFS('abrasion emissions'!$M$7:$M$38,'abrasion emissions'!$I$7:$I$38,"PM 10",'abrasion emissions'!$K$7:$K$38,"Road",'abrasion emissions'!$L$7:$L$38,"c")))))/1000000+CT63</f>
        <v>5.4290963569976135E-6</v>
      </c>
      <c r="CV63" s="7">
        <f>(CK63*CN63)+(CL63*CO63)+(CM63*CP63)</f>
        <v>4.6092503360805489E-6</v>
      </c>
      <c r="CW63" s="7">
        <f>(CK63*CQ63)+(CL63*CR63)+(CM63*CS63)</f>
        <v>3.1592880357861782E-6</v>
      </c>
    </row>
    <row r="64">
      <c r="A64" t="str">
        <f>B64&amp;" - "&amp;D64&amp;" - "&amp;IF(I64&lt;&gt;"",I64&amp;" - "&amp;E64,E64)</f>
        <v>Moped, gasoline, &lt;4kW, EURO-5 - 2050 - CH</v>
      </c>
      <c r="B64" t="inlineStr">
        <is>
          <t>Moped, gasoline, &lt;4kW, EURO-5</t>
        </is>
      </c>
      <c r="D64" s="18" t="n">
        <v>2050</v>
      </c>
      <c r="E64" t="inlineStr">
        <is>
          <t>CH</t>
        </is>
      </c>
      <c r="F64" t="inlineStr">
        <is>
          <t>EURO-5</t>
        </is>
      </c>
      <c r="G64" t="inlineStr">
        <is>
          <t>vkm</t>
        </is>
      </c>
      <c r="H64" t="inlineStr">
        <is>
          <t>ICEV-p</t>
        </is>
      </c>
      <c r="J64" t="n">
        <v>25000</v>
      </c>
      <c r="K64" t="n">
        <v>1570</v>
      </c>
      <c r="L64" s="2">
        <f>J64/K64</f>
        <v>15.923566878980891</v>
      </c>
      <c r="M64" t="n">
        <v>1</v>
      </c>
      <c r="N64" t="n">
        <v>75</v>
      </c>
      <c r="O64" t="n">
        <v>2</v>
      </c>
      <c r="P64" s="2">
        <f>SUM(U64,V64,W64,AC64,AF64,AH64)</f>
        <v>59.971624999999996</v>
      </c>
      <c r="Q64" s="2">
        <f>P64+(M64*N64)+O64</f>
        <v>136.97162499999999</v>
      </c>
      <c r="R64" t="n">
        <v>2.5</v>
      </c>
      <c r="S64" s="2" t="n">
        <v>43.2625</v>
      </c>
      <c r="T64" s="1" t="n">
        <v>0.07000000000000001</v>
      </c>
      <c r="U64" s="2">
        <f>S64*(1-T64)</f>
        <v>40.234124999999999</v>
      </c>
      <c r="V64" t="n">
        <v>13.7</v>
      </c>
      <c r="W64" t="n">
        <v>0</v>
      </c>
      <c r="X64" s="3" t="n">
        <v>0</v>
      </c>
      <c r="Y64" s="1" t="n">
        <v>0.8</v>
      </c>
      <c r="Z64" s="3">
        <f>Y64*X64</f>
        <v>0</v>
      </c>
      <c r="AA64" s="3">
        <f>IF(I64&lt;&gt;"",X64/INDEX('energy battery'!$B$3:$D$6,MATCH('vehicles specifications'!$D64,'energy battery'!$A$3:$A$6,0),MATCH('vehicles specifications'!$I64,'energy battery'!$B$2:$D$2,0)),"")</f>
        <v/>
      </c>
      <c r="AB64" s="3">
        <f>IF(AA64&lt;&gt;"",0.3*AA64,"")</f>
        <v/>
      </c>
      <c r="AC64" s="3">
        <f>IF(AA64&lt;&gt;"",AB64+AA64,"")</f>
        <v/>
      </c>
      <c r="AD64" s="3" t="n">
        <v>0</v>
      </c>
      <c r="AE64" s="3" t="n">
        <v>7</v>
      </c>
      <c r="AF64">
        <f>AE64*'fuels and tailpipe emissions'!$B$3</f>
        <v>5.25</v>
      </c>
      <c r="AG64" s="2">
        <f>AF64*'fuels and tailpipe emissions'!$C$3</f>
        <v>62.125</v>
      </c>
      <c r="AH64" s="3">
        <f>0.15*AF64</f>
        <v>0.78749999999999998</v>
      </c>
      <c r="AI64" t="n">
        <v>0</v>
      </c>
      <c r="AJ64" t="n">
        <v>0</v>
      </c>
      <c r="AK64">
        <f>J64/25000</f>
        <v>1</v>
      </c>
      <c r="AL64">
        <f>0.000537/1000*Q64</f>
        <v>7.3553762624999994E-5</v>
      </c>
      <c r="AM64" t="n">
        <v>0.00129</v>
      </c>
      <c r="AN64" s="2">
        <f>U64</f>
        <v>40.234124999999999</v>
      </c>
      <c r="AO64" s="2">
        <f>SUM(V64:W64)</f>
        <v>13.7</v>
      </c>
      <c r="AP64" s="2">
        <f>AC64</f>
        <v/>
      </c>
      <c r="AQ64" s="6" t="n">
        <v>0.7984380194344564</v>
      </c>
      <c r="AR64" s="20" t="n">
        <v>0</v>
      </c>
      <c r="AS64" s="6">
        <f>IF($H64="BEV",SUMPRODUCT(#REF!,#REF!),"")</f>
        <v/>
      </c>
      <c r="AT64" s="2">
        <f>SUM(Z64,AG64)/(SUM(AQ64,AS64)/3.6)</f>
        <v>280.10940681208302</v>
      </c>
      <c r="AU64" s="5">
        <f>IF($H64="ICEV-p",$AQ64/('fuels and tailpipe emissions'!$C$3*3.6)*'fuels and tailpipe emissions'!$D$3,"")*(1-AR64)</f>
        <v>5.8852004249394199E-2</v>
      </c>
      <c r="AV64" s="5">
        <f>IF($H64="ICEV-p",$AQ64/('fuels and tailpipe emissions'!$C$3*3.6)*'fuels and tailpipe emissions'!$D$3,"")*AR64</f>
        <v>0</v>
      </c>
      <c r="AW64" s="7">
        <f>IF($H64="ICEV-p",$AQ64/('fuels and tailpipe emissions'!$C$3*3.6)*'fuels and tailpipe emissions'!$E$3,"")</f>
        <v>2.9988282420073472E-7</v>
      </c>
      <c r="AX64" s="7">
        <f>SUMIFS('fuels and tailpipe emissions'!$C$10:$C$126,'fuels and tailpipe emissions'!$A$10:$A$126,'vehicles specifications'!$F64,'fuels and tailpipe emissions'!$B$10:$B$126,'vehicles specifications'!AX$2)/1000*$AQ64</f>
        <v>4.854676844107983E-5</v>
      </c>
      <c r="AY64" s="7">
        <f>SUMIFS('fuels and tailpipe emissions'!$C$10:$C$126,'fuels and tailpipe emissions'!$A$10:$A$126,'vehicles specifications'!$F64,'fuels and tailpipe emissions'!$B$10:$B$126,'vehicles specifications'!AY$2)/1000*$AQ64</f>
        <v>2.2012544660931132E-5</v>
      </c>
      <c r="AZ64" s="7">
        <f>SUMIFS('fuels and tailpipe emissions'!$C$10:$C$126,'fuels and tailpipe emissions'!$A$10:$A$126,'vehicles specifications'!$F64,'fuels and tailpipe emissions'!$B$10:$B$126,'vehicles specifications'!AZ$2)/1000*$AQ64</f>
        <v>2.3276028801916633E-3</v>
      </c>
      <c r="BA64" s="7">
        <f>SUMIFS('fuels and tailpipe emissions'!$C$10:$C$126,'fuels and tailpipe emissions'!$A$10:$A$126,'vehicles specifications'!$F64,'fuels and tailpipe emissions'!$B$10:$B$126,'vehicles specifications'!BA$2)/1000*$AQ64</f>
        <v>1.1168211395703267E-6</v>
      </c>
      <c r="BB64" s="7">
        <f>SUMIFS('fuels and tailpipe emissions'!$C$10:$C$126,'fuels and tailpipe emissions'!$A$10:$A$126,'vehicles specifications'!$F64,'fuels and tailpipe emissions'!$B$10:$B$126,'vehicles specifications'!BB$2)/1000*$AQ64</f>
        <v>1.1168211395703267E-6</v>
      </c>
      <c r="BC64" s="7">
        <f>SUMIFS('fuels and tailpipe emissions'!$C$10:$C$126,'fuels and tailpipe emissions'!$A$10:$A$126,'vehicles specifications'!$F64,'fuels and tailpipe emissions'!$B$10:$B$126,'vehicles specifications'!BC$2)/1000*$AQ64</f>
        <v>8.3751208926211812E-5</v>
      </c>
      <c r="BD64" s="7">
        <f>SUMIFS('fuels and tailpipe emissions'!$C$10:$C$126,'fuels and tailpipe emissions'!$A$10:$A$126,'vehicles specifications'!$F64,'fuels and tailpipe emissions'!$B$10:$B$126,'vehicles specifications'!BD$2)/1000*$AQ64</f>
        <v>6.4139038045523853E-6</v>
      </c>
      <c r="BE64" s="7">
        <f>SUMIFS('fuels and tailpipe emissions'!$C$10:$C$126,'fuels and tailpipe emissions'!$A$10:$A$126,'vehicles specifications'!$F64,'fuels and tailpipe emissions'!$B$10:$B$126,'vehicles specifications'!BE$2)/1000*$AQ64</f>
        <v>3.9148944817726415E-4</v>
      </c>
      <c r="BF64" s="7">
        <f>SUMIFS('fuels and tailpipe emissions'!$C$10:$C$126,'fuels and tailpipe emissions'!$A$10:$A$126,'vehicles specifications'!$F64,'fuels and tailpipe emissions'!$B$10:$B$126,'vehicles specifications'!BF$2)/1000*$AQ64</f>
        <v>2.7605025191986573E-5</v>
      </c>
      <c r="BG64" s="7">
        <f>SUMIFS('fuels and tailpipe emissions'!$C$10:$C$126,'fuels and tailpipe emissions'!$A$10:$A$126,'vehicles specifications'!$F64,'fuels and tailpipe emissions'!$B$10:$B$126,'vehicles specifications'!BG$2)/1000*$AQ64</f>
        <v>5.6248483933514962E-6</v>
      </c>
      <c r="BH64" s="7">
        <f>SUMIFS('fuels and tailpipe emissions'!$C$10:$C$126,'fuels and tailpipe emissions'!$A$10:$A$126,'vehicles specifications'!$F64,'fuels and tailpipe emissions'!$B$10:$B$126,'vehicles specifications'!BH$2)/1000*$AQ64</f>
        <v>4.5344931663325912E-5</v>
      </c>
      <c r="BI64" s="7">
        <f>SUMIFS('fuels and tailpipe emissions'!$C$10:$C$126,'fuels and tailpipe emissions'!$A$10:$A$126,'vehicles specifications'!$F64,'fuels and tailpipe emissions'!$B$10:$B$126,'vehicles specifications'!BI$2)/1000*$AQ64</f>
        <v>1.8605267762624179E-5</v>
      </c>
      <c r="BJ64" s="7">
        <f>SUMIFS('fuels and tailpipe emissions'!$C$10:$C$126,'fuels and tailpipe emissions'!$A$10:$A$126,'vehicles specifications'!$F64,'fuels and tailpipe emissions'!$B$10:$B$126,'vehicles specifications'!BJ$2)/1000*$AQ64</f>
        <v>1.3932316789686016E-5</v>
      </c>
      <c r="BK64" s="7">
        <f>SUMIFS('fuels and tailpipe emissions'!$C$10:$C$126,'fuels and tailpipe emissions'!$A$10:$A$126,'vehicles specifications'!$F64,'fuels and tailpipe emissions'!$B$10:$B$126,'vehicles specifications'!BK$2)/1000*$AQ64</f>
        <v>9.8651187206472398E-6</v>
      </c>
      <c r="BL64" s="7">
        <f>SUMIFS('fuels and tailpipe emissions'!$C$10:$C$126,'fuels and tailpipe emissions'!$A$10:$A$126,'vehicles specifications'!$F64,'fuels and tailpipe emissions'!$B$10:$B$126,'vehicles specifications'!BL$2)/1000*$AQ64</f>
        <v>6.4036735555078573E-6</v>
      </c>
      <c r="BM64" s="7">
        <f>SUMIFS('fuels and tailpipe emissions'!$C$10:$C$126,'fuels and tailpipe emissions'!$A$10:$A$126,'vehicles specifications'!$F64,'fuels and tailpipe emissions'!$B$10:$B$126,'vehicles specifications'!BM$2)/1000*$AQ64</f>
        <v>6.3171374263793726E-5</v>
      </c>
      <c r="BN64" s="7">
        <f>SUMIFS('fuels and tailpipe emissions'!$C$10:$C$126,'fuels and tailpipe emissions'!$A$10:$A$126,'vehicles specifications'!$F64,'fuels and tailpipe emissions'!$B$10:$B$126,'vehicles specifications'!BN$2)/1000*$AQ64</f>
        <v>3.3056801327081096E-5</v>
      </c>
      <c r="BO64" s="7">
        <f>SUMIFS('fuels and tailpipe emissions'!$C$10:$C$126,'fuels and tailpipe emissions'!$A$10:$A$126,'vehicles specifications'!$F64,'fuels and tailpipe emissions'!$B$10:$B$126,'vehicles specifications'!BO$2)/1000*$AQ64</f>
        <v>9.5189742041333027E-7</v>
      </c>
      <c r="BP64" s="7">
        <f>SUMIFS('fuels and tailpipe emissions'!$C$10:$C$126,'fuels and tailpipe emissions'!$A$10:$A$126,'vehicles specifications'!$F64,'fuels and tailpipe emissions'!$B$10:$B$126,'vehicles specifications'!BP$2)/1000*$AQ64</f>
        <v>4.854676844107983E-5</v>
      </c>
      <c r="BQ64" s="7">
        <f>SUMIFS('fuels and tailpipe emissions'!$C$10:$C$126,'fuels and tailpipe emissions'!$A$10:$A$126,'vehicles specifications'!$F64,'fuels and tailpipe emissions'!$B$10:$B$126,'vehicles specifications'!BQ$2)/1000*$AQ64</f>
        <v>9.5016669783076047E-5</v>
      </c>
      <c r="BR64" s="7">
        <f>SUMIFS('fuels and tailpipe emissions'!$C$10:$C$126,'fuels and tailpipe emissions'!$A$10:$A$126,'vehicles specifications'!$F64,'fuels and tailpipe emissions'!$B$10:$B$126,'vehicles specifications'!BR$2)/1000*$AQ64</f>
        <v>4.698911811676712E-5</v>
      </c>
      <c r="BS64" s="7">
        <f>SUMIFS('fuels and tailpipe emissions'!$C$10:$C$126,'fuels and tailpipe emissions'!$A$10:$A$126,'vehicles specifications'!$F64,'fuels and tailpipe emissions'!$B$10:$B$126,'vehicles specifications'!BS$2)/1000*$AQ64</f>
        <v>1.9557165183037508E-5</v>
      </c>
      <c r="BT64" s="7">
        <f>SUMIFS('fuels and tailpipe emissions'!$C$10:$C$126,'fuels and tailpipe emissions'!$A$10:$A$126,'vehicles specifications'!$F64,'fuels and tailpipe emissions'!$B$10:$B$126,'vehicles specifications'!BT$2)/1000*$AQ64</f>
        <v>1.4711141951842378E-5</v>
      </c>
      <c r="BU64" s="7">
        <f>SUMIFS('fuels and tailpipe emissions'!$C$10:$C$126,'fuels and tailpipe emissions'!$A$10:$A$126,'vehicles specifications'!$F64,'fuels and tailpipe emissions'!$B$10:$B$126,'vehicles specifications'!BU$2)/1000*$AQ64</f>
        <v>6.4902096846363412E-6</v>
      </c>
      <c r="BV64" s="7">
        <f>SUMIFS('fuels and tailpipe emissions'!$C$10:$C$126,'fuels and tailpipe emissions'!$A$10:$A$126,'vehicles specifications'!$F64,'fuels and tailpipe emissions'!$B$10:$B$126,'vehicles specifications'!BV$2)/1000*$AQ64</f>
        <v>1.9037948408266605E-6</v>
      </c>
      <c r="BW64" s="7">
        <f>SUMIFS('fuels and tailpipe emissions'!$C$10:$C$126,'fuels and tailpipe emissions'!$A$10:$A$126,'vehicles specifications'!$F64,'fuels and tailpipe emissions'!$B$10:$B$126,'vehicles specifications'!BW$2)/1000*$AQ64</f>
        <v>5.2787038768375589E-6</v>
      </c>
      <c r="BX64" s="7">
        <f>SUMIFS('fuels and tailpipe emissions'!$C$10:$C$126,'fuels and tailpipe emissions'!$A$10:$A$126,'vehicles specifications'!$F64,'fuels and tailpipe emissions'!$B$10:$B$126,'vehicles specifications'!BX$2)/1000*$AQ64</f>
        <v>0</v>
      </c>
      <c r="BY64" s="7">
        <f>SUMIFS('fuels and tailpipe emissions'!$C$10:$C$126,'fuels and tailpipe emissions'!$A$10:$A$126,'vehicles specifications'!$F64,'fuels and tailpipe emissions'!$B$10:$B$126,'vehicles specifications'!BY$2)/1000*$AQ64</f>
        <v>1.6441864534412067E-6</v>
      </c>
      <c r="BZ64" s="7">
        <f>SUMIFS('fuels and tailpipe emissions'!$C$10:$C$126,'fuels and tailpipe emissions'!$A$10:$A$126,'vehicles specifications'!$F64,'fuels and tailpipe emissions'!$B$10:$B$126,'vehicles specifications'!BZ$2)/1000*$AQ64</f>
        <v>8.7401490419769389E-6</v>
      </c>
      <c r="CA64" s="7">
        <f>SUMIFS('fuels and tailpipe emissions'!$C$10:$C$126,'fuels and tailpipe emissions'!$A$10:$A$126,'vehicles specifications'!$F64,'fuels and tailpipe emissions'!$B$10:$B$126,'vehicles specifications'!CA$2)/1000*$AQ64</f>
        <v>6.5377983708986073E-10</v>
      </c>
      <c r="CB64" s="7">
        <f>SUMIFS('fuels and tailpipe emissions'!$C$10:$C$126,'fuels and tailpipe emissions'!$A$10:$A$126,'vehicles specifications'!$F64,'fuels and tailpipe emissions'!$B$10:$B$126,'vehicles specifications'!CB$2)/1000*$AQ64</f>
        <v>5.6360330783608683E-12</v>
      </c>
      <c r="CC64" s="7">
        <f>SUMIFS('fuels and tailpipe emissions'!$C$10:$C$126,'fuels and tailpipe emissions'!$A$10:$A$126,'vehicles specifications'!$F64,'fuels and tailpipe emissions'!$B$10:$B$126,'vehicles specifications'!CC$2)/1000*$AQ64</f>
        <v>3.7573553855739122E-12</v>
      </c>
      <c r="CD64" s="7">
        <f>SUMIFS('fuels and tailpipe emissions'!$C$10:$C$126,'fuels and tailpipe emissions'!$A$10:$A$126,'vehicles specifications'!$F64,'fuels and tailpipe emissions'!$B$10:$B$126,'vehicles specifications'!CD$2)/1000*$AQ64</f>
        <v>4.0579438164198253E-8</v>
      </c>
      <c r="CE64" s="7">
        <f>SUMIFS('fuels and tailpipe emissions'!$C$10:$C$126,'fuels and tailpipe emissions'!$A$10:$A$126,'vehicles specifications'!$F64,'fuels and tailpipe emissions'!$B$10:$B$126,'vehicles specifications'!CE$2)/1000*$AQ64</f>
        <v>7.8904463097052155E-10</v>
      </c>
      <c r="CF64" s="7">
        <f>SUMIFS('fuels and tailpipe emissions'!$C$10:$C$126,'fuels and tailpipe emissions'!$A$10:$A$126,'vehicles specifications'!$F64,'fuels and tailpipe emissions'!$B$10:$B$126,'vehicles specifications'!CF$2)/1000*$AQ64</f>
        <v>2.4422810006230434E-10</v>
      </c>
      <c r="CG64" s="7">
        <f>SUMIFS('fuels and tailpipe emissions'!$C$10:$C$126,'fuels and tailpipe emissions'!$A$10:$A$126,'vehicles specifications'!$F64,'fuels and tailpipe emissions'!$B$10:$B$126,'vehicles specifications'!CG$2)/1000*$AQ64</f>
        <v>3.0058843084591303E-10</v>
      </c>
      <c r="CH64" s="7">
        <f>SUMIFS('fuels and tailpipe emissions'!$C$10:$C$126,'fuels and tailpipe emissions'!$A$10:$A$126,'vehicles specifications'!$F64,'fuels and tailpipe emissions'!$B$10:$B$126,'vehicles specifications'!CH$2)/1000*$AQ64</f>
        <v>6.0117686169182594E-13</v>
      </c>
      <c r="CI64" s="7">
        <f>SUMIFS('fuels and tailpipe emissions'!$C$10:$C$126,'fuels and tailpipe emissions'!$A$10:$A$126,'vehicles specifications'!$F64,'fuels and tailpipe emissions'!$B$10:$B$126,'vehicles specifications'!CI$2)/1000*$AQ64</f>
        <v>1.6344495927246518E-10</v>
      </c>
      <c r="CJ64" s="7">
        <f>SUMIFS('fuels and tailpipe emissions'!$C$10:$C$126,'fuels and tailpipe emissions'!$A$10:$A$126,'vehicles specifications'!$F64,'fuels and tailpipe emissions'!$B$10:$B$126,'vehicles specifications'!CJ$2)/1000*$AQ64</f>
        <v>2.0289719082099132E-10</v>
      </c>
      <c r="CK64" s="38">
        <f>VLOOKUP($B64,'abrasion emissions'!$O$7:$R$36,2,FALSE)</f>
        <v>0.5</v>
      </c>
      <c r="CL64" s="38">
        <f>VLOOKUP($B64,'abrasion emissions'!$O$7:$R$36,3,FALSE)</f>
        <v>0.5</v>
      </c>
      <c r="CM64" s="38">
        <f>VLOOKUP($B64,'abrasion emissions'!$O$7:$R$36,4,FALSE)</f>
        <v>0</v>
      </c>
      <c r="CN64" s="7">
        <f>((SUMIFS('abrasion emissions'!$M$7:$M$34,'abrasion emissions'!$I$7:$I$34,"PM 2.5",'abrasion emissions'!$J$7:$J$34,"urban",'abrasion emissions'!$K$7:$K$34,"Tyre",'abrasion emissions'!$L$7:$L$34,"b")*POWER(('vehicles specifications'!$Q64/1000),(1/SUMIFS('abrasion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specifications'!$P64/1000),(1/SUMIFS('abrasion emissions'!$M$7:$M$34,'abrasion emissions'!$I$7:$I$34,"PM 10",'abrasion emissions'!$J$7:$J$34,"urban",'abrasion emissions'!$K$7:$K$34,"Tyre",'abrasion emissions'!$L$7:$L$34,"c")))))/1000000</f>
        <v>5.1613785978318029E-6</v>
      </c>
      <c r="CO64" s="7">
        <f>((SUMIFS('abrasion emissions'!$M$7:$M$34,'abrasion emissions'!$I$7:$I$34,"PM 2.5",'abrasion emissions'!$J$7:$J$34,"rural",'abrasion emissions'!$K$7:$K$34,"Tyre",'abrasion emissions'!$L$7:$L$34,"b")*POWER(('vehicles specifications'!$Q64/1000),(1/SUMIFS('abrasion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specifications'!$P64/1000),(1/SUMIFS('abrasion emissions'!$M$7:$M$34,'abrasion emissions'!$I$7:$I$34,"PM 10",'abrasion emissions'!$J$7:$J$34,"rural",'abrasion emissions'!$K$7:$K$34,"Tyre",'abrasion emissions'!$L$7:$L$34,"c")))))/1000000</f>
        <v>4.0204993464109472E-6</v>
      </c>
      <c r="CP64" s="7">
        <f>((SUMIFS('abrasion emissions'!$M$7:$M$34,'abrasion emissions'!$I$7:$I$34,"PM 2.5",'abrasion emissions'!$J$7:$J$34,"motorway",'abrasion emissions'!$K$7:$K$34,"Tyre",'abrasion emissions'!$L$7:$L$34,"b")*POWER(('vehicles specifications'!$Q64/1000),(1/SUMIFS('abrasion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specifications'!$P64/1000),(1/SUMIFS('abrasion emissions'!$M$7:$M$34,'abrasion emissions'!$I$7:$I$34,"PM 10",'abrasion emissions'!$J$7:$J$34,"motorway",'abrasion emissions'!$K$7:$K$34,"Tyre",'abrasion emissions'!$L$7:$L$34,"c")))))/1000000</f>
        <v>3.4353487239837502E-6</v>
      </c>
      <c r="CQ64" s="7">
        <f>((SUMIFS('abrasion emissions'!$M$7:$M$34,'abrasion emissions'!$I$7:$I$34,"PM 2.5",'abrasion emissions'!$J$7:$J$34,"urban",'abrasion emissions'!$K$7:$K$34,"Brake",'abrasion emissions'!$L$7:$L$34,"b")*POWER(('vehicles specifications'!$Q64/1000),(1/SUMIFS('abrasion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specifications'!$P64/1000),(1/SUMIFS('abrasion emissions'!$M$7:$M$34,'abrasion emissions'!$I$7:$I$34,"PM 10",'abrasion emissions'!$J$7:$J$34,"urban",'abrasion emissions'!$K$7:$K$34,"Brake",'abrasion emissions'!$L$7:$L$34,"c")))))/1000000</f>
        <v>4.8186915824379079E-6</v>
      </c>
      <c r="CR64" s="7">
        <f>((SUMIFS('abrasion emissions'!$M$7:$M$34,'abrasion emissions'!$I$7:$I$34,"PM 2.5",'abrasion emissions'!$J$7:$J$34,"rural",'abrasion emissions'!$K$7:$K$34,"Brake",'abrasion emissions'!$L$7:$L$34,"b")*POWER(('vehicles specifications'!$Q64/1000),(1/SUMIFS('abrasion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specifications'!$P64/1000),(1/SUMIFS('abrasion emissions'!$M$7:$M$34,'abrasion emissions'!$I$7:$I$34,"PM 10",'abrasion emissions'!$J$7:$J$34,"rural",'abrasion emissions'!$K$7:$K$34,"Brake",'abrasion emissions'!$L$7:$L$34,"c")))))/1000000</f>
        <v>1.4715138446880966E-6</v>
      </c>
      <c r="CS64" s="7">
        <f>((SUMIFS('abrasion emissions'!$M$7:$M$34,'abrasion emissions'!$I$7:$I$34,"PM 2.5",'abrasion emissions'!$J$7:$J$34,"motorway",'abrasion emissions'!$K$7:$K$34,"Brake",'abrasion emissions'!$L$7:$L$34,"b")*POWER(('vehicles specifications'!$Q64/1000),(1/SUMIFS('abrasion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specifications'!$P64/1000),(1/SUMIFS('abrasion emissions'!$M$7:$M$34,'abrasion emissions'!$I$7:$I$34,"PM 10",'abrasion emissions'!$J$7:$J$34,"motorway",'abrasion emissions'!$K$7:$K$34,"Brake",'abrasion emissions'!$L$7:$L$34,"c")))))/1000000</f>
        <v>2.6262712010743967E-7</v>
      </c>
      <c r="CT64" s="7">
        <f>((SUMIFS('abrasion emissions'!$M$7:$M$38,'abrasion emissions'!$I$7:$I$38,"PM 2.5",'abrasion emissions'!$K$7:$K$38,"Re-susp.",'abrasion emissions'!$L$7:$L$38,"b")*POWER(('vehicles specifications'!$Q64/1000),(1/SUMIFS('abrasion emissions'!$M$7:$M$38,'abrasion emissions'!$I$7:$I$38,"PM 2.5",'abrasion emissions'!$K$7:$K$38,"Re-susp.",'abrasion emissions'!$L$7:$L$38,"c"))))+
(SUMIFS('abrasion emissions'!$M$7:$M$38,'abrasion emissions'!$I$7:$I$38,"PM 10",'abrasion emissions'!$K$7:$K$38,"Re-susp.",'abrasion emissions'!$L$7:$L$38,"b")*POWER(('vehicles specifications'!$Q64/1000),(1/SUMIFS('abrasion emissions'!$M$7:$M$38,'abrasion emissions'!$I$7:$I$38,"PM 10",'abrasion emissions'!$K$7:$K$38,"Re-susp.",'abrasion emissions'!$L$7:$L$38,"c")))))/1000000</f>
        <v>2.6913029209009364E-6</v>
      </c>
      <c r="CU64" s="7">
        <f>((SUMIFS('abrasion emissions'!$M$7:$M$38,'abrasion emissions'!$I$7:$I$38,"PM 2.5",'abrasion emissions'!$K$7:$K$38,"Road",'abrasion emissions'!$L$7:$L$38,"b")*POWER(('vehicles specifications'!$Q64/1000),(1/SUMIFS('abrasion emissions'!$M$7:$M$38,'abrasion emissions'!$I$7:$I$38,"PM 2.5",'abrasion emissions'!$K$7:$K$38,"Road",'abrasion emissions'!$L$7:$L$38,"c"))))+
(SUMIFS('abrasion emissions'!$M$7:$M$38,'abrasion emissions'!$I$7:$I$38,"PM 10",'abrasion emissions'!$K$7:$K$38,"Road",'abrasion emissions'!$L$7:$L$38,"b")*POWER(('vehicles specifications'!$Q64/1000),(1/SUMIFS('abrasion emissions'!$M$7:$M$38,'abrasion emissions'!$I$7:$I$38,"PM 10",'abrasion emissions'!$K$7:$K$38,"Road",'abrasion emissions'!$L$7:$L$38,"c")))))/1000000+CT64</f>
        <v>5.4016229667763182E-6</v>
      </c>
      <c r="CV64" s="7">
        <f>(CK64*CN64)+(CL64*CO64)+(CM64*CP64)</f>
        <v>4.5909389721213746E-6</v>
      </c>
      <c r="CW64" s="7">
        <f>(CK64*CQ64)+(CL64*CR64)+(CM64*CS64)</f>
        <v>3.1451027135630022E-6</v>
      </c>
    </row>
    <row r="65">
      <c r="A65" t="str">
        <f>B65&amp;" - "&amp;D65&amp;" - "&amp;IF(I65&lt;&gt;"",I65&amp;" - "&amp;E65,E65)</f>
        <v>Scooter, gasoline, &lt;4kW, EURO-3 - 2006 - CH</v>
      </c>
      <c r="B65" t="inlineStr">
        <is>
          <t>Scooter, gasoline, &lt;4kW, EURO-3</t>
        </is>
      </c>
      <c r="D65" s="18" t="n">
        <v>2006</v>
      </c>
      <c r="E65" t="inlineStr">
        <is>
          <t>CH</t>
        </is>
      </c>
      <c r="F65" t="inlineStr">
        <is>
          <t>EURO-5</t>
        </is>
      </c>
      <c r="G65" t="inlineStr">
        <is>
          <t>vkm</t>
        </is>
      </c>
      <c r="H65" t="inlineStr">
        <is>
          <t>ICEV-p</t>
        </is>
      </c>
      <c r="J65" t="n">
        <v>25000</v>
      </c>
      <c r="K65" t="n">
        <v>1570</v>
      </c>
      <c r="L65" s="2">
        <f>J65/K65</f>
        <v>15.923566878980891</v>
      </c>
      <c r="M65" t="n">
        <v>1</v>
      </c>
      <c r="N65" t="n">
        <v>75</v>
      </c>
      <c r="O65" t="n">
        <v>4</v>
      </c>
      <c r="P65" s="2">
        <f>SUM(U65,V65,W65,AC65,AF65,AH65)</f>
        <v>93.6875</v>
      </c>
      <c r="Q65" s="2">
        <f>P65+(M65*N65)+O65</f>
        <v>172.6875</v>
      </c>
      <c r="R65" t="n">
        <v>2.8</v>
      </c>
      <c r="S65" s="2" t="n">
        <v>53</v>
      </c>
      <c r="T65" s="1" t="n">
        <v>-0.05</v>
      </c>
      <c r="U65" s="2">
        <f>S65*(1-T65)</f>
        <v>55.650000000000006</v>
      </c>
      <c r="V65" t="n">
        <v>32</v>
      </c>
      <c r="W65" t="n">
        <v>0</v>
      </c>
      <c r="X65" s="3" t="n">
        <v>0</v>
      </c>
      <c r="Y65" s="1" t="n">
        <v>0.8</v>
      </c>
      <c r="Z65" s="3">
        <f>Y65*X65</f>
        <v>0</v>
      </c>
      <c r="AA65" s="3">
        <f>IF(I65&lt;&gt;"",X65/INDEX('energy battery'!$B$3:$D$6,MATCH('vehicles specifications'!$D65,'energy battery'!$A$3:$A$6,0),MATCH('vehicles specifications'!$I65,'energy battery'!$B$2:$D$2,0)),"")</f>
        <v/>
      </c>
      <c r="AB65" s="3">
        <f>IF(AA65&lt;&gt;"",0.3*AA65,"")</f>
        <v/>
      </c>
      <c r="AC65" s="3">
        <f>IF(AA65&lt;&gt;"",AB65+AA65,"")</f>
        <v/>
      </c>
      <c r="AD65" s="3" t="n">
        <v>0</v>
      </c>
      <c r="AE65" s="3" t="n">
        <v>7</v>
      </c>
      <c r="AF65">
        <f>AE65*'fuels and tailpipe emissions'!$B$3</f>
        <v>5.25</v>
      </c>
      <c r="AG65" s="2">
        <f>AF65*'fuels and tailpipe emissions'!$C$3</f>
        <v>62.125</v>
      </c>
      <c r="AH65" s="3">
        <f>0.15*AF65</f>
        <v>0.78749999999999998</v>
      </c>
      <c r="AI65" t="n">
        <v>0</v>
      </c>
      <c r="AJ65" t="n">
        <v>0</v>
      </c>
      <c r="AK65">
        <f>J65/25000</f>
        <v>1</v>
      </c>
      <c r="AL65">
        <f>0.000537/1000*Q65</f>
        <v>9.2733187500000004E-5</v>
      </c>
      <c r="AM65" t="n">
        <v>0.00129</v>
      </c>
      <c r="AN65" s="2">
        <f>U65</f>
        <v>55.650000000000006</v>
      </c>
      <c r="AO65" s="2">
        <f>SUM(V65:W65)</f>
        <v>32</v>
      </c>
      <c r="AP65" s="2">
        <f>AC65</f>
        <v/>
      </c>
      <c r="AQ65" s="6" t="n">
        <v>1.379636359558651</v>
      </c>
      <c r="AR65" s="20" t="n">
        <v>0</v>
      </c>
      <c r="AS65" s="6">
        <f>IF($H65="BEV",SUMPRODUCT(#REF!,#REF!),"")</f>
        <v/>
      </c>
      <c r="AT65" s="2">
        <f>SUM(Z65,AG65)/(SUM(AQ65,AS65)/3.6)</f>
        <v>162.107934058469</v>
      </c>
      <c r="AU65" s="5">
        <f>IF($H65="ICEV-p",$AQ65/('fuels and tailpipe emissions'!$C$3*3.6)*'fuels and tailpipe emissions'!$D$3,"")*(1-AR65)</f>
        <v>0.10169150631488645</v>
      </c>
      <c r="AV65" s="5">
        <f>IF($H65="ICEV-p",$AQ65/('fuels and tailpipe emissions'!$C$3*3.6)*'fuels and tailpipe emissions'!$D$3,"")*AR65</f>
        <v>0</v>
      </c>
      <c r="AW65" s="7">
        <f>IF($H65="ICEV-p",$AQ65/('fuels and tailpipe emissions'!$C$3*3.6)*'fuels and tailpipe emissions'!$E$3,"")</f>
        <v>5.1817328058540864E-7</v>
      </c>
      <c r="AX65" s="7">
        <f>SUMIFS('fuels and tailpipe emissions'!$C$10:$C$126,'fuels and tailpipe emissions'!$A$10:$A$126,'vehicles specifications'!$F65,'fuels and tailpipe emissions'!$B$10:$B$126,'vehicles specifications'!AX$2)/1000*$AQ65</f>
        <v>8.3884891813930333E-5</v>
      </c>
      <c r="AY65" s="7">
        <f>SUMIFS('fuels and tailpipe emissions'!$C$10:$C$126,'fuels and tailpipe emissions'!$A$10:$A$126,'vehicles specifications'!$F65,'fuels and tailpipe emissions'!$B$10:$B$126,'vehicles specifications'!AY$2)/1000*$AQ65</f>
        <v>3.8035897892412742E-5</v>
      </c>
      <c r="AZ65" s="7">
        <f>SUMIFS('fuels and tailpipe emissions'!$C$10:$C$126,'fuels and tailpipe emissions'!$A$10:$A$126,'vehicles specifications'!$F65,'fuels and tailpipe emissions'!$B$10:$B$126,'vehicles specifications'!AZ$2)/1000*$AQ65</f>
        <v>4.0219096360171094E-3</v>
      </c>
      <c r="BA65" s="7">
        <f>SUMIFS('fuels and tailpipe emissions'!$C$10:$C$126,'fuels and tailpipe emissions'!$A$10:$A$126,'vehicles specifications'!$F65,'fuels and tailpipe emissions'!$B$10:$B$126,'vehicles specifications'!BA$2)/1000*$AQ65</f>
        <v>1.9297766561345895E-6</v>
      </c>
      <c r="BB65" s="7">
        <f>SUMIFS('fuels and tailpipe emissions'!$C$10:$C$126,'fuels and tailpipe emissions'!$A$10:$A$126,'vehicles specifications'!$F65,'fuels and tailpipe emissions'!$B$10:$B$126,'vehicles specifications'!BB$2)/1000*$AQ65</f>
        <v>1.9297766561345895E-6</v>
      </c>
      <c r="BC65" s="7">
        <f>SUMIFS('fuels and tailpipe emissions'!$C$10:$C$126,'fuels and tailpipe emissions'!$A$10:$A$126,'vehicles specifications'!$F65,'fuels and tailpipe emissions'!$B$10:$B$126,'vehicles specifications'!BC$2)/1000*$AQ65</f>
        <v>1.4471531938501332E-4</v>
      </c>
      <c r="BD65" s="7">
        <f>SUMIFS('fuels and tailpipe emissions'!$C$10:$C$126,'fuels and tailpipe emissions'!$A$10:$A$126,'vehicles specifications'!$F65,'fuels and tailpipe emissions'!$B$10:$B$126,'vehicles specifications'!BD$2)/1000*$AQ65</f>
        <v>1.1082707336180945E-5</v>
      </c>
      <c r="BE65" s="7">
        <f>SUMIFS('fuels and tailpipe emissions'!$C$10:$C$126,'fuels and tailpipe emissions'!$A$10:$A$126,'vehicles specifications'!$F65,'fuels and tailpipe emissions'!$B$10:$B$126,'vehicles specifications'!BE$2)/1000*$AQ65</f>
        <v>6.764621222214276E-4</v>
      </c>
      <c r="BF65" s="7">
        <f>SUMIFS('fuels and tailpipe emissions'!$C$10:$C$126,'fuels and tailpipe emissions'!$A$10:$A$126,'vehicles specifications'!$F65,'fuels and tailpipe emissions'!$B$10:$B$126,'vehicles specifications'!BF$2)/1000*$AQ65</f>
        <v>4.7699252207921172E-5</v>
      </c>
      <c r="BG65" s="7">
        <f>SUMIFS('fuels and tailpipe emissions'!$C$10:$C$126,'fuels and tailpipe emissions'!$A$10:$A$126,'vehicles specifications'!$F65,'fuels and tailpipe emissions'!$B$10:$B$126,'vehicles specifications'!BG$2)/1000*$AQ65</f>
        <v>9.7192833652503956E-6</v>
      </c>
      <c r="BH65" s="7">
        <f>SUMIFS('fuels and tailpipe emissions'!$C$10:$C$126,'fuels and tailpipe emissions'!$A$10:$A$126,'vehicles specifications'!$F65,'fuels and tailpipe emissions'!$B$10:$B$126,'vehicles specifications'!BH$2)/1000*$AQ65</f>
        <v>7.8352376667557047E-5</v>
      </c>
      <c r="BI65" s="7">
        <f>SUMIFS('fuels and tailpipe emissions'!$C$10:$C$126,'fuels and tailpipe emissions'!$A$10:$A$126,'vehicles specifications'!$F65,'fuels and tailpipe emissions'!$B$10:$B$126,'vehicles specifications'!BI$2)/1000*$AQ65</f>
        <v>3.2148398823520539E-5</v>
      </c>
      <c r="BJ65" s="7">
        <f>SUMIFS('fuels and tailpipe emissions'!$C$10:$C$126,'fuels and tailpipe emissions'!$A$10:$A$126,'vehicles specifications'!$F65,'fuels and tailpipe emissions'!$B$10:$B$126,'vehicles specifications'!BJ$2)/1000*$AQ65</f>
        <v>2.4073917258543288E-5</v>
      </c>
      <c r="BK65" s="7">
        <f>SUMIFS('fuels and tailpipe emissions'!$C$10:$C$126,'fuels and tailpipe emissions'!$A$10:$A$126,'vehicles specifications'!$F65,'fuels and tailpipe emissions'!$B$10:$B$126,'vehicles specifications'!BK$2)/1000*$AQ65</f>
        <v>1.7046127748285311E-5</v>
      </c>
      <c r="BL65" s="7">
        <f>SUMIFS('fuels and tailpipe emissions'!$C$10:$C$126,'fuels and tailpipe emissions'!$A$10:$A$126,'vehicles specifications'!$F65,'fuels and tailpipe emissions'!$B$10:$B$126,'vehicles specifications'!BL$2)/1000*$AQ65</f>
        <v>1.1065030292746605E-5</v>
      </c>
      <c r="BM65" s="7">
        <f>SUMIFS('fuels and tailpipe emissions'!$C$10:$C$126,'fuels and tailpipe emissions'!$A$10:$A$126,'vehicles specifications'!$F65,'fuels and tailpipe emissions'!$B$10:$B$126,'vehicles specifications'!BM$2)/1000*$AQ65</f>
        <v>1.0915502856358137E-4</v>
      </c>
      <c r="BN65" s="7">
        <f>SUMIFS('fuels and tailpipe emissions'!$C$10:$C$126,'fuels and tailpipe emissions'!$A$10:$A$126,'vehicles specifications'!$F65,'fuels and tailpipe emissions'!$B$10:$B$126,'vehicles specifications'!BN$2)/1000*$AQ65</f>
        <v>5.711948070039463E-5</v>
      </c>
      <c r="BO65" s="7">
        <f>SUMIFS('fuels and tailpipe emissions'!$C$10:$C$126,'fuels and tailpipe emissions'!$A$10:$A$126,'vehicles specifications'!$F65,'fuels and tailpipe emissions'!$B$10:$B$126,'vehicles specifications'!BO$2)/1000*$AQ65</f>
        <v>1.6448018002731441E-6</v>
      </c>
      <c r="BP65" s="7">
        <f>SUMIFS('fuels and tailpipe emissions'!$C$10:$C$126,'fuels and tailpipe emissions'!$A$10:$A$126,'vehicles specifications'!$F65,'fuels and tailpipe emissions'!$B$10:$B$126,'vehicles specifications'!BP$2)/1000*$AQ65</f>
        <v>8.3884891813930333E-5</v>
      </c>
      <c r="BQ65" s="7">
        <f>SUMIFS('fuels and tailpipe emissions'!$C$10:$C$126,'fuels and tailpipe emissions'!$A$10:$A$126,'vehicles specifications'!$F65,'fuels and tailpipe emissions'!$B$10:$B$126,'vehicles specifications'!BQ$2)/1000*$AQ65</f>
        <v>1.6418112515453746E-4</v>
      </c>
      <c r="BR65" s="7">
        <f>SUMIFS('fuels and tailpipe emissions'!$C$10:$C$126,'fuels and tailpipe emissions'!$A$10:$A$126,'vehicles specifications'!$F65,'fuels and tailpipe emissions'!$B$10:$B$126,'vehicles specifications'!BR$2)/1000*$AQ65</f>
        <v>8.1193397958937932E-5</v>
      </c>
      <c r="BS65" s="7">
        <f>SUMIFS('fuels and tailpipe emissions'!$C$10:$C$126,'fuels and tailpipe emissions'!$A$10:$A$126,'vehicles specifications'!$F65,'fuels and tailpipe emissions'!$B$10:$B$126,'vehicles specifications'!BS$2)/1000*$AQ65</f>
        <v>3.3793200623793681E-5</v>
      </c>
      <c r="BT65" s="7">
        <f>SUMIFS('fuels and tailpipe emissions'!$C$10:$C$126,'fuels and tailpipe emissions'!$A$10:$A$126,'vehicles specifications'!$F65,'fuels and tailpipe emissions'!$B$10:$B$126,'vehicles specifications'!BT$2)/1000*$AQ65</f>
        <v>2.5419664186039499E-5</v>
      </c>
      <c r="BU65" s="7">
        <f>SUMIFS('fuels and tailpipe emissions'!$C$10:$C$126,'fuels and tailpipe emissions'!$A$10:$A$126,'vehicles specifications'!$F65,'fuels and tailpipe emissions'!$B$10:$B$126,'vehicles specifications'!BU$2)/1000*$AQ65</f>
        <v>1.1214557729135072E-5</v>
      </c>
      <c r="BV65" s="7">
        <f>SUMIFS('fuels and tailpipe emissions'!$C$10:$C$126,'fuels and tailpipe emissions'!$A$10:$A$126,'vehicles specifications'!$F65,'fuels and tailpipe emissions'!$B$10:$B$126,'vehicles specifications'!BV$2)/1000*$AQ65</f>
        <v>3.2896036005462881E-6</v>
      </c>
      <c r="BW65" s="7">
        <f>SUMIFS('fuels and tailpipe emissions'!$C$10:$C$126,'fuels and tailpipe emissions'!$A$10:$A$126,'vehicles specifications'!$F65,'fuels and tailpipe emissions'!$B$10:$B$126,'vehicles specifications'!BW$2)/1000*$AQ65</f>
        <v>9.1211736196965272E-6</v>
      </c>
      <c r="BX65" s="7">
        <f>SUMIFS('fuels and tailpipe emissions'!$C$10:$C$126,'fuels and tailpipe emissions'!$A$10:$A$126,'vehicles specifications'!$F65,'fuels and tailpipe emissions'!$B$10:$B$126,'vehicles specifications'!BX$2)/1000*$AQ65</f>
        <v>0</v>
      </c>
      <c r="BY65" s="7">
        <f>SUMIFS('fuels and tailpipe emissions'!$C$10:$C$126,'fuels and tailpipe emissions'!$A$10:$A$126,'vehicles specifications'!$F65,'fuels and tailpipe emissions'!$B$10:$B$126,'vehicles specifications'!BY$2)/1000*$AQ65</f>
        <v>2.8410212913808851E-6</v>
      </c>
      <c r="BZ65" s="7">
        <f>SUMIFS('fuels and tailpipe emissions'!$C$10:$C$126,'fuels and tailpipe emissions'!$A$10:$A$126,'vehicles specifications'!$F65,'fuels and tailpipe emissions'!$B$10:$B$126,'vehicles specifications'!BZ$2)/1000*$AQ65</f>
        <v>1.5102271075235228E-5</v>
      </c>
      <c r="CA65" s="7">
        <f>SUMIFS('fuels and tailpipe emissions'!$C$10:$C$126,'fuels and tailpipe emissions'!$A$10:$A$126,'vehicles specifications'!$F65,'fuels and tailpipe emissions'!$B$10:$B$126,'vehicles specifications'!CA$2)/1000*$AQ65</f>
        <v>1.1296787132386129E-9</v>
      </c>
      <c r="CB65" s="7">
        <f>SUMIFS('fuels and tailpipe emissions'!$C$10:$C$126,'fuels and tailpipe emissions'!$A$10:$A$126,'vehicles specifications'!$F65,'fuels and tailpipe emissions'!$B$10:$B$126,'vehicles specifications'!CB$2)/1000*$AQ65</f>
        <v>9.7386095968845943E-12</v>
      </c>
      <c r="CC65" s="7">
        <f>SUMIFS('fuels and tailpipe emissions'!$C$10:$C$126,'fuels and tailpipe emissions'!$A$10:$A$126,'vehicles specifications'!$F65,'fuels and tailpipe emissions'!$B$10:$B$126,'vehicles specifications'!CC$2)/1000*$AQ65</f>
        <v>6.4924063979230623E-12</v>
      </c>
      <c r="CD65" s="7">
        <f>SUMIFS('fuels and tailpipe emissions'!$C$10:$C$126,'fuels and tailpipe emissions'!$A$10:$A$126,'vehicles specifications'!$F65,'fuels and tailpipe emissions'!$B$10:$B$126,'vehicles specifications'!CD$2)/1000*$AQ65</f>
        <v>7.0117989097569083E-8</v>
      </c>
      <c r="CE65" s="7">
        <f>SUMIFS('fuels and tailpipe emissions'!$C$10:$C$126,'fuels and tailpipe emissions'!$A$10:$A$126,'vehicles specifications'!$F65,'fuels and tailpipe emissions'!$B$10:$B$126,'vehicles specifications'!CE$2)/1000*$AQ65</f>
        <v>1.363405343563843E-9</v>
      </c>
      <c r="CF65" s="7">
        <f>SUMIFS('fuels and tailpipe emissions'!$C$10:$C$126,'fuels and tailpipe emissions'!$A$10:$A$126,'vehicles specifications'!$F65,'fuels and tailpipe emissions'!$B$10:$B$126,'vehicles specifications'!CF$2)/1000*$AQ65</f>
        <v>4.2200641586499908E-10</v>
      </c>
      <c r="CG65" s="7">
        <f>SUMIFS('fuels and tailpipe emissions'!$C$10:$C$126,'fuels and tailpipe emissions'!$A$10:$A$126,'vehicles specifications'!$F65,'fuels and tailpipe emissions'!$B$10:$B$126,'vehicles specifications'!CG$2)/1000*$AQ65</f>
        <v>5.1939251183384506E-10</v>
      </c>
      <c r="CH65" s="7">
        <f>SUMIFS('fuels and tailpipe emissions'!$C$10:$C$126,'fuels and tailpipe emissions'!$A$10:$A$126,'vehicles specifications'!$F65,'fuels and tailpipe emissions'!$B$10:$B$126,'vehicles specifications'!CH$2)/1000*$AQ65</f>
        <v>1.0387850236676899E-12</v>
      </c>
      <c r="CI65" s="7">
        <f>SUMIFS('fuels and tailpipe emissions'!$C$10:$C$126,'fuels and tailpipe emissions'!$A$10:$A$126,'vehicles specifications'!$F65,'fuels and tailpipe emissions'!$B$10:$B$126,'vehicles specifications'!CI$2)/1000*$AQ65</f>
        <v>2.8241967830965323E-10</v>
      </c>
      <c r="CJ65" s="7">
        <f>SUMIFS('fuels and tailpipe emissions'!$C$10:$C$126,'fuels and tailpipe emissions'!$A$10:$A$126,'vehicles specifications'!$F65,'fuels and tailpipe emissions'!$B$10:$B$126,'vehicles specifications'!CJ$2)/1000*$AQ65</f>
        <v>3.5058994548784547E-10</v>
      </c>
      <c r="CK65" s="38">
        <f>VLOOKUP($B65,'abrasion emissions'!$O$7:$R$36,2,FALSE)</f>
        <v>0.5</v>
      </c>
      <c r="CL65" s="38">
        <f>VLOOKUP($B65,'abrasion emissions'!$O$7:$R$36,3,FALSE)</f>
        <v>0.5</v>
      </c>
      <c r="CM65" s="38">
        <f>VLOOKUP($B65,'abrasion emissions'!$O$7:$R$36,4,FALSE)</f>
        <v>0</v>
      </c>
      <c r="CN65" s="7">
        <f>((SUMIFS('abrasion emissions'!$M$7:$M$34,'abrasion emissions'!$I$7:$I$34,"PM 2.5",'abrasion emissions'!$J$7:$J$34,"urban",'abrasion emissions'!$K$7:$K$34,"Tyre",'abrasion emissions'!$L$7:$L$34,"b")*POWER(('vehicles specifications'!$Q65/1000),(1/SUMIFS('abrasion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specifications'!$P65/1000),(1/SUMIFS('abrasion emissions'!$M$7:$M$34,'abrasion emissions'!$I$7:$I$34,"PM 10",'abrasion emissions'!$J$7:$J$34,"urban",'abrasion emissions'!$K$7:$K$34,"Tyre",'abrasion emissions'!$L$7:$L$34,"c")))))/1000000</f>
        <v>5.8928273788161304E-6</v>
      </c>
      <c r="CO65" s="7">
        <f>((SUMIFS('abrasion emissions'!$M$7:$M$34,'abrasion emissions'!$I$7:$I$34,"PM 2.5",'abrasion emissions'!$J$7:$J$34,"rural",'abrasion emissions'!$K$7:$K$34,"Tyre",'abrasion emissions'!$L$7:$L$34,"b")*POWER(('vehicles specifications'!$Q65/1000),(1/SUMIFS('abrasion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specifications'!$P65/1000),(1/SUMIFS('abrasion emissions'!$M$7:$M$34,'abrasion emissions'!$I$7:$I$34,"PM 10",'abrasion emissions'!$J$7:$J$34,"rural",'abrasion emissions'!$K$7:$K$34,"Tyre",'abrasion emissions'!$L$7:$L$34,"c")))))/1000000</f>
        <v>4.5896966316758387E-6</v>
      </c>
      <c r="CP65" s="7">
        <f>((SUMIFS('abrasion emissions'!$M$7:$M$34,'abrasion emissions'!$I$7:$I$34,"PM 2.5",'abrasion emissions'!$J$7:$J$34,"motorway",'abrasion emissions'!$K$7:$K$34,"Tyre",'abrasion emissions'!$L$7:$L$34,"b")*POWER(('vehicles specifications'!$Q65/1000),(1/SUMIFS('abrasion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specifications'!$P65/1000),(1/SUMIFS('abrasion emissions'!$M$7:$M$34,'abrasion emissions'!$I$7:$I$34,"PM 10",'abrasion emissions'!$J$7:$J$34,"motorway",'abrasion emissions'!$K$7:$K$34,"Tyre",'abrasion emissions'!$L$7:$L$34,"c")))))/1000000</f>
        <v>3.9202715206781104E-6</v>
      </c>
      <c r="CQ65" s="7">
        <f>((SUMIFS('abrasion emissions'!$M$7:$M$34,'abrasion emissions'!$I$7:$I$34,"PM 2.5",'abrasion emissions'!$J$7:$J$34,"urban",'abrasion emissions'!$K$7:$K$34,"Brake",'abrasion emissions'!$L$7:$L$34,"b")*POWER(('vehicles specifications'!$Q65/1000),(1/SUMIFS('abrasion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specifications'!$P65/1000),(1/SUMIFS('abrasion emissions'!$M$7:$M$34,'abrasion emissions'!$I$7:$I$34,"PM 10",'abrasion emissions'!$J$7:$J$34,"urban",'abrasion emissions'!$K$7:$K$34,"Brake",'abrasion emissions'!$L$7:$L$34,"c")))))/1000000</f>
        <v>5.5725611794866506E-6</v>
      </c>
      <c r="CR65" s="7">
        <f>((SUMIFS('abrasion emissions'!$M$7:$M$34,'abrasion emissions'!$I$7:$I$34,"PM 2.5",'abrasion emissions'!$J$7:$J$34,"rural",'abrasion emissions'!$K$7:$K$34,"Brake",'abrasion emissions'!$L$7:$L$34,"b")*POWER(('vehicles specifications'!$Q65/1000),(1/SUMIFS('abrasion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specifications'!$P65/1000),(1/SUMIFS('abrasion emissions'!$M$7:$M$34,'abrasion emissions'!$I$7:$I$34,"PM 10",'abrasion emissions'!$J$7:$J$34,"rural",'abrasion emissions'!$K$7:$K$34,"Brake",'abrasion emissions'!$L$7:$L$34,"c")))))/1000000</f>
        <v>1.7667693794056521E-6</v>
      </c>
      <c r="CS65" s="7">
        <f>((SUMIFS('abrasion emissions'!$M$7:$M$34,'abrasion emissions'!$I$7:$I$34,"PM 2.5",'abrasion emissions'!$J$7:$J$34,"motorway",'abrasion emissions'!$K$7:$K$34,"Brake",'abrasion emissions'!$L$7:$L$34,"b")*POWER(('vehicles specifications'!$Q65/1000),(1/SUMIFS('abrasion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specifications'!$P65/1000),(1/SUMIFS('abrasion emissions'!$M$7:$M$34,'abrasion emissions'!$I$7:$I$34,"PM 10",'abrasion emissions'!$J$7:$J$34,"motorway",'abrasion emissions'!$K$7:$K$34,"Brake",'abrasion emissions'!$L$7:$L$34,"c")))))/1000000</f>
        <v>3.2370789050239711E-7</v>
      </c>
      <c r="CT65" s="7">
        <f>((SUMIFS('abrasion emissions'!$M$7:$M$38,'abrasion emissions'!$I$7:$I$38,"PM 2.5",'abrasion emissions'!$K$7:$K$38,"Re-susp.",'abrasion emissions'!$L$7:$L$38,"b")*POWER(('vehicles specifications'!$Q65/1000),(1/SUMIFS('abrasion emissions'!$M$7:$M$38,'abrasion emissions'!$I$7:$I$38,"PM 2.5",'abrasion emissions'!$K$7:$K$38,"Re-susp.",'abrasion emissions'!$L$7:$L$38,"c"))))+
(SUMIFS('abrasion emissions'!$M$7:$M$38,'abrasion emissions'!$I$7:$I$38,"PM 10",'abrasion emissions'!$K$7:$K$38,"Re-susp.",'abrasion emissions'!$L$7:$L$38,"b")*POWER(('vehicles specifications'!$Q65/1000),(1/SUMIFS('abrasion emissions'!$M$7:$M$38,'abrasion emissions'!$I$7:$I$38,"PM 10",'abrasion emissions'!$K$7:$K$38,"Re-susp.",'abrasion emissions'!$L$7:$L$38,"c")))))/1000000</f>
        <v>3.3223445385729834E-6</v>
      </c>
      <c r="CU65" s="7">
        <f>((SUMIFS('abrasion emissions'!$M$7:$M$38,'abrasion emissions'!$I$7:$I$38,"PM 2.5",'abrasion emissions'!$K$7:$K$38,"Road",'abrasion emissions'!$L$7:$L$38,"b")*POWER(('vehicles specifications'!$Q65/1000),(1/SUMIFS('abrasion emissions'!$M$7:$M$38,'abrasion emissions'!$I$7:$I$38,"PM 2.5",'abrasion emissions'!$K$7:$K$38,"Road",'abrasion emissions'!$L$7:$L$38,"c"))))+
(SUMIFS('abrasion emissions'!$M$7:$M$38,'abrasion emissions'!$I$7:$I$38,"PM 10",'abrasion emissions'!$K$7:$K$38,"Road",'abrasion emissions'!$L$7:$L$38,"b")*POWER(('vehicles specifications'!$Q65/1000),(1/SUMIFS('abrasion emissions'!$M$7:$M$38,'abrasion emissions'!$I$7:$I$38,"PM 10",'abrasion emissions'!$K$7:$K$38,"Road",'abrasion emissions'!$L$7:$L$38,"c")))))/1000000+CT65</f>
        <v>6.4854046101046892E-6</v>
      </c>
      <c r="CV65" s="7">
        <f>(CK65*CN65)+(CL65*CO65)+(CM65*CP65)</f>
        <v>5.2412620052459845E-6</v>
      </c>
      <c r="CW65" s="7">
        <f>(CK65*CQ65)+(CL65*CR65)+(CM65*CS65)</f>
        <v>3.6696652794461515E-6</v>
      </c>
    </row>
    <row r="66">
      <c r="A66" t="str">
        <f>B66&amp;" - "&amp;D66&amp;" - "&amp;IF(I66&lt;&gt;"",I66&amp;" - "&amp;E66,E66)</f>
        <v>Scooter, gasoline, &lt;4kW, EURO-4 - 2016 - CH</v>
      </c>
      <c r="B66" t="inlineStr">
        <is>
          <t>Scooter, gasoline, &lt;4kW, EURO-4</t>
        </is>
      </c>
      <c r="D66" s="18" t="n">
        <v>2016</v>
      </c>
      <c r="E66" t="inlineStr">
        <is>
          <t>CH</t>
        </is>
      </c>
      <c r="F66" t="inlineStr">
        <is>
          <t>EURO-4</t>
        </is>
      </c>
      <c r="G66" t="inlineStr">
        <is>
          <t>vkm</t>
        </is>
      </c>
      <c r="H66" t="inlineStr">
        <is>
          <t>ICEV-p</t>
        </is>
      </c>
      <c r="J66" t="n">
        <v>25000</v>
      </c>
      <c r="K66" t="n">
        <v>1570</v>
      </c>
      <c r="L66" s="2">
        <f>J66/K66</f>
        <v>15.923566878980891</v>
      </c>
      <c r="M66" t="n">
        <v>1</v>
      </c>
      <c r="N66" t="n">
        <v>75</v>
      </c>
      <c r="O66" t="n">
        <v>4</v>
      </c>
      <c r="P66" s="2">
        <f>SUM(U66,V66,W66,AC66,AF66,AH66)</f>
        <v>92.097499999999997</v>
      </c>
      <c r="Q66" s="2">
        <f>P66+(M66*N66)+O66</f>
        <v>171.0975</v>
      </c>
      <c r="R66" t="n">
        <v>2.8</v>
      </c>
      <c r="S66" s="2" t="n">
        <v>53</v>
      </c>
      <c r="T66" s="1" t="n">
        <v>-0.02</v>
      </c>
      <c r="U66" s="2">
        <f>S66*(1-T66)</f>
        <v>54.06</v>
      </c>
      <c r="V66" t="n">
        <v>32</v>
      </c>
      <c r="W66" t="n">
        <v>0</v>
      </c>
      <c r="X66" s="3" t="n">
        <v>0</v>
      </c>
      <c r="Y66" s="1" t="n">
        <v>0.8</v>
      </c>
      <c r="Z66" s="3">
        <f>Y66*X66</f>
        <v>0</v>
      </c>
      <c r="AA66" s="3">
        <f>IF(I66&lt;&gt;"",X66/INDEX('energy battery'!$B$3:$D$6,MATCH('vehicles specifications'!$D66,'energy battery'!$A$3:$A$6,0),MATCH('vehicles specifications'!$I66,'energy battery'!$B$2:$D$2,0)),"")</f>
        <v/>
      </c>
      <c r="AB66" s="3">
        <f>IF(AA66&lt;&gt;"",0.3*AA66,"")</f>
        <v/>
      </c>
      <c r="AC66" s="3">
        <f>IF(AA66&lt;&gt;"",AB66+AA66,"")</f>
        <v/>
      </c>
      <c r="AD66" s="3" t="n">
        <v>0</v>
      </c>
      <c r="AE66" s="3" t="n">
        <v>7</v>
      </c>
      <c r="AF66">
        <f>AE66*'fuels and tailpipe emissions'!$B$3</f>
        <v>5.25</v>
      </c>
      <c r="AG66" s="2">
        <f>AF66*'fuels and tailpipe emissions'!$C$3</f>
        <v>62.125</v>
      </c>
      <c r="AH66" s="3">
        <f>0.15*AF66</f>
        <v>0.78749999999999998</v>
      </c>
      <c r="AI66" t="n">
        <v>0</v>
      </c>
      <c r="AJ66" t="n">
        <v>0</v>
      </c>
      <c r="AK66">
        <f>J66/25000</f>
        <v>1</v>
      </c>
      <c r="AL66">
        <f>0.000537/1000*Q66</f>
        <v>9.18793575E-5</v>
      </c>
      <c r="AM66" t="n">
        <v>0.00129</v>
      </c>
      <c r="AN66" s="2">
        <f>U66</f>
        <v>54.06</v>
      </c>
      <c r="AO66" s="2">
        <f>SUM(V66:W66)</f>
        <v>32</v>
      </c>
      <c r="AP66" s="2">
        <f>AC66</f>
        <v/>
      </c>
      <c r="AQ66" s="6" t="n">
        <v>1.301543735432689</v>
      </c>
      <c r="AR66" s="20" t="n">
        <v>0</v>
      </c>
      <c r="AS66" s="6">
        <f>IF($H66="BEV",SUMPRODUCT(#REF!,#REF!),"")</f>
        <v/>
      </c>
      <c r="AT66" s="2">
        <f>SUM(Z66,AG66)/(SUM(AQ66,AS66)/3.6)</f>
        <v>171.83441010197717</v>
      </c>
      <c r="AU66" s="5">
        <f>IF($H66="ICEV-p",$AQ66/('fuels and tailpipe emissions'!$C$3*3.6)*'fuels and tailpipe emissions'!$D$3,"")*(1-AR66)</f>
        <v>9.5935383315930614E-2</v>
      </c>
      <c r="AV66" s="5">
        <f>IF($H66="ICEV-p",$AQ66/('fuels and tailpipe emissions'!$C$3*3.6)*'fuels and tailpipe emissions'!$D$3,"")*AR66</f>
        <v>0</v>
      </c>
      <c r="AW66" s="7">
        <f>IF($H66="ICEV-p",$AQ66/('fuels and tailpipe emissions'!$C$3*3.6)*'fuels and tailpipe emissions'!$E$3,"")</f>
        <v>4.8884271753340442E-7</v>
      </c>
      <c r="AX66" s="7">
        <f>SUMIFS('fuels and tailpipe emissions'!$C$10:$C$126,'fuels and tailpipe emissions'!$A$10:$A$126,'vehicles specifications'!$F66,'fuels and tailpipe emissions'!$B$10:$B$126,'vehicles specifications'!AX$2)/1000*$AQ66</f>
        <v>7.9136690390500312E-5</v>
      </c>
      <c r="AY66" s="7">
        <f>SUMIFS('fuels and tailpipe emissions'!$C$10:$C$126,'fuels and tailpipe emissions'!$A$10:$A$126,'vehicles specifications'!$F66,'fuels and tailpipe emissions'!$B$10:$B$126,'vehicles specifications'!AY$2)/1000*$AQ66</f>
        <v>3.588292254001202E-5</v>
      </c>
      <c r="AZ66" s="7">
        <f>SUMIFS('fuels and tailpipe emissions'!$C$10:$C$126,'fuels and tailpipe emissions'!$A$10:$A$126,'vehicles specifications'!$F66,'fuels and tailpipe emissions'!$B$10:$B$126,'vehicles specifications'!AZ$2)/1000*$AQ66</f>
        <v>3.7942543736010467E-3</v>
      </c>
      <c r="BA66" s="7">
        <f>SUMIFS('fuels and tailpipe emissions'!$C$10:$C$126,'fuels and tailpipe emissions'!$A$10:$A$126,'vehicles specifications'!$F66,'fuels and tailpipe emissions'!$B$10:$B$126,'vehicles specifications'!BA$2)/1000*$AQ66</f>
        <v>1.8205440152213105E-6</v>
      </c>
      <c r="BB66" s="7">
        <f>SUMIFS('fuels and tailpipe emissions'!$C$10:$C$126,'fuels and tailpipe emissions'!$A$10:$A$126,'vehicles specifications'!$F66,'fuels and tailpipe emissions'!$B$10:$B$126,'vehicles specifications'!BB$2)/1000*$AQ66</f>
        <v>1.8205440152213105E-6</v>
      </c>
      <c r="BC66" s="7">
        <f>SUMIFS('fuels and tailpipe emissions'!$C$10:$C$126,'fuels and tailpipe emissions'!$A$10:$A$126,'vehicles specifications'!$F66,'fuels and tailpipe emissions'!$B$10:$B$126,'vehicles specifications'!BC$2)/1000*$AQ66</f>
        <v>1.3652388621227673E-4</v>
      </c>
      <c r="BD66" s="7">
        <f>SUMIFS('fuels and tailpipe emissions'!$C$10:$C$126,'fuels and tailpipe emissions'!$A$10:$A$126,'vehicles specifications'!$F66,'fuels and tailpipe emissions'!$B$10:$B$126,'vehicles specifications'!BD$2)/1000*$AQ66</f>
        <v>1.0455384279415984E-5</v>
      </c>
      <c r="BE66" s="7">
        <f>SUMIFS('fuels and tailpipe emissions'!$C$10:$C$126,'fuels and tailpipe emissions'!$A$10:$A$126,'vehicles specifications'!$F66,'fuels and tailpipe emissions'!$B$10:$B$126,'vehicles specifications'!BE$2)/1000*$AQ66</f>
        <v>6.3817181341644107E-4</v>
      </c>
      <c r="BF66" s="7">
        <f>SUMIFS('fuels and tailpipe emissions'!$C$10:$C$126,'fuels and tailpipe emissions'!$A$10:$A$126,'vehicles specifications'!$F66,'fuels and tailpipe emissions'!$B$10:$B$126,'vehicles specifications'!BF$2)/1000*$AQ66</f>
        <v>4.499929453577469E-5</v>
      </c>
      <c r="BG66" s="7">
        <f>SUMIFS('fuels and tailpipe emissions'!$C$10:$C$126,'fuels and tailpipe emissions'!$A$10:$A$126,'vehicles specifications'!$F66,'fuels and tailpipe emissions'!$B$10:$B$126,'vehicles specifications'!BG$2)/1000*$AQ66</f>
        <v>9.169135250236222E-6</v>
      </c>
      <c r="BH66" s="7">
        <f>SUMIFS('fuels and tailpipe emissions'!$C$10:$C$126,'fuels and tailpipe emissions'!$A$10:$A$126,'vehicles specifications'!$F66,'fuels and tailpipe emissions'!$B$10:$B$126,'vehicles specifications'!BH$2)/1000*$AQ66</f>
        <v>7.3917336478827389E-5</v>
      </c>
      <c r="BI66" s="7">
        <f>SUMIFS('fuels and tailpipe emissions'!$C$10:$C$126,'fuels and tailpipe emissions'!$A$10:$A$126,'vehicles specifications'!$F66,'fuels and tailpipe emissions'!$B$10:$B$126,'vehicles specifications'!BI$2)/1000*$AQ66</f>
        <v>3.0328678135396732E-5</v>
      </c>
      <c r="BJ66" s="7">
        <f>SUMIFS('fuels and tailpipe emissions'!$C$10:$C$126,'fuels and tailpipe emissions'!$A$10:$A$126,'vehicles specifications'!$F66,'fuels and tailpipe emissions'!$B$10:$B$126,'vehicles specifications'!BJ$2)/1000*$AQ66</f>
        <v>2.2711242696738953E-5</v>
      </c>
      <c r="BK66" s="7">
        <f>SUMIFS('fuels and tailpipe emissions'!$C$10:$C$126,'fuels and tailpipe emissions'!$A$10:$A$126,'vehicles specifications'!$F66,'fuels and tailpipe emissions'!$B$10:$B$126,'vehicles specifications'!BK$2)/1000*$AQ66</f>
        <v>1.6081252592721991E-5</v>
      </c>
      <c r="BL66" s="7">
        <f>SUMIFS('fuels and tailpipe emissions'!$C$10:$C$126,'fuels and tailpipe emissions'!$A$10:$A$126,'vehicles specifications'!$F66,'fuels and tailpipe emissions'!$B$10:$B$126,'vehicles specifications'!BL$2)/1000*$AQ66</f>
        <v>1.0438707823345854E-5</v>
      </c>
      <c r="BM66" s="7">
        <f>SUMIFS('fuels and tailpipe emissions'!$C$10:$C$126,'fuels and tailpipe emissions'!$A$10:$A$126,'vehicles specifications'!$F66,'fuels and tailpipe emissions'!$B$10:$B$126,'vehicles specifications'!BM$2)/1000*$AQ66</f>
        <v>1.029764420411145E-4</v>
      </c>
      <c r="BN66" s="7">
        <f>SUMIFS('fuels and tailpipe emissions'!$C$10:$C$126,'fuels and tailpipe emissions'!$A$10:$A$126,'vehicles specifications'!$F66,'fuels and tailpipe emissions'!$B$10:$B$126,'vehicles specifications'!BN$2)/1000*$AQ66</f>
        <v>5.3886302547542099E-5</v>
      </c>
      <c r="BO66" s="7">
        <f>SUMIFS('fuels and tailpipe emissions'!$C$10:$C$126,'fuels and tailpipe emissions'!$A$10:$A$126,'vehicles specifications'!$F66,'fuels and tailpipe emissions'!$B$10:$B$126,'vehicles specifications'!BO$2)/1000*$AQ66</f>
        <v>1.5516998115784377E-6</v>
      </c>
      <c r="BP66" s="7">
        <f>SUMIFS('fuels and tailpipe emissions'!$C$10:$C$126,'fuels and tailpipe emissions'!$A$10:$A$126,'vehicles specifications'!$F66,'fuels and tailpipe emissions'!$B$10:$B$126,'vehicles specifications'!BP$2)/1000*$AQ66</f>
        <v>7.9136690390500312E-5</v>
      </c>
      <c r="BQ66" s="7">
        <f>SUMIFS('fuels and tailpipe emissions'!$C$10:$C$126,'fuels and tailpipe emissions'!$A$10:$A$126,'vehicles specifications'!$F66,'fuels and tailpipe emissions'!$B$10:$B$126,'vehicles specifications'!BQ$2)/1000*$AQ66</f>
        <v>1.5488785391937494E-4</v>
      </c>
      <c r="BR66" s="7">
        <f>SUMIFS('fuels and tailpipe emissions'!$C$10:$C$126,'fuels and tailpipe emissions'!$A$10:$A$126,'vehicles specifications'!$F66,'fuels and tailpipe emissions'!$B$10:$B$126,'vehicles specifications'!BR$2)/1000*$AQ66</f>
        <v>7.6597545244281066E-5</v>
      </c>
      <c r="BS66" s="7">
        <f>SUMIFS('fuels and tailpipe emissions'!$C$10:$C$126,'fuels and tailpipe emissions'!$A$10:$A$126,'vehicles specifications'!$F66,'fuels and tailpipe emissions'!$B$10:$B$126,'vehicles specifications'!BS$2)/1000*$AQ66</f>
        <v>3.1880377946975169E-5</v>
      </c>
      <c r="BT66" s="7">
        <f>SUMIFS('fuels and tailpipe emissions'!$C$10:$C$126,'fuels and tailpipe emissions'!$A$10:$A$126,'vehicles specifications'!$F66,'fuels and tailpipe emissions'!$B$10:$B$126,'vehicles specifications'!BT$2)/1000*$AQ66</f>
        <v>2.3980815269848583E-5</v>
      </c>
      <c r="BU66" s="7">
        <f>SUMIFS('fuels and tailpipe emissions'!$C$10:$C$126,'fuels and tailpipe emissions'!$A$10:$A$126,'vehicles specifications'!$F66,'fuels and tailpipe emissions'!$B$10:$B$126,'vehicles specifications'!BU$2)/1000*$AQ66</f>
        <v>1.0579771442580255E-5</v>
      </c>
      <c r="BV66" s="7">
        <f>SUMIFS('fuels and tailpipe emissions'!$C$10:$C$126,'fuels and tailpipe emissions'!$A$10:$A$126,'vehicles specifications'!$F66,'fuels and tailpipe emissions'!$B$10:$B$126,'vehicles specifications'!BV$2)/1000*$AQ66</f>
        <v>3.1033996231568754E-6</v>
      </c>
      <c r="BW66" s="7">
        <f>SUMIFS('fuels and tailpipe emissions'!$C$10:$C$126,'fuels and tailpipe emissions'!$A$10:$A$126,'vehicles specifications'!$F66,'fuels and tailpipe emissions'!$B$10:$B$126,'vehicles specifications'!BW$2)/1000*$AQ66</f>
        <v>8.6048807732986105E-6</v>
      </c>
      <c r="BX66" s="7">
        <f>SUMIFS('fuels and tailpipe emissions'!$C$10:$C$126,'fuels and tailpipe emissions'!$A$10:$A$126,'vehicles specifications'!$F66,'fuels and tailpipe emissions'!$B$10:$B$126,'vehicles specifications'!BX$2)/1000*$AQ66</f>
        <v>0</v>
      </c>
      <c r="BY66" s="7">
        <f>SUMIFS('fuels and tailpipe emissions'!$C$10:$C$126,'fuels and tailpipe emissions'!$A$10:$A$126,'vehicles specifications'!$F66,'fuels and tailpipe emissions'!$B$10:$B$126,'vehicles specifications'!BY$2)/1000*$AQ66</f>
        <v>2.680208765453665E-6</v>
      </c>
      <c r="BZ66" s="7">
        <f>SUMIFS('fuels and tailpipe emissions'!$C$10:$C$126,'fuels and tailpipe emissions'!$A$10:$A$126,'vehicles specifications'!$F66,'fuels and tailpipe emissions'!$B$10:$B$126,'vehicles specifications'!BZ$2)/1000*$AQ66</f>
        <v>1.4247425542674743E-5</v>
      </c>
      <c r="CA66" s="7">
        <f>SUMIFS('fuels and tailpipe emissions'!$C$10:$C$126,'fuels and tailpipe emissions'!$A$10:$A$126,'vehicles specifications'!$F66,'fuels and tailpipe emissions'!$B$10:$B$126,'vehicles specifications'!CA$2)/1000*$AQ66</f>
        <v>1.0657346351307668E-9</v>
      </c>
      <c r="CB66" s="7">
        <f>SUMIFS('fuels and tailpipe emissions'!$C$10:$C$126,'fuels and tailpipe emissions'!$A$10:$A$126,'vehicles specifications'!$F66,'fuels and tailpipe emissions'!$B$10:$B$126,'vehicles specifications'!CB$2)/1000*$AQ66</f>
        <v>9.1873675442307481E-12</v>
      </c>
      <c r="CC66" s="7">
        <f>SUMIFS('fuels and tailpipe emissions'!$C$10:$C$126,'fuels and tailpipe emissions'!$A$10:$A$126,'vehicles specifications'!$F66,'fuels and tailpipe emissions'!$B$10:$B$126,'vehicles specifications'!CC$2)/1000*$AQ66</f>
        <v>6.1249116961538321E-12</v>
      </c>
      <c r="CD66" s="7">
        <f>SUMIFS('fuels and tailpipe emissions'!$C$10:$C$126,'fuels and tailpipe emissions'!$A$10:$A$126,'vehicles specifications'!$F66,'fuels and tailpipe emissions'!$B$10:$B$126,'vehicles specifications'!CD$2)/1000*$AQ66</f>
        <v>6.6149046318461386E-8</v>
      </c>
      <c r="CE66" s="7">
        <f>SUMIFS('fuels and tailpipe emissions'!$C$10:$C$126,'fuels and tailpipe emissions'!$A$10:$A$126,'vehicles specifications'!$F66,'fuels and tailpipe emissions'!$B$10:$B$126,'vehicles specifications'!CE$2)/1000*$AQ66</f>
        <v>1.2862314561923045E-9</v>
      </c>
      <c r="CF66" s="7">
        <f>SUMIFS('fuels and tailpipe emissions'!$C$10:$C$126,'fuels and tailpipe emissions'!$A$10:$A$126,'vehicles specifications'!$F66,'fuels and tailpipe emissions'!$B$10:$B$126,'vehicles specifications'!CF$2)/1000*$AQ66</f>
        <v>3.9811926024999908E-10</v>
      </c>
      <c r="CG66" s="7">
        <f>SUMIFS('fuels and tailpipe emissions'!$C$10:$C$126,'fuels and tailpipe emissions'!$A$10:$A$126,'vehicles specifications'!$F66,'fuels and tailpipe emissions'!$B$10:$B$126,'vehicles specifications'!CG$2)/1000*$AQ66</f>
        <v>4.8999293569230657E-10</v>
      </c>
      <c r="CH66" s="7">
        <f>SUMIFS('fuels and tailpipe emissions'!$C$10:$C$126,'fuels and tailpipe emissions'!$A$10:$A$126,'vehicles specifications'!$F66,'fuels and tailpipe emissions'!$B$10:$B$126,'vehicles specifications'!CH$2)/1000*$AQ66</f>
        <v>9.7998587138461305E-13</v>
      </c>
      <c r="CI66" s="7">
        <f>SUMIFS('fuels and tailpipe emissions'!$C$10:$C$126,'fuels and tailpipe emissions'!$A$10:$A$126,'vehicles specifications'!$F66,'fuels and tailpipe emissions'!$B$10:$B$126,'vehicles specifications'!CI$2)/1000*$AQ66</f>
        <v>2.6643365878269169E-10</v>
      </c>
      <c r="CJ66" s="7">
        <f>SUMIFS('fuels and tailpipe emissions'!$C$10:$C$126,'fuels and tailpipe emissions'!$A$10:$A$126,'vehicles specifications'!$F66,'fuels and tailpipe emissions'!$B$10:$B$126,'vehicles specifications'!CJ$2)/1000*$AQ66</f>
        <v>3.3074523159230703E-10</v>
      </c>
      <c r="CK66" s="38">
        <f>VLOOKUP($B66,'abrasion emissions'!$O$7:$R$36,2,FALSE)</f>
        <v>0.5</v>
      </c>
      <c r="CL66" s="38">
        <f>VLOOKUP($B66,'abrasion emissions'!$O$7:$R$36,3,FALSE)</f>
        <v>0.5</v>
      </c>
      <c r="CM66" s="38">
        <f>VLOOKUP($B66,'abrasion emissions'!$O$7:$R$36,4,FALSE)</f>
        <v>0</v>
      </c>
      <c r="CN66" s="7">
        <f>((SUMIFS('abrasion emissions'!$M$7:$M$34,'abrasion emissions'!$I$7:$I$34,"PM 2.5",'abrasion emissions'!$J$7:$J$34,"urban",'abrasion emissions'!$K$7:$K$34,"Tyre",'abrasion emissions'!$L$7:$L$34,"b")*POWER(('vehicles specifications'!$Q66/1000),(1/SUMIFS('abrasion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specifications'!$P66/1000),(1/SUMIFS('abrasion emissions'!$M$7:$M$34,'abrasion emissions'!$I$7:$I$34,"PM 10",'abrasion emissions'!$J$7:$J$34,"urban",'abrasion emissions'!$K$7:$K$34,"Tyre",'abrasion emissions'!$L$7:$L$34,"c")))))/1000000</f>
        <v>5.8621298046796062E-6</v>
      </c>
      <c r="CO66" s="7">
        <f>((SUMIFS('abrasion emissions'!$M$7:$M$34,'abrasion emissions'!$I$7:$I$34,"PM 2.5",'abrasion emissions'!$J$7:$J$34,"rural",'abrasion emissions'!$K$7:$K$34,"Tyre",'abrasion emissions'!$L$7:$L$34,"b")*POWER(('vehicles specifications'!$Q66/1000),(1/SUMIFS('abrasion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specifications'!$P66/1000),(1/SUMIFS('abrasion emissions'!$M$7:$M$34,'abrasion emissions'!$I$7:$I$34,"PM 10",'abrasion emissions'!$J$7:$J$34,"rural",'abrasion emissions'!$K$7:$K$34,"Tyre",'abrasion emissions'!$L$7:$L$34,"c")))))/1000000</f>
        <v>4.565808604986988E-6</v>
      </c>
      <c r="CP66" s="7">
        <f>((SUMIFS('abrasion emissions'!$M$7:$M$34,'abrasion emissions'!$I$7:$I$34,"PM 2.5",'abrasion emissions'!$J$7:$J$34,"motorway",'abrasion emissions'!$K$7:$K$34,"Tyre",'abrasion emissions'!$L$7:$L$34,"b")*POWER(('vehicles specifications'!$Q66/1000),(1/SUMIFS('abrasion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specifications'!$P66/1000),(1/SUMIFS('abrasion emissions'!$M$7:$M$34,'abrasion emissions'!$I$7:$I$34,"PM 10",'abrasion emissions'!$J$7:$J$34,"motorway",'abrasion emissions'!$K$7:$K$34,"Tyre",'abrasion emissions'!$L$7:$L$34,"c")))))/1000000</f>
        <v>3.8999206894460913E-6</v>
      </c>
      <c r="CQ66" s="7">
        <f>((SUMIFS('abrasion emissions'!$M$7:$M$34,'abrasion emissions'!$I$7:$I$34,"PM 2.5",'abrasion emissions'!$J$7:$J$34,"urban",'abrasion emissions'!$K$7:$K$34,"Brake",'abrasion emissions'!$L$7:$L$34,"b")*POWER(('vehicles specifications'!$Q66/1000),(1/SUMIFS('abrasion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specifications'!$P66/1000),(1/SUMIFS('abrasion emissions'!$M$7:$M$34,'abrasion emissions'!$I$7:$I$34,"PM 10",'abrasion emissions'!$J$7:$J$34,"urban",'abrasion emissions'!$K$7:$K$34,"Brake",'abrasion emissions'!$L$7:$L$34,"c")))))/1000000</f>
        <v>5.5405307344374523E-6</v>
      </c>
      <c r="CR66" s="7">
        <f>((SUMIFS('abrasion emissions'!$M$7:$M$34,'abrasion emissions'!$I$7:$I$34,"PM 2.5",'abrasion emissions'!$J$7:$J$34,"rural",'abrasion emissions'!$K$7:$K$34,"Brake",'abrasion emissions'!$L$7:$L$34,"b")*POWER(('vehicles specifications'!$Q66/1000),(1/SUMIFS('abrasion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specifications'!$P66/1000),(1/SUMIFS('abrasion emissions'!$M$7:$M$34,'abrasion emissions'!$I$7:$I$34,"PM 10",'abrasion emissions'!$J$7:$J$34,"rural",'abrasion emissions'!$K$7:$K$34,"Brake",'abrasion emissions'!$L$7:$L$34,"c")))))/1000000</f>
        <v>1.7539774850199521E-6</v>
      </c>
      <c r="CS66" s="7">
        <f>((SUMIFS('abrasion emissions'!$M$7:$M$34,'abrasion emissions'!$I$7:$I$34,"PM 2.5",'abrasion emissions'!$J$7:$J$34,"motorway",'abrasion emissions'!$K$7:$K$34,"Brake",'abrasion emissions'!$L$7:$L$34,"b")*POWER(('vehicles specifications'!$Q66/1000),(1/SUMIFS('abrasion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specifications'!$P66/1000),(1/SUMIFS('abrasion emissions'!$M$7:$M$34,'abrasion emissions'!$I$7:$I$34,"PM 10",'abrasion emissions'!$J$7:$J$34,"motorway",'abrasion emissions'!$K$7:$K$34,"Brake",'abrasion emissions'!$L$7:$L$34,"c")))))/1000000</f>
        <v>3.2102504297993747E-7</v>
      </c>
      <c r="CT66" s="7">
        <f>((SUMIFS('abrasion emissions'!$M$7:$M$38,'abrasion emissions'!$I$7:$I$38,"PM 2.5",'abrasion emissions'!$K$7:$K$38,"Re-susp.",'abrasion emissions'!$L$7:$L$38,"b")*POWER(('vehicles specifications'!$Q66/1000),(1/SUMIFS('abrasion emissions'!$M$7:$M$38,'abrasion emissions'!$I$7:$I$38,"PM 2.5",'abrasion emissions'!$K$7:$K$38,"Re-susp.",'abrasion emissions'!$L$7:$L$38,"c"))))+
(SUMIFS('abrasion emissions'!$M$7:$M$38,'abrasion emissions'!$I$7:$I$38,"PM 10",'abrasion emissions'!$K$7:$K$38,"Re-susp.",'abrasion emissions'!$L$7:$L$38,"b")*POWER(('vehicles specifications'!$Q66/1000),(1/SUMIFS('abrasion emissions'!$M$7:$M$38,'abrasion emissions'!$I$7:$I$38,"PM 10",'abrasion emissions'!$K$7:$K$38,"Re-susp.",'abrasion emissions'!$L$7:$L$38,"c")))))/1000000</f>
        <v>3.2945236793790883E-6</v>
      </c>
      <c r="CU66" s="7">
        <f>((SUMIFS('abrasion emissions'!$M$7:$M$38,'abrasion emissions'!$I$7:$I$38,"PM 2.5",'abrasion emissions'!$K$7:$K$38,"Road",'abrasion emissions'!$L$7:$L$38,"b")*POWER(('vehicles specifications'!$Q66/1000),(1/SUMIFS('abrasion emissions'!$M$7:$M$38,'abrasion emissions'!$I$7:$I$38,"PM 2.5",'abrasion emissions'!$K$7:$K$38,"Road",'abrasion emissions'!$L$7:$L$38,"c"))))+
(SUMIFS('abrasion emissions'!$M$7:$M$38,'abrasion emissions'!$I$7:$I$38,"PM 10",'abrasion emissions'!$K$7:$K$38,"Road",'abrasion emissions'!$L$7:$L$38,"b")*POWER(('vehicles specifications'!$Q66/1000),(1/SUMIFS('abrasion emissions'!$M$7:$M$38,'abrasion emissions'!$I$7:$I$38,"PM 10",'abrasion emissions'!$K$7:$K$38,"Road",'abrasion emissions'!$L$7:$L$38,"c")))))/1000000+CT66</f>
        <v>6.43813816279788E-6</v>
      </c>
      <c r="CV66" s="7">
        <f>(CK66*CN66)+(CL66*CO66)+(CM66*CP66)</f>
        <v>5.2139692048332967E-6</v>
      </c>
      <c r="CW66" s="7">
        <f>(CK66*CQ66)+(CL66*CR66)+(CM66*CS66)</f>
        <v>3.6472541097287021E-6</v>
      </c>
    </row>
    <row r="67">
      <c r="A67" t="str">
        <f>B67&amp;" - "&amp;D67&amp;" - "&amp;IF(I67&lt;&gt;"",I67&amp;" - "&amp;E67,E67)</f>
        <v>Scooter, gasoline, &lt;4kW, EURO-5 - 2020 - CH</v>
      </c>
      <c r="B67" t="inlineStr">
        <is>
          <t>Scooter, gasoline, &lt;4kW, EURO-5</t>
        </is>
      </c>
      <c r="D67" s="18" t="n">
        <v>2020</v>
      </c>
      <c r="E67" t="inlineStr">
        <is>
          <t>CH</t>
        </is>
      </c>
      <c r="F67" t="inlineStr">
        <is>
          <t>EURO-5</t>
        </is>
      </c>
      <c r="G67" t="inlineStr">
        <is>
          <t>vkm</t>
        </is>
      </c>
      <c r="H67" t="inlineStr">
        <is>
          <t>ICEV-p</t>
        </is>
      </c>
      <c r="J67" t="n">
        <v>25000</v>
      </c>
      <c r="K67" t="n">
        <v>1570</v>
      </c>
      <c r="L67" s="2">
        <f>J67/K67</f>
        <v>15.923566878980891</v>
      </c>
      <c r="M67" t="n">
        <v>1</v>
      </c>
      <c r="N67" t="n">
        <v>75</v>
      </c>
      <c r="O67" t="n">
        <v>4</v>
      </c>
      <c r="P67" s="2">
        <f>SUM(U67,V67,W67,AC67,AF67,AH67)</f>
        <v>91.037499999999994</v>
      </c>
      <c r="Q67" s="2">
        <f>P67+(M67*N67)+O67</f>
        <v>170.03749999999999</v>
      </c>
      <c r="R67" t="n">
        <v>2.8</v>
      </c>
      <c r="S67" s="2" t="n">
        <v>53</v>
      </c>
      <c r="T67" s="1" t="n">
        <v>0</v>
      </c>
      <c r="U67" s="2">
        <f>S67*(1-T67)</f>
        <v>53</v>
      </c>
      <c r="V67" t="n">
        <v>32</v>
      </c>
      <c r="W67" t="n">
        <v>0</v>
      </c>
      <c r="X67" s="3" t="n">
        <v>0</v>
      </c>
      <c r="Y67" s="1" t="n">
        <v>0.8</v>
      </c>
      <c r="Z67" s="3">
        <f>Y67*X67</f>
        <v>0</v>
      </c>
      <c r="AA67" s="3">
        <f>IF(I67&lt;&gt;"",X67/INDEX('energy battery'!$B$3:$D$6,MATCH('vehicles specifications'!$D67,'energy battery'!$A$3:$A$6,0),MATCH('vehicles specifications'!$I67,'energy battery'!$B$2:$D$2,0)),"")</f>
        <v/>
      </c>
      <c r="AB67" s="3">
        <f>IF(AA67&lt;&gt;"",0.3*AA67,"")</f>
        <v/>
      </c>
      <c r="AC67" s="3">
        <f>IF(AA67&lt;&gt;"",AB67+AA67,"")</f>
        <v/>
      </c>
      <c r="AD67" s="3" t="n">
        <v>0</v>
      </c>
      <c r="AE67" s="3" t="n">
        <v>7</v>
      </c>
      <c r="AF67">
        <f>AE67*'fuels and tailpipe emissions'!$B$3</f>
        <v>5.25</v>
      </c>
      <c r="AG67" s="2">
        <f>AF67*'fuels and tailpipe emissions'!$C$3</f>
        <v>62.125</v>
      </c>
      <c r="AH67" s="3">
        <f>0.15*AF67</f>
        <v>0.78749999999999998</v>
      </c>
      <c r="AI67" t="n">
        <v>0</v>
      </c>
      <c r="AJ67" t="n">
        <v>0</v>
      </c>
      <c r="AK67">
        <f>J67/25000</f>
        <v>1</v>
      </c>
      <c r="AL67">
        <f>0.000537/1000*Q67</f>
        <v>9.1310137499999998E-5</v>
      </c>
      <c r="AM67" t="n">
        <v>0.00129</v>
      </c>
      <c r="AN67" s="2">
        <f>U67</f>
        <v>53</v>
      </c>
      <c r="AO67" s="2">
        <f>SUM(V67:W67)</f>
        <v>32</v>
      </c>
      <c r="AP67" s="2">
        <f>AC67</f>
        <v/>
      </c>
      <c r="AQ67" s="6" t="n">
        <v>1.288528298078362</v>
      </c>
      <c r="AR67" s="20" t="n">
        <v>0</v>
      </c>
      <c r="AS67" s="6">
        <f>IF($H67="BEV",SUMPRODUCT(#REF!,#REF!),"")</f>
        <v/>
      </c>
      <c r="AT67" s="2">
        <f>SUM(Z67,AG67)/(SUM(AQ67,AS67)/3.6)</f>
        <v>173.57011121411836</v>
      </c>
      <c r="AU67" s="5">
        <f>IF($H67="ICEV-p",$AQ67/('fuels and tailpipe emissions'!$C$3*3.6)*'fuels and tailpipe emissions'!$D$3,"")*(1-AR67)</f>
        <v>9.4976029482771313E-2</v>
      </c>
      <c r="AV67" s="5">
        <f>IF($H67="ICEV-p",$AQ67/('fuels and tailpipe emissions'!$C$3*3.6)*'fuels and tailpipe emissions'!$D$3,"")*AR67</f>
        <v>0</v>
      </c>
      <c r="AW67" s="7">
        <f>IF($H67="ICEV-p",$AQ67/('fuels and tailpipe emissions'!$C$3*3.6)*'fuels and tailpipe emissions'!$E$3,"")</f>
        <v>4.839542903580703E-7</v>
      </c>
      <c r="AX67" s="7">
        <f>SUMIFS('fuels and tailpipe emissions'!$C$10:$C$126,'fuels and tailpipe emissions'!$A$10:$A$126,'vehicles specifications'!$F67,'fuels and tailpipe emissions'!$B$10:$B$126,'vehicles specifications'!AX$2)/1000*$AQ67</f>
        <v>7.8345323486595295E-5</v>
      </c>
      <c r="AY67" s="7">
        <f>SUMIFS('fuels and tailpipe emissions'!$C$10:$C$126,'fuels and tailpipe emissions'!$A$10:$A$126,'vehicles specifications'!$F67,'fuels and tailpipe emissions'!$B$10:$B$126,'vehicles specifications'!AY$2)/1000*$AQ67</f>
        <v>3.5524093314611898E-5</v>
      </c>
      <c r="AZ67" s="7">
        <f>SUMIFS('fuels and tailpipe emissions'!$C$10:$C$126,'fuels and tailpipe emissions'!$A$10:$A$126,'vehicles specifications'!$F67,'fuels and tailpipe emissions'!$B$10:$B$126,'vehicles specifications'!AZ$2)/1000*$AQ67</f>
        <v>3.7563118298650361E-3</v>
      </c>
      <c r="BA67" s="7">
        <f>SUMIFS('fuels and tailpipe emissions'!$C$10:$C$126,'fuels and tailpipe emissions'!$A$10:$A$126,'vehicles specifications'!$F67,'fuels and tailpipe emissions'!$B$10:$B$126,'vehicles specifications'!BA$2)/1000*$AQ67</f>
        <v>1.8023385750690973E-6</v>
      </c>
      <c r="BB67" s="7">
        <f>SUMIFS('fuels and tailpipe emissions'!$C$10:$C$126,'fuels and tailpipe emissions'!$A$10:$A$126,'vehicles specifications'!$F67,'fuels and tailpipe emissions'!$B$10:$B$126,'vehicles specifications'!BB$2)/1000*$AQ67</f>
        <v>1.8023385750690973E-6</v>
      </c>
      <c r="BC67" s="7">
        <f>SUMIFS('fuels and tailpipe emissions'!$C$10:$C$126,'fuels and tailpipe emissions'!$A$10:$A$126,'vehicles specifications'!$F67,'fuels and tailpipe emissions'!$B$10:$B$126,'vehicles specifications'!BC$2)/1000*$AQ67</f>
        <v>1.3515864735015395E-4</v>
      </c>
      <c r="BD67" s="7">
        <f>SUMIFS('fuels and tailpipe emissions'!$C$10:$C$126,'fuels and tailpipe emissions'!$A$10:$A$126,'vehicles specifications'!$F67,'fuels and tailpipe emissions'!$B$10:$B$126,'vehicles specifications'!BD$2)/1000*$AQ67</f>
        <v>1.0350830436621825E-5</v>
      </c>
      <c r="BE67" s="7">
        <f>SUMIFS('fuels and tailpipe emissions'!$C$10:$C$126,'fuels and tailpipe emissions'!$A$10:$A$126,'vehicles specifications'!$F67,'fuels and tailpipe emissions'!$B$10:$B$126,'vehicles specifications'!BE$2)/1000*$AQ67</f>
        <v>6.3179009528227666E-4</v>
      </c>
      <c r="BF67" s="7">
        <f>SUMIFS('fuels and tailpipe emissions'!$C$10:$C$126,'fuels and tailpipe emissions'!$A$10:$A$126,'vehicles specifications'!$F67,'fuels and tailpipe emissions'!$B$10:$B$126,'vehicles specifications'!BF$2)/1000*$AQ67</f>
        <v>4.4549301590416936E-5</v>
      </c>
      <c r="BG67" s="7">
        <f>SUMIFS('fuels and tailpipe emissions'!$C$10:$C$126,'fuels and tailpipe emissions'!$A$10:$A$126,'vehicles specifications'!$F67,'fuels and tailpipe emissions'!$B$10:$B$126,'vehicles specifications'!BG$2)/1000*$AQ67</f>
        <v>9.0774438977338592E-6</v>
      </c>
      <c r="BH67" s="7">
        <f>SUMIFS('fuels and tailpipe emissions'!$C$10:$C$126,'fuels and tailpipe emissions'!$A$10:$A$126,'vehicles specifications'!$F67,'fuels and tailpipe emissions'!$B$10:$B$126,'vehicles specifications'!BH$2)/1000*$AQ67</f>
        <v>7.3178163114039118E-5</v>
      </c>
      <c r="BI67" s="7">
        <f>SUMIFS('fuels and tailpipe emissions'!$C$10:$C$126,'fuels and tailpipe emissions'!$A$10:$A$126,'vehicles specifications'!$F67,'fuels and tailpipe emissions'!$B$10:$B$126,'vehicles specifications'!BI$2)/1000*$AQ67</f>
        <v>3.0025391354042764E-5</v>
      </c>
      <c r="BJ67" s="7">
        <f>SUMIFS('fuels and tailpipe emissions'!$C$10:$C$126,'fuels and tailpipe emissions'!$A$10:$A$126,'vehicles specifications'!$F67,'fuels and tailpipe emissions'!$B$10:$B$126,'vehicles specifications'!BJ$2)/1000*$AQ67</f>
        <v>2.248413026977156E-5</v>
      </c>
      <c r="BK67" s="7">
        <f>SUMIFS('fuels and tailpipe emissions'!$C$10:$C$126,'fuels and tailpipe emissions'!$A$10:$A$126,'vehicles specifications'!$F67,'fuels and tailpipe emissions'!$B$10:$B$126,'vehicles specifications'!BK$2)/1000*$AQ67</f>
        <v>1.5920440066794769E-5</v>
      </c>
      <c r="BL67" s="7">
        <f>SUMIFS('fuels and tailpipe emissions'!$C$10:$C$126,'fuels and tailpipe emissions'!$A$10:$A$126,'vehicles specifications'!$F67,'fuels and tailpipe emissions'!$B$10:$B$126,'vehicles specifications'!BL$2)/1000*$AQ67</f>
        <v>1.0334320745112393E-5</v>
      </c>
      <c r="BM67" s="7">
        <f>SUMIFS('fuels and tailpipe emissions'!$C$10:$C$126,'fuels and tailpipe emissions'!$A$10:$A$126,'vehicles specifications'!$F67,'fuels and tailpipe emissions'!$B$10:$B$126,'vehicles specifications'!BM$2)/1000*$AQ67</f>
        <v>1.0194667762070334E-4</v>
      </c>
      <c r="BN67" s="7">
        <f>SUMIFS('fuels and tailpipe emissions'!$C$10:$C$126,'fuels and tailpipe emissions'!$A$10:$A$126,'vehicles specifications'!$F67,'fuels and tailpipe emissions'!$B$10:$B$126,'vehicles specifications'!BN$2)/1000*$AQ67</f>
        <v>5.3347439522066674E-5</v>
      </c>
      <c r="BO67" s="7">
        <f>SUMIFS('fuels and tailpipe emissions'!$C$10:$C$126,'fuels and tailpipe emissions'!$A$10:$A$126,'vehicles specifications'!$F67,'fuels and tailpipe emissions'!$B$10:$B$126,'vehicles specifications'!BO$2)/1000*$AQ67</f>
        <v>1.5361828134626532E-6</v>
      </c>
      <c r="BP67" s="7">
        <f>SUMIFS('fuels and tailpipe emissions'!$C$10:$C$126,'fuels and tailpipe emissions'!$A$10:$A$126,'vehicles specifications'!$F67,'fuels and tailpipe emissions'!$B$10:$B$126,'vehicles specifications'!BP$2)/1000*$AQ67</f>
        <v>7.8345323486595295E-5</v>
      </c>
      <c r="BQ67" s="7">
        <f>SUMIFS('fuels and tailpipe emissions'!$C$10:$C$126,'fuels and tailpipe emissions'!$A$10:$A$126,'vehicles specifications'!$F67,'fuels and tailpipe emissions'!$B$10:$B$126,'vehicles specifications'!BQ$2)/1000*$AQ67</f>
        <v>1.5333897538018121E-4</v>
      </c>
      <c r="BR67" s="7">
        <f>SUMIFS('fuels and tailpipe emissions'!$C$10:$C$126,'fuels and tailpipe emissions'!$A$10:$A$126,'vehicles specifications'!$F67,'fuels and tailpipe emissions'!$B$10:$B$126,'vehicles specifications'!BR$2)/1000*$AQ67</f>
        <v>7.583156979183825E-5</v>
      </c>
      <c r="BS67" s="7">
        <f>SUMIFS('fuels and tailpipe emissions'!$C$10:$C$126,'fuels and tailpipe emissions'!$A$10:$A$126,'vehicles specifications'!$F67,'fuels and tailpipe emissions'!$B$10:$B$126,'vehicles specifications'!BS$2)/1000*$AQ67</f>
        <v>3.1561574167505416E-5</v>
      </c>
      <c r="BT67" s="7">
        <f>SUMIFS('fuels and tailpipe emissions'!$C$10:$C$126,'fuels and tailpipe emissions'!$A$10:$A$126,'vehicles specifications'!$F67,'fuels and tailpipe emissions'!$B$10:$B$126,'vehicles specifications'!BT$2)/1000*$AQ67</f>
        <v>2.3741007117150096E-5</v>
      </c>
      <c r="BU67" s="7">
        <f>SUMIFS('fuels and tailpipe emissions'!$C$10:$C$126,'fuels and tailpipe emissions'!$A$10:$A$126,'vehicles specifications'!$F67,'fuels and tailpipe emissions'!$B$10:$B$126,'vehicles specifications'!BU$2)/1000*$AQ67</f>
        <v>1.0473973728154453E-5</v>
      </c>
      <c r="BV67" s="7">
        <f>SUMIFS('fuels and tailpipe emissions'!$C$10:$C$126,'fuels and tailpipe emissions'!$A$10:$A$126,'vehicles specifications'!$F67,'fuels and tailpipe emissions'!$B$10:$B$126,'vehicles specifications'!BV$2)/1000*$AQ67</f>
        <v>3.0723656269253065E-6</v>
      </c>
      <c r="BW67" s="7">
        <f>SUMIFS('fuels and tailpipe emissions'!$C$10:$C$126,'fuels and tailpipe emissions'!$A$10:$A$126,'vehicles specifications'!$F67,'fuels and tailpipe emissions'!$B$10:$B$126,'vehicles specifications'!BW$2)/1000*$AQ67</f>
        <v>8.5188319655656235E-6</v>
      </c>
      <c r="BX67" s="7">
        <f>SUMIFS('fuels and tailpipe emissions'!$C$10:$C$126,'fuels and tailpipe emissions'!$A$10:$A$126,'vehicles specifications'!$F67,'fuels and tailpipe emissions'!$B$10:$B$126,'vehicles specifications'!BX$2)/1000*$AQ67</f>
        <v>0</v>
      </c>
      <c r="BY67" s="7">
        <f>SUMIFS('fuels and tailpipe emissions'!$C$10:$C$126,'fuels and tailpipe emissions'!$A$10:$A$126,'vehicles specifications'!$F67,'fuels and tailpipe emissions'!$B$10:$B$126,'vehicles specifications'!BY$2)/1000*$AQ67</f>
        <v>2.653406677799128E-6</v>
      </c>
      <c r="BZ67" s="7">
        <f>SUMIFS('fuels and tailpipe emissions'!$C$10:$C$126,'fuels and tailpipe emissions'!$A$10:$A$126,'vehicles specifications'!$F67,'fuels and tailpipe emissions'!$B$10:$B$126,'vehicles specifications'!BZ$2)/1000*$AQ67</f>
        <v>1.4104951287247996E-5</v>
      </c>
      <c r="CA67" s="7">
        <f>SUMIFS('fuels and tailpipe emissions'!$C$10:$C$126,'fuels and tailpipe emissions'!$A$10:$A$126,'vehicles specifications'!$F67,'fuels and tailpipe emissions'!$B$10:$B$126,'vehicles specifications'!CA$2)/1000*$AQ67</f>
        <v>1.0550772887794592E-9</v>
      </c>
      <c r="CB67" s="7">
        <f>SUMIFS('fuels and tailpipe emissions'!$C$10:$C$126,'fuels and tailpipe emissions'!$A$10:$A$126,'vehicles specifications'!$F67,'fuels and tailpipe emissions'!$B$10:$B$126,'vehicles specifications'!CB$2)/1000*$AQ67</f>
        <v>9.0954938687884409E-12</v>
      </c>
      <c r="CC67" s="7">
        <f>SUMIFS('fuels and tailpipe emissions'!$C$10:$C$126,'fuels and tailpipe emissions'!$A$10:$A$126,'vehicles specifications'!$F67,'fuels and tailpipe emissions'!$B$10:$B$126,'vehicles specifications'!CC$2)/1000*$AQ67</f>
        <v>6.0636625791922934E-12</v>
      </c>
      <c r="CD67" s="7">
        <f>SUMIFS('fuels and tailpipe emissions'!$C$10:$C$126,'fuels and tailpipe emissions'!$A$10:$A$126,'vehicles specifications'!$F67,'fuels and tailpipe emissions'!$B$10:$B$126,'vehicles specifications'!CD$2)/1000*$AQ67</f>
        <v>6.5487555855276772E-8</v>
      </c>
      <c r="CE67" s="7">
        <f>SUMIFS('fuels and tailpipe emissions'!$C$10:$C$126,'fuels and tailpipe emissions'!$A$10:$A$126,'vehicles specifications'!$F67,'fuels and tailpipe emissions'!$B$10:$B$126,'vehicles specifications'!CE$2)/1000*$AQ67</f>
        <v>1.2733691416303815E-9</v>
      </c>
      <c r="CF67" s="7">
        <f>SUMIFS('fuels and tailpipe emissions'!$C$10:$C$126,'fuels and tailpipe emissions'!$A$10:$A$126,'vehicles specifications'!$F67,'fuels and tailpipe emissions'!$B$10:$B$126,'vehicles specifications'!CF$2)/1000*$AQ67</f>
        <v>3.9413806764749909E-10</v>
      </c>
      <c r="CG67" s="7">
        <f>SUMIFS('fuels and tailpipe emissions'!$C$10:$C$126,'fuels and tailpipe emissions'!$A$10:$A$126,'vehicles specifications'!$F67,'fuels and tailpipe emissions'!$B$10:$B$126,'vehicles specifications'!CG$2)/1000*$AQ67</f>
        <v>4.850930063353835E-10</v>
      </c>
      <c r="CH67" s="7">
        <f>SUMIFS('fuels and tailpipe emissions'!$C$10:$C$126,'fuels and tailpipe emissions'!$A$10:$A$126,'vehicles specifications'!$F67,'fuels and tailpipe emissions'!$B$10:$B$126,'vehicles specifications'!CH$2)/1000*$AQ67</f>
        <v>9.701860126707668E-13</v>
      </c>
      <c r="CI67" s="7">
        <f>SUMIFS('fuels and tailpipe emissions'!$C$10:$C$126,'fuels and tailpipe emissions'!$A$10:$A$126,'vehicles specifications'!$F67,'fuels and tailpipe emissions'!$B$10:$B$126,'vehicles specifications'!CI$2)/1000*$AQ67</f>
        <v>2.637693221948648E-10</v>
      </c>
      <c r="CJ67" s="7">
        <f>SUMIFS('fuels and tailpipe emissions'!$C$10:$C$126,'fuels and tailpipe emissions'!$A$10:$A$126,'vehicles specifications'!$F67,'fuels and tailpipe emissions'!$B$10:$B$126,'vehicles specifications'!CJ$2)/1000*$AQ67</f>
        <v>3.2743777927638394E-10</v>
      </c>
      <c r="CK67" s="38">
        <f>VLOOKUP($B67,'abrasion emissions'!$O$7:$R$36,2,FALSE)</f>
        <v>0.5</v>
      </c>
      <c r="CL67" s="38">
        <f>VLOOKUP($B67,'abrasion emissions'!$O$7:$R$36,3,FALSE)</f>
        <v>0.5</v>
      </c>
      <c r="CM67" s="38">
        <f>VLOOKUP($B67,'abrasion emissions'!$O$7:$R$36,4,FALSE)</f>
        <v>0</v>
      </c>
      <c r="CN67" s="7">
        <f>((SUMIFS('abrasion emissions'!$M$7:$M$34,'abrasion emissions'!$I$7:$I$34,"PM 2.5",'abrasion emissions'!$J$7:$J$34,"urban",'abrasion emissions'!$K$7:$K$34,"Tyre",'abrasion emissions'!$L$7:$L$34,"b")*POWER(('vehicles specifications'!$Q67/1000),(1/SUMIFS('abrasion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specifications'!$P67/1000),(1/SUMIFS('abrasion emissions'!$M$7:$M$34,'abrasion emissions'!$I$7:$I$34,"PM 10",'abrasion emissions'!$J$7:$J$34,"urban",'abrasion emissions'!$K$7:$K$34,"Tyre",'abrasion emissions'!$L$7:$L$34,"c")))))/1000000</f>
        <v>5.8415365221322295E-6</v>
      </c>
      <c r="CO67" s="7">
        <f>((SUMIFS('abrasion emissions'!$M$7:$M$34,'abrasion emissions'!$I$7:$I$34,"PM 2.5",'abrasion emissions'!$J$7:$J$34,"rural",'abrasion emissions'!$K$7:$K$34,"Tyre",'abrasion emissions'!$L$7:$L$34,"b")*POWER(('vehicles specifications'!$Q67/1000),(1/SUMIFS('abrasion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specifications'!$P67/1000),(1/SUMIFS('abrasion emissions'!$M$7:$M$34,'abrasion emissions'!$I$7:$I$34,"PM 10",'abrasion emissions'!$J$7:$J$34,"rural",'abrasion emissions'!$K$7:$K$34,"Tyre",'abrasion emissions'!$L$7:$L$34,"c")))))/1000000</f>
        <v>4.5497835554153687E-6</v>
      </c>
      <c r="CP67" s="7">
        <f>((SUMIFS('abrasion emissions'!$M$7:$M$34,'abrasion emissions'!$I$7:$I$34,"PM 2.5",'abrasion emissions'!$J$7:$J$34,"motorway",'abrasion emissions'!$K$7:$K$34,"Tyre",'abrasion emissions'!$L$7:$L$34,"b")*POWER(('vehicles specifications'!$Q67/1000),(1/SUMIFS('abrasion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specifications'!$P67/1000),(1/SUMIFS('abrasion emissions'!$M$7:$M$34,'abrasion emissions'!$I$7:$I$34,"PM 10",'abrasion emissions'!$J$7:$J$34,"motorway",'abrasion emissions'!$K$7:$K$34,"Tyre",'abrasion emissions'!$L$7:$L$34,"c")))))/1000000</f>
        <v>3.8862687567750624E-6</v>
      </c>
      <c r="CQ67" s="7">
        <f>((SUMIFS('abrasion emissions'!$M$7:$M$34,'abrasion emissions'!$I$7:$I$34,"PM 2.5",'abrasion emissions'!$J$7:$J$34,"urban",'abrasion emissions'!$K$7:$K$34,"Brake",'abrasion emissions'!$L$7:$L$34,"b")*POWER(('vehicles specifications'!$Q67/1000),(1/SUMIFS('abrasion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specifications'!$P67/1000),(1/SUMIFS('abrasion emissions'!$M$7:$M$34,'abrasion emissions'!$I$7:$I$34,"PM 10",'abrasion emissions'!$J$7:$J$34,"urban",'abrasion emissions'!$K$7:$K$34,"Brake",'abrasion emissions'!$L$7:$L$34,"c")))))/1000000</f>
        <v>5.5190759489680619E-6</v>
      </c>
      <c r="CR67" s="7">
        <f>((SUMIFS('abrasion emissions'!$M$7:$M$34,'abrasion emissions'!$I$7:$I$34,"PM 2.5",'abrasion emissions'!$J$7:$J$34,"rural",'abrasion emissions'!$K$7:$K$34,"Brake",'abrasion emissions'!$L$7:$L$34,"b")*POWER(('vehicles specifications'!$Q67/1000),(1/SUMIFS('abrasion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specifications'!$P67/1000),(1/SUMIFS('abrasion emissions'!$M$7:$M$34,'abrasion emissions'!$I$7:$I$34,"PM 10",'abrasion emissions'!$J$7:$J$34,"rural",'abrasion emissions'!$K$7:$K$34,"Brake",'abrasion emissions'!$L$7:$L$34,"c")))))/1000000</f>
        <v>1.7454213150360459E-6</v>
      </c>
      <c r="CS67" s="7">
        <f>((SUMIFS('abrasion emissions'!$M$7:$M$34,'abrasion emissions'!$I$7:$I$34,"PM 2.5",'abrasion emissions'!$J$7:$J$34,"motorway",'abrasion emissions'!$K$7:$K$34,"Brake",'abrasion emissions'!$L$7:$L$34,"b")*POWER(('vehicles specifications'!$Q67/1000),(1/SUMIFS('abrasion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specifications'!$P67/1000),(1/SUMIFS('abrasion emissions'!$M$7:$M$34,'abrasion emissions'!$I$7:$I$34,"PM 10",'abrasion emissions'!$J$7:$J$34,"motorway",'abrasion emissions'!$K$7:$K$34,"Brake",'abrasion emissions'!$L$7:$L$34,"c")))))/1000000</f>
        <v>3.1923241745093865E-7</v>
      </c>
      <c r="CT67" s="7">
        <f>((SUMIFS('abrasion emissions'!$M$7:$M$38,'abrasion emissions'!$I$7:$I$38,"PM 2.5",'abrasion emissions'!$K$7:$K$38,"Re-susp.",'abrasion emissions'!$L$7:$L$38,"b")*POWER(('vehicles specifications'!$Q67/1000),(1/SUMIFS('abrasion emissions'!$M$7:$M$38,'abrasion emissions'!$I$7:$I$38,"PM 2.5",'abrasion emissions'!$K$7:$K$38,"Re-susp.",'abrasion emissions'!$L$7:$L$38,"c"))))+
(SUMIFS('abrasion emissions'!$M$7:$M$38,'abrasion emissions'!$I$7:$I$38,"PM 10",'abrasion emissions'!$K$7:$K$38,"Re-susp.",'abrasion emissions'!$L$7:$L$38,"b")*POWER(('vehicles specifications'!$Q67/1000),(1/SUMIFS('abrasion emissions'!$M$7:$M$38,'abrasion emissions'!$I$7:$I$38,"PM 10",'abrasion emissions'!$K$7:$K$38,"Re-susp.",'abrasion emissions'!$L$7:$L$38,"c")))))/1000000</f>
        <v>3.2759633915021905E-6</v>
      </c>
      <c r="CU67" s="7">
        <f>((SUMIFS('abrasion emissions'!$M$7:$M$38,'abrasion emissions'!$I$7:$I$38,"PM 2.5",'abrasion emissions'!$K$7:$K$38,"Road",'abrasion emissions'!$L$7:$L$38,"b")*POWER(('vehicles specifications'!$Q67/1000),(1/SUMIFS('abrasion emissions'!$M$7:$M$38,'abrasion emissions'!$I$7:$I$38,"PM 2.5",'abrasion emissions'!$K$7:$K$38,"Road",'abrasion emissions'!$L$7:$L$38,"c"))))+
(SUMIFS('abrasion emissions'!$M$7:$M$38,'abrasion emissions'!$I$7:$I$38,"PM 10",'abrasion emissions'!$K$7:$K$38,"Road",'abrasion emissions'!$L$7:$L$38,"b")*POWER(('vehicles specifications'!$Q67/1000),(1/SUMIFS('abrasion emissions'!$M$7:$M$38,'abrasion emissions'!$I$7:$I$38,"PM 10",'abrasion emissions'!$K$7:$K$38,"Road",'abrasion emissions'!$L$7:$L$38,"c")))))/1000000+CT67</f>
        <v>6.4065806791504937E-6</v>
      </c>
      <c r="CV67" s="7">
        <f>(CK67*CN67)+(CL67*CO67)+(CM67*CP67)</f>
        <v>5.1956600387737995E-6</v>
      </c>
      <c r="CW67" s="7">
        <f>(CK67*CQ67)+(CL67*CR67)+(CM67*CS67)</f>
        <v>3.632248632002054E-6</v>
      </c>
    </row>
    <row r="68">
      <c r="A68" t="str">
        <f>B68&amp;" - "&amp;D68&amp;" - "&amp;IF(I68&lt;&gt;"",I68&amp;" - "&amp;E68,E68)</f>
        <v>Scooter, gasoline, &lt;4kW, EURO-5 - 2030 - CH</v>
      </c>
      <c r="B68" t="inlineStr">
        <is>
          <t>Scooter, gasoline, &lt;4kW, EURO-5</t>
        </is>
      </c>
      <c r="D68" s="18" t="n">
        <v>2030</v>
      </c>
      <c r="E68" t="inlineStr">
        <is>
          <t>CH</t>
        </is>
      </c>
      <c r="F68" t="inlineStr">
        <is>
          <t>EURO-5</t>
        </is>
      </c>
      <c r="G68" t="inlineStr">
        <is>
          <t>vkm</t>
        </is>
      </c>
      <c r="H68" t="inlineStr">
        <is>
          <t>ICEV-p</t>
        </is>
      </c>
      <c r="J68" t="n">
        <v>25000</v>
      </c>
      <c r="K68" t="n">
        <v>1570</v>
      </c>
      <c r="L68" s="2">
        <f>J68/K68</f>
        <v>15.923566878980891</v>
      </c>
      <c r="M68" t="n">
        <v>1</v>
      </c>
      <c r="N68" t="n">
        <v>75</v>
      </c>
      <c r="O68" t="n">
        <v>4</v>
      </c>
      <c r="P68" s="2">
        <f>SUM(U68,V68,W68,AC68,AF68,AH68)</f>
        <v>88.447499999999991</v>
      </c>
      <c r="Q68" s="2">
        <f>P68+(M68*N68)+O68</f>
        <v>167.44749999999999</v>
      </c>
      <c r="R68" t="n">
        <v>2.8</v>
      </c>
      <c r="S68" s="2" t="n">
        <v>53</v>
      </c>
      <c r="T68" s="1" t="n">
        <v>0.03</v>
      </c>
      <c r="U68" s="2">
        <f>S68*(1-T68)</f>
        <v>51.41</v>
      </c>
      <c r="V68" t="n">
        <v>31</v>
      </c>
      <c r="W68" t="n">
        <v>0</v>
      </c>
      <c r="X68" s="3" t="n">
        <v>0</v>
      </c>
      <c r="Y68" s="1" t="n">
        <v>0.8</v>
      </c>
      <c r="Z68" s="3">
        <f>Y68*X68</f>
        <v>0</v>
      </c>
      <c r="AA68" s="3">
        <f>IF(I68&lt;&gt;"",X68/INDEX('energy battery'!$B$3:$D$6,MATCH('vehicles specifications'!$D68,'energy battery'!$A$3:$A$6,0),MATCH('vehicles specifications'!$I68,'energy battery'!$B$2:$D$2,0)),"")</f>
        <v/>
      </c>
      <c r="AB68" s="3">
        <f>IF(AA68&lt;&gt;"",0.3*AA68,"")</f>
        <v/>
      </c>
      <c r="AC68" s="3">
        <f>IF(AA68&lt;&gt;"",AB68+AA68,"")</f>
        <v/>
      </c>
      <c r="AD68" s="3" t="n">
        <v>0</v>
      </c>
      <c r="AE68" s="3" t="n">
        <v>7</v>
      </c>
      <c r="AF68">
        <f>AE68*'fuels and tailpipe emissions'!$B$3</f>
        <v>5.25</v>
      </c>
      <c r="AG68" s="2">
        <f>AF68*'fuels and tailpipe emissions'!$C$3</f>
        <v>62.125</v>
      </c>
      <c r="AH68" s="3">
        <f>0.15*AF68</f>
        <v>0.78749999999999998</v>
      </c>
      <c r="AI68" t="n">
        <v>0</v>
      </c>
      <c r="AJ68" t="n">
        <v>0</v>
      </c>
      <c r="AK68">
        <f>J68/25000</f>
        <v>1</v>
      </c>
      <c r="AL68">
        <f>0.000537/1000*Q68</f>
        <v>8.9919307499999995E-5</v>
      </c>
      <c r="AM68" t="n">
        <v>0.00129</v>
      </c>
      <c r="AN68" s="2">
        <f>U68</f>
        <v>51.41</v>
      </c>
      <c r="AO68" s="2">
        <f>SUM(V68:W68)</f>
        <v>31</v>
      </c>
      <c r="AP68" s="2">
        <f>AC68</f>
        <v/>
      </c>
      <c r="AQ68" s="6" t="n">
        <v>1.275643015097579</v>
      </c>
      <c r="AR68" s="20" t="n">
        <v>0</v>
      </c>
      <c r="AS68" s="6">
        <f>IF($H68="BEV",SUMPRODUCT(#REF!,#REF!),"")</f>
        <v/>
      </c>
      <c r="AT68" s="2">
        <f>SUM(Z68,AG68)/(SUM(AQ68,AS68)/3.6)</f>
        <v>175.32334466072561</v>
      </c>
      <c r="AU68" s="5">
        <f>IF($H68="ICEV-p",$AQ68/('fuels and tailpipe emissions'!$C$3*3.6)*'fuels and tailpipe emissions'!$D$3,"")*(1-AR68)</f>
        <v>9.4026269187943587E-2</v>
      </c>
      <c r="AV68" s="5">
        <f>IF($H68="ICEV-p",$AQ68/('fuels and tailpipe emissions'!$C$3*3.6)*'fuels and tailpipe emissions'!$D$3,"")*AR68</f>
        <v>0</v>
      </c>
      <c r="AW68" s="7">
        <f>IF($H68="ICEV-p",$AQ68/('fuels and tailpipe emissions'!$C$3*3.6)*'fuels and tailpipe emissions'!$E$3,"")</f>
        <v>4.7911474745448963E-7</v>
      </c>
      <c r="AX68" s="7">
        <f>SUMIFS('fuels and tailpipe emissions'!$C$10:$C$126,'fuels and tailpipe emissions'!$A$10:$A$126,'vehicles specifications'!$F68,'fuels and tailpipe emissions'!$B$10:$B$126,'vehicles specifications'!AX$2)/1000*$AQ68</f>
        <v>7.7561870251729333E-5</v>
      </c>
      <c r="AY68" s="7">
        <f>SUMIFS('fuels and tailpipe emissions'!$C$10:$C$126,'fuels and tailpipe emissions'!$A$10:$A$126,'vehicles specifications'!$F68,'fuels and tailpipe emissions'!$B$10:$B$126,'vehicles specifications'!AY$2)/1000*$AQ68</f>
        <v>3.516885238146577E-5</v>
      </c>
      <c r="AZ68" s="7">
        <f>SUMIFS('fuels and tailpipe emissions'!$C$10:$C$126,'fuels and tailpipe emissions'!$A$10:$A$126,'vehicles specifications'!$F68,'fuels and tailpipe emissions'!$B$10:$B$126,'vehicles specifications'!AZ$2)/1000*$AQ68</f>
        <v>3.7187487115663853E-3</v>
      </c>
      <c r="BA68" s="7">
        <f>SUMIFS('fuels and tailpipe emissions'!$C$10:$C$126,'fuels and tailpipe emissions'!$A$10:$A$126,'vehicles specifications'!$F68,'fuels and tailpipe emissions'!$B$10:$B$126,'vehicles specifications'!BA$2)/1000*$AQ68</f>
        <v>1.7843151893184062E-6</v>
      </c>
      <c r="BB68" s="7">
        <f>SUMIFS('fuels and tailpipe emissions'!$C$10:$C$126,'fuels and tailpipe emissions'!$A$10:$A$126,'vehicles specifications'!$F68,'fuels and tailpipe emissions'!$B$10:$B$126,'vehicles specifications'!BB$2)/1000*$AQ68</f>
        <v>1.7843151893184062E-6</v>
      </c>
      <c r="BC68" s="7">
        <f>SUMIFS('fuels and tailpipe emissions'!$C$10:$C$126,'fuels and tailpipe emissions'!$A$10:$A$126,'vehicles specifications'!$F68,'fuels and tailpipe emissions'!$B$10:$B$126,'vehicles specifications'!BC$2)/1000*$AQ68</f>
        <v>1.3380706087665241E-4</v>
      </c>
      <c r="BD68" s="7">
        <f>SUMIFS('fuels and tailpipe emissions'!$C$10:$C$126,'fuels and tailpipe emissions'!$A$10:$A$126,'vehicles specifications'!$F68,'fuels and tailpipe emissions'!$B$10:$B$126,'vehicles specifications'!BD$2)/1000*$AQ68</f>
        <v>1.0247322132255605E-5</v>
      </c>
      <c r="BE68" s="7">
        <f>SUMIFS('fuels and tailpipe emissions'!$C$10:$C$126,'fuels and tailpipe emissions'!$A$10:$A$126,'vehicles specifications'!$F68,'fuels and tailpipe emissions'!$B$10:$B$126,'vehicles specifications'!BE$2)/1000*$AQ68</f>
        <v>6.2547219432945386E-4</v>
      </c>
      <c r="BF68" s="7">
        <f>SUMIFS('fuels and tailpipe emissions'!$C$10:$C$126,'fuels and tailpipe emissions'!$A$10:$A$126,'vehicles specifications'!$F68,'fuels and tailpipe emissions'!$B$10:$B$126,'vehicles specifications'!BF$2)/1000*$AQ68</f>
        <v>4.4103808574512766E-5</v>
      </c>
      <c r="BG68" s="7">
        <f>SUMIFS('fuels and tailpipe emissions'!$C$10:$C$126,'fuels and tailpipe emissions'!$A$10:$A$126,'vehicles specifications'!$F68,'fuels and tailpipe emissions'!$B$10:$B$126,'vehicles specifications'!BG$2)/1000*$AQ68</f>
        <v>8.9866694587565205E-6</v>
      </c>
      <c r="BH68" s="7">
        <f>SUMIFS('fuels and tailpipe emissions'!$C$10:$C$126,'fuels and tailpipe emissions'!$A$10:$A$126,'vehicles specifications'!$F68,'fuels and tailpipe emissions'!$B$10:$B$126,'vehicles specifications'!BH$2)/1000*$AQ68</f>
        <v>7.2446381482898714E-5</v>
      </c>
      <c r="BI68" s="7">
        <f>SUMIFS('fuels and tailpipe emissions'!$C$10:$C$126,'fuels and tailpipe emissions'!$A$10:$A$126,'vehicles specifications'!$F68,'fuels and tailpipe emissions'!$B$10:$B$126,'vehicles specifications'!BI$2)/1000*$AQ68</f>
        <v>2.9725137440502336E-5</v>
      </c>
      <c r="BJ68" s="7">
        <f>SUMIFS('fuels and tailpipe emissions'!$C$10:$C$126,'fuels and tailpipe emissions'!$A$10:$A$126,'vehicles specifications'!$F68,'fuels and tailpipe emissions'!$B$10:$B$126,'vehicles specifications'!BJ$2)/1000*$AQ68</f>
        <v>2.2259288967073843E-5</v>
      </c>
      <c r="BK68" s="7">
        <f>SUMIFS('fuels and tailpipe emissions'!$C$10:$C$126,'fuels and tailpipe emissions'!$A$10:$A$126,'vehicles specifications'!$F68,'fuels and tailpipe emissions'!$B$10:$B$126,'vehicles specifications'!BK$2)/1000*$AQ68</f>
        <v>1.5761235666126822E-5</v>
      </c>
      <c r="BL68" s="7">
        <f>SUMIFS('fuels and tailpipe emissions'!$C$10:$C$126,'fuels and tailpipe emissions'!$A$10:$A$126,'vehicles specifications'!$F68,'fuels and tailpipe emissions'!$B$10:$B$126,'vehicles specifications'!BL$2)/1000*$AQ68</f>
        <v>1.0230977537661269E-5</v>
      </c>
      <c r="BM68" s="7">
        <f>SUMIFS('fuels and tailpipe emissions'!$C$10:$C$126,'fuels and tailpipe emissions'!$A$10:$A$126,'vehicles specifications'!$F68,'fuels and tailpipe emissions'!$B$10:$B$126,'vehicles specifications'!BM$2)/1000*$AQ68</f>
        <v>1.009272108444963E-4</v>
      </c>
      <c r="BN68" s="7">
        <f>SUMIFS('fuels and tailpipe emissions'!$C$10:$C$126,'fuels and tailpipe emissions'!$A$10:$A$126,'vehicles specifications'!$F68,'fuels and tailpipe emissions'!$B$10:$B$126,'vehicles specifications'!BN$2)/1000*$AQ68</f>
        <v>5.2813965126846007E-5</v>
      </c>
      <c r="BO68" s="7">
        <f>SUMIFS('fuels and tailpipe emissions'!$C$10:$C$126,'fuels and tailpipe emissions'!$A$10:$A$126,'vehicles specifications'!$F68,'fuels and tailpipe emissions'!$B$10:$B$126,'vehicles specifications'!BO$2)/1000*$AQ68</f>
        <v>1.5208209853280265E-6</v>
      </c>
      <c r="BP68" s="7">
        <f>SUMIFS('fuels and tailpipe emissions'!$C$10:$C$126,'fuels and tailpipe emissions'!$A$10:$A$126,'vehicles specifications'!$F68,'fuels and tailpipe emissions'!$B$10:$B$126,'vehicles specifications'!BP$2)/1000*$AQ68</f>
        <v>7.7561870251729333E-5</v>
      </c>
      <c r="BQ68" s="7">
        <f>SUMIFS('fuels and tailpipe emissions'!$C$10:$C$126,'fuels and tailpipe emissions'!$A$10:$A$126,'vehicles specifications'!$F68,'fuels and tailpipe emissions'!$B$10:$B$126,'vehicles specifications'!BQ$2)/1000*$AQ68</f>
        <v>1.5180558562637937E-4</v>
      </c>
      <c r="BR68" s="7">
        <f>SUMIFS('fuels and tailpipe emissions'!$C$10:$C$126,'fuels and tailpipe emissions'!$A$10:$A$126,'vehicles specifications'!$F68,'fuels and tailpipe emissions'!$B$10:$B$126,'vehicles specifications'!BR$2)/1000*$AQ68</f>
        <v>7.5073254093919859E-5</v>
      </c>
      <c r="BS68" s="7">
        <f>SUMIFS('fuels and tailpipe emissions'!$C$10:$C$126,'fuels and tailpipe emissions'!$A$10:$A$126,'vehicles specifications'!$F68,'fuels and tailpipe emissions'!$B$10:$B$126,'vehicles specifications'!BS$2)/1000*$AQ68</f>
        <v>3.1245958425830361E-5</v>
      </c>
      <c r="BT68" s="7">
        <f>SUMIFS('fuels and tailpipe emissions'!$C$10:$C$126,'fuels and tailpipe emissions'!$A$10:$A$126,'vehicles specifications'!$F68,'fuels and tailpipe emissions'!$B$10:$B$126,'vehicles specifications'!BT$2)/1000*$AQ68</f>
        <v>2.3503597045978593E-5</v>
      </c>
      <c r="BU68" s="7">
        <f>SUMIFS('fuels and tailpipe emissions'!$C$10:$C$126,'fuels and tailpipe emissions'!$A$10:$A$126,'vehicles specifications'!$F68,'fuels and tailpipe emissions'!$B$10:$B$126,'vehicles specifications'!BU$2)/1000*$AQ68</f>
        <v>1.0369233990872907E-5</v>
      </c>
      <c r="BV68" s="7">
        <f>SUMIFS('fuels and tailpipe emissions'!$C$10:$C$126,'fuels and tailpipe emissions'!$A$10:$A$126,'vehicles specifications'!$F68,'fuels and tailpipe emissions'!$B$10:$B$126,'vehicles specifications'!BV$2)/1000*$AQ68</f>
        <v>3.0416419706560531E-6</v>
      </c>
      <c r="BW68" s="7">
        <f>SUMIFS('fuels and tailpipe emissions'!$C$10:$C$126,'fuels and tailpipe emissions'!$A$10:$A$126,'vehicles specifications'!$F68,'fuels and tailpipe emissions'!$B$10:$B$126,'vehicles specifications'!BW$2)/1000*$AQ68</f>
        <v>8.4336436459099656E-6</v>
      </c>
      <c r="BX68" s="7">
        <f>SUMIFS('fuels and tailpipe emissions'!$C$10:$C$126,'fuels and tailpipe emissions'!$A$10:$A$126,'vehicles specifications'!$F68,'fuels and tailpipe emissions'!$B$10:$B$126,'vehicles specifications'!BX$2)/1000*$AQ68</f>
        <v>0</v>
      </c>
      <c r="BY68" s="7">
        <f>SUMIFS('fuels and tailpipe emissions'!$C$10:$C$126,'fuels and tailpipe emissions'!$A$10:$A$126,'vehicles specifications'!$F68,'fuels and tailpipe emissions'!$B$10:$B$126,'vehicles specifications'!BY$2)/1000*$AQ68</f>
        <v>2.6268726110211365E-6</v>
      </c>
      <c r="BZ68" s="7">
        <f>SUMIFS('fuels and tailpipe emissions'!$C$10:$C$126,'fuels and tailpipe emissions'!$A$10:$A$126,'vehicles specifications'!$F68,'fuels and tailpipe emissions'!$B$10:$B$126,'vehicles specifications'!BZ$2)/1000*$AQ68</f>
        <v>1.3963901774375514E-5</v>
      </c>
      <c r="CA68" s="7">
        <f>SUMIFS('fuels and tailpipe emissions'!$C$10:$C$126,'fuels and tailpipe emissions'!$A$10:$A$126,'vehicles specifications'!$F68,'fuels and tailpipe emissions'!$B$10:$B$126,'vehicles specifications'!CA$2)/1000*$AQ68</f>
        <v>1.0445265158916645E-9</v>
      </c>
      <c r="CB68" s="7">
        <f>SUMIFS('fuels and tailpipe emissions'!$C$10:$C$126,'fuels and tailpipe emissions'!$A$10:$A$126,'vehicles specifications'!$F68,'fuels and tailpipe emissions'!$B$10:$B$126,'vehicles specifications'!CB$2)/1000*$AQ68</f>
        <v>9.0045389301005557E-12</v>
      </c>
      <c r="CC68" s="7">
        <f>SUMIFS('fuels and tailpipe emissions'!$C$10:$C$126,'fuels and tailpipe emissions'!$A$10:$A$126,'vehicles specifications'!$F68,'fuels and tailpipe emissions'!$B$10:$B$126,'vehicles specifications'!CC$2)/1000*$AQ68</f>
        <v>6.0030259534003705E-12</v>
      </c>
      <c r="CD68" s="7">
        <f>SUMIFS('fuels and tailpipe emissions'!$C$10:$C$126,'fuels and tailpipe emissions'!$A$10:$A$126,'vehicles specifications'!$F68,'fuels and tailpipe emissions'!$B$10:$B$126,'vehicles specifications'!CD$2)/1000*$AQ68</f>
        <v>6.4832680296724005E-8</v>
      </c>
      <c r="CE68" s="7">
        <f>SUMIFS('fuels and tailpipe emissions'!$C$10:$C$126,'fuels and tailpipe emissions'!$A$10:$A$126,'vehicles specifications'!$F68,'fuels and tailpipe emissions'!$B$10:$B$126,'vehicles specifications'!CE$2)/1000*$AQ68</f>
        <v>1.2606354502140775E-9</v>
      </c>
      <c r="CF68" s="7">
        <f>SUMIFS('fuels and tailpipe emissions'!$C$10:$C$126,'fuels and tailpipe emissions'!$A$10:$A$126,'vehicles specifications'!$F68,'fuels and tailpipe emissions'!$B$10:$B$126,'vehicles specifications'!CF$2)/1000*$AQ68</f>
        <v>3.9019668697102408E-10</v>
      </c>
      <c r="CG68" s="7">
        <f>SUMIFS('fuels and tailpipe emissions'!$C$10:$C$126,'fuels and tailpipe emissions'!$A$10:$A$126,'vehicles specifications'!$F68,'fuels and tailpipe emissions'!$B$10:$B$126,'vehicles specifications'!CG$2)/1000*$AQ68</f>
        <v>4.8024207627202969E-10</v>
      </c>
      <c r="CH68" s="7">
        <f>SUMIFS('fuels and tailpipe emissions'!$C$10:$C$126,'fuels and tailpipe emissions'!$A$10:$A$126,'vehicles specifications'!$F68,'fuels and tailpipe emissions'!$B$10:$B$126,'vehicles specifications'!CH$2)/1000*$AQ68</f>
        <v>9.6048415254405914E-13</v>
      </c>
      <c r="CI68" s="7">
        <f>SUMIFS('fuels and tailpipe emissions'!$C$10:$C$126,'fuels and tailpipe emissions'!$A$10:$A$126,'vehicles specifications'!$F68,'fuels and tailpipe emissions'!$B$10:$B$126,'vehicles specifications'!CI$2)/1000*$AQ68</f>
        <v>2.6113162897291613E-10</v>
      </c>
      <c r="CJ68" s="7">
        <f>SUMIFS('fuels and tailpipe emissions'!$C$10:$C$126,'fuels and tailpipe emissions'!$A$10:$A$126,'vehicles specifications'!$F68,'fuels and tailpipe emissions'!$B$10:$B$126,'vehicles specifications'!CJ$2)/1000*$AQ68</f>
        <v>3.2416340148362008E-10</v>
      </c>
      <c r="CK68" s="38">
        <f>VLOOKUP($B68,'abrasion emissions'!$O$7:$R$36,2,FALSE)</f>
        <v>0.5</v>
      </c>
      <c r="CL68" s="38">
        <f>VLOOKUP($B68,'abrasion emissions'!$O$7:$R$36,3,FALSE)</f>
        <v>0.5</v>
      </c>
      <c r="CM68" s="38">
        <f>VLOOKUP($B68,'abrasion emissions'!$O$7:$R$36,4,FALSE)</f>
        <v>0</v>
      </c>
      <c r="CN68" s="7">
        <f>((SUMIFS('abrasion emissions'!$M$7:$M$34,'abrasion emissions'!$I$7:$I$34,"PM 2.5",'abrasion emissions'!$J$7:$J$34,"urban",'abrasion emissions'!$K$7:$K$34,"Tyre",'abrasion emissions'!$L$7:$L$34,"b")*POWER(('vehicles specifications'!$Q68/1000),(1/SUMIFS('abrasion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specifications'!$P68/1000),(1/SUMIFS('abrasion emissions'!$M$7:$M$34,'abrasion emissions'!$I$7:$I$34,"PM 10",'abrasion emissions'!$J$7:$J$34,"urban",'abrasion emissions'!$K$7:$K$34,"Tyre",'abrasion emissions'!$L$7:$L$34,"c")))))/1000000</f>
        <v>5.7907764241256545E-6</v>
      </c>
      <c r="CO68" s="7">
        <f>((SUMIFS('abrasion emissions'!$M$7:$M$34,'abrasion emissions'!$I$7:$I$34,"PM 2.5",'abrasion emissions'!$J$7:$J$34,"rural",'abrasion emissions'!$K$7:$K$34,"Tyre",'abrasion emissions'!$L$7:$L$34,"b")*POWER(('vehicles specifications'!$Q68/1000),(1/SUMIFS('abrasion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specifications'!$P68/1000),(1/SUMIFS('abrasion emissions'!$M$7:$M$34,'abrasion emissions'!$I$7:$I$34,"PM 10",'abrasion emissions'!$J$7:$J$34,"rural",'abrasion emissions'!$K$7:$K$34,"Tyre",'abrasion emissions'!$L$7:$L$34,"c")))))/1000000</f>
        <v>4.5102839439602962E-6</v>
      </c>
      <c r="CP68" s="7">
        <f>((SUMIFS('abrasion emissions'!$M$7:$M$34,'abrasion emissions'!$I$7:$I$34,"PM 2.5",'abrasion emissions'!$J$7:$J$34,"motorway",'abrasion emissions'!$K$7:$K$34,"Tyre",'abrasion emissions'!$L$7:$L$34,"b")*POWER(('vehicles specifications'!$Q68/1000),(1/SUMIFS('abrasion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specifications'!$P68/1000),(1/SUMIFS('abrasion emissions'!$M$7:$M$34,'abrasion emissions'!$I$7:$I$34,"PM 10",'abrasion emissions'!$J$7:$J$34,"motorway",'abrasion emissions'!$K$7:$K$34,"Tyre",'abrasion emissions'!$L$7:$L$34,"c")))))/1000000</f>
        <v>3.8526193461663054E-6</v>
      </c>
      <c r="CQ68" s="7">
        <f>((SUMIFS('abrasion emissions'!$M$7:$M$34,'abrasion emissions'!$I$7:$I$34,"PM 2.5",'abrasion emissions'!$J$7:$J$34,"urban",'abrasion emissions'!$K$7:$K$34,"Brake",'abrasion emissions'!$L$7:$L$34,"b")*POWER(('vehicles specifications'!$Q68/1000),(1/SUMIFS('abrasion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specifications'!$P68/1000),(1/SUMIFS('abrasion emissions'!$M$7:$M$34,'abrasion emissions'!$I$7:$I$34,"PM 10",'abrasion emissions'!$J$7:$J$34,"urban",'abrasion emissions'!$K$7:$K$34,"Brake",'abrasion emissions'!$L$7:$L$34,"c")))))/1000000</f>
        <v>5.4663055659268262E-6</v>
      </c>
      <c r="CR68" s="7">
        <f>((SUMIFS('abrasion emissions'!$M$7:$M$34,'abrasion emissions'!$I$7:$I$34,"PM 2.5",'abrasion emissions'!$J$7:$J$34,"rural",'abrasion emissions'!$K$7:$K$34,"Brake",'abrasion emissions'!$L$7:$L$34,"b")*POWER(('vehicles specifications'!$Q68/1000),(1/SUMIFS('abrasion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specifications'!$P68/1000),(1/SUMIFS('abrasion emissions'!$M$7:$M$34,'abrasion emissions'!$I$7:$I$34,"PM 10",'abrasion emissions'!$J$7:$J$34,"rural",'abrasion emissions'!$K$7:$K$34,"Brake",'abrasion emissions'!$L$7:$L$34,"c")))))/1000000</f>
        <v>1.7244183027874851E-6</v>
      </c>
      <c r="CS68" s="7">
        <f>((SUMIFS('abrasion emissions'!$M$7:$M$34,'abrasion emissions'!$I$7:$I$34,"PM 2.5",'abrasion emissions'!$J$7:$J$34,"motorway",'abrasion emissions'!$K$7:$K$34,"Brake",'abrasion emissions'!$L$7:$L$34,"b")*POWER(('vehicles specifications'!$Q68/1000),(1/SUMIFS('abrasion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specifications'!$P68/1000),(1/SUMIFS('abrasion emissions'!$M$7:$M$34,'abrasion emissions'!$I$7:$I$34,"PM 10",'abrasion emissions'!$J$7:$J$34,"motorway",'abrasion emissions'!$K$7:$K$34,"Brake",'abrasion emissions'!$L$7:$L$34,"c")))))/1000000</f>
        <v>3.148384136841521E-7</v>
      </c>
      <c r="CT68" s="7">
        <f>((SUMIFS('abrasion emissions'!$M$7:$M$38,'abrasion emissions'!$I$7:$I$38,"PM 2.5",'abrasion emissions'!$K$7:$K$38,"Re-susp.",'abrasion emissions'!$L$7:$L$38,"b")*POWER(('vehicles specifications'!$Q68/1000),(1/SUMIFS('abrasion emissions'!$M$7:$M$38,'abrasion emissions'!$I$7:$I$38,"PM 2.5",'abrasion emissions'!$K$7:$K$38,"Re-susp.",'abrasion emissions'!$L$7:$L$38,"c"))))+
(SUMIFS('abrasion emissions'!$M$7:$M$38,'abrasion emissions'!$I$7:$I$38,"PM 10",'abrasion emissions'!$K$7:$K$38,"Re-susp.",'abrasion emissions'!$L$7:$L$38,"b")*POWER(('vehicles specifications'!$Q68/1000),(1/SUMIFS('abrasion emissions'!$M$7:$M$38,'abrasion emissions'!$I$7:$I$38,"PM 10",'abrasion emissions'!$K$7:$K$38,"Re-susp.",'abrasion emissions'!$L$7:$L$38,"c")))))/1000000</f>
        <v>3.2305688462489022E-6</v>
      </c>
      <c r="CU68" s="7">
        <f>((SUMIFS('abrasion emissions'!$M$7:$M$38,'abrasion emissions'!$I$7:$I$38,"PM 2.5",'abrasion emissions'!$K$7:$K$38,"Road",'abrasion emissions'!$L$7:$L$38,"b")*POWER(('vehicles specifications'!$Q68/1000),(1/SUMIFS('abrasion emissions'!$M$7:$M$38,'abrasion emissions'!$I$7:$I$38,"PM 2.5",'abrasion emissions'!$K$7:$K$38,"Road",'abrasion emissions'!$L$7:$L$38,"c"))))+
(SUMIFS('abrasion emissions'!$M$7:$M$38,'abrasion emissions'!$I$7:$I$38,"PM 10",'abrasion emissions'!$K$7:$K$38,"Road",'abrasion emissions'!$L$7:$L$38,"b")*POWER(('vehicles specifications'!$Q68/1000),(1/SUMIFS('abrasion emissions'!$M$7:$M$38,'abrasion emissions'!$I$7:$I$38,"PM 10",'abrasion emissions'!$K$7:$K$38,"Road",'abrasion emissions'!$L$7:$L$38,"c")))))/1000000+CT68</f>
        <v>6.329314640630878E-6</v>
      </c>
      <c r="CV68" s="7">
        <f>(CK68*CN68)+(CL68*CO68)+(CM68*CP68)</f>
        <v>5.1505301840429754E-6</v>
      </c>
      <c r="CW68" s="7">
        <f>(CK68*CQ68)+(CL68*CR68)+(CM68*CS68)</f>
        <v>3.5953619343571558E-6</v>
      </c>
    </row>
    <row r="69">
      <c r="A69" t="str">
        <f>B69&amp;" - "&amp;D69&amp;" - "&amp;IF(I69&lt;&gt;"",I69&amp;" - "&amp;E69,E69)</f>
        <v>Scooter, gasoline, &lt;4kW, EURO-5 - 2040 - CH</v>
      </c>
      <c r="B69" t="inlineStr">
        <is>
          <t>Scooter, gasoline, &lt;4kW, EURO-5</t>
        </is>
      </c>
      <c r="D69" s="18" t="n">
        <v>2040</v>
      </c>
      <c r="E69" t="inlineStr">
        <is>
          <t>CH</t>
        </is>
      </c>
      <c r="F69" t="inlineStr">
        <is>
          <t>EURO-5</t>
        </is>
      </c>
      <c r="G69" t="inlineStr">
        <is>
          <t>vkm</t>
        </is>
      </c>
      <c r="H69" t="inlineStr">
        <is>
          <t>ICEV-p</t>
        </is>
      </c>
      <c r="J69" t="n">
        <v>25000</v>
      </c>
      <c r="K69" t="n">
        <v>1570</v>
      </c>
      <c r="L69" s="2">
        <f>J69/K69</f>
        <v>15.923566878980891</v>
      </c>
      <c r="M69" t="n">
        <v>1</v>
      </c>
      <c r="N69" t="n">
        <v>75</v>
      </c>
      <c r="O69" t="n">
        <v>4</v>
      </c>
      <c r="P69" s="2">
        <f>SUM(U69,V69,W69,AC69,AF69,AH69)</f>
        <v>86.487499999999983</v>
      </c>
      <c r="Q69" s="2">
        <f>P69+(M69*N69)+O69</f>
        <v>165.48749999999998</v>
      </c>
      <c r="R69" t="n">
        <v>2.8</v>
      </c>
      <c r="S69" s="2" t="n">
        <v>53</v>
      </c>
      <c r="T69" s="1" t="n">
        <v>0.05</v>
      </c>
      <c r="U69" s="2">
        <f>S69*(1-T69)</f>
        <v>50.349999999999994</v>
      </c>
      <c r="V69" t="n">
        <v>30.1</v>
      </c>
      <c r="W69" t="n">
        <v>0</v>
      </c>
      <c r="X69" s="3" t="n">
        <v>0</v>
      </c>
      <c r="Y69" s="1" t="n">
        <v>0.8</v>
      </c>
      <c r="Z69" s="3">
        <f>Y69*X69</f>
        <v>0</v>
      </c>
      <c r="AA69" s="3">
        <f>IF(I69&lt;&gt;"",X69/INDEX('energy battery'!$B$3:$D$6,MATCH('vehicles specifications'!$D69,'energy battery'!$A$3:$A$6,0),MATCH('vehicles specifications'!$I69,'energy battery'!$B$2:$D$2,0)),"")</f>
        <v/>
      </c>
      <c r="AB69" s="3">
        <f>IF(AA69&lt;&gt;"",0.3*AA69,"")</f>
        <v/>
      </c>
      <c r="AC69" s="3">
        <f>IF(AA69&lt;&gt;"",AB69+AA69,"")</f>
        <v/>
      </c>
      <c r="AD69" s="3" t="n">
        <v>0</v>
      </c>
      <c r="AE69" s="3" t="n">
        <v>7</v>
      </c>
      <c r="AF69">
        <f>AE69*'fuels and tailpipe emissions'!$B$3</f>
        <v>5.25</v>
      </c>
      <c r="AG69" s="2">
        <f>AF69*'fuels and tailpipe emissions'!$C$3</f>
        <v>62.125</v>
      </c>
      <c r="AH69" s="3">
        <f>0.15*AF69</f>
        <v>0.78749999999999998</v>
      </c>
      <c r="AI69" t="n">
        <v>0</v>
      </c>
      <c r="AJ69" t="n">
        <v>0</v>
      </c>
      <c r="AK69">
        <f>J69/25000</f>
        <v>1</v>
      </c>
      <c r="AL69">
        <f>0.000537/1000*Q69</f>
        <v>8.8866787499999997E-5</v>
      </c>
      <c r="AM69" t="n">
        <v>0.00129</v>
      </c>
      <c r="AN69" s="2">
        <f>U69</f>
        <v>50.349999999999994</v>
      </c>
      <c r="AO69" s="2">
        <f>SUM(V69:W69)</f>
        <v>30.1</v>
      </c>
      <c r="AP69" s="2">
        <f>AC69</f>
        <v/>
      </c>
      <c r="AQ69" s="6" t="n">
        <v>1.262886584946603</v>
      </c>
      <c r="AR69" s="20" t="n">
        <v>0</v>
      </c>
      <c r="AS69" s="6">
        <f>IF($H69="BEV",SUMPRODUCT(#REF!,#REF!),"")</f>
        <v/>
      </c>
      <c r="AT69" s="2">
        <f>SUM(Z69,AG69)/(SUM(AQ69,AS69)/3.6)</f>
        <v>177.09428753608648</v>
      </c>
      <c r="AU69" s="5">
        <f>IF($H69="ICEV-p",$AQ69/('fuels and tailpipe emissions'!$C$3*3.6)*'fuels and tailpipe emissions'!$D$3,"")*(1-AR69)</f>
        <v>9.3086006496064161E-2</v>
      </c>
      <c r="AV69" s="5">
        <f>IF($H69="ICEV-p",$AQ69/('fuels and tailpipe emissions'!$C$3*3.6)*'fuels and tailpipe emissions'!$D$3,"")*AR69</f>
        <v>0</v>
      </c>
      <c r="AW69" s="7">
        <f>IF($H69="ICEV-p",$AQ69/('fuels and tailpipe emissions'!$C$3*3.6)*'fuels and tailpipe emissions'!$E$3,"")</f>
        <v>4.7432359997994471E-7</v>
      </c>
      <c r="AX69" s="7">
        <f>SUMIFS('fuels and tailpipe emissions'!$C$10:$C$126,'fuels and tailpipe emissions'!$A$10:$A$126,'vehicles specifications'!$F69,'fuels and tailpipe emissions'!$B$10:$B$126,'vehicles specifications'!AX$2)/1000*$AQ69</f>
        <v>7.6786251549212049E-5</v>
      </c>
      <c r="AY69" s="7">
        <f>SUMIFS('fuels and tailpipe emissions'!$C$10:$C$126,'fuels and tailpipe emissions'!$A$10:$A$126,'vehicles specifications'!$F69,'fuels and tailpipe emissions'!$B$10:$B$126,'vehicles specifications'!AY$2)/1000*$AQ69</f>
        <v>3.4817163857651117E-5</v>
      </c>
      <c r="AZ69" s="7">
        <f>SUMIFS('fuels and tailpipe emissions'!$C$10:$C$126,'fuels and tailpipe emissions'!$A$10:$A$126,'vehicles specifications'!$F69,'fuels and tailpipe emissions'!$B$10:$B$126,'vehicles specifications'!AZ$2)/1000*$AQ69</f>
        <v>3.6815612244507218E-3</v>
      </c>
      <c r="BA69" s="7">
        <f>SUMIFS('fuels and tailpipe emissions'!$C$10:$C$126,'fuels and tailpipe emissions'!$A$10:$A$126,'vehicles specifications'!$F69,'fuels and tailpipe emissions'!$B$10:$B$126,'vehicles specifications'!BA$2)/1000*$AQ69</f>
        <v>1.7664720374252222E-6</v>
      </c>
      <c r="BB69" s="7">
        <f>SUMIFS('fuels and tailpipe emissions'!$C$10:$C$126,'fuels and tailpipe emissions'!$A$10:$A$126,'vehicles specifications'!$F69,'fuels and tailpipe emissions'!$B$10:$B$126,'vehicles specifications'!BB$2)/1000*$AQ69</f>
        <v>1.7664720374252222E-6</v>
      </c>
      <c r="BC69" s="7">
        <f>SUMIFS('fuels and tailpipe emissions'!$C$10:$C$126,'fuels and tailpipe emissions'!$A$10:$A$126,'vehicles specifications'!$F69,'fuels and tailpipe emissions'!$B$10:$B$126,'vehicles specifications'!BC$2)/1000*$AQ69</f>
        <v>1.3246899026788587E-4</v>
      </c>
      <c r="BD69" s="7">
        <f>SUMIFS('fuels and tailpipe emissions'!$C$10:$C$126,'fuels and tailpipe emissions'!$A$10:$A$126,'vehicles specifications'!$F69,'fuels and tailpipe emissions'!$B$10:$B$126,'vehicles specifications'!BD$2)/1000*$AQ69</f>
        <v>1.014484891093305E-5</v>
      </c>
      <c r="BE69" s="7">
        <f>SUMIFS('fuels and tailpipe emissions'!$C$10:$C$126,'fuels and tailpipe emissions'!$A$10:$A$126,'vehicles specifications'!$F69,'fuels and tailpipe emissions'!$B$10:$B$126,'vehicles specifications'!BE$2)/1000*$AQ69</f>
        <v>6.192174723861593E-4</v>
      </c>
      <c r="BF69" s="7">
        <f>SUMIFS('fuels and tailpipe emissions'!$C$10:$C$126,'fuels and tailpipe emissions'!$A$10:$A$126,'vehicles specifications'!$F69,'fuels and tailpipe emissions'!$B$10:$B$126,'vehicles specifications'!BF$2)/1000*$AQ69</f>
        <v>4.3662770488767639E-5</v>
      </c>
      <c r="BG69" s="7">
        <f>SUMIFS('fuels and tailpipe emissions'!$C$10:$C$126,'fuels and tailpipe emissions'!$A$10:$A$126,'vehicles specifications'!$F69,'fuels and tailpipe emissions'!$B$10:$B$126,'vehicles specifications'!BG$2)/1000*$AQ69</f>
        <v>8.8968027641689555E-6</v>
      </c>
      <c r="BH69" s="7">
        <f>SUMIFS('fuels and tailpipe emissions'!$C$10:$C$126,'fuels and tailpipe emissions'!$A$10:$A$126,'vehicles specifications'!$F69,'fuels and tailpipe emissions'!$B$10:$B$126,'vehicles specifications'!BH$2)/1000*$AQ69</f>
        <v>7.1721917668069734E-5</v>
      </c>
      <c r="BI69" s="7">
        <f>SUMIFS('fuels and tailpipe emissions'!$C$10:$C$126,'fuels and tailpipe emissions'!$A$10:$A$126,'vehicles specifications'!$F69,'fuels and tailpipe emissions'!$B$10:$B$126,'vehicles specifications'!BI$2)/1000*$AQ69</f>
        <v>2.9427886066097313E-5</v>
      </c>
      <c r="BJ69" s="7">
        <f>SUMIFS('fuels and tailpipe emissions'!$C$10:$C$126,'fuels and tailpipe emissions'!$A$10:$A$126,'vehicles specifications'!$F69,'fuels and tailpipe emissions'!$B$10:$B$126,'vehicles specifications'!BJ$2)/1000*$AQ69</f>
        <v>2.2036696077403105E-5</v>
      </c>
      <c r="BK69" s="7">
        <f>SUMIFS('fuels and tailpipe emissions'!$C$10:$C$126,'fuels and tailpipe emissions'!$A$10:$A$126,'vehicles specifications'!$F69,'fuels and tailpipe emissions'!$B$10:$B$126,'vehicles specifications'!BK$2)/1000*$AQ69</f>
        <v>1.5603623309465551E-5</v>
      </c>
      <c r="BL69" s="7">
        <f>SUMIFS('fuels and tailpipe emissions'!$C$10:$C$126,'fuels and tailpipe emissions'!$A$10:$A$126,'vehicles specifications'!$F69,'fuels and tailpipe emissions'!$B$10:$B$126,'vehicles specifications'!BL$2)/1000*$AQ69</f>
        <v>1.0128667762284656E-5</v>
      </c>
      <c r="BM69" s="7">
        <f>SUMIFS('fuels and tailpipe emissions'!$C$10:$C$126,'fuels and tailpipe emissions'!$A$10:$A$126,'vehicles specifications'!$F69,'fuels and tailpipe emissions'!$B$10:$B$126,'vehicles specifications'!BM$2)/1000*$AQ69</f>
        <v>9.9917938736051348E-5</v>
      </c>
      <c r="BN69" s="7">
        <f>SUMIFS('fuels and tailpipe emissions'!$C$10:$C$126,'fuels and tailpipe emissions'!$A$10:$A$126,'vehicles specifications'!$F69,'fuels and tailpipe emissions'!$B$10:$B$126,'vehicles specifications'!BN$2)/1000*$AQ69</f>
        <v>5.2285825475577546E-5</v>
      </c>
      <c r="BO69" s="7">
        <f>SUMIFS('fuels and tailpipe emissions'!$C$10:$C$126,'fuels and tailpipe emissions'!$A$10:$A$126,'vehicles specifications'!$F69,'fuels and tailpipe emissions'!$B$10:$B$126,'vehicles specifications'!BO$2)/1000*$AQ69</f>
        <v>1.5056127754747464E-6</v>
      </c>
      <c r="BP69" s="7">
        <f>SUMIFS('fuels and tailpipe emissions'!$C$10:$C$126,'fuels and tailpipe emissions'!$A$10:$A$126,'vehicles specifications'!$F69,'fuels and tailpipe emissions'!$B$10:$B$126,'vehicles specifications'!BP$2)/1000*$AQ69</f>
        <v>7.6786251549212049E-5</v>
      </c>
      <c r="BQ69" s="7">
        <f>SUMIFS('fuels and tailpipe emissions'!$C$10:$C$126,'fuels and tailpipe emissions'!$A$10:$A$126,'vehicles specifications'!$F69,'fuels and tailpipe emissions'!$B$10:$B$126,'vehicles specifications'!BQ$2)/1000*$AQ69</f>
        <v>1.5028752977011559E-4</v>
      </c>
      <c r="BR69" s="7">
        <f>SUMIFS('fuels and tailpipe emissions'!$C$10:$C$126,'fuels and tailpipe emissions'!$A$10:$A$126,'vehicles specifications'!$F69,'fuels and tailpipe emissions'!$B$10:$B$126,'vehicles specifications'!BR$2)/1000*$AQ69</f>
        <v>7.4322521552980665E-5</v>
      </c>
      <c r="BS69" s="7">
        <f>SUMIFS('fuels and tailpipe emissions'!$C$10:$C$126,'fuels and tailpipe emissions'!$A$10:$A$126,'vehicles specifications'!$F69,'fuels and tailpipe emissions'!$B$10:$B$126,'vehicles specifications'!BS$2)/1000*$AQ69</f>
        <v>3.0933498841572057E-5</v>
      </c>
      <c r="BT69" s="7">
        <f>SUMIFS('fuels and tailpipe emissions'!$C$10:$C$126,'fuels and tailpipe emissions'!$A$10:$A$126,'vehicles specifications'!$F69,'fuels and tailpipe emissions'!$B$10:$B$126,'vehicles specifications'!BT$2)/1000*$AQ69</f>
        <v>2.3268561075518807E-5</v>
      </c>
      <c r="BU69" s="7">
        <f>SUMIFS('fuels and tailpipe emissions'!$C$10:$C$126,'fuels and tailpipe emissions'!$A$10:$A$126,'vehicles specifications'!$F69,'fuels and tailpipe emissions'!$B$10:$B$126,'vehicles specifications'!BU$2)/1000*$AQ69</f>
        <v>1.0265541650964179E-5</v>
      </c>
      <c r="BV69" s="7">
        <f>SUMIFS('fuels and tailpipe emissions'!$C$10:$C$126,'fuels and tailpipe emissions'!$A$10:$A$126,'vehicles specifications'!$F69,'fuels and tailpipe emissions'!$B$10:$B$126,'vehicles specifications'!BV$2)/1000*$AQ69</f>
        <v>3.0112255509494928E-6</v>
      </c>
      <c r="BW69" s="7">
        <f>SUMIFS('fuels and tailpipe emissions'!$C$10:$C$126,'fuels and tailpipe emissions'!$A$10:$A$126,'vehicles specifications'!$F69,'fuels and tailpipe emissions'!$B$10:$B$126,'vehicles specifications'!BW$2)/1000*$AQ69</f>
        <v>8.3493072094508672E-6</v>
      </c>
      <c r="BX69" s="7">
        <f>SUMIFS('fuels and tailpipe emissions'!$C$10:$C$126,'fuels and tailpipe emissions'!$A$10:$A$126,'vehicles specifications'!$F69,'fuels and tailpipe emissions'!$B$10:$B$126,'vehicles specifications'!BX$2)/1000*$AQ69</f>
        <v>0</v>
      </c>
      <c r="BY69" s="7">
        <f>SUMIFS('fuels and tailpipe emissions'!$C$10:$C$126,'fuels and tailpipe emissions'!$A$10:$A$126,'vehicles specifications'!$F69,'fuels and tailpipe emissions'!$B$10:$B$126,'vehicles specifications'!BY$2)/1000*$AQ69</f>
        <v>2.6006038849109253E-6</v>
      </c>
      <c r="BZ69" s="7">
        <f>SUMIFS('fuels and tailpipe emissions'!$C$10:$C$126,'fuels and tailpipe emissions'!$A$10:$A$126,'vehicles specifications'!$F69,'fuels and tailpipe emissions'!$B$10:$B$126,'vehicles specifications'!BZ$2)/1000*$AQ69</f>
        <v>1.382426275663176E-5</v>
      </c>
      <c r="CA69" s="7">
        <f>SUMIFS('fuels and tailpipe emissions'!$C$10:$C$126,'fuels and tailpipe emissions'!$A$10:$A$126,'vehicles specifications'!$F69,'fuels and tailpipe emissions'!$B$10:$B$126,'vehicles specifications'!CA$2)/1000*$AQ69</f>
        <v>1.0340812507327478E-9</v>
      </c>
      <c r="CB69" s="7">
        <f>SUMIFS('fuels and tailpipe emissions'!$C$10:$C$126,'fuels and tailpipe emissions'!$A$10:$A$126,'vehicles specifications'!$F69,'fuels and tailpipe emissions'!$B$10:$B$126,'vehicles specifications'!CB$2)/1000*$AQ69</f>
        <v>8.9144935407995503E-12</v>
      </c>
      <c r="CC69" s="7">
        <f>SUMIFS('fuels and tailpipe emissions'!$C$10:$C$126,'fuels and tailpipe emissions'!$A$10:$A$126,'vehicles specifications'!$F69,'fuels and tailpipe emissions'!$B$10:$B$126,'vehicles specifications'!CC$2)/1000*$AQ69</f>
        <v>5.9429956938663669E-12</v>
      </c>
      <c r="CD69" s="7">
        <f>SUMIFS('fuels and tailpipe emissions'!$C$10:$C$126,'fuels and tailpipe emissions'!$A$10:$A$126,'vehicles specifications'!$F69,'fuels and tailpipe emissions'!$B$10:$B$126,'vehicles specifications'!CD$2)/1000*$AQ69</f>
        <v>6.4184353493756758E-8</v>
      </c>
      <c r="CE69" s="7">
        <f>SUMIFS('fuels and tailpipe emissions'!$C$10:$C$126,'fuels and tailpipe emissions'!$A$10:$A$126,'vehicles specifications'!$F69,'fuels and tailpipe emissions'!$B$10:$B$126,'vehicles specifications'!CE$2)/1000*$AQ69</f>
        <v>1.2480290957119369E-9</v>
      </c>
      <c r="CF69" s="7">
        <f>SUMIFS('fuels and tailpipe emissions'!$C$10:$C$126,'fuels and tailpipe emissions'!$A$10:$A$126,'vehicles specifications'!$F69,'fuels and tailpipe emissions'!$B$10:$B$126,'vehicles specifications'!CF$2)/1000*$AQ69</f>
        <v>3.8629472010131386E-10</v>
      </c>
      <c r="CG69" s="7">
        <f>SUMIFS('fuels and tailpipe emissions'!$C$10:$C$126,'fuels and tailpipe emissions'!$A$10:$A$126,'vehicles specifications'!$F69,'fuels and tailpipe emissions'!$B$10:$B$126,'vehicles specifications'!CG$2)/1000*$AQ69</f>
        <v>4.7543965550930935E-10</v>
      </c>
      <c r="CH69" s="7">
        <f>SUMIFS('fuels and tailpipe emissions'!$C$10:$C$126,'fuels and tailpipe emissions'!$A$10:$A$126,'vehicles specifications'!$F69,'fuels and tailpipe emissions'!$B$10:$B$126,'vehicles specifications'!CH$2)/1000*$AQ69</f>
        <v>9.5087931101861857E-13</v>
      </c>
      <c r="CI69" s="7">
        <f>SUMIFS('fuels and tailpipe emissions'!$C$10:$C$126,'fuels and tailpipe emissions'!$A$10:$A$126,'vehicles specifications'!$F69,'fuels and tailpipe emissions'!$B$10:$B$126,'vehicles specifications'!CI$2)/1000*$AQ69</f>
        <v>2.5852031268318695E-10</v>
      </c>
      <c r="CJ69" s="7">
        <f>SUMIFS('fuels and tailpipe emissions'!$C$10:$C$126,'fuels and tailpipe emissions'!$A$10:$A$126,'vehicles specifications'!$F69,'fuels and tailpipe emissions'!$B$10:$B$126,'vehicles specifications'!CJ$2)/1000*$AQ69</f>
        <v>3.2092176746878389E-10</v>
      </c>
      <c r="CK69" s="38">
        <f>VLOOKUP($B69,'abrasion emissions'!$O$7:$R$36,2,FALSE)</f>
        <v>0.5</v>
      </c>
      <c r="CL69" s="38">
        <f>VLOOKUP($B69,'abrasion emissions'!$O$7:$R$36,3,FALSE)</f>
        <v>0.5</v>
      </c>
      <c r="CM69" s="38">
        <f>VLOOKUP($B69,'abrasion emissions'!$O$7:$R$36,4,FALSE)</f>
        <v>0</v>
      </c>
      <c r="CN69" s="7">
        <f>((SUMIFS('abrasion emissions'!$M$7:$M$34,'abrasion emissions'!$I$7:$I$34,"PM 2.5",'abrasion emissions'!$J$7:$J$34,"urban",'abrasion emissions'!$K$7:$K$34,"Tyre",'abrasion emissions'!$L$7:$L$34,"b")*POWER(('vehicles specifications'!$Q69/1000),(1/SUMIFS('abrasion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specifications'!$P69/1000),(1/SUMIFS('abrasion emissions'!$M$7:$M$34,'abrasion emissions'!$I$7:$I$34,"PM 10",'abrasion emissions'!$J$7:$J$34,"urban",'abrasion emissions'!$K$7:$K$34,"Tyre",'abrasion emissions'!$L$7:$L$34,"c")))))/1000000</f>
        <v>5.7519342756854562E-6</v>
      </c>
      <c r="CO69" s="7">
        <f>((SUMIFS('abrasion emissions'!$M$7:$M$34,'abrasion emissions'!$I$7:$I$34,"PM 2.5",'abrasion emissions'!$J$7:$J$34,"rural",'abrasion emissions'!$K$7:$K$34,"Tyre",'abrasion emissions'!$L$7:$L$34,"b")*POWER(('vehicles specifications'!$Q69/1000),(1/SUMIFS('abrasion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specifications'!$P69/1000),(1/SUMIFS('abrasion emissions'!$M$7:$M$34,'abrasion emissions'!$I$7:$I$34,"PM 10",'abrasion emissions'!$J$7:$J$34,"rural",'abrasion emissions'!$K$7:$K$34,"Tyre",'abrasion emissions'!$L$7:$L$34,"c")))))/1000000</f>
        <v>4.4800587423910355E-6</v>
      </c>
      <c r="CP69" s="7">
        <f>((SUMIFS('abrasion emissions'!$M$7:$M$34,'abrasion emissions'!$I$7:$I$34,"PM 2.5",'abrasion emissions'!$J$7:$J$34,"motorway",'abrasion emissions'!$K$7:$K$34,"Tyre",'abrasion emissions'!$L$7:$L$34,"b")*POWER(('vehicles specifications'!$Q69/1000),(1/SUMIFS('abrasion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specifications'!$P69/1000),(1/SUMIFS('abrasion emissions'!$M$7:$M$34,'abrasion emissions'!$I$7:$I$34,"PM 10",'abrasion emissions'!$J$7:$J$34,"motorway",'abrasion emissions'!$K$7:$K$34,"Tyre",'abrasion emissions'!$L$7:$L$34,"c")))))/1000000</f>
        <v>3.8268715037482708E-6</v>
      </c>
      <c r="CQ69" s="7">
        <f>((SUMIFS('abrasion emissions'!$M$7:$M$34,'abrasion emissions'!$I$7:$I$34,"PM 2.5",'abrasion emissions'!$J$7:$J$34,"urban",'abrasion emissions'!$K$7:$K$34,"Brake",'abrasion emissions'!$L$7:$L$34,"b")*POWER(('vehicles specifications'!$Q69/1000),(1/SUMIFS('abrasion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specifications'!$P69/1000),(1/SUMIFS('abrasion emissions'!$M$7:$M$34,'abrasion emissions'!$I$7:$I$34,"PM 10",'abrasion emissions'!$J$7:$J$34,"urban",'abrasion emissions'!$K$7:$K$34,"Brake",'abrasion emissions'!$L$7:$L$34,"c")))))/1000000</f>
        <v>5.4260352868045209E-6</v>
      </c>
      <c r="CR69" s="7">
        <f>((SUMIFS('abrasion emissions'!$M$7:$M$34,'abrasion emissions'!$I$7:$I$34,"PM 2.5",'abrasion emissions'!$J$7:$J$34,"rural",'abrasion emissions'!$K$7:$K$34,"Brake",'abrasion emissions'!$L$7:$L$34,"b")*POWER(('vehicles specifications'!$Q69/1000),(1/SUMIFS('abrasion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specifications'!$P69/1000),(1/SUMIFS('abrasion emissions'!$M$7:$M$34,'abrasion emissions'!$I$7:$I$34,"PM 10",'abrasion emissions'!$J$7:$J$34,"rural",'abrasion emissions'!$K$7:$K$34,"Brake",'abrasion emissions'!$L$7:$L$34,"c")))))/1000000</f>
        <v>1.7084307714160337E-6</v>
      </c>
      <c r="CS69" s="7">
        <f>((SUMIFS('abrasion emissions'!$M$7:$M$34,'abrasion emissions'!$I$7:$I$34,"PM 2.5",'abrasion emissions'!$J$7:$J$34,"motorway",'abrasion emissions'!$K$7:$K$34,"Brake",'abrasion emissions'!$L$7:$L$34,"b")*POWER(('vehicles specifications'!$Q69/1000),(1/SUMIFS('abrasion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specifications'!$P69/1000),(1/SUMIFS('abrasion emissions'!$M$7:$M$34,'abrasion emissions'!$I$7:$I$34,"PM 10",'abrasion emissions'!$J$7:$J$34,"motorway",'abrasion emissions'!$K$7:$K$34,"Brake",'abrasion emissions'!$L$7:$L$34,"c")))))/1000000</f>
        <v>3.1149984468970692E-7</v>
      </c>
      <c r="CT69" s="7">
        <f>((SUMIFS('abrasion emissions'!$M$7:$M$38,'abrasion emissions'!$I$7:$I$38,"PM 2.5",'abrasion emissions'!$K$7:$K$38,"Re-susp.",'abrasion emissions'!$L$7:$L$38,"b")*POWER(('vehicles specifications'!$Q69/1000),(1/SUMIFS('abrasion emissions'!$M$7:$M$38,'abrasion emissions'!$I$7:$I$38,"PM 2.5",'abrasion emissions'!$K$7:$K$38,"Re-susp.",'abrasion emissions'!$L$7:$L$38,"c"))))+
(SUMIFS('abrasion emissions'!$M$7:$M$38,'abrasion emissions'!$I$7:$I$38,"PM 10",'abrasion emissions'!$K$7:$K$38,"Re-susp.",'abrasion emissions'!$L$7:$L$38,"b")*POWER(('vehicles specifications'!$Q69/1000),(1/SUMIFS('abrasion emissions'!$M$7:$M$38,'abrasion emissions'!$I$7:$I$38,"PM 10",'abrasion emissions'!$K$7:$K$38,"Re-susp.",'abrasion emissions'!$L$7:$L$38,"c")))))/1000000</f>
        <v>3.1961738145386449E-6</v>
      </c>
      <c r="CU69" s="7">
        <f>((SUMIFS('abrasion emissions'!$M$7:$M$38,'abrasion emissions'!$I$7:$I$38,"PM 2.5",'abrasion emissions'!$K$7:$K$38,"Road",'abrasion emissions'!$L$7:$L$38,"b")*POWER(('vehicles specifications'!$Q69/1000),(1/SUMIFS('abrasion emissions'!$M$7:$M$38,'abrasion emissions'!$I$7:$I$38,"PM 2.5",'abrasion emissions'!$K$7:$K$38,"Road",'abrasion emissions'!$L$7:$L$38,"c"))))+
(SUMIFS('abrasion emissions'!$M$7:$M$38,'abrasion emissions'!$I$7:$I$38,"PM 10",'abrasion emissions'!$K$7:$K$38,"Road",'abrasion emissions'!$L$7:$L$38,"b")*POWER(('vehicles specifications'!$Q69/1000),(1/SUMIFS('abrasion emissions'!$M$7:$M$38,'abrasion emissions'!$I$7:$I$38,"PM 10",'abrasion emissions'!$K$7:$K$38,"Road",'abrasion emissions'!$L$7:$L$38,"c")))))/1000000+CT69</f>
        <v>6.2706913086981688E-6</v>
      </c>
      <c r="CV69" s="7">
        <f>(CK69*CN69)+(CL69*CO69)+(CM69*CP69)</f>
        <v>5.1159965090382458E-6</v>
      </c>
      <c r="CW69" s="7">
        <f>(CK69*CQ69)+(CL69*CR69)+(CM69*CS69)</f>
        <v>3.5672330291102775E-6</v>
      </c>
    </row>
    <row r="70">
      <c r="A70" t="str">
        <f>B70&amp;" - "&amp;D70&amp;" - "&amp;IF(I70&lt;&gt;"",I70&amp;" - "&amp;E70,E70)</f>
        <v>Scooter, gasoline, &lt;4kW, EURO-5 - 2050 - CH</v>
      </c>
      <c r="B70" t="inlineStr">
        <is>
          <t>Scooter, gasoline, &lt;4kW, EURO-5</t>
        </is>
      </c>
      <c r="D70" s="18" t="n">
        <v>2050</v>
      </c>
      <c r="E70" t="inlineStr">
        <is>
          <t>CH</t>
        </is>
      </c>
      <c r="F70" t="inlineStr">
        <is>
          <t>EURO-5</t>
        </is>
      </c>
      <c r="G70" t="inlineStr">
        <is>
          <t>vkm</t>
        </is>
      </c>
      <c r="H70" t="inlineStr">
        <is>
          <t>ICEV-p</t>
        </is>
      </c>
      <c r="J70" t="n">
        <v>25000</v>
      </c>
      <c r="K70" t="n">
        <v>1570</v>
      </c>
      <c r="L70" s="2">
        <f>J70/K70</f>
        <v>15.923566878980891</v>
      </c>
      <c r="M70" t="n">
        <v>1</v>
      </c>
      <c r="N70" t="n">
        <v>75</v>
      </c>
      <c r="O70" t="n">
        <v>4</v>
      </c>
      <c r="P70" s="2">
        <f>SUM(U70,V70,W70,AC70,AF70,AH70)</f>
        <v>84.527499999999989</v>
      </c>
      <c r="Q70" s="2">
        <f>P70+(M70*N70)+O70</f>
        <v>163.52749999999997</v>
      </c>
      <c r="R70" t="n">
        <v>2.8</v>
      </c>
      <c r="S70" s="2" t="n">
        <v>53</v>
      </c>
      <c r="T70" s="1" t="n">
        <v>0.07000000000000001</v>
      </c>
      <c r="U70" s="2">
        <f>S70*(1-T70)</f>
        <v>49.29</v>
      </c>
      <c r="V70" t="n">
        <v>29.2</v>
      </c>
      <c r="W70" t="n">
        <v>0</v>
      </c>
      <c r="X70" s="3" t="n">
        <v>0</v>
      </c>
      <c r="Y70" s="1" t="n">
        <v>0.8</v>
      </c>
      <c r="Z70" s="3">
        <f>Y70*X70</f>
        <v>0</v>
      </c>
      <c r="AA70" s="3">
        <f>IF(I70&lt;&gt;"",X70/INDEX('energy battery'!$B$3:$D$6,MATCH('vehicles specifications'!$D70,'energy battery'!$A$3:$A$6,0),MATCH('vehicles specifications'!$I70,'energy battery'!$B$2:$D$2,0)),"")</f>
        <v/>
      </c>
      <c r="AB70" s="3">
        <f>IF(AA70&lt;&gt;"",0.3*AA70,"")</f>
        <v/>
      </c>
      <c r="AC70" s="3">
        <f>IF(AA70&lt;&gt;"",AB70+AA70,"")</f>
        <v/>
      </c>
      <c r="AD70" s="3" t="n">
        <v>0</v>
      </c>
      <c r="AE70" s="3" t="n">
        <v>7</v>
      </c>
      <c r="AF70">
        <f>AE70*'fuels and tailpipe emissions'!$B$3</f>
        <v>5.25</v>
      </c>
      <c r="AG70" s="2">
        <f>AF70*'fuels and tailpipe emissions'!$C$3</f>
        <v>62.125</v>
      </c>
      <c r="AH70" s="3">
        <f>0.15*AF70</f>
        <v>0.78749999999999998</v>
      </c>
      <c r="AI70" t="n">
        <v>0</v>
      </c>
      <c r="AJ70" t="n">
        <v>0</v>
      </c>
      <c r="AK70">
        <f>J70/25000</f>
        <v>1</v>
      </c>
      <c r="AL70">
        <f>0.000537/1000*Q70</f>
        <v>8.7814267499999985E-5</v>
      </c>
      <c r="AM70" t="n">
        <v>0.00129</v>
      </c>
      <c r="AN70" s="2">
        <f>U70</f>
        <v>49.29</v>
      </c>
      <c r="AO70" s="2">
        <f>SUM(V70:W70)</f>
        <v>29.2</v>
      </c>
      <c r="AP70" s="2">
        <f>AC70</f>
        <v/>
      </c>
      <c r="AQ70" s="6" t="n">
        <v>1.250257719097137</v>
      </c>
      <c r="AR70" s="20" t="n">
        <v>0</v>
      </c>
      <c r="AS70" s="6">
        <f>IF($H70="BEV",SUMPRODUCT(#REF!,#REF!),"")</f>
        <v/>
      </c>
      <c r="AT70" s="2">
        <f>SUM(Z70,AG70)/(SUM(AQ70,AS70)/3.6)</f>
        <v>178.88311872331968</v>
      </c>
      <c r="AU70" s="5">
        <f>IF($H70="ICEV-p",$AQ70/('fuels and tailpipe emissions'!$C$3*3.6)*'fuels and tailpipe emissions'!$D$3,"")*(1-AR70)</f>
        <v>9.2155146431103521E-2</v>
      </c>
      <c r="AV70" s="5">
        <f>IF($H70="ICEV-p",$AQ70/('fuels and tailpipe emissions'!$C$3*3.6)*'fuels and tailpipe emissions'!$D$3,"")*AR70</f>
        <v>0</v>
      </c>
      <c r="AW70" s="7">
        <f>IF($H70="ICEV-p",$AQ70/('fuels and tailpipe emissions'!$C$3*3.6)*'fuels and tailpipe emissions'!$E$3,"")</f>
        <v>4.6958036398014528E-7</v>
      </c>
      <c r="AX70" s="7">
        <f>SUMIFS('fuels and tailpipe emissions'!$C$10:$C$126,'fuels and tailpipe emissions'!$A$10:$A$126,'vehicles specifications'!$F70,'fuels and tailpipe emissions'!$B$10:$B$126,'vehicles specifications'!AX$2)/1000*$AQ70</f>
        <v>7.6018389033719928E-5</v>
      </c>
      <c r="AY70" s="7">
        <f>SUMIFS('fuels and tailpipe emissions'!$C$10:$C$126,'fuels and tailpipe emissions'!$A$10:$A$126,'vehicles specifications'!$F70,'fuels and tailpipe emissions'!$B$10:$B$126,'vehicles specifications'!AY$2)/1000*$AQ70</f>
        <v>3.4468992219074605E-5</v>
      </c>
      <c r="AZ70" s="7">
        <f>SUMIFS('fuels and tailpipe emissions'!$C$10:$C$126,'fuels and tailpipe emissions'!$A$10:$A$126,'vehicles specifications'!$F70,'fuels and tailpipe emissions'!$B$10:$B$126,'vehicles specifications'!AZ$2)/1000*$AQ70</f>
        <v>3.6447456122062146E-3</v>
      </c>
      <c r="BA70" s="7">
        <f>SUMIFS('fuels and tailpipe emissions'!$C$10:$C$126,'fuels and tailpipe emissions'!$A$10:$A$126,'vehicles specifications'!$F70,'fuels and tailpipe emissions'!$B$10:$B$126,'vehicles specifications'!BA$2)/1000*$AQ70</f>
        <v>1.7488073170509701E-6</v>
      </c>
      <c r="BB70" s="7">
        <f>SUMIFS('fuels and tailpipe emissions'!$C$10:$C$126,'fuels and tailpipe emissions'!$A$10:$A$126,'vehicles specifications'!$F70,'fuels and tailpipe emissions'!$B$10:$B$126,'vehicles specifications'!BB$2)/1000*$AQ70</f>
        <v>1.7488073170509701E-6</v>
      </c>
      <c r="BC70" s="7">
        <f>SUMIFS('fuels and tailpipe emissions'!$C$10:$C$126,'fuels and tailpipe emissions'!$A$10:$A$126,'vehicles specifications'!$F70,'fuels and tailpipe emissions'!$B$10:$B$126,'vehicles specifications'!BC$2)/1000*$AQ70</f>
        <v>1.3114430036520702E-4</v>
      </c>
      <c r="BD70" s="7">
        <f>SUMIFS('fuels and tailpipe emissions'!$C$10:$C$126,'fuels and tailpipe emissions'!$A$10:$A$126,'vehicles specifications'!$F70,'fuels and tailpipe emissions'!$B$10:$B$126,'vehicles specifications'!BD$2)/1000*$AQ70</f>
        <v>1.004340042182372E-5</v>
      </c>
      <c r="BE70" s="7">
        <f>SUMIFS('fuels and tailpipe emissions'!$C$10:$C$126,'fuels and tailpipe emissions'!$A$10:$A$126,'vehicles specifications'!$F70,'fuels and tailpipe emissions'!$B$10:$B$126,'vehicles specifications'!BE$2)/1000*$AQ70</f>
        <v>6.130252976622977E-4</v>
      </c>
      <c r="BF70" s="7">
        <f>SUMIFS('fuels and tailpipe emissions'!$C$10:$C$126,'fuels and tailpipe emissions'!$A$10:$A$126,'vehicles specifications'!$F70,'fuels and tailpipe emissions'!$B$10:$B$126,'vehicles specifications'!BF$2)/1000*$AQ70</f>
        <v>4.3226142783879964E-5</v>
      </c>
      <c r="BG70" s="7">
        <f>SUMIFS('fuels and tailpipe emissions'!$C$10:$C$126,'fuels and tailpipe emissions'!$A$10:$A$126,'vehicles specifications'!$F70,'fuels and tailpipe emissions'!$B$10:$B$126,'vehicles specifications'!BG$2)/1000*$AQ70</f>
        <v>8.8078347365272657E-6</v>
      </c>
      <c r="BH70" s="7">
        <f>SUMIFS('fuels and tailpipe emissions'!$C$10:$C$126,'fuels and tailpipe emissions'!$A$10:$A$126,'vehicles specifications'!$F70,'fuels and tailpipe emissions'!$B$10:$B$126,'vehicles specifications'!BH$2)/1000*$AQ70</f>
        <v>7.1004698491389037E-5</v>
      </c>
      <c r="BI70" s="7">
        <f>SUMIFS('fuels and tailpipe emissions'!$C$10:$C$126,'fuels and tailpipe emissions'!$A$10:$A$126,'vehicles specifications'!$F70,'fuels and tailpipe emissions'!$B$10:$B$126,'vehicles specifications'!BI$2)/1000*$AQ70</f>
        <v>2.913360720543634E-5</v>
      </c>
      <c r="BJ70" s="7">
        <f>SUMIFS('fuels and tailpipe emissions'!$C$10:$C$126,'fuels and tailpipe emissions'!$A$10:$A$126,'vehicles specifications'!$F70,'fuels and tailpipe emissions'!$B$10:$B$126,'vehicles specifications'!BJ$2)/1000*$AQ70</f>
        <v>2.1816329116629077E-5</v>
      </c>
      <c r="BK70" s="7">
        <f>SUMIFS('fuels and tailpipe emissions'!$C$10:$C$126,'fuels and tailpipe emissions'!$A$10:$A$126,'vehicles specifications'!$F70,'fuels and tailpipe emissions'!$B$10:$B$126,'vehicles specifications'!BK$2)/1000*$AQ70</f>
        <v>1.5447587076370898E-5</v>
      </c>
      <c r="BL70" s="7">
        <f>SUMIFS('fuels and tailpipe emissions'!$C$10:$C$126,'fuels and tailpipe emissions'!$A$10:$A$126,'vehicles specifications'!$F70,'fuels and tailpipe emissions'!$B$10:$B$126,'vehicles specifications'!BL$2)/1000*$AQ70</f>
        <v>1.002738108466181E-5</v>
      </c>
      <c r="BM70" s="7">
        <f>SUMIFS('fuels and tailpipe emissions'!$C$10:$C$126,'fuels and tailpipe emissions'!$A$10:$A$126,'vehicles specifications'!$F70,'fuels and tailpipe emissions'!$B$10:$B$126,'vehicles specifications'!BM$2)/1000*$AQ70</f>
        <v>9.8918759348690837E-5</v>
      </c>
      <c r="BN70" s="7">
        <f>SUMIFS('fuels and tailpipe emissions'!$C$10:$C$126,'fuels and tailpipe emissions'!$A$10:$A$126,'vehicles specifications'!$F70,'fuels and tailpipe emissions'!$B$10:$B$126,'vehicles specifications'!BN$2)/1000*$AQ70</f>
        <v>5.1762967220821776E-5</v>
      </c>
      <c r="BO70" s="7">
        <f>SUMIFS('fuels and tailpipe emissions'!$C$10:$C$126,'fuels and tailpipe emissions'!$A$10:$A$126,'vehicles specifications'!$F70,'fuels and tailpipe emissions'!$B$10:$B$126,'vehicles specifications'!BO$2)/1000*$AQ70</f>
        <v>1.4905566477199989E-6</v>
      </c>
      <c r="BP70" s="7">
        <f>SUMIFS('fuels and tailpipe emissions'!$C$10:$C$126,'fuels and tailpipe emissions'!$A$10:$A$126,'vehicles specifications'!$F70,'fuels and tailpipe emissions'!$B$10:$B$126,'vehicles specifications'!BP$2)/1000*$AQ70</f>
        <v>7.6018389033719928E-5</v>
      </c>
      <c r="BQ70" s="7">
        <f>SUMIFS('fuels and tailpipe emissions'!$C$10:$C$126,'fuels and tailpipe emissions'!$A$10:$A$126,'vehicles specifications'!$F70,'fuels and tailpipe emissions'!$B$10:$B$126,'vehicles specifications'!BQ$2)/1000*$AQ70</f>
        <v>1.4878465447241445E-4</v>
      </c>
      <c r="BR70" s="7">
        <f>SUMIFS('fuels and tailpipe emissions'!$C$10:$C$126,'fuels and tailpipe emissions'!$A$10:$A$126,'vehicles specifications'!$F70,'fuels and tailpipe emissions'!$B$10:$B$126,'vehicles specifications'!BR$2)/1000*$AQ70</f>
        <v>7.3579296337450856E-5</v>
      </c>
      <c r="BS70" s="7">
        <f>SUMIFS('fuels and tailpipe emissions'!$C$10:$C$126,'fuels and tailpipe emissions'!$A$10:$A$126,'vehicles specifications'!$F70,'fuels and tailpipe emissions'!$B$10:$B$126,'vehicles specifications'!BS$2)/1000*$AQ70</f>
        <v>3.0624163853156341E-5</v>
      </c>
      <c r="BT70" s="7">
        <f>SUMIFS('fuels and tailpipe emissions'!$C$10:$C$126,'fuels and tailpipe emissions'!$A$10:$A$126,'vehicles specifications'!$F70,'fuels and tailpipe emissions'!$B$10:$B$126,'vehicles specifications'!BT$2)/1000*$AQ70</f>
        <v>2.3035875464763623E-5</v>
      </c>
      <c r="BU70" s="7">
        <f>SUMIFS('fuels and tailpipe emissions'!$C$10:$C$126,'fuels and tailpipe emissions'!$A$10:$A$126,'vehicles specifications'!$F70,'fuels and tailpipe emissions'!$B$10:$B$126,'vehicles specifications'!BU$2)/1000*$AQ70</f>
        <v>1.0162886234454536E-5</v>
      </c>
      <c r="BV70" s="7">
        <f>SUMIFS('fuels and tailpipe emissions'!$C$10:$C$126,'fuels and tailpipe emissions'!$A$10:$A$126,'vehicles specifications'!$F70,'fuels and tailpipe emissions'!$B$10:$B$126,'vehicles specifications'!BV$2)/1000*$AQ70</f>
        <v>2.9811132954399978E-6</v>
      </c>
      <c r="BW70" s="7">
        <f>SUMIFS('fuels and tailpipe emissions'!$C$10:$C$126,'fuels and tailpipe emissions'!$A$10:$A$126,'vehicles specifications'!$F70,'fuels and tailpipe emissions'!$B$10:$B$126,'vehicles specifications'!BW$2)/1000*$AQ70</f>
        <v>8.2658141373563583E-6</v>
      </c>
      <c r="BX70" s="7">
        <f>SUMIFS('fuels and tailpipe emissions'!$C$10:$C$126,'fuels and tailpipe emissions'!$A$10:$A$126,'vehicles specifications'!$F70,'fuels and tailpipe emissions'!$B$10:$B$126,'vehicles specifications'!BX$2)/1000*$AQ70</f>
        <v>0</v>
      </c>
      <c r="BY70" s="7">
        <f>SUMIFS('fuels and tailpipe emissions'!$C$10:$C$126,'fuels and tailpipe emissions'!$A$10:$A$126,'vehicles specifications'!$F70,'fuels and tailpipe emissions'!$B$10:$B$126,'vehicles specifications'!BY$2)/1000*$AQ70</f>
        <v>2.5745978460618164E-6</v>
      </c>
      <c r="BZ70" s="7">
        <f>SUMIFS('fuels and tailpipe emissions'!$C$10:$C$126,'fuels and tailpipe emissions'!$A$10:$A$126,'vehicles specifications'!$F70,'fuels and tailpipe emissions'!$B$10:$B$126,'vehicles specifications'!BZ$2)/1000*$AQ70</f>
        <v>1.3686020129065443E-5</v>
      </c>
      <c r="CA70" s="7">
        <f>SUMIFS('fuels and tailpipe emissions'!$C$10:$C$126,'fuels and tailpipe emissions'!$A$10:$A$126,'vehicles specifications'!$F70,'fuels and tailpipe emissions'!$B$10:$B$126,'vehicles specifications'!CA$2)/1000*$AQ70</f>
        <v>1.0237404382254204E-9</v>
      </c>
      <c r="CB70" s="7">
        <f>SUMIFS('fuels and tailpipe emissions'!$C$10:$C$126,'fuels and tailpipe emissions'!$A$10:$A$126,'vehicles specifications'!$F70,'fuels and tailpipe emissions'!$B$10:$B$126,'vehicles specifications'!CB$2)/1000*$AQ70</f>
        <v>8.8253486053915553E-12</v>
      </c>
      <c r="CC70" s="7">
        <f>SUMIFS('fuels and tailpipe emissions'!$C$10:$C$126,'fuels and tailpipe emissions'!$A$10:$A$126,'vehicles specifications'!$F70,'fuels and tailpipe emissions'!$B$10:$B$126,'vehicles specifications'!CC$2)/1000*$AQ70</f>
        <v>5.883565736927703E-12</v>
      </c>
      <c r="CD70" s="7">
        <f>SUMIFS('fuels and tailpipe emissions'!$C$10:$C$126,'fuels and tailpipe emissions'!$A$10:$A$126,'vehicles specifications'!$F70,'fuels and tailpipe emissions'!$B$10:$B$126,'vehicles specifications'!CD$2)/1000*$AQ70</f>
        <v>6.3542509958819202E-8</v>
      </c>
      <c r="CE70" s="7">
        <f>SUMIFS('fuels and tailpipe emissions'!$C$10:$C$126,'fuels and tailpipe emissions'!$A$10:$A$126,'vehicles specifications'!$F70,'fuels and tailpipe emissions'!$B$10:$B$126,'vehicles specifications'!CE$2)/1000*$AQ70</f>
        <v>1.2355488047548176E-9</v>
      </c>
      <c r="CF70" s="7">
        <f>SUMIFS('fuels and tailpipe emissions'!$C$10:$C$126,'fuels and tailpipe emissions'!$A$10:$A$126,'vehicles specifications'!$F70,'fuels and tailpipe emissions'!$B$10:$B$126,'vehicles specifications'!CF$2)/1000*$AQ70</f>
        <v>3.824317729003007E-10</v>
      </c>
      <c r="CG70" s="7">
        <f>SUMIFS('fuels and tailpipe emissions'!$C$10:$C$126,'fuels and tailpipe emissions'!$A$10:$A$126,'vehicles specifications'!$F70,'fuels and tailpipe emissions'!$B$10:$B$126,'vehicles specifications'!CG$2)/1000*$AQ70</f>
        <v>4.7068525895421627E-10</v>
      </c>
      <c r="CH70" s="7">
        <f>SUMIFS('fuels and tailpipe emissions'!$C$10:$C$126,'fuels and tailpipe emissions'!$A$10:$A$126,'vehicles specifications'!$F70,'fuels and tailpipe emissions'!$B$10:$B$126,'vehicles specifications'!CH$2)/1000*$AQ70</f>
        <v>9.4137051790843233E-13</v>
      </c>
      <c r="CI70" s="7">
        <f>SUMIFS('fuels and tailpipe emissions'!$C$10:$C$126,'fuels and tailpipe emissions'!$A$10:$A$126,'vehicles specifications'!$F70,'fuels and tailpipe emissions'!$B$10:$B$126,'vehicles specifications'!CI$2)/1000*$AQ70</f>
        <v>2.559351095563551E-10</v>
      </c>
      <c r="CJ70" s="7">
        <f>SUMIFS('fuels and tailpipe emissions'!$C$10:$C$126,'fuels and tailpipe emissions'!$A$10:$A$126,'vehicles specifications'!$F70,'fuels and tailpipe emissions'!$B$10:$B$126,'vehicles specifications'!CJ$2)/1000*$AQ70</f>
        <v>3.1771254979409605E-10</v>
      </c>
      <c r="CK70" s="38">
        <f>VLOOKUP($B70,'abrasion emissions'!$O$7:$R$36,2,FALSE)</f>
        <v>0.5</v>
      </c>
      <c r="CL70" s="38">
        <f>VLOOKUP($B70,'abrasion emissions'!$O$7:$R$36,3,FALSE)</f>
        <v>0.5</v>
      </c>
      <c r="CM70" s="38">
        <f>VLOOKUP($B70,'abrasion emissions'!$O$7:$R$36,4,FALSE)</f>
        <v>0</v>
      </c>
      <c r="CN70" s="7">
        <f>((SUMIFS('abrasion emissions'!$M$7:$M$34,'abrasion emissions'!$I$7:$I$34,"PM 2.5",'abrasion emissions'!$J$7:$J$34,"urban",'abrasion emissions'!$K$7:$K$34,"Tyre",'abrasion emissions'!$L$7:$L$34,"b")*POWER(('vehicles specifications'!$Q70/1000),(1/SUMIFS('abrasion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specifications'!$P70/1000),(1/SUMIFS('abrasion emissions'!$M$7:$M$34,'abrasion emissions'!$I$7:$I$34,"PM 10",'abrasion emissions'!$J$7:$J$34,"urban",'abrasion emissions'!$K$7:$K$34,"Tyre",'abrasion emissions'!$L$7:$L$34,"c")))))/1000000</f>
        <v>5.7127102344582864E-6</v>
      </c>
      <c r="CO70" s="7">
        <f>((SUMIFS('abrasion emissions'!$M$7:$M$34,'abrasion emissions'!$I$7:$I$34,"PM 2.5",'abrasion emissions'!$J$7:$J$34,"rural",'abrasion emissions'!$K$7:$K$34,"Tyre",'abrasion emissions'!$L$7:$L$34,"b")*POWER(('vehicles specifications'!$Q70/1000),(1/SUMIFS('abrasion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specifications'!$P70/1000),(1/SUMIFS('abrasion emissions'!$M$7:$M$34,'abrasion emissions'!$I$7:$I$34,"PM 10",'abrasion emissions'!$J$7:$J$34,"rural",'abrasion emissions'!$K$7:$K$34,"Tyre",'abrasion emissions'!$L$7:$L$34,"c")))))/1000000</f>
        <v>4.4495366465341861E-6</v>
      </c>
      <c r="CP70" s="7">
        <f>((SUMIFS('abrasion emissions'!$M$7:$M$34,'abrasion emissions'!$I$7:$I$34,"PM 2.5",'abrasion emissions'!$J$7:$J$34,"motorway",'abrasion emissions'!$K$7:$K$34,"Tyre",'abrasion emissions'!$L$7:$L$34,"b")*POWER(('vehicles specifications'!$Q70/1000),(1/SUMIFS('abrasion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specifications'!$P70/1000),(1/SUMIFS('abrasion emissions'!$M$7:$M$34,'abrasion emissions'!$I$7:$I$34,"PM 10",'abrasion emissions'!$J$7:$J$34,"motorway",'abrasion emissions'!$K$7:$K$34,"Tyre",'abrasion emissions'!$L$7:$L$34,"c")))))/1000000</f>
        <v>3.8008714437192468E-6</v>
      </c>
      <c r="CQ70" s="7">
        <f>((SUMIFS('abrasion emissions'!$M$7:$M$34,'abrasion emissions'!$I$7:$I$34,"PM 2.5",'abrasion emissions'!$J$7:$J$34,"urban",'abrasion emissions'!$K$7:$K$34,"Brake",'abrasion emissions'!$L$7:$L$34,"b")*POWER(('vehicles specifications'!$Q70/1000),(1/SUMIFS('abrasion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specifications'!$P70/1000),(1/SUMIFS('abrasion emissions'!$M$7:$M$34,'abrasion emissions'!$I$7:$I$34,"PM 10",'abrasion emissions'!$J$7:$J$34,"urban",'abrasion emissions'!$K$7:$K$34,"Brake",'abrasion emissions'!$L$7:$L$34,"c")))))/1000000</f>
        <v>5.3854674384313195E-6</v>
      </c>
      <c r="CR70" s="7">
        <f>((SUMIFS('abrasion emissions'!$M$7:$M$34,'abrasion emissions'!$I$7:$I$34,"PM 2.5",'abrasion emissions'!$J$7:$J$34,"rural",'abrasion emissions'!$K$7:$K$34,"Brake",'abrasion emissions'!$L$7:$L$34,"b")*POWER(('vehicles specifications'!$Q70/1000),(1/SUMIFS('abrasion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specifications'!$P70/1000),(1/SUMIFS('abrasion emissions'!$M$7:$M$34,'abrasion emissions'!$I$7:$I$34,"PM 10",'abrasion emissions'!$J$7:$J$34,"rural",'abrasion emissions'!$K$7:$K$34,"Brake",'abrasion emissions'!$L$7:$L$34,"c")))))/1000000</f>
        <v>1.6923607747705796E-6</v>
      </c>
      <c r="CS70" s="7">
        <f>((SUMIFS('abrasion emissions'!$M$7:$M$34,'abrasion emissions'!$I$7:$I$34,"PM 2.5",'abrasion emissions'!$J$7:$J$34,"motorway",'abrasion emissions'!$K$7:$K$34,"Brake",'abrasion emissions'!$L$7:$L$34,"b")*POWER(('vehicles specifications'!$Q70/1000),(1/SUMIFS('abrasion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specifications'!$P70/1000),(1/SUMIFS('abrasion emissions'!$M$7:$M$34,'abrasion emissions'!$I$7:$I$34,"PM 10",'abrasion emissions'!$J$7:$J$34,"motorway",'abrasion emissions'!$K$7:$K$34,"Brake",'abrasion emissions'!$L$7:$L$34,"c")))))/1000000</f>
        <v>3.0814948521491974E-7</v>
      </c>
      <c r="CT70" s="7">
        <f>((SUMIFS('abrasion emissions'!$M$7:$M$38,'abrasion emissions'!$I$7:$I$38,"PM 2.5",'abrasion emissions'!$K$7:$K$38,"Re-susp.",'abrasion emissions'!$L$7:$L$38,"b")*POWER(('vehicles specifications'!$Q70/1000),(1/SUMIFS('abrasion emissions'!$M$7:$M$38,'abrasion emissions'!$I$7:$I$38,"PM 2.5",'abrasion emissions'!$K$7:$K$38,"Re-susp.",'abrasion emissions'!$L$7:$L$38,"c"))))+
(SUMIFS('abrasion emissions'!$M$7:$M$38,'abrasion emissions'!$I$7:$I$38,"PM 10",'abrasion emissions'!$K$7:$K$38,"Re-susp.",'abrasion emissions'!$L$7:$L$38,"b")*POWER(('vehicles specifications'!$Q70/1000),(1/SUMIFS('abrasion emissions'!$M$7:$M$38,'abrasion emissions'!$I$7:$I$38,"PM 10",'abrasion emissions'!$K$7:$K$38,"Re-susp.",'abrasion emissions'!$L$7:$L$38,"c")))))/1000000</f>
        <v>3.1617417285507111E-6</v>
      </c>
      <c r="CU70" s="7">
        <f>((SUMIFS('abrasion emissions'!$M$7:$M$38,'abrasion emissions'!$I$7:$I$38,"PM 2.5",'abrasion emissions'!$K$7:$K$38,"Road",'abrasion emissions'!$L$7:$L$38,"b")*POWER(('vehicles specifications'!$Q70/1000),(1/SUMIFS('abrasion emissions'!$M$7:$M$38,'abrasion emissions'!$I$7:$I$38,"PM 2.5",'abrasion emissions'!$K$7:$K$38,"Road",'abrasion emissions'!$L$7:$L$38,"c"))))+
(SUMIFS('abrasion emissions'!$M$7:$M$38,'abrasion emissions'!$I$7:$I$38,"PM 10",'abrasion emissions'!$K$7:$K$38,"Road",'abrasion emissions'!$L$7:$L$38,"b")*POWER(('vehicles specifications'!$Q70/1000),(1/SUMIFS('abrasion emissions'!$M$7:$M$38,'abrasion emissions'!$I$7:$I$38,"PM 10",'abrasion emissions'!$K$7:$K$38,"Road",'abrasion emissions'!$L$7:$L$38,"c")))))/1000000+CT70</f>
        <v>6.2119350791340172E-6</v>
      </c>
      <c r="CV70" s="7">
        <f>(CK70*CN70)+(CL70*CO70)+(CM70*CP70)</f>
        <v>5.0811234404962358E-6</v>
      </c>
      <c r="CW70" s="7">
        <f>(CK70*CQ70)+(CL70*CR70)+(CM70*CS70)</f>
        <v>3.5389141066009498E-6</v>
      </c>
    </row>
    <row r="71">
      <c r="A71" t="str">
        <f>B71&amp;" - "&amp;D71&amp;" - "&amp;IF(I71&lt;&gt;"",I71&amp;" - "&amp;E71,E71)</f>
        <v>Scooter, gasoline, 4-11kW, EURO-3 - 2006 - CH</v>
      </c>
      <c r="B71" t="inlineStr">
        <is>
          <t>Scooter, gasoline, 4-11kW, EURO-3</t>
        </is>
      </c>
      <c r="D71" s="18" t="n">
        <v>2006</v>
      </c>
      <c r="E71" t="inlineStr">
        <is>
          <t>CH</t>
        </is>
      </c>
      <c r="F71" t="inlineStr">
        <is>
          <t>EURO-5</t>
        </is>
      </c>
      <c r="G71" t="inlineStr">
        <is>
          <t>vkm</t>
        </is>
      </c>
      <c r="H71" t="inlineStr">
        <is>
          <t>ICEV-p</t>
        </is>
      </c>
      <c r="J71" t="n">
        <v>30000</v>
      </c>
      <c r="K71" t="n">
        <v>1870</v>
      </c>
      <c r="L71" s="2">
        <f>J71/K71</f>
        <v>16.042780748663102</v>
      </c>
      <c r="M71" t="n">
        <v>1</v>
      </c>
      <c r="N71" t="n">
        <v>75</v>
      </c>
      <c r="O71" t="n">
        <v>4</v>
      </c>
      <c r="P71" s="2">
        <f>SUM(U71,V71,W71,AC71,AF71,AH71)</f>
        <v>133.26249999999999</v>
      </c>
      <c r="Q71" s="2">
        <f>P71+(M71*N71)+O71</f>
        <v>212.26249999999999</v>
      </c>
      <c r="R71" t="n">
        <v>8.800000000000001</v>
      </c>
      <c r="S71" s="2" t="n">
        <v>70</v>
      </c>
      <c r="T71" s="1" t="n">
        <v>-0.05</v>
      </c>
      <c r="U71" s="2">
        <f>S71*(1-T71)</f>
        <v>73.5</v>
      </c>
      <c r="V71" t="n">
        <v>52</v>
      </c>
      <c r="W71" t="n">
        <v>0</v>
      </c>
      <c r="X71" s="3" t="n">
        <v>0</v>
      </c>
      <c r="Y71" s="1" t="n">
        <v>0.8</v>
      </c>
      <c r="Z71" s="3">
        <f>Y71*X71</f>
        <v>0</v>
      </c>
      <c r="AA71" s="3">
        <f>IF(I71&lt;&gt;"",X71/INDEX('energy battery'!$B$3:$D$6,MATCH('vehicles specifications'!$D71,'energy battery'!$A$3:$A$6,0),MATCH('vehicles specifications'!$I71,'energy battery'!$B$2:$D$2,0)),"")</f>
        <v/>
      </c>
      <c r="AB71" s="3">
        <f>IF(AA71&lt;&gt;"",0.3*AA71,"")</f>
        <v/>
      </c>
      <c r="AC71" s="3">
        <f>IF(AA71&lt;&gt;"",AB71+AA71,"")</f>
        <v/>
      </c>
      <c r="AD71" s="3" t="n">
        <v>0</v>
      </c>
      <c r="AE71" s="3" t="n">
        <v>9</v>
      </c>
      <c r="AF71">
        <f>AE71*'fuels and tailpipe emissions'!$B$3</f>
        <v>6.75</v>
      </c>
      <c r="AG71" s="2">
        <f>AF71*'fuels and tailpipe emissions'!$C$3</f>
        <v>79.875</v>
      </c>
      <c r="AH71" s="3">
        <f>0.15*AF71</f>
        <v>1.0125</v>
      </c>
      <c r="AI71" t="n">
        <v>0</v>
      </c>
      <c r="AJ71" t="n">
        <v>0</v>
      </c>
      <c r="AK71">
        <f>J71/25000</f>
        <v>1.2</v>
      </c>
      <c r="AL71">
        <f>0.000537/1000*Q71</f>
        <v>1.139849625E-4</v>
      </c>
      <c r="AM71" t="n">
        <v>0.00129</v>
      </c>
      <c r="AN71" s="2">
        <f>U71</f>
        <v>73.5</v>
      </c>
      <c r="AO71" s="2">
        <f>SUM(V71:W71)</f>
        <v>52</v>
      </c>
      <c r="AP71" s="2">
        <f>AC71</f>
        <v/>
      </c>
      <c r="AQ71" s="6" t="n">
        <v>1.058160415871318</v>
      </c>
      <c r="AR71" s="20" t="n">
        <v>0.012</v>
      </c>
      <c r="AS71" s="6">
        <f>IF($H71="BEV",SUMPRODUCT(#REF!,#REF!),"")</f>
        <v/>
      </c>
      <c r="AT71" s="2">
        <f>SUM(Z71,AG71)/(SUM(AQ71,AS71)/3.6)</f>
        <v>271.7451869178301</v>
      </c>
      <c r="AU71" s="5">
        <f>IF($H71="ICEV-p",$AQ71/('fuels and tailpipe emissions'!$C$3*3.6)*'fuels and tailpipe emissions'!$D$3,"")*(1-AR71)</f>
        <v>7.7059911299669145E-2</v>
      </c>
      <c r="AV71" s="5">
        <f>IF($H71="ICEV-p",$AQ71/('fuels and tailpipe emissions'!$C$3*3.6)*'fuels and tailpipe emissions'!$D$3,"")*AR71</f>
        <v>9.3595033967209498E-4</v>
      </c>
      <c r="AW71" s="7">
        <f>IF($H71="ICEV-p",$AQ71/('fuels and tailpipe emissions'!$C$3*3.6)*'fuels and tailpipe emissions'!$E$3,"")</f>
        <v>3.9743114211129298E-7</v>
      </c>
      <c r="AX71" s="7">
        <f>SUMIFS('fuels and tailpipe emissions'!$D$10:$D$126,'fuels and tailpipe emissions'!$A$10:$A$126,'vehicles specifications'!$F71,'fuels and tailpipe emissions'!$B$10:$B$126,'vehicles specifications'!AX$2)/1000*$AQ71</f>
        <v>3.8182695142197475E-5</v>
      </c>
      <c r="AY71" s="7">
        <f>SUMIFS('fuels and tailpipe emissions'!$D$10:$D$126,'fuels and tailpipe emissions'!$A$10:$A$126,'vehicles specifications'!$F71,'fuels and tailpipe emissions'!$B$10:$B$126,'vehicles specifications'!AY$2)/1000*$AQ71</f>
        <v>2.9172963769054263E-5</v>
      </c>
      <c r="AZ71" s="7">
        <f>SUMIFS('fuels and tailpipe emissions'!$D$10:$D$126,'fuels and tailpipe emissions'!$A$10:$A$126,'vehicles specifications'!$F71,'fuels and tailpipe emissions'!$B$10:$B$126,'vehicles specifications'!AZ$2)/1000*$AQ71</f>
        <v>3.4177691287266706E-3</v>
      </c>
      <c r="BA71" s="7">
        <f>SUMIFS('fuels and tailpipe emissions'!$D$10:$D$126,'fuels and tailpipe emissions'!$A$10:$A$126,'vehicles specifications'!$F71,'fuels and tailpipe emissions'!$B$10:$B$126,'vehicles specifications'!BA$2)/1000*$AQ71</f>
        <v>1.4801097802665792E-6</v>
      </c>
      <c r="BB71" s="7">
        <f>SUMIFS('fuels and tailpipe emissions'!$D$10:$D$126,'fuels and tailpipe emissions'!$A$10:$A$126,'vehicles specifications'!$F71,'fuels and tailpipe emissions'!$B$10:$B$126,'vehicles specifications'!BB$2)/1000*$AQ71</f>
        <v>1.4801097802665792E-6</v>
      </c>
      <c r="BC71" s="7">
        <f>SUMIFS('fuels and tailpipe emissions'!$D$10:$D$126,'fuels and tailpipe emissions'!$A$10:$A$126,'vehicles specifications'!$F71,'fuels and tailpipe emissions'!$B$10:$B$126,'vehicles specifications'!BC$2)/1000*$AQ71</f>
        <v>1.1099448161280961E-4</v>
      </c>
      <c r="BD71" s="7">
        <f>SUMIFS('fuels and tailpipe emissions'!$D$10:$D$126,'fuels and tailpipe emissions'!$A$10:$A$126,'vehicles specifications'!$F71,'fuels and tailpipe emissions'!$B$10:$B$126,'vehicles specifications'!BD$2)/1000*$AQ71</f>
        <v>3.3198862371379369E-6</v>
      </c>
      <c r="BE71" s="7">
        <f>SUMIFS('fuels and tailpipe emissions'!$D$10:$D$126,'fuels and tailpipe emissions'!$A$10:$A$126,'vehicles specifications'!$F71,'fuels and tailpipe emissions'!$B$10:$B$126,'vehicles specifications'!BE$2)/1000*$AQ71</f>
        <v>3.0791178756381718E-4</v>
      </c>
      <c r="BF71" s="7">
        <f>SUMIFS('fuels and tailpipe emissions'!$D$10:$D$126,'fuels and tailpipe emissions'!$A$10:$A$126,'vehicles specifications'!$F71,'fuels and tailpipe emissions'!$B$10:$B$126,'vehicles specifications'!BF$2)/1000*$AQ71</f>
        <v>2.1711728610269153E-5</v>
      </c>
      <c r="BG71" s="7">
        <f>SUMIFS('fuels and tailpipe emissions'!$D$10:$D$126,'fuels and tailpipe emissions'!$A$10:$A$126,'vehicles specifications'!$F71,'fuels and tailpipe emissions'!$B$10:$B$126,'vehicles specifications'!BG$2)/1000*$AQ71</f>
        <v>4.4240199362617406E-6</v>
      </c>
      <c r="BH71" s="7">
        <f>SUMIFS('fuels and tailpipe emissions'!$D$10:$D$126,'fuels and tailpipe emissions'!$A$10:$A$126,'vehicles specifications'!$F71,'fuels and tailpipe emissions'!$B$10:$B$126,'vehicles specifications'!BH$2)/1000*$AQ71</f>
        <v>3.5664406870786949E-5</v>
      </c>
      <c r="BI71" s="7">
        <f>SUMIFS('fuels and tailpipe emissions'!$D$10:$D$126,'fuels and tailpipe emissions'!$A$10:$A$126,'vehicles specifications'!$F71,'fuels and tailpipe emissions'!$B$10:$B$126,'vehicles specifications'!BI$2)/1000*$AQ71</f>
        <v>1.4633296712250369E-5</v>
      </c>
      <c r="BJ71" s="7">
        <f>SUMIFS('fuels and tailpipe emissions'!$D$10:$D$126,'fuels and tailpipe emissions'!$A$10:$A$126,'vehicles specifications'!$F71,'fuels and tailpipe emissions'!$B$10:$B$126,'vehicles specifications'!BJ$2)/1000*$AQ71</f>
        <v>1.0957957072894464E-5</v>
      </c>
      <c r="BK71" s="7">
        <f>SUMIFS('fuels and tailpipe emissions'!$D$10:$D$126,'fuels and tailpipe emissions'!$A$10:$A$126,'vehicles specifications'!$F71,'fuels and tailpipe emissions'!$B$10:$B$126,'vehicles specifications'!BK$2)/1000*$AQ71</f>
        <v>7.7590503497513607E-6</v>
      </c>
      <c r="BL71" s="7">
        <f>SUMIFS('fuels and tailpipe emissions'!$D$10:$D$126,'fuels and tailpipe emissions'!$A$10:$A$126,'vehicles specifications'!$F71,'fuels and tailpipe emissions'!$B$10:$B$126,'vehicles specifications'!BL$2)/1000*$AQ71</f>
        <v>5.0365765428210587E-6</v>
      </c>
      <c r="BM71" s="7">
        <f>SUMIFS('fuels and tailpipe emissions'!$D$10:$D$126,'fuels and tailpipe emissions'!$A$10:$A$126,'vehicles specifications'!$F71,'fuels and tailpipe emissions'!$B$10:$B$126,'vehicles specifications'!BM$2)/1000*$AQ71</f>
        <v>4.9685146976478002E-5</v>
      </c>
      <c r="BN71" s="7">
        <f>SUMIFS('fuels and tailpipe emissions'!$D$10:$D$126,'fuels and tailpipe emissions'!$A$10:$A$126,'vehicles specifications'!$F71,'fuels and tailpipe emissions'!$B$10:$B$126,'vehicles specifications'!BN$2)/1000*$AQ71</f>
        <v>2.5999624856184379E-5</v>
      </c>
      <c r="BO71" s="7">
        <f>SUMIFS('fuels and tailpipe emissions'!$D$10:$D$126,'fuels and tailpipe emissions'!$A$10:$A$126,'vehicles specifications'!$F71,'fuels and tailpipe emissions'!$B$10:$B$126,'vehicles specifications'!BO$2)/1000*$AQ71</f>
        <v>7.4868029690583294E-7</v>
      </c>
      <c r="BP71" s="7">
        <f>SUMIFS('fuels and tailpipe emissions'!$D$10:$D$126,'fuels and tailpipe emissions'!$A$10:$A$126,'vehicles specifications'!$F71,'fuels and tailpipe emissions'!$B$10:$B$126,'vehicles specifications'!BP$2)/1000*$AQ71</f>
        <v>3.8182695142197475E-5</v>
      </c>
      <c r="BQ71" s="7">
        <f>SUMIFS('fuels and tailpipe emissions'!$D$10:$D$126,'fuels and tailpipe emissions'!$A$10:$A$126,'vehicles specifications'!$F71,'fuels and tailpipe emissions'!$B$10:$B$126,'vehicles specifications'!BQ$2)/1000*$AQ71</f>
        <v>7.4731906000236774E-5</v>
      </c>
      <c r="BR71" s="7">
        <f>SUMIFS('fuels and tailpipe emissions'!$D$10:$D$126,'fuels and tailpipe emissions'!$A$10:$A$126,'vehicles specifications'!$F71,'fuels and tailpipe emissions'!$B$10:$B$126,'vehicles specifications'!BR$2)/1000*$AQ71</f>
        <v>3.695758192907885E-5</v>
      </c>
      <c r="BS71" s="7">
        <f>SUMIFS('fuels and tailpipe emissions'!$D$10:$D$126,'fuels and tailpipe emissions'!$A$10:$A$126,'vehicles specifications'!$F71,'fuels and tailpipe emissions'!$B$10:$B$126,'vehicles specifications'!BS$2)/1000*$AQ71</f>
        <v>1.5381977009156206E-5</v>
      </c>
      <c r="BT71" s="7">
        <f>SUMIFS('fuels and tailpipe emissions'!$D$10:$D$126,'fuels and tailpipe emissions'!$A$10:$A$126,'vehicles specifications'!$F71,'fuels and tailpipe emissions'!$B$10:$B$126,'vehicles specifications'!BT$2)/1000*$AQ71</f>
        <v>1.1570513679453783E-5</v>
      </c>
      <c r="BU71" s="7">
        <f>SUMIFS('fuels and tailpipe emissions'!$D$10:$D$126,'fuels and tailpipe emissions'!$A$10:$A$126,'vehicles specifications'!$F71,'fuels and tailpipe emissions'!$B$10:$B$126,'vehicles specifications'!BU$2)/1000*$AQ71</f>
        <v>5.1046383879943157E-6</v>
      </c>
      <c r="BV71" s="7">
        <f>SUMIFS('fuels and tailpipe emissions'!$D$10:$D$126,'fuels and tailpipe emissions'!$A$10:$A$126,'vehicles specifications'!$F71,'fuels and tailpipe emissions'!$B$10:$B$126,'vehicles specifications'!BV$2)/1000*$AQ71</f>
        <v>1.4973605938116659E-6</v>
      </c>
      <c r="BW71" s="7">
        <f>SUMIFS('fuels and tailpipe emissions'!$D$10:$D$126,'fuels and tailpipe emissions'!$A$10:$A$126,'vehicles specifications'!$F71,'fuels and tailpipe emissions'!$B$10:$B$126,'vehicles specifications'!BW$2)/1000*$AQ71</f>
        <v>4.1517725555687101E-6</v>
      </c>
      <c r="BX71" s="7">
        <f>SUMIFS('fuels and tailpipe emissions'!$D$10:$D$126,'fuels and tailpipe emissions'!$A$10:$A$126,'vehicles specifications'!$F71,'fuels and tailpipe emissions'!$B$10:$B$126,'vehicles specifications'!BX$2)/1000*$AQ71</f>
        <v>0</v>
      </c>
      <c r="BY71" s="7">
        <f>SUMIFS('fuels and tailpipe emissions'!$D$10:$D$126,'fuels and tailpipe emissions'!$A$10:$A$126,'vehicles specifications'!$F71,'fuels and tailpipe emissions'!$B$10:$B$126,'vehicles specifications'!BY$2)/1000*$AQ71</f>
        <v>1.2931750582918932E-6</v>
      </c>
      <c r="BZ71" s="7">
        <f>SUMIFS('fuels and tailpipe emissions'!$D$10:$D$126,'fuels and tailpipe emissions'!$A$10:$A$126,'vehicles specifications'!$F71,'fuels and tailpipe emissions'!$B$10:$B$126,'vehicles specifications'!BZ$2)/1000*$AQ71</f>
        <v>6.8742463624990121E-6</v>
      </c>
      <c r="CA71" s="7">
        <f>SUMIFS('fuels and tailpipe emissions'!$D$10:$D$126,'fuels and tailpipe emissions'!$A$10:$A$126,'vehicles specifications'!$F71,'fuels and tailpipe emissions'!$B$10:$B$126,'vehicles specifications'!CA$2)/1000*$AQ71</f>
        <v>8.6644664640757301E-10</v>
      </c>
      <c r="CB71" s="7">
        <f>SUMIFS('fuels and tailpipe emissions'!$D$10:$D$126,'fuels and tailpipe emissions'!$A$10:$A$126,'vehicles specifications'!$F71,'fuels and tailpipe emissions'!$B$10:$B$126,'vehicles specifications'!CB$2)/1000*$AQ71</f>
        <v>7.4693676414445949E-12</v>
      </c>
      <c r="CC71" s="7">
        <f>SUMIFS('fuels and tailpipe emissions'!$D$10:$D$126,'fuels and tailpipe emissions'!$A$10:$A$126,'vehicles specifications'!$F71,'fuels and tailpipe emissions'!$B$10:$B$126,'vehicles specifications'!CC$2)/1000*$AQ71</f>
        <v>4.9795784276297299E-12</v>
      </c>
      <c r="CD71" s="7">
        <f>SUMIFS('fuels and tailpipe emissions'!$D$10:$D$126,'fuels and tailpipe emissions'!$A$10:$A$126,'vehicles specifications'!$F71,'fuels and tailpipe emissions'!$B$10:$B$126,'vehicles specifications'!CD$2)/1000*$AQ71</f>
        <v>5.3779447018401084E-8</v>
      </c>
      <c r="CE71" s="7">
        <f>SUMIFS('fuels and tailpipe emissions'!$D$10:$D$126,'fuels and tailpipe emissions'!$A$10:$A$126,'vehicles specifications'!$F71,'fuels and tailpipe emissions'!$B$10:$B$126,'vehicles specifications'!CE$2)/1000*$AQ71</f>
        <v>1.0457114698022433E-9</v>
      </c>
      <c r="CF71" s="7">
        <f>SUMIFS('fuels and tailpipe emissions'!$D$10:$D$126,'fuels and tailpipe emissions'!$A$10:$A$126,'vehicles specifications'!$F71,'fuels and tailpipe emissions'!$B$10:$B$126,'vehicles specifications'!CF$2)/1000*$AQ71</f>
        <v>3.2367259779593247E-10</v>
      </c>
      <c r="CG71" s="7">
        <f>SUMIFS('fuels and tailpipe emissions'!$D$10:$D$126,'fuels and tailpipe emissions'!$A$10:$A$126,'vehicles specifications'!$F71,'fuels and tailpipe emissions'!$B$10:$B$126,'vehicles specifications'!CG$2)/1000*$AQ71</f>
        <v>3.9836627421037845E-10</v>
      </c>
      <c r="CH71" s="7">
        <f>SUMIFS('fuels and tailpipe emissions'!$D$10:$D$126,'fuels and tailpipe emissions'!$A$10:$A$126,'vehicles specifications'!$F71,'fuels and tailpipe emissions'!$B$10:$B$126,'vehicles specifications'!CH$2)/1000*$AQ71</f>
        <v>7.9673254842075675E-13</v>
      </c>
      <c r="CI71" s="7">
        <f>SUMIFS('fuels and tailpipe emissions'!$D$10:$D$126,'fuels and tailpipe emissions'!$A$10:$A$126,'vehicles specifications'!$F71,'fuels and tailpipe emissions'!$B$10:$B$126,'vehicles specifications'!CI$2)/1000*$AQ71</f>
        <v>2.1661166160189325E-10</v>
      </c>
      <c r="CJ71" s="7">
        <f>SUMIFS('fuels and tailpipe emissions'!$D$10:$D$126,'fuels and tailpipe emissions'!$A$10:$A$126,'vehicles specifications'!$F71,'fuels and tailpipe emissions'!$B$10:$B$126,'vehicles specifications'!CJ$2)/1000*$AQ71</f>
        <v>2.688972350920055E-10</v>
      </c>
      <c r="CK71" s="38">
        <f>VLOOKUP($B71,'abrasion emissions'!$O$7:$R$36,2,FALSE)</f>
        <v>0.5</v>
      </c>
      <c r="CL71" s="38">
        <f>VLOOKUP($B71,'abrasion emissions'!$O$7:$R$36,3,FALSE)</f>
        <v>0.5</v>
      </c>
      <c r="CM71" s="38">
        <f>VLOOKUP($B71,'abrasion emissions'!$O$7:$R$36,4,FALSE)</f>
        <v>0</v>
      </c>
      <c r="CN71" s="7">
        <f>((SUMIFS('abrasion emissions'!$M$7:$M$34,'abrasion emissions'!$I$7:$I$34,"PM 2.5",'abrasion emissions'!$J$7:$J$34,"urban",'abrasion emissions'!$K$7:$K$34,"Tyre",'abrasion emissions'!$L$7:$L$34,"b")*POWER(('vehicles specifications'!$Q71/1000),(1/SUMIFS('abrasion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specifications'!$P71/1000),(1/SUMIFS('abrasion emissions'!$M$7:$M$34,'abrasion emissions'!$I$7:$I$34,"PM 10",'abrasion emissions'!$J$7:$J$34,"urban",'abrasion emissions'!$K$7:$K$34,"Tyre",'abrasion emissions'!$L$7:$L$34,"c")))))/1000000</f>
        <v>6.5944645943691745E-6</v>
      </c>
      <c r="CO71" s="7">
        <f>((SUMIFS('abrasion emissions'!$M$7:$M$34,'abrasion emissions'!$I$7:$I$34,"PM 2.5",'abrasion emissions'!$J$7:$J$34,"rural",'abrasion emissions'!$K$7:$K$34,"Tyre",'abrasion emissions'!$L$7:$L$34,"b")*POWER(('vehicles specifications'!$Q71/1000),(1/SUMIFS('abrasion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specifications'!$P71/1000),(1/SUMIFS('abrasion emissions'!$M$7:$M$34,'abrasion emissions'!$I$7:$I$34,"PM 10",'abrasion emissions'!$J$7:$J$34,"rural",'abrasion emissions'!$K$7:$K$34,"Tyre",'abrasion emissions'!$L$7:$L$34,"c")))))/1000000</f>
        <v>5.1357293525669052E-6</v>
      </c>
      <c r="CP71" s="7">
        <f>((SUMIFS('abrasion emissions'!$M$7:$M$34,'abrasion emissions'!$I$7:$I$34,"PM 2.5",'abrasion emissions'!$J$7:$J$34,"motorway",'abrasion emissions'!$K$7:$K$34,"Tyre",'abrasion emissions'!$L$7:$L$34,"b")*POWER(('vehicles specifications'!$Q71/1000),(1/SUMIFS('abrasion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specifications'!$P71/1000),(1/SUMIFS('abrasion emissions'!$M$7:$M$34,'abrasion emissions'!$I$7:$I$34,"PM 10",'abrasion emissions'!$J$7:$J$34,"motorway",'abrasion emissions'!$K$7:$K$34,"Tyre",'abrasion emissions'!$L$7:$L$34,"c")))))/1000000</f>
        <v>4.3855452060034733E-6</v>
      </c>
      <c r="CQ71" s="7">
        <f>((SUMIFS('abrasion emissions'!$M$7:$M$34,'abrasion emissions'!$I$7:$I$34,"PM 2.5",'abrasion emissions'!$J$7:$J$34,"urban",'abrasion emissions'!$K$7:$K$34,"Brake",'abrasion emissions'!$L$7:$L$34,"b")*POWER(('vehicles specifications'!$Q71/1000),(1/SUMIFS('abrasion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specifications'!$P71/1000),(1/SUMIFS('abrasion emissions'!$M$7:$M$34,'abrasion emissions'!$I$7:$I$34,"PM 10",'abrasion emissions'!$J$7:$J$34,"urban",'abrasion emissions'!$K$7:$K$34,"Brake",'abrasion emissions'!$L$7:$L$34,"c")))))/1000000</f>
        <v>6.3193816645175985E-6</v>
      </c>
      <c r="CR71" s="7">
        <f>((SUMIFS('abrasion emissions'!$M$7:$M$34,'abrasion emissions'!$I$7:$I$34,"PM 2.5",'abrasion emissions'!$J$7:$J$34,"rural",'abrasion emissions'!$K$7:$K$34,"Brake",'abrasion emissions'!$L$7:$L$34,"b")*POWER(('vehicles specifications'!$Q71/1000),(1/SUMIFS('abrasion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specifications'!$P71/1000),(1/SUMIFS('abrasion emissions'!$M$7:$M$34,'abrasion emissions'!$I$7:$I$34,"PM 10",'abrasion emissions'!$J$7:$J$34,"rural",'abrasion emissions'!$K$7:$K$34,"Brake",'abrasion emissions'!$L$7:$L$34,"c")))))/1000000</f>
        <v>2.0708759092627531E-6</v>
      </c>
      <c r="CS71" s="7">
        <f>((SUMIFS('abrasion emissions'!$M$7:$M$34,'abrasion emissions'!$I$7:$I$34,"PM 2.5",'abrasion emissions'!$J$7:$J$34,"motorway",'abrasion emissions'!$K$7:$K$34,"Brake",'abrasion emissions'!$L$7:$L$34,"b")*POWER(('vehicles specifications'!$Q71/1000),(1/SUMIFS('abrasion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specifications'!$P71/1000),(1/SUMIFS('abrasion emissions'!$M$7:$M$34,'abrasion emissions'!$I$7:$I$34,"PM 10",'abrasion emissions'!$J$7:$J$34,"motorway",'abrasion emissions'!$K$7:$K$34,"Brake",'abrasion emissions'!$L$7:$L$34,"c")))))/1000000</f>
        <v>3.8840682749460318E-7</v>
      </c>
      <c r="CT71" s="7">
        <f>((SUMIFS('abrasion emissions'!$M$7:$M$38,'abrasion emissions'!$I$7:$I$38,"PM 2.5",'abrasion emissions'!$K$7:$K$38,"Re-susp.",'abrasion emissions'!$L$7:$L$38,"b")*POWER(('vehicles specifications'!$Q71/1000),(1/SUMIFS('abrasion emissions'!$M$7:$M$38,'abrasion emissions'!$I$7:$I$38,"PM 2.5",'abrasion emissions'!$K$7:$K$38,"Re-susp.",'abrasion emissions'!$L$7:$L$38,"c"))))+
(SUMIFS('abrasion emissions'!$M$7:$M$38,'abrasion emissions'!$I$7:$I$38,"PM 10",'abrasion emissions'!$K$7:$K$38,"Re-susp.",'abrasion emissions'!$L$7:$L$38,"b")*POWER(('vehicles specifications'!$Q71/1000),(1/SUMIFS('abrasion emissions'!$M$7:$M$38,'abrasion emissions'!$I$7:$I$38,"PM 10",'abrasion emissions'!$K$7:$K$38,"Re-susp.",'abrasion emissions'!$L$7:$L$38,"c")))))/1000000</f>
        <v>4.0078407960838708E-6</v>
      </c>
      <c r="CU71" s="7">
        <f>((SUMIFS('abrasion emissions'!$M$7:$M$38,'abrasion emissions'!$I$7:$I$38,"PM 2.5",'abrasion emissions'!$K$7:$K$38,"Road",'abrasion emissions'!$L$7:$L$38,"b")*POWER(('vehicles specifications'!$Q71/1000),(1/SUMIFS('abrasion emissions'!$M$7:$M$38,'abrasion emissions'!$I$7:$I$38,"PM 2.5",'abrasion emissions'!$K$7:$K$38,"Road",'abrasion emissions'!$L$7:$L$38,"c"))))+
(SUMIFS('abrasion emissions'!$M$7:$M$38,'abrasion emissions'!$I$7:$I$38,"PM 10",'abrasion emissions'!$K$7:$K$38,"Road",'abrasion emissions'!$L$7:$L$38,"b")*POWER(('vehicles specifications'!$Q71/1000),(1/SUMIFS('abrasion emissions'!$M$7:$M$38,'abrasion emissions'!$I$7:$I$38,"PM 10",'abrasion emissions'!$K$7:$K$38,"Road",'abrasion emissions'!$L$7:$L$38,"c")))))/1000000+CT71</f>
        <v>7.6373593576640838E-6</v>
      </c>
      <c r="CV71" s="7">
        <f>(CK71*CN71)+(CL71*CO71)+(CM71*CP71)</f>
        <v>5.8650969734680398E-6</v>
      </c>
      <c r="CW71" s="7">
        <f>(CK71*CQ71)+(CL71*CR71)+(CM71*CS71)</f>
        <v>4.1951287868901756E-6</v>
      </c>
    </row>
    <row r="72">
      <c r="A72" t="str">
        <f>B72&amp;" - "&amp;D72&amp;" - "&amp;IF(I72&lt;&gt;"",I72&amp;" - "&amp;E72,E72)</f>
        <v>Scooter, gasoline, 4-11kW, EURO-4 - 2016 - CH</v>
      </c>
      <c r="B72" t="inlineStr">
        <is>
          <t>Scooter, gasoline, 4-11kW, EURO-4</t>
        </is>
      </c>
      <c r="D72" s="18" t="n">
        <v>2016</v>
      </c>
      <c r="E72" t="inlineStr">
        <is>
          <t>CH</t>
        </is>
      </c>
      <c r="F72" t="inlineStr">
        <is>
          <t>EURO-4</t>
        </is>
      </c>
      <c r="G72" t="inlineStr">
        <is>
          <t>vkm</t>
        </is>
      </c>
      <c r="H72" t="inlineStr">
        <is>
          <t>ICEV-p</t>
        </is>
      </c>
      <c r="J72" t="n">
        <v>30000</v>
      </c>
      <c r="K72" t="n">
        <v>1870</v>
      </c>
      <c r="L72" s="2">
        <f>J72/K72</f>
        <v>16.042780748663102</v>
      </c>
      <c r="M72" t="n">
        <v>1</v>
      </c>
      <c r="N72" t="n">
        <v>75</v>
      </c>
      <c r="O72" t="n">
        <v>4</v>
      </c>
      <c r="P72" s="2">
        <f>SUM(U72,V72,W72,AC72,AF72,AH72)</f>
        <v>131.16249999999999</v>
      </c>
      <c r="Q72" s="2">
        <f>P72+(M72*N72)+O72</f>
        <v>210.16249999999999</v>
      </c>
      <c r="R72" t="n">
        <v>8.800000000000001</v>
      </c>
      <c r="S72" s="2" t="n">
        <v>70</v>
      </c>
      <c r="T72" s="1" t="n">
        <v>-0.02</v>
      </c>
      <c r="U72" s="2">
        <f>S72*(1-T72)</f>
        <v>71.400000000000006</v>
      </c>
      <c r="V72" t="n">
        <v>52</v>
      </c>
      <c r="W72" t="n">
        <v>0</v>
      </c>
      <c r="X72" s="3" t="n">
        <v>0</v>
      </c>
      <c r="Y72" s="1" t="n">
        <v>0.8</v>
      </c>
      <c r="Z72" s="3">
        <f>Y72*X72</f>
        <v>0</v>
      </c>
      <c r="AA72" s="3">
        <f>IF(I72&lt;&gt;"",X72/INDEX('energy battery'!$B$3:$D$6,MATCH('vehicles specifications'!$D72,'energy battery'!$A$3:$A$6,0),MATCH('vehicles specifications'!$I72,'energy battery'!$B$2:$D$2,0)),"")</f>
        <v/>
      </c>
      <c r="AB72" s="3">
        <f>IF(AA72&lt;&gt;"",0.3*AA72,"")</f>
        <v/>
      </c>
      <c r="AC72" s="3">
        <f>IF(AA72&lt;&gt;"",AB72+AA72,"")</f>
        <v/>
      </c>
      <c r="AD72" s="3" t="n">
        <v>0</v>
      </c>
      <c r="AE72" s="3" t="n">
        <v>9</v>
      </c>
      <c r="AF72">
        <f>AE72*'fuels and tailpipe emissions'!$B$3</f>
        <v>6.75</v>
      </c>
      <c r="AG72" s="2">
        <f>AF72*'fuels and tailpipe emissions'!$C$3</f>
        <v>79.875</v>
      </c>
      <c r="AH72" s="3">
        <f>0.15*AF72</f>
        <v>1.0125</v>
      </c>
      <c r="AI72" t="n">
        <v>0</v>
      </c>
      <c r="AJ72" t="n">
        <v>0</v>
      </c>
      <c r="AK72">
        <f>J72/25000</f>
        <v>1.2</v>
      </c>
      <c r="AL72">
        <f>0.000537/1000*Q72</f>
        <v>1.128572625E-4</v>
      </c>
      <c r="AM72" t="n">
        <v>0.00129</v>
      </c>
      <c r="AN72" s="2">
        <f>U72</f>
        <v>71.400000000000006</v>
      </c>
      <c r="AO72" s="2">
        <f>SUM(V72:W72)</f>
        <v>52</v>
      </c>
      <c r="AP72" s="2">
        <f>AC72</f>
        <v/>
      </c>
      <c r="AQ72" s="6" t="n">
        <v>1.047683580070611</v>
      </c>
      <c r="AR72" s="20" t="n">
        <v>0.012</v>
      </c>
      <c r="AS72" s="6">
        <f>IF($H72="BEV",SUMPRODUCT(#REF!,#REF!),"")</f>
        <v/>
      </c>
      <c r="AT72" s="2">
        <f>SUM(Z72,AG72)/(SUM(AQ72,AS72)/3.6)</f>
        <v>274.46263878700836</v>
      </c>
      <c r="AU72" s="5">
        <f>IF($H72="ICEV-p",$AQ72/('fuels and tailpipe emissions'!$C$3*3.6)*'fuels and tailpipe emissions'!$D$3,"")*(1-AR72)</f>
        <v>7.6296941880860544E-2</v>
      </c>
      <c r="AV72" s="5">
        <f>IF($H72="ICEV-p",$AQ72/('fuels and tailpipe emissions'!$C$3*3.6)*'fuels and tailpipe emissions'!$D$3,"")*AR72</f>
        <v>9.2668350462583665E-4</v>
      </c>
      <c r="AW72" s="7">
        <f>IF($H72="ICEV-p",$AQ72/('fuels and tailpipe emissions'!$C$3*3.6)*'fuels and tailpipe emissions'!$E$3,"")</f>
        <v>3.9349618030821087E-7</v>
      </c>
      <c r="AX72" s="7">
        <f>SUMIFS('fuels and tailpipe emissions'!$D$10:$D$126,'fuels and tailpipe emissions'!$A$10:$A$126,'vehicles specifications'!$F72,'fuels and tailpipe emissions'!$B$10:$B$126,'vehicles specifications'!AX$2)/1000*$AQ72</f>
        <v>3.7804648655641067E-5</v>
      </c>
      <c r="AY72" s="7">
        <f>SUMIFS('fuels and tailpipe emissions'!$D$10:$D$126,'fuels and tailpipe emissions'!$A$10:$A$126,'vehicles specifications'!$F72,'fuels and tailpipe emissions'!$B$10:$B$126,'vehicles specifications'!AY$2)/1000*$AQ72</f>
        <v>2.8884122543618082E-5</v>
      </c>
      <c r="AZ72" s="7">
        <f>SUMIFS('fuels and tailpipe emissions'!$D$10:$D$126,'fuels and tailpipe emissions'!$A$10:$A$126,'vehicles specifications'!$F72,'fuels and tailpipe emissions'!$B$10:$B$126,'vehicles specifications'!AZ$2)/1000*$AQ72</f>
        <v>3.383929830422446E-3</v>
      </c>
      <c r="BA72" s="7">
        <f>SUMIFS('fuels and tailpipe emissions'!$D$10:$D$126,'fuels and tailpipe emissions'!$A$10:$A$126,'vehicles specifications'!$F72,'fuels and tailpipe emissions'!$B$10:$B$126,'vehicles specifications'!BA$2)/1000*$AQ72</f>
        <v>1.465455227986712E-6</v>
      </c>
      <c r="BB72" s="7">
        <f>SUMIFS('fuels and tailpipe emissions'!$D$10:$D$126,'fuels and tailpipe emissions'!$A$10:$A$126,'vehicles specifications'!$F72,'fuels and tailpipe emissions'!$B$10:$B$126,'vehicles specifications'!BB$2)/1000*$AQ72</f>
        <v>1.465455227986712E-6</v>
      </c>
      <c r="BC72" s="7">
        <f>SUMIFS('fuels and tailpipe emissions'!$D$10:$D$126,'fuels and tailpipe emissions'!$A$10:$A$126,'vehicles specifications'!$F72,'fuels and tailpipe emissions'!$B$10:$B$126,'vehicles specifications'!BC$2)/1000*$AQ72</f>
        <v>1.0989552634931646E-4</v>
      </c>
      <c r="BD72" s="7">
        <f>SUMIFS('fuels and tailpipe emissions'!$D$10:$D$126,'fuels and tailpipe emissions'!$A$10:$A$126,'vehicles specifications'!$F72,'fuels and tailpipe emissions'!$B$10:$B$126,'vehicles specifications'!BD$2)/1000*$AQ72</f>
        <v>3.2870160763741949E-6</v>
      </c>
      <c r="BE72" s="7">
        <f>SUMIFS('fuels and tailpipe emissions'!$D$10:$D$126,'fuels and tailpipe emissions'!$A$10:$A$126,'vehicles specifications'!$F72,'fuels and tailpipe emissions'!$B$10:$B$126,'vehicles specifications'!BE$2)/1000*$AQ72</f>
        <v>3.0486315600377939E-4</v>
      </c>
      <c r="BF72" s="7">
        <f>SUMIFS('fuels and tailpipe emissions'!$D$10:$D$126,'fuels and tailpipe emissions'!$A$10:$A$126,'vehicles specifications'!$F72,'fuels and tailpipe emissions'!$B$10:$B$126,'vehicles specifications'!BF$2)/1000*$AQ72</f>
        <v>2.1496761000266487E-5</v>
      </c>
      <c r="BG72" s="7">
        <f>SUMIFS('fuels and tailpipe emissions'!$D$10:$D$126,'fuels and tailpipe emissions'!$A$10:$A$126,'vehicles specifications'!$F72,'fuels and tailpipe emissions'!$B$10:$B$126,'vehicles specifications'!BG$2)/1000*$AQ72</f>
        <v>4.3802177586749907E-6</v>
      </c>
      <c r="BH72" s="7">
        <f>SUMIFS('fuels and tailpipe emissions'!$D$10:$D$126,'fuels and tailpipe emissions'!$A$10:$A$126,'vehicles specifications'!$F72,'fuels and tailpipe emissions'!$B$10:$B$126,'vehicles specifications'!BH$2)/1000*$AQ72</f>
        <v>3.5311293931472228E-5</v>
      </c>
      <c r="BI72" s="7">
        <f>SUMIFS('fuels and tailpipe emissions'!$D$10:$D$126,'fuels and tailpipe emissions'!$A$10:$A$126,'vehicles specifications'!$F72,'fuels and tailpipe emissions'!$B$10:$B$126,'vehicles specifications'!BI$2)/1000*$AQ72</f>
        <v>1.4488412586386504E-5</v>
      </c>
      <c r="BJ72" s="7">
        <f>SUMIFS('fuels and tailpipe emissions'!$D$10:$D$126,'fuels and tailpipe emissions'!$A$10:$A$126,'vehicles specifications'!$F72,'fuels and tailpipe emissions'!$B$10:$B$126,'vehicles specifications'!BJ$2)/1000*$AQ72</f>
        <v>1.0849462448410361E-5</v>
      </c>
      <c r="BK72" s="7">
        <f>SUMIFS('fuels and tailpipe emissions'!$D$10:$D$126,'fuels and tailpipe emissions'!$A$10:$A$126,'vehicles specifications'!$F72,'fuels and tailpipe emissions'!$B$10:$B$126,'vehicles specifications'!BK$2)/1000*$AQ72</f>
        <v>7.6822280690607534E-6</v>
      </c>
      <c r="BL72" s="7">
        <f>SUMIFS('fuels and tailpipe emissions'!$D$10:$D$126,'fuels and tailpipe emissions'!$A$10:$A$126,'vehicles specifications'!$F72,'fuels and tailpipe emissions'!$B$10:$B$126,'vehicles specifications'!BL$2)/1000*$AQ72</f>
        <v>4.986709448337682E-6</v>
      </c>
      <c r="BM72" s="7">
        <f>SUMIFS('fuels and tailpipe emissions'!$D$10:$D$126,'fuels and tailpipe emissions'!$A$10:$A$126,'vehicles specifications'!$F72,'fuels and tailpipe emissions'!$B$10:$B$126,'vehicles specifications'!BM$2)/1000*$AQ72</f>
        <v>4.9193214828196046E-5</v>
      </c>
      <c r="BN72" s="7">
        <f>SUMIFS('fuels and tailpipe emissions'!$D$10:$D$126,'fuels and tailpipe emissions'!$A$10:$A$126,'vehicles specifications'!$F72,'fuels and tailpipe emissions'!$B$10:$B$126,'vehicles specifications'!BN$2)/1000*$AQ72</f>
        <v>2.5742202827905325E-5</v>
      </c>
      <c r="BO72" s="7">
        <f>SUMIFS('fuels and tailpipe emissions'!$D$10:$D$126,'fuels and tailpipe emissions'!$A$10:$A$126,'vehicles specifications'!$F72,'fuels and tailpipe emissions'!$B$10:$B$126,'vehicles specifications'!BO$2)/1000*$AQ72</f>
        <v>7.412676206988445E-7</v>
      </c>
      <c r="BP72" s="7">
        <f>SUMIFS('fuels and tailpipe emissions'!$D$10:$D$126,'fuels and tailpipe emissions'!$A$10:$A$126,'vehicles specifications'!$F72,'fuels and tailpipe emissions'!$B$10:$B$126,'vehicles specifications'!BP$2)/1000*$AQ72</f>
        <v>3.7804648655641067E-5</v>
      </c>
      <c r="BQ72" s="7">
        <f>SUMIFS('fuels and tailpipe emissions'!$D$10:$D$126,'fuels and tailpipe emissions'!$A$10:$A$126,'vehicles specifications'!$F72,'fuels and tailpipe emissions'!$B$10:$B$126,'vehicles specifications'!BQ$2)/1000*$AQ72</f>
        <v>7.3991986138848291E-5</v>
      </c>
      <c r="BR72" s="7">
        <f>SUMIFS('fuels and tailpipe emissions'!$D$10:$D$126,'fuels and tailpipe emissions'!$A$10:$A$126,'vehicles specifications'!$F72,'fuels and tailpipe emissions'!$B$10:$B$126,'vehicles specifications'!BR$2)/1000*$AQ72</f>
        <v>3.6591665276315688E-5</v>
      </c>
      <c r="BS72" s="7">
        <f>SUMIFS('fuels and tailpipe emissions'!$D$10:$D$126,'fuels and tailpipe emissions'!$A$10:$A$126,'vehicles specifications'!$F72,'fuels and tailpipe emissions'!$B$10:$B$126,'vehicles specifications'!BS$2)/1000*$AQ72</f>
        <v>1.522968020708535E-5</v>
      </c>
      <c r="BT72" s="7">
        <f>SUMIFS('fuels and tailpipe emissions'!$D$10:$D$126,'fuels and tailpipe emissions'!$A$10:$A$126,'vehicles specifications'!$F72,'fuels and tailpipe emissions'!$B$10:$B$126,'vehicles specifications'!BT$2)/1000*$AQ72</f>
        <v>1.1455954138073051E-5</v>
      </c>
      <c r="BU72" s="7">
        <f>SUMIFS('fuels and tailpipe emissions'!$D$10:$D$126,'fuels and tailpipe emissions'!$A$10:$A$126,'vehicles specifications'!$F72,'fuels and tailpipe emissions'!$B$10:$B$126,'vehicles specifications'!BU$2)/1000*$AQ72</f>
        <v>5.0540974138557577E-6</v>
      </c>
      <c r="BV72" s="7">
        <f>SUMIFS('fuels and tailpipe emissions'!$D$10:$D$126,'fuels and tailpipe emissions'!$A$10:$A$126,'vehicles specifications'!$F72,'fuels and tailpipe emissions'!$B$10:$B$126,'vehicles specifications'!BV$2)/1000*$AQ72</f>
        <v>1.482535241397689E-6</v>
      </c>
      <c r="BW72" s="7">
        <f>SUMIFS('fuels and tailpipe emissions'!$D$10:$D$126,'fuels and tailpipe emissions'!$A$10:$A$126,'vehicles specifications'!$F72,'fuels and tailpipe emissions'!$B$10:$B$126,'vehicles specifications'!BW$2)/1000*$AQ72</f>
        <v>4.1106658966026837E-6</v>
      </c>
      <c r="BX72" s="7">
        <f>SUMIFS('fuels and tailpipe emissions'!$D$10:$D$126,'fuels and tailpipe emissions'!$A$10:$A$126,'vehicles specifications'!$F72,'fuels and tailpipe emissions'!$B$10:$B$126,'vehicles specifications'!BX$2)/1000*$AQ72</f>
        <v>0</v>
      </c>
      <c r="BY72" s="7">
        <f>SUMIFS('fuels and tailpipe emissions'!$D$10:$D$126,'fuels and tailpipe emissions'!$A$10:$A$126,'vehicles specifications'!$F72,'fuels and tailpipe emissions'!$B$10:$B$126,'vehicles specifications'!BY$2)/1000*$AQ72</f>
        <v>1.2803713448434585E-6</v>
      </c>
      <c r="BZ72" s="7">
        <f>SUMIFS('fuels and tailpipe emissions'!$D$10:$D$126,'fuels and tailpipe emissions'!$A$10:$A$126,'vehicles specifications'!$F72,'fuels and tailpipe emissions'!$B$10:$B$126,'vehicles specifications'!BZ$2)/1000*$AQ72</f>
        <v>6.8061845173257543E-6</v>
      </c>
      <c r="CA72" s="7">
        <f>SUMIFS('fuels and tailpipe emissions'!$D$10:$D$126,'fuels and tailpipe emissions'!$A$10:$A$126,'vehicles specifications'!$F72,'fuels and tailpipe emissions'!$B$10:$B$126,'vehicles specifications'!CA$2)/1000*$AQ72</f>
        <v>8.5786796674017128E-10</v>
      </c>
      <c r="CB72" s="7">
        <f>SUMIFS('fuels and tailpipe emissions'!$D$10:$D$126,'fuels and tailpipe emissions'!$A$10:$A$126,'vehicles specifications'!$F72,'fuels and tailpipe emissions'!$B$10:$B$126,'vehicles specifications'!CB$2)/1000*$AQ72</f>
        <v>7.3954135063807875E-12</v>
      </c>
      <c r="CC72" s="7">
        <f>SUMIFS('fuels and tailpipe emissions'!$D$10:$D$126,'fuels and tailpipe emissions'!$A$10:$A$126,'vehicles specifications'!$F72,'fuels and tailpipe emissions'!$B$10:$B$126,'vehicles specifications'!CC$2)/1000*$AQ72</f>
        <v>4.9302756709205247E-12</v>
      </c>
      <c r="CD72" s="7">
        <f>SUMIFS('fuels and tailpipe emissions'!$D$10:$D$126,'fuels and tailpipe emissions'!$A$10:$A$126,'vehicles specifications'!$F72,'fuels and tailpipe emissions'!$B$10:$B$126,'vehicles specifications'!CD$2)/1000*$AQ72</f>
        <v>5.324697724594167E-8</v>
      </c>
      <c r="CE72" s="7">
        <f>SUMIFS('fuels and tailpipe emissions'!$D$10:$D$126,'fuels and tailpipe emissions'!$A$10:$A$126,'vehicles specifications'!$F72,'fuels and tailpipe emissions'!$B$10:$B$126,'vehicles specifications'!CE$2)/1000*$AQ72</f>
        <v>1.0353578908933101E-9</v>
      </c>
      <c r="CF72" s="7">
        <f>SUMIFS('fuels and tailpipe emissions'!$D$10:$D$126,'fuels and tailpipe emissions'!$A$10:$A$126,'vehicles specifications'!$F72,'fuels and tailpipe emissions'!$B$10:$B$126,'vehicles specifications'!CF$2)/1000*$AQ72</f>
        <v>3.2046791860983413E-10</v>
      </c>
      <c r="CG72" s="7">
        <f>SUMIFS('fuels and tailpipe emissions'!$D$10:$D$126,'fuels and tailpipe emissions'!$A$10:$A$126,'vehicles specifications'!$F72,'fuels and tailpipe emissions'!$B$10:$B$126,'vehicles specifications'!CG$2)/1000*$AQ72</f>
        <v>3.9442205367364202E-10</v>
      </c>
      <c r="CH72" s="7">
        <f>SUMIFS('fuels and tailpipe emissions'!$D$10:$D$126,'fuels and tailpipe emissions'!$A$10:$A$126,'vehicles specifications'!$F72,'fuels and tailpipe emissions'!$B$10:$B$126,'vehicles specifications'!CH$2)/1000*$AQ72</f>
        <v>7.8884410734728391E-13</v>
      </c>
      <c r="CI72" s="7">
        <f>SUMIFS('fuels and tailpipe emissions'!$D$10:$D$126,'fuels and tailpipe emissions'!$A$10:$A$126,'vehicles specifications'!$F72,'fuels and tailpipe emissions'!$B$10:$B$126,'vehicles specifications'!CI$2)/1000*$AQ72</f>
        <v>2.1446699168504282E-10</v>
      </c>
      <c r="CJ72" s="7">
        <f>SUMIFS('fuels and tailpipe emissions'!$D$10:$D$126,'fuels and tailpipe emissions'!$A$10:$A$126,'vehicles specifications'!$F72,'fuels and tailpipe emissions'!$B$10:$B$126,'vehicles specifications'!CJ$2)/1000*$AQ72</f>
        <v>2.6623488622970838E-10</v>
      </c>
      <c r="CK72" s="38">
        <f>VLOOKUP($B72,'abrasion emissions'!$O$7:$R$36,2,FALSE)</f>
        <v>0.5</v>
      </c>
      <c r="CL72" s="38">
        <f>VLOOKUP($B72,'abrasion emissions'!$O$7:$R$36,3,FALSE)</f>
        <v>0.5</v>
      </c>
      <c r="CM72" s="38">
        <f>VLOOKUP($B72,'abrasion emissions'!$O$7:$R$36,4,FALSE)</f>
        <v>0</v>
      </c>
      <c r="CN72" s="7">
        <f>((SUMIFS('abrasion emissions'!$M$7:$M$34,'abrasion emissions'!$I$7:$I$34,"PM 2.5",'abrasion emissions'!$J$7:$J$34,"urban",'abrasion emissions'!$K$7:$K$34,"Tyre",'abrasion emissions'!$L$7:$L$34,"b")*POWER(('vehicles specifications'!$Q72/1000),(1/SUMIFS('abrasion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specifications'!$P72/1000),(1/SUMIFS('abrasion emissions'!$M$7:$M$34,'abrasion emissions'!$I$7:$I$34,"PM 10",'abrasion emissions'!$J$7:$J$34,"urban",'abrasion emissions'!$K$7:$K$34,"Tyre",'abrasion emissions'!$L$7:$L$34,"c")))))/1000000</f>
        <v>6.5598163095421697E-6</v>
      </c>
      <c r="CO72" s="7">
        <f>((SUMIFS('abrasion emissions'!$M$7:$M$34,'abrasion emissions'!$I$7:$I$34,"PM 2.5",'abrasion emissions'!$J$7:$J$34,"rural",'abrasion emissions'!$K$7:$K$34,"Tyre",'abrasion emissions'!$L$7:$L$34,"b")*POWER(('vehicles specifications'!$Q72/1000),(1/SUMIFS('abrasion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specifications'!$P72/1000),(1/SUMIFS('abrasion emissions'!$M$7:$M$34,'abrasion emissions'!$I$7:$I$34,"PM 10",'abrasion emissions'!$J$7:$J$34,"rural",'abrasion emissions'!$K$7:$K$34,"Tyre",'abrasion emissions'!$L$7:$L$34,"c")))))/1000000</f>
        <v>5.1087636622511349E-6</v>
      </c>
      <c r="CP72" s="7">
        <f>((SUMIFS('abrasion emissions'!$M$7:$M$34,'abrasion emissions'!$I$7:$I$34,"PM 2.5",'abrasion emissions'!$J$7:$J$34,"motorway",'abrasion emissions'!$K$7:$K$34,"Tyre",'abrasion emissions'!$L$7:$L$34,"b")*POWER(('vehicles specifications'!$Q72/1000),(1/SUMIFS('abrasion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specifications'!$P72/1000),(1/SUMIFS('abrasion emissions'!$M$7:$M$34,'abrasion emissions'!$I$7:$I$34,"PM 10",'abrasion emissions'!$J$7:$J$34,"motorway",'abrasion emissions'!$K$7:$K$34,"Tyre",'abrasion emissions'!$L$7:$L$34,"c")))))/1000000</f>
        <v>4.3625640771032097E-6</v>
      </c>
      <c r="CQ72" s="7">
        <f>((SUMIFS('abrasion emissions'!$M$7:$M$34,'abrasion emissions'!$I$7:$I$34,"PM 2.5",'abrasion emissions'!$J$7:$J$34,"urban",'abrasion emissions'!$K$7:$K$34,"Brake",'abrasion emissions'!$L$7:$L$34,"b")*POWER(('vehicles specifications'!$Q72/1000),(1/SUMIFS('abrasion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specifications'!$P72/1000),(1/SUMIFS('abrasion emissions'!$M$7:$M$34,'abrasion emissions'!$I$7:$I$34,"PM 10",'abrasion emissions'!$J$7:$J$34,"urban",'abrasion emissions'!$K$7:$K$34,"Brake",'abrasion emissions'!$L$7:$L$34,"c")))))/1000000</f>
        <v>6.2818829748255406E-6</v>
      </c>
      <c r="CR72" s="7">
        <f>((SUMIFS('abrasion emissions'!$M$7:$M$34,'abrasion emissions'!$I$7:$I$34,"PM 2.5",'abrasion emissions'!$J$7:$J$34,"rural",'abrasion emissions'!$K$7:$K$34,"Brake",'abrasion emissions'!$L$7:$L$34,"b")*POWER(('vehicles specifications'!$Q72/1000),(1/SUMIFS('abrasion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specifications'!$P72/1000),(1/SUMIFS('abrasion emissions'!$M$7:$M$34,'abrasion emissions'!$I$7:$I$34,"PM 10",'abrasion emissions'!$J$7:$J$34,"rural",'abrasion emissions'!$K$7:$K$34,"Brake",'abrasion emissions'!$L$7:$L$34,"c")))))/1000000</f>
        <v>2.0553504920237371E-6</v>
      </c>
      <c r="CS72" s="7">
        <f>((SUMIFS('abrasion emissions'!$M$7:$M$34,'abrasion emissions'!$I$7:$I$34,"PM 2.5",'abrasion emissions'!$J$7:$J$34,"motorway",'abrasion emissions'!$K$7:$K$34,"Brake",'abrasion emissions'!$L$7:$L$34,"b")*POWER(('vehicles specifications'!$Q72/1000),(1/SUMIFS('abrasion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specifications'!$P72/1000),(1/SUMIFS('abrasion emissions'!$M$7:$M$34,'abrasion emissions'!$I$7:$I$34,"PM 10",'abrasion emissions'!$J$7:$J$34,"motorway",'abrasion emissions'!$K$7:$K$34,"Brake",'abrasion emissions'!$L$7:$L$34,"c")))))/1000000</f>
        <v>3.8506350292785083E-7</v>
      </c>
      <c r="CT72" s="7">
        <f>((SUMIFS('abrasion emissions'!$M$7:$M$38,'abrasion emissions'!$I$7:$I$38,"PM 2.5",'abrasion emissions'!$K$7:$K$38,"Re-susp.",'abrasion emissions'!$L$7:$L$38,"b")*POWER(('vehicles specifications'!$Q72/1000),(1/SUMIFS('abrasion emissions'!$M$7:$M$38,'abrasion emissions'!$I$7:$I$38,"PM 2.5",'abrasion emissions'!$K$7:$K$38,"Re-susp.",'abrasion emissions'!$L$7:$L$38,"c"))))+
(SUMIFS('abrasion emissions'!$M$7:$M$38,'abrasion emissions'!$I$7:$I$38,"PM 10",'abrasion emissions'!$K$7:$K$38,"Re-susp.",'abrasion emissions'!$L$7:$L$38,"b")*POWER(('vehicles specifications'!$Q72/1000),(1/SUMIFS('abrasion emissions'!$M$7:$M$38,'abrasion emissions'!$I$7:$I$38,"PM 10",'abrasion emissions'!$K$7:$K$38,"Re-susp.",'abrasion emissions'!$L$7:$L$38,"c")))))/1000000</f>
        <v>3.9717779697262679E-6</v>
      </c>
      <c r="CU72" s="7">
        <f>((SUMIFS('abrasion emissions'!$M$7:$M$38,'abrasion emissions'!$I$7:$I$38,"PM 2.5",'abrasion emissions'!$K$7:$K$38,"Road",'abrasion emissions'!$L$7:$L$38,"b")*POWER(('vehicles specifications'!$Q72/1000),(1/SUMIFS('abrasion emissions'!$M$7:$M$38,'abrasion emissions'!$I$7:$I$38,"PM 2.5",'abrasion emissions'!$K$7:$K$38,"Road",'abrasion emissions'!$L$7:$L$38,"c"))))+
(SUMIFS('abrasion emissions'!$M$7:$M$38,'abrasion emissions'!$I$7:$I$38,"PM 10",'abrasion emissions'!$K$7:$K$38,"Road",'abrasion emissions'!$L$7:$L$38,"b")*POWER(('vehicles specifications'!$Q72/1000),(1/SUMIFS('abrasion emissions'!$M$7:$M$38,'abrasion emissions'!$I$7:$I$38,"PM 10",'abrasion emissions'!$K$7:$K$38,"Road",'abrasion emissions'!$L$7:$L$38,"c")))))/1000000+CT72</f>
        <v>7.5773180063729661E-6</v>
      </c>
      <c r="CV72" s="7">
        <f>(CK72*CN72)+(CL72*CO72)+(CM72*CP72)</f>
        <v>5.8342899858966527E-6</v>
      </c>
      <c r="CW72" s="7">
        <f>(CK72*CQ72)+(CL72*CR72)+(CM72*CS72)</f>
        <v>4.1686167334246386E-6</v>
      </c>
    </row>
    <row r="73">
      <c r="A73" t="str">
        <f>B73&amp;" - "&amp;D73&amp;" - "&amp;IF(I73&lt;&gt;"",I73&amp;" - "&amp;E73,E73)</f>
        <v>Scooter, gasoline, 4-11kW, EURO-5 - 2020 - CH</v>
      </c>
      <c r="B73" t="inlineStr">
        <is>
          <t>Scooter, gasoline, 4-11kW, EURO-5</t>
        </is>
      </c>
      <c r="D73" s="18" t="n">
        <v>2020</v>
      </c>
      <c r="E73" t="inlineStr">
        <is>
          <t>CH</t>
        </is>
      </c>
      <c r="F73" t="inlineStr">
        <is>
          <t>EURO-5</t>
        </is>
      </c>
      <c r="G73" t="inlineStr">
        <is>
          <t>vkm</t>
        </is>
      </c>
      <c r="H73" t="inlineStr">
        <is>
          <t>ICEV-p</t>
        </is>
      </c>
      <c r="J73" t="n">
        <v>30000</v>
      </c>
      <c r="K73" t="n">
        <v>1870</v>
      </c>
      <c r="L73" s="2">
        <f>J73/K73</f>
        <v>16.042780748663102</v>
      </c>
      <c r="M73" t="n">
        <v>1</v>
      </c>
      <c r="N73" t="n">
        <v>75</v>
      </c>
      <c r="O73" t="n">
        <v>4</v>
      </c>
      <c r="P73" s="2">
        <f>SUM(U73,V73,W73,AC73,AF73,AH73)</f>
        <v>129.76249999999999</v>
      </c>
      <c r="Q73" s="2">
        <f>P73+(M73*N73)+O73</f>
        <v>208.76249999999999</v>
      </c>
      <c r="R73" t="n">
        <v>8.800000000000001</v>
      </c>
      <c r="S73" s="2" t="n">
        <v>70</v>
      </c>
      <c r="T73" s="1" t="n">
        <v>0</v>
      </c>
      <c r="U73" s="2">
        <f>S73*(1-T73)</f>
        <v>70</v>
      </c>
      <c r="V73" t="n">
        <v>52</v>
      </c>
      <c r="W73" t="n">
        <v>0</v>
      </c>
      <c r="X73" s="3" t="n">
        <v>0</v>
      </c>
      <c r="Y73" s="1" t="n">
        <v>0.8</v>
      </c>
      <c r="Z73" s="3">
        <f>Y73*X73</f>
        <v>0</v>
      </c>
      <c r="AA73" s="3">
        <f>IF(I73&lt;&gt;"",X73/INDEX('energy battery'!$B$3:$D$6,MATCH('vehicles specifications'!$D73,'energy battery'!$A$3:$A$6,0),MATCH('vehicles specifications'!$I73,'energy battery'!$B$2:$D$2,0)),"")</f>
        <v/>
      </c>
      <c r="AB73" s="3">
        <f>IF(AA73&lt;&gt;"",0.3*AA73,"")</f>
        <v/>
      </c>
      <c r="AC73" s="3">
        <f>IF(AA73&lt;&gt;"",AB73+AA73,"")</f>
        <v/>
      </c>
      <c r="AD73" s="3" t="n">
        <v>0</v>
      </c>
      <c r="AE73" s="3" t="n">
        <v>9</v>
      </c>
      <c r="AF73">
        <f>AE73*'fuels and tailpipe emissions'!$B$3</f>
        <v>6.75</v>
      </c>
      <c r="AG73" s="2">
        <f>AF73*'fuels and tailpipe emissions'!$C$3</f>
        <v>79.875</v>
      </c>
      <c r="AH73" s="3">
        <f>0.15*AF73</f>
        <v>1.0125</v>
      </c>
      <c r="AI73" t="n">
        <v>0</v>
      </c>
      <c r="AJ73" t="n">
        <v>0</v>
      </c>
      <c r="AK73">
        <f>J73/25000</f>
        <v>1.2</v>
      </c>
      <c r="AL73">
        <f>0.000537/1000*Q73</f>
        <v>1.1210546249999999E-4</v>
      </c>
      <c r="AM73" t="n">
        <v>0.00129</v>
      </c>
      <c r="AN73" s="2">
        <f>U73</f>
        <v>70</v>
      </c>
      <c r="AO73" s="2">
        <f>SUM(V73:W73)</f>
        <v>52</v>
      </c>
      <c r="AP73" s="2">
        <f>AC73</f>
        <v/>
      </c>
      <c r="AQ73" s="6" t="n">
        <v>1.037206744269905</v>
      </c>
      <c r="AR73" s="20" t="n">
        <v>0.012</v>
      </c>
      <c r="AS73" s="6">
        <f>IF($H73="BEV",SUMPRODUCT(#REF!,#REF!),"")</f>
        <v/>
      </c>
      <c r="AT73" s="2">
        <f>SUM(Z73,AG73)/(SUM(AQ73,AS73)/3.6)</f>
        <v>277.23498867374587</v>
      </c>
      <c r="AU73" s="5">
        <f>IF($H73="ICEV-p",$AQ73/('fuels and tailpipe emissions'!$C$3*3.6)*'fuels and tailpipe emissions'!$D$3,"")*(1-AR73)</f>
        <v>7.5533972462051943E-2</v>
      </c>
      <c r="AV73" s="5">
        <f>IF($H73="ICEV-p",$AQ73/('fuels and tailpipe emissions'!$C$3*3.6)*'fuels and tailpipe emissions'!$D$3,"")*AR73</f>
        <v>9.1741666957957831E-4</v>
      </c>
      <c r="AW73" s="7">
        <f>IF($H73="ICEV-p",$AQ73/('fuels and tailpipe emissions'!$C$3*3.6)*'fuels and tailpipe emissions'!$E$3,"")</f>
        <v>3.8956121850512876E-7</v>
      </c>
      <c r="AX73" s="7">
        <f>SUMIFS('fuels and tailpipe emissions'!$D$10:$D$126,'fuels and tailpipe emissions'!$A$10:$A$126,'vehicles specifications'!$F73,'fuels and tailpipe emissions'!$B$10:$B$126,'vehicles specifications'!AX$2)/1000*$AQ73</f>
        <v>3.7426602169084653E-5</v>
      </c>
      <c r="AY73" s="7">
        <f>SUMIFS('fuels and tailpipe emissions'!$D$10:$D$126,'fuels and tailpipe emissions'!$A$10:$A$126,'vehicles specifications'!$F73,'fuels and tailpipe emissions'!$B$10:$B$126,'vehicles specifications'!AY$2)/1000*$AQ73</f>
        <v>2.8595281318181901E-5</v>
      </c>
      <c r="AZ73" s="7">
        <f>SUMIFS('fuels and tailpipe emissions'!$D$10:$D$126,'fuels and tailpipe emissions'!$A$10:$A$126,'vehicles specifications'!$F73,'fuels and tailpipe emissions'!$B$10:$B$126,'vehicles specifications'!AZ$2)/1000*$AQ73</f>
        <v>3.3500905321182215E-3</v>
      </c>
      <c r="BA73" s="7">
        <f>SUMIFS('fuels and tailpipe emissions'!$D$10:$D$126,'fuels and tailpipe emissions'!$A$10:$A$126,'vehicles specifications'!$F73,'fuels and tailpipe emissions'!$B$10:$B$126,'vehicles specifications'!BA$2)/1000*$AQ73</f>
        <v>1.4508006757068449E-6</v>
      </c>
      <c r="BB73" s="7">
        <f>SUMIFS('fuels and tailpipe emissions'!$D$10:$D$126,'fuels and tailpipe emissions'!$A$10:$A$126,'vehicles specifications'!$F73,'fuels and tailpipe emissions'!$B$10:$B$126,'vehicles specifications'!BB$2)/1000*$AQ73</f>
        <v>1.4508006757068449E-6</v>
      </c>
      <c r="BC73" s="7">
        <f>SUMIFS('fuels and tailpipe emissions'!$D$10:$D$126,'fuels and tailpipe emissions'!$A$10:$A$126,'vehicles specifications'!$F73,'fuels and tailpipe emissions'!$B$10:$B$126,'vehicles specifications'!BC$2)/1000*$AQ73</f>
        <v>1.0879657108582329E-4</v>
      </c>
      <c r="BD73" s="7">
        <f>SUMIFS('fuels and tailpipe emissions'!$D$10:$D$126,'fuels and tailpipe emissions'!$A$10:$A$126,'vehicles specifications'!$F73,'fuels and tailpipe emissions'!$B$10:$B$126,'vehicles specifications'!BD$2)/1000*$AQ73</f>
        <v>3.2541459156104529E-6</v>
      </c>
      <c r="BE73" s="7">
        <f>SUMIFS('fuels and tailpipe emissions'!$D$10:$D$126,'fuels and tailpipe emissions'!$A$10:$A$126,'vehicles specifications'!$F73,'fuels and tailpipe emissions'!$B$10:$B$126,'vehicles specifications'!BE$2)/1000*$AQ73</f>
        <v>3.018145244437416E-4</v>
      </c>
      <c r="BF73" s="7">
        <f>SUMIFS('fuels and tailpipe emissions'!$D$10:$D$126,'fuels and tailpipe emissions'!$A$10:$A$126,'vehicles specifications'!$F73,'fuels and tailpipe emissions'!$B$10:$B$126,'vehicles specifications'!BF$2)/1000*$AQ73</f>
        <v>2.1281793390263825E-5</v>
      </c>
      <c r="BG73" s="7">
        <f>SUMIFS('fuels and tailpipe emissions'!$D$10:$D$126,'fuels and tailpipe emissions'!$A$10:$A$126,'vehicles specifications'!$F73,'fuels and tailpipe emissions'!$B$10:$B$126,'vehicles specifications'!BG$2)/1000*$AQ73</f>
        <v>4.3364155810882407E-6</v>
      </c>
      <c r="BH73" s="7">
        <f>SUMIFS('fuels and tailpipe emissions'!$D$10:$D$126,'fuels and tailpipe emissions'!$A$10:$A$126,'vehicles specifications'!$F73,'fuels and tailpipe emissions'!$B$10:$B$126,'vehicles specifications'!BH$2)/1000*$AQ73</f>
        <v>3.4958180992157506E-5</v>
      </c>
      <c r="BI73" s="7">
        <f>SUMIFS('fuels and tailpipe emissions'!$D$10:$D$126,'fuels and tailpipe emissions'!$A$10:$A$126,'vehicles specifications'!$F73,'fuels and tailpipe emissions'!$B$10:$B$126,'vehicles specifications'!BI$2)/1000*$AQ73</f>
        <v>1.4343528460522639E-5</v>
      </c>
      <c r="BJ73" s="7">
        <f>SUMIFS('fuels and tailpipe emissions'!$D$10:$D$126,'fuels and tailpipe emissions'!$A$10:$A$126,'vehicles specifications'!$F73,'fuels and tailpipe emissions'!$B$10:$B$126,'vehicles specifications'!BJ$2)/1000*$AQ73</f>
        <v>1.0740967823926257E-5</v>
      </c>
      <c r="BK73" s="7">
        <f>SUMIFS('fuels and tailpipe emissions'!$D$10:$D$126,'fuels and tailpipe emissions'!$A$10:$A$126,'vehicles specifications'!$F73,'fuels and tailpipe emissions'!$B$10:$B$126,'vehicles specifications'!BK$2)/1000*$AQ73</f>
        <v>7.6054057883701452E-6</v>
      </c>
      <c r="BL73" s="7">
        <f>SUMIFS('fuels and tailpipe emissions'!$D$10:$D$126,'fuels and tailpipe emissions'!$A$10:$A$126,'vehicles specifications'!$F73,'fuels and tailpipe emissions'!$B$10:$B$126,'vehicles specifications'!BL$2)/1000*$AQ73</f>
        <v>4.9368423538543053E-6</v>
      </c>
      <c r="BM73" s="7">
        <f>SUMIFS('fuels and tailpipe emissions'!$D$10:$D$126,'fuels and tailpipe emissions'!$A$10:$A$126,'vehicles specifications'!$F73,'fuels and tailpipe emissions'!$B$10:$B$126,'vehicles specifications'!BM$2)/1000*$AQ73</f>
        <v>4.8701282679914084E-5</v>
      </c>
      <c r="BN73" s="7">
        <f>SUMIFS('fuels and tailpipe emissions'!$D$10:$D$126,'fuels and tailpipe emissions'!$A$10:$A$126,'vehicles specifications'!$F73,'fuels and tailpipe emissions'!$B$10:$B$126,'vehicles specifications'!BN$2)/1000*$AQ73</f>
        <v>2.5484780799626274E-5</v>
      </c>
      <c r="BO73" s="7">
        <f>SUMIFS('fuels and tailpipe emissions'!$D$10:$D$126,'fuels and tailpipe emissions'!$A$10:$A$126,'vehicles specifications'!$F73,'fuels and tailpipe emissions'!$B$10:$B$126,'vehicles specifications'!BO$2)/1000*$AQ73</f>
        <v>7.3385494449185606E-7</v>
      </c>
      <c r="BP73" s="7">
        <f>SUMIFS('fuels and tailpipe emissions'!$D$10:$D$126,'fuels and tailpipe emissions'!$A$10:$A$126,'vehicles specifications'!$F73,'fuels and tailpipe emissions'!$B$10:$B$126,'vehicles specifications'!BP$2)/1000*$AQ73</f>
        <v>3.7426602169084653E-5</v>
      </c>
      <c r="BQ73" s="7">
        <f>SUMIFS('fuels and tailpipe emissions'!$D$10:$D$126,'fuels and tailpipe emissions'!$A$10:$A$126,'vehicles specifications'!$F73,'fuels and tailpipe emissions'!$B$10:$B$126,'vehicles specifications'!BQ$2)/1000*$AQ73</f>
        <v>7.3252066277459808E-5</v>
      </c>
      <c r="BR73" s="7">
        <f>SUMIFS('fuels and tailpipe emissions'!$D$10:$D$126,'fuels and tailpipe emissions'!$A$10:$A$126,'vehicles specifications'!$F73,'fuels and tailpipe emissions'!$B$10:$B$126,'vehicles specifications'!BR$2)/1000*$AQ73</f>
        <v>3.6225748623552532E-5</v>
      </c>
      <c r="BS73" s="7">
        <f>SUMIFS('fuels and tailpipe emissions'!$D$10:$D$126,'fuels and tailpipe emissions'!$A$10:$A$126,'vehicles specifications'!$F73,'fuels and tailpipe emissions'!$B$10:$B$126,'vehicles specifications'!BS$2)/1000*$AQ73</f>
        <v>1.5077383405014497E-5</v>
      </c>
      <c r="BT73" s="7">
        <f>SUMIFS('fuels and tailpipe emissions'!$D$10:$D$126,'fuels and tailpipe emissions'!$A$10:$A$126,'vehicles specifications'!$F73,'fuels and tailpipe emissions'!$B$10:$B$126,'vehicles specifications'!BT$2)/1000*$AQ73</f>
        <v>1.1341394596692321E-5</v>
      </c>
      <c r="BU73" s="7">
        <f>SUMIFS('fuels and tailpipe emissions'!$D$10:$D$126,'fuels and tailpipe emissions'!$A$10:$A$126,'vehicles specifications'!$F73,'fuels and tailpipe emissions'!$B$10:$B$126,'vehicles specifications'!BU$2)/1000*$AQ73</f>
        <v>5.0035564397171996E-6</v>
      </c>
      <c r="BV73" s="7">
        <f>SUMIFS('fuels and tailpipe emissions'!$D$10:$D$126,'fuels and tailpipe emissions'!$A$10:$A$126,'vehicles specifications'!$F73,'fuels and tailpipe emissions'!$B$10:$B$126,'vehicles specifications'!BV$2)/1000*$AQ73</f>
        <v>1.4677098889837121E-6</v>
      </c>
      <c r="BW73" s="7">
        <f>SUMIFS('fuels and tailpipe emissions'!$D$10:$D$126,'fuels and tailpipe emissions'!$A$10:$A$126,'vehicles specifications'!$F73,'fuels and tailpipe emissions'!$B$10:$B$126,'vehicles specifications'!BW$2)/1000*$AQ73</f>
        <v>4.0695592376366564E-6</v>
      </c>
      <c r="BX73" s="7">
        <f>SUMIFS('fuels and tailpipe emissions'!$D$10:$D$126,'fuels and tailpipe emissions'!$A$10:$A$126,'vehicles specifications'!$F73,'fuels and tailpipe emissions'!$B$10:$B$126,'vehicles specifications'!BX$2)/1000*$AQ73</f>
        <v>0</v>
      </c>
      <c r="BY73" s="7">
        <f>SUMIFS('fuels and tailpipe emissions'!$D$10:$D$126,'fuels and tailpipe emissions'!$A$10:$A$126,'vehicles specifications'!$F73,'fuels and tailpipe emissions'!$B$10:$B$126,'vehicles specifications'!BY$2)/1000*$AQ73</f>
        <v>1.2675676313950239E-6</v>
      </c>
      <c r="BZ73" s="7">
        <f>SUMIFS('fuels and tailpipe emissions'!$D$10:$D$126,'fuels and tailpipe emissions'!$A$10:$A$126,'vehicles specifications'!$F73,'fuels and tailpipe emissions'!$B$10:$B$126,'vehicles specifications'!BZ$2)/1000*$AQ73</f>
        <v>6.7381226721524973E-6</v>
      </c>
      <c r="CA73" s="7">
        <f>SUMIFS('fuels and tailpipe emissions'!$D$10:$D$126,'fuels and tailpipe emissions'!$A$10:$A$126,'vehicles specifications'!$F73,'fuels and tailpipe emissions'!$B$10:$B$126,'vehicles specifications'!CA$2)/1000*$AQ73</f>
        <v>8.4928928707276964E-10</v>
      </c>
      <c r="CB73" s="7">
        <f>SUMIFS('fuels and tailpipe emissions'!$D$10:$D$126,'fuels and tailpipe emissions'!$A$10:$A$126,'vehicles specifications'!$F73,'fuels and tailpipe emissions'!$B$10:$B$126,'vehicles specifications'!CB$2)/1000*$AQ73</f>
        <v>7.3214593713169786E-12</v>
      </c>
      <c r="CC73" s="7">
        <f>SUMIFS('fuels and tailpipe emissions'!$D$10:$D$126,'fuels and tailpipe emissions'!$A$10:$A$126,'vehicles specifications'!$F73,'fuels and tailpipe emissions'!$B$10:$B$126,'vehicles specifications'!CC$2)/1000*$AQ73</f>
        <v>4.8809729142113196E-12</v>
      </c>
      <c r="CD73" s="7">
        <f>SUMIFS('fuels and tailpipe emissions'!$D$10:$D$126,'fuels and tailpipe emissions'!$A$10:$A$126,'vehicles specifications'!$F73,'fuels and tailpipe emissions'!$B$10:$B$126,'vehicles specifications'!CD$2)/1000*$AQ73</f>
        <v>5.271450747348225E-8</v>
      </c>
      <c r="CE73" s="7">
        <f>SUMIFS('fuels and tailpipe emissions'!$D$10:$D$126,'fuels and tailpipe emissions'!$A$10:$A$126,'vehicles specifications'!$F73,'fuels and tailpipe emissions'!$B$10:$B$126,'vehicles specifications'!CE$2)/1000*$AQ73</f>
        <v>1.025004311984377E-9</v>
      </c>
      <c r="CF73" s="7">
        <f>SUMIFS('fuels and tailpipe emissions'!$D$10:$D$126,'fuels and tailpipe emissions'!$A$10:$A$126,'vehicles specifications'!$F73,'fuels and tailpipe emissions'!$B$10:$B$126,'vehicles specifications'!CF$2)/1000*$AQ73</f>
        <v>3.1726323942373574E-10</v>
      </c>
      <c r="CG73" s="7">
        <f>SUMIFS('fuels and tailpipe emissions'!$D$10:$D$126,'fuels and tailpipe emissions'!$A$10:$A$126,'vehicles specifications'!$F73,'fuels and tailpipe emissions'!$B$10:$B$126,'vehicles specifications'!CG$2)/1000*$AQ73</f>
        <v>3.9047783313690559E-10</v>
      </c>
      <c r="CH73" s="7">
        <f>SUMIFS('fuels and tailpipe emissions'!$D$10:$D$126,'fuels and tailpipe emissions'!$A$10:$A$126,'vehicles specifications'!$F73,'fuels and tailpipe emissions'!$B$10:$B$126,'vehicles specifications'!CH$2)/1000*$AQ73</f>
        <v>7.8095566627381107E-13</v>
      </c>
      <c r="CI73" s="7">
        <f>SUMIFS('fuels and tailpipe emissions'!$D$10:$D$126,'fuels and tailpipe emissions'!$A$10:$A$126,'vehicles specifications'!$F73,'fuels and tailpipe emissions'!$B$10:$B$126,'vehicles specifications'!CI$2)/1000*$AQ73</f>
        <v>2.1232232176819241E-10</v>
      </c>
      <c r="CJ73" s="7">
        <f>SUMIFS('fuels and tailpipe emissions'!$D$10:$D$126,'fuels and tailpipe emissions'!$A$10:$A$126,'vehicles specifications'!$F73,'fuels and tailpipe emissions'!$B$10:$B$126,'vehicles specifications'!CJ$2)/1000*$AQ73</f>
        <v>2.6357253736741131E-10</v>
      </c>
      <c r="CK73" s="38">
        <f>VLOOKUP($B73,'abrasion emissions'!$O$7:$R$36,2,FALSE)</f>
        <v>0.5</v>
      </c>
      <c r="CL73" s="38">
        <f>VLOOKUP($B73,'abrasion emissions'!$O$7:$R$36,3,FALSE)</f>
        <v>0.5</v>
      </c>
      <c r="CM73" s="38">
        <f>VLOOKUP($B73,'abrasion emissions'!$O$7:$R$36,4,FALSE)</f>
        <v>0</v>
      </c>
      <c r="CN73" s="7">
        <f>((SUMIFS('abrasion emissions'!$M$7:$M$34,'abrasion emissions'!$I$7:$I$34,"PM 2.5",'abrasion emissions'!$J$7:$J$34,"urban",'abrasion emissions'!$K$7:$K$34,"Tyre",'abrasion emissions'!$L$7:$L$34,"b")*POWER(('vehicles specifications'!$Q73/1000),(1/SUMIFS('abrasion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specifications'!$P73/1000),(1/SUMIFS('abrasion emissions'!$M$7:$M$34,'abrasion emissions'!$I$7:$I$34,"PM 10",'abrasion emissions'!$J$7:$J$34,"urban",'abrasion emissions'!$K$7:$K$34,"Tyre",'abrasion emissions'!$L$7:$L$34,"c")))))/1000000</f>
        <v>6.5365771208871072E-6</v>
      </c>
      <c r="CO73" s="7">
        <f>((SUMIFS('abrasion emissions'!$M$7:$M$34,'abrasion emissions'!$I$7:$I$34,"PM 2.5",'abrasion emissions'!$J$7:$J$34,"rural",'abrasion emissions'!$K$7:$K$34,"Tyre",'abrasion emissions'!$L$7:$L$34,"b")*POWER(('vehicles specifications'!$Q73/1000),(1/SUMIFS('abrasion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specifications'!$P73/1000),(1/SUMIFS('abrasion emissions'!$M$7:$M$34,'abrasion emissions'!$I$7:$I$34,"PM 10",'abrasion emissions'!$J$7:$J$34,"rural",'abrasion emissions'!$K$7:$K$34,"Tyre",'abrasion emissions'!$L$7:$L$34,"c")))))/1000000</f>
        <v>5.0906773950469388E-6</v>
      </c>
      <c r="CP73" s="7">
        <f>((SUMIFS('abrasion emissions'!$M$7:$M$34,'abrasion emissions'!$I$7:$I$34,"PM 2.5",'abrasion emissions'!$J$7:$J$34,"motorway",'abrasion emissions'!$K$7:$K$34,"Tyre",'abrasion emissions'!$L$7:$L$34,"b")*POWER(('vehicles specifications'!$Q73/1000),(1/SUMIFS('abrasion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specifications'!$P73/1000),(1/SUMIFS('abrasion emissions'!$M$7:$M$34,'abrasion emissions'!$I$7:$I$34,"PM 10",'abrasion emissions'!$J$7:$J$34,"motorway",'abrasion emissions'!$K$7:$K$34,"Tyre",'abrasion emissions'!$L$7:$L$34,"c")))))/1000000</f>
        <v>4.3471505016058094E-6</v>
      </c>
      <c r="CQ73" s="7">
        <f>((SUMIFS('abrasion emissions'!$M$7:$M$34,'abrasion emissions'!$I$7:$I$34,"PM 2.5",'abrasion emissions'!$J$7:$J$34,"urban",'abrasion emissions'!$K$7:$K$34,"Brake",'abrasion emissions'!$L$7:$L$34,"b")*POWER(('vehicles specifications'!$Q73/1000),(1/SUMIFS('abrasion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specifications'!$P73/1000),(1/SUMIFS('abrasion emissions'!$M$7:$M$34,'abrasion emissions'!$I$7:$I$34,"PM 10",'abrasion emissions'!$J$7:$J$34,"urban",'abrasion emissions'!$K$7:$K$34,"Brake",'abrasion emissions'!$L$7:$L$34,"c")))))/1000000</f>
        <v>6.2567659612616117E-6</v>
      </c>
      <c r="CR73" s="7">
        <f>((SUMIFS('abrasion emissions'!$M$7:$M$34,'abrasion emissions'!$I$7:$I$34,"PM 2.5",'abrasion emissions'!$J$7:$J$34,"rural",'abrasion emissions'!$K$7:$K$34,"Brake",'abrasion emissions'!$L$7:$L$34,"b")*POWER(('vehicles specifications'!$Q73/1000),(1/SUMIFS('abrasion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specifications'!$P73/1000),(1/SUMIFS('abrasion emissions'!$M$7:$M$34,'abrasion emissions'!$I$7:$I$34,"PM 10",'abrasion emissions'!$J$7:$J$34,"rural",'abrasion emissions'!$K$7:$K$34,"Brake",'abrasion emissions'!$L$7:$L$34,"c")))))/1000000</f>
        <v>2.0449659634609132E-6</v>
      </c>
      <c r="CS73" s="7">
        <f>((SUMIFS('abrasion emissions'!$M$7:$M$34,'abrasion emissions'!$I$7:$I$34,"PM 2.5",'abrasion emissions'!$J$7:$J$34,"motorway",'abrasion emissions'!$K$7:$K$34,"Brake",'abrasion emissions'!$L$7:$L$34,"b")*POWER(('vehicles specifications'!$Q73/1000),(1/SUMIFS('abrasion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specifications'!$P73/1000),(1/SUMIFS('abrasion emissions'!$M$7:$M$34,'abrasion emissions'!$I$7:$I$34,"PM 10",'abrasion emissions'!$J$7:$J$34,"motorway",'abrasion emissions'!$K$7:$K$34,"Brake",'abrasion emissions'!$L$7:$L$34,"c")))))/1000000</f>
        <v>3.828295428765184E-7</v>
      </c>
      <c r="CT73" s="7">
        <f>((SUMIFS('abrasion emissions'!$M$7:$M$38,'abrasion emissions'!$I$7:$I$38,"PM 2.5",'abrasion emissions'!$K$7:$K$38,"Re-susp.",'abrasion emissions'!$L$7:$L$38,"b")*POWER(('vehicles specifications'!$Q73/1000),(1/SUMIFS('abrasion emissions'!$M$7:$M$38,'abrasion emissions'!$I$7:$I$38,"PM 2.5",'abrasion emissions'!$K$7:$K$38,"Re-susp.",'abrasion emissions'!$L$7:$L$38,"c"))))+
(SUMIFS('abrasion emissions'!$M$7:$M$38,'abrasion emissions'!$I$7:$I$38,"PM 10",'abrasion emissions'!$K$7:$K$38,"Re-susp.",'abrasion emissions'!$L$7:$L$38,"b")*POWER(('vehicles specifications'!$Q73/1000),(1/SUMIFS('abrasion emissions'!$M$7:$M$38,'abrasion emissions'!$I$7:$I$38,"PM 10",'abrasion emissions'!$K$7:$K$38,"Re-susp.",'abrasion emissions'!$L$7:$L$38,"c")))))/1000000</f>
        <v>3.9477178995673123E-6</v>
      </c>
      <c r="CU73" s="7">
        <f>((SUMIFS('abrasion emissions'!$M$7:$M$38,'abrasion emissions'!$I$7:$I$38,"PM 2.5",'abrasion emissions'!$K$7:$K$38,"Road",'abrasion emissions'!$L$7:$L$38,"b")*POWER(('vehicles specifications'!$Q73/1000),(1/SUMIFS('abrasion emissions'!$M$7:$M$38,'abrasion emissions'!$I$7:$I$38,"PM 2.5",'abrasion emissions'!$K$7:$K$38,"Road",'abrasion emissions'!$L$7:$L$38,"c"))))+
(SUMIFS('abrasion emissions'!$M$7:$M$38,'abrasion emissions'!$I$7:$I$38,"PM 10",'abrasion emissions'!$K$7:$K$38,"Road",'abrasion emissions'!$L$7:$L$38,"b")*POWER(('vehicles specifications'!$Q73/1000),(1/SUMIFS('abrasion emissions'!$M$7:$M$38,'abrasion emissions'!$I$7:$I$38,"PM 10",'abrasion emissions'!$K$7:$K$38,"Road",'abrasion emissions'!$L$7:$L$38,"c")))))/1000000+CT73</f>
        <v>7.5372278737950211E-6</v>
      </c>
      <c r="CV73" s="7">
        <f>(CK73*CN73)+(CL73*CO73)+(CM73*CP73)</f>
        <v>5.8136272579670234E-6</v>
      </c>
      <c r="CW73" s="7">
        <f>(CK73*CQ73)+(CL73*CR73)+(CM73*CS73)</f>
        <v>4.1508659623612624E-6</v>
      </c>
    </row>
    <row r="74">
      <c r="A74" t="str">
        <f>B74&amp;" - "&amp;D74&amp;" - "&amp;IF(I74&lt;&gt;"",I74&amp;" - "&amp;E74,E74)</f>
        <v>Scooter, gasoline, 4-11kW, EURO-5 - 2030 - CH</v>
      </c>
      <c r="B74" t="inlineStr">
        <is>
          <t>Scooter, gasoline, 4-11kW, EURO-5</t>
        </is>
      </c>
      <c r="D74" s="18" t="n">
        <v>2030</v>
      </c>
      <c r="E74" t="inlineStr">
        <is>
          <t>CH</t>
        </is>
      </c>
      <c r="F74" t="inlineStr">
        <is>
          <t>EURO-5</t>
        </is>
      </c>
      <c r="G74" t="inlineStr">
        <is>
          <t>vkm</t>
        </is>
      </c>
      <c r="H74" t="inlineStr">
        <is>
          <t>ICEV-p</t>
        </is>
      </c>
      <c r="J74" t="n">
        <v>30000</v>
      </c>
      <c r="K74" t="n">
        <v>1870</v>
      </c>
      <c r="L74" s="2">
        <f>J74/K74</f>
        <v>16.042780748663102</v>
      </c>
      <c r="M74" t="n">
        <v>1</v>
      </c>
      <c r="N74" t="n">
        <v>75</v>
      </c>
      <c r="O74" t="n">
        <v>4</v>
      </c>
      <c r="P74" s="2">
        <f>SUM(U74,V74,W74,AC74,AF74,AH74)</f>
        <v>126.66249999999999</v>
      </c>
      <c r="Q74" s="2">
        <f>P74+(M74*N74)+O74</f>
        <v>205.66249999999999</v>
      </c>
      <c r="R74" t="n">
        <v>8.800000000000001</v>
      </c>
      <c r="S74" s="2" t="n">
        <v>70</v>
      </c>
      <c r="T74" s="1" t="n">
        <v>0.03</v>
      </c>
      <c r="U74" s="2">
        <f>S74*(1-T74)</f>
        <v>67.899999999999991</v>
      </c>
      <c r="V74" t="n">
        <v>51</v>
      </c>
      <c r="W74" t="n">
        <v>0</v>
      </c>
      <c r="X74" s="3" t="n">
        <v>0</v>
      </c>
      <c r="Y74" s="1" t="n">
        <v>0.8</v>
      </c>
      <c r="Z74" s="3">
        <f>Y74*X74</f>
        <v>0</v>
      </c>
      <c r="AA74" s="3">
        <f>IF(I74&lt;&gt;"",X74/INDEX('energy battery'!$B$3:$D$6,MATCH('vehicles specifications'!$D74,'energy battery'!$A$3:$A$6,0),MATCH('vehicles specifications'!$I74,'energy battery'!$B$2:$D$2,0)),"")</f>
        <v/>
      </c>
      <c r="AB74" s="3">
        <f>IF(AA74&lt;&gt;"",0.3*AA74,"")</f>
        <v/>
      </c>
      <c r="AC74" s="3">
        <f>IF(AA74&lt;&gt;"",AB74+AA74,"")</f>
        <v/>
      </c>
      <c r="AD74" s="3" t="n">
        <v>0</v>
      </c>
      <c r="AE74" s="3" t="n">
        <v>9</v>
      </c>
      <c r="AF74">
        <f>AE74*'fuels and tailpipe emissions'!$B$3</f>
        <v>6.75</v>
      </c>
      <c r="AG74" s="2">
        <f>AF74*'fuels and tailpipe emissions'!$C$3</f>
        <v>79.875</v>
      </c>
      <c r="AH74" s="3">
        <f>0.15*AF74</f>
        <v>1.0125</v>
      </c>
      <c r="AI74" t="n">
        <v>0</v>
      </c>
      <c r="AJ74" t="n">
        <v>0</v>
      </c>
      <c r="AK74">
        <f>J74/25000</f>
        <v>1.2</v>
      </c>
      <c r="AL74">
        <f>0.000537/1000*Q74</f>
        <v>1.104407625E-4</v>
      </c>
      <c r="AM74" t="n">
        <v>0.00129</v>
      </c>
      <c r="AN74" s="2">
        <f>U74</f>
        <v>67.899999999999991</v>
      </c>
      <c r="AO74" s="2">
        <f>SUM(V74:W74)</f>
        <v>51</v>
      </c>
      <c r="AP74" s="2">
        <f>AC74</f>
        <v/>
      </c>
      <c r="AQ74" s="6" t="n">
        <v>1.026834676827206</v>
      </c>
      <c r="AR74" s="20" t="n">
        <v>0.012</v>
      </c>
      <c r="AS74" s="6">
        <f>IF($H74="BEV",SUMPRODUCT(#REF!,#REF!),"")</f>
        <v/>
      </c>
      <c r="AT74" s="2">
        <f>SUM(Z74,AG74)/(SUM(AQ74,AS74)/3.6)</f>
        <v>280.03534209469279</v>
      </c>
      <c r="AU74" s="5">
        <f>IF($H74="ICEV-p",$AQ74/('fuels and tailpipe emissions'!$C$3*3.6)*'fuels and tailpipe emissions'!$D$3,"")*(1-AR74)</f>
        <v>7.4778632737431419E-2</v>
      </c>
      <c r="AV74" s="5">
        <f>IF($H74="ICEV-p",$AQ74/('fuels and tailpipe emissions'!$C$3*3.6)*'fuels and tailpipe emissions'!$D$3,"")*AR74</f>
        <v>9.0824250288378244E-4</v>
      </c>
      <c r="AW74" s="7">
        <f>IF($H74="ICEV-p",$AQ74/('fuels and tailpipe emissions'!$C$3*3.6)*'fuels and tailpipe emissions'!$E$3,"")</f>
        <v>3.8566560632007743E-7</v>
      </c>
      <c r="AX74" s="7">
        <f>SUMIFS('fuels and tailpipe emissions'!$D$10:$D$126,'fuels and tailpipe emissions'!$A$10:$A$126,'vehicles specifications'!$F74,'fuels and tailpipe emissions'!$B$10:$B$126,'vehicles specifications'!AX$2)/1000*$AQ74</f>
        <v>3.7052336147393805E-5</v>
      </c>
      <c r="AY74" s="7">
        <f>SUMIFS('fuels and tailpipe emissions'!$D$10:$D$126,'fuels and tailpipe emissions'!$A$10:$A$126,'vehicles specifications'!$F74,'fuels and tailpipe emissions'!$B$10:$B$126,'vehicles specifications'!AY$2)/1000*$AQ74</f>
        <v>2.8309328505000081E-5</v>
      </c>
      <c r="AZ74" s="7">
        <f>SUMIFS('fuels and tailpipe emissions'!$D$10:$D$126,'fuels and tailpipe emissions'!$A$10:$A$126,'vehicles specifications'!$F74,'fuels and tailpipe emissions'!$B$10:$B$126,'vehicles specifications'!AZ$2)/1000*$AQ74</f>
        <v>3.3165896267970396E-3</v>
      </c>
      <c r="BA74" s="7">
        <f>SUMIFS('fuels and tailpipe emissions'!$D$10:$D$126,'fuels and tailpipe emissions'!$A$10:$A$126,'vehicles specifications'!$F74,'fuels and tailpipe emissions'!$B$10:$B$126,'vehicles specifications'!BA$2)/1000*$AQ74</f>
        <v>1.4362926689497763E-6</v>
      </c>
      <c r="BB74" s="7">
        <f>SUMIFS('fuels and tailpipe emissions'!$D$10:$D$126,'fuels and tailpipe emissions'!$A$10:$A$126,'vehicles specifications'!$F74,'fuels and tailpipe emissions'!$B$10:$B$126,'vehicles specifications'!BB$2)/1000*$AQ74</f>
        <v>1.4362926689497763E-6</v>
      </c>
      <c r="BC74" s="7">
        <f>SUMIFS('fuels and tailpipe emissions'!$D$10:$D$126,'fuels and tailpipe emissions'!$A$10:$A$126,'vehicles specifications'!$F74,'fuels and tailpipe emissions'!$B$10:$B$126,'vehicles specifications'!BC$2)/1000*$AQ74</f>
        <v>1.0770860537496506E-4</v>
      </c>
      <c r="BD74" s="7">
        <f>SUMIFS('fuels and tailpipe emissions'!$D$10:$D$126,'fuels and tailpipe emissions'!$A$10:$A$126,'vehicles specifications'!$F74,'fuels and tailpipe emissions'!$B$10:$B$126,'vehicles specifications'!BD$2)/1000*$AQ74</f>
        <v>3.2216044564543483E-6</v>
      </c>
      <c r="BE74" s="7">
        <f>SUMIFS('fuels and tailpipe emissions'!$D$10:$D$126,'fuels and tailpipe emissions'!$A$10:$A$126,'vehicles specifications'!$F74,'fuels and tailpipe emissions'!$B$10:$B$126,'vehicles specifications'!BE$2)/1000*$AQ74</f>
        <v>2.9879637919930416E-4</v>
      </c>
      <c r="BF74" s="7">
        <f>SUMIFS('fuels and tailpipe emissions'!$D$10:$D$126,'fuels and tailpipe emissions'!$A$10:$A$126,'vehicles specifications'!$F74,'fuels and tailpipe emissions'!$B$10:$B$126,'vehicles specifications'!BF$2)/1000*$AQ74</f>
        <v>2.1068975456361185E-5</v>
      </c>
      <c r="BG74" s="7">
        <f>SUMIFS('fuels and tailpipe emissions'!$D$10:$D$126,'fuels and tailpipe emissions'!$A$10:$A$126,'vehicles specifications'!$F74,'fuels and tailpipe emissions'!$B$10:$B$126,'vehicles specifications'!BG$2)/1000*$AQ74</f>
        <v>4.2930514252773583E-6</v>
      </c>
      <c r="BH74" s="7">
        <f>SUMIFS('fuels and tailpipe emissions'!$D$10:$D$126,'fuels and tailpipe emissions'!$A$10:$A$126,'vehicles specifications'!$F74,'fuels and tailpipe emissions'!$B$10:$B$126,'vehicles specifications'!BH$2)/1000*$AQ74</f>
        <v>3.460859918223593E-5</v>
      </c>
      <c r="BI74" s="7">
        <f>SUMIFS('fuels and tailpipe emissions'!$D$10:$D$126,'fuels and tailpipe emissions'!$A$10:$A$126,'vehicles specifications'!$F74,'fuels and tailpipe emissions'!$B$10:$B$126,'vehicles specifications'!BI$2)/1000*$AQ74</f>
        <v>1.4200093175917414E-5</v>
      </c>
      <c r="BJ74" s="7">
        <f>SUMIFS('fuels and tailpipe emissions'!$D$10:$D$126,'fuels and tailpipe emissions'!$A$10:$A$126,'vehicles specifications'!$F74,'fuels and tailpipe emissions'!$B$10:$B$126,'vehicles specifications'!BJ$2)/1000*$AQ74</f>
        <v>1.0633558145686995E-5</v>
      </c>
      <c r="BK74" s="7">
        <f>SUMIFS('fuels and tailpipe emissions'!$D$10:$D$126,'fuels and tailpipe emissions'!$A$10:$A$126,'vehicles specifications'!$F74,'fuels and tailpipe emissions'!$B$10:$B$126,'vehicles specifications'!BK$2)/1000*$AQ74</f>
        <v>7.5293517304864437E-6</v>
      </c>
      <c r="BL74" s="7">
        <f>SUMIFS('fuels and tailpipe emissions'!$D$10:$D$126,'fuels and tailpipe emissions'!$A$10:$A$126,'vehicles specifications'!$F74,'fuels and tailpipe emissions'!$B$10:$B$126,'vehicles specifications'!BL$2)/1000*$AQ74</f>
        <v>4.8874739303157623E-6</v>
      </c>
      <c r="BM74" s="7">
        <f>SUMIFS('fuels and tailpipe emissions'!$D$10:$D$126,'fuels and tailpipe emissions'!$A$10:$A$126,'vehicles specifications'!$F74,'fuels and tailpipe emissions'!$B$10:$B$126,'vehicles specifications'!BM$2)/1000*$AQ74</f>
        <v>4.8214269853114941E-5</v>
      </c>
      <c r="BN74" s="7">
        <f>SUMIFS('fuels and tailpipe emissions'!$D$10:$D$126,'fuels and tailpipe emissions'!$A$10:$A$126,'vehicles specifications'!$F74,'fuels and tailpipe emissions'!$B$10:$B$126,'vehicles specifications'!BN$2)/1000*$AQ74</f>
        <v>2.5229932991630011E-5</v>
      </c>
      <c r="BO74" s="7">
        <f>SUMIFS('fuels and tailpipe emissions'!$D$10:$D$126,'fuels and tailpipe emissions'!$A$10:$A$126,'vehicles specifications'!$F74,'fuels and tailpipe emissions'!$B$10:$B$126,'vehicles specifications'!BO$2)/1000*$AQ74</f>
        <v>7.2651639504693751E-7</v>
      </c>
      <c r="BP74" s="7">
        <f>SUMIFS('fuels and tailpipe emissions'!$D$10:$D$126,'fuels and tailpipe emissions'!$A$10:$A$126,'vehicles specifications'!$F74,'fuels and tailpipe emissions'!$B$10:$B$126,'vehicles specifications'!BP$2)/1000*$AQ74</f>
        <v>3.7052336147393805E-5</v>
      </c>
      <c r="BQ74" s="7">
        <f>SUMIFS('fuels and tailpipe emissions'!$D$10:$D$126,'fuels and tailpipe emissions'!$A$10:$A$126,'vehicles specifications'!$F74,'fuels and tailpipe emissions'!$B$10:$B$126,'vehicles specifications'!BQ$2)/1000*$AQ74</f>
        <v>7.2519545614685202E-5</v>
      </c>
      <c r="BR74" s="7">
        <f>SUMIFS('fuels and tailpipe emissions'!$D$10:$D$126,'fuels and tailpipe emissions'!$A$10:$A$126,'vehicles specifications'!$F74,'fuels and tailpipe emissions'!$B$10:$B$126,'vehicles specifications'!BR$2)/1000*$AQ74</f>
        <v>3.5863491137317012E-5</v>
      </c>
      <c r="BS74" s="7">
        <f>SUMIFS('fuels and tailpipe emissions'!$D$10:$D$126,'fuels and tailpipe emissions'!$A$10:$A$126,'vehicles specifications'!$F74,'fuels and tailpipe emissions'!$B$10:$B$126,'vehicles specifications'!BS$2)/1000*$AQ74</f>
        <v>1.4926609570964352E-5</v>
      </c>
      <c r="BT74" s="7">
        <f>SUMIFS('fuels and tailpipe emissions'!$D$10:$D$126,'fuels and tailpipe emissions'!$A$10:$A$126,'vehicles specifications'!$F74,'fuels and tailpipe emissions'!$B$10:$B$126,'vehicles specifications'!BT$2)/1000*$AQ74</f>
        <v>1.1227980650725398E-5</v>
      </c>
      <c r="BU74" s="7">
        <f>SUMIFS('fuels and tailpipe emissions'!$D$10:$D$126,'fuels and tailpipe emissions'!$A$10:$A$126,'vehicles specifications'!$F74,'fuels and tailpipe emissions'!$B$10:$B$126,'vehicles specifications'!BU$2)/1000*$AQ74</f>
        <v>4.9535208753200282E-6</v>
      </c>
      <c r="BV74" s="7">
        <f>SUMIFS('fuels and tailpipe emissions'!$D$10:$D$126,'fuels and tailpipe emissions'!$A$10:$A$126,'vehicles specifications'!$F74,'fuels and tailpipe emissions'!$B$10:$B$126,'vehicles specifications'!BV$2)/1000*$AQ74</f>
        <v>1.453032790093875E-6</v>
      </c>
      <c r="BW74" s="7">
        <f>SUMIFS('fuels and tailpipe emissions'!$D$10:$D$126,'fuels and tailpipe emissions'!$A$10:$A$126,'vehicles specifications'!$F74,'fuels and tailpipe emissions'!$B$10:$B$126,'vehicles specifications'!BW$2)/1000*$AQ74</f>
        <v>4.0288636452602897E-6</v>
      </c>
      <c r="BX74" s="7">
        <f>SUMIFS('fuels and tailpipe emissions'!$D$10:$D$126,'fuels and tailpipe emissions'!$A$10:$A$126,'vehicles specifications'!$F74,'fuels and tailpipe emissions'!$B$10:$B$126,'vehicles specifications'!BX$2)/1000*$AQ74</f>
        <v>0</v>
      </c>
      <c r="BY74" s="7">
        <f>SUMIFS('fuels and tailpipe emissions'!$D$10:$D$126,'fuels and tailpipe emissions'!$A$10:$A$126,'vehicles specifications'!$F74,'fuels and tailpipe emissions'!$B$10:$B$126,'vehicles specifications'!BY$2)/1000*$AQ74</f>
        <v>1.2548919550810737E-6</v>
      </c>
      <c r="BZ74" s="7">
        <f>SUMIFS('fuels and tailpipe emissions'!$D$10:$D$126,'fuels and tailpipe emissions'!$A$10:$A$126,'vehicles specifications'!$F74,'fuels and tailpipe emissions'!$B$10:$B$126,'vehicles specifications'!BZ$2)/1000*$AQ74</f>
        <v>6.6707414454309719E-6</v>
      </c>
      <c r="CA74" s="7">
        <f>SUMIFS('fuels and tailpipe emissions'!$D$10:$D$126,'fuels and tailpipe emissions'!$A$10:$A$126,'vehicles specifications'!$F74,'fuels and tailpipe emissions'!$B$10:$B$126,'vehicles specifications'!CA$2)/1000*$AQ74</f>
        <v>8.4079639420204192E-10</v>
      </c>
      <c r="CB74" s="7">
        <f>SUMIFS('fuels and tailpipe emissions'!$D$10:$D$126,'fuels and tailpipe emissions'!$A$10:$A$126,'vehicles specifications'!$F74,'fuels and tailpipe emissions'!$B$10:$B$126,'vehicles specifications'!CB$2)/1000*$AQ74</f>
        <v>7.2482447776038092E-12</v>
      </c>
      <c r="CC74" s="7">
        <f>SUMIFS('fuels and tailpipe emissions'!$D$10:$D$126,'fuels and tailpipe emissions'!$A$10:$A$126,'vehicles specifications'!$F74,'fuels and tailpipe emissions'!$B$10:$B$126,'vehicles specifications'!CC$2)/1000*$AQ74</f>
        <v>4.8321631850692067E-12</v>
      </c>
      <c r="CD74" s="7">
        <f>SUMIFS('fuels and tailpipe emissions'!$D$10:$D$126,'fuels and tailpipe emissions'!$A$10:$A$126,'vehicles specifications'!$F74,'fuels and tailpipe emissions'!$B$10:$B$126,'vehicles specifications'!CD$2)/1000*$AQ74</f>
        <v>5.2187362398747429E-8</v>
      </c>
      <c r="CE74" s="7">
        <f>SUMIFS('fuels and tailpipe emissions'!$D$10:$D$126,'fuels and tailpipe emissions'!$A$10:$A$126,'vehicles specifications'!$F74,'fuels and tailpipe emissions'!$B$10:$B$126,'vehicles specifications'!CE$2)/1000*$AQ74</f>
        <v>1.0147542688645331E-9</v>
      </c>
      <c r="CF74" s="7">
        <f>SUMIFS('fuels and tailpipe emissions'!$D$10:$D$126,'fuels and tailpipe emissions'!$A$10:$A$126,'vehicles specifications'!$F74,'fuels and tailpipe emissions'!$B$10:$B$126,'vehicles specifications'!CF$2)/1000*$AQ74</f>
        <v>3.1409060702949844E-10</v>
      </c>
      <c r="CG74" s="7">
        <f>SUMIFS('fuels and tailpipe emissions'!$D$10:$D$126,'fuels and tailpipe emissions'!$A$10:$A$126,'vehicles specifications'!$F74,'fuels and tailpipe emissions'!$B$10:$B$126,'vehicles specifications'!CG$2)/1000*$AQ74</f>
        <v>3.8657305480553651E-10</v>
      </c>
      <c r="CH74" s="7">
        <f>SUMIFS('fuels and tailpipe emissions'!$D$10:$D$126,'fuels and tailpipe emissions'!$A$10:$A$126,'vehicles specifications'!$F74,'fuels and tailpipe emissions'!$B$10:$B$126,'vehicles specifications'!CH$2)/1000*$AQ74</f>
        <v>7.7314610961107289E-13</v>
      </c>
      <c r="CI74" s="7">
        <f>SUMIFS('fuels and tailpipe emissions'!$D$10:$D$126,'fuels and tailpipe emissions'!$A$10:$A$126,'vehicles specifications'!$F74,'fuels and tailpipe emissions'!$B$10:$B$126,'vehicles specifications'!CI$2)/1000*$AQ74</f>
        <v>2.1019909855051048E-10</v>
      </c>
      <c r="CJ74" s="7">
        <f>SUMIFS('fuels and tailpipe emissions'!$D$10:$D$126,'fuels and tailpipe emissions'!$A$10:$A$126,'vehicles specifications'!$F74,'fuels and tailpipe emissions'!$B$10:$B$126,'vehicles specifications'!CJ$2)/1000*$AQ74</f>
        <v>2.6093681199373718E-10</v>
      </c>
      <c r="CK74" s="38">
        <f>VLOOKUP($B74,'abrasion emissions'!$O$7:$R$36,2,FALSE)</f>
        <v>0.5</v>
      </c>
      <c r="CL74" s="38">
        <f>VLOOKUP($B74,'abrasion emissions'!$O$7:$R$36,3,FALSE)</f>
        <v>0.5</v>
      </c>
      <c r="CM74" s="38">
        <f>VLOOKUP($B74,'abrasion emissions'!$O$7:$R$36,4,FALSE)</f>
        <v>0</v>
      </c>
      <c r="CN74" s="7">
        <f>((SUMIFS('abrasion emissions'!$M$7:$M$34,'abrasion emissions'!$I$7:$I$34,"PM 2.5",'abrasion emissions'!$J$7:$J$34,"urban",'abrasion emissions'!$K$7:$K$34,"Tyre",'abrasion emissions'!$L$7:$L$34,"b")*POWER(('vehicles specifications'!$Q74/1000),(1/SUMIFS('abrasion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specifications'!$P74/1000),(1/SUMIFS('abrasion emissions'!$M$7:$M$34,'abrasion emissions'!$I$7:$I$34,"PM 10",'abrasion emissions'!$J$7:$J$34,"urban",'abrasion emissions'!$K$7:$K$34,"Tyre",'abrasion emissions'!$L$7:$L$34,"c")))))/1000000</f>
        <v>6.4847103300486052E-6</v>
      </c>
      <c r="CO74" s="7">
        <f>((SUMIFS('abrasion emissions'!$M$7:$M$34,'abrasion emissions'!$I$7:$I$34,"PM 2.5",'abrasion emissions'!$J$7:$J$34,"rural",'abrasion emissions'!$K$7:$K$34,"Tyre",'abrasion emissions'!$L$7:$L$34,"b")*POWER(('vehicles specifications'!$Q74/1000),(1/SUMIFS('abrasion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specifications'!$P74/1000),(1/SUMIFS('abrasion emissions'!$M$7:$M$34,'abrasion emissions'!$I$7:$I$34,"PM 10",'abrasion emissions'!$J$7:$J$34,"rural",'abrasion emissions'!$K$7:$K$34,"Tyre",'abrasion emissions'!$L$7:$L$34,"c")))))/1000000</f>
        <v>5.0503114662956573E-6</v>
      </c>
      <c r="CP74" s="7">
        <f>((SUMIFS('abrasion emissions'!$M$7:$M$34,'abrasion emissions'!$I$7:$I$34,"PM 2.5",'abrasion emissions'!$J$7:$J$34,"motorway",'abrasion emissions'!$K$7:$K$34,"Tyre",'abrasion emissions'!$L$7:$L$34,"b")*POWER(('vehicles specifications'!$Q74/1000),(1/SUMIFS('abrasion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specifications'!$P74/1000),(1/SUMIFS('abrasion emissions'!$M$7:$M$34,'abrasion emissions'!$I$7:$I$34,"PM 10",'abrasion emissions'!$J$7:$J$34,"motorway",'abrasion emissions'!$K$7:$K$34,"Tyre",'abrasion emissions'!$L$7:$L$34,"c")))))/1000000</f>
        <v>4.312750196081298E-6</v>
      </c>
      <c r="CQ74" s="7">
        <f>((SUMIFS('abrasion emissions'!$M$7:$M$34,'abrasion emissions'!$I$7:$I$34,"PM 2.5",'abrasion emissions'!$J$7:$J$34,"urban",'abrasion emissions'!$K$7:$K$34,"Brake",'abrasion emissions'!$L$7:$L$34,"b")*POWER(('vehicles specifications'!$Q74/1000),(1/SUMIFS('abrasion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specifications'!$P74/1000),(1/SUMIFS('abrasion emissions'!$M$7:$M$34,'abrasion emissions'!$I$7:$I$34,"PM 10",'abrasion emissions'!$J$7:$J$34,"urban",'abrasion emissions'!$K$7:$K$34,"Brake",'abrasion emissions'!$L$7:$L$34,"c")))))/1000000</f>
        <v>6.200807457501398E-6</v>
      </c>
      <c r="CR74" s="7">
        <f>((SUMIFS('abrasion emissions'!$M$7:$M$34,'abrasion emissions'!$I$7:$I$34,"PM 2.5",'abrasion emissions'!$J$7:$J$34,"rural",'abrasion emissions'!$K$7:$K$34,"Brake",'abrasion emissions'!$L$7:$L$34,"b")*POWER(('vehicles specifications'!$Q74/1000),(1/SUMIFS('abrasion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specifications'!$P74/1000),(1/SUMIFS('abrasion emissions'!$M$7:$M$34,'abrasion emissions'!$I$7:$I$34,"PM 10",'abrasion emissions'!$J$7:$J$34,"rural",'abrasion emissions'!$K$7:$K$34,"Brake",'abrasion emissions'!$L$7:$L$34,"c")))))/1000000</f>
        <v>2.0218724013648995E-6</v>
      </c>
      <c r="CS74" s="7">
        <f>((SUMIFS('abrasion emissions'!$M$7:$M$34,'abrasion emissions'!$I$7:$I$34,"PM 2.5",'abrasion emissions'!$J$7:$J$34,"motorway",'abrasion emissions'!$K$7:$K$34,"Brake",'abrasion emissions'!$L$7:$L$34,"b")*POWER(('vehicles specifications'!$Q74/1000),(1/SUMIFS('abrasion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specifications'!$P74/1000),(1/SUMIFS('abrasion emissions'!$M$7:$M$34,'abrasion emissions'!$I$7:$I$34,"PM 10",'abrasion emissions'!$J$7:$J$34,"motorway",'abrasion emissions'!$K$7:$K$34,"Brake",'abrasion emissions'!$L$7:$L$34,"c")))))/1000000</f>
        <v>3.7786822657846909E-7</v>
      </c>
      <c r="CT74" s="7">
        <f>((SUMIFS('abrasion emissions'!$M$7:$M$38,'abrasion emissions'!$I$7:$I$38,"PM 2.5",'abrasion emissions'!$K$7:$K$38,"Re-susp.",'abrasion emissions'!$L$7:$L$38,"b")*POWER(('vehicles specifications'!$Q74/1000),(1/SUMIFS('abrasion emissions'!$M$7:$M$38,'abrasion emissions'!$I$7:$I$38,"PM 2.5",'abrasion emissions'!$K$7:$K$38,"Re-susp.",'abrasion emissions'!$L$7:$L$38,"c"))))+
(SUMIFS('abrasion emissions'!$M$7:$M$38,'abrasion emissions'!$I$7:$I$38,"PM 10",'abrasion emissions'!$K$7:$K$38,"Re-susp.",'abrasion emissions'!$L$7:$L$38,"b")*POWER(('vehicles specifications'!$Q74/1000),(1/SUMIFS('abrasion emissions'!$M$7:$M$38,'abrasion emissions'!$I$7:$I$38,"PM 10",'abrasion emissions'!$K$7:$K$38,"Re-susp.",'abrasion emissions'!$L$7:$L$38,"c")))))/1000000</f>
        <v>3.8943896580862355E-6</v>
      </c>
      <c r="CU74" s="7">
        <f>((SUMIFS('abrasion emissions'!$M$7:$M$38,'abrasion emissions'!$I$7:$I$38,"PM 2.5",'abrasion emissions'!$K$7:$K$38,"Road",'abrasion emissions'!$L$7:$L$38,"b")*POWER(('vehicles specifications'!$Q74/1000),(1/SUMIFS('abrasion emissions'!$M$7:$M$38,'abrasion emissions'!$I$7:$I$38,"PM 2.5",'abrasion emissions'!$K$7:$K$38,"Road",'abrasion emissions'!$L$7:$L$38,"c"))))+
(SUMIFS('abrasion emissions'!$M$7:$M$38,'abrasion emissions'!$I$7:$I$38,"PM 10",'abrasion emissions'!$K$7:$K$38,"Road",'abrasion emissions'!$L$7:$L$38,"b")*POWER(('vehicles specifications'!$Q74/1000),(1/SUMIFS('abrasion emissions'!$M$7:$M$38,'abrasion emissions'!$I$7:$I$38,"PM 10",'abrasion emissions'!$K$7:$K$38,"Road",'abrasion emissions'!$L$7:$L$38,"c")))))/1000000+CT74</f>
        <v>7.4482763644547912E-6</v>
      </c>
      <c r="CV74" s="7">
        <f>(CK74*CN74)+(CL74*CO74)+(CM74*CP74)</f>
        <v>5.7675108981721313E-6</v>
      </c>
      <c r="CW74" s="7">
        <f>(CK74*CQ74)+(CL74*CR74)+(CM74*CS74)</f>
        <v>4.1113399294331483E-6</v>
      </c>
    </row>
    <row r="75">
      <c r="A75" t="str">
        <f>B75&amp;" - "&amp;D75&amp;" - "&amp;IF(I75&lt;&gt;"",I75&amp;" - "&amp;E75,E75)</f>
        <v>Scooter, gasoline, 4-11kW, EURO-5 - 2040 - CH</v>
      </c>
      <c r="B75" t="inlineStr">
        <is>
          <t>Scooter, gasoline, 4-11kW, EURO-5</t>
        </is>
      </c>
      <c r="D75" s="18" t="n">
        <v>2040</v>
      </c>
      <c r="E75" t="inlineStr">
        <is>
          <t>CH</t>
        </is>
      </c>
      <c r="F75" t="inlineStr">
        <is>
          <t>EURO-5</t>
        </is>
      </c>
      <c r="G75" t="inlineStr">
        <is>
          <t>vkm</t>
        </is>
      </c>
      <c r="H75" t="inlineStr">
        <is>
          <t>ICEV-p</t>
        </is>
      </c>
      <c r="J75" t="n">
        <v>30000</v>
      </c>
      <c r="K75" t="n">
        <v>1870</v>
      </c>
      <c r="L75" s="2">
        <f>J75/K75</f>
        <v>16.042780748663102</v>
      </c>
      <c r="M75" t="n">
        <v>1</v>
      </c>
      <c r="N75" t="n">
        <v>75</v>
      </c>
      <c r="O75" t="n">
        <v>4</v>
      </c>
      <c r="P75" s="2">
        <f>SUM(U75,V75,W75,AC75,AF75,AH75)</f>
        <v>124.2625</v>
      </c>
      <c r="Q75" s="2">
        <f>P75+(M75*N75)+O75</f>
        <v>203.26249999999999</v>
      </c>
      <c r="R75" t="n">
        <v>8.800000000000001</v>
      </c>
      <c r="S75" s="2" t="n">
        <v>70</v>
      </c>
      <c r="T75" s="1" t="n">
        <v>0.05</v>
      </c>
      <c r="U75" s="2">
        <f>S75*(1-T75)</f>
        <v>66.5</v>
      </c>
      <c r="V75" t="n">
        <v>50</v>
      </c>
      <c r="W75" t="n">
        <v>0</v>
      </c>
      <c r="X75" s="3" t="n">
        <v>0</v>
      </c>
      <c r="Y75" s="1" t="n">
        <v>0.8</v>
      </c>
      <c r="Z75" s="3">
        <f>Y75*X75</f>
        <v>0</v>
      </c>
      <c r="AA75" s="3">
        <f>IF(I75&lt;&gt;"",X75/INDEX('energy battery'!$B$3:$D$6,MATCH('vehicles specifications'!$D75,'energy battery'!$A$3:$A$6,0),MATCH('vehicles specifications'!$I75,'energy battery'!$B$2:$D$2,0)),"")</f>
        <v/>
      </c>
      <c r="AB75" s="3">
        <f>IF(AA75&lt;&gt;"",0.3*AA75,"")</f>
        <v/>
      </c>
      <c r="AC75" s="3">
        <f>IF(AA75&lt;&gt;"",AB75+AA75,"")</f>
        <v/>
      </c>
      <c r="AD75" s="3" t="n">
        <v>0</v>
      </c>
      <c r="AE75" s="3" t="n">
        <v>9</v>
      </c>
      <c r="AF75">
        <f>AE75*'fuels and tailpipe emissions'!$B$3</f>
        <v>6.75</v>
      </c>
      <c r="AG75" s="2">
        <f>AF75*'fuels and tailpipe emissions'!$C$3</f>
        <v>79.875</v>
      </c>
      <c r="AH75" s="3">
        <f>0.15*AF75</f>
        <v>1.0125</v>
      </c>
      <c r="AI75" t="n">
        <v>0</v>
      </c>
      <c r="AJ75" t="n">
        <v>0</v>
      </c>
      <c r="AK75">
        <f>J75/25000</f>
        <v>1.2</v>
      </c>
      <c r="AL75">
        <f>0.000537/1000*Q75</f>
        <v>1.0915196249999999E-4</v>
      </c>
      <c r="AM75" t="n">
        <v>0.00129</v>
      </c>
      <c r="AN75" s="2">
        <f>U75</f>
        <v>66.5</v>
      </c>
      <c r="AO75" s="2">
        <f>SUM(V75:W75)</f>
        <v>50</v>
      </c>
      <c r="AP75" s="2">
        <f>AC75</f>
        <v/>
      </c>
      <c r="AQ75" s="6" t="n">
        <v>1.016566330058934</v>
      </c>
      <c r="AR75" s="20" t="n">
        <v>0.012</v>
      </c>
      <c r="AS75" s="6">
        <f>IF($H75="BEV",SUMPRODUCT(#REF!,#REF!),"")</f>
        <v/>
      </c>
      <c r="AT75" s="2">
        <f>SUM(Z75,AG75)/(SUM(AQ75,AS75)/3.6)</f>
        <v>282.86398191383108</v>
      </c>
      <c r="AU75" s="5">
        <f>IF($H75="ICEV-p",$AQ75/('fuels and tailpipe emissions'!$C$3*3.6)*'fuels and tailpipe emissions'!$D$3,"")*(1-AR75)</f>
        <v>7.4030846410057125E-2</v>
      </c>
      <c r="AV75" s="5">
        <f>IF($H75="ICEV-p",$AQ75/('fuels and tailpipe emissions'!$C$3*3.6)*'fuels and tailpipe emissions'!$D$3,"")*AR75</f>
        <v>8.991600778549448E-4</v>
      </c>
      <c r="AW75" s="7">
        <f>IF($H75="ICEV-p",$AQ75/('fuels and tailpipe emissions'!$C$3*3.6)*'fuels and tailpipe emissions'!$E$3,"")</f>
        <v>3.8180895025687672E-7</v>
      </c>
      <c r="AX75" s="7">
        <f>SUMIFS('fuels and tailpipe emissions'!$D$10:$D$126,'fuels and tailpipe emissions'!$A$10:$A$126,'vehicles specifications'!$F75,'fuels and tailpipe emissions'!$B$10:$B$126,'vehicles specifications'!AX$2)/1000*$AQ75</f>
        <v>3.668181278591987E-5</v>
      </c>
      <c r="AY75" s="7">
        <f>SUMIFS('fuels and tailpipe emissions'!$D$10:$D$126,'fuels and tailpipe emissions'!$A$10:$A$126,'vehicles specifications'!$F75,'fuels and tailpipe emissions'!$B$10:$B$126,'vehicles specifications'!AY$2)/1000*$AQ75</f>
        <v>2.8026235219950081E-5</v>
      </c>
      <c r="AZ75" s="7">
        <f>SUMIFS('fuels and tailpipe emissions'!$D$10:$D$126,'fuels and tailpipe emissions'!$A$10:$A$126,'vehicles specifications'!$F75,'fuels and tailpipe emissions'!$B$10:$B$126,'vehicles specifications'!AZ$2)/1000*$AQ75</f>
        <v>3.2834237305290693E-3</v>
      </c>
      <c r="BA75" s="7">
        <f>SUMIFS('fuels and tailpipe emissions'!$D$10:$D$126,'fuels and tailpipe emissions'!$A$10:$A$126,'vehicles specifications'!$F75,'fuels and tailpipe emissions'!$B$10:$B$126,'vehicles specifications'!BA$2)/1000*$AQ75</f>
        <v>1.4219297422602786E-6</v>
      </c>
      <c r="BB75" s="7">
        <f>SUMIFS('fuels and tailpipe emissions'!$D$10:$D$126,'fuels and tailpipe emissions'!$A$10:$A$126,'vehicles specifications'!$F75,'fuels and tailpipe emissions'!$B$10:$B$126,'vehicles specifications'!BB$2)/1000*$AQ75</f>
        <v>1.4219297422602786E-6</v>
      </c>
      <c r="BC75" s="7">
        <f>SUMIFS('fuels and tailpipe emissions'!$D$10:$D$126,'fuels and tailpipe emissions'!$A$10:$A$126,'vehicles specifications'!$F75,'fuels and tailpipe emissions'!$B$10:$B$126,'vehicles specifications'!BC$2)/1000*$AQ75</f>
        <v>1.066315193212154E-4</v>
      </c>
      <c r="BD75" s="7">
        <f>SUMIFS('fuels and tailpipe emissions'!$D$10:$D$126,'fuels and tailpipe emissions'!$A$10:$A$126,'vehicles specifications'!$F75,'fuels and tailpipe emissions'!$B$10:$B$126,'vehicles specifications'!BD$2)/1000*$AQ75</f>
        <v>3.189388411889805E-6</v>
      </c>
      <c r="BE75" s="7">
        <f>SUMIFS('fuels and tailpipe emissions'!$D$10:$D$126,'fuels and tailpipe emissions'!$A$10:$A$126,'vehicles specifications'!$F75,'fuels and tailpipe emissions'!$B$10:$B$126,'vehicles specifications'!BE$2)/1000*$AQ75</f>
        <v>2.9580841540731114E-4</v>
      </c>
      <c r="BF75" s="7">
        <f>SUMIFS('fuels and tailpipe emissions'!$D$10:$D$126,'fuels and tailpipe emissions'!$A$10:$A$126,'vehicles specifications'!$F75,'fuels and tailpipe emissions'!$B$10:$B$126,'vehicles specifications'!BF$2)/1000*$AQ75</f>
        <v>2.0858285701797573E-5</v>
      </c>
      <c r="BG75" s="7">
        <f>SUMIFS('fuels and tailpipe emissions'!$D$10:$D$126,'fuels and tailpipe emissions'!$A$10:$A$126,'vehicles specifications'!$F75,'fuels and tailpipe emissions'!$B$10:$B$126,'vehicles specifications'!BG$2)/1000*$AQ75</f>
        <v>4.2501209110245846E-6</v>
      </c>
      <c r="BH75" s="7">
        <f>SUMIFS('fuels and tailpipe emissions'!$D$10:$D$126,'fuels and tailpipe emissions'!$A$10:$A$126,'vehicles specifications'!$F75,'fuels and tailpipe emissions'!$B$10:$B$126,'vehicles specifications'!BH$2)/1000*$AQ75</f>
        <v>3.4262513190413571E-5</v>
      </c>
      <c r="BI75" s="7">
        <f>SUMIFS('fuels and tailpipe emissions'!$D$10:$D$126,'fuels and tailpipe emissions'!$A$10:$A$126,'vehicles specifications'!$F75,'fuels and tailpipe emissions'!$B$10:$B$126,'vehicles specifications'!BI$2)/1000*$AQ75</f>
        <v>1.405809224415824E-5</v>
      </c>
      <c r="BJ75" s="7">
        <f>SUMIFS('fuels and tailpipe emissions'!$D$10:$D$126,'fuels and tailpipe emissions'!$A$10:$A$126,'vehicles specifications'!$F75,'fuels and tailpipe emissions'!$B$10:$B$126,'vehicles specifications'!BJ$2)/1000*$AQ75</f>
        <v>1.0527222564230125E-5</v>
      </c>
      <c r="BK75" s="7">
        <f>SUMIFS('fuels and tailpipe emissions'!$D$10:$D$126,'fuels and tailpipe emissions'!$A$10:$A$126,'vehicles specifications'!$F75,'fuels and tailpipe emissions'!$B$10:$B$126,'vehicles specifications'!BK$2)/1000*$AQ75</f>
        <v>7.4540582131815796E-6</v>
      </c>
      <c r="BL75" s="7">
        <f>SUMIFS('fuels and tailpipe emissions'!$D$10:$D$126,'fuels and tailpipe emissions'!$A$10:$A$126,'vehicles specifications'!$F75,'fuels and tailpipe emissions'!$B$10:$B$126,'vehicles specifications'!BL$2)/1000*$AQ75</f>
        <v>4.8385991910126046E-6</v>
      </c>
      <c r="BM75" s="7">
        <f>SUMIFS('fuels and tailpipe emissions'!$D$10:$D$126,'fuels and tailpipe emissions'!$A$10:$A$126,'vehicles specifications'!$F75,'fuels and tailpipe emissions'!$B$10:$B$126,'vehicles specifications'!BM$2)/1000*$AQ75</f>
        <v>4.7732127154583795E-5</v>
      </c>
      <c r="BN75" s="7">
        <f>SUMIFS('fuels and tailpipe emissions'!$D$10:$D$126,'fuels and tailpipe emissions'!$A$10:$A$126,'vehicles specifications'!$F75,'fuels and tailpipe emissions'!$B$10:$B$126,'vehicles specifications'!BN$2)/1000*$AQ75</f>
        <v>2.4977633661713712E-5</v>
      </c>
      <c r="BO75" s="7">
        <f>SUMIFS('fuels and tailpipe emissions'!$D$10:$D$126,'fuels and tailpipe emissions'!$A$10:$A$126,'vehicles specifications'!$F75,'fuels and tailpipe emissions'!$B$10:$B$126,'vehicles specifications'!BO$2)/1000*$AQ75</f>
        <v>7.1925123109646811E-7</v>
      </c>
      <c r="BP75" s="7">
        <f>SUMIFS('fuels and tailpipe emissions'!$D$10:$D$126,'fuels and tailpipe emissions'!$A$10:$A$126,'vehicles specifications'!$F75,'fuels and tailpipe emissions'!$B$10:$B$126,'vehicles specifications'!BP$2)/1000*$AQ75</f>
        <v>3.668181278591987E-5</v>
      </c>
      <c r="BQ75" s="7">
        <f>SUMIFS('fuels and tailpipe emissions'!$D$10:$D$126,'fuels and tailpipe emissions'!$A$10:$A$126,'vehicles specifications'!$F75,'fuels and tailpipe emissions'!$B$10:$B$126,'vehicles specifications'!BQ$2)/1000*$AQ75</f>
        <v>7.1794350158538352E-5</v>
      </c>
      <c r="BR75" s="7">
        <f>SUMIFS('fuels and tailpipe emissions'!$D$10:$D$126,'fuels and tailpipe emissions'!$A$10:$A$126,'vehicles specifications'!$F75,'fuels and tailpipe emissions'!$B$10:$B$126,'vehicles specifications'!BR$2)/1000*$AQ75</f>
        <v>3.5504856225943842E-5</v>
      </c>
      <c r="BS75" s="7">
        <f>SUMIFS('fuels and tailpipe emissions'!$D$10:$D$126,'fuels and tailpipe emissions'!$A$10:$A$126,'vehicles specifications'!$F75,'fuels and tailpipe emissions'!$B$10:$B$126,'vehicles specifications'!BS$2)/1000*$AQ75</f>
        <v>1.4777343475254709E-5</v>
      </c>
      <c r="BT75" s="7">
        <f>SUMIFS('fuels and tailpipe emissions'!$D$10:$D$126,'fuels and tailpipe emissions'!$A$10:$A$126,'vehicles specifications'!$F75,'fuels and tailpipe emissions'!$B$10:$B$126,'vehicles specifications'!BT$2)/1000*$AQ75</f>
        <v>1.1115700844218144E-5</v>
      </c>
      <c r="BU75" s="7">
        <f>SUMIFS('fuels and tailpipe emissions'!$D$10:$D$126,'fuels and tailpipe emissions'!$A$10:$A$126,'vehicles specifications'!$F75,'fuels and tailpipe emissions'!$B$10:$B$126,'vehicles specifications'!BU$2)/1000*$AQ75</f>
        <v>4.903985666566828E-6</v>
      </c>
      <c r="BV75" s="7">
        <f>SUMIFS('fuels and tailpipe emissions'!$D$10:$D$126,'fuels and tailpipe emissions'!$A$10:$A$126,'vehicles specifications'!$F75,'fuels and tailpipe emissions'!$B$10:$B$126,'vehicles specifications'!BV$2)/1000*$AQ75</f>
        <v>1.4385024621929362E-6</v>
      </c>
      <c r="BW75" s="7">
        <f>SUMIFS('fuels and tailpipe emissions'!$D$10:$D$126,'fuels and tailpipe emissions'!$A$10:$A$126,'vehicles specifications'!$F75,'fuels and tailpipe emissions'!$B$10:$B$126,'vehicles specifications'!BW$2)/1000*$AQ75</f>
        <v>3.9885750088076876E-6</v>
      </c>
      <c r="BX75" s="7">
        <f>SUMIFS('fuels and tailpipe emissions'!$D$10:$D$126,'fuels and tailpipe emissions'!$A$10:$A$126,'vehicles specifications'!$F75,'fuels and tailpipe emissions'!$B$10:$B$126,'vehicles specifications'!BX$2)/1000*$AQ75</f>
        <v>0</v>
      </c>
      <c r="BY75" s="7">
        <f>SUMIFS('fuels and tailpipe emissions'!$D$10:$D$126,'fuels and tailpipe emissions'!$A$10:$A$126,'vehicles specifications'!$F75,'fuels and tailpipe emissions'!$B$10:$B$126,'vehicles specifications'!BY$2)/1000*$AQ75</f>
        <v>1.2423430355302631E-6</v>
      </c>
      <c r="BZ75" s="7">
        <f>SUMIFS('fuels and tailpipe emissions'!$D$10:$D$126,'fuels and tailpipe emissions'!$A$10:$A$126,'vehicles specifications'!$F75,'fuels and tailpipe emissions'!$B$10:$B$126,'vehicles specifications'!BZ$2)/1000*$AQ75</f>
        <v>6.6040340309766626E-6</v>
      </c>
      <c r="CA75" s="7">
        <f>SUMIFS('fuels and tailpipe emissions'!$D$10:$D$126,'fuels and tailpipe emissions'!$A$10:$A$126,'vehicles specifications'!$F75,'fuels and tailpipe emissions'!$B$10:$B$126,'vehicles specifications'!CA$2)/1000*$AQ75</f>
        <v>8.3238843026002153E-10</v>
      </c>
      <c r="CB75" s="7">
        <f>SUMIFS('fuels and tailpipe emissions'!$D$10:$D$126,'fuels and tailpipe emissions'!$A$10:$A$126,'vehicles specifications'!$F75,'fuels and tailpipe emissions'!$B$10:$B$126,'vehicles specifications'!CB$2)/1000*$AQ75</f>
        <v>7.1757623298277712E-12</v>
      </c>
      <c r="CC75" s="7">
        <f>SUMIFS('fuels and tailpipe emissions'!$D$10:$D$126,'fuels and tailpipe emissions'!$A$10:$A$126,'vehicles specifications'!$F75,'fuels and tailpipe emissions'!$B$10:$B$126,'vehicles specifications'!CC$2)/1000*$AQ75</f>
        <v>4.7838415532185142E-12</v>
      </c>
      <c r="CD75" s="7">
        <f>SUMIFS('fuels and tailpipe emissions'!$D$10:$D$126,'fuels and tailpipe emissions'!$A$10:$A$126,'vehicles specifications'!$F75,'fuels and tailpipe emissions'!$B$10:$B$126,'vehicles specifications'!CD$2)/1000*$AQ75</f>
        <v>5.1665488774759957E-8</v>
      </c>
      <c r="CE75" s="7">
        <f>SUMIFS('fuels and tailpipe emissions'!$D$10:$D$126,'fuels and tailpipe emissions'!$A$10:$A$126,'vehicles specifications'!$F75,'fuels and tailpipe emissions'!$B$10:$B$126,'vehicles specifications'!CE$2)/1000*$AQ75</f>
        <v>1.0046067261758878E-9</v>
      </c>
      <c r="CF75" s="7">
        <f>SUMIFS('fuels and tailpipe emissions'!$D$10:$D$126,'fuels and tailpipe emissions'!$A$10:$A$126,'vehicles specifications'!$F75,'fuels and tailpipe emissions'!$B$10:$B$126,'vehicles specifications'!CF$2)/1000*$AQ75</f>
        <v>3.1094970095920345E-10</v>
      </c>
      <c r="CG75" s="7">
        <f>SUMIFS('fuels and tailpipe emissions'!$D$10:$D$126,'fuels and tailpipe emissions'!$A$10:$A$126,'vehicles specifications'!$F75,'fuels and tailpipe emissions'!$B$10:$B$126,'vehicles specifications'!CG$2)/1000*$AQ75</f>
        <v>3.8270732425748116E-10</v>
      </c>
      <c r="CH75" s="7">
        <f>SUMIFS('fuels and tailpipe emissions'!$D$10:$D$126,'fuels and tailpipe emissions'!$A$10:$A$126,'vehicles specifications'!$F75,'fuels and tailpipe emissions'!$B$10:$B$126,'vehicles specifications'!CH$2)/1000*$AQ75</f>
        <v>7.6541464851496223E-13</v>
      </c>
      <c r="CI75" s="7">
        <f>SUMIFS('fuels and tailpipe emissions'!$D$10:$D$126,'fuels and tailpipe emissions'!$A$10:$A$126,'vehicles specifications'!$F75,'fuels and tailpipe emissions'!$B$10:$B$126,'vehicles specifications'!CI$2)/1000*$AQ75</f>
        <v>2.0809710756500538E-10</v>
      </c>
      <c r="CJ75" s="7">
        <f>SUMIFS('fuels and tailpipe emissions'!$D$10:$D$126,'fuels and tailpipe emissions'!$A$10:$A$126,'vehicles specifications'!$F75,'fuels and tailpipe emissions'!$B$10:$B$126,'vehicles specifications'!CJ$2)/1000*$AQ75</f>
        <v>2.5832744387379982E-10</v>
      </c>
      <c r="CK75" s="38">
        <f>VLOOKUP($B75,'abrasion emissions'!$O$7:$R$36,2,FALSE)</f>
        <v>0.5</v>
      </c>
      <c r="CL75" s="38">
        <f>VLOOKUP($B75,'abrasion emissions'!$O$7:$R$36,3,FALSE)</f>
        <v>0.5</v>
      </c>
      <c r="CM75" s="38">
        <f>VLOOKUP($B75,'abrasion emissions'!$O$7:$R$36,4,FALSE)</f>
        <v>0</v>
      </c>
      <c r="CN75" s="7">
        <f>((SUMIFS('abrasion emissions'!$M$7:$M$34,'abrasion emissions'!$I$7:$I$34,"PM 2.5",'abrasion emissions'!$J$7:$J$34,"urban",'abrasion emissions'!$K$7:$K$34,"Tyre",'abrasion emissions'!$L$7:$L$34,"b")*POWER(('vehicles specifications'!$Q75/1000),(1/SUMIFS('abrasion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specifications'!$P75/1000),(1/SUMIFS('abrasion emissions'!$M$7:$M$34,'abrasion emissions'!$I$7:$I$34,"PM 10",'abrasion emissions'!$J$7:$J$34,"urban",'abrasion emissions'!$K$7:$K$34,"Tyre",'abrasion emissions'!$L$7:$L$34,"c")))))/1000000</f>
        <v>6.4441594375396093E-6</v>
      </c>
      <c r="CO75" s="7">
        <f>((SUMIFS('abrasion emissions'!$M$7:$M$34,'abrasion emissions'!$I$7:$I$34,"PM 2.5",'abrasion emissions'!$J$7:$J$34,"rural",'abrasion emissions'!$K$7:$K$34,"Tyre",'abrasion emissions'!$L$7:$L$34,"b")*POWER(('vehicles specifications'!$Q75/1000),(1/SUMIFS('abrasion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specifications'!$P75/1000),(1/SUMIFS('abrasion emissions'!$M$7:$M$34,'abrasion emissions'!$I$7:$I$34,"PM 10",'abrasion emissions'!$J$7:$J$34,"rural",'abrasion emissions'!$K$7:$K$34,"Tyre",'abrasion emissions'!$L$7:$L$34,"c")))))/1000000</f>
        <v>5.0187524861135117E-6</v>
      </c>
      <c r="CP75" s="7">
        <f>((SUMIFS('abrasion emissions'!$M$7:$M$34,'abrasion emissions'!$I$7:$I$34,"PM 2.5",'abrasion emissions'!$J$7:$J$34,"motorway",'abrasion emissions'!$K$7:$K$34,"Tyre",'abrasion emissions'!$L$7:$L$34,"b")*POWER(('vehicles specifications'!$Q75/1000),(1/SUMIFS('abrasion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specifications'!$P75/1000),(1/SUMIFS('abrasion emissions'!$M$7:$M$34,'abrasion emissions'!$I$7:$I$34,"PM 10",'abrasion emissions'!$J$7:$J$34,"motorway",'abrasion emissions'!$K$7:$K$34,"Tyre",'abrasion emissions'!$L$7:$L$34,"c")))))/1000000</f>
        <v>4.2858558253725726E-6</v>
      </c>
      <c r="CQ75" s="7">
        <f>((SUMIFS('abrasion emissions'!$M$7:$M$34,'abrasion emissions'!$I$7:$I$34,"PM 2.5",'abrasion emissions'!$J$7:$J$34,"urban",'abrasion emissions'!$K$7:$K$34,"Brake",'abrasion emissions'!$L$7:$L$34,"b")*POWER(('vehicles specifications'!$Q75/1000),(1/SUMIFS('abrasion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specifications'!$P75/1000),(1/SUMIFS('abrasion emissions'!$M$7:$M$34,'abrasion emissions'!$I$7:$I$34,"PM 10",'abrasion emissions'!$J$7:$J$34,"urban",'abrasion emissions'!$K$7:$K$34,"Brake",'abrasion emissions'!$L$7:$L$34,"c")))))/1000000</f>
        <v>6.1571540757855236E-6</v>
      </c>
      <c r="CR75" s="7">
        <f>((SUMIFS('abrasion emissions'!$M$7:$M$34,'abrasion emissions'!$I$7:$I$34,"PM 2.5",'abrasion emissions'!$J$7:$J$34,"rural",'abrasion emissions'!$K$7:$K$34,"Brake",'abrasion emissions'!$L$7:$L$34,"b")*POWER(('vehicles specifications'!$Q75/1000),(1/SUMIFS('abrasion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specifications'!$P75/1000),(1/SUMIFS('abrasion emissions'!$M$7:$M$34,'abrasion emissions'!$I$7:$I$34,"PM 10",'abrasion emissions'!$J$7:$J$34,"rural",'abrasion emissions'!$K$7:$K$34,"Brake",'abrasion emissions'!$L$7:$L$34,"c")))))/1000000</f>
        <v>2.0038978212327732E-6</v>
      </c>
      <c r="CS75" s="7">
        <f>((SUMIFS('abrasion emissions'!$M$7:$M$34,'abrasion emissions'!$I$7:$I$34,"PM 2.5",'abrasion emissions'!$J$7:$J$34,"motorway",'abrasion emissions'!$K$7:$K$34,"Brake",'abrasion emissions'!$L$7:$L$34,"b")*POWER(('vehicles specifications'!$Q75/1000),(1/SUMIFS('abrasion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specifications'!$P75/1000),(1/SUMIFS('abrasion emissions'!$M$7:$M$34,'abrasion emissions'!$I$7:$I$34,"PM 10",'abrasion emissions'!$J$7:$J$34,"motorway",'abrasion emissions'!$K$7:$K$34,"Brake",'abrasion emissions'!$L$7:$L$34,"c")))))/1000000</f>
        <v>3.7401306521619346E-7</v>
      </c>
      <c r="CT75" s="7">
        <f>((SUMIFS('abrasion emissions'!$M$7:$M$38,'abrasion emissions'!$I$7:$I$38,"PM 2.5",'abrasion emissions'!$K$7:$K$38,"Re-susp.",'abrasion emissions'!$L$7:$L$38,"b")*POWER(('vehicles specifications'!$Q75/1000),(1/SUMIFS('abrasion emissions'!$M$7:$M$38,'abrasion emissions'!$I$7:$I$38,"PM 2.5",'abrasion emissions'!$K$7:$K$38,"Re-susp.",'abrasion emissions'!$L$7:$L$38,"c"))))+
(SUMIFS('abrasion emissions'!$M$7:$M$38,'abrasion emissions'!$I$7:$I$38,"PM 10",'abrasion emissions'!$K$7:$K$38,"Re-susp.",'abrasion emissions'!$L$7:$L$38,"b")*POWER(('vehicles specifications'!$Q75/1000),(1/SUMIFS('abrasion emissions'!$M$7:$M$38,'abrasion emissions'!$I$7:$I$38,"PM 10",'abrasion emissions'!$K$7:$K$38,"Re-susp.",'abrasion emissions'!$L$7:$L$38,"c")))))/1000000</f>
        <v>3.8530531166838082E-6</v>
      </c>
      <c r="CU75" s="7">
        <f>((SUMIFS('abrasion emissions'!$M$7:$M$38,'abrasion emissions'!$I$7:$I$38,"PM 2.5",'abrasion emissions'!$K$7:$K$38,"Road",'abrasion emissions'!$L$7:$L$38,"b")*POWER(('vehicles specifications'!$Q75/1000),(1/SUMIFS('abrasion emissions'!$M$7:$M$38,'abrasion emissions'!$I$7:$I$38,"PM 2.5",'abrasion emissions'!$K$7:$K$38,"Road",'abrasion emissions'!$L$7:$L$38,"c"))))+
(SUMIFS('abrasion emissions'!$M$7:$M$38,'abrasion emissions'!$I$7:$I$38,"PM 10",'abrasion emissions'!$K$7:$K$38,"Road",'abrasion emissions'!$L$7:$L$38,"b")*POWER(('vehicles specifications'!$Q75/1000),(1/SUMIFS('abrasion emissions'!$M$7:$M$38,'abrasion emissions'!$I$7:$I$38,"PM 10",'abrasion emissions'!$K$7:$K$38,"Road",'abrasion emissions'!$L$7:$L$38,"c")))))/1000000+CT75</f>
        <v>7.3792374669921879E-6</v>
      </c>
      <c r="CV75" s="7">
        <f>(CK75*CN75)+(CL75*CO75)+(CM75*CP75)</f>
        <v>5.7314559618265601E-6</v>
      </c>
      <c r="CW75" s="7">
        <f>(CK75*CQ75)+(CL75*CR75)+(CM75*CS75)</f>
        <v>4.0805259485091488E-6</v>
      </c>
    </row>
    <row r="76">
      <c r="A76" t="str">
        <f>B76&amp;" - "&amp;D76&amp;" - "&amp;IF(I76&lt;&gt;"",I76&amp;" - "&amp;E76,E76)</f>
        <v>Scooter, gasoline, 4-11kW, EURO-5 - 2050 - CH</v>
      </c>
      <c r="B76" t="inlineStr">
        <is>
          <t>Scooter, gasoline, 4-11kW, EURO-5</t>
        </is>
      </c>
      <c r="D76" s="18" t="n">
        <v>2050</v>
      </c>
      <c r="E76" t="inlineStr">
        <is>
          <t>CH</t>
        </is>
      </c>
      <c r="F76" t="inlineStr">
        <is>
          <t>EURO-5</t>
        </is>
      </c>
      <c r="G76" t="inlineStr">
        <is>
          <t>vkm</t>
        </is>
      </c>
      <c r="H76" t="inlineStr">
        <is>
          <t>ICEV-p</t>
        </is>
      </c>
      <c r="J76" t="n">
        <v>30000</v>
      </c>
      <c r="K76" t="n">
        <v>1870</v>
      </c>
      <c r="L76" s="2">
        <f>J76/K76</f>
        <v>16.042780748663102</v>
      </c>
      <c r="M76" t="n">
        <v>1</v>
      </c>
      <c r="N76" t="n">
        <v>75</v>
      </c>
      <c r="O76" t="n">
        <v>4</v>
      </c>
      <c r="P76" s="2">
        <f>SUM(U76,V76,W76,AC76,AF76,AH76)</f>
        <v>122.8625</v>
      </c>
      <c r="Q76" s="2">
        <f>P76+(M76*N76)+O76</f>
        <v>201.86250000000001</v>
      </c>
      <c r="R76" t="n">
        <v>8.800000000000001</v>
      </c>
      <c r="S76" s="2" t="n">
        <v>70</v>
      </c>
      <c r="T76" s="1" t="n">
        <v>0.07000000000000001</v>
      </c>
      <c r="U76" s="2">
        <f>S76*(1-T76)</f>
        <v>65.099999999999994</v>
      </c>
      <c r="V76" t="n">
        <v>50</v>
      </c>
      <c r="W76" t="n">
        <v>0</v>
      </c>
      <c r="X76" s="3" t="n">
        <v>0</v>
      </c>
      <c r="Y76" s="1" t="n">
        <v>0.8</v>
      </c>
      <c r="Z76" s="3">
        <f>Y76*X76</f>
        <v>0</v>
      </c>
      <c r="AA76" s="3">
        <f>IF(I76&lt;&gt;"",X76/INDEX('energy battery'!$B$3:$D$6,MATCH('vehicles specifications'!$D76,'energy battery'!$A$3:$A$6,0),MATCH('vehicles specifications'!$I76,'energy battery'!$B$2:$D$2,0)),"")</f>
        <v/>
      </c>
      <c r="AB76" s="3">
        <f>IF(AA76&lt;&gt;"",0.3*AA76,"")</f>
        <v/>
      </c>
      <c r="AC76" s="3">
        <f>IF(AA76&lt;&gt;"",AB76+AA76,"")</f>
        <v/>
      </c>
      <c r="AD76" s="3" t="n">
        <v>0</v>
      </c>
      <c r="AE76" s="3" t="n">
        <v>9</v>
      </c>
      <c r="AF76">
        <f>AE76*'fuels and tailpipe emissions'!$B$3</f>
        <v>6.75</v>
      </c>
      <c r="AG76" s="2">
        <f>AF76*'fuels and tailpipe emissions'!$C$3</f>
        <v>79.875</v>
      </c>
      <c r="AH76" s="3">
        <f>0.15*AF76</f>
        <v>1.0125</v>
      </c>
      <c r="AI76" t="n">
        <v>0</v>
      </c>
      <c r="AJ76" t="n">
        <v>0</v>
      </c>
      <c r="AK76">
        <f>J76/25000</f>
        <v>1.2</v>
      </c>
      <c r="AL76">
        <f>0.000537/1000*Q76</f>
        <v>1.0840016250000001E-4</v>
      </c>
      <c r="AM76" t="n">
        <v>0.00129</v>
      </c>
      <c r="AN76" s="2">
        <f>U76</f>
        <v>65.099999999999994</v>
      </c>
      <c r="AO76" s="2">
        <f>SUM(V76:W76)</f>
        <v>50</v>
      </c>
      <c r="AP76" s="2">
        <f>AC76</f>
        <v/>
      </c>
      <c r="AQ76" s="6" t="n">
        <v>1.006400666758345</v>
      </c>
      <c r="AR76" s="20" t="n">
        <v>0.012</v>
      </c>
      <c r="AS76" s="6">
        <f>IF($H76="BEV",SUMPRODUCT(#REF!,#REF!),"")</f>
        <v/>
      </c>
      <c r="AT76" s="2">
        <f>SUM(Z76,AG76)/(SUM(AQ76,AS76)/3.6)</f>
        <v>285.72119385235459</v>
      </c>
      <c r="AU76" s="5">
        <f>IF($H76="ICEV-p",$AQ76/('fuels and tailpipe emissions'!$C$3*3.6)*'fuels and tailpipe emissions'!$D$3,"")*(1-AR76)</f>
        <v>7.3290537945956538E-2</v>
      </c>
      <c r="AV76" s="5">
        <f>IF($H76="ICEV-p",$AQ76/('fuels and tailpipe emissions'!$C$3*3.6)*'fuels and tailpipe emissions'!$D$3,"")*AR76</f>
        <v>8.9016847707639531E-4</v>
      </c>
      <c r="AW76" s="7">
        <f>IF($H76="ICEV-p",$AQ76/('fuels and tailpipe emissions'!$C$3*3.6)*'fuels and tailpipe emissions'!$E$3,"")</f>
        <v>3.7799086075430794E-7</v>
      </c>
      <c r="AX76" s="7">
        <f>SUMIFS('fuels and tailpipe emissions'!$D$10:$D$126,'fuels and tailpipe emissions'!$A$10:$A$126,'vehicles specifications'!$F76,'fuels and tailpipe emissions'!$B$10:$B$126,'vehicles specifications'!AX$2)/1000*$AQ76</f>
        <v>3.6314994658060673E-5</v>
      </c>
      <c r="AY76" s="7">
        <f>SUMIFS('fuels and tailpipe emissions'!$D$10:$D$126,'fuels and tailpipe emissions'!$A$10:$A$126,'vehicles specifications'!$F76,'fuels and tailpipe emissions'!$B$10:$B$126,'vehicles specifications'!AY$2)/1000*$AQ76</f>
        <v>2.7745972867750582E-5</v>
      </c>
      <c r="AZ76" s="7">
        <f>SUMIFS('fuels and tailpipe emissions'!$D$10:$D$126,'fuels and tailpipe emissions'!$A$10:$A$126,'vehicles specifications'!$F76,'fuels and tailpipe emissions'!$B$10:$B$126,'vehicles specifications'!AZ$2)/1000*$AQ76</f>
        <v>3.2505894932237786E-3</v>
      </c>
      <c r="BA76" s="7">
        <f>SUMIFS('fuels and tailpipe emissions'!$D$10:$D$126,'fuels and tailpipe emissions'!$A$10:$A$126,'vehicles specifications'!$F76,'fuels and tailpipe emissions'!$B$10:$B$126,'vehicles specifications'!BA$2)/1000*$AQ76</f>
        <v>1.4077104448376758E-6</v>
      </c>
      <c r="BB76" s="7">
        <f>SUMIFS('fuels and tailpipe emissions'!$D$10:$D$126,'fuels and tailpipe emissions'!$A$10:$A$126,'vehicles specifications'!$F76,'fuels and tailpipe emissions'!$B$10:$B$126,'vehicles specifications'!BB$2)/1000*$AQ76</f>
        <v>1.4077104448376758E-6</v>
      </c>
      <c r="BC76" s="7">
        <f>SUMIFS('fuels and tailpipe emissions'!$D$10:$D$126,'fuels and tailpipe emissions'!$A$10:$A$126,'vehicles specifications'!$F76,'fuels and tailpipe emissions'!$B$10:$B$126,'vehicles specifications'!BC$2)/1000*$AQ76</f>
        <v>1.0556520412800326E-4</v>
      </c>
      <c r="BD76" s="7">
        <f>SUMIFS('fuels and tailpipe emissions'!$D$10:$D$126,'fuels and tailpipe emissions'!$A$10:$A$126,'vehicles specifications'!$F76,'fuels and tailpipe emissions'!$B$10:$B$126,'vehicles specifications'!BD$2)/1000*$AQ76</f>
        <v>3.1574945277709067E-6</v>
      </c>
      <c r="BE76" s="7">
        <f>SUMIFS('fuels and tailpipe emissions'!$D$10:$D$126,'fuels and tailpipe emissions'!$A$10:$A$126,'vehicles specifications'!$F76,'fuels and tailpipe emissions'!$B$10:$B$126,'vehicles specifications'!BE$2)/1000*$AQ76</f>
        <v>2.9285033125323805E-4</v>
      </c>
      <c r="BF76" s="7">
        <f>SUMIFS('fuels and tailpipe emissions'!$D$10:$D$126,'fuels and tailpipe emissions'!$A$10:$A$126,'vehicles specifications'!$F76,'fuels and tailpipe emissions'!$B$10:$B$126,'vehicles specifications'!BF$2)/1000*$AQ76</f>
        <v>2.0649702844779598E-5</v>
      </c>
      <c r="BG76" s="7">
        <f>SUMIFS('fuels and tailpipe emissions'!$D$10:$D$126,'fuels and tailpipe emissions'!$A$10:$A$126,'vehicles specifications'!$F76,'fuels and tailpipe emissions'!$B$10:$B$126,'vehicles specifications'!BG$2)/1000*$AQ76</f>
        <v>4.2076197019143386E-6</v>
      </c>
      <c r="BH76" s="7">
        <f>SUMIFS('fuels and tailpipe emissions'!$D$10:$D$126,'fuels and tailpipe emissions'!$A$10:$A$126,'vehicles specifications'!$F76,'fuels and tailpipe emissions'!$B$10:$B$126,'vehicles specifications'!BH$2)/1000*$AQ76</f>
        <v>3.3919888058509439E-5</v>
      </c>
      <c r="BI76" s="7">
        <f>SUMIFS('fuels and tailpipe emissions'!$D$10:$D$126,'fuels and tailpipe emissions'!$A$10:$A$126,'vehicles specifications'!$F76,'fuels and tailpipe emissions'!$B$10:$B$126,'vehicles specifications'!BI$2)/1000*$AQ76</f>
        <v>1.3917511321716658E-5</v>
      </c>
      <c r="BJ76" s="7">
        <f>SUMIFS('fuels and tailpipe emissions'!$D$10:$D$126,'fuels and tailpipe emissions'!$A$10:$A$126,'vehicles specifications'!$F76,'fuels and tailpipe emissions'!$B$10:$B$126,'vehicles specifications'!BJ$2)/1000*$AQ76</f>
        <v>1.0421950338587823E-5</v>
      </c>
      <c r="BK76" s="7">
        <f>SUMIFS('fuels and tailpipe emissions'!$D$10:$D$126,'fuels and tailpipe emissions'!$A$10:$A$126,'vehicles specifications'!$F76,'fuels and tailpipe emissions'!$B$10:$B$126,'vehicles specifications'!BK$2)/1000*$AQ76</f>
        <v>7.3795176310497644E-6</v>
      </c>
      <c r="BL76" s="7">
        <f>SUMIFS('fuels and tailpipe emissions'!$D$10:$D$126,'fuels and tailpipe emissions'!$A$10:$A$126,'vehicles specifications'!$F76,'fuels and tailpipe emissions'!$B$10:$B$126,'vehicles specifications'!BL$2)/1000*$AQ76</f>
        <v>4.7902131991024787E-6</v>
      </c>
      <c r="BM76" s="7">
        <f>SUMIFS('fuels and tailpipe emissions'!$D$10:$D$126,'fuels and tailpipe emissions'!$A$10:$A$126,'vehicles specifications'!$F76,'fuels and tailpipe emissions'!$B$10:$B$126,'vehicles specifications'!BM$2)/1000*$AQ76</f>
        <v>4.725480588303796E-5</v>
      </c>
      <c r="BN76" s="7">
        <f>SUMIFS('fuels and tailpipe emissions'!$D$10:$D$126,'fuels and tailpipe emissions'!$A$10:$A$126,'vehicles specifications'!$F76,'fuels and tailpipe emissions'!$B$10:$B$126,'vehicles specifications'!BN$2)/1000*$AQ76</f>
        <v>2.4727857325096575E-5</v>
      </c>
      <c r="BO76" s="7">
        <f>SUMIFS('fuels and tailpipe emissions'!$D$10:$D$126,'fuels and tailpipe emissions'!$A$10:$A$126,'vehicles specifications'!$F76,'fuels and tailpipe emissions'!$B$10:$B$126,'vehicles specifications'!BO$2)/1000*$AQ76</f>
        <v>7.1205871878550351E-7</v>
      </c>
      <c r="BP76" s="7">
        <f>SUMIFS('fuels and tailpipe emissions'!$D$10:$D$126,'fuels and tailpipe emissions'!$A$10:$A$126,'vehicles specifications'!$F76,'fuels and tailpipe emissions'!$B$10:$B$126,'vehicles specifications'!BP$2)/1000*$AQ76</f>
        <v>3.6314994658060673E-5</v>
      </c>
      <c r="BQ76" s="7">
        <f>SUMIFS('fuels and tailpipe emissions'!$D$10:$D$126,'fuels and tailpipe emissions'!$A$10:$A$126,'vehicles specifications'!$F76,'fuels and tailpipe emissions'!$B$10:$B$126,'vehicles specifications'!BQ$2)/1000*$AQ76</f>
        <v>7.107640665695298E-5</v>
      </c>
      <c r="BR76" s="7">
        <f>SUMIFS('fuels and tailpipe emissions'!$D$10:$D$126,'fuels and tailpipe emissions'!$A$10:$A$126,'vehicles specifications'!$F76,'fuels and tailpipe emissions'!$B$10:$B$126,'vehicles specifications'!BR$2)/1000*$AQ76</f>
        <v>3.5149807663684405E-5</v>
      </c>
      <c r="BS76" s="7">
        <f>SUMIFS('fuels and tailpipe emissions'!$D$10:$D$126,'fuels and tailpipe emissions'!$A$10:$A$126,'vehicles specifications'!$F76,'fuels and tailpipe emissions'!$B$10:$B$126,'vehicles specifications'!BS$2)/1000*$AQ76</f>
        <v>1.4629570040502162E-5</v>
      </c>
      <c r="BT76" s="7">
        <f>SUMIFS('fuels and tailpipe emissions'!$D$10:$D$126,'fuels and tailpipe emissions'!$A$10:$A$126,'vehicles specifications'!$F76,'fuels and tailpipe emissions'!$B$10:$B$126,'vehicles specifications'!BT$2)/1000*$AQ76</f>
        <v>1.1004543835775963E-5</v>
      </c>
      <c r="BU76" s="7">
        <f>SUMIFS('fuels and tailpipe emissions'!$D$10:$D$126,'fuels and tailpipe emissions'!$A$10:$A$126,'vehicles specifications'!$F76,'fuels and tailpipe emissions'!$B$10:$B$126,'vehicles specifications'!BU$2)/1000*$AQ76</f>
        <v>4.8549458099011596E-6</v>
      </c>
      <c r="BV76" s="7">
        <f>SUMIFS('fuels and tailpipe emissions'!$D$10:$D$126,'fuels and tailpipe emissions'!$A$10:$A$126,'vehicles specifications'!$F76,'fuels and tailpipe emissions'!$B$10:$B$126,'vehicles specifications'!BV$2)/1000*$AQ76</f>
        <v>1.424117437571007E-6</v>
      </c>
      <c r="BW76" s="7">
        <f>SUMIFS('fuels and tailpipe emissions'!$D$10:$D$126,'fuels and tailpipe emissions'!$A$10:$A$126,'vehicles specifications'!$F76,'fuels and tailpipe emissions'!$B$10:$B$126,'vehicles specifications'!BW$2)/1000*$AQ76</f>
        <v>3.9486892587196102E-6</v>
      </c>
      <c r="BX76" s="7">
        <f>SUMIFS('fuels and tailpipe emissions'!$D$10:$D$126,'fuels and tailpipe emissions'!$A$10:$A$126,'vehicles specifications'!$F76,'fuels and tailpipe emissions'!$B$10:$B$126,'vehicles specifications'!BX$2)/1000*$AQ76</f>
        <v>0</v>
      </c>
      <c r="BY76" s="7">
        <f>SUMIFS('fuels and tailpipe emissions'!$D$10:$D$126,'fuels and tailpipe emissions'!$A$10:$A$126,'vehicles specifications'!$F76,'fuels and tailpipe emissions'!$B$10:$B$126,'vehicles specifications'!BY$2)/1000*$AQ76</f>
        <v>1.2299196051749605E-6</v>
      </c>
      <c r="BZ76" s="7">
        <f>SUMIFS('fuels and tailpipe emissions'!$D$10:$D$126,'fuels and tailpipe emissions'!$A$10:$A$126,'vehicles specifications'!$F76,'fuels and tailpipe emissions'!$B$10:$B$126,'vehicles specifications'!BZ$2)/1000*$AQ76</f>
        <v>6.5379936906668958E-6</v>
      </c>
      <c r="CA76" s="7">
        <f>SUMIFS('fuels and tailpipe emissions'!$D$10:$D$126,'fuels and tailpipe emissions'!$A$10:$A$126,'vehicles specifications'!$F76,'fuels and tailpipe emissions'!$B$10:$B$126,'vehicles specifications'!CA$2)/1000*$AQ76</f>
        <v>8.2406454595742137E-10</v>
      </c>
      <c r="CB76" s="7">
        <f>SUMIFS('fuels and tailpipe emissions'!$D$10:$D$126,'fuels and tailpipe emissions'!$A$10:$A$126,'vehicles specifications'!$F76,'fuels and tailpipe emissions'!$B$10:$B$126,'vehicles specifications'!CB$2)/1000*$AQ76</f>
        <v>7.1040047065294939E-12</v>
      </c>
      <c r="CC76" s="7">
        <f>SUMIFS('fuels and tailpipe emissions'!$D$10:$D$126,'fuels and tailpipe emissions'!$A$10:$A$126,'vehicles specifications'!$F76,'fuels and tailpipe emissions'!$B$10:$B$126,'vehicles specifications'!CC$2)/1000*$AQ76</f>
        <v>4.7360031376863295E-12</v>
      </c>
      <c r="CD76" s="7">
        <f>SUMIFS('fuels and tailpipe emissions'!$D$10:$D$126,'fuels and tailpipe emissions'!$A$10:$A$126,'vehicles specifications'!$F76,'fuels and tailpipe emissions'!$B$10:$B$126,'vehicles specifications'!CD$2)/1000*$AQ76</f>
        <v>5.114883388701236E-8</v>
      </c>
      <c r="CE76" s="7">
        <f>SUMIFS('fuels and tailpipe emissions'!$D$10:$D$126,'fuels and tailpipe emissions'!$A$10:$A$126,'vehicles specifications'!$F76,'fuels and tailpipe emissions'!$B$10:$B$126,'vehicles specifications'!CE$2)/1000*$AQ76</f>
        <v>9.9456065891412896E-10</v>
      </c>
      <c r="CF76" s="7">
        <f>SUMIFS('fuels and tailpipe emissions'!$D$10:$D$126,'fuels and tailpipe emissions'!$A$10:$A$126,'vehicles specifications'!$F76,'fuels and tailpipe emissions'!$B$10:$B$126,'vehicles specifications'!CF$2)/1000*$AQ76</f>
        <v>3.078402039496114E-10</v>
      </c>
      <c r="CG76" s="7">
        <f>SUMIFS('fuels and tailpipe emissions'!$D$10:$D$126,'fuels and tailpipe emissions'!$A$10:$A$126,'vehicles specifications'!$F76,'fuels and tailpipe emissions'!$B$10:$B$126,'vehicles specifications'!CG$2)/1000*$AQ76</f>
        <v>3.7888025101490637E-10</v>
      </c>
      <c r="CH76" s="7">
        <f>SUMIFS('fuels and tailpipe emissions'!$D$10:$D$126,'fuels and tailpipe emissions'!$A$10:$A$126,'vehicles specifications'!$F76,'fuels and tailpipe emissions'!$B$10:$B$126,'vehicles specifications'!CH$2)/1000*$AQ76</f>
        <v>7.5776050202981265E-13</v>
      </c>
      <c r="CI76" s="7">
        <f>SUMIFS('fuels and tailpipe emissions'!$D$10:$D$126,'fuels and tailpipe emissions'!$A$10:$A$126,'vehicles specifications'!$F76,'fuels and tailpipe emissions'!$B$10:$B$126,'vehicles specifications'!CI$2)/1000*$AQ76</f>
        <v>2.0601613648935534E-10</v>
      </c>
      <c r="CJ76" s="7">
        <f>SUMIFS('fuels and tailpipe emissions'!$D$10:$D$126,'fuels and tailpipe emissions'!$A$10:$A$126,'vehicles specifications'!$F76,'fuels and tailpipe emissions'!$B$10:$B$126,'vehicles specifications'!CJ$2)/1000*$AQ76</f>
        <v>2.5574416943506186E-10</v>
      </c>
      <c r="CK76" s="38">
        <f>VLOOKUP($B76,'abrasion emissions'!$O$7:$R$36,2,FALSE)</f>
        <v>0.5</v>
      </c>
      <c r="CL76" s="38">
        <f>VLOOKUP($B76,'abrasion emissions'!$O$7:$R$36,3,FALSE)</f>
        <v>0.5</v>
      </c>
      <c r="CM76" s="38">
        <f>VLOOKUP($B76,'abrasion emissions'!$O$7:$R$36,4,FALSE)</f>
        <v>0</v>
      </c>
      <c r="CN76" s="7">
        <f>((SUMIFS('abrasion emissions'!$M$7:$M$34,'abrasion emissions'!$I$7:$I$34,"PM 2.5",'abrasion emissions'!$J$7:$J$34,"urban",'abrasion emissions'!$K$7:$K$34,"Tyre",'abrasion emissions'!$L$7:$L$34,"b")*POWER(('vehicles specifications'!$Q76/1000),(1/SUMIFS('abrasion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specifications'!$P76/1000),(1/SUMIFS('abrasion emissions'!$M$7:$M$34,'abrasion emissions'!$I$7:$I$34,"PM 10",'abrasion emissions'!$J$7:$J$34,"urban",'abrasion emissions'!$K$7:$K$34,"Tyre",'abrasion emissions'!$L$7:$L$34,"c")))))/1000000</f>
        <v>6.4203412611969028E-6</v>
      </c>
      <c r="CO76" s="7">
        <f>((SUMIFS('abrasion emissions'!$M$7:$M$34,'abrasion emissions'!$I$7:$I$34,"PM 2.5",'abrasion emissions'!$J$7:$J$34,"rural",'abrasion emissions'!$K$7:$K$34,"Tyre",'abrasion emissions'!$L$7:$L$34,"b")*POWER(('vehicles specifications'!$Q76/1000),(1/SUMIFS('abrasion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specifications'!$P76/1000),(1/SUMIFS('abrasion emissions'!$M$7:$M$34,'abrasion emissions'!$I$7:$I$34,"PM 10",'abrasion emissions'!$J$7:$J$34,"rural",'abrasion emissions'!$K$7:$K$34,"Tyre",'abrasion emissions'!$L$7:$L$34,"c")))))/1000000</f>
        <v>5.0002159366220172E-6</v>
      </c>
      <c r="CP76" s="7">
        <f>((SUMIFS('abrasion emissions'!$M$7:$M$34,'abrasion emissions'!$I$7:$I$34,"PM 2.5",'abrasion emissions'!$J$7:$J$34,"motorway",'abrasion emissions'!$K$7:$K$34,"Tyre",'abrasion emissions'!$L$7:$L$34,"b")*POWER(('vehicles specifications'!$Q76/1000),(1/SUMIFS('abrasion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specifications'!$P76/1000),(1/SUMIFS('abrasion emissions'!$M$7:$M$34,'abrasion emissions'!$I$7:$I$34,"PM 10",'abrasion emissions'!$J$7:$J$34,"motorway",'abrasion emissions'!$K$7:$K$34,"Tyre",'abrasion emissions'!$L$7:$L$34,"c")))))/1000000</f>
        <v>4.2700593217528354E-6</v>
      </c>
      <c r="CQ76" s="7">
        <f>((SUMIFS('abrasion emissions'!$M$7:$M$34,'abrasion emissions'!$I$7:$I$34,"PM 2.5",'abrasion emissions'!$J$7:$J$34,"urban",'abrasion emissions'!$K$7:$K$34,"Brake",'abrasion emissions'!$L$7:$L$34,"b")*POWER(('vehicles specifications'!$Q76/1000),(1/SUMIFS('abrasion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specifications'!$P76/1000),(1/SUMIFS('abrasion emissions'!$M$7:$M$34,'abrasion emissions'!$I$7:$I$34,"PM 10",'abrasion emissions'!$J$7:$J$34,"urban",'abrasion emissions'!$K$7:$K$34,"Brake",'abrasion emissions'!$L$7:$L$34,"c")))))/1000000</f>
        <v>6.1315534947624727E-6</v>
      </c>
      <c r="CR76" s="7">
        <f>((SUMIFS('abrasion emissions'!$M$7:$M$34,'abrasion emissions'!$I$7:$I$34,"PM 2.5",'abrasion emissions'!$J$7:$J$34,"rural",'abrasion emissions'!$K$7:$K$34,"Brake",'abrasion emissions'!$L$7:$L$34,"b")*POWER(('vehicles specifications'!$Q76/1000),(1/SUMIFS('abrasion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specifications'!$P76/1000),(1/SUMIFS('abrasion emissions'!$M$7:$M$34,'abrasion emissions'!$I$7:$I$34,"PM 10",'abrasion emissions'!$J$7:$J$34,"rural",'abrasion emissions'!$K$7:$K$34,"Brake",'abrasion emissions'!$L$7:$L$34,"c")))))/1000000</f>
        <v>1.9933733415542221E-6</v>
      </c>
      <c r="CS76" s="7">
        <f>((SUMIFS('abrasion emissions'!$M$7:$M$34,'abrasion emissions'!$I$7:$I$34,"PM 2.5",'abrasion emissions'!$J$7:$J$34,"motorway",'abrasion emissions'!$K$7:$K$34,"Brake",'abrasion emissions'!$L$7:$L$34,"b")*POWER(('vehicles specifications'!$Q76/1000),(1/SUMIFS('abrasion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specifications'!$P76/1000),(1/SUMIFS('abrasion emissions'!$M$7:$M$34,'abrasion emissions'!$I$7:$I$34,"PM 10",'abrasion emissions'!$J$7:$J$34,"motorway",'abrasion emissions'!$K$7:$K$34,"Brake",'abrasion emissions'!$L$7:$L$34,"c")))))/1000000</f>
        <v>3.7175842096053772E-7</v>
      </c>
      <c r="CT76" s="7">
        <f>((SUMIFS('abrasion emissions'!$M$7:$M$38,'abrasion emissions'!$I$7:$I$38,"PM 2.5",'abrasion emissions'!$K$7:$K$38,"Re-susp.",'abrasion emissions'!$L$7:$L$38,"b")*POWER(('vehicles specifications'!$Q76/1000),(1/SUMIFS('abrasion emissions'!$M$7:$M$38,'abrasion emissions'!$I$7:$I$38,"PM 2.5",'abrasion emissions'!$K$7:$K$38,"Re-susp.",'abrasion emissions'!$L$7:$L$38,"c"))))+
(SUMIFS('abrasion emissions'!$M$7:$M$38,'abrasion emissions'!$I$7:$I$38,"PM 10",'abrasion emissions'!$K$7:$K$38,"Re-susp.",'abrasion emissions'!$L$7:$L$38,"b")*POWER(('vehicles specifications'!$Q76/1000),(1/SUMIFS('abrasion emissions'!$M$7:$M$38,'abrasion emissions'!$I$7:$I$38,"PM 10",'abrasion emissions'!$K$7:$K$38,"Re-susp.",'abrasion emissions'!$L$7:$L$38,"c")))))/1000000</f>
        <v>3.8289196689153695E-6</v>
      </c>
      <c r="CU76" s="7">
        <f>((SUMIFS('abrasion emissions'!$M$7:$M$38,'abrasion emissions'!$I$7:$I$38,"PM 2.5",'abrasion emissions'!$K$7:$K$38,"Road",'abrasion emissions'!$L$7:$L$38,"b")*POWER(('vehicles specifications'!$Q76/1000),(1/SUMIFS('abrasion emissions'!$M$7:$M$38,'abrasion emissions'!$I$7:$I$38,"PM 2.5",'abrasion emissions'!$K$7:$K$38,"Road",'abrasion emissions'!$L$7:$L$38,"c"))))+
(SUMIFS('abrasion emissions'!$M$7:$M$38,'abrasion emissions'!$I$7:$I$38,"PM 10",'abrasion emissions'!$K$7:$K$38,"Road",'abrasion emissions'!$L$7:$L$38,"b")*POWER(('vehicles specifications'!$Q76/1000),(1/SUMIFS('abrasion emissions'!$M$7:$M$38,'abrasion emissions'!$I$7:$I$38,"PM 10",'abrasion emissions'!$K$7:$K$38,"Road",'abrasion emissions'!$L$7:$L$38,"c")))))/1000000+CT76</f>
        <v>7.3388939706420807E-6</v>
      </c>
      <c r="CV76" s="7">
        <f>(CK76*CN76)+(CL76*CO76)+(CM76*CP76)</f>
        <v>5.71027859890946E-6</v>
      </c>
      <c r="CW76" s="7">
        <f>(CK76*CQ76)+(CL76*CR76)+(CM76*CS76)</f>
        <v>4.0624634181583474E-6</v>
      </c>
    </row>
    <row r="77">
      <c r="A77" t="str">
        <f>B77&amp;" - "&amp;D77&amp;" - "&amp;IF(I77&lt;&gt;"",I77&amp;" - "&amp;E77,E77)</f>
        <v>Scooter, battery electric, &lt;4kW - 2020 - NMC - CH</v>
      </c>
      <c r="B77" t="inlineStr">
        <is>
          <t>Scooter, battery electric, &lt;4kW</t>
        </is>
      </c>
      <c r="D77" s="18" t="n">
        <v>2020</v>
      </c>
      <c r="E77" t="inlineStr">
        <is>
          <t>CH</t>
        </is>
      </c>
      <c r="F77" t="inlineStr">
        <is>
          <t>None</t>
        </is>
      </c>
      <c r="G77" t="inlineStr">
        <is>
          <t>vkm</t>
        </is>
      </c>
      <c r="H77" t="inlineStr">
        <is>
          <t>BEV</t>
        </is>
      </c>
      <c r="I77" t="inlineStr">
        <is>
          <t>NMC</t>
        </is>
      </c>
      <c r="J77" t="n">
        <v>25000</v>
      </c>
      <c r="K77" t="n">
        <v>1570</v>
      </c>
      <c r="L77" s="2">
        <f>J77/K77</f>
        <v>15.923566878980891</v>
      </c>
      <c r="M77" t="n">
        <v>1</v>
      </c>
      <c r="N77" t="n">
        <v>75</v>
      </c>
      <c r="O77" t="n">
        <v>4</v>
      </c>
      <c r="P77" s="2">
        <f>SUM(U77,V77,W77,AC77,AF77,AH77)</f>
        <v>100.95</v>
      </c>
      <c r="Q77" s="2">
        <f>P77+(M77*N77)+O77</f>
        <v>179.95</v>
      </c>
      <c r="R77" t="n">
        <v>2.6</v>
      </c>
      <c r="S77" s="2" t="n">
        <v>73</v>
      </c>
      <c r="T77" s="1" t="n">
        <v>0</v>
      </c>
      <c r="U77" s="2">
        <f>S77*(1-T77)</f>
        <v>73</v>
      </c>
      <c r="V77" t="n">
        <v>5</v>
      </c>
      <c r="W77" t="n">
        <v>8</v>
      </c>
      <c r="X77" s="3" t="n">
        <v>2.3</v>
      </c>
      <c r="Y77" s="1" t="n">
        <v>0.8</v>
      </c>
      <c r="Z77" s="3">
        <f>Y77*X77</f>
        <v>1.8399999999999999</v>
      </c>
      <c r="AA77" s="3">
        <f>IF(I77&lt;&gt;"",X77/INDEX('energy battery'!$B$3:$D$6,MATCH('vehicles specifications'!$D77,'energy battery'!$A$3:$A$6,0),MATCH('vehicles specifications'!$I77,'energy battery'!$B$2:$D$2,0)),"")</f>
        <v>11.499999999999998</v>
      </c>
      <c r="AB77" s="3">
        <f>IF(AA77&lt;&gt;"",0.3*AA77,"")</f>
        <v>3.4499999999999993</v>
      </c>
      <c r="AC77" s="3">
        <f>IF(AA77&lt;&gt;"",AB77+AA77,"")</f>
        <v>14.949999999999998</v>
      </c>
      <c r="AD77" s="3" t="n">
        <v>1</v>
      </c>
      <c r="AE77" s="3" t="n">
        <v>0</v>
      </c>
      <c r="AF77">
        <f>AE77*'fuels and tailpipe emissions'!$B$3</f>
        <v>0</v>
      </c>
      <c r="AG77" t="n">
        <v>0</v>
      </c>
      <c r="AH77" s="3" t="n">
        <v>0</v>
      </c>
      <c r="AI77" s="3" t="n">
        <v>3</v>
      </c>
      <c r="AJ77" s="3" t="n">
        <v>1</v>
      </c>
      <c r="AK77">
        <f>J77/25000</f>
        <v>1</v>
      </c>
      <c r="AL77">
        <f>0.000537/1000*Q77</f>
        <v>9.6633149999999991E-5</v>
      </c>
      <c r="AM77" t="n">
        <v>0.00129</v>
      </c>
      <c r="AN77" s="2">
        <f>U77</f>
        <v>73</v>
      </c>
      <c r="AO77" s="2">
        <f>SUM(V77:W77)</f>
        <v>13</v>
      </c>
      <c r="AP77" s="2">
        <f>AC77</f>
        <v>14.949999999999998</v>
      </c>
      <c r="AQ77" s="6" t="inlineStr"/>
      <c r="AR77" s="20" t="n"/>
      <c r="AS77" s="5" t="n">
        <v>0.1334361071081471</v>
      </c>
      <c r="AT77" s="2">
        <f>SUM(Z77,AG77)/(SUM(AQ77,AS77)/3.6)</f>
        <v>49.641735985533444</v>
      </c>
      <c r="AU77" s="5" t="n">
        <v>0</v>
      </c>
      <c r="AV77" s="5" t="n">
        <v>0</v>
      </c>
      <c r="AW77" s="7" t="n">
        <v>0</v>
      </c>
      <c r="AX77" s="7" t="n">
        <v>0</v>
      </c>
      <c r="AY77" s="7" t="n">
        <v>0</v>
      </c>
      <c r="AZ77" s="7" t="n">
        <v>0</v>
      </c>
      <c r="BA77" s="7" t="n">
        <v>0</v>
      </c>
      <c r="BB77" s="7" t="n">
        <v>0</v>
      </c>
      <c r="BC77" s="7" t="n">
        <v>0</v>
      </c>
      <c r="BD77" s="7" t="n">
        <v>0</v>
      </c>
      <c r="BE77" s="7" t="n">
        <v>0</v>
      </c>
      <c r="BF77" s="7" t="n">
        <v>0</v>
      </c>
      <c r="BG77" s="7" t="n">
        <v>0</v>
      </c>
      <c r="BH77" s="7" t="n">
        <v>0</v>
      </c>
      <c r="BI77" s="7" t="n">
        <v>0</v>
      </c>
      <c r="BJ77" s="7" t="n">
        <v>0</v>
      </c>
      <c r="BK77" s="7" t="n">
        <v>0</v>
      </c>
      <c r="BL77" s="7" t="n">
        <v>0</v>
      </c>
      <c r="BM77" s="7" t="n">
        <v>0</v>
      </c>
      <c r="BN77" s="7" t="n">
        <v>0</v>
      </c>
      <c r="BO77" s="7" t="n">
        <v>0</v>
      </c>
      <c r="BP77" s="7" t="n">
        <v>0</v>
      </c>
      <c r="BQ77" s="7" t="n">
        <v>0</v>
      </c>
      <c r="BR77" s="7" t="n">
        <v>0</v>
      </c>
      <c r="BS77" s="7" t="n">
        <v>0</v>
      </c>
      <c r="BT77" s="7" t="n">
        <v>0</v>
      </c>
      <c r="BU77" s="7" t="n">
        <v>0</v>
      </c>
      <c r="BV77" s="7" t="n">
        <v>0</v>
      </c>
      <c r="BW77" s="7" t="n">
        <v>0</v>
      </c>
      <c r="BX77" s="7" t="n">
        <v>0</v>
      </c>
      <c r="BY77" s="7" t="n">
        <v>0</v>
      </c>
      <c r="BZ77" s="7" t="n">
        <v>0</v>
      </c>
      <c r="CA77" s="7" t="n">
        <v>0</v>
      </c>
      <c r="CB77" s="7" t="n">
        <v>0</v>
      </c>
      <c r="CC77" s="7" t="n">
        <v>0</v>
      </c>
      <c r="CD77" s="7" t="n">
        <v>0</v>
      </c>
      <c r="CE77" s="7" t="n">
        <v>0</v>
      </c>
      <c r="CF77" s="7" t="n">
        <v>0</v>
      </c>
      <c r="CG77" s="7" t="n">
        <v>0</v>
      </c>
      <c r="CH77" s="7" t="n">
        <v>0</v>
      </c>
      <c r="CI77" s="7" t="n">
        <v>0</v>
      </c>
      <c r="CJ77" s="7" t="n">
        <v>0</v>
      </c>
      <c r="CK77" s="38">
        <f>VLOOKUP($B77,'abrasion emissions'!$O$7:$R$36,2,FALSE)</f>
        <v>0.5</v>
      </c>
      <c r="CL77" s="38">
        <f>VLOOKUP($B77,'abrasion emissions'!$O$7:$R$36,3,FALSE)</f>
        <v>0.5</v>
      </c>
      <c r="CM77" s="38">
        <f>VLOOKUP($B77,'abrasion emissions'!$O$7:$R$36,4,FALSE)</f>
        <v>0</v>
      </c>
      <c r="CN77" s="7">
        <f>((SUMIFS('abrasion emissions'!$M$7:$M$34,'abrasion emissions'!$I$7:$I$34,"PM 2.5",'abrasion emissions'!$J$7:$J$34,"urban",'abrasion emissions'!$K$7:$K$34,"Tyre",'abrasion emissions'!$L$7:$L$34,"b")*POWER(('vehicles specifications'!$Q77/1000),(1/SUMIFS('abrasion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specifications'!$P77/1000),(1/SUMIFS('abrasion emissions'!$M$7:$M$34,'abrasion emissions'!$I$7:$I$34,"PM 10",'abrasion emissions'!$J$7:$J$34,"urban",'abrasion emissions'!$K$7:$K$34,"Tyre",'abrasion emissions'!$L$7:$L$34,"c")))))/1000000</f>
        <v>6.0302379501077978E-6</v>
      </c>
      <c r="CO77" s="7">
        <f>((SUMIFS('abrasion emissions'!$M$7:$M$34,'abrasion emissions'!$I$7:$I$34,"PM 2.5",'abrasion emissions'!$J$7:$J$34,"rural",'abrasion emissions'!$K$7:$K$34,"Tyre",'abrasion emissions'!$L$7:$L$34,"b")*POWER(('vehicles specifications'!$Q77/1000),(1/SUMIFS('abrasion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specifications'!$P77/1000),(1/SUMIFS('abrasion emissions'!$M$7:$M$34,'abrasion emissions'!$I$7:$I$34,"PM 10",'abrasion emissions'!$J$7:$J$34,"rural",'abrasion emissions'!$K$7:$K$34,"Tyre",'abrasion emissions'!$L$7:$L$34,"c")))))/1000000</f>
        <v>4.6966277189186894E-6</v>
      </c>
      <c r="CP77" s="7">
        <f>((SUMIFS('abrasion emissions'!$M$7:$M$34,'abrasion emissions'!$I$7:$I$34,"PM 2.5",'abrasion emissions'!$J$7:$J$34,"motorway",'abrasion emissions'!$K$7:$K$34,"Tyre",'abrasion emissions'!$L$7:$L$34,"b")*POWER(('vehicles specifications'!$Q77/1000),(1/SUMIFS('abrasion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specifications'!$P77/1000),(1/SUMIFS('abrasion emissions'!$M$7:$M$34,'abrasion emissions'!$I$7:$I$34,"PM 10",'abrasion emissions'!$J$7:$J$34,"motorway",'abrasion emissions'!$K$7:$K$34,"Tyre",'abrasion emissions'!$L$7:$L$34,"c")))))/1000000</f>
        <v>4.0113736066067123E-6</v>
      </c>
      <c r="CQ77" s="7">
        <f>((SUMIFS('abrasion emissions'!$M$7:$M$34,'abrasion emissions'!$I$7:$I$34,"PM 2.5",'abrasion emissions'!$J$7:$J$34,"urban",'abrasion emissions'!$K$7:$K$34,"Brake",'abrasion emissions'!$L$7:$L$34,"b")*POWER(('vehicles specifications'!$Q77/1000),(1/SUMIFS('abrasion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specifications'!$P77/1000),(1/SUMIFS('abrasion emissions'!$M$7:$M$34,'abrasion emissions'!$I$7:$I$34,"PM 10",'abrasion emissions'!$J$7:$J$34,"urban",'abrasion emissions'!$K$7:$K$34,"Brake",'abrasion emissions'!$L$7:$L$34,"c")))))/1000000</f>
        <v>5.7166375622164958E-6</v>
      </c>
      <c r="CR77" s="7">
        <f>((SUMIFS('abrasion emissions'!$M$7:$M$34,'abrasion emissions'!$I$7:$I$34,"PM 2.5",'abrasion emissions'!$J$7:$J$34,"rural",'abrasion emissions'!$K$7:$K$34,"Brake",'abrasion emissions'!$L$7:$L$34,"b")*POWER(('vehicles specifications'!$Q77/1000),(1/SUMIFS('abrasion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specifications'!$P77/1000),(1/SUMIFS('abrasion emissions'!$M$7:$M$34,'abrasion emissions'!$I$7:$I$34,"PM 10",'abrasion emissions'!$J$7:$J$34,"rural",'abrasion emissions'!$K$7:$K$34,"Brake",'abrasion emissions'!$L$7:$L$34,"c")))))/1000000</f>
        <v>1.8245738187799504E-6</v>
      </c>
      <c r="CS77" s="7">
        <f>((SUMIFS('abrasion emissions'!$M$7:$M$34,'abrasion emissions'!$I$7:$I$34,"PM 2.5",'abrasion emissions'!$J$7:$J$34,"motorway",'abrasion emissions'!$K$7:$K$34,"Brake",'abrasion emissions'!$L$7:$L$34,"b")*POWER(('vehicles specifications'!$Q77/1000),(1/SUMIFS('abrasion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specifications'!$P77/1000),(1/SUMIFS('abrasion emissions'!$M$7:$M$34,'abrasion emissions'!$I$7:$I$34,"PM 10",'abrasion emissions'!$J$7:$J$34,"motorway",'abrasion emissions'!$K$7:$K$34,"Brake",'abrasion emissions'!$L$7:$L$34,"c")))))/1000000</f>
        <v>3.3587210865745027E-7</v>
      </c>
      <c r="CT77" s="7">
        <f>((SUMIFS('abrasion emissions'!$M$7:$M$38,'abrasion emissions'!$I$7:$I$38,"PM 2.5",'abrasion emissions'!$K$7:$K$38,"Re-susp.",'abrasion emissions'!$L$7:$L$38,"b")*POWER(('vehicles specifications'!$Q77/1000),(1/SUMIFS('abrasion emissions'!$M$7:$M$38,'abrasion emissions'!$I$7:$I$38,"PM 2.5",'abrasion emissions'!$K$7:$K$38,"Re-susp.",'abrasion emissions'!$L$7:$L$38,"c"))))+
(SUMIFS('abrasion emissions'!$M$7:$M$38,'abrasion emissions'!$I$7:$I$38,"PM 10",'abrasion emissions'!$K$7:$K$38,"Re-susp.",'abrasion emissions'!$L$7:$L$38,"b")*POWER(('vehicles specifications'!$Q77/1000),(1/SUMIFS('abrasion emissions'!$M$7:$M$38,'abrasion emissions'!$I$7:$I$38,"PM 10",'abrasion emissions'!$K$7:$K$38,"Re-susp.",'abrasion emissions'!$L$7:$L$38,"c")))))/1000000</f>
        <v>3.4491268518680117E-6</v>
      </c>
      <c r="CU77" s="7">
        <f>((SUMIFS('abrasion emissions'!$M$7:$M$38,'abrasion emissions'!$I$7:$I$38,"PM 2.5",'abrasion emissions'!$K$7:$K$38,"Road",'abrasion emissions'!$L$7:$L$38,"b")*POWER(('vehicles specifications'!$Q77/1000),(1/SUMIFS('abrasion emissions'!$M$7:$M$38,'abrasion emissions'!$I$7:$I$38,"PM 2.5",'abrasion emissions'!$K$7:$K$38,"Road",'abrasion emissions'!$L$7:$L$38,"c"))))+
(SUMIFS('abrasion emissions'!$M$7:$M$38,'abrasion emissions'!$I$7:$I$38,"PM 10",'abrasion emissions'!$K$7:$K$38,"Road",'abrasion emissions'!$L$7:$L$38,"b")*POWER(('vehicles specifications'!$Q77/1000),(1/SUMIFS('abrasion emissions'!$M$7:$M$38,'abrasion emissions'!$I$7:$I$38,"PM 10",'abrasion emissions'!$K$7:$K$38,"Road",'abrasion emissions'!$L$7:$L$38,"c")))))/1000000+CT77</f>
        <v>6.7002598724957677E-6</v>
      </c>
      <c r="CV77" s="7">
        <f>(CK77*CN77)+(CL77*CO77)+(CM77*CP77)</f>
        <v>5.363432834513244E-6</v>
      </c>
      <c r="CW77" s="7">
        <f>(CK77*CQ77)+(CL77*CR77)+(CM77*CS77)</f>
        <v>3.7706056904982231E-6</v>
      </c>
    </row>
    <row r="78">
      <c r="A78" t="str">
        <f>B78&amp;" - "&amp;D78&amp;" - "&amp;IF(I78&lt;&gt;"",I78&amp;" - "&amp;E78,E78)</f>
        <v>Scooter, battery electric, &lt;4kW - 2030 - NMC - CH</v>
      </c>
      <c r="B78" t="inlineStr">
        <is>
          <t>Scooter, battery electric, &lt;4kW</t>
        </is>
      </c>
      <c r="D78" s="18" t="n">
        <v>2030</v>
      </c>
      <c r="E78" t="inlineStr">
        <is>
          <t>CH</t>
        </is>
      </c>
      <c r="F78" t="inlineStr">
        <is>
          <t>None</t>
        </is>
      </c>
      <c r="G78" t="inlineStr">
        <is>
          <t>vkm</t>
        </is>
      </c>
      <c r="H78" t="inlineStr">
        <is>
          <t>BEV</t>
        </is>
      </c>
      <c r="I78" t="inlineStr">
        <is>
          <t>NMC</t>
        </is>
      </c>
      <c r="J78" t="n">
        <v>25000</v>
      </c>
      <c r="K78" t="n">
        <v>1570</v>
      </c>
      <c r="L78" s="2">
        <f>J78/K78</f>
        <v>15.923566878980891</v>
      </c>
      <c r="M78" t="n">
        <v>1</v>
      </c>
      <c r="N78" t="n">
        <v>75</v>
      </c>
      <c r="O78" t="n">
        <v>4</v>
      </c>
      <c r="P78" s="2">
        <f>SUM(U78,V78,W78,AC78,AF78,AH78)</f>
        <v>101.14333333333335</v>
      </c>
      <c r="Q78" s="2">
        <f>P78+(M78*N78)+O78</f>
        <v>180.14333333333335</v>
      </c>
      <c r="R78" t="n">
        <v>2.6</v>
      </c>
      <c r="S78" s="2" t="n">
        <v>73</v>
      </c>
      <c r="T78" s="1" t="n">
        <v>0.03</v>
      </c>
      <c r="U78" s="2">
        <f>S78*(1-T78)</f>
        <v>70.81</v>
      </c>
      <c r="V78" t="n">
        <v>5</v>
      </c>
      <c r="W78" t="n">
        <v>8</v>
      </c>
      <c r="X78" s="3" t="n">
        <v>4</v>
      </c>
      <c r="Y78" s="1" t="n">
        <v>0.8</v>
      </c>
      <c r="Z78" s="3">
        <f>Y78*X78</f>
        <v>3.2</v>
      </c>
      <c r="AA78" s="3">
        <f>IF(I78&lt;&gt;"",X78/INDEX('energy battery'!$B$3:$D$6,MATCH('vehicles specifications'!$D78,'energy battery'!$A$3:$A$6,0),MATCH('vehicles specifications'!$I78,'energy battery'!$B$2:$D$2,0)),"")</f>
        <v>13.333333333333334</v>
      </c>
      <c r="AB78" s="3">
        <f>IF(AA78&lt;&gt;"",0.3*AA78,"")</f>
        <v>4</v>
      </c>
      <c r="AC78" s="3">
        <f>IF(AA78&lt;&gt;"",AB78+AA78,"")</f>
        <v>17.333333333333336</v>
      </c>
      <c r="AD78" s="3" t="n">
        <v>0.5</v>
      </c>
      <c r="AE78" s="3" t="n">
        <v>0</v>
      </c>
      <c r="AF78">
        <f>AE78*'fuels and tailpipe emissions'!$B$3</f>
        <v>0</v>
      </c>
      <c r="AG78" t="n">
        <v>0</v>
      </c>
      <c r="AH78" s="3" t="n">
        <v>0</v>
      </c>
      <c r="AI78" s="3" t="n">
        <v>3</v>
      </c>
      <c r="AJ78" s="3" t="n">
        <v>1</v>
      </c>
      <c r="AK78">
        <f>J78/25000</f>
        <v>1</v>
      </c>
      <c r="AL78">
        <f>0.000537/1000*Q78</f>
        <v>9.6736970000000004E-5</v>
      </c>
      <c r="AM78" t="n">
        <v>0.00129</v>
      </c>
      <c r="AN78" s="2">
        <f>U78</f>
        <v>70.81</v>
      </c>
      <c r="AO78" s="2">
        <f>SUM(V78:W78)</f>
        <v>13</v>
      </c>
      <c r="AP78" s="2">
        <f>AC78</f>
        <v>17.333333333333336</v>
      </c>
      <c r="AQ78" s="6" t="inlineStr"/>
      <c r="AR78" s="20" t="n"/>
      <c r="AS78" s="5" t="n">
        <v>0.1334361071081471</v>
      </c>
      <c r="AT78" s="2">
        <f>SUM(Z78,AG78)/(SUM(AQ78,AS78)/3.6)</f>
        <v>86.333453887884261</v>
      </c>
      <c r="AU78" s="5" t="n">
        <v>0</v>
      </c>
      <c r="AV78" s="5" t="n">
        <v>0</v>
      </c>
      <c r="AW78" s="7" t="n">
        <v>0</v>
      </c>
      <c r="AX78" s="7" t="n">
        <v>0</v>
      </c>
      <c r="AY78" s="7" t="n">
        <v>0</v>
      </c>
      <c r="AZ78" s="7" t="n">
        <v>0</v>
      </c>
      <c r="BA78" s="7" t="n">
        <v>0</v>
      </c>
      <c r="BB78" s="7" t="n">
        <v>0</v>
      </c>
      <c r="BC78" s="7" t="n">
        <v>0</v>
      </c>
      <c r="BD78" s="7" t="n">
        <v>0</v>
      </c>
      <c r="BE78" s="7" t="n">
        <v>0</v>
      </c>
      <c r="BF78" s="7" t="n">
        <v>0</v>
      </c>
      <c r="BG78" s="7" t="n">
        <v>0</v>
      </c>
      <c r="BH78" s="7" t="n">
        <v>0</v>
      </c>
      <c r="BI78" s="7" t="n">
        <v>0</v>
      </c>
      <c r="BJ78" s="7" t="n">
        <v>0</v>
      </c>
      <c r="BK78" s="7" t="n">
        <v>0</v>
      </c>
      <c r="BL78" s="7" t="n">
        <v>0</v>
      </c>
      <c r="BM78" s="7" t="n">
        <v>0</v>
      </c>
      <c r="BN78" s="7" t="n">
        <v>0</v>
      </c>
      <c r="BO78" s="7" t="n">
        <v>0</v>
      </c>
      <c r="BP78" s="7" t="n">
        <v>0</v>
      </c>
      <c r="BQ78" s="7" t="n">
        <v>0</v>
      </c>
      <c r="BR78" s="7" t="n">
        <v>0</v>
      </c>
      <c r="BS78" s="7" t="n">
        <v>0</v>
      </c>
      <c r="BT78" s="7" t="n">
        <v>0</v>
      </c>
      <c r="BU78" s="7" t="n">
        <v>0</v>
      </c>
      <c r="BV78" s="7" t="n">
        <v>0</v>
      </c>
      <c r="BW78" s="7" t="n">
        <v>0</v>
      </c>
      <c r="BX78" s="7" t="n">
        <v>0</v>
      </c>
      <c r="BY78" s="7" t="n">
        <v>0</v>
      </c>
      <c r="BZ78" s="7" t="n">
        <v>0</v>
      </c>
      <c r="CA78" s="7" t="n">
        <v>0</v>
      </c>
      <c r="CB78" s="7" t="n">
        <v>0</v>
      </c>
      <c r="CC78" s="7" t="n">
        <v>0</v>
      </c>
      <c r="CD78" s="7" t="n">
        <v>0</v>
      </c>
      <c r="CE78" s="7" t="n">
        <v>0</v>
      </c>
      <c r="CF78" s="7" t="n">
        <v>0</v>
      </c>
      <c r="CG78" s="7" t="n">
        <v>0</v>
      </c>
      <c r="CH78" s="7" t="n">
        <v>0</v>
      </c>
      <c r="CI78" s="7" t="n">
        <v>0</v>
      </c>
      <c r="CJ78" s="7" t="n">
        <v>0</v>
      </c>
      <c r="CK78" s="38">
        <f>VLOOKUP($B78,'abrasion emissions'!$O$7:$R$36,2,FALSE)</f>
        <v>0.5</v>
      </c>
      <c r="CL78" s="38">
        <f>VLOOKUP($B78,'abrasion emissions'!$O$7:$R$36,3,FALSE)</f>
        <v>0.5</v>
      </c>
      <c r="CM78" s="38">
        <f>VLOOKUP($B78,'abrasion emissions'!$O$7:$R$36,4,FALSE)</f>
        <v>0</v>
      </c>
      <c r="CN78" s="7">
        <f>((SUMIFS('abrasion emissions'!$M$7:$M$34,'abrasion emissions'!$I$7:$I$34,"PM 2.5",'abrasion emissions'!$J$7:$J$34,"urban",'abrasion emissions'!$K$7:$K$34,"Tyre",'abrasion emissions'!$L$7:$L$34,"b")*POWER(('vehicles specifications'!$Q78/1000),(1/SUMIFS('abrasion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specifications'!$P78/1000),(1/SUMIFS('abrasion emissions'!$M$7:$M$34,'abrasion emissions'!$I$7:$I$34,"PM 10",'abrasion emissions'!$J$7:$J$34,"urban",'abrasion emissions'!$K$7:$K$34,"Tyre",'abrasion emissions'!$L$7:$L$34,"c")))))/1000000</f>
        <v>6.0338355801970296E-6</v>
      </c>
      <c r="CO78" s="7">
        <f>((SUMIFS('abrasion emissions'!$M$7:$M$34,'abrasion emissions'!$I$7:$I$34,"PM 2.5",'abrasion emissions'!$J$7:$J$34,"rural",'abrasion emissions'!$K$7:$K$34,"Tyre",'abrasion emissions'!$L$7:$L$34,"b")*POWER(('vehicles specifications'!$Q78/1000),(1/SUMIFS('abrasion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specifications'!$P78/1000),(1/SUMIFS('abrasion emissions'!$M$7:$M$34,'abrasion emissions'!$I$7:$I$34,"PM 10",'abrasion emissions'!$J$7:$J$34,"rural",'abrasion emissions'!$K$7:$K$34,"Tyre",'abrasion emissions'!$L$7:$L$34,"c")))))/1000000</f>
        <v>4.6994273868084212E-6</v>
      </c>
      <c r="CP78" s="7">
        <f>((SUMIFS('abrasion emissions'!$M$7:$M$34,'abrasion emissions'!$I$7:$I$34,"PM 2.5",'abrasion emissions'!$J$7:$J$34,"motorway",'abrasion emissions'!$K$7:$K$34,"Tyre",'abrasion emissions'!$L$7:$L$34,"b")*POWER(('vehicles specifications'!$Q78/1000),(1/SUMIFS('abrasion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specifications'!$P78/1000),(1/SUMIFS('abrasion emissions'!$M$7:$M$34,'abrasion emissions'!$I$7:$I$34,"PM 10",'abrasion emissions'!$J$7:$J$34,"motorway",'abrasion emissions'!$K$7:$K$34,"Tyre",'abrasion emissions'!$L$7:$L$34,"c")))))/1000000</f>
        <v>4.0137589397886747E-6</v>
      </c>
      <c r="CQ78" s="7">
        <f>((SUMIFS('abrasion emissions'!$M$7:$M$34,'abrasion emissions'!$I$7:$I$34,"PM 2.5",'abrasion emissions'!$J$7:$J$34,"urban",'abrasion emissions'!$K$7:$K$34,"Brake",'abrasion emissions'!$L$7:$L$34,"b")*POWER(('vehicles specifications'!$Q78/1000),(1/SUMIFS('abrasion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specifications'!$P78/1000),(1/SUMIFS('abrasion emissions'!$M$7:$M$34,'abrasion emissions'!$I$7:$I$34,"PM 10",'abrasion emissions'!$J$7:$J$34,"urban",'abrasion emissions'!$K$7:$K$34,"Brake",'abrasion emissions'!$L$7:$L$34,"c")))))/1000000</f>
        <v>5.7204247980683114E-6</v>
      </c>
      <c r="CR78" s="7">
        <f>((SUMIFS('abrasion emissions'!$M$7:$M$34,'abrasion emissions'!$I$7:$I$34,"PM 2.5",'abrasion emissions'!$J$7:$J$34,"rural",'abrasion emissions'!$K$7:$K$34,"Brake",'abrasion emissions'!$L$7:$L$34,"b")*POWER(('vehicles specifications'!$Q78/1000),(1/SUMIFS('abrasion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specifications'!$P78/1000),(1/SUMIFS('abrasion emissions'!$M$7:$M$34,'abrasion emissions'!$I$7:$I$34,"PM 10",'abrasion emissions'!$J$7:$J$34,"rural",'abrasion emissions'!$K$7:$K$34,"Brake",'abrasion emissions'!$L$7:$L$34,"c")))))/1000000</f>
        <v>1.8260990637650822E-6</v>
      </c>
      <c r="CS78" s="7">
        <f>((SUMIFS('abrasion emissions'!$M$7:$M$34,'abrasion emissions'!$I$7:$I$34,"PM 2.5",'abrasion emissions'!$J$7:$J$34,"motorway",'abrasion emissions'!$K$7:$K$34,"Brake",'abrasion emissions'!$L$7:$L$34,"b")*POWER(('vehicles specifications'!$Q78/1000),(1/SUMIFS('abrasion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specifications'!$P78/1000),(1/SUMIFS('abrasion emissions'!$M$7:$M$34,'abrasion emissions'!$I$7:$I$34,"PM 10",'abrasion emissions'!$J$7:$J$34,"motorway",'abrasion emissions'!$K$7:$K$34,"Brake",'abrasion emissions'!$L$7:$L$34,"c")))))/1000000</f>
        <v>3.3619396955925133E-7</v>
      </c>
      <c r="CT78" s="7">
        <f>((SUMIFS('abrasion emissions'!$M$7:$M$38,'abrasion emissions'!$I$7:$I$38,"PM 2.5",'abrasion emissions'!$K$7:$K$38,"Re-susp.",'abrasion emissions'!$L$7:$L$38,"b")*POWER(('vehicles specifications'!$Q78/1000),(1/SUMIFS('abrasion emissions'!$M$7:$M$38,'abrasion emissions'!$I$7:$I$38,"PM 2.5",'abrasion emissions'!$K$7:$K$38,"Re-susp.",'abrasion emissions'!$L$7:$L$38,"c"))))+
(SUMIFS('abrasion emissions'!$M$7:$M$38,'abrasion emissions'!$I$7:$I$38,"PM 10",'abrasion emissions'!$K$7:$K$38,"Re-susp.",'abrasion emissions'!$L$7:$L$38,"b")*POWER(('vehicles specifications'!$Q78/1000),(1/SUMIFS('abrasion emissions'!$M$7:$M$38,'abrasion emissions'!$I$7:$I$38,"PM 10",'abrasion emissions'!$K$7:$K$38,"Re-susp.",'abrasion emissions'!$L$7:$L$38,"c")))))/1000000</f>
        <v>3.4524954574872454E-6</v>
      </c>
      <c r="CU78" s="7">
        <f>((SUMIFS('abrasion emissions'!$M$7:$M$38,'abrasion emissions'!$I$7:$I$38,"PM 2.5",'abrasion emissions'!$K$7:$K$38,"Road",'abrasion emissions'!$L$7:$L$38,"b")*POWER(('vehicles specifications'!$Q78/1000),(1/SUMIFS('abrasion emissions'!$M$7:$M$38,'abrasion emissions'!$I$7:$I$38,"PM 2.5",'abrasion emissions'!$K$7:$K$38,"Road",'abrasion emissions'!$L$7:$L$38,"c"))))+
(SUMIFS('abrasion emissions'!$M$7:$M$38,'abrasion emissions'!$I$7:$I$38,"PM 10",'abrasion emissions'!$K$7:$K$38,"Road",'abrasion emissions'!$L$7:$L$38,"b")*POWER(('vehicles specifications'!$Q78/1000),(1/SUMIFS('abrasion emissions'!$M$7:$M$38,'abrasion emissions'!$I$7:$I$38,"PM 10",'abrasion emissions'!$K$7:$K$38,"Road",'abrasion emissions'!$L$7:$L$38,"c")))))/1000000+CT78</f>
        <v>6.7059566799777275E-6</v>
      </c>
      <c r="CV78" s="7">
        <f>(CK78*CN78)+(CL78*CO78)+(CM78*CP78)</f>
        <v>5.3666314835027254E-6</v>
      </c>
      <c r="CW78" s="7">
        <f>(CK78*CQ78)+(CL78*CR78)+(CM78*CS78)</f>
        <v>3.7732619309166969E-6</v>
      </c>
    </row>
    <row r="79">
      <c r="A79" t="str">
        <f>B79&amp;" - "&amp;D79&amp;" - "&amp;IF(I79&lt;&gt;"",I79&amp;" - "&amp;E79,E79)</f>
        <v>Scooter, battery electric, &lt;4kW - 2040 - NMC - CH</v>
      </c>
      <c r="B79" t="inlineStr">
        <is>
          <t>Scooter, battery electric, &lt;4kW</t>
        </is>
      </c>
      <c r="D79" s="18" t="n">
        <v>2040</v>
      </c>
      <c r="E79" t="inlineStr">
        <is>
          <t>CH</t>
        </is>
      </c>
      <c r="F79" t="inlineStr">
        <is>
          <t>None</t>
        </is>
      </c>
      <c r="G79" t="inlineStr">
        <is>
          <t>vkm</t>
        </is>
      </c>
      <c r="H79" t="inlineStr">
        <is>
          <t>BEV</t>
        </is>
      </c>
      <c r="I79" t="inlineStr">
        <is>
          <t>NMC</t>
        </is>
      </c>
      <c r="J79" t="n">
        <v>25000</v>
      </c>
      <c r="K79" t="n">
        <v>1570</v>
      </c>
      <c r="L79" s="2">
        <f>J79/K79</f>
        <v>15.923566878980891</v>
      </c>
      <c r="M79" t="n">
        <v>1</v>
      </c>
      <c r="N79" t="n">
        <v>75</v>
      </c>
      <c r="O79" t="n">
        <v>4</v>
      </c>
      <c r="P79" s="2">
        <f>SUM(U79,V79,W79,AC79,AF79,AH79)</f>
        <v>101.19999999999999</v>
      </c>
      <c r="Q79" s="2">
        <f>P79+(M79*N79)+O79</f>
        <v>180.2</v>
      </c>
      <c r="R79" t="n">
        <v>2.6</v>
      </c>
      <c r="S79" s="2" t="n">
        <v>73</v>
      </c>
      <c r="T79" s="1" t="n">
        <v>0.05</v>
      </c>
      <c r="U79" s="2">
        <f>S79*(1-T79)</f>
        <v>69.349999999999994</v>
      </c>
      <c r="V79" t="n">
        <v>5</v>
      </c>
      <c r="W79" t="n">
        <v>8</v>
      </c>
      <c r="X79" s="3" t="n">
        <v>5.8</v>
      </c>
      <c r="Y79" s="1" t="n">
        <v>0.8</v>
      </c>
      <c r="Z79" s="3">
        <f>Y79*X79</f>
        <v>4.6399999999999997</v>
      </c>
      <c r="AA79" s="3">
        <f>IF(I79&lt;&gt;"",X79/INDEX('energy battery'!$B$3:$D$6,MATCH('vehicles specifications'!$D79,'energy battery'!$A$3:$A$6,0),MATCH('vehicles specifications'!$I79,'energy battery'!$B$2:$D$2,0)),"")</f>
        <v>14.499999999999998</v>
      </c>
      <c r="AB79" s="3">
        <f>IF(AA79&lt;&gt;"",0.3*AA79,"")</f>
        <v>4.3499999999999996</v>
      </c>
      <c r="AC79" s="3">
        <f>IF(AA79&lt;&gt;"",AB79+AA79,"")</f>
        <v>18.849999999999998</v>
      </c>
      <c r="AD79" s="3" t="n">
        <v>0.25</v>
      </c>
      <c r="AE79" s="3" t="n">
        <v>0</v>
      </c>
      <c r="AF79">
        <f>AE79*'fuels and tailpipe emissions'!$B$3</f>
        <v>0</v>
      </c>
      <c r="AG79" t="n">
        <v>0</v>
      </c>
      <c r="AH79" s="3" t="n">
        <v>0</v>
      </c>
      <c r="AI79" s="3" t="n">
        <v>3</v>
      </c>
      <c r="AJ79" s="3" t="n">
        <v>1</v>
      </c>
      <c r="AK79">
        <f>J79/25000</f>
        <v>1</v>
      </c>
      <c r="AL79">
        <f>0.000537/1000*Q79</f>
        <v>9.6767399999999991E-5</v>
      </c>
      <c r="AM79" t="n">
        <v>0.00129</v>
      </c>
      <c r="AN79" s="2">
        <f>U79</f>
        <v>69.349999999999994</v>
      </c>
      <c r="AO79" s="2">
        <f>SUM(V79:W79)</f>
        <v>13</v>
      </c>
      <c r="AP79" s="2">
        <f>AC79</f>
        <v>18.849999999999998</v>
      </c>
      <c r="AQ79" s="6" t="inlineStr"/>
      <c r="AR79" s="20" t="n"/>
      <c r="AS79" s="5" t="n">
        <v>0.1334361071081471</v>
      </c>
      <c r="AT79" s="2">
        <f>SUM(Z79,AG79)/(SUM(AQ79,AS79)/3.6)</f>
        <v>125.18350813743217</v>
      </c>
      <c r="AU79" s="5" t="n">
        <v>0</v>
      </c>
      <c r="AV79" s="5" t="n">
        <v>0</v>
      </c>
      <c r="AW79" s="7" t="n">
        <v>0</v>
      </c>
      <c r="AX79" s="7" t="n">
        <v>0</v>
      </c>
      <c r="AY79" s="7" t="n">
        <v>0</v>
      </c>
      <c r="AZ79" s="7" t="n">
        <v>0</v>
      </c>
      <c r="BA79" s="7" t="n">
        <v>0</v>
      </c>
      <c r="BB79" s="7" t="n">
        <v>0</v>
      </c>
      <c r="BC79" s="7" t="n">
        <v>0</v>
      </c>
      <c r="BD79" s="7" t="n">
        <v>0</v>
      </c>
      <c r="BE79" s="7" t="n">
        <v>0</v>
      </c>
      <c r="BF79" s="7" t="n">
        <v>0</v>
      </c>
      <c r="BG79" s="7" t="n">
        <v>0</v>
      </c>
      <c r="BH79" s="7" t="n">
        <v>0</v>
      </c>
      <c r="BI79" s="7" t="n">
        <v>0</v>
      </c>
      <c r="BJ79" s="7" t="n">
        <v>0</v>
      </c>
      <c r="BK79" s="7" t="n">
        <v>0</v>
      </c>
      <c r="BL79" s="7" t="n">
        <v>0</v>
      </c>
      <c r="BM79" s="7" t="n">
        <v>0</v>
      </c>
      <c r="BN79" s="7" t="n">
        <v>0</v>
      </c>
      <c r="BO79" s="7" t="n">
        <v>0</v>
      </c>
      <c r="BP79" s="7" t="n">
        <v>0</v>
      </c>
      <c r="BQ79" s="7" t="n">
        <v>0</v>
      </c>
      <c r="BR79" s="7" t="n">
        <v>0</v>
      </c>
      <c r="BS79" s="7" t="n">
        <v>0</v>
      </c>
      <c r="BT79" s="7" t="n">
        <v>0</v>
      </c>
      <c r="BU79" s="7" t="n">
        <v>0</v>
      </c>
      <c r="BV79" s="7" t="n">
        <v>0</v>
      </c>
      <c r="BW79" s="7" t="n">
        <v>0</v>
      </c>
      <c r="BX79" s="7" t="n">
        <v>0</v>
      </c>
      <c r="BY79" s="7" t="n">
        <v>0</v>
      </c>
      <c r="BZ79" s="7" t="n">
        <v>0</v>
      </c>
      <c r="CA79" s="7" t="n">
        <v>0</v>
      </c>
      <c r="CB79" s="7" t="n">
        <v>0</v>
      </c>
      <c r="CC79" s="7" t="n">
        <v>0</v>
      </c>
      <c r="CD79" s="7" t="n">
        <v>0</v>
      </c>
      <c r="CE79" s="7" t="n">
        <v>0</v>
      </c>
      <c r="CF79" s="7" t="n">
        <v>0</v>
      </c>
      <c r="CG79" s="7" t="n">
        <v>0</v>
      </c>
      <c r="CH79" s="7" t="n">
        <v>0</v>
      </c>
      <c r="CI79" s="7" t="n">
        <v>0</v>
      </c>
      <c r="CJ79" s="7" t="n">
        <v>0</v>
      </c>
      <c r="CK79" s="38">
        <f>VLOOKUP($B79,'abrasion emissions'!$O$7:$R$36,2,FALSE)</f>
        <v>0.5</v>
      </c>
      <c r="CL79" s="38">
        <f>VLOOKUP($B79,'abrasion emissions'!$O$7:$R$36,3,FALSE)</f>
        <v>0.5</v>
      </c>
      <c r="CM79" s="38">
        <f>VLOOKUP($B79,'abrasion emissions'!$O$7:$R$36,4,FALSE)</f>
        <v>0</v>
      </c>
      <c r="CN79" s="7">
        <f>((SUMIFS('abrasion emissions'!$M$7:$M$34,'abrasion emissions'!$I$7:$I$34,"PM 2.5",'abrasion emissions'!$J$7:$J$34,"urban",'abrasion emissions'!$K$7:$K$34,"Tyre",'abrasion emissions'!$L$7:$L$34,"b")*POWER(('vehicles specifications'!$Q79/1000),(1/SUMIFS('abrasion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specifications'!$P79/1000),(1/SUMIFS('abrasion emissions'!$M$7:$M$34,'abrasion emissions'!$I$7:$I$34,"PM 10",'abrasion emissions'!$J$7:$J$34,"urban",'abrasion emissions'!$K$7:$K$34,"Tyre",'abrasion emissions'!$L$7:$L$34,"c")))))/1000000</f>
        <v>6.0348894844222866E-6</v>
      </c>
      <c r="CO79" s="7">
        <f>((SUMIFS('abrasion emissions'!$M$7:$M$34,'abrasion emissions'!$I$7:$I$34,"PM 2.5",'abrasion emissions'!$J$7:$J$34,"rural",'abrasion emissions'!$K$7:$K$34,"Tyre",'abrasion emissions'!$L$7:$L$34,"b")*POWER(('vehicles specifications'!$Q79/1000),(1/SUMIFS('abrasion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specifications'!$P79/1000),(1/SUMIFS('abrasion emissions'!$M$7:$M$34,'abrasion emissions'!$I$7:$I$34,"PM 10",'abrasion emissions'!$J$7:$J$34,"rural",'abrasion emissions'!$K$7:$K$34,"Tyre",'abrasion emissions'!$L$7:$L$34,"c")))))/1000000</f>
        <v>4.700247533151778E-6</v>
      </c>
      <c r="CP79" s="7">
        <f>((SUMIFS('abrasion emissions'!$M$7:$M$34,'abrasion emissions'!$I$7:$I$34,"PM 2.5",'abrasion emissions'!$J$7:$J$34,"motorway",'abrasion emissions'!$K$7:$K$34,"Tyre",'abrasion emissions'!$L$7:$L$34,"b")*POWER(('vehicles specifications'!$Q79/1000),(1/SUMIFS('abrasion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specifications'!$P79/1000),(1/SUMIFS('abrasion emissions'!$M$7:$M$34,'abrasion emissions'!$I$7:$I$34,"PM 10",'abrasion emissions'!$J$7:$J$34,"motorway",'abrasion emissions'!$K$7:$K$34,"Tyre",'abrasion emissions'!$L$7:$L$34,"c")))))/1000000</f>
        <v>4.0144577101396914E-6</v>
      </c>
      <c r="CQ79" s="7">
        <f>((SUMIFS('abrasion emissions'!$M$7:$M$34,'abrasion emissions'!$I$7:$I$34,"PM 2.5",'abrasion emissions'!$J$7:$J$34,"urban",'abrasion emissions'!$K$7:$K$34,"Brake",'abrasion emissions'!$L$7:$L$34,"b")*POWER(('vehicles specifications'!$Q79/1000),(1/SUMIFS('abrasion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specifications'!$P79/1000),(1/SUMIFS('abrasion emissions'!$M$7:$M$34,'abrasion emissions'!$I$7:$I$34,"PM 10",'abrasion emissions'!$J$7:$J$34,"urban",'abrasion emissions'!$K$7:$K$34,"Brake",'abrasion emissions'!$L$7:$L$34,"c")))))/1000000</f>
        <v>5.7215343897793968E-6</v>
      </c>
      <c r="CR79" s="7">
        <f>((SUMIFS('abrasion emissions'!$M$7:$M$34,'abrasion emissions'!$I$7:$I$34,"PM 2.5",'abrasion emissions'!$J$7:$J$34,"rural",'abrasion emissions'!$K$7:$K$34,"Brake",'abrasion emissions'!$L$7:$L$34,"b")*POWER(('vehicles specifications'!$Q79/1000),(1/SUMIFS('abrasion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specifications'!$P79/1000),(1/SUMIFS('abrasion emissions'!$M$7:$M$34,'abrasion emissions'!$I$7:$I$34,"PM 10",'abrasion emissions'!$J$7:$J$34,"rural",'abrasion emissions'!$K$7:$K$34,"Brake",'abrasion emissions'!$L$7:$L$34,"c")))))/1000000</f>
        <v>1.8265459885239875E-6</v>
      </c>
      <c r="CS79" s="7">
        <f>((SUMIFS('abrasion emissions'!$M$7:$M$34,'abrasion emissions'!$I$7:$I$34,"PM 2.5",'abrasion emissions'!$J$7:$J$34,"motorway",'abrasion emissions'!$K$7:$K$34,"Brake",'abrasion emissions'!$L$7:$L$34,"b")*POWER(('vehicles specifications'!$Q79/1000),(1/SUMIFS('abrasion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specifications'!$P79/1000),(1/SUMIFS('abrasion emissions'!$M$7:$M$34,'abrasion emissions'!$I$7:$I$34,"PM 10",'abrasion emissions'!$J$7:$J$34,"motorway",'abrasion emissions'!$K$7:$K$34,"Brake",'abrasion emissions'!$L$7:$L$34,"c")))))/1000000</f>
        <v>3.3628828928725343E-7</v>
      </c>
      <c r="CT79" s="7">
        <f>((SUMIFS('abrasion emissions'!$M$7:$M$38,'abrasion emissions'!$I$7:$I$38,"PM 2.5",'abrasion emissions'!$K$7:$K$38,"Re-susp.",'abrasion emissions'!$L$7:$L$38,"b")*POWER(('vehicles specifications'!$Q79/1000),(1/SUMIFS('abrasion emissions'!$M$7:$M$38,'abrasion emissions'!$I$7:$I$38,"PM 2.5",'abrasion emissions'!$K$7:$K$38,"Re-susp.",'abrasion emissions'!$L$7:$L$38,"c"))))+
(SUMIFS('abrasion emissions'!$M$7:$M$38,'abrasion emissions'!$I$7:$I$38,"PM 10",'abrasion emissions'!$K$7:$K$38,"Re-susp.",'abrasion emissions'!$L$7:$L$38,"b")*POWER(('vehicles specifications'!$Q79/1000),(1/SUMIFS('abrasion emissions'!$M$7:$M$38,'abrasion emissions'!$I$7:$I$38,"PM 10",'abrasion emissions'!$K$7:$K$38,"Re-susp.",'abrasion emissions'!$L$7:$L$38,"c")))))/1000000</f>
        <v>3.4534827451128693E-6</v>
      </c>
      <c r="CU79" s="7">
        <f>((SUMIFS('abrasion emissions'!$M$7:$M$38,'abrasion emissions'!$I$7:$I$38,"PM 2.5",'abrasion emissions'!$K$7:$K$38,"Road",'abrasion emissions'!$L$7:$L$38,"b")*POWER(('vehicles specifications'!$Q79/1000),(1/SUMIFS('abrasion emissions'!$M$7:$M$38,'abrasion emissions'!$I$7:$I$38,"PM 2.5",'abrasion emissions'!$K$7:$K$38,"Road",'abrasion emissions'!$L$7:$L$38,"c"))))+
(SUMIFS('abrasion emissions'!$M$7:$M$38,'abrasion emissions'!$I$7:$I$38,"PM 10",'abrasion emissions'!$K$7:$K$38,"Road",'abrasion emissions'!$L$7:$L$38,"b")*POWER(('vehicles specifications'!$Q79/1000),(1/SUMIFS('abrasion emissions'!$M$7:$M$38,'abrasion emissions'!$I$7:$I$38,"PM 10",'abrasion emissions'!$K$7:$K$38,"Road",'abrasion emissions'!$L$7:$L$38,"c")))))/1000000+CT79</f>
        <v>6.7076262137343895E-6</v>
      </c>
      <c r="CV79" s="7">
        <f>(CK79*CN79)+(CL79*CO79)+(CM79*CP79)</f>
        <v>5.3675685087870323E-6</v>
      </c>
      <c r="CW79" s="7">
        <f>(CK79*CQ79)+(CL79*CR79)+(CM79*CS79)</f>
        <v>3.7740401891516924E-6</v>
      </c>
    </row>
    <row r="80">
      <c r="A80" t="str">
        <f>B80&amp;" - "&amp;D80&amp;" - "&amp;IF(I80&lt;&gt;"",I80&amp;" - "&amp;E80,E80)</f>
        <v>Scooter, battery electric, &lt;4kW - 2050 - NMC - CH</v>
      </c>
      <c r="B80" t="inlineStr">
        <is>
          <t>Scooter, battery electric, &lt;4kW</t>
        </is>
      </c>
      <c r="D80" s="18" t="n">
        <v>2050</v>
      </c>
      <c r="E80" t="inlineStr">
        <is>
          <t>CH</t>
        </is>
      </c>
      <c r="F80" t="inlineStr">
        <is>
          <t>None</t>
        </is>
      </c>
      <c r="G80" t="inlineStr">
        <is>
          <t>vkm</t>
        </is>
      </c>
      <c r="H80" t="inlineStr">
        <is>
          <t>BEV</t>
        </is>
      </c>
      <c r="I80" t="inlineStr">
        <is>
          <t>NMC</t>
        </is>
      </c>
      <c r="J80" t="n">
        <v>25000</v>
      </c>
      <c r="K80" t="n">
        <v>1570</v>
      </c>
      <c r="L80" s="2">
        <f>J80/K80</f>
        <v>15.923566878980891</v>
      </c>
      <c r="M80" t="n">
        <v>1</v>
      </c>
      <c r="N80" t="n">
        <v>75</v>
      </c>
      <c r="O80" t="n">
        <v>4</v>
      </c>
      <c r="P80" s="2">
        <f>SUM(U80,V80,W80,AC80,AF80,AH80)</f>
        <v>101.69</v>
      </c>
      <c r="Q80" s="2">
        <f>P80+(M80*N80)+O80</f>
        <v>180.69</v>
      </c>
      <c r="R80" t="n">
        <v>2.6</v>
      </c>
      <c r="S80" s="2" t="n">
        <v>73</v>
      </c>
      <c r="T80" s="1" t="n">
        <v>0.07000000000000001</v>
      </c>
      <c r="U80" s="2">
        <f>S80*(1-T80)</f>
        <v>67.89</v>
      </c>
      <c r="V80" t="n">
        <v>5</v>
      </c>
      <c r="W80" t="n">
        <v>8</v>
      </c>
      <c r="X80" s="3" t="n">
        <v>8</v>
      </c>
      <c r="Y80" s="1" t="n">
        <v>0.8</v>
      </c>
      <c r="Z80" s="3">
        <f>Y80*X80</f>
        <v>6.4</v>
      </c>
      <c r="AA80" s="3">
        <f>IF(I80&lt;&gt;"",X80/INDEX('energy battery'!$B$3:$D$6,MATCH('vehicles specifications'!$D80,'energy battery'!$A$3:$A$6,0),MATCH('vehicles specifications'!$I80,'energy battery'!$B$2:$D$2,0)),"")</f>
        <v>16</v>
      </c>
      <c r="AB80" s="3">
        <f>IF(AA80&lt;&gt;"",0.3*AA80,"")</f>
        <v>4.8</v>
      </c>
      <c r="AC80" s="3">
        <f>IF(AA80&lt;&gt;"",AB80+AA80,"")</f>
        <v>20.8</v>
      </c>
      <c r="AD80" s="3" t="n">
        <v>0</v>
      </c>
      <c r="AE80" s="3" t="n">
        <v>0</v>
      </c>
      <c r="AF80">
        <f>AE80*'fuels and tailpipe emissions'!$B$3</f>
        <v>0</v>
      </c>
      <c r="AG80" t="n">
        <v>0</v>
      </c>
      <c r="AH80" s="3" t="n">
        <v>0</v>
      </c>
      <c r="AI80" s="3" t="n">
        <v>3</v>
      </c>
      <c r="AJ80" s="3" t="n">
        <v>1</v>
      </c>
      <c r="AK80">
        <f>J80/25000</f>
        <v>1</v>
      </c>
      <c r="AL80">
        <f>0.000537/1000*Q80</f>
        <v>9.7030529999999994E-5</v>
      </c>
      <c r="AM80" t="n">
        <v>0.00129</v>
      </c>
      <c r="AN80" s="2">
        <f>U80</f>
        <v>67.89</v>
      </c>
      <c r="AO80" s="2">
        <f>SUM(V80:W80)</f>
        <v>13</v>
      </c>
      <c r="AP80" s="2">
        <f>AC80</f>
        <v>20.8</v>
      </c>
      <c r="AQ80" s="6" t="inlineStr"/>
      <c r="AR80" s="20" t="n"/>
      <c r="AS80" s="5" t="n">
        <v>0.1334361071081471</v>
      </c>
      <c r="AT80" s="2">
        <f>SUM(Z80,AG80)/(SUM(AQ80,AS80)/3.6)</f>
        <v>172.66690777576852</v>
      </c>
      <c r="AU80" s="5" t="n">
        <v>0</v>
      </c>
      <c r="AV80" s="5" t="n">
        <v>0</v>
      </c>
      <c r="AW80" s="7" t="n">
        <v>0</v>
      </c>
      <c r="AX80" s="7" t="n">
        <v>0</v>
      </c>
      <c r="AY80" s="7" t="n">
        <v>0</v>
      </c>
      <c r="AZ80" s="7" t="n">
        <v>0</v>
      </c>
      <c r="BA80" s="7" t="n">
        <v>0</v>
      </c>
      <c r="BB80" s="7" t="n">
        <v>0</v>
      </c>
      <c r="BC80" s="7" t="n">
        <v>0</v>
      </c>
      <c r="BD80" s="7" t="n">
        <v>0</v>
      </c>
      <c r="BE80" s="7" t="n">
        <v>0</v>
      </c>
      <c r="BF80" s="7" t="n">
        <v>0</v>
      </c>
      <c r="BG80" s="7" t="n">
        <v>0</v>
      </c>
      <c r="BH80" s="7" t="n">
        <v>0</v>
      </c>
      <c r="BI80" s="7" t="n">
        <v>0</v>
      </c>
      <c r="BJ80" s="7" t="n">
        <v>0</v>
      </c>
      <c r="BK80" s="7" t="n">
        <v>0</v>
      </c>
      <c r="BL80" s="7" t="n">
        <v>0</v>
      </c>
      <c r="BM80" s="7" t="n">
        <v>0</v>
      </c>
      <c r="BN80" s="7" t="n">
        <v>0</v>
      </c>
      <c r="BO80" s="7" t="n">
        <v>0</v>
      </c>
      <c r="BP80" s="7" t="n">
        <v>0</v>
      </c>
      <c r="BQ80" s="7" t="n">
        <v>0</v>
      </c>
      <c r="BR80" s="7" t="n">
        <v>0</v>
      </c>
      <c r="BS80" s="7" t="n">
        <v>0</v>
      </c>
      <c r="BT80" s="7" t="n">
        <v>0</v>
      </c>
      <c r="BU80" s="7" t="n">
        <v>0</v>
      </c>
      <c r="BV80" s="7" t="n">
        <v>0</v>
      </c>
      <c r="BW80" s="7" t="n">
        <v>0</v>
      </c>
      <c r="BX80" s="7" t="n">
        <v>0</v>
      </c>
      <c r="BY80" s="7" t="n">
        <v>0</v>
      </c>
      <c r="BZ80" s="7" t="n">
        <v>0</v>
      </c>
      <c r="CA80" s="7" t="n">
        <v>0</v>
      </c>
      <c r="CB80" s="7" t="n">
        <v>0</v>
      </c>
      <c r="CC80" s="7" t="n">
        <v>0</v>
      </c>
      <c r="CD80" s="7" t="n">
        <v>0</v>
      </c>
      <c r="CE80" s="7" t="n">
        <v>0</v>
      </c>
      <c r="CF80" s="7" t="n">
        <v>0</v>
      </c>
      <c r="CG80" s="7" t="n">
        <v>0</v>
      </c>
      <c r="CH80" s="7" t="n">
        <v>0</v>
      </c>
      <c r="CI80" s="7" t="n">
        <v>0</v>
      </c>
      <c r="CJ80" s="7" t="n">
        <v>0</v>
      </c>
      <c r="CK80" s="38">
        <f>VLOOKUP($B80,'abrasion emissions'!$O$7:$R$36,2,FALSE)</f>
        <v>0.5</v>
      </c>
      <c r="CL80" s="38">
        <f>VLOOKUP($B80,'abrasion emissions'!$O$7:$R$36,3,FALSE)</f>
        <v>0.5</v>
      </c>
      <c r="CM80" s="38">
        <f>VLOOKUP($B80,'abrasion emissions'!$O$7:$R$36,4,FALSE)</f>
        <v>0</v>
      </c>
      <c r="CN80" s="7">
        <f>((SUMIFS('abrasion emissions'!$M$7:$M$34,'abrasion emissions'!$I$7:$I$34,"PM 2.5",'abrasion emissions'!$J$7:$J$34,"urban",'abrasion emissions'!$K$7:$K$34,"Tyre",'abrasion emissions'!$L$7:$L$34,"b")*POWER(('vehicles specifications'!$Q80/1000),(1/SUMIFS('abrasion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specifications'!$P80/1000),(1/SUMIFS('abrasion emissions'!$M$7:$M$34,'abrasion emissions'!$I$7:$I$34,"PM 10",'abrasion emissions'!$J$7:$J$34,"urban",'abrasion emissions'!$K$7:$K$34,"Tyre",'abrasion emissions'!$L$7:$L$34,"c")))))/1000000</f>
        <v>6.0439918459390894E-6</v>
      </c>
      <c r="CO80" s="7">
        <f>((SUMIFS('abrasion emissions'!$M$7:$M$34,'abrasion emissions'!$I$7:$I$34,"PM 2.5",'abrasion emissions'!$J$7:$J$34,"rural",'abrasion emissions'!$K$7:$K$34,"Tyre",'abrasion emissions'!$L$7:$L$34,"b")*POWER(('vehicles specifications'!$Q80/1000),(1/SUMIFS('abrasion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specifications'!$P80/1000),(1/SUMIFS('abrasion emissions'!$M$7:$M$34,'abrasion emissions'!$I$7:$I$34,"PM 10",'abrasion emissions'!$J$7:$J$34,"rural",'abrasion emissions'!$K$7:$K$34,"Tyre",'abrasion emissions'!$L$7:$L$34,"c")))))/1000000</f>
        <v>4.7073309812868793E-6</v>
      </c>
      <c r="CP80" s="7">
        <f>((SUMIFS('abrasion emissions'!$M$7:$M$34,'abrasion emissions'!$I$7:$I$34,"PM 2.5",'abrasion emissions'!$J$7:$J$34,"motorway",'abrasion emissions'!$K$7:$K$34,"Tyre",'abrasion emissions'!$L$7:$L$34,"b")*POWER(('vehicles specifications'!$Q80/1000),(1/SUMIFS('abrasion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specifications'!$P80/1000),(1/SUMIFS('abrasion emissions'!$M$7:$M$34,'abrasion emissions'!$I$7:$I$34,"PM 10",'abrasion emissions'!$J$7:$J$34,"motorway",'abrasion emissions'!$K$7:$K$34,"Tyre",'abrasion emissions'!$L$7:$L$34,"c")))))/1000000</f>
        <v>4.0204928745385546E-6</v>
      </c>
      <c r="CQ80" s="7">
        <f>((SUMIFS('abrasion emissions'!$M$7:$M$34,'abrasion emissions'!$I$7:$I$34,"PM 2.5",'abrasion emissions'!$J$7:$J$34,"urban",'abrasion emissions'!$K$7:$K$34,"Brake",'abrasion emissions'!$L$7:$L$34,"b")*POWER(('vehicles specifications'!$Q80/1000),(1/SUMIFS('abrasion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specifications'!$P80/1000),(1/SUMIFS('abrasion emissions'!$M$7:$M$34,'abrasion emissions'!$I$7:$I$34,"PM 10",'abrasion emissions'!$J$7:$J$34,"urban",'abrasion emissions'!$K$7:$K$34,"Brake",'abrasion emissions'!$L$7:$L$34,"c")))))/1000000</f>
        <v>5.7311204174179531E-6</v>
      </c>
      <c r="CR80" s="7">
        <f>((SUMIFS('abrasion emissions'!$M$7:$M$34,'abrasion emissions'!$I$7:$I$34,"PM 2.5",'abrasion emissions'!$J$7:$J$34,"rural",'abrasion emissions'!$K$7:$K$34,"Brake",'abrasion emissions'!$L$7:$L$34,"b")*POWER(('vehicles specifications'!$Q80/1000),(1/SUMIFS('abrasion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specifications'!$P80/1000),(1/SUMIFS('abrasion emissions'!$M$7:$M$34,'abrasion emissions'!$I$7:$I$34,"PM 10",'abrasion emissions'!$J$7:$J$34,"rural",'abrasion emissions'!$K$7:$K$34,"Brake",'abrasion emissions'!$L$7:$L$34,"c")))))/1000000</f>
        <v>1.8304081248953728E-6</v>
      </c>
      <c r="CS80" s="7">
        <f>((SUMIFS('abrasion emissions'!$M$7:$M$34,'abrasion emissions'!$I$7:$I$34,"PM 2.5",'abrasion emissions'!$J$7:$J$34,"motorway",'abrasion emissions'!$K$7:$K$34,"Brake",'abrasion emissions'!$L$7:$L$34,"b")*POWER(('vehicles specifications'!$Q80/1000),(1/SUMIFS('abrasion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specifications'!$P80/1000),(1/SUMIFS('abrasion emissions'!$M$7:$M$34,'abrasion emissions'!$I$7:$I$34,"PM 10",'abrasion emissions'!$J$7:$J$34,"motorway",'abrasion emissions'!$K$7:$K$34,"Brake",'abrasion emissions'!$L$7:$L$34,"c")))))/1000000</f>
        <v>3.3710352262607904E-7</v>
      </c>
      <c r="CT80" s="7">
        <f>((SUMIFS('abrasion emissions'!$M$7:$M$38,'abrasion emissions'!$I$7:$I$38,"PM 2.5",'abrasion emissions'!$K$7:$K$38,"Re-susp.",'abrasion emissions'!$L$7:$L$38,"b")*POWER(('vehicles specifications'!$Q80/1000),(1/SUMIFS('abrasion emissions'!$M$7:$M$38,'abrasion emissions'!$I$7:$I$38,"PM 2.5",'abrasion emissions'!$K$7:$K$38,"Re-susp.",'abrasion emissions'!$L$7:$L$38,"c"))))+
(SUMIFS('abrasion emissions'!$M$7:$M$38,'abrasion emissions'!$I$7:$I$38,"PM 10",'abrasion emissions'!$K$7:$K$38,"Re-susp.",'abrasion emissions'!$L$7:$L$38,"b")*POWER(('vehicles specifications'!$Q80/1000),(1/SUMIFS('abrasion emissions'!$M$7:$M$38,'abrasion emissions'!$I$7:$I$38,"PM 10",'abrasion emissions'!$K$7:$K$38,"Re-susp.",'abrasion emissions'!$L$7:$L$38,"c")))))/1000000</f>
        <v>3.4620187031132159E-6</v>
      </c>
      <c r="CU80" s="7">
        <f>((SUMIFS('abrasion emissions'!$M$7:$M$38,'abrasion emissions'!$I$7:$I$38,"PM 2.5",'abrasion emissions'!$K$7:$K$38,"Road",'abrasion emissions'!$L$7:$L$38,"b")*POWER(('vehicles specifications'!$Q80/1000),(1/SUMIFS('abrasion emissions'!$M$7:$M$38,'abrasion emissions'!$I$7:$I$38,"PM 2.5",'abrasion emissions'!$K$7:$K$38,"Road",'abrasion emissions'!$L$7:$L$38,"c"))))+
(SUMIFS('abrasion emissions'!$M$7:$M$38,'abrasion emissions'!$I$7:$I$38,"PM 10",'abrasion emissions'!$K$7:$K$38,"Road",'abrasion emissions'!$L$7:$L$38,"b")*POWER(('vehicles specifications'!$Q80/1000),(1/SUMIFS('abrasion emissions'!$M$7:$M$38,'abrasion emissions'!$I$7:$I$38,"PM 10",'abrasion emissions'!$K$7:$K$38,"Road",'abrasion emissions'!$L$7:$L$38,"c")))))/1000000+CT80</f>
        <v>6.7220586146877895E-6</v>
      </c>
      <c r="CV80" s="7">
        <f>(CK80*CN80)+(CL80*CO80)+(CM80*CP80)</f>
        <v>5.3756614136129848E-6</v>
      </c>
      <c r="CW80" s="7">
        <f>(CK80*CQ80)+(CL80*CR80)+(CM80*CS80)</f>
        <v>3.7807642711566629E-6</v>
      </c>
    </row>
    <row r="81">
      <c r="A81" t="str">
        <f>B81&amp;" - "&amp;D81&amp;" - "&amp;IF(I81&lt;&gt;"",I81&amp;" - "&amp;E81,E81)</f>
        <v>Scooter, battery electric, 4-11kW - 2020 - NMC - CH</v>
      </c>
      <c r="B81" t="inlineStr">
        <is>
          <t>Scooter, battery electric, 4-11kW</t>
        </is>
      </c>
      <c r="D81" s="18" t="n">
        <v>2020</v>
      </c>
      <c r="E81" t="inlineStr">
        <is>
          <t>CH</t>
        </is>
      </c>
      <c r="F81" t="inlineStr">
        <is>
          <t>None</t>
        </is>
      </c>
      <c r="G81" t="inlineStr">
        <is>
          <t>vkm</t>
        </is>
      </c>
      <c r="H81" t="inlineStr">
        <is>
          <t>BEV</t>
        </is>
      </c>
      <c r="I81" t="inlineStr">
        <is>
          <t>NMC</t>
        </is>
      </c>
      <c r="J81" t="n">
        <v>25000</v>
      </c>
      <c r="K81" t="n">
        <v>1570</v>
      </c>
      <c r="L81" s="2">
        <f>J81/K81</f>
        <v>15.923566878980891</v>
      </c>
      <c r="M81" t="n">
        <v>1</v>
      </c>
      <c r="N81" t="n">
        <v>75</v>
      </c>
      <c r="O81" t="n">
        <v>4</v>
      </c>
      <c r="P81" s="2">
        <f>SUM(U81,V81,W81,AC81,AF81,AH81)</f>
        <v>131.44999999999999</v>
      </c>
      <c r="Q81" s="2">
        <f>P81+(M81*N81)+O81</f>
        <v>210.45</v>
      </c>
      <c r="R81" t="n">
        <v>6.1</v>
      </c>
      <c r="S81" s="2" t="n">
        <v>84</v>
      </c>
      <c r="T81" s="1" t="n">
        <v>0</v>
      </c>
      <c r="U81" s="2">
        <f>S81*(1-T81)</f>
        <v>84</v>
      </c>
      <c r="V81" t="n">
        <v>10</v>
      </c>
      <c r="W81" t="n">
        <v>16</v>
      </c>
      <c r="X81" s="3" t="n">
        <v>3.3</v>
      </c>
      <c r="Y81" s="1" t="n">
        <v>0.8</v>
      </c>
      <c r="Z81" s="3">
        <f>Y81*X81</f>
        <v>2.64</v>
      </c>
      <c r="AA81" s="3">
        <f>IF(I81&lt;&gt;"",X81/INDEX('energy battery'!$B$3:$D$6,MATCH('vehicles specifications'!$D81,'energy battery'!$A$3:$A$6,0),MATCH('vehicles specifications'!$I81,'energy battery'!$B$2:$D$2,0)),"")</f>
        <v>16.499999999999996</v>
      </c>
      <c r="AB81" s="3">
        <f>IF(AA81&lt;&gt;"",0.3*AA81,"")</f>
        <v>4.9499999999999984</v>
      </c>
      <c r="AC81" s="3">
        <f>IF(AA81&lt;&gt;"",AB81+AA81,"")</f>
        <v>21.449999999999996</v>
      </c>
      <c r="AD81" s="3" t="n">
        <v>1</v>
      </c>
      <c r="AE81" s="3" t="n">
        <v>0</v>
      </c>
      <c r="AF81">
        <f>AE81*'fuels and tailpipe emissions'!$B$3</f>
        <v>0</v>
      </c>
      <c r="AG81" t="n">
        <v>0</v>
      </c>
      <c r="AH81" s="3" t="n">
        <v>0</v>
      </c>
      <c r="AI81" s="3" t="n">
        <v>3</v>
      </c>
      <c r="AJ81" s="3" t="n">
        <v>1</v>
      </c>
      <c r="AK81">
        <f>J81/25000</f>
        <v>1</v>
      </c>
      <c r="AL81">
        <f>0.000537/1000*Q81</f>
        <v>1.1301165E-4</v>
      </c>
      <c r="AM81" t="n">
        <v>0.00129</v>
      </c>
      <c r="AN81" s="2">
        <f>U81</f>
        <v>84</v>
      </c>
      <c r="AO81" s="2">
        <f>SUM(V81:W81)</f>
        <v>26</v>
      </c>
      <c r="AP81" s="2">
        <f>AC81</f>
        <v>21.449999999999996</v>
      </c>
      <c r="AQ81" s="6" t="inlineStr"/>
      <c r="AR81" s="20" t="n"/>
      <c r="AS81" s="5" t="n">
        <v>0.1894149615567632</v>
      </c>
      <c r="AT81" s="2">
        <f>SUM(Z81,AG81)/(SUM(AQ81,AS81)/3.6)</f>
        <v>50.175550663414057</v>
      </c>
      <c r="AU81" s="5" t="n">
        <v>0</v>
      </c>
      <c r="AV81" s="5" t="n">
        <v>0</v>
      </c>
      <c r="AW81" s="7" t="n">
        <v>0</v>
      </c>
      <c r="AX81" s="7" t="n">
        <v>0</v>
      </c>
      <c r="AY81" s="7" t="n">
        <v>0</v>
      </c>
      <c r="AZ81" s="7" t="n">
        <v>0</v>
      </c>
      <c r="BA81" s="7" t="n">
        <v>0</v>
      </c>
      <c r="BB81" s="7" t="n">
        <v>0</v>
      </c>
      <c r="BC81" s="7" t="n">
        <v>0</v>
      </c>
      <c r="BD81" s="7" t="n">
        <v>0</v>
      </c>
      <c r="BE81" s="7" t="n">
        <v>0</v>
      </c>
      <c r="BF81" s="7" t="n">
        <v>0</v>
      </c>
      <c r="BG81" s="7" t="n">
        <v>0</v>
      </c>
      <c r="BH81" s="7" t="n">
        <v>0</v>
      </c>
      <c r="BI81" s="7" t="n">
        <v>0</v>
      </c>
      <c r="BJ81" s="7" t="n">
        <v>0</v>
      </c>
      <c r="BK81" s="7" t="n">
        <v>0</v>
      </c>
      <c r="BL81" s="7" t="n">
        <v>0</v>
      </c>
      <c r="BM81" s="7" t="n">
        <v>0</v>
      </c>
      <c r="BN81" s="7" t="n">
        <v>0</v>
      </c>
      <c r="BO81" s="7" t="n">
        <v>0</v>
      </c>
      <c r="BP81" s="7" t="n">
        <v>0</v>
      </c>
      <c r="BQ81" s="7" t="n">
        <v>0</v>
      </c>
      <c r="BR81" s="7" t="n">
        <v>0</v>
      </c>
      <c r="BS81" s="7" t="n">
        <v>0</v>
      </c>
      <c r="BT81" s="7" t="n">
        <v>0</v>
      </c>
      <c r="BU81" s="7" t="n">
        <v>0</v>
      </c>
      <c r="BV81" s="7" t="n">
        <v>0</v>
      </c>
      <c r="BW81" s="7" t="n">
        <v>0</v>
      </c>
      <c r="BX81" s="7" t="n">
        <v>0</v>
      </c>
      <c r="BY81" s="7" t="n">
        <v>0</v>
      </c>
      <c r="BZ81" s="7" t="n">
        <v>0</v>
      </c>
      <c r="CA81" s="7" t="n">
        <v>0</v>
      </c>
      <c r="CB81" s="7" t="n">
        <v>0</v>
      </c>
      <c r="CC81" s="7" t="n">
        <v>0</v>
      </c>
      <c r="CD81" s="7" t="n">
        <v>0</v>
      </c>
      <c r="CE81" s="7" t="n">
        <v>0</v>
      </c>
      <c r="CF81" s="7" t="n">
        <v>0</v>
      </c>
      <c r="CG81" s="7" t="n">
        <v>0</v>
      </c>
      <c r="CH81" s="7" t="n">
        <v>0</v>
      </c>
      <c r="CI81" s="7" t="n">
        <v>0</v>
      </c>
      <c r="CJ81" s="7" t="n">
        <v>0</v>
      </c>
      <c r="CK81" s="38">
        <f>VLOOKUP($B81,'abrasion emissions'!$O$7:$R$36,2,FALSE)</f>
        <v>0.5</v>
      </c>
      <c r="CL81" s="38">
        <f>VLOOKUP($B81,'abrasion emissions'!$O$7:$R$36,3,FALSE)</f>
        <v>0.5</v>
      </c>
      <c r="CM81" s="38">
        <f>VLOOKUP($B81,'abrasion emissions'!$O$7:$R$36,4,FALSE)</f>
        <v>0</v>
      </c>
      <c r="CN81" s="7">
        <f>((SUMIFS('abrasion emissions'!$M$7:$M$34,'abrasion emissions'!$I$7:$I$34,"PM 2.5",'abrasion emissions'!$J$7:$J$34,"urban",'abrasion emissions'!$K$7:$K$34,"Tyre",'abrasion emissions'!$L$7:$L$34,"b")*POWER(('vehicles specifications'!$Q81/1000),(1/SUMIFS('abrasion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specifications'!$P81/1000),(1/SUMIFS('abrasion emissions'!$M$7:$M$34,'abrasion emissions'!$I$7:$I$34,"PM 10",'abrasion emissions'!$J$7:$J$34,"urban",'abrasion emissions'!$K$7:$K$34,"Tyre",'abrasion emissions'!$L$7:$L$34,"c")))))/1000000</f>
        <v>6.5645746636105573E-6</v>
      </c>
      <c r="CO81" s="7">
        <f>((SUMIFS('abrasion emissions'!$M$7:$M$34,'abrasion emissions'!$I$7:$I$34,"PM 2.5",'abrasion emissions'!$J$7:$J$34,"rural",'abrasion emissions'!$K$7:$K$34,"Tyre",'abrasion emissions'!$L$7:$L$34,"b")*POWER(('vehicles specifications'!$Q81/1000),(1/SUMIFS('abrasion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specifications'!$P81/1000),(1/SUMIFS('abrasion emissions'!$M$7:$M$34,'abrasion emissions'!$I$7:$I$34,"PM 10",'abrasion emissions'!$J$7:$J$34,"rural",'abrasion emissions'!$K$7:$K$34,"Tyre",'abrasion emissions'!$L$7:$L$34,"c")))))/1000000</f>
        <v>5.1124669343333323E-6</v>
      </c>
      <c r="CP81" s="7">
        <f>((SUMIFS('abrasion emissions'!$M$7:$M$34,'abrasion emissions'!$I$7:$I$34,"PM 2.5",'abrasion emissions'!$J$7:$J$34,"motorway",'abrasion emissions'!$K$7:$K$34,"Tyre",'abrasion emissions'!$L$7:$L$34,"b")*POWER(('vehicles specifications'!$Q81/1000),(1/SUMIFS('abrasion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specifications'!$P81/1000),(1/SUMIFS('abrasion emissions'!$M$7:$M$34,'abrasion emissions'!$I$7:$I$34,"PM 10",'abrasion emissions'!$J$7:$J$34,"motorway",'abrasion emissions'!$K$7:$K$34,"Tyre",'abrasion emissions'!$L$7:$L$34,"c")))))/1000000</f>
        <v>4.3657201184278439E-6</v>
      </c>
      <c r="CQ81" s="7">
        <f>((SUMIFS('abrasion emissions'!$M$7:$M$34,'abrasion emissions'!$I$7:$I$34,"PM 2.5",'abrasion emissions'!$J$7:$J$34,"urban",'abrasion emissions'!$K$7:$K$34,"Brake",'abrasion emissions'!$L$7:$L$34,"b")*POWER(('vehicles specifications'!$Q81/1000),(1/SUMIFS('abrasion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specifications'!$P81/1000),(1/SUMIFS('abrasion emissions'!$M$7:$M$34,'abrasion emissions'!$I$7:$I$34,"PM 10",'abrasion emissions'!$J$7:$J$34,"urban",'abrasion emissions'!$K$7:$K$34,"Brake",'abrasion emissions'!$L$7:$L$34,"c")))))/1000000</f>
        <v>6.2870291985460774E-6</v>
      </c>
      <c r="CR81" s="7">
        <f>((SUMIFS('abrasion emissions'!$M$7:$M$34,'abrasion emissions'!$I$7:$I$34,"PM 2.5",'abrasion emissions'!$J$7:$J$34,"rural",'abrasion emissions'!$K$7:$K$34,"Brake",'abrasion emissions'!$L$7:$L$34,"b")*POWER(('vehicles specifications'!$Q81/1000),(1/SUMIFS('abrasion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specifications'!$P81/1000),(1/SUMIFS('abrasion emissions'!$M$7:$M$34,'abrasion emissions'!$I$7:$I$34,"PM 10",'abrasion emissions'!$J$7:$J$34,"rural",'abrasion emissions'!$K$7:$K$34,"Brake",'abrasion emissions'!$L$7:$L$34,"c")))))/1000000</f>
        <v>2.0574796216311868E-6</v>
      </c>
      <c r="CS81" s="7">
        <f>((SUMIFS('abrasion emissions'!$M$7:$M$34,'abrasion emissions'!$I$7:$I$34,"PM 2.5",'abrasion emissions'!$J$7:$J$34,"motorway",'abrasion emissions'!$K$7:$K$34,"Brake",'abrasion emissions'!$L$7:$L$34,"b")*POWER(('vehicles specifications'!$Q81/1000),(1/SUMIFS('abrasion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specifications'!$P81/1000),(1/SUMIFS('abrasion emissions'!$M$7:$M$34,'abrasion emissions'!$I$7:$I$34,"PM 10",'abrasion emissions'!$J$7:$J$34,"motorway",'abrasion emissions'!$K$7:$K$34,"Brake",'abrasion emissions'!$L$7:$L$34,"c")))))/1000000</f>
        <v>3.8552175767810757E-7</v>
      </c>
      <c r="CT81" s="7">
        <f>((SUMIFS('abrasion emissions'!$M$7:$M$38,'abrasion emissions'!$I$7:$I$38,"PM 2.5",'abrasion emissions'!$K$7:$K$38,"Re-susp.",'abrasion emissions'!$L$7:$L$38,"b")*POWER(('vehicles specifications'!$Q81/1000),(1/SUMIFS('abrasion emissions'!$M$7:$M$38,'abrasion emissions'!$I$7:$I$38,"PM 2.5",'abrasion emissions'!$K$7:$K$38,"Re-susp.",'abrasion emissions'!$L$7:$L$38,"c"))))+
(SUMIFS('abrasion emissions'!$M$7:$M$38,'abrasion emissions'!$I$7:$I$38,"PM 10",'abrasion emissions'!$K$7:$K$38,"Re-susp.",'abrasion emissions'!$L$7:$L$38,"b")*POWER(('vehicles specifications'!$Q81/1000),(1/SUMIFS('abrasion emissions'!$M$7:$M$38,'abrasion emissions'!$I$7:$I$38,"PM 10",'abrasion emissions'!$K$7:$K$38,"Re-susp.",'abrasion emissions'!$L$7:$L$38,"c")))))/1000000</f>
        <v>3.9767170707362104E-6</v>
      </c>
      <c r="CU81" s="7">
        <f>((SUMIFS('abrasion emissions'!$M$7:$M$38,'abrasion emissions'!$I$7:$I$38,"PM 2.5",'abrasion emissions'!$K$7:$K$38,"Road",'abrasion emissions'!$L$7:$L$38,"b")*POWER(('vehicles specifications'!$Q81/1000),(1/SUMIFS('abrasion emissions'!$M$7:$M$38,'abrasion emissions'!$I$7:$I$38,"PM 2.5",'abrasion emissions'!$K$7:$K$38,"Road",'abrasion emissions'!$L$7:$L$38,"c"))))+
(SUMIFS('abrasion emissions'!$M$7:$M$38,'abrasion emissions'!$I$7:$I$38,"PM 10",'abrasion emissions'!$K$7:$K$38,"Road",'abrasion emissions'!$L$7:$L$38,"b")*POWER(('vehicles specifications'!$Q81/1000),(1/SUMIFS('abrasion emissions'!$M$7:$M$38,'abrasion emissions'!$I$7:$I$38,"PM 10",'abrasion emissions'!$K$7:$K$38,"Road",'abrasion emissions'!$L$7:$L$38,"c")))))/1000000+CT81</f>
        <v>7.5855445843363987E-6</v>
      </c>
      <c r="CV81" s="7">
        <f>(CK81*CN81)+(CL81*CO81)+(CM81*CP81)</f>
        <v>5.8385207989719453E-6</v>
      </c>
      <c r="CW81" s="7">
        <f>(CK81*CQ81)+(CL81*CR81)+(CM81*CS81)</f>
        <v>4.1722544100886321E-6</v>
      </c>
    </row>
    <row r="82">
      <c r="A82" t="str">
        <f>B82&amp;" - "&amp;D82&amp;" - "&amp;IF(I82&lt;&gt;"",I82&amp;" - "&amp;E82,E82)</f>
        <v>Scooter, battery electric, 4-11kW - 2030 - NMC - CH</v>
      </c>
      <c r="B82" t="inlineStr">
        <is>
          <t>Scooter, battery electric, 4-11kW</t>
        </is>
      </c>
      <c r="D82" s="18" t="n">
        <v>2030</v>
      </c>
      <c r="E82" t="inlineStr">
        <is>
          <t>CH</t>
        </is>
      </c>
      <c r="F82" t="inlineStr">
        <is>
          <t>None</t>
        </is>
      </c>
      <c r="G82" t="inlineStr">
        <is>
          <t>vkm</t>
        </is>
      </c>
      <c r="H82" t="inlineStr">
        <is>
          <t>BEV</t>
        </is>
      </c>
      <c r="I82" t="inlineStr">
        <is>
          <t>NMC</t>
        </is>
      </c>
      <c r="J82" t="n">
        <v>25000</v>
      </c>
      <c r="K82" t="n">
        <v>1570</v>
      </c>
      <c r="L82" s="2">
        <f>J82/K82</f>
        <v>15.923566878980891</v>
      </c>
      <c r="M82" t="n">
        <v>1</v>
      </c>
      <c r="N82" t="n">
        <v>75</v>
      </c>
      <c r="O82" t="n">
        <v>4</v>
      </c>
      <c r="P82" s="2">
        <f>SUM(U82,V82,W82,AC82,AF82,AH82)</f>
        <v>132.18</v>
      </c>
      <c r="Q82" s="2">
        <f>P82+(M82*N82)+O82</f>
        <v>211.18</v>
      </c>
      <c r="R82" t="n">
        <v>6.1</v>
      </c>
      <c r="S82" s="2" t="n">
        <v>84</v>
      </c>
      <c r="T82" s="1" t="n">
        <v>0.03</v>
      </c>
      <c r="U82" s="2">
        <f>S82*(1-T82)</f>
        <v>81.48</v>
      </c>
      <c r="V82" t="n">
        <v>10</v>
      </c>
      <c r="W82" t="n">
        <v>16</v>
      </c>
      <c r="X82" s="3" t="n">
        <v>5.7</v>
      </c>
      <c r="Y82" s="1" t="n">
        <v>0.8</v>
      </c>
      <c r="Z82" s="3">
        <f>Y82*X82</f>
        <v>4.5600000000000005</v>
      </c>
      <c r="AA82" s="3">
        <f>IF(I82&lt;&gt;"",X82/INDEX('energy battery'!$B$3:$D$6,MATCH('vehicles specifications'!$D82,'energy battery'!$A$3:$A$6,0),MATCH('vehicles specifications'!$I82,'energy battery'!$B$2:$D$2,0)),"")</f>
        <v>19</v>
      </c>
      <c r="AB82" s="3">
        <f>IF(AA82&lt;&gt;"",0.3*AA82,"")</f>
        <v>5.7</v>
      </c>
      <c r="AC82" s="3">
        <f>IF(AA82&lt;&gt;"",AB82+AA82,"")</f>
        <v>24.7</v>
      </c>
      <c r="AD82" s="3" t="n">
        <v>0.5</v>
      </c>
      <c r="AE82" s="3" t="n">
        <v>0</v>
      </c>
      <c r="AF82">
        <f>AE82*'fuels and tailpipe emissions'!$B$3</f>
        <v>0</v>
      </c>
      <c r="AG82" t="n">
        <v>0</v>
      </c>
      <c r="AH82" s="3" t="n">
        <v>0</v>
      </c>
      <c r="AI82" s="3" t="n">
        <v>3</v>
      </c>
      <c r="AJ82" s="3" t="n">
        <v>1</v>
      </c>
      <c r="AK82">
        <f>J82/25000</f>
        <v>1</v>
      </c>
      <c r="AL82">
        <f>0.000537/1000*Q82</f>
        <v>1.1340366E-4</v>
      </c>
      <c r="AM82" t="n">
        <v>0.00129</v>
      </c>
      <c r="AN82" s="2">
        <f>U82</f>
        <v>81.48</v>
      </c>
      <c r="AO82" s="2">
        <f>SUM(V82:W82)</f>
        <v>26</v>
      </c>
      <c r="AP82" s="2">
        <f>AC82</f>
        <v>24.7</v>
      </c>
      <c r="AQ82" s="6" t="inlineStr"/>
      <c r="AR82" s="20" t="n"/>
      <c r="AS82" s="5" t="n">
        <v>0.1894149615567632</v>
      </c>
      <c r="AT82" s="2">
        <f>SUM(Z82,AG82)/(SUM(AQ82,AS82)/3.6)</f>
        <v>86.666860236806102</v>
      </c>
      <c r="AU82" s="5" t="n">
        <v>0</v>
      </c>
      <c r="AV82" s="5" t="n">
        <v>0</v>
      </c>
      <c r="AW82" s="7" t="n">
        <v>0</v>
      </c>
      <c r="AX82" s="7" t="n">
        <v>0</v>
      </c>
      <c r="AY82" s="7" t="n">
        <v>0</v>
      </c>
      <c r="AZ82" s="7" t="n">
        <v>0</v>
      </c>
      <c r="BA82" s="7" t="n">
        <v>0</v>
      </c>
      <c r="BB82" s="7" t="n">
        <v>0</v>
      </c>
      <c r="BC82" s="7" t="n">
        <v>0</v>
      </c>
      <c r="BD82" s="7" t="n">
        <v>0</v>
      </c>
      <c r="BE82" s="7" t="n">
        <v>0</v>
      </c>
      <c r="BF82" s="7" t="n">
        <v>0</v>
      </c>
      <c r="BG82" s="7" t="n">
        <v>0</v>
      </c>
      <c r="BH82" s="7" t="n">
        <v>0</v>
      </c>
      <c r="BI82" s="7" t="n">
        <v>0</v>
      </c>
      <c r="BJ82" s="7" t="n">
        <v>0</v>
      </c>
      <c r="BK82" s="7" t="n">
        <v>0</v>
      </c>
      <c r="BL82" s="7" t="n">
        <v>0</v>
      </c>
      <c r="BM82" s="7" t="n">
        <v>0</v>
      </c>
      <c r="BN82" s="7" t="n">
        <v>0</v>
      </c>
      <c r="BO82" s="7" t="n">
        <v>0</v>
      </c>
      <c r="BP82" s="7" t="n">
        <v>0</v>
      </c>
      <c r="BQ82" s="7" t="n">
        <v>0</v>
      </c>
      <c r="BR82" s="7" t="n">
        <v>0</v>
      </c>
      <c r="BS82" s="7" t="n">
        <v>0</v>
      </c>
      <c r="BT82" s="7" t="n">
        <v>0</v>
      </c>
      <c r="BU82" s="7" t="n">
        <v>0</v>
      </c>
      <c r="BV82" s="7" t="n">
        <v>0</v>
      </c>
      <c r="BW82" s="7" t="n">
        <v>0</v>
      </c>
      <c r="BX82" s="7" t="n">
        <v>0</v>
      </c>
      <c r="BY82" s="7" t="n">
        <v>0</v>
      </c>
      <c r="BZ82" s="7" t="n">
        <v>0</v>
      </c>
      <c r="CA82" s="7" t="n">
        <v>0</v>
      </c>
      <c r="CB82" s="7" t="n">
        <v>0</v>
      </c>
      <c r="CC82" s="7" t="n">
        <v>0</v>
      </c>
      <c r="CD82" s="7" t="n">
        <v>0</v>
      </c>
      <c r="CE82" s="7" t="n">
        <v>0</v>
      </c>
      <c r="CF82" s="7" t="n">
        <v>0</v>
      </c>
      <c r="CG82" s="7" t="n">
        <v>0</v>
      </c>
      <c r="CH82" s="7" t="n">
        <v>0</v>
      </c>
      <c r="CI82" s="7" t="n">
        <v>0</v>
      </c>
      <c r="CJ82" s="7" t="n">
        <v>0</v>
      </c>
      <c r="CK82" s="38">
        <f>VLOOKUP($B82,'abrasion emissions'!$O$7:$R$36,2,FALSE)</f>
        <v>0.5</v>
      </c>
      <c r="CL82" s="38">
        <f>VLOOKUP($B82,'abrasion emissions'!$O$7:$R$36,3,FALSE)</f>
        <v>0.5</v>
      </c>
      <c r="CM82" s="38">
        <f>VLOOKUP($B82,'abrasion emissions'!$O$7:$R$36,4,FALSE)</f>
        <v>0</v>
      </c>
      <c r="CN82" s="7">
        <f>((SUMIFS('abrasion emissions'!$M$7:$M$34,'abrasion emissions'!$I$7:$I$34,"PM 2.5",'abrasion emissions'!$J$7:$J$34,"urban",'abrasion emissions'!$K$7:$K$34,"Tyre",'abrasion emissions'!$L$7:$L$34,"b")*POWER(('vehicles specifications'!$Q82/1000),(1/SUMIFS('abrasion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specifications'!$P82/1000),(1/SUMIFS('abrasion emissions'!$M$7:$M$34,'abrasion emissions'!$I$7:$I$34,"PM 10",'abrasion emissions'!$J$7:$J$34,"urban",'abrasion emissions'!$K$7:$K$34,"Tyre",'abrasion emissions'!$L$7:$L$34,"c")))))/1000000</f>
        <v>6.5766355169193657E-6</v>
      </c>
      <c r="CO82" s="7">
        <f>((SUMIFS('abrasion emissions'!$M$7:$M$34,'abrasion emissions'!$I$7:$I$34,"PM 2.5",'abrasion emissions'!$J$7:$J$34,"rural",'abrasion emissions'!$K$7:$K$34,"Tyre",'abrasion emissions'!$L$7:$L$34,"b")*POWER(('vehicles specifications'!$Q82/1000),(1/SUMIFS('abrasion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specifications'!$P82/1000),(1/SUMIFS('abrasion emissions'!$M$7:$M$34,'abrasion emissions'!$I$7:$I$34,"PM 10",'abrasion emissions'!$J$7:$J$34,"rural",'abrasion emissions'!$K$7:$K$34,"Tyre",'abrasion emissions'!$L$7:$L$34,"c")))))/1000000</f>
        <v>5.1218535152818901E-6</v>
      </c>
      <c r="CP82" s="7">
        <f>((SUMIFS('abrasion emissions'!$M$7:$M$34,'abrasion emissions'!$I$7:$I$34,"PM 2.5",'abrasion emissions'!$J$7:$J$34,"motorway",'abrasion emissions'!$K$7:$K$34,"Tyre",'abrasion emissions'!$L$7:$L$34,"b")*POWER(('vehicles specifications'!$Q82/1000),(1/SUMIFS('abrasion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specifications'!$P82/1000),(1/SUMIFS('abrasion emissions'!$M$7:$M$34,'abrasion emissions'!$I$7:$I$34,"PM 10",'abrasion emissions'!$J$7:$J$34,"motorway",'abrasion emissions'!$K$7:$K$34,"Tyre",'abrasion emissions'!$L$7:$L$34,"c")))))/1000000</f>
        <v>4.3737196774239597E-6</v>
      </c>
      <c r="CQ82" s="7">
        <f>((SUMIFS('abrasion emissions'!$M$7:$M$34,'abrasion emissions'!$I$7:$I$34,"PM 2.5",'abrasion emissions'!$J$7:$J$34,"urban",'abrasion emissions'!$K$7:$K$34,"Brake",'abrasion emissions'!$L$7:$L$34,"b")*POWER(('vehicles specifications'!$Q82/1000),(1/SUMIFS('abrasion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specifications'!$P82/1000),(1/SUMIFS('abrasion emissions'!$M$7:$M$34,'abrasion emissions'!$I$7:$I$34,"PM 10",'abrasion emissions'!$J$7:$J$34,"urban",'abrasion emissions'!$K$7:$K$34,"Brake",'abrasion emissions'!$L$7:$L$34,"c")))))/1000000</f>
        <v>6.3000782940442976E-6</v>
      </c>
      <c r="CR82" s="7">
        <f>((SUMIFS('abrasion emissions'!$M$7:$M$34,'abrasion emissions'!$I$7:$I$34,"PM 2.5",'abrasion emissions'!$J$7:$J$34,"rural",'abrasion emissions'!$K$7:$K$34,"Brake",'abrasion emissions'!$L$7:$L$34,"b")*POWER(('vehicles specifications'!$Q82/1000),(1/SUMIFS('abrasion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specifications'!$P82/1000),(1/SUMIFS('abrasion emissions'!$M$7:$M$34,'abrasion emissions'!$I$7:$I$34,"PM 10",'abrasion emissions'!$J$7:$J$34,"rural",'abrasion emissions'!$K$7:$K$34,"Brake",'abrasion emissions'!$L$7:$L$34,"c")))))/1000000</f>
        <v>2.0628805759853273E-6</v>
      </c>
      <c r="CS82" s="7">
        <f>((SUMIFS('abrasion emissions'!$M$7:$M$34,'abrasion emissions'!$I$7:$I$34,"PM 2.5",'abrasion emissions'!$J$7:$J$34,"motorway",'abrasion emissions'!$K$7:$K$34,"Brake",'abrasion emissions'!$L$7:$L$34,"b")*POWER(('vehicles specifications'!$Q82/1000),(1/SUMIFS('abrasion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specifications'!$P82/1000),(1/SUMIFS('abrasion emissions'!$M$7:$M$34,'abrasion emissions'!$I$7:$I$34,"PM 10",'abrasion emissions'!$J$7:$J$34,"motorway",'abrasion emissions'!$K$7:$K$34,"Brake",'abrasion emissions'!$L$7:$L$34,"c")))))/1000000</f>
        <v>3.8668455780672078E-7</v>
      </c>
      <c r="CT82" s="7">
        <f>((SUMIFS('abrasion emissions'!$M$7:$M$38,'abrasion emissions'!$I$7:$I$38,"PM 2.5",'abrasion emissions'!$K$7:$K$38,"Re-susp.",'abrasion emissions'!$L$7:$L$38,"b")*POWER(('vehicles specifications'!$Q82/1000),(1/SUMIFS('abrasion emissions'!$M$7:$M$38,'abrasion emissions'!$I$7:$I$38,"PM 2.5",'abrasion emissions'!$K$7:$K$38,"Re-susp.",'abrasion emissions'!$L$7:$L$38,"c"))))+
(SUMIFS('abrasion emissions'!$M$7:$M$38,'abrasion emissions'!$I$7:$I$38,"PM 10",'abrasion emissions'!$K$7:$K$38,"Re-susp.",'abrasion emissions'!$L$7:$L$38,"b")*POWER(('vehicles specifications'!$Q82/1000),(1/SUMIFS('abrasion emissions'!$M$7:$M$38,'abrasion emissions'!$I$7:$I$38,"PM 10",'abrasion emissions'!$K$7:$K$38,"Re-susp.",'abrasion emissions'!$L$7:$L$38,"c")))))/1000000</f>
        <v>3.9892553385998303E-6</v>
      </c>
      <c r="CU82" s="7">
        <f>((SUMIFS('abrasion emissions'!$M$7:$M$38,'abrasion emissions'!$I$7:$I$38,"PM 2.5",'abrasion emissions'!$K$7:$K$38,"Road",'abrasion emissions'!$L$7:$L$38,"b")*POWER(('vehicles specifications'!$Q82/1000),(1/SUMIFS('abrasion emissions'!$M$7:$M$38,'abrasion emissions'!$I$7:$I$38,"PM 2.5",'abrasion emissions'!$K$7:$K$38,"Road",'abrasion emissions'!$L$7:$L$38,"c"))))+
(SUMIFS('abrasion emissions'!$M$7:$M$38,'abrasion emissions'!$I$7:$I$38,"PM 10",'abrasion emissions'!$K$7:$K$38,"Road",'abrasion emissions'!$L$7:$L$38,"b")*POWER(('vehicles specifications'!$Q82/1000),(1/SUMIFS('abrasion emissions'!$M$7:$M$38,'abrasion emissions'!$I$7:$I$38,"PM 10",'abrasion emissions'!$K$7:$K$38,"Road",'abrasion emissions'!$L$7:$L$38,"c")))))/1000000+CT82</f>
        <v>7.6064234663980656E-6</v>
      </c>
      <c r="CV82" s="7">
        <f>(CK82*CN82)+(CL82*CO82)+(CM82*CP82)</f>
        <v>5.8492445161006275E-6</v>
      </c>
      <c r="CW82" s="7">
        <f>(CK82*CQ82)+(CL82*CR82)+(CM82*CS82)</f>
        <v>4.1814794350148126E-6</v>
      </c>
    </row>
    <row r="83">
      <c r="A83" t="str">
        <f>B83&amp;" - "&amp;D83&amp;" - "&amp;IF(I83&lt;&gt;"",I83&amp;" - "&amp;E83,E83)</f>
        <v>Scooter, battery electric, 4-11kW - 2040 - NMC - CH</v>
      </c>
      <c r="B83" t="inlineStr">
        <is>
          <t>Scooter, battery electric, 4-11kW</t>
        </is>
      </c>
      <c r="D83" s="18" t="n">
        <v>2040</v>
      </c>
      <c r="E83" t="inlineStr">
        <is>
          <t>CH</t>
        </is>
      </c>
      <c r="F83" t="inlineStr">
        <is>
          <t>None</t>
        </is>
      </c>
      <c r="G83" t="inlineStr">
        <is>
          <t>vkm</t>
        </is>
      </c>
      <c r="H83" t="inlineStr">
        <is>
          <t>BEV</t>
        </is>
      </c>
      <c r="I83" t="inlineStr">
        <is>
          <t>NMC</t>
        </is>
      </c>
      <c r="J83" t="n">
        <v>25000</v>
      </c>
      <c r="K83" t="n">
        <v>1570</v>
      </c>
      <c r="L83" s="2">
        <f>J83/K83</f>
        <v>15.923566878980891</v>
      </c>
      <c r="M83" t="n">
        <v>1</v>
      </c>
      <c r="N83" t="n">
        <v>75</v>
      </c>
      <c r="O83" t="n">
        <v>4</v>
      </c>
      <c r="P83" s="2">
        <f>SUM(U83,V83,W83,AC83,AF83,AH83)</f>
        <v>132.44999999999999</v>
      </c>
      <c r="Q83" s="2">
        <f>P83+(M83*N83)+O83</f>
        <v>211.45</v>
      </c>
      <c r="R83" t="n">
        <v>6.1</v>
      </c>
      <c r="S83" s="2" t="n">
        <v>84</v>
      </c>
      <c r="T83" s="1" t="n">
        <v>0.05</v>
      </c>
      <c r="U83" s="2">
        <f>S83*(1-T83)</f>
        <v>79.8</v>
      </c>
      <c r="V83" t="n">
        <v>10</v>
      </c>
      <c r="W83" t="n">
        <v>16</v>
      </c>
      <c r="X83" s="3" t="n">
        <v>8.199999999999999</v>
      </c>
      <c r="Y83" s="1" t="n">
        <v>0.8</v>
      </c>
      <c r="Z83" s="3">
        <f>Y83*X83</f>
        <v>6.56</v>
      </c>
      <c r="AA83" s="3">
        <f>IF(I83&lt;&gt;"",X83/INDEX('energy battery'!$B$3:$D$6,MATCH('vehicles specifications'!$D83,'energy battery'!$A$3:$A$6,0),MATCH('vehicles specifications'!$I83,'energy battery'!$B$2:$D$2,0)),"")</f>
        <v>20.499999999999996</v>
      </c>
      <c r="AB83" s="3">
        <f>IF(AA83&lt;&gt;"",0.3*AA83,"")</f>
        <v>6.1499999999999986</v>
      </c>
      <c r="AC83" s="3">
        <f>IF(AA83&lt;&gt;"",AB83+AA83,"")</f>
        <v>26.649999999999995</v>
      </c>
      <c r="AD83" s="3" t="n">
        <v>0.25</v>
      </c>
      <c r="AE83" s="3" t="n">
        <v>0</v>
      </c>
      <c r="AF83">
        <f>AE83*'fuels and tailpipe emissions'!$B$3</f>
        <v>0</v>
      </c>
      <c r="AG83" t="n">
        <v>0</v>
      </c>
      <c r="AH83" s="3" t="n">
        <v>0</v>
      </c>
      <c r="AI83" s="3" t="n">
        <v>3</v>
      </c>
      <c r="AJ83" s="3" t="n">
        <v>1</v>
      </c>
      <c r="AK83">
        <f>J83/25000</f>
        <v>1</v>
      </c>
      <c r="AL83">
        <f>0.000537/1000*Q83</f>
        <v>1.1354865E-4</v>
      </c>
      <c r="AM83" t="n">
        <v>0.00129</v>
      </c>
      <c r="AN83" s="2">
        <f>U83</f>
        <v>79.8</v>
      </c>
      <c r="AO83" s="2">
        <f>SUM(V83:W83)</f>
        <v>26</v>
      </c>
      <c r="AP83" s="2">
        <f>AC83</f>
        <v>26.649999999999995</v>
      </c>
      <c r="AQ83" s="6" t="inlineStr"/>
      <c r="AR83" s="20" t="n"/>
      <c r="AS83" s="5" t="n">
        <v>0.1894149615567632</v>
      </c>
      <c r="AT83" s="2">
        <f>SUM(Z83,AG83)/(SUM(AQ83,AS83)/3.6)</f>
        <v>124.6786410424228</v>
      </c>
      <c r="AU83" s="5" t="n">
        <v>0</v>
      </c>
      <c r="AV83" s="5" t="n">
        <v>0</v>
      </c>
      <c r="AW83" s="7" t="n">
        <v>0</v>
      </c>
      <c r="AX83" s="7" t="n">
        <v>0</v>
      </c>
      <c r="AY83" s="7" t="n">
        <v>0</v>
      </c>
      <c r="AZ83" s="7" t="n">
        <v>0</v>
      </c>
      <c r="BA83" s="7" t="n">
        <v>0</v>
      </c>
      <c r="BB83" s="7" t="n">
        <v>0</v>
      </c>
      <c r="BC83" s="7" t="n">
        <v>0</v>
      </c>
      <c r="BD83" s="7" t="n">
        <v>0</v>
      </c>
      <c r="BE83" s="7" t="n">
        <v>0</v>
      </c>
      <c r="BF83" s="7" t="n">
        <v>0</v>
      </c>
      <c r="BG83" s="7" t="n">
        <v>0</v>
      </c>
      <c r="BH83" s="7" t="n">
        <v>0</v>
      </c>
      <c r="BI83" s="7" t="n">
        <v>0</v>
      </c>
      <c r="BJ83" s="7" t="n">
        <v>0</v>
      </c>
      <c r="BK83" s="7" t="n">
        <v>0</v>
      </c>
      <c r="BL83" s="7" t="n">
        <v>0</v>
      </c>
      <c r="BM83" s="7" t="n">
        <v>0</v>
      </c>
      <c r="BN83" s="7" t="n">
        <v>0</v>
      </c>
      <c r="BO83" s="7" t="n">
        <v>0</v>
      </c>
      <c r="BP83" s="7" t="n">
        <v>0</v>
      </c>
      <c r="BQ83" s="7" t="n">
        <v>0</v>
      </c>
      <c r="BR83" s="7" t="n">
        <v>0</v>
      </c>
      <c r="BS83" s="7" t="n">
        <v>0</v>
      </c>
      <c r="BT83" s="7" t="n">
        <v>0</v>
      </c>
      <c r="BU83" s="7" t="n">
        <v>0</v>
      </c>
      <c r="BV83" s="7" t="n">
        <v>0</v>
      </c>
      <c r="BW83" s="7" t="n">
        <v>0</v>
      </c>
      <c r="BX83" s="7" t="n">
        <v>0</v>
      </c>
      <c r="BY83" s="7" t="n">
        <v>0</v>
      </c>
      <c r="BZ83" s="7" t="n">
        <v>0</v>
      </c>
      <c r="CA83" s="7" t="n">
        <v>0</v>
      </c>
      <c r="CB83" s="7" t="n">
        <v>0</v>
      </c>
      <c r="CC83" s="7" t="n">
        <v>0</v>
      </c>
      <c r="CD83" s="7" t="n">
        <v>0</v>
      </c>
      <c r="CE83" s="7" t="n">
        <v>0</v>
      </c>
      <c r="CF83" s="7" t="n">
        <v>0</v>
      </c>
      <c r="CG83" s="7" t="n">
        <v>0</v>
      </c>
      <c r="CH83" s="7" t="n">
        <v>0</v>
      </c>
      <c r="CI83" s="7" t="n">
        <v>0</v>
      </c>
      <c r="CJ83" s="7" t="n">
        <v>0</v>
      </c>
      <c r="CK83" s="38">
        <f>VLOOKUP($B83,'abrasion emissions'!$O$7:$R$36,2,FALSE)</f>
        <v>0.5</v>
      </c>
      <c r="CL83" s="38">
        <f>VLOOKUP($B83,'abrasion emissions'!$O$7:$R$36,3,FALSE)</f>
        <v>0.5</v>
      </c>
      <c r="CM83" s="38">
        <f>VLOOKUP($B83,'abrasion emissions'!$O$7:$R$36,4,FALSE)</f>
        <v>0</v>
      </c>
      <c r="CN83" s="7">
        <f>((SUMIFS('abrasion emissions'!$M$7:$M$34,'abrasion emissions'!$I$7:$I$34,"PM 2.5",'abrasion emissions'!$J$7:$J$34,"urban",'abrasion emissions'!$K$7:$K$34,"Tyre",'abrasion emissions'!$L$7:$L$34,"b")*POWER(('vehicles specifications'!$Q83/1000),(1/SUMIFS('abrasion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specifications'!$P83/1000),(1/SUMIFS('abrasion emissions'!$M$7:$M$34,'abrasion emissions'!$I$7:$I$34,"PM 10",'abrasion emissions'!$J$7:$J$34,"urban",'abrasion emissions'!$K$7:$K$34,"Tyre",'abrasion emissions'!$L$7:$L$34,"c")))))/1000000</f>
        <v>6.5810886972386748E-6</v>
      </c>
      <c r="CO83" s="7">
        <f>((SUMIFS('abrasion emissions'!$M$7:$M$34,'abrasion emissions'!$I$7:$I$34,"PM 2.5",'abrasion emissions'!$J$7:$J$34,"rural",'abrasion emissions'!$K$7:$K$34,"Tyre",'abrasion emissions'!$L$7:$L$34,"b")*POWER(('vehicles specifications'!$Q83/1000),(1/SUMIFS('abrasion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specifications'!$P83/1000),(1/SUMIFS('abrasion emissions'!$M$7:$M$34,'abrasion emissions'!$I$7:$I$34,"PM 10",'abrasion emissions'!$J$7:$J$34,"rural",'abrasion emissions'!$K$7:$K$34,"Tyre",'abrasion emissions'!$L$7:$L$34,"c")))))/1000000</f>
        <v>5.1253192889032687E-6</v>
      </c>
      <c r="CP83" s="7">
        <f>((SUMIFS('abrasion emissions'!$M$7:$M$34,'abrasion emissions'!$I$7:$I$34,"PM 2.5",'abrasion emissions'!$J$7:$J$34,"motorway",'abrasion emissions'!$K$7:$K$34,"Tyre",'abrasion emissions'!$L$7:$L$34,"b")*POWER(('vehicles specifications'!$Q83/1000),(1/SUMIFS('abrasion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specifications'!$P83/1000),(1/SUMIFS('abrasion emissions'!$M$7:$M$34,'abrasion emissions'!$I$7:$I$34,"PM 10",'abrasion emissions'!$J$7:$J$34,"motorway",'abrasion emissions'!$K$7:$K$34,"Tyre",'abrasion emissions'!$L$7:$L$34,"c")))))/1000000</f>
        <v>4.3766733362535794E-6</v>
      </c>
      <c r="CQ83" s="7">
        <f>((SUMIFS('abrasion emissions'!$M$7:$M$34,'abrasion emissions'!$I$7:$I$34,"PM 2.5",'abrasion emissions'!$J$7:$J$34,"urban",'abrasion emissions'!$K$7:$K$34,"Brake",'abrasion emissions'!$L$7:$L$34,"b")*POWER(('vehicles specifications'!$Q83/1000),(1/SUMIFS('abrasion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specifications'!$P83/1000),(1/SUMIFS('abrasion emissions'!$M$7:$M$34,'abrasion emissions'!$I$7:$I$34,"PM 10",'abrasion emissions'!$J$7:$J$34,"urban",'abrasion emissions'!$K$7:$K$34,"Brake",'abrasion emissions'!$L$7:$L$34,"c")))))/1000000</f>
        <v>6.3048982122214375E-6</v>
      </c>
      <c r="CR83" s="7">
        <f>((SUMIFS('abrasion emissions'!$M$7:$M$34,'abrasion emissions'!$I$7:$I$34,"PM 2.5",'abrasion emissions'!$J$7:$J$34,"rural",'abrasion emissions'!$K$7:$K$34,"Brake",'abrasion emissions'!$L$7:$L$34,"b")*POWER(('vehicles specifications'!$Q83/1000),(1/SUMIFS('abrasion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specifications'!$P83/1000),(1/SUMIFS('abrasion emissions'!$M$7:$M$34,'abrasion emissions'!$I$7:$I$34,"PM 10",'abrasion emissions'!$J$7:$J$34,"rural",'abrasion emissions'!$K$7:$K$34,"Brake",'abrasion emissions'!$L$7:$L$34,"c")))))/1000000</f>
        <v>2.0648763114685876E-6</v>
      </c>
      <c r="CS83" s="7">
        <f>((SUMIFS('abrasion emissions'!$M$7:$M$34,'abrasion emissions'!$I$7:$I$34,"PM 2.5",'abrasion emissions'!$J$7:$J$34,"motorway",'abrasion emissions'!$K$7:$K$34,"Brake",'abrasion emissions'!$L$7:$L$34,"b")*POWER(('vehicles specifications'!$Q83/1000),(1/SUMIFS('abrasion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specifications'!$P83/1000),(1/SUMIFS('abrasion emissions'!$M$7:$M$34,'abrasion emissions'!$I$7:$I$34,"PM 10",'abrasion emissions'!$J$7:$J$34,"motorway",'abrasion emissions'!$K$7:$K$34,"Brake",'abrasion emissions'!$L$7:$L$34,"c")))))/1000000</f>
        <v>3.871143561051602E-7</v>
      </c>
      <c r="CT83" s="7">
        <f>((SUMIFS('abrasion emissions'!$M$7:$M$38,'abrasion emissions'!$I$7:$I$38,"PM 2.5",'abrasion emissions'!$K$7:$K$38,"Re-susp.",'abrasion emissions'!$L$7:$L$38,"b")*POWER(('vehicles specifications'!$Q83/1000),(1/SUMIFS('abrasion emissions'!$M$7:$M$38,'abrasion emissions'!$I$7:$I$38,"PM 2.5",'abrasion emissions'!$K$7:$K$38,"Re-susp.",'abrasion emissions'!$L$7:$L$38,"c"))))+
(SUMIFS('abrasion emissions'!$M$7:$M$38,'abrasion emissions'!$I$7:$I$38,"PM 10",'abrasion emissions'!$K$7:$K$38,"Re-susp.",'abrasion emissions'!$L$7:$L$38,"b")*POWER(('vehicles specifications'!$Q83/1000),(1/SUMIFS('abrasion emissions'!$M$7:$M$38,'abrasion emissions'!$I$7:$I$38,"PM 10",'abrasion emissions'!$K$7:$K$38,"Re-susp.",'abrasion emissions'!$L$7:$L$38,"c")))))/1000000</f>
        <v>3.9938917813367097E-6</v>
      </c>
      <c r="CU83" s="7">
        <f>((SUMIFS('abrasion emissions'!$M$7:$M$38,'abrasion emissions'!$I$7:$I$38,"PM 2.5",'abrasion emissions'!$K$7:$K$38,"Road",'abrasion emissions'!$L$7:$L$38,"b")*POWER(('vehicles specifications'!$Q83/1000),(1/SUMIFS('abrasion emissions'!$M$7:$M$38,'abrasion emissions'!$I$7:$I$38,"PM 2.5",'abrasion emissions'!$K$7:$K$38,"Road",'abrasion emissions'!$L$7:$L$38,"c"))))+
(SUMIFS('abrasion emissions'!$M$7:$M$38,'abrasion emissions'!$I$7:$I$38,"PM 10",'abrasion emissions'!$K$7:$K$38,"Road",'abrasion emissions'!$L$7:$L$38,"b")*POWER(('vehicles specifications'!$Q83/1000),(1/SUMIFS('abrasion emissions'!$M$7:$M$38,'abrasion emissions'!$I$7:$I$38,"PM 10",'abrasion emissions'!$K$7:$K$38,"Road",'abrasion emissions'!$L$7:$L$38,"c")))))/1000000+CT83</f>
        <v>7.6141423582400934E-6</v>
      </c>
      <c r="CV83" s="7">
        <f>(CK83*CN83)+(CL83*CO83)+(CM83*CP83)</f>
        <v>5.8532039930709717E-6</v>
      </c>
      <c r="CW83" s="7">
        <f>(CK83*CQ83)+(CL83*CR83)+(CM83*CS83)</f>
        <v>4.1848872618450126E-6</v>
      </c>
    </row>
    <row r="84">
      <c r="A84" t="str">
        <f>B84&amp;" - "&amp;D84&amp;" - "&amp;IF(I84&lt;&gt;"",I84&amp;" - "&amp;E84,E84)</f>
        <v>Scooter, battery electric, 4-11kW - 2050 - NMC - CH</v>
      </c>
      <c r="B84" t="inlineStr">
        <is>
          <t>Scooter, battery electric, 4-11kW</t>
        </is>
      </c>
      <c r="D84" s="18" t="n">
        <v>2050</v>
      </c>
      <c r="E84" t="inlineStr">
        <is>
          <t>CH</t>
        </is>
      </c>
      <c r="F84" t="inlineStr">
        <is>
          <t>None</t>
        </is>
      </c>
      <c r="G84" t="inlineStr">
        <is>
          <t>vkm</t>
        </is>
      </c>
      <c r="H84" t="inlineStr">
        <is>
          <t>BEV</t>
        </is>
      </c>
      <c r="I84" t="inlineStr">
        <is>
          <t>NMC</t>
        </is>
      </c>
      <c r="J84" t="n">
        <v>25000</v>
      </c>
      <c r="K84" t="n">
        <v>1570</v>
      </c>
      <c r="L84" s="2">
        <f>J84/K84</f>
        <v>15.923566878980891</v>
      </c>
      <c r="M84" t="n">
        <v>1</v>
      </c>
      <c r="N84" t="n">
        <v>75</v>
      </c>
      <c r="O84" t="n">
        <v>4</v>
      </c>
      <c r="P84" s="2">
        <f>SUM(U84,V84,W84,AC84,AF84,AH84)</f>
        <v>132.19999999999999</v>
      </c>
      <c r="Q84" s="2">
        <f>P84+(M84*N84)+O84</f>
        <v>211.2</v>
      </c>
      <c r="R84" t="n">
        <v>6.1</v>
      </c>
      <c r="S84" s="2" t="n">
        <v>84</v>
      </c>
      <c r="T84" s="1" t="n">
        <v>0.07000000000000001</v>
      </c>
      <c r="U84" s="2">
        <f>S84*(1-T84)</f>
        <v>78.11999999999999</v>
      </c>
      <c r="V84" t="n">
        <v>10</v>
      </c>
      <c r="W84" t="n">
        <v>16</v>
      </c>
      <c r="X84" s="3" t="n">
        <v>10.8</v>
      </c>
      <c r="Y84" s="1" t="n">
        <v>0.8</v>
      </c>
      <c r="Z84" s="3">
        <f>Y84*X84</f>
        <v>8.64</v>
      </c>
      <c r="AA84" s="3">
        <f>IF(I84&lt;&gt;"",X84/INDEX('energy battery'!$B$3:$D$6,MATCH('vehicles specifications'!$D84,'energy battery'!$A$3:$A$6,0),MATCH('vehicles specifications'!$I84,'energy battery'!$B$2:$D$2,0)),"")</f>
        <v>21.6</v>
      </c>
      <c r="AB84" s="3">
        <f>IF(AA84&lt;&gt;"",0.3*AA84,"")</f>
        <v>6.48</v>
      </c>
      <c r="AC84" s="3">
        <f>IF(AA84&lt;&gt;"",AB84+AA84,"")</f>
        <v>28.080000000000002</v>
      </c>
      <c r="AD84" s="3" t="n">
        <v>0</v>
      </c>
      <c r="AE84" s="3" t="n">
        <v>0</v>
      </c>
      <c r="AF84">
        <f>AE84*'fuels and tailpipe emissions'!$B$3</f>
        <v>0</v>
      </c>
      <c r="AG84" t="n">
        <v>0</v>
      </c>
      <c r="AH84" s="3" t="n">
        <v>0</v>
      </c>
      <c r="AI84" s="3" t="n">
        <v>3</v>
      </c>
      <c r="AJ84" s="3" t="n">
        <v>1</v>
      </c>
      <c r="AK84">
        <f>J84/25000</f>
        <v>1</v>
      </c>
      <c r="AL84">
        <f>0.000537/1000*Q84</f>
        <v>1.134144E-4</v>
      </c>
      <c r="AM84" t="n">
        <v>0.00129</v>
      </c>
      <c r="AN84" s="2">
        <f>U84</f>
        <v>78.11999999999999</v>
      </c>
      <c r="AO84" s="2">
        <f>SUM(V84:W84)</f>
        <v>26</v>
      </c>
      <c r="AP84" s="2">
        <f>AC84</f>
        <v>28.080000000000002</v>
      </c>
      <c r="AQ84" s="6" t="inlineStr"/>
      <c r="AR84" s="20" t="n"/>
      <c r="AS84" s="5" t="n">
        <v>0.1894149615567632</v>
      </c>
      <c r="AT84" s="2">
        <f>SUM(Z84,AG84)/(SUM(AQ84,AS84)/3.6)</f>
        <v>164.21089308026419</v>
      </c>
      <c r="AU84" s="5" t="n">
        <v>0</v>
      </c>
      <c r="AV84" s="5" t="n">
        <v>0</v>
      </c>
      <c r="AW84" s="7" t="n">
        <v>0</v>
      </c>
      <c r="AX84" s="7" t="n">
        <v>0</v>
      </c>
      <c r="AY84" s="7" t="n">
        <v>0</v>
      </c>
      <c r="AZ84" s="7" t="n">
        <v>0</v>
      </c>
      <c r="BA84" s="7" t="n">
        <v>0</v>
      </c>
      <c r="BB84" s="7" t="n">
        <v>0</v>
      </c>
      <c r="BC84" s="7" t="n">
        <v>0</v>
      </c>
      <c r="BD84" s="7" t="n">
        <v>0</v>
      </c>
      <c r="BE84" s="7" t="n">
        <v>0</v>
      </c>
      <c r="BF84" s="7" t="n">
        <v>0</v>
      </c>
      <c r="BG84" s="7" t="n">
        <v>0</v>
      </c>
      <c r="BH84" s="7" t="n">
        <v>0</v>
      </c>
      <c r="BI84" s="7" t="n">
        <v>0</v>
      </c>
      <c r="BJ84" s="7" t="n">
        <v>0</v>
      </c>
      <c r="BK84" s="7" t="n">
        <v>0</v>
      </c>
      <c r="BL84" s="7" t="n">
        <v>0</v>
      </c>
      <c r="BM84" s="7" t="n">
        <v>0</v>
      </c>
      <c r="BN84" s="7" t="n">
        <v>0</v>
      </c>
      <c r="BO84" s="7" t="n">
        <v>0</v>
      </c>
      <c r="BP84" s="7" t="n">
        <v>0</v>
      </c>
      <c r="BQ84" s="7" t="n">
        <v>0</v>
      </c>
      <c r="BR84" s="7" t="n">
        <v>0</v>
      </c>
      <c r="BS84" s="7" t="n">
        <v>0</v>
      </c>
      <c r="BT84" s="7" t="n">
        <v>0</v>
      </c>
      <c r="BU84" s="7" t="n">
        <v>0</v>
      </c>
      <c r="BV84" s="7" t="n">
        <v>0</v>
      </c>
      <c r="BW84" s="7" t="n">
        <v>0</v>
      </c>
      <c r="BX84" s="7" t="n">
        <v>0</v>
      </c>
      <c r="BY84" s="7" t="n">
        <v>0</v>
      </c>
      <c r="BZ84" s="7" t="n">
        <v>0</v>
      </c>
      <c r="CA84" s="7" t="n">
        <v>0</v>
      </c>
      <c r="CB84" s="7" t="n">
        <v>0</v>
      </c>
      <c r="CC84" s="7" t="n">
        <v>0</v>
      </c>
      <c r="CD84" s="7" t="n">
        <v>0</v>
      </c>
      <c r="CE84" s="7" t="n">
        <v>0</v>
      </c>
      <c r="CF84" s="7" t="n">
        <v>0</v>
      </c>
      <c r="CG84" s="7" t="n">
        <v>0</v>
      </c>
      <c r="CH84" s="7" t="n">
        <v>0</v>
      </c>
      <c r="CI84" s="7" t="n">
        <v>0</v>
      </c>
      <c r="CJ84" s="7" t="n">
        <v>0</v>
      </c>
      <c r="CK84" s="38">
        <f>VLOOKUP($B84,'abrasion emissions'!$O$7:$R$36,2,FALSE)</f>
        <v>0.5</v>
      </c>
      <c r="CL84" s="38">
        <f>VLOOKUP($B84,'abrasion emissions'!$O$7:$R$36,3,FALSE)</f>
        <v>0.5</v>
      </c>
      <c r="CM84" s="38">
        <f>VLOOKUP($B84,'abrasion emissions'!$O$7:$R$36,4,FALSE)</f>
        <v>0</v>
      </c>
      <c r="CN84" s="7">
        <f>((SUMIFS('abrasion emissions'!$M$7:$M$34,'abrasion emissions'!$I$7:$I$34,"PM 2.5",'abrasion emissions'!$J$7:$J$34,"urban",'abrasion emissions'!$K$7:$K$34,"Tyre",'abrasion emissions'!$L$7:$L$34,"b")*POWER(('vehicles specifications'!$Q84/1000),(1/SUMIFS('abrasion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specifications'!$P84/1000),(1/SUMIFS('abrasion emissions'!$M$7:$M$34,'abrasion emissions'!$I$7:$I$34,"PM 10",'abrasion emissions'!$J$7:$J$34,"urban",'abrasion emissions'!$K$7:$K$34,"Tyre",'abrasion emissions'!$L$7:$L$34,"c")))))/1000000</f>
        <v>6.5769655240526869E-6</v>
      </c>
      <c r="CO84" s="7">
        <f>((SUMIFS('abrasion emissions'!$M$7:$M$34,'abrasion emissions'!$I$7:$I$34,"PM 2.5",'abrasion emissions'!$J$7:$J$34,"rural",'abrasion emissions'!$K$7:$K$34,"Tyre",'abrasion emissions'!$L$7:$L$34,"b")*POWER(('vehicles specifications'!$Q84/1000),(1/SUMIFS('abrasion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specifications'!$P84/1000),(1/SUMIFS('abrasion emissions'!$M$7:$M$34,'abrasion emissions'!$I$7:$I$34,"PM 10",'abrasion emissions'!$J$7:$J$34,"rural",'abrasion emissions'!$K$7:$K$34,"Tyre",'abrasion emissions'!$L$7:$L$34,"c")))))/1000000</f>
        <v>5.1221103496332357E-6</v>
      </c>
      <c r="CP84" s="7">
        <f>((SUMIFS('abrasion emissions'!$M$7:$M$34,'abrasion emissions'!$I$7:$I$34,"PM 2.5",'abrasion emissions'!$J$7:$J$34,"motorway",'abrasion emissions'!$K$7:$K$34,"Tyre",'abrasion emissions'!$L$7:$L$34,"b")*POWER(('vehicles specifications'!$Q84/1000),(1/SUMIFS('abrasion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specifications'!$P84/1000),(1/SUMIFS('abrasion emissions'!$M$7:$M$34,'abrasion emissions'!$I$7:$I$34,"PM 10",'abrasion emissions'!$J$7:$J$34,"motorway",'abrasion emissions'!$K$7:$K$34,"Tyre",'abrasion emissions'!$L$7:$L$34,"c")))))/1000000</f>
        <v>4.3739385608451761E-6</v>
      </c>
      <c r="CQ84" s="7">
        <f>((SUMIFS('abrasion emissions'!$M$7:$M$34,'abrasion emissions'!$I$7:$I$34,"PM 2.5",'abrasion emissions'!$J$7:$J$34,"urban",'abrasion emissions'!$K$7:$K$34,"Brake",'abrasion emissions'!$L$7:$L$34,"b")*POWER(('vehicles specifications'!$Q84/1000),(1/SUMIFS('abrasion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specifications'!$P84/1000),(1/SUMIFS('abrasion emissions'!$M$7:$M$34,'abrasion emissions'!$I$7:$I$34,"PM 10",'abrasion emissions'!$J$7:$J$34,"urban",'abrasion emissions'!$K$7:$K$34,"Brake",'abrasion emissions'!$L$7:$L$34,"c")))))/1000000</f>
        <v>6.3004354443800739E-6</v>
      </c>
      <c r="CR84" s="7">
        <f>((SUMIFS('abrasion emissions'!$M$7:$M$34,'abrasion emissions'!$I$7:$I$34,"PM 2.5",'abrasion emissions'!$J$7:$J$34,"rural",'abrasion emissions'!$K$7:$K$34,"Brake",'abrasion emissions'!$L$7:$L$34,"b")*POWER(('vehicles specifications'!$Q84/1000),(1/SUMIFS('abrasion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specifications'!$P84/1000),(1/SUMIFS('abrasion emissions'!$M$7:$M$34,'abrasion emissions'!$I$7:$I$34,"PM 10",'abrasion emissions'!$J$7:$J$34,"rural",'abrasion emissions'!$K$7:$K$34,"Brake",'abrasion emissions'!$L$7:$L$34,"c")))))/1000000</f>
        <v>2.0630284429479404E-6</v>
      </c>
      <c r="CS84" s="7">
        <f>((SUMIFS('abrasion emissions'!$M$7:$M$34,'abrasion emissions'!$I$7:$I$34,"PM 2.5",'abrasion emissions'!$J$7:$J$34,"motorway",'abrasion emissions'!$K$7:$K$34,"Brake",'abrasion emissions'!$L$7:$L$34,"b")*POWER(('vehicles specifications'!$Q84/1000),(1/SUMIFS('abrasion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specifications'!$P84/1000),(1/SUMIFS('abrasion emissions'!$M$7:$M$34,'abrasion emissions'!$I$7:$I$34,"PM 10",'abrasion emissions'!$J$7:$J$34,"motorway",'abrasion emissions'!$K$7:$K$34,"Brake",'abrasion emissions'!$L$7:$L$34,"c")))))/1000000</f>
        <v>3.8671639986502506E-7</v>
      </c>
      <c r="CT84" s="7">
        <f>((SUMIFS('abrasion emissions'!$M$7:$M$38,'abrasion emissions'!$I$7:$I$38,"PM 2.5",'abrasion emissions'!$K$7:$K$38,"Re-susp.",'abrasion emissions'!$L$7:$L$38,"b")*POWER(('vehicles specifications'!$Q84/1000),(1/SUMIFS('abrasion emissions'!$M$7:$M$38,'abrasion emissions'!$I$7:$I$38,"PM 2.5",'abrasion emissions'!$K$7:$K$38,"Re-susp.",'abrasion emissions'!$L$7:$L$38,"c"))))+
(SUMIFS('abrasion emissions'!$M$7:$M$38,'abrasion emissions'!$I$7:$I$38,"PM 10",'abrasion emissions'!$K$7:$K$38,"Re-susp.",'abrasion emissions'!$L$7:$L$38,"b")*POWER(('vehicles specifications'!$Q84/1000),(1/SUMIFS('abrasion emissions'!$M$7:$M$38,'abrasion emissions'!$I$7:$I$38,"PM 10",'abrasion emissions'!$K$7:$K$38,"Re-susp.",'abrasion emissions'!$L$7:$L$38,"c")))))/1000000</f>
        <v>3.9895987972749974E-6</v>
      </c>
      <c r="CU84" s="7">
        <f>((SUMIFS('abrasion emissions'!$M$7:$M$38,'abrasion emissions'!$I$7:$I$38,"PM 2.5",'abrasion emissions'!$K$7:$K$38,"Road",'abrasion emissions'!$L$7:$L$38,"b")*POWER(('vehicles specifications'!$Q84/1000),(1/SUMIFS('abrasion emissions'!$M$7:$M$38,'abrasion emissions'!$I$7:$I$38,"PM 2.5",'abrasion emissions'!$K$7:$K$38,"Road",'abrasion emissions'!$L$7:$L$38,"c"))))+
(SUMIFS('abrasion emissions'!$M$7:$M$38,'abrasion emissions'!$I$7:$I$38,"PM 10",'abrasion emissions'!$K$7:$K$38,"Road",'abrasion emissions'!$L$7:$L$38,"b")*POWER(('vehicles specifications'!$Q84/1000),(1/SUMIFS('abrasion emissions'!$M$7:$M$38,'abrasion emissions'!$I$7:$I$38,"PM 10",'abrasion emissions'!$K$7:$K$38,"Road",'abrasion emissions'!$L$7:$L$38,"c")))))/1000000+CT84</f>
        <v>7.6069952996690376E-6</v>
      </c>
      <c r="CV84" s="7">
        <f>(CK84*CN84)+(CL84*CO84)+(CM84*CP84)</f>
        <v>5.8495379368429613E-6</v>
      </c>
      <c r="CW84" s="7">
        <f>(CK84*CQ84)+(CL84*CR84)+(CM84*CS84)</f>
        <v>4.1817319436640074E-6</v>
      </c>
    </row>
    <row r="85">
      <c r="A85" t="str">
        <f>B85&amp;" - "&amp;D85&amp;" - "&amp;IF(I85&lt;&gt;"",I85&amp;" - "&amp;E85,E85)</f>
        <v>Scooter, battery electric, &lt;4kW - 2020 - LFP - CH</v>
      </c>
      <c r="B85" t="inlineStr">
        <is>
          <t>Scooter, battery electric, &lt;4kW</t>
        </is>
      </c>
      <c r="D85" s="18" t="n">
        <v>2020</v>
      </c>
      <c r="E85" t="inlineStr">
        <is>
          <t>CH</t>
        </is>
      </c>
      <c r="F85" t="inlineStr">
        <is>
          <t>None</t>
        </is>
      </c>
      <c r="G85" t="inlineStr">
        <is>
          <t>vkm</t>
        </is>
      </c>
      <c r="H85" t="inlineStr">
        <is>
          <t>BEV</t>
        </is>
      </c>
      <c r="I85" t="inlineStr">
        <is>
          <t>LFP</t>
        </is>
      </c>
      <c r="J85" t="n">
        <v>25000</v>
      </c>
      <c r="K85" t="n">
        <v>1570</v>
      </c>
      <c r="L85" s="2">
        <f>J85/K85</f>
        <v>15.923566878980891</v>
      </c>
      <c r="M85" t="n">
        <v>1</v>
      </c>
      <c r="N85" t="n">
        <v>75</v>
      </c>
      <c r="O85" t="n">
        <v>4</v>
      </c>
      <c r="P85" s="2">
        <f>SUM(U85,V85,W85,AC85,AF85,AH85)</f>
        <v>104.4</v>
      </c>
      <c r="Q85" s="2">
        <f>P85+(M85*N85)+O85</f>
        <v>183.4</v>
      </c>
      <c r="R85" t="n">
        <v>2.6</v>
      </c>
      <c r="S85" s="2" t="n">
        <v>73</v>
      </c>
      <c r="T85" s="1" t="n">
        <v>0</v>
      </c>
      <c r="U85" s="2">
        <f>S85*(1-T85)</f>
        <v>73</v>
      </c>
      <c r="V85" t="n">
        <v>5</v>
      </c>
      <c r="W85" t="n">
        <v>8</v>
      </c>
      <c r="X85" s="3" t="n">
        <v>2.3</v>
      </c>
      <c r="Y85" s="1" t="n">
        <v>0.8</v>
      </c>
      <c r="Z85" s="3">
        <f>Y85*X85</f>
        <v>1.8399999999999999</v>
      </c>
      <c r="AA85" s="3">
        <f>IF(I85&lt;&gt;"",X85/INDEX('energy battery'!$B$3:$D$6,MATCH('vehicles specifications'!$D85,'energy battery'!$A$3:$A$6,0),MATCH('vehicles specifications'!$I85,'energy battery'!$B$2:$D$2,0)),"")</f>
        <v>15.333333333333332</v>
      </c>
      <c r="AB85" s="3">
        <f>IF(AA85&lt;&gt;"",0.2*AA85,"")</f>
        <v>3.0666666666666664</v>
      </c>
      <c r="AC85" s="3">
        <f>IF(AA85&lt;&gt;"",AB85+AA85,"")</f>
        <v>18.399999999999999</v>
      </c>
      <c r="AD85" s="3" t="n">
        <v>1</v>
      </c>
      <c r="AE85" s="3" t="n">
        <v>0</v>
      </c>
      <c r="AF85">
        <f>AE85*'fuels and tailpipe emissions'!$B$3</f>
        <v>0</v>
      </c>
      <c r="AG85" t="n">
        <v>0</v>
      </c>
      <c r="AH85" s="3" t="n">
        <v>0</v>
      </c>
      <c r="AI85" s="3" t="n">
        <v>3</v>
      </c>
      <c r="AJ85" s="3" t="n">
        <v>1</v>
      </c>
      <c r="AK85">
        <f>J85/25000</f>
        <v>1</v>
      </c>
      <c r="AL85">
        <f>0.000537/1000*Q85</f>
        <v>9.8485800000000005E-5</v>
      </c>
      <c r="AM85" t="n">
        <v>0.00129</v>
      </c>
      <c r="AN85" s="2">
        <f>U85</f>
        <v>73</v>
      </c>
      <c r="AO85" s="2">
        <f>SUM(V85:W85)</f>
        <v>13</v>
      </c>
      <c r="AP85" s="2">
        <f>AC85</f>
        <v>18.399999999999999</v>
      </c>
      <c r="AQ85" s="6" t="inlineStr"/>
      <c r="AR85" s="20" t="n"/>
      <c r="AS85" s="5" t="n">
        <v>0.1334361071081471</v>
      </c>
      <c r="AT85" s="2">
        <f>SUM(Z85,AG85)/(SUM(AQ85,AS85)/3.6)</f>
        <v>49.641735985533444</v>
      </c>
      <c r="AU85" s="5" t="n">
        <v>0</v>
      </c>
      <c r="AV85" s="5" t="n">
        <v>0</v>
      </c>
      <c r="AW85" s="7" t="n">
        <v>0</v>
      </c>
      <c r="AX85" s="7" t="n">
        <v>0</v>
      </c>
      <c r="AY85" s="7" t="n">
        <v>0</v>
      </c>
      <c r="AZ85" s="7" t="n">
        <v>0</v>
      </c>
      <c r="BA85" s="7" t="n">
        <v>0</v>
      </c>
      <c r="BB85" s="7" t="n">
        <v>0</v>
      </c>
      <c r="BC85" s="7" t="n">
        <v>0</v>
      </c>
      <c r="BD85" s="7" t="n">
        <v>0</v>
      </c>
      <c r="BE85" s="7" t="n">
        <v>0</v>
      </c>
      <c r="BF85" s="7" t="n">
        <v>0</v>
      </c>
      <c r="BG85" s="7" t="n">
        <v>0</v>
      </c>
      <c r="BH85" s="7" t="n">
        <v>0</v>
      </c>
      <c r="BI85" s="7" t="n">
        <v>0</v>
      </c>
      <c r="BJ85" s="7" t="n">
        <v>0</v>
      </c>
      <c r="BK85" s="7" t="n">
        <v>0</v>
      </c>
      <c r="BL85" s="7" t="n">
        <v>0</v>
      </c>
      <c r="BM85" s="7" t="n">
        <v>0</v>
      </c>
      <c r="BN85" s="7" t="n">
        <v>0</v>
      </c>
      <c r="BO85" s="7" t="n">
        <v>0</v>
      </c>
      <c r="BP85" s="7" t="n">
        <v>0</v>
      </c>
      <c r="BQ85" s="7" t="n">
        <v>0</v>
      </c>
      <c r="BR85" s="7" t="n">
        <v>0</v>
      </c>
      <c r="BS85" s="7" t="n">
        <v>0</v>
      </c>
      <c r="BT85" s="7" t="n">
        <v>0</v>
      </c>
      <c r="BU85" s="7" t="n">
        <v>0</v>
      </c>
      <c r="BV85" s="7" t="n">
        <v>0</v>
      </c>
      <c r="BW85" s="7" t="n">
        <v>0</v>
      </c>
      <c r="BX85" s="7" t="n">
        <v>0</v>
      </c>
      <c r="BY85" s="7" t="n">
        <v>0</v>
      </c>
      <c r="BZ85" s="7" t="n">
        <v>0</v>
      </c>
      <c r="CA85" s="7" t="n">
        <v>0</v>
      </c>
      <c r="CB85" s="7" t="n">
        <v>0</v>
      </c>
      <c r="CC85" s="7" t="n">
        <v>0</v>
      </c>
      <c r="CD85" s="7" t="n">
        <v>0</v>
      </c>
      <c r="CE85" s="7" t="n">
        <v>0</v>
      </c>
      <c r="CF85" s="7" t="n">
        <v>0</v>
      </c>
      <c r="CG85" s="7" t="n">
        <v>0</v>
      </c>
      <c r="CH85" s="7" t="n">
        <v>0</v>
      </c>
      <c r="CI85" s="7" t="n">
        <v>0</v>
      </c>
      <c r="CJ85" s="7" t="n">
        <v>0</v>
      </c>
      <c r="CK85" s="38">
        <f>VLOOKUP($B85,'abrasion emissions'!$O$7:$R$36,2,FALSE)</f>
        <v>0.5</v>
      </c>
      <c r="CL85" s="38">
        <f>VLOOKUP($B85,'abrasion emissions'!$O$7:$R$36,3,FALSE)</f>
        <v>0.5</v>
      </c>
      <c r="CM85" s="38">
        <f>VLOOKUP($B85,'abrasion emissions'!$O$7:$R$36,4,FALSE)</f>
        <v>0</v>
      </c>
      <c r="CN85" s="7">
        <f>((SUMIFS('abrasion emissions'!$M$7:$M$34,'abrasion emissions'!$I$7:$I$34,"PM 2.5",'abrasion emissions'!$J$7:$J$34,"urban",'abrasion emissions'!$K$7:$K$34,"Tyre",'abrasion emissions'!$L$7:$L$34,"b")*POWER(('vehicles specifications'!$Q85/1000),(1/SUMIFS('abrasion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specifications'!$P85/1000),(1/SUMIFS('abrasion emissions'!$M$7:$M$34,'abrasion emissions'!$I$7:$I$34,"PM 10",'abrasion emissions'!$J$7:$J$34,"urban",'abrasion emissions'!$K$7:$K$34,"Tyre",'abrasion emissions'!$L$7:$L$34,"c")))))/1000000</f>
        <v>6.0939883487702139E-6</v>
      </c>
      <c r="CO85" s="7">
        <f>((SUMIFS('abrasion emissions'!$M$7:$M$34,'abrasion emissions'!$I$7:$I$34,"PM 2.5",'abrasion emissions'!$J$7:$J$34,"rural",'abrasion emissions'!$K$7:$K$34,"Tyre",'abrasion emissions'!$L$7:$L$34,"b")*POWER(('vehicles specifications'!$Q85/1000),(1/SUMIFS('abrasion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specifications'!$P85/1000),(1/SUMIFS('abrasion emissions'!$M$7:$M$34,'abrasion emissions'!$I$7:$I$34,"PM 10",'abrasion emissions'!$J$7:$J$34,"rural",'abrasion emissions'!$K$7:$K$34,"Tyre",'abrasion emissions'!$L$7:$L$34,"c")))))/1000000</f>
        <v>4.7462384289897407E-6</v>
      </c>
      <c r="CP85" s="7">
        <f>((SUMIFS('abrasion emissions'!$M$7:$M$34,'abrasion emissions'!$I$7:$I$34,"PM 2.5",'abrasion emissions'!$J$7:$J$34,"motorway",'abrasion emissions'!$K$7:$K$34,"Tyre",'abrasion emissions'!$L$7:$L$34,"b")*POWER(('vehicles specifications'!$Q85/1000),(1/SUMIFS('abrasion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specifications'!$P85/1000),(1/SUMIFS('abrasion emissions'!$M$7:$M$34,'abrasion emissions'!$I$7:$I$34,"PM 10",'abrasion emissions'!$J$7:$J$34,"motorway",'abrasion emissions'!$K$7:$K$34,"Tyre",'abrasion emissions'!$L$7:$L$34,"c")))))/1000000</f>
        <v>4.0536429430964356E-6</v>
      </c>
      <c r="CQ85" s="7">
        <f>((SUMIFS('abrasion emissions'!$M$7:$M$34,'abrasion emissions'!$I$7:$I$34,"PM 2.5",'abrasion emissions'!$J$7:$J$34,"urban",'abrasion emissions'!$K$7:$K$34,"Brake",'abrasion emissions'!$L$7:$L$34,"b")*POWER(('vehicles specifications'!$Q85/1000),(1/SUMIFS('abrasion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specifications'!$P85/1000),(1/SUMIFS('abrasion emissions'!$M$7:$M$34,'abrasion emissions'!$I$7:$I$34,"PM 10",'abrasion emissions'!$J$7:$J$34,"urban",'abrasion emissions'!$K$7:$K$34,"Brake",'abrasion emissions'!$L$7:$L$34,"c")))))/1000000</f>
        <v>5.7838594585083416E-6</v>
      </c>
      <c r="CR85" s="7">
        <f>((SUMIFS('abrasion emissions'!$M$7:$M$34,'abrasion emissions'!$I$7:$I$34,"PM 2.5",'abrasion emissions'!$J$7:$J$34,"rural",'abrasion emissions'!$K$7:$K$34,"Brake",'abrasion emissions'!$L$7:$L$34,"b")*POWER(('vehicles specifications'!$Q85/1000),(1/SUMIFS('abrasion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specifications'!$P85/1000),(1/SUMIFS('abrasion emissions'!$M$7:$M$34,'abrasion emissions'!$I$7:$I$34,"PM 10",'abrasion emissions'!$J$7:$J$34,"rural",'abrasion emissions'!$K$7:$K$34,"Brake",'abrasion emissions'!$L$7:$L$34,"c")))))/1000000</f>
        <v>1.8516896947047957E-6</v>
      </c>
      <c r="CS85" s="7">
        <f>((SUMIFS('abrasion emissions'!$M$7:$M$34,'abrasion emissions'!$I$7:$I$34,"PM 2.5",'abrasion emissions'!$J$7:$J$34,"motorway",'abrasion emissions'!$K$7:$K$34,"Brake",'abrasion emissions'!$L$7:$L$34,"b")*POWER(('vehicles specifications'!$Q85/1000),(1/SUMIFS('abrasion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specifications'!$P85/1000),(1/SUMIFS('abrasion emissions'!$M$7:$M$34,'abrasion emissions'!$I$7:$I$34,"PM 10",'abrasion emissions'!$J$7:$J$34,"motorway",'abrasion emissions'!$K$7:$K$34,"Brake",'abrasion emissions'!$L$7:$L$34,"c")))))/1000000</f>
        <v>3.4160088586697583E-7</v>
      </c>
      <c r="CT85" s="7">
        <f>((SUMIFS('abrasion emissions'!$M$7:$M$38,'abrasion emissions'!$I$7:$I$38,"PM 2.5",'abrasion emissions'!$K$7:$K$38,"Re-susp.",'abrasion emissions'!$L$7:$L$38,"b")*POWER(('vehicles specifications'!$Q85/1000),(1/SUMIFS('abrasion emissions'!$M$7:$M$38,'abrasion emissions'!$I$7:$I$38,"PM 2.5",'abrasion emissions'!$K$7:$K$38,"Re-susp.",'abrasion emissions'!$L$7:$L$38,"c"))))+
(SUMIFS('abrasion emissions'!$M$7:$M$38,'abrasion emissions'!$I$7:$I$38,"PM 10",'abrasion emissions'!$K$7:$K$38,"Re-susp.",'abrasion emissions'!$L$7:$L$38,"b")*POWER(('vehicles specifications'!$Q85/1000),(1/SUMIFS('abrasion emissions'!$M$7:$M$38,'abrasion emissions'!$I$7:$I$38,"PM 10",'abrasion emissions'!$K$7:$K$38,"Re-susp.",'abrasion emissions'!$L$7:$L$38,"c")))))/1000000</f>
        <v>3.5091899469670075E-6</v>
      </c>
      <c r="CU85" s="7">
        <f>((SUMIFS('abrasion emissions'!$M$7:$M$38,'abrasion emissions'!$I$7:$I$38,"PM 2.5",'abrasion emissions'!$K$7:$K$38,"Road",'abrasion emissions'!$L$7:$L$38,"b")*POWER(('vehicles specifications'!$Q85/1000),(1/SUMIFS('abrasion emissions'!$M$7:$M$38,'abrasion emissions'!$I$7:$I$38,"PM 2.5",'abrasion emissions'!$K$7:$K$38,"Road",'abrasion emissions'!$L$7:$L$38,"c"))))+
(SUMIFS('abrasion emissions'!$M$7:$M$38,'abrasion emissions'!$I$7:$I$38,"PM 10",'abrasion emissions'!$K$7:$K$38,"Road",'abrasion emissions'!$L$7:$L$38,"b")*POWER(('vehicles specifications'!$Q85/1000),(1/SUMIFS('abrasion emissions'!$M$7:$M$38,'abrasion emissions'!$I$7:$I$38,"PM 10",'abrasion emissions'!$K$7:$K$38,"Road",'abrasion emissions'!$L$7:$L$38,"c")))))/1000000+CT85</f>
        <v>6.8017451062921886E-6</v>
      </c>
      <c r="CV85" s="7">
        <f>(CK85*CN85)+(CL85*CO85)+(CM85*CP85)</f>
        <v>5.4201133888799773E-6</v>
      </c>
      <c r="CW85" s="7">
        <f>(CK85*CQ85)+(CL85*CR85)+(CM85*CS85)</f>
        <v>3.817774576606569E-6</v>
      </c>
    </row>
    <row r="86">
      <c r="A86" t="str">
        <f>B86&amp;" - "&amp;D86&amp;" - "&amp;IF(I86&lt;&gt;"",I86&amp;" - "&amp;E86,E86)</f>
        <v>Scooter, battery electric, &lt;4kW - 2030 - LFP - CH</v>
      </c>
      <c r="B86" t="inlineStr">
        <is>
          <t>Scooter, battery electric, &lt;4kW</t>
        </is>
      </c>
      <c r="D86" s="18" t="n">
        <v>2030</v>
      </c>
      <c r="E86" t="inlineStr">
        <is>
          <t>CH</t>
        </is>
      </c>
      <c r="F86" t="inlineStr">
        <is>
          <t>None</t>
        </is>
      </c>
      <c r="G86" t="inlineStr">
        <is>
          <t>vkm</t>
        </is>
      </c>
      <c r="H86" t="inlineStr">
        <is>
          <t>BEV</t>
        </is>
      </c>
      <c r="I86" t="inlineStr">
        <is>
          <t>LFP</t>
        </is>
      </c>
      <c r="J86" t="n">
        <v>25000</v>
      </c>
      <c r="K86" t="n">
        <v>1570</v>
      </c>
      <c r="L86" s="2">
        <f>J86/K86</f>
        <v>15.923566878980891</v>
      </c>
      <c r="M86" t="n">
        <v>1</v>
      </c>
      <c r="N86" t="n">
        <v>75</v>
      </c>
      <c r="O86" t="n">
        <v>4</v>
      </c>
      <c r="P86" s="2">
        <f>SUM(U86,V86,W86,AC86,AF86,AH86)</f>
        <v>110.47666666666666</v>
      </c>
      <c r="Q86" s="2">
        <f>P86+(M86*N86)+O86</f>
        <v>189.47666666666666</v>
      </c>
      <c r="R86" t="n">
        <v>2.6</v>
      </c>
      <c r="S86" s="2" t="n">
        <v>73</v>
      </c>
      <c r="T86" s="1" t="n">
        <v>0.03</v>
      </c>
      <c r="U86" s="2">
        <f>S86*(1-T86)</f>
        <v>70.81</v>
      </c>
      <c r="V86" t="n">
        <v>5</v>
      </c>
      <c r="W86" t="n">
        <v>8</v>
      </c>
      <c r="X86" s="3" t="n">
        <v>4</v>
      </c>
      <c r="Y86" s="1" t="n">
        <v>0.8</v>
      </c>
      <c r="Z86" s="3">
        <f>Y86*X86</f>
        <v>3.2</v>
      </c>
      <c r="AA86" s="3">
        <f>IF(I86&lt;&gt;"",X86/INDEX('energy battery'!$B$3:$D$6,MATCH('vehicles specifications'!$D86,'energy battery'!$A$3:$A$6,0),MATCH('vehicles specifications'!$I86,'energy battery'!$B$2:$D$2,0)),"")</f>
        <v>22.222222222222221</v>
      </c>
      <c r="AB86" s="3">
        <f>IF(AA86&lt;&gt;"",0.2*AA86,"")</f>
        <v>4.4444444444444446</v>
      </c>
      <c r="AC86" s="3">
        <f>IF(AA86&lt;&gt;"",AB86+AA86,"")</f>
        <v>26.666666666666664</v>
      </c>
      <c r="AD86" s="3" t="n">
        <v>0.5</v>
      </c>
      <c r="AE86" s="3" t="n">
        <v>0</v>
      </c>
      <c r="AF86">
        <f>AE86*'fuels and tailpipe emissions'!$B$3</f>
        <v>0</v>
      </c>
      <c r="AG86" t="n">
        <v>0</v>
      </c>
      <c r="AH86" s="3" t="n">
        <v>0</v>
      </c>
      <c r="AI86" s="3" t="n">
        <v>3</v>
      </c>
      <c r="AJ86" s="3" t="n">
        <v>1</v>
      </c>
      <c r="AK86">
        <f>J86/25000</f>
        <v>1</v>
      </c>
      <c r="AL86">
        <f>0.000537/1000*Q86</f>
        <v>1.0174897E-4</v>
      </c>
      <c r="AM86" t="n">
        <v>0.00129</v>
      </c>
      <c r="AN86" s="2">
        <f>U86</f>
        <v>70.81</v>
      </c>
      <c r="AO86" s="2">
        <f>SUM(V86:W86)</f>
        <v>13</v>
      </c>
      <c r="AP86" s="2">
        <f>AC86</f>
        <v>26.666666666666664</v>
      </c>
      <c r="AQ86" s="6" t="inlineStr"/>
      <c r="AR86" s="20" t="n"/>
      <c r="AS86" s="5" t="n">
        <v>0.1334361071081471</v>
      </c>
      <c r="AT86" s="2">
        <f>SUM(Z86,AG86)/(SUM(AQ86,AS86)/3.6)</f>
        <v>86.333453887884261</v>
      </c>
      <c r="AU86" s="5" t="n">
        <v>0</v>
      </c>
      <c r="AV86" s="5" t="n">
        <v>0</v>
      </c>
      <c r="AW86" s="7" t="n">
        <v>0</v>
      </c>
      <c r="AX86" s="7" t="n">
        <v>0</v>
      </c>
      <c r="AY86" s="7" t="n">
        <v>0</v>
      </c>
      <c r="AZ86" s="7" t="n">
        <v>0</v>
      </c>
      <c r="BA86" s="7" t="n">
        <v>0</v>
      </c>
      <c r="BB86" s="7" t="n">
        <v>0</v>
      </c>
      <c r="BC86" s="7" t="n">
        <v>0</v>
      </c>
      <c r="BD86" s="7" t="n">
        <v>0</v>
      </c>
      <c r="BE86" s="7" t="n">
        <v>0</v>
      </c>
      <c r="BF86" s="7" t="n">
        <v>0</v>
      </c>
      <c r="BG86" s="7" t="n">
        <v>0</v>
      </c>
      <c r="BH86" s="7" t="n">
        <v>0</v>
      </c>
      <c r="BI86" s="7" t="n">
        <v>0</v>
      </c>
      <c r="BJ86" s="7" t="n">
        <v>0</v>
      </c>
      <c r="BK86" s="7" t="n">
        <v>0</v>
      </c>
      <c r="BL86" s="7" t="n">
        <v>0</v>
      </c>
      <c r="BM86" s="7" t="n">
        <v>0</v>
      </c>
      <c r="BN86" s="7" t="n">
        <v>0</v>
      </c>
      <c r="BO86" s="7" t="n">
        <v>0</v>
      </c>
      <c r="BP86" s="7" t="n">
        <v>0</v>
      </c>
      <c r="BQ86" s="7" t="n">
        <v>0</v>
      </c>
      <c r="BR86" s="7" t="n">
        <v>0</v>
      </c>
      <c r="BS86" s="7" t="n">
        <v>0</v>
      </c>
      <c r="BT86" s="7" t="n">
        <v>0</v>
      </c>
      <c r="BU86" s="7" t="n">
        <v>0</v>
      </c>
      <c r="BV86" s="7" t="n">
        <v>0</v>
      </c>
      <c r="BW86" s="7" t="n">
        <v>0</v>
      </c>
      <c r="BX86" s="7" t="n">
        <v>0</v>
      </c>
      <c r="BY86" s="7" t="n">
        <v>0</v>
      </c>
      <c r="BZ86" s="7" t="n">
        <v>0</v>
      </c>
      <c r="CA86" s="7" t="n">
        <v>0</v>
      </c>
      <c r="CB86" s="7" t="n">
        <v>0</v>
      </c>
      <c r="CC86" s="7" t="n">
        <v>0</v>
      </c>
      <c r="CD86" s="7" t="n">
        <v>0</v>
      </c>
      <c r="CE86" s="7" t="n">
        <v>0</v>
      </c>
      <c r="CF86" s="7" t="n">
        <v>0</v>
      </c>
      <c r="CG86" s="7" t="n">
        <v>0</v>
      </c>
      <c r="CH86" s="7" t="n">
        <v>0</v>
      </c>
      <c r="CI86" s="7" t="n">
        <v>0</v>
      </c>
      <c r="CJ86" s="7" t="n">
        <v>0</v>
      </c>
      <c r="CK86" s="38">
        <f>VLOOKUP($B86,'abrasion emissions'!$O$7:$R$36,2,FALSE)</f>
        <v>0.5</v>
      </c>
      <c r="CL86" s="38">
        <f>VLOOKUP($B86,'abrasion emissions'!$O$7:$R$36,3,FALSE)</f>
        <v>0.5</v>
      </c>
      <c r="CM86" s="38">
        <f>VLOOKUP($B86,'abrasion emissions'!$O$7:$R$36,4,FALSE)</f>
        <v>0</v>
      </c>
      <c r="CN86" s="7">
        <f>((SUMIFS('abrasion emissions'!$M$7:$M$34,'abrasion emissions'!$I$7:$I$34,"PM 2.5",'abrasion emissions'!$J$7:$J$34,"urban",'abrasion emissions'!$K$7:$K$34,"Tyre",'abrasion emissions'!$L$7:$L$34,"b")*POWER(('vehicles specifications'!$Q86/1000),(1/SUMIFS('abrasion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specifications'!$P86/1000),(1/SUMIFS('abrasion emissions'!$M$7:$M$34,'abrasion emissions'!$I$7:$I$34,"PM 10",'abrasion emissions'!$J$7:$J$34,"urban",'abrasion emissions'!$K$7:$K$34,"Tyre",'abrasion emissions'!$L$7:$L$34,"c")))))/1000000</f>
        <v>6.2040519535612382E-6</v>
      </c>
      <c r="CO86" s="7">
        <f>((SUMIFS('abrasion emissions'!$M$7:$M$34,'abrasion emissions'!$I$7:$I$34,"PM 2.5",'abrasion emissions'!$J$7:$J$34,"rural",'abrasion emissions'!$K$7:$K$34,"Tyre",'abrasion emissions'!$L$7:$L$34,"b")*POWER(('vehicles specifications'!$Q86/1000),(1/SUMIFS('abrasion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specifications'!$P86/1000),(1/SUMIFS('abrasion emissions'!$M$7:$M$34,'abrasion emissions'!$I$7:$I$34,"PM 10",'abrasion emissions'!$J$7:$J$34,"rural",'abrasion emissions'!$K$7:$K$34,"Tyre",'abrasion emissions'!$L$7:$L$34,"c")))))/1000000</f>
        <v>4.8318915786994544E-6</v>
      </c>
      <c r="CP86" s="7">
        <f>((SUMIFS('abrasion emissions'!$M$7:$M$34,'abrasion emissions'!$I$7:$I$34,"PM 2.5",'abrasion emissions'!$J$7:$J$34,"motorway",'abrasion emissions'!$K$7:$K$34,"Tyre",'abrasion emissions'!$L$7:$L$34,"b")*POWER(('vehicles specifications'!$Q86/1000),(1/SUMIFS('abrasion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specifications'!$P86/1000),(1/SUMIFS('abrasion emissions'!$M$7:$M$34,'abrasion emissions'!$I$7:$I$34,"PM 10",'abrasion emissions'!$J$7:$J$34,"motorway",'abrasion emissions'!$K$7:$K$34,"Tyre",'abrasion emissions'!$L$7:$L$34,"c")))))/1000000</f>
        <v>4.1266246736648349E-6</v>
      </c>
      <c r="CQ86" s="7">
        <f>((SUMIFS('abrasion emissions'!$M$7:$M$34,'abrasion emissions'!$I$7:$I$34,"PM 2.5",'abrasion emissions'!$J$7:$J$34,"urban",'abrasion emissions'!$K$7:$K$34,"Brake",'abrasion emissions'!$L$7:$L$34,"b")*POWER(('vehicles specifications'!$Q86/1000),(1/SUMIFS('abrasion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specifications'!$P86/1000),(1/SUMIFS('abrasion emissions'!$M$7:$M$34,'abrasion emissions'!$I$7:$I$34,"PM 10",'abrasion emissions'!$J$7:$J$34,"urban",'abrasion emissions'!$K$7:$K$34,"Brake",'abrasion emissions'!$L$7:$L$34,"c")))))/1000000</f>
        <v>5.9004641510009408E-6</v>
      </c>
      <c r="CR86" s="7">
        <f>((SUMIFS('abrasion emissions'!$M$7:$M$34,'abrasion emissions'!$I$7:$I$34,"PM 2.5",'abrasion emissions'!$J$7:$J$34,"rural",'abrasion emissions'!$K$7:$K$34,"Brake",'abrasion emissions'!$L$7:$L$34,"b")*POWER(('vehicles specifications'!$Q86/1000),(1/SUMIFS('abrasion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specifications'!$P86/1000),(1/SUMIFS('abrasion emissions'!$M$7:$M$34,'abrasion emissions'!$I$7:$I$34,"PM 10",'abrasion emissions'!$J$7:$J$34,"rural",'abrasion emissions'!$K$7:$K$34,"Brake",'abrasion emissions'!$L$7:$L$34,"c")))))/1000000</f>
        <v>1.8989411957840395E-6</v>
      </c>
      <c r="CS86" s="7">
        <f>((SUMIFS('abrasion emissions'!$M$7:$M$34,'abrasion emissions'!$I$7:$I$34,"PM 2.5",'abrasion emissions'!$J$7:$J$34,"motorway",'abrasion emissions'!$K$7:$K$34,"Brake",'abrasion emissions'!$L$7:$L$34,"b")*POWER(('vehicles specifications'!$Q86/1000),(1/SUMIFS('abrasion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specifications'!$P86/1000),(1/SUMIFS('abrasion emissions'!$M$7:$M$34,'abrasion emissions'!$I$7:$I$34,"PM 10",'abrasion emissions'!$J$7:$J$34,"motorway",'abrasion emissions'!$K$7:$K$34,"Brake",'abrasion emissions'!$L$7:$L$34,"c")))))/1000000</f>
        <v>3.5161724347948208E-7</v>
      </c>
      <c r="CT86" s="7">
        <f>((SUMIFS('abrasion emissions'!$M$7:$M$38,'abrasion emissions'!$I$7:$I$38,"PM 2.5",'abrasion emissions'!$K$7:$K$38,"Re-susp.",'abrasion emissions'!$L$7:$L$38,"b")*POWER(('vehicles specifications'!$Q86/1000),(1/SUMIFS('abrasion emissions'!$M$7:$M$38,'abrasion emissions'!$I$7:$I$38,"PM 2.5",'abrasion emissions'!$K$7:$K$38,"Re-susp.",'abrasion emissions'!$L$7:$L$38,"c"))))+
(SUMIFS('abrasion emissions'!$M$7:$M$38,'abrasion emissions'!$I$7:$I$38,"PM 10",'abrasion emissions'!$K$7:$K$38,"Re-susp.",'abrasion emissions'!$L$7:$L$38,"b")*POWER(('vehicles specifications'!$Q86/1000),(1/SUMIFS('abrasion emissions'!$M$7:$M$38,'abrasion emissions'!$I$7:$I$38,"PM 10",'abrasion emissions'!$K$7:$K$38,"Re-susp.",'abrasion emissions'!$L$7:$L$38,"c")))))/1000000</f>
        <v>3.6147339262511342E-6</v>
      </c>
      <c r="CU86" s="7">
        <f>((SUMIFS('abrasion emissions'!$M$7:$M$38,'abrasion emissions'!$I$7:$I$38,"PM 2.5",'abrasion emissions'!$K$7:$K$38,"Road",'abrasion emissions'!$L$7:$L$38,"b")*POWER(('vehicles specifications'!$Q86/1000),(1/SUMIFS('abrasion emissions'!$M$7:$M$38,'abrasion emissions'!$I$7:$I$38,"PM 2.5",'abrasion emissions'!$K$7:$K$38,"Road",'abrasion emissions'!$L$7:$L$38,"c"))))+
(SUMIFS('abrasion emissions'!$M$7:$M$38,'abrasion emissions'!$I$7:$I$38,"PM 10",'abrasion emissions'!$K$7:$K$38,"Road",'abrasion emissions'!$L$7:$L$38,"b")*POWER(('vehicles specifications'!$Q86/1000),(1/SUMIFS('abrasion emissions'!$M$7:$M$38,'abrasion emissions'!$I$7:$I$38,"PM 10",'abrasion emissions'!$K$7:$K$38,"Road",'abrasion emissions'!$L$7:$L$38,"c")))))/1000000+CT86</f>
        <v>6.9796223058990272E-6</v>
      </c>
      <c r="CV86" s="7">
        <f>(CK86*CN86)+(CL86*CO86)+(CM86*CP86)</f>
        <v>5.5179717661303463E-6</v>
      </c>
      <c r="CW86" s="7">
        <f>(CK86*CQ86)+(CL86*CR86)+(CM86*CS86)</f>
        <v>3.8997026733924905E-6</v>
      </c>
    </row>
    <row r="87">
      <c r="A87" t="str">
        <f>B87&amp;" - "&amp;D87&amp;" - "&amp;IF(I87&lt;&gt;"",I87&amp;" - "&amp;E87,E87)</f>
        <v>Scooter, battery electric, &lt;4kW - 2040 - LFP - CH</v>
      </c>
      <c r="B87" t="inlineStr">
        <is>
          <t>Scooter, battery electric, &lt;4kW</t>
        </is>
      </c>
      <c r="D87" s="18" t="n">
        <v>2040</v>
      </c>
      <c r="E87" t="inlineStr">
        <is>
          <t>CH</t>
        </is>
      </c>
      <c r="F87" t="inlineStr">
        <is>
          <t>None</t>
        </is>
      </c>
      <c r="G87" t="inlineStr">
        <is>
          <t>vkm</t>
        </is>
      </c>
      <c r="H87" t="inlineStr">
        <is>
          <t>BEV</t>
        </is>
      </c>
      <c r="I87" t="inlineStr">
        <is>
          <t>LFP</t>
        </is>
      </c>
      <c r="J87" t="n">
        <v>25000</v>
      </c>
      <c r="K87" t="n">
        <v>1570</v>
      </c>
      <c r="L87" s="2">
        <f>J87/K87</f>
        <v>15.923566878980891</v>
      </c>
      <c r="M87" t="n">
        <v>1</v>
      </c>
      <c r="N87" t="n">
        <v>75</v>
      </c>
      <c r="O87" t="n">
        <v>4</v>
      </c>
      <c r="P87" s="2">
        <f>SUM(U87,V87,W87,AC87,AF87,AH87)</f>
        <v>121.01666666666665</v>
      </c>
      <c r="Q87" s="2">
        <f>P87+(M87*N87)+O87</f>
        <v>200.01666666666665</v>
      </c>
      <c r="R87" t="n">
        <v>2.6</v>
      </c>
      <c r="S87" s="2" t="n">
        <v>73</v>
      </c>
      <c r="T87" s="1" t="n">
        <v>0.05</v>
      </c>
      <c r="U87" s="2">
        <f>S87*(1-T87)</f>
        <v>69.349999999999994</v>
      </c>
      <c r="V87" t="n">
        <v>5</v>
      </c>
      <c r="W87" t="n">
        <v>8</v>
      </c>
      <c r="X87" s="3" t="n">
        <v>5.8</v>
      </c>
      <c r="Y87" s="1" t="n">
        <v>0.8</v>
      </c>
      <c r="Z87" s="3">
        <f>Y87*X87</f>
        <v>4.6399999999999997</v>
      </c>
      <c r="AA87" s="3">
        <f>IF(I87&lt;&gt;"",X87/INDEX('energy battery'!$B$3:$D$6,MATCH('vehicles specifications'!$D87,'energy battery'!$A$3:$A$6,0),MATCH('vehicles specifications'!$I87,'energy battery'!$B$2:$D$2,0)),"")</f>
        <v>32.222222222222221</v>
      </c>
      <c r="AB87" s="3">
        <f>IF(AA87&lt;&gt;"",0.2*AA87,"")</f>
        <v>6.4444444444444446</v>
      </c>
      <c r="AC87" s="3">
        <f>IF(AA87&lt;&gt;"",AB87+AA87,"")</f>
        <v>38.666666666666664</v>
      </c>
      <c r="AD87" s="3" t="n">
        <v>0.25</v>
      </c>
      <c r="AE87" s="3" t="n">
        <v>0</v>
      </c>
      <c r="AF87">
        <f>AE87*'fuels and tailpipe emissions'!$B$3</f>
        <v>0</v>
      </c>
      <c r="AG87" t="n">
        <v>0</v>
      </c>
      <c r="AH87" s="3" t="n">
        <v>0</v>
      </c>
      <c r="AI87" s="3" t="n">
        <v>3</v>
      </c>
      <c r="AJ87" s="3" t="n">
        <v>1</v>
      </c>
      <c r="AK87">
        <f>J87/25000</f>
        <v>1</v>
      </c>
      <c r="AL87">
        <f>0.000537/1000*Q87</f>
        <v>1.0740895E-4</v>
      </c>
      <c r="AM87" t="n">
        <v>0.00129</v>
      </c>
      <c r="AN87" s="2">
        <f>U87</f>
        <v>69.349999999999994</v>
      </c>
      <c r="AO87" s="2">
        <f>SUM(V87:W87)</f>
        <v>13</v>
      </c>
      <c r="AP87" s="2">
        <f>AC87</f>
        <v>38.666666666666664</v>
      </c>
      <c r="AQ87" s="6" t="inlineStr"/>
      <c r="AR87" s="20" t="n"/>
      <c r="AS87" s="5" t="n">
        <v>0.1334361071081471</v>
      </c>
      <c r="AT87" s="2">
        <f>SUM(Z87,AG87)/(SUM(AQ87,AS87)/3.6)</f>
        <v>125.18350813743217</v>
      </c>
      <c r="AU87" s="5" t="n">
        <v>0</v>
      </c>
      <c r="AV87" s="5" t="n">
        <v>0</v>
      </c>
      <c r="AW87" s="7" t="n">
        <v>0</v>
      </c>
      <c r="AX87" s="7" t="n">
        <v>0</v>
      </c>
      <c r="AY87" s="7" t="n">
        <v>0</v>
      </c>
      <c r="AZ87" s="7" t="n">
        <v>0</v>
      </c>
      <c r="BA87" s="7" t="n">
        <v>0</v>
      </c>
      <c r="BB87" s="7" t="n">
        <v>0</v>
      </c>
      <c r="BC87" s="7" t="n">
        <v>0</v>
      </c>
      <c r="BD87" s="7" t="n">
        <v>0</v>
      </c>
      <c r="BE87" s="7" t="n">
        <v>0</v>
      </c>
      <c r="BF87" s="7" t="n">
        <v>0</v>
      </c>
      <c r="BG87" s="7" t="n">
        <v>0</v>
      </c>
      <c r="BH87" s="7" t="n">
        <v>0</v>
      </c>
      <c r="BI87" s="7" t="n">
        <v>0</v>
      </c>
      <c r="BJ87" s="7" t="n">
        <v>0</v>
      </c>
      <c r="BK87" s="7" t="n">
        <v>0</v>
      </c>
      <c r="BL87" s="7" t="n">
        <v>0</v>
      </c>
      <c r="BM87" s="7" t="n">
        <v>0</v>
      </c>
      <c r="BN87" s="7" t="n">
        <v>0</v>
      </c>
      <c r="BO87" s="7" t="n">
        <v>0</v>
      </c>
      <c r="BP87" s="7" t="n">
        <v>0</v>
      </c>
      <c r="BQ87" s="7" t="n">
        <v>0</v>
      </c>
      <c r="BR87" s="7" t="n">
        <v>0</v>
      </c>
      <c r="BS87" s="7" t="n">
        <v>0</v>
      </c>
      <c r="BT87" s="7" t="n">
        <v>0</v>
      </c>
      <c r="BU87" s="7" t="n">
        <v>0</v>
      </c>
      <c r="BV87" s="7" t="n">
        <v>0</v>
      </c>
      <c r="BW87" s="7" t="n">
        <v>0</v>
      </c>
      <c r="BX87" s="7" t="n">
        <v>0</v>
      </c>
      <c r="BY87" s="7" t="n">
        <v>0</v>
      </c>
      <c r="BZ87" s="7" t="n">
        <v>0</v>
      </c>
      <c r="CA87" s="7" t="n">
        <v>0</v>
      </c>
      <c r="CB87" s="7" t="n">
        <v>0</v>
      </c>
      <c r="CC87" s="7" t="n">
        <v>0</v>
      </c>
      <c r="CD87" s="7" t="n">
        <v>0</v>
      </c>
      <c r="CE87" s="7" t="n">
        <v>0</v>
      </c>
      <c r="CF87" s="7" t="n">
        <v>0</v>
      </c>
      <c r="CG87" s="7" t="n">
        <v>0</v>
      </c>
      <c r="CH87" s="7" t="n">
        <v>0</v>
      </c>
      <c r="CI87" s="7" t="n">
        <v>0</v>
      </c>
      <c r="CJ87" s="7" t="n">
        <v>0</v>
      </c>
      <c r="CK87" s="38">
        <f>VLOOKUP($B87,'abrasion emissions'!$O$7:$R$36,2,FALSE)</f>
        <v>0.5</v>
      </c>
      <c r="CL87" s="38">
        <f>VLOOKUP($B87,'abrasion emissions'!$O$7:$R$36,3,FALSE)</f>
        <v>0.5</v>
      </c>
      <c r="CM87" s="38">
        <f>VLOOKUP($B87,'abrasion emissions'!$O$7:$R$36,4,FALSE)</f>
        <v>0</v>
      </c>
      <c r="CN87" s="7">
        <f>((SUMIFS('abrasion emissions'!$M$7:$M$34,'abrasion emissions'!$I$7:$I$34,"PM 2.5",'abrasion emissions'!$J$7:$J$34,"urban",'abrasion emissions'!$K$7:$K$34,"Tyre",'abrasion emissions'!$L$7:$L$34,"b")*POWER(('vehicles specifications'!$Q87/1000),(1/SUMIFS('abrasion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specifications'!$P87/1000),(1/SUMIFS('abrasion emissions'!$M$7:$M$34,'abrasion emissions'!$I$7:$I$34,"PM 10",'abrasion emissions'!$J$7:$J$34,"urban",'abrasion emissions'!$K$7:$K$34,"Tyre",'abrasion emissions'!$L$7:$L$34,"c")))))/1000000</f>
        <v>6.388750266427093E-6</v>
      </c>
      <c r="CO87" s="7">
        <f>((SUMIFS('abrasion emissions'!$M$7:$M$34,'abrasion emissions'!$I$7:$I$34,"PM 2.5",'abrasion emissions'!$J$7:$J$34,"rural",'abrasion emissions'!$K$7:$K$34,"Tyre",'abrasion emissions'!$L$7:$L$34,"b")*POWER(('vehicles specifications'!$Q87/1000),(1/SUMIFS('abrasion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specifications'!$P87/1000),(1/SUMIFS('abrasion emissions'!$M$7:$M$34,'abrasion emissions'!$I$7:$I$34,"PM 10",'abrasion emissions'!$J$7:$J$34,"rural",'abrasion emissions'!$K$7:$K$34,"Tyre",'abrasion emissions'!$L$7:$L$34,"c")))))/1000000</f>
        <v>4.9756302805240694E-6</v>
      </c>
      <c r="CP87" s="7">
        <f>((SUMIFS('abrasion emissions'!$M$7:$M$34,'abrasion emissions'!$I$7:$I$34,"PM 2.5",'abrasion emissions'!$J$7:$J$34,"motorway",'abrasion emissions'!$K$7:$K$34,"Tyre",'abrasion emissions'!$L$7:$L$34,"b")*POWER(('vehicles specifications'!$Q87/1000),(1/SUMIFS('abrasion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specifications'!$P87/1000),(1/SUMIFS('abrasion emissions'!$M$7:$M$34,'abrasion emissions'!$I$7:$I$34,"PM 10",'abrasion emissions'!$J$7:$J$34,"motorway",'abrasion emissions'!$K$7:$K$34,"Tyre",'abrasion emissions'!$L$7:$L$34,"c")))))/1000000</f>
        <v>4.2491081501098227E-6</v>
      </c>
      <c r="CQ87" s="7">
        <f>((SUMIFS('abrasion emissions'!$M$7:$M$34,'abrasion emissions'!$I$7:$I$34,"PM 2.5",'abrasion emissions'!$J$7:$J$34,"urban",'abrasion emissions'!$K$7:$K$34,"Brake",'abrasion emissions'!$L$7:$L$34,"b")*POWER(('vehicles specifications'!$Q87/1000),(1/SUMIFS('abrasion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specifications'!$P87/1000),(1/SUMIFS('abrasion emissions'!$M$7:$M$34,'abrasion emissions'!$I$7:$I$34,"PM 10",'abrasion emissions'!$J$7:$J$34,"urban",'abrasion emissions'!$K$7:$K$34,"Brake",'abrasion emissions'!$L$7:$L$34,"c")))))/1000000</f>
        <v>6.0976443541393636E-6</v>
      </c>
      <c r="CR87" s="7">
        <f>((SUMIFS('abrasion emissions'!$M$7:$M$34,'abrasion emissions'!$I$7:$I$34,"PM 2.5",'abrasion emissions'!$J$7:$J$34,"rural",'abrasion emissions'!$K$7:$K$34,"Brake",'abrasion emissions'!$L$7:$L$34,"b")*POWER(('vehicles specifications'!$Q87/1000),(1/SUMIFS('abrasion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specifications'!$P87/1000),(1/SUMIFS('abrasion emissions'!$M$7:$M$34,'abrasion emissions'!$I$7:$I$34,"PM 10",'abrasion emissions'!$J$7:$J$34,"rural",'abrasion emissions'!$K$7:$K$34,"Brake",'abrasion emissions'!$L$7:$L$34,"c")))))/1000000</f>
        <v>1.9794523426250671E-6</v>
      </c>
      <c r="CS87" s="7">
        <f>((SUMIFS('abrasion emissions'!$M$7:$M$34,'abrasion emissions'!$I$7:$I$34,"PM 2.5",'abrasion emissions'!$J$7:$J$34,"motorway",'abrasion emissions'!$K$7:$K$34,"Brake",'abrasion emissions'!$L$7:$L$34,"b")*POWER(('vehicles specifications'!$Q87/1000),(1/SUMIFS('abrasion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specifications'!$P87/1000),(1/SUMIFS('abrasion emissions'!$M$7:$M$34,'abrasion emissions'!$I$7:$I$34,"PM 10",'abrasion emissions'!$J$7:$J$34,"motorway",'abrasion emissions'!$K$7:$K$34,"Brake",'abrasion emissions'!$L$7:$L$34,"c")))))/1000000</f>
        <v>3.6877915240481075E-7</v>
      </c>
      <c r="CT87" s="7">
        <f>((SUMIFS('abrasion emissions'!$M$7:$M$38,'abrasion emissions'!$I$7:$I$38,"PM 2.5",'abrasion emissions'!$K$7:$K$38,"Re-susp.",'abrasion emissions'!$L$7:$L$38,"b")*POWER(('vehicles specifications'!$Q87/1000),(1/SUMIFS('abrasion emissions'!$M$7:$M$38,'abrasion emissions'!$I$7:$I$38,"PM 2.5",'abrasion emissions'!$K$7:$K$38,"Re-susp.",'abrasion emissions'!$L$7:$L$38,"c"))))+
(SUMIFS('abrasion emissions'!$M$7:$M$38,'abrasion emissions'!$I$7:$I$38,"PM 10",'abrasion emissions'!$K$7:$K$38,"Re-susp.",'abrasion emissions'!$L$7:$L$38,"b")*POWER(('vehicles specifications'!$Q87/1000),(1/SUMIFS('abrasion emissions'!$M$7:$M$38,'abrasion emissions'!$I$7:$I$38,"PM 10",'abrasion emissions'!$K$7:$K$38,"Re-susp.",'abrasion emissions'!$L$7:$L$38,"c")))))/1000000</f>
        <v>3.7970775851205696E-6</v>
      </c>
      <c r="CU87" s="7">
        <f>((SUMIFS('abrasion emissions'!$M$7:$M$38,'abrasion emissions'!$I$7:$I$38,"PM 2.5",'abrasion emissions'!$K$7:$K$38,"Road",'abrasion emissions'!$L$7:$L$38,"b")*POWER(('vehicles specifications'!$Q87/1000),(1/SUMIFS('abrasion emissions'!$M$7:$M$38,'abrasion emissions'!$I$7:$I$38,"PM 2.5",'abrasion emissions'!$K$7:$K$38,"Road",'abrasion emissions'!$L$7:$L$38,"c"))))+
(SUMIFS('abrasion emissions'!$M$7:$M$38,'abrasion emissions'!$I$7:$I$38,"PM 10",'abrasion emissions'!$K$7:$K$38,"Road",'abrasion emissions'!$L$7:$L$38,"b")*POWER(('vehicles specifications'!$Q87/1000),(1/SUMIFS('abrasion emissions'!$M$7:$M$38,'abrasion emissions'!$I$7:$I$38,"PM 10",'abrasion emissions'!$K$7:$K$38,"Road",'abrasion emissions'!$L$7:$L$38,"c")))))/1000000+CT87</f>
        <v>7.285622310923459E-6</v>
      </c>
      <c r="CV87" s="7">
        <f>(CK87*CN87)+(CL87*CO87)+(CM87*CP87)</f>
        <v>5.6821902734755812E-6</v>
      </c>
      <c r="CW87" s="7">
        <f>(CK87*CQ87)+(CL87*CR87)+(CM87*CS87)</f>
        <v>4.0385483483822152E-6</v>
      </c>
    </row>
    <row r="88">
      <c r="A88" t="str">
        <f>B88&amp;" - "&amp;D88&amp;" - "&amp;IF(I88&lt;&gt;"",I88&amp;" - "&amp;E88,E88)</f>
        <v>Scooter, battery electric, &lt;4kW - 2050 - LFP - CH</v>
      </c>
      <c r="B88" t="inlineStr">
        <is>
          <t>Scooter, battery electric, &lt;4kW</t>
        </is>
      </c>
      <c r="D88" s="18" t="n">
        <v>2050</v>
      </c>
      <c r="E88" t="inlineStr">
        <is>
          <t>CH</t>
        </is>
      </c>
      <c r="F88" t="inlineStr">
        <is>
          <t>None</t>
        </is>
      </c>
      <c r="G88" t="inlineStr">
        <is>
          <t>vkm</t>
        </is>
      </c>
      <c r="H88" t="inlineStr">
        <is>
          <t>BEV</t>
        </is>
      </c>
      <c r="I88" t="inlineStr">
        <is>
          <t>LFP</t>
        </is>
      </c>
      <c r="J88" t="n">
        <v>25000</v>
      </c>
      <c r="K88" t="n">
        <v>1570</v>
      </c>
      <c r="L88" s="2">
        <f>J88/K88</f>
        <v>15.923566878980891</v>
      </c>
      <c r="M88" t="n">
        <v>1</v>
      </c>
      <c r="N88" t="n">
        <v>75</v>
      </c>
      <c r="O88" t="n">
        <v>4</v>
      </c>
      <c r="P88" s="2">
        <f>SUM(U88,V88,W88,AC88,AF88,AH88)</f>
        <v>128.88999999999999</v>
      </c>
      <c r="Q88" s="2">
        <f>P88+(M88*N88)+O88</f>
        <v>207.89</v>
      </c>
      <c r="R88" t="n">
        <v>2.6</v>
      </c>
      <c r="S88" s="2" t="n">
        <v>73</v>
      </c>
      <c r="T88" s="1" t="n">
        <v>0.07000000000000001</v>
      </c>
      <c r="U88" s="2">
        <f>S88*(1-T88)</f>
        <v>67.89</v>
      </c>
      <c r="V88" t="n">
        <v>5</v>
      </c>
      <c r="W88" t="n">
        <v>8</v>
      </c>
      <c r="X88" s="3" t="n">
        <v>8</v>
      </c>
      <c r="Y88" s="1" t="n">
        <v>0.8</v>
      </c>
      <c r="Z88" s="3">
        <f>Y88*X88</f>
        <v>6.4</v>
      </c>
      <c r="AA88" s="3">
        <f>IF(I88&lt;&gt;"",X88/INDEX('energy battery'!$B$3:$D$6,MATCH('vehicles specifications'!$D88,'energy battery'!$A$3:$A$6,0),MATCH('vehicles specifications'!$I88,'energy battery'!$B$2:$D$2,0)),"")</f>
        <v>40</v>
      </c>
      <c r="AB88" s="3">
        <f>IF(AA88&lt;&gt;"",0.2*AA88,"")</f>
        <v>8</v>
      </c>
      <c r="AC88" s="3">
        <f>IF(AA88&lt;&gt;"",AB88+AA88,"")</f>
        <v>48</v>
      </c>
      <c r="AD88" s="3" t="n">
        <v>0</v>
      </c>
      <c r="AE88" s="3" t="n">
        <v>0</v>
      </c>
      <c r="AF88">
        <f>AE88*'fuels and tailpipe emissions'!$B$3</f>
        <v>0</v>
      </c>
      <c r="AG88" t="n">
        <v>0</v>
      </c>
      <c r="AH88" s="3" t="n">
        <v>0</v>
      </c>
      <c r="AI88" s="3" t="n">
        <v>3</v>
      </c>
      <c r="AJ88" s="3" t="n">
        <v>1</v>
      </c>
      <c r="AK88">
        <f>J88/25000</f>
        <v>1</v>
      </c>
      <c r="AL88">
        <f>0.000537/1000*Q88</f>
        <v>1.1163693E-4</v>
      </c>
      <c r="AM88" t="n">
        <v>0.00129</v>
      </c>
      <c r="AN88" s="2">
        <f>U88</f>
        <v>67.89</v>
      </c>
      <c r="AO88" s="2">
        <f>SUM(V88:W88)</f>
        <v>13</v>
      </c>
      <c r="AP88" s="2">
        <f>AC88</f>
        <v>48</v>
      </c>
      <c r="AQ88" s="6" t="inlineStr"/>
      <c r="AR88" s="20" t="n"/>
      <c r="AS88" s="5" t="n">
        <v>0.1334361071081471</v>
      </c>
      <c r="AT88" s="2">
        <f>SUM(Z88,AG88)/(SUM(AQ88,AS88)/3.6)</f>
        <v>172.66690777576852</v>
      </c>
      <c r="AU88" s="5" t="n">
        <v>0</v>
      </c>
      <c r="AV88" s="5" t="n">
        <v>0</v>
      </c>
      <c r="AW88" s="7" t="n">
        <v>0</v>
      </c>
      <c r="AX88" s="7" t="n">
        <v>0</v>
      </c>
      <c r="AY88" s="7" t="n">
        <v>0</v>
      </c>
      <c r="AZ88" s="7" t="n">
        <v>0</v>
      </c>
      <c r="BA88" s="7" t="n">
        <v>0</v>
      </c>
      <c r="BB88" s="7" t="n">
        <v>0</v>
      </c>
      <c r="BC88" s="7" t="n">
        <v>0</v>
      </c>
      <c r="BD88" s="7" t="n">
        <v>0</v>
      </c>
      <c r="BE88" s="7" t="n">
        <v>0</v>
      </c>
      <c r="BF88" s="7" t="n">
        <v>0</v>
      </c>
      <c r="BG88" s="7" t="n">
        <v>0</v>
      </c>
      <c r="BH88" s="7" t="n">
        <v>0</v>
      </c>
      <c r="BI88" s="7" t="n">
        <v>0</v>
      </c>
      <c r="BJ88" s="7" t="n">
        <v>0</v>
      </c>
      <c r="BK88" s="7" t="n">
        <v>0</v>
      </c>
      <c r="BL88" s="7" t="n">
        <v>0</v>
      </c>
      <c r="BM88" s="7" t="n">
        <v>0</v>
      </c>
      <c r="BN88" s="7" t="n">
        <v>0</v>
      </c>
      <c r="BO88" s="7" t="n">
        <v>0</v>
      </c>
      <c r="BP88" s="7" t="n">
        <v>0</v>
      </c>
      <c r="BQ88" s="7" t="n">
        <v>0</v>
      </c>
      <c r="BR88" s="7" t="n">
        <v>0</v>
      </c>
      <c r="BS88" s="7" t="n">
        <v>0</v>
      </c>
      <c r="BT88" s="7" t="n">
        <v>0</v>
      </c>
      <c r="BU88" s="7" t="n">
        <v>0</v>
      </c>
      <c r="BV88" s="7" t="n">
        <v>0</v>
      </c>
      <c r="BW88" s="7" t="n">
        <v>0</v>
      </c>
      <c r="BX88" s="7" t="n">
        <v>0</v>
      </c>
      <c r="BY88" s="7" t="n">
        <v>0</v>
      </c>
      <c r="BZ88" s="7" t="n">
        <v>0</v>
      </c>
      <c r="CA88" s="7" t="n">
        <v>0</v>
      </c>
      <c r="CB88" s="7" t="n">
        <v>0</v>
      </c>
      <c r="CC88" s="7" t="n">
        <v>0</v>
      </c>
      <c r="CD88" s="7" t="n">
        <v>0</v>
      </c>
      <c r="CE88" s="7" t="n">
        <v>0</v>
      </c>
      <c r="CF88" s="7" t="n">
        <v>0</v>
      </c>
      <c r="CG88" s="7" t="n">
        <v>0</v>
      </c>
      <c r="CH88" s="7" t="n">
        <v>0</v>
      </c>
      <c r="CI88" s="7" t="n">
        <v>0</v>
      </c>
      <c r="CJ88" s="7" t="n">
        <v>0</v>
      </c>
      <c r="CK88" s="38">
        <f>VLOOKUP($B88,'abrasion emissions'!$O$7:$R$36,2,FALSE)</f>
        <v>0.5</v>
      </c>
      <c r="CL88" s="38">
        <f>VLOOKUP($B88,'abrasion emissions'!$O$7:$R$36,3,FALSE)</f>
        <v>0.5</v>
      </c>
      <c r="CM88" s="38">
        <f>VLOOKUP($B88,'abrasion emissions'!$O$7:$R$36,4,FALSE)</f>
        <v>0</v>
      </c>
      <c r="CN88" s="7">
        <f>((SUMIFS('abrasion emissions'!$M$7:$M$34,'abrasion emissions'!$I$7:$I$34,"PM 2.5",'abrasion emissions'!$J$7:$J$34,"urban",'abrasion emissions'!$K$7:$K$34,"Tyre",'abrasion emissions'!$L$7:$L$34,"b")*POWER(('vehicles specifications'!$Q88/1000),(1/SUMIFS('abrasion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specifications'!$P88/1000),(1/SUMIFS('abrasion emissions'!$M$7:$M$34,'abrasion emissions'!$I$7:$I$34,"PM 10",'abrasion emissions'!$J$7:$J$34,"urban",'abrasion emissions'!$K$7:$K$34,"Tyre",'abrasion emissions'!$L$7:$L$34,"c")))))/1000000</f>
        <v>6.5220364962434057E-6</v>
      </c>
      <c r="CO88" s="7">
        <f>((SUMIFS('abrasion emissions'!$M$7:$M$34,'abrasion emissions'!$I$7:$I$34,"PM 2.5",'abrasion emissions'!$J$7:$J$34,"rural",'abrasion emissions'!$K$7:$K$34,"Tyre",'abrasion emissions'!$L$7:$L$34,"b")*POWER(('vehicles specifications'!$Q88/1000),(1/SUMIFS('abrasion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specifications'!$P88/1000),(1/SUMIFS('abrasion emissions'!$M$7:$M$34,'abrasion emissions'!$I$7:$I$34,"PM 10",'abrasion emissions'!$J$7:$J$34,"rural",'abrasion emissions'!$K$7:$K$34,"Tyre",'abrasion emissions'!$L$7:$L$34,"c")))))/1000000</f>
        <v>5.0793609546343646E-6</v>
      </c>
      <c r="CP88" s="7">
        <f>((SUMIFS('abrasion emissions'!$M$7:$M$34,'abrasion emissions'!$I$7:$I$34,"PM 2.5",'abrasion emissions'!$J$7:$J$34,"motorway",'abrasion emissions'!$K$7:$K$34,"Tyre",'abrasion emissions'!$L$7:$L$34,"b")*POWER(('vehicles specifications'!$Q88/1000),(1/SUMIFS('abrasion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specifications'!$P88/1000),(1/SUMIFS('abrasion emissions'!$M$7:$M$34,'abrasion emissions'!$I$7:$I$34,"PM 10",'abrasion emissions'!$J$7:$J$34,"motorway",'abrasion emissions'!$K$7:$K$34,"Tyre",'abrasion emissions'!$L$7:$L$34,"c")))))/1000000</f>
        <v>4.3375064229307496E-6</v>
      </c>
      <c r="CQ88" s="7">
        <f>((SUMIFS('abrasion emissions'!$M$7:$M$34,'abrasion emissions'!$I$7:$I$34,"PM 2.5",'abrasion emissions'!$J$7:$J$34,"urban",'abrasion emissions'!$K$7:$K$34,"Brake",'abrasion emissions'!$L$7:$L$34,"b")*POWER(('vehicles specifications'!$Q88/1000),(1/SUMIFS('abrasion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specifications'!$P88/1000),(1/SUMIFS('abrasion emissions'!$M$7:$M$34,'abrasion emissions'!$I$7:$I$34,"PM 10",'abrasion emissions'!$J$7:$J$34,"urban",'abrasion emissions'!$K$7:$K$34,"Brake",'abrasion emissions'!$L$7:$L$34,"c")))))/1000000</f>
        <v>6.2410643573634725E-6</v>
      </c>
      <c r="CR88" s="7">
        <f>((SUMIFS('abrasion emissions'!$M$7:$M$34,'abrasion emissions'!$I$7:$I$34,"PM 2.5",'abrasion emissions'!$J$7:$J$34,"rural",'abrasion emissions'!$K$7:$K$34,"Brake",'abrasion emissions'!$L$7:$L$34,"b")*POWER(('vehicles specifications'!$Q88/1000),(1/SUMIFS('abrasion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specifications'!$P88/1000),(1/SUMIFS('abrasion emissions'!$M$7:$M$34,'abrasion emissions'!$I$7:$I$34,"PM 10",'abrasion emissions'!$J$7:$J$34,"rural",'abrasion emissions'!$K$7:$K$34,"Brake",'abrasion emissions'!$L$7:$L$34,"c")))))/1000000</f>
        <v>2.0384801552006661E-6</v>
      </c>
      <c r="CS88" s="7">
        <f>((SUMIFS('abrasion emissions'!$M$7:$M$34,'abrasion emissions'!$I$7:$I$34,"PM 2.5",'abrasion emissions'!$J$7:$J$34,"motorway",'abrasion emissions'!$K$7:$K$34,"Brake",'abrasion emissions'!$L$7:$L$34,"b")*POWER(('vehicles specifications'!$Q88/1000),(1/SUMIFS('abrasion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specifications'!$P88/1000),(1/SUMIFS('abrasion emissions'!$M$7:$M$34,'abrasion emissions'!$I$7:$I$34,"PM 10",'abrasion emissions'!$J$7:$J$34,"motorway",'abrasion emissions'!$K$7:$K$34,"Brake",'abrasion emissions'!$L$7:$L$34,"c")))))/1000000</f>
        <v>3.8143523058042601E-7</v>
      </c>
      <c r="CT88" s="7">
        <f>((SUMIFS('abrasion emissions'!$M$7:$M$38,'abrasion emissions'!$I$7:$I$38,"PM 2.5",'abrasion emissions'!$K$7:$K$38,"Re-susp.",'abrasion emissions'!$L$7:$L$38,"b")*POWER(('vehicles specifications'!$Q88/1000),(1/SUMIFS('abrasion emissions'!$M$7:$M$38,'abrasion emissions'!$I$7:$I$38,"PM 2.5",'abrasion emissions'!$K$7:$K$38,"Re-susp.",'abrasion emissions'!$L$7:$L$38,"c"))))+
(SUMIFS('abrasion emissions'!$M$7:$M$38,'abrasion emissions'!$I$7:$I$38,"PM 10",'abrasion emissions'!$K$7:$K$38,"Re-susp.",'abrasion emissions'!$L$7:$L$38,"b")*POWER(('vehicles specifications'!$Q88/1000),(1/SUMIFS('abrasion emissions'!$M$7:$M$38,'abrasion emissions'!$I$7:$I$38,"PM 10",'abrasion emissions'!$K$7:$K$38,"Re-susp.",'abrasion emissions'!$L$7:$L$38,"c")))))/1000000</f>
        <v>3.9327159053415923E-6</v>
      </c>
      <c r="CU88" s="7">
        <f>((SUMIFS('abrasion emissions'!$M$7:$M$38,'abrasion emissions'!$I$7:$I$38,"PM 2.5",'abrasion emissions'!$K$7:$K$38,"Road",'abrasion emissions'!$L$7:$L$38,"b")*POWER(('vehicles specifications'!$Q88/1000),(1/SUMIFS('abrasion emissions'!$M$7:$M$38,'abrasion emissions'!$I$7:$I$38,"PM 2.5",'abrasion emissions'!$K$7:$K$38,"Road",'abrasion emissions'!$L$7:$L$38,"c"))))+
(SUMIFS('abrasion emissions'!$M$7:$M$38,'abrasion emissions'!$I$7:$I$38,"PM 10",'abrasion emissions'!$K$7:$K$38,"Road",'abrasion emissions'!$L$7:$L$38,"b")*POWER(('vehicles specifications'!$Q88/1000),(1/SUMIFS('abrasion emissions'!$M$7:$M$38,'abrasion emissions'!$I$7:$I$38,"PM 10",'abrasion emissions'!$K$7:$K$38,"Road",'abrasion emissions'!$L$7:$L$38,"c")))))/1000000+CT88</f>
        <v>7.5122175908833659E-6</v>
      </c>
      <c r="CV88" s="7">
        <f>(CK88*CN88)+(CL88*CO88)+(CM88*CP88)</f>
        <v>5.8006987254388856E-6</v>
      </c>
      <c r="CW88" s="7">
        <f>(CK88*CQ88)+(CL88*CR88)+(CM88*CS88)</f>
        <v>4.1397722562820695E-6</v>
      </c>
    </row>
    <row r="89">
      <c r="A89" t="str">
        <f>B89&amp;" - "&amp;D89&amp;" - "&amp;IF(I89&lt;&gt;"",I89&amp;" - "&amp;E89,E89)</f>
        <v>Scooter, battery electric, 4-11kW - 2020 - LFP - CH</v>
      </c>
      <c r="B89" t="inlineStr">
        <is>
          <t>Scooter, battery electric, 4-11kW</t>
        </is>
      </c>
      <c r="D89" s="18" t="n">
        <v>2020</v>
      </c>
      <c r="E89" t="inlineStr">
        <is>
          <t>CH</t>
        </is>
      </c>
      <c r="F89" t="inlineStr">
        <is>
          <t>None</t>
        </is>
      </c>
      <c r="G89" t="inlineStr">
        <is>
          <t>vkm</t>
        </is>
      </c>
      <c r="H89" t="inlineStr">
        <is>
          <t>BEV</t>
        </is>
      </c>
      <c r="I89" t="inlineStr">
        <is>
          <t>LFP</t>
        </is>
      </c>
      <c r="J89" t="n">
        <v>30000</v>
      </c>
      <c r="K89" t="n">
        <v>1870</v>
      </c>
      <c r="L89" s="2">
        <f>J89/K89</f>
        <v>16.042780748663102</v>
      </c>
      <c r="M89" t="n">
        <v>1</v>
      </c>
      <c r="N89" t="n">
        <v>75</v>
      </c>
      <c r="O89" t="n">
        <v>4</v>
      </c>
      <c r="P89" s="2">
        <f>SUM(U89,V89,W89,AC89,AF89,AH89)</f>
        <v>136.4</v>
      </c>
      <c r="Q89" s="2">
        <f>P89+(M89*N89)+O89</f>
        <v>215.4</v>
      </c>
      <c r="R89" t="n">
        <v>6.1</v>
      </c>
      <c r="S89" s="2" t="n">
        <v>84</v>
      </c>
      <c r="T89" s="1" t="n">
        <v>0</v>
      </c>
      <c r="U89" s="2">
        <f>S89*(1-T89)</f>
        <v>84</v>
      </c>
      <c r="V89" t="n">
        <v>10</v>
      </c>
      <c r="W89" t="n">
        <v>16</v>
      </c>
      <c r="X89" s="3" t="n">
        <v>3.3</v>
      </c>
      <c r="Y89" s="1" t="n">
        <v>0.8</v>
      </c>
      <c r="Z89" s="3">
        <f>Y89*X89</f>
        <v>2.64</v>
      </c>
      <c r="AA89" s="3">
        <f>IF(I89&lt;&gt;"",X89/INDEX('energy battery'!$B$3:$D$6,MATCH('vehicles specifications'!$D89,'energy battery'!$A$3:$A$6,0),MATCH('vehicles specifications'!$I89,'energy battery'!$B$2:$D$2,0)),"")</f>
        <v>22</v>
      </c>
      <c r="AB89" s="3">
        <f>IF(AA89&lt;&gt;"",0.2*AA89,"")</f>
        <v>4.4000000000000004</v>
      </c>
      <c r="AC89" s="3">
        <f>IF(AA89&lt;&gt;"",AB89+AA89,"")</f>
        <v>26.4</v>
      </c>
      <c r="AD89" s="3" t="n">
        <v>1</v>
      </c>
      <c r="AE89" s="3" t="n">
        <v>0</v>
      </c>
      <c r="AF89">
        <f>AE89*'fuels and tailpipe emissions'!$B$3</f>
        <v>0</v>
      </c>
      <c r="AG89" t="n">
        <v>0</v>
      </c>
      <c r="AH89" s="3" t="n">
        <v>0</v>
      </c>
      <c r="AI89" s="3" t="n">
        <v>3</v>
      </c>
      <c r="AJ89" s="3" t="n">
        <v>1</v>
      </c>
      <c r="AK89">
        <f>J89/25000</f>
        <v>1.2</v>
      </c>
      <c r="AL89">
        <f>0.000537/1000*Q89</f>
        <v>1.1566980000000001E-4</v>
      </c>
      <c r="AM89" t="n">
        <v>0.00129</v>
      </c>
      <c r="AN89" s="2">
        <f>U89</f>
        <v>84</v>
      </c>
      <c r="AO89" s="2">
        <f>SUM(V89:W89)</f>
        <v>26</v>
      </c>
      <c r="AP89" s="2">
        <f>AC89</f>
        <v>26.4</v>
      </c>
      <c r="AQ89" s="6" t="inlineStr"/>
      <c r="AR89" s="20" t="n"/>
      <c r="AS89" s="5" t="n">
        <v>0.1894149615567632</v>
      </c>
      <c r="AT89" s="2">
        <f>SUM(Z89,AG89)/(SUM(AQ89,AS89)/3.6)</f>
        <v>50.175550663414057</v>
      </c>
      <c r="AU89" s="5" t="n">
        <v>0</v>
      </c>
      <c r="AV89" s="5" t="n">
        <v>0</v>
      </c>
      <c r="AW89" s="7" t="n">
        <v>0</v>
      </c>
      <c r="AX89" s="7" t="n">
        <v>0</v>
      </c>
      <c r="AY89" s="7" t="n">
        <v>0</v>
      </c>
      <c r="AZ89" s="7" t="n">
        <v>0</v>
      </c>
      <c r="BA89" s="7" t="n">
        <v>0</v>
      </c>
      <c r="BB89" s="7" t="n">
        <v>0</v>
      </c>
      <c r="BC89" s="7" t="n">
        <v>0</v>
      </c>
      <c r="BD89" s="7" t="n">
        <v>0</v>
      </c>
      <c r="BE89" s="7" t="n">
        <v>0</v>
      </c>
      <c r="BF89" s="7" t="n">
        <v>0</v>
      </c>
      <c r="BG89" s="7" t="n">
        <v>0</v>
      </c>
      <c r="BH89" s="7" t="n">
        <v>0</v>
      </c>
      <c r="BI89" s="7" t="n">
        <v>0</v>
      </c>
      <c r="BJ89" s="7" t="n">
        <v>0</v>
      </c>
      <c r="BK89" s="7" t="n">
        <v>0</v>
      </c>
      <c r="BL89" s="7" t="n">
        <v>0</v>
      </c>
      <c r="BM89" s="7" t="n">
        <v>0</v>
      </c>
      <c r="BN89" s="7" t="n">
        <v>0</v>
      </c>
      <c r="BO89" s="7" t="n">
        <v>0</v>
      </c>
      <c r="BP89" s="7" t="n">
        <v>0</v>
      </c>
      <c r="BQ89" s="7" t="n">
        <v>0</v>
      </c>
      <c r="BR89" s="7" t="n">
        <v>0</v>
      </c>
      <c r="BS89" s="7" t="n">
        <v>0</v>
      </c>
      <c r="BT89" s="7" t="n">
        <v>0</v>
      </c>
      <c r="BU89" s="7" t="n">
        <v>0</v>
      </c>
      <c r="BV89" s="7" t="n">
        <v>0</v>
      </c>
      <c r="BW89" s="7" t="n">
        <v>0</v>
      </c>
      <c r="BX89" s="7" t="n">
        <v>0</v>
      </c>
      <c r="BY89" s="7" t="n">
        <v>0</v>
      </c>
      <c r="BZ89" s="7" t="n">
        <v>0</v>
      </c>
      <c r="CA89" s="7" t="n">
        <v>0</v>
      </c>
      <c r="CB89" s="7" t="n">
        <v>0</v>
      </c>
      <c r="CC89" s="7" t="n">
        <v>0</v>
      </c>
      <c r="CD89" s="7" t="n">
        <v>0</v>
      </c>
      <c r="CE89" s="7" t="n">
        <v>0</v>
      </c>
      <c r="CF89" s="7" t="n">
        <v>0</v>
      </c>
      <c r="CG89" s="7" t="n">
        <v>0</v>
      </c>
      <c r="CH89" s="7" t="n">
        <v>0</v>
      </c>
      <c r="CI89" s="7" t="n">
        <v>0</v>
      </c>
      <c r="CJ89" s="7" t="n">
        <v>0</v>
      </c>
      <c r="CK89" s="38">
        <f>VLOOKUP($B89,'abrasion emissions'!$O$7:$R$36,2,FALSE)</f>
        <v>0.5</v>
      </c>
      <c r="CL89" s="38">
        <f>VLOOKUP($B89,'abrasion emissions'!$O$7:$R$36,3,FALSE)</f>
        <v>0.5</v>
      </c>
      <c r="CM89" s="38">
        <f>VLOOKUP($B89,'abrasion emissions'!$O$7:$R$36,4,FALSE)</f>
        <v>0</v>
      </c>
      <c r="CN89" s="7">
        <f>((SUMIFS('abrasion emissions'!$M$7:$M$34,'abrasion emissions'!$I$7:$I$34,"PM 2.5",'abrasion emissions'!$J$7:$J$34,"urban",'abrasion emissions'!$K$7:$K$34,"Tyre",'abrasion emissions'!$L$7:$L$34,"b")*POWER(('vehicles specifications'!$Q89/1000),(1/SUMIFS('abrasion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specifications'!$P89/1000),(1/SUMIFS('abrasion emissions'!$M$7:$M$34,'abrasion emissions'!$I$7:$I$34,"PM 10",'abrasion emissions'!$J$7:$J$34,"urban",'abrasion emissions'!$K$7:$K$34,"Tyre",'abrasion emissions'!$L$7:$L$34,"c")))))/1000000</f>
        <v>6.6457704649794475E-6</v>
      </c>
      <c r="CO89" s="7">
        <f>((SUMIFS('abrasion emissions'!$M$7:$M$34,'abrasion emissions'!$I$7:$I$34,"PM 2.5",'abrasion emissions'!$J$7:$J$34,"rural",'abrasion emissions'!$K$7:$K$34,"Tyre",'abrasion emissions'!$L$7:$L$34,"b")*POWER(('vehicles specifications'!$Q89/1000),(1/SUMIFS('abrasion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specifications'!$P89/1000),(1/SUMIFS('abrasion emissions'!$M$7:$M$34,'abrasion emissions'!$I$7:$I$34,"PM 10",'abrasion emissions'!$J$7:$J$34,"rural",'abrasion emissions'!$K$7:$K$34,"Tyre",'abrasion emissions'!$L$7:$L$34,"c")))))/1000000</f>
        <v>5.1756593713016678E-6</v>
      </c>
      <c r="CP89" s="7">
        <f>((SUMIFS('abrasion emissions'!$M$7:$M$34,'abrasion emissions'!$I$7:$I$34,"PM 2.5",'abrasion emissions'!$J$7:$J$34,"motorway",'abrasion emissions'!$K$7:$K$34,"Tyre",'abrasion emissions'!$L$7:$L$34,"b")*POWER(('vehicles specifications'!$Q89/1000),(1/SUMIFS('abrasion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specifications'!$P89/1000),(1/SUMIFS('abrasion emissions'!$M$7:$M$34,'abrasion emissions'!$I$7:$I$34,"PM 10",'abrasion emissions'!$J$7:$J$34,"motorway",'abrasion emissions'!$K$7:$K$34,"Tyre",'abrasion emissions'!$L$7:$L$34,"c")))))/1000000</f>
        <v>4.419575612827597E-6</v>
      </c>
      <c r="CQ89" s="7">
        <f>((SUMIFS('abrasion emissions'!$M$7:$M$34,'abrasion emissions'!$I$7:$I$34,"PM 2.5",'abrasion emissions'!$J$7:$J$34,"urban",'abrasion emissions'!$K$7:$K$34,"Brake",'abrasion emissions'!$L$7:$L$34,"b")*POWER(('vehicles specifications'!$Q89/1000),(1/SUMIFS('abrasion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specifications'!$P89/1000),(1/SUMIFS('abrasion emissions'!$M$7:$M$34,'abrasion emissions'!$I$7:$I$34,"PM 10",'abrasion emissions'!$J$7:$J$34,"urban",'abrasion emissions'!$K$7:$K$34,"Brake",'abrasion emissions'!$L$7:$L$34,"c")))))/1000000</f>
        <v>6.375018720644997E-6</v>
      </c>
      <c r="CR89" s="7">
        <f>((SUMIFS('abrasion emissions'!$M$7:$M$34,'abrasion emissions'!$I$7:$I$34,"PM 2.5",'abrasion emissions'!$J$7:$J$34,"rural",'abrasion emissions'!$K$7:$K$34,"Brake",'abrasion emissions'!$L$7:$L$34,"b")*POWER(('vehicles specifications'!$Q89/1000),(1/SUMIFS('abrasion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specifications'!$P89/1000),(1/SUMIFS('abrasion emissions'!$M$7:$M$34,'abrasion emissions'!$I$7:$I$34,"PM 10",'abrasion emissions'!$J$7:$J$34,"rural",'abrasion emissions'!$K$7:$K$34,"Brake",'abrasion emissions'!$L$7:$L$34,"c")))))/1000000</f>
        <v>2.093958748462159E-6</v>
      </c>
      <c r="CS89" s="7">
        <f>((SUMIFS('abrasion emissions'!$M$7:$M$34,'abrasion emissions'!$I$7:$I$34,"PM 2.5",'abrasion emissions'!$J$7:$J$34,"motorway",'abrasion emissions'!$K$7:$K$34,"Brake",'abrasion emissions'!$L$7:$L$34,"b")*POWER(('vehicles specifications'!$Q89/1000),(1/SUMIFS('abrasion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specifications'!$P89/1000),(1/SUMIFS('abrasion emissions'!$M$7:$M$34,'abrasion emissions'!$I$7:$I$34,"PM 10",'abrasion emissions'!$J$7:$J$34,"motorway",'abrasion emissions'!$K$7:$K$34,"Brake",'abrasion emissions'!$L$7:$L$34,"c")))))/1000000</f>
        <v>3.9338515817146479E-7</v>
      </c>
      <c r="CT89" s="7">
        <f>((SUMIFS('abrasion emissions'!$M$7:$M$38,'abrasion emissions'!$I$7:$I$38,"PM 2.5",'abrasion emissions'!$K$7:$K$38,"Re-susp.",'abrasion emissions'!$L$7:$L$38,"b")*POWER(('vehicles specifications'!$Q89/1000),(1/SUMIFS('abrasion emissions'!$M$7:$M$38,'abrasion emissions'!$I$7:$I$38,"PM 2.5",'abrasion emissions'!$K$7:$K$38,"Re-susp.",'abrasion emissions'!$L$7:$L$38,"c"))))+
(SUMIFS('abrasion emissions'!$M$7:$M$38,'abrasion emissions'!$I$7:$I$38,"PM 10",'abrasion emissions'!$K$7:$K$38,"Re-susp.",'abrasion emissions'!$L$7:$L$38,"b")*POWER(('vehicles specifications'!$Q89/1000),(1/SUMIFS('abrasion emissions'!$M$7:$M$38,'abrasion emissions'!$I$7:$I$38,"PM 10",'abrasion emissions'!$K$7:$K$38,"Re-susp.",'abrasion emissions'!$L$7:$L$38,"c")))))/1000000</f>
        <v>4.0616600786610591E-6</v>
      </c>
      <c r="CU89" s="7">
        <f>((SUMIFS('abrasion emissions'!$M$7:$M$38,'abrasion emissions'!$I$7:$I$38,"PM 2.5",'abrasion emissions'!$K$7:$K$38,"Road",'abrasion emissions'!$L$7:$L$38,"b")*POWER(('vehicles specifications'!$Q89/1000),(1/SUMIFS('abrasion emissions'!$M$7:$M$38,'abrasion emissions'!$I$7:$I$38,"PM 2.5",'abrasion emissions'!$K$7:$K$38,"Road",'abrasion emissions'!$L$7:$L$38,"c"))))+
(SUMIFS('abrasion emissions'!$M$7:$M$38,'abrasion emissions'!$I$7:$I$38,"PM 10",'abrasion emissions'!$K$7:$K$38,"Road",'abrasion emissions'!$L$7:$L$38,"b")*POWER(('vehicles specifications'!$Q89/1000),(1/SUMIFS('abrasion emissions'!$M$7:$M$38,'abrasion emissions'!$I$7:$I$38,"PM 10",'abrasion emissions'!$K$7:$K$38,"Road",'abrasion emissions'!$L$7:$L$38,"c")))))/1000000+CT89</f>
        <v>7.7268569266199988E-6</v>
      </c>
      <c r="CV89" s="7">
        <f>(CK89*CN89)+(CL89*CO89)+(CM89*CP89)</f>
        <v>5.9107149181405576E-6</v>
      </c>
      <c r="CW89" s="7">
        <f>(CK89*CQ89)+(CL89*CR89)+(CM89*CS89)</f>
        <v>4.2344887345535782E-6</v>
      </c>
    </row>
    <row r="90">
      <c r="A90" t="str">
        <f>B90&amp;" - "&amp;D90&amp;" - "&amp;IF(I90&lt;&gt;"",I90&amp;" - "&amp;E90,E90)</f>
        <v>Scooter, battery electric, 4-11kW - 2030 - LFP - CH</v>
      </c>
      <c r="B90" t="inlineStr">
        <is>
          <t>Scooter, battery electric, 4-11kW</t>
        </is>
      </c>
      <c r="D90" s="18" t="n">
        <v>2030</v>
      </c>
      <c r="E90" t="inlineStr">
        <is>
          <t>CH</t>
        </is>
      </c>
      <c r="F90" t="inlineStr">
        <is>
          <t>None</t>
        </is>
      </c>
      <c r="G90" t="inlineStr">
        <is>
          <t>vkm</t>
        </is>
      </c>
      <c r="H90" t="inlineStr">
        <is>
          <t>BEV</t>
        </is>
      </c>
      <c r="I90" t="inlineStr">
        <is>
          <t>LFP</t>
        </is>
      </c>
      <c r="J90" t="n">
        <v>30000</v>
      </c>
      <c r="K90" t="n">
        <v>1870</v>
      </c>
      <c r="L90" s="2">
        <f>J90/K90</f>
        <v>16.042780748663102</v>
      </c>
      <c r="M90" t="n">
        <v>1</v>
      </c>
      <c r="N90" t="n">
        <v>75</v>
      </c>
      <c r="O90" t="n">
        <v>4</v>
      </c>
      <c r="P90" s="2">
        <f>SUM(U90,V90,W90,AC90,AF90,AH90)</f>
        <v>145.48000000000002</v>
      </c>
      <c r="Q90" s="2">
        <f>P90+(M90*N90)+O90</f>
        <v>224.48000000000002</v>
      </c>
      <c r="R90" t="n">
        <v>6.1</v>
      </c>
      <c r="S90" s="2" t="n">
        <v>84</v>
      </c>
      <c r="T90" s="1" t="n">
        <v>0.03</v>
      </c>
      <c r="U90" s="2">
        <f>S90*(1-T90)</f>
        <v>81.48</v>
      </c>
      <c r="V90" t="n">
        <v>10</v>
      </c>
      <c r="W90" t="n">
        <v>16</v>
      </c>
      <c r="X90" s="3" t="n">
        <v>5.7</v>
      </c>
      <c r="Y90" s="1" t="n">
        <v>0.8</v>
      </c>
      <c r="Z90" s="3">
        <f>Y90*X90</f>
        <v>4.5600000000000005</v>
      </c>
      <c r="AA90" s="3">
        <f>IF(I90&lt;&gt;"",X90/INDEX('energy battery'!$B$3:$D$6,MATCH('vehicles specifications'!$D90,'energy battery'!$A$3:$A$6,0),MATCH('vehicles specifications'!$I90,'energy battery'!$B$2:$D$2,0)),"")</f>
        <v>31.666666666666668</v>
      </c>
      <c r="AB90" s="3">
        <f>IF(AA90&lt;&gt;"",0.2*AA90,"")</f>
        <v>6.3333333333333339</v>
      </c>
      <c r="AC90" s="3">
        <f>IF(AA90&lt;&gt;"",AB90+AA90,"")</f>
        <v>38</v>
      </c>
      <c r="AD90" s="3" t="n">
        <v>0.5</v>
      </c>
      <c r="AE90" s="3" t="n">
        <v>0</v>
      </c>
      <c r="AF90">
        <f>AE90*'fuels and tailpipe emissions'!$B$3</f>
        <v>0</v>
      </c>
      <c r="AG90" t="n">
        <v>0</v>
      </c>
      <c r="AH90" s="3" t="n">
        <v>0</v>
      </c>
      <c r="AI90" s="3" t="n">
        <v>3</v>
      </c>
      <c r="AJ90" s="3" t="n">
        <v>1</v>
      </c>
      <c r="AK90">
        <f>J90/25000</f>
        <v>1.2</v>
      </c>
      <c r="AL90">
        <f>0.000537/1000*Q90</f>
        <v>1.2054576E-4</v>
      </c>
      <c r="AM90" t="n">
        <v>0.00129</v>
      </c>
      <c r="AN90" s="2">
        <f>U90</f>
        <v>81.48</v>
      </c>
      <c r="AO90" s="2">
        <f>SUM(V90:W90)</f>
        <v>26</v>
      </c>
      <c r="AP90" s="2">
        <f>AC90</f>
        <v>38</v>
      </c>
      <c r="AQ90" s="6" t="inlineStr"/>
      <c r="AR90" s="20" t="n"/>
      <c r="AS90" s="5" t="n">
        <v>0.1894149615567632</v>
      </c>
      <c r="AT90" s="2">
        <f>SUM(Z90,AG90)/(SUM(AQ90,AS90)/3.6)</f>
        <v>86.666860236806102</v>
      </c>
      <c r="AU90" s="5" t="n">
        <v>0</v>
      </c>
      <c r="AV90" s="5" t="n">
        <v>0</v>
      </c>
      <c r="AW90" s="7" t="n">
        <v>0</v>
      </c>
      <c r="AX90" s="7" t="n">
        <v>0</v>
      </c>
      <c r="AY90" s="7" t="n">
        <v>0</v>
      </c>
      <c r="AZ90" s="7" t="n">
        <v>0</v>
      </c>
      <c r="BA90" s="7" t="n">
        <v>0</v>
      </c>
      <c r="BB90" s="7" t="n">
        <v>0</v>
      </c>
      <c r="BC90" s="7" t="n">
        <v>0</v>
      </c>
      <c r="BD90" s="7" t="n">
        <v>0</v>
      </c>
      <c r="BE90" s="7" t="n">
        <v>0</v>
      </c>
      <c r="BF90" s="7" t="n">
        <v>0</v>
      </c>
      <c r="BG90" s="7" t="n">
        <v>0</v>
      </c>
      <c r="BH90" s="7" t="n">
        <v>0</v>
      </c>
      <c r="BI90" s="7" t="n">
        <v>0</v>
      </c>
      <c r="BJ90" s="7" t="n">
        <v>0</v>
      </c>
      <c r="BK90" s="7" t="n">
        <v>0</v>
      </c>
      <c r="BL90" s="7" t="n">
        <v>0</v>
      </c>
      <c r="BM90" s="7" t="n">
        <v>0</v>
      </c>
      <c r="BN90" s="7" t="n">
        <v>0</v>
      </c>
      <c r="BO90" s="7" t="n">
        <v>0</v>
      </c>
      <c r="BP90" s="7" t="n">
        <v>0</v>
      </c>
      <c r="BQ90" s="7" t="n">
        <v>0</v>
      </c>
      <c r="BR90" s="7" t="n">
        <v>0</v>
      </c>
      <c r="BS90" s="7" t="n">
        <v>0</v>
      </c>
      <c r="BT90" s="7" t="n">
        <v>0</v>
      </c>
      <c r="BU90" s="7" t="n">
        <v>0</v>
      </c>
      <c r="BV90" s="7" t="n">
        <v>0</v>
      </c>
      <c r="BW90" s="7" t="n">
        <v>0</v>
      </c>
      <c r="BX90" s="7" t="n">
        <v>0</v>
      </c>
      <c r="BY90" s="7" t="n">
        <v>0</v>
      </c>
      <c r="BZ90" s="7" t="n">
        <v>0</v>
      </c>
      <c r="CA90" s="7" t="n">
        <v>0</v>
      </c>
      <c r="CB90" s="7" t="n">
        <v>0</v>
      </c>
      <c r="CC90" s="7" t="n">
        <v>0</v>
      </c>
      <c r="CD90" s="7" t="n">
        <v>0</v>
      </c>
      <c r="CE90" s="7" t="n">
        <v>0</v>
      </c>
      <c r="CF90" s="7" t="n">
        <v>0</v>
      </c>
      <c r="CG90" s="7" t="n">
        <v>0</v>
      </c>
      <c r="CH90" s="7" t="n">
        <v>0</v>
      </c>
      <c r="CI90" s="7" t="n">
        <v>0</v>
      </c>
      <c r="CJ90" s="7" t="n">
        <v>0</v>
      </c>
      <c r="CK90" s="38">
        <f>VLOOKUP($B90,'abrasion emissions'!$O$7:$R$36,2,FALSE)</f>
        <v>0.5</v>
      </c>
      <c r="CL90" s="38">
        <f>VLOOKUP($B90,'abrasion emissions'!$O$7:$R$36,3,FALSE)</f>
        <v>0.5</v>
      </c>
      <c r="CM90" s="38">
        <f>VLOOKUP($B90,'abrasion emissions'!$O$7:$R$36,4,FALSE)</f>
        <v>0</v>
      </c>
      <c r="CN90" s="7">
        <f>((SUMIFS('abrasion emissions'!$M$7:$M$34,'abrasion emissions'!$I$7:$I$34,"PM 2.5",'abrasion emissions'!$J$7:$J$34,"urban",'abrasion emissions'!$K$7:$K$34,"Tyre",'abrasion emissions'!$L$7:$L$34,"b")*POWER(('vehicles specifications'!$Q90/1000),(1/SUMIFS('abrasion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specifications'!$P90/1000),(1/SUMIFS('abrasion emissions'!$M$7:$M$34,'abrasion emissions'!$I$7:$I$34,"PM 10",'abrasion emissions'!$J$7:$J$34,"urban",'abrasion emissions'!$K$7:$K$34,"Tyre",'abrasion emissions'!$L$7:$L$34,"c")))))/1000000</f>
        <v>6.7912838203852491E-6</v>
      </c>
      <c r="CO90" s="7">
        <f>((SUMIFS('abrasion emissions'!$M$7:$M$34,'abrasion emissions'!$I$7:$I$34,"PM 2.5",'abrasion emissions'!$J$7:$J$34,"rural",'abrasion emissions'!$K$7:$K$34,"Tyre",'abrasion emissions'!$L$7:$L$34,"b")*POWER(('vehicles specifications'!$Q90/1000),(1/SUMIFS('abrasion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specifications'!$P90/1000),(1/SUMIFS('abrasion emissions'!$M$7:$M$34,'abrasion emissions'!$I$7:$I$34,"PM 10",'abrasion emissions'!$J$7:$J$34,"rural",'abrasion emissions'!$K$7:$K$34,"Tyre",'abrasion emissions'!$L$7:$L$34,"c")))))/1000000</f>
        <v>5.2889101334152491E-6</v>
      </c>
      <c r="CP90" s="7">
        <f>((SUMIFS('abrasion emissions'!$M$7:$M$34,'abrasion emissions'!$I$7:$I$34,"PM 2.5",'abrasion emissions'!$J$7:$J$34,"motorway",'abrasion emissions'!$K$7:$K$34,"Tyre",'abrasion emissions'!$L$7:$L$34,"b")*POWER(('vehicles specifications'!$Q90/1000),(1/SUMIFS('abrasion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specifications'!$P90/1000),(1/SUMIFS('abrasion emissions'!$M$7:$M$34,'abrasion emissions'!$I$7:$I$34,"PM 10",'abrasion emissions'!$J$7:$J$34,"motorway",'abrasion emissions'!$K$7:$K$34,"Tyre",'abrasion emissions'!$L$7:$L$34,"c")))))/1000000</f>
        <v>4.5160975270983023E-6</v>
      </c>
      <c r="CQ90" s="7">
        <f>((SUMIFS('abrasion emissions'!$M$7:$M$34,'abrasion emissions'!$I$7:$I$34,"PM 2.5",'abrasion emissions'!$J$7:$J$34,"urban",'abrasion emissions'!$K$7:$K$34,"Brake",'abrasion emissions'!$L$7:$L$34,"b")*POWER(('vehicles specifications'!$Q90/1000),(1/SUMIFS('abrasion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specifications'!$P90/1000),(1/SUMIFS('abrasion emissions'!$M$7:$M$34,'abrasion emissions'!$I$7:$I$34,"PM 10",'abrasion emissions'!$J$7:$J$34,"urban",'abrasion emissions'!$K$7:$K$34,"Brake",'abrasion emissions'!$L$7:$L$34,"c")))))/1000000</f>
        <v>6.5335198420495929E-6</v>
      </c>
      <c r="CR90" s="7">
        <f>((SUMIFS('abrasion emissions'!$M$7:$M$34,'abrasion emissions'!$I$7:$I$34,"PM 2.5",'abrasion emissions'!$J$7:$J$34,"rural",'abrasion emissions'!$K$7:$K$34,"Brake",'abrasion emissions'!$L$7:$L$34,"b")*POWER(('vehicles specifications'!$Q90/1000),(1/SUMIFS('abrasion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specifications'!$P90/1000),(1/SUMIFS('abrasion emissions'!$M$7:$M$34,'abrasion emissions'!$I$7:$I$34,"PM 10",'abrasion emissions'!$J$7:$J$34,"rural",'abrasion emissions'!$K$7:$K$34,"Brake",'abrasion emissions'!$L$7:$L$34,"c")))))/1000000</f>
        <v>2.1600264298239434E-6</v>
      </c>
      <c r="CS90" s="7">
        <f>((SUMIFS('abrasion emissions'!$M$7:$M$34,'abrasion emissions'!$I$7:$I$34,"PM 2.5",'abrasion emissions'!$J$7:$J$34,"motorway",'abrasion emissions'!$K$7:$K$34,"Brake",'abrasion emissions'!$L$7:$L$34,"b")*POWER(('vehicles specifications'!$Q90/1000),(1/SUMIFS('abrasion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specifications'!$P90/1000),(1/SUMIFS('abrasion emissions'!$M$7:$M$34,'abrasion emissions'!$I$7:$I$34,"PM 10",'abrasion emissions'!$J$7:$J$34,"motorway",'abrasion emissions'!$K$7:$K$34,"Brake",'abrasion emissions'!$L$7:$L$34,"c")))))/1000000</f>
        <v>4.076831920841119E-7</v>
      </c>
      <c r="CT90" s="7">
        <f>((SUMIFS('abrasion emissions'!$M$7:$M$38,'abrasion emissions'!$I$7:$I$38,"PM 2.5",'abrasion emissions'!$K$7:$K$38,"Re-susp.",'abrasion emissions'!$L$7:$L$38,"b")*POWER(('vehicles specifications'!$Q90/1000),(1/SUMIFS('abrasion emissions'!$M$7:$M$38,'abrasion emissions'!$I$7:$I$38,"PM 2.5",'abrasion emissions'!$K$7:$K$38,"Re-susp.",'abrasion emissions'!$L$7:$L$38,"c"))))+
(SUMIFS('abrasion emissions'!$M$7:$M$38,'abrasion emissions'!$I$7:$I$38,"PM 10",'abrasion emissions'!$K$7:$K$38,"Re-susp.",'abrasion emissions'!$L$7:$L$38,"b")*POWER(('vehicles specifications'!$Q90/1000),(1/SUMIFS('abrasion emissions'!$M$7:$M$38,'abrasion emissions'!$I$7:$I$38,"PM 10",'abrasion emissions'!$K$7:$K$38,"Re-susp.",'abrasion emissions'!$L$7:$L$38,"c")))))/1000000</f>
        <v>4.2170169962475994E-6</v>
      </c>
      <c r="CU90" s="7">
        <f>((SUMIFS('abrasion emissions'!$M$7:$M$38,'abrasion emissions'!$I$7:$I$38,"PM 2.5",'abrasion emissions'!$K$7:$K$38,"Road",'abrasion emissions'!$L$7:$L$38,"b")*POWER(('vehicles specifications'!$Q90/1000),(1/SUMIFS('abrasion emissions'!$M$7:$M$38,'abrasion emissions'!$I$7:$I$38,"PM 2.5",'abrasion emissions'!$K$7:$K$38,"Road",'abrasion emissions'!$L$7:$L$38,"c"))))+
(SUMIFS('abrasion emissions'!$M$7:$M$38,'abrasion emissions'!$I$7:$I$38,"PM 10",'abrasion emissions'!$K$7:$K$38,"Road",'abrasion emissions'!$L$7:$L$38,"b")*POWER(('vehicles specifications'!$Q90/1000),(1/SUMIFS('abrasion emissions'!$M$7:$M$38,'abrasion emissions'!$I$7:$I$38,"PM 10",'abrasion emissions'!$K$7:$K$38,"Road",'abrasion emissions'!$L$7:$L$38,"c")))))/1000000+CT90</f>
        <v>7.9845055443951376E-6</v>
      </c>
      <c r="CV90" s="7">
        <f>(CK90*CN90)+(CL90*CO90)+(CM90*CP90)</f>
        <v>6.0400969769002495E-6</v>
      </c>
      <c r="CW90" s="7">
        <f>(CK90*CQ90)+(CL90*CR90)+(CM90*CS90)</f>
        <v>4.3467731359367686E-6</v>
      </c>
    </row>
    <row r="91">
      <c r="A91" t="str">
        <f>B91&amp;" - "&amp;D91&amp;" - "&amp;IF(I91&lt;&gt;"",I91&amp;" - "&amp;E91,E91)</f>
        <v>Scooter, battery electric, 4-11kW - 2040 - LFP - CH</v>
      </c>
      <c r="B91" t="inlineStr">
        <is>
          <t>Scooter, battery electric, 4-11kW</t>
        </is>
      </c>
      <c r="D91" s="18" t="n">
        <v>2040</v>
      </c>
      <c r="E91" t="inlineStr">
        <is>
          <t>CH</t>
        </is>
      </c>
      <c r="F91" t="inlineStr">
        <is>
          <t>None</t>
        </is>
      </c>
      <c r="G91" t="inlineStr">
        <is>
          <t>vkm</t>
        </is>
      </c>
      <c r="H91" t="inlineStr">
        <is>
          <t>BEV</t>
        </is>
      </c>
      <c r="I91" t="inlineStr">
        <is>
          <t>LFP</t>
        </is>
      </c>
      <c r="J91" t="n">
        <v>30000</v>
      </c>
      <c r="K91" t="n">
        <v>1870</v>
      </c>
      <c r="L91" s="2">
        <f>J91/K91</f>
        <v>16.042780748663102</v>
      </c>
      <c r="M91" t="n">
        <v>1</v>
      </c>
      <c r="N91" t="n">
        <v>75</v>
      </c>
      <c r="O91" t="n">
        <v>4</v>
      </c>
      <c r="P91" s="2">
        <f>SUM(U91,V91,W91,AC91,AF91,AH91)</f>
        <v>160.46666666666664</v>
      </c>
      <c r="Q91" s="2">
        <f>P91+(M91*N91)+O91</f>
        <v>239.46666666666664</v>
      </c>
      <c r="R91" t="n">
        <v>6.1</v>
      </c>
      <c r="S91" s="2" t="n">
        <v>84</v>
      </c>
      <c r="T91" s="1" t="n">
        <v>0.05</v>
      </c>
      <c r="U91" s="2">
        <f>S91*(1-T91)</f>
        <v>79.8</v>
      </c>
      <c r="V91" t="n">
        <v>10</v>
      </c>
      <c r="W91" t="n">
        <v>16</v>
      </c>
      <c r="X91" s="3" t="n">
        <v>8.199999999999999</v>
      </c>
      <c r="Y91" s="1" t="n">
        <v>0.8</v>
      </c>
      <c r="Z91" s="3">
        <f>Y91*X91</f>
        <v>6.56</v>
      </c>
      <c r="AA91" s="3">
        <f>IF(I91&lt;&gt;"",X91/INDEX('energy battery'!$B$3:$D$6,MATCH('vehicles specifications'!$D91,'energy battery'!$A$3:$A$6,0),MATCH('vehicles specifications'!$I91,'energy battery'!$B$2:$D$2,0)),"")</f>
        <v>45.55555555555555</v>
      </c>
      <c r="AB91" s="3">
        <f>IF(AA91&lt;&gt;"",0.2*AA91,"")</f>
        <v>9.1111111111111107</v>
      </c>
      <c r="AC91" s="3">
        <f>IF(AA91&lt;&gt;"",AB91+AA91,"")</f>
        <v>54.666666666666657</v>
      </c>
      <c r="AD91" s="3" t="n">
        <v>0.25</v>
      </c>
      <c r="AE91" s="3" t="n">
        <v>0</v>
      </c>
      <c r="AF91">
        <f>AE91*'fuels and tailpipe emissions'!$B$3</f>
        <v>0</v>
      </c>
      <c r="AG91" t="n">
        <v>0</v>
      </c>
      <c r="AH91" s="3" t="n">
        <v>0</v>
      </c>
      <c r="AI91" s="3" t="n">
        <v>3</v>
      </c>
      <c r="AJ91" s="3" t="n">
        <v>1</v>
      </c>
      <c r="AK91">
        <f>J91/25000</f>
        <v>1.2</v>
      </c>
      <c r="AL91">
        <f>0.000537/1000*Q91</f>
        <v>1.2859359999999999E-4</v>
      </c>
      <c r="AM91" t="n">
        <v>0.00129</v>
      </c>
      <c r="AN91" s="2">
        <f>U91</f>
        <v>79.8</v>
      </c>
      <c r="AO91" s="2">
        <f>SUM(V91:W91)</f>
        <v>26</v>
      </c>
      <c r="AP91" s="2">
        <f>AC91</f>
        <v>54.666666666666657</v>
      </c>
      <c r="AQ91" s="6" t="inlineStr"/>
      <c r="AR91" s="20" t="n"/>
      <c r="AS91" s="5" t="n">
        <v>0.1894149615567632</v>
      </c>
      <c r="AT91" s="2">
        <f>SUM(Z91,AG91)/(SUM(AQ91,AS91)/3.6)</f>
        <v>124.6786410424228</v>
      </c>
      <c r="AU91" s="5" t="n">
        <v>0</v>
      </c>
      <c r="AV91" s="5" t="n">
        <v>0</v>
      </c>
      <c r="AW91" s="7" t="n">
        <v>0</v>
      </c>
      <c r="AX91" s="7" t="n">
        <v>0</v>
      </c>
      <c r="AY91" s="7" t="n">
        <v>0</v>
      </c>
      <c r="AZ91" s="7" t="n">
        <v>0</v>
      </c>
      <c r="BA91" s="7" t="n">
        <v>0</v>
      </c>
      <c r="BB91" s="7" t="n">
        <v>0</v>
      </c>
      <c r="BC91" s="7" t="n">
        <v>0</v>
      </c>
      <c r="BD91" s="7" t="n">
        <v>0</v>
      </c>
      <c r="BE91" s="7" t="n">
        <v>0</v>
      </c>
      <c r="BF91" s="7" t="n">
        <v>0</v>
      </c>
      <c r="BG91" s="7" t="n">
        <v>0</v>
      </c>
      <c r="BH91" s="7" t="n">
        <v>0</v>
      </c>
      <c r="BI91" s="7" t="n">
        <v>0</v>
      </c>
      <c r="BJ91" s="7" t="n">
        <v>0</v>
      </c>
      <c r="BK91" s="7" t="n">
        <v>0</v>
      </c>
      <c r="BL91" s="7" t="n">
        <v>0</v>
      </c>
      <c r="BM91" s="7" t="n">
        <v>0</v>
      </c>
      <c r="BN91" s="7" t="n">
        <v>0</v>
      </c>
      <c r="BO91" s="7" t="n">
        <v>0</v>
      </c>
      <c r="BP91" s="7" t="n">
        <v>0</v>
      </c>
      <c r="BQ91" s="7" t="n">
        <v>0</v>
      </c>
      <c r="BR91" s="7" t="n">
        <v>0</v>
      </c>
      <c r="BS91" s="7" t="n">
        <v>0</v>
      </c>
      <c r="BT91" s="7" t="n">
        <v>0</v>
      </c>
      <c r="BU91" s="7" t="n">
        <v>0</v>
      </c>
      <c r="BV91" s="7" t="n">
        <v>0</v>
      </c>
      <c r="BW91" s="7" t="n">
        <v>0</v>
      </c>
      <c r="BX91" s="7" t="n">
        <v>0</v>
      </c>
      <c r="BY91" s="7" t="n">
        <v>0</v>
      </c>
      <c r="BZ91" s="7" t="n">
        <v>0</v>
      </c>
      <c r="CA91" s="7" t="n">
        <v>0</v>
      </c>
      <c r="CB91" s="7" t="n">
        <v>0</v>
      </c>
      <c r="CC91" s="7" t="n">
        <v>0</v>
      </c>
      <c r="CD91" s="7" t="n">
        <v>0</v>
      </c>
      <c r="CE91" s="7" t="n">
        <v>0</v>
      </c>
      <c r="CF91" s="7" t="n">
        <v>0</v>
      </c>
      <c r="CG91" s="7" t="n">
        <v>0</v>
      </c>
      <c r="CH91" s="7" t="n">
        <v>0</v>
      </c>
      <c r="CI91" s="7" t="n">
        <v>0</v>
      </c>
      <c r="CJ91" s="7" t="n">
        <v>0</v>
      </c>
      <c r="CK91" s="38">
        <f>VLOOKUP($B91,'abrasion emissions'!$O$7:$R$36,2,FALSE)</f>
        <v>0.5</v>
      </c>
      <c r="CL91" s="38">
        <f>VLOOKUP($B91,'abrasion emissions'!$O$7:$R$36,3,FALSE)</f>
        <v>0.5</v>
      </c>
      <c r="CM91" s="38">
        <f>VLOOKUP($B91,'abrasion emissions'!$O$7:$R$36,4,FALSE)</f>
        <v>0</v>
      </c>
      <c r="CN91" s="7">
        <f>((SUMIFS('abrasion emissions'!$M$7:$M$34,'abrasion emissions'!$I$7:$I$34,"PM 2.5",'abrasion emissions'!$J$7:$J$34,"urban",'abrasion emissions'!$K$7:$K$34,"Tyre",'abrasion emissions'!$L$7:$L$34,"b")*POWER(('vehicles specifications'!$Q91/1000),(1/SUMIFS('abrasion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specifications'!$P91/1000),(1/SUMIFS('abrasion emissions'!$M$7:$M$34,'abrasion emissions'!$I$7:$I$34,"PM 10",'abrasion emissions'!$J$7:$J$34,"urban",'abrasion emissions'!$K$7:$K$34,"Tyre",'abrasion emissions'!$L$7:$L$34,"c")))))/1000000</f>
        <v>7.0225815066584037E-6</v>
      </c>
      <c r="CO91" s="7">
        <f>((SUMIFS('abrasion emissions'!$M$7:$M$34,'abrasion emissions'!$I$7:$I$34,"PM 2.5",'abrasion emissions'!$J$7:$J$34,"rural",'abrasion emissions'!$K$7:$K$34,"Tyre",'abrasion emissions'!$L$7:$L$34,"b")*POWER(('vehicles specifications'!$Q91/1000),(1/SUMIFS('abrasion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specifications'!$P91/1000),(1/SUMIFS('abrasion emissions'!$M$7:$M$34,'abrasion emissions'!$I$7:$I$34,"PM 10",'abrasion emissions'!$J$7:$J$34,"rural",'abrasion emissions'!$K$7:$K$34,"Tyre",'abrasion emissions'!$L$7:$L$34,"c")))))/1000000</f>
        <v>5.4689297871417899E-6</v>
      </c>
      <c r="CP91" s="7">
        <f>((SUMIFS('abrasion emissions'!$M$7:$M$34,'abrasion emissions'!$I$7:$I$34,"PM 2.5",'abrasion emissions'!$J$7:$J$34,"motorway",'abrasion emissions'!$K$7:$K$34,"Tyre",'abrasion emissions'!$L$7:$L$34,"b")*POWER(('vehicles specifications'!$Q91/1000),(1/SUMIFS('abrasion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specifications'!$P91/1000),(1/SUMIFS('abrasion emissions'!$M$7:$M$34,'abrasion emissions'!$I$7:$I$34,"PM 10",'abrasion emissions'!$J$7:$J$34,"motorway",'abrasion emissions'!$K$7:$K$34,"Tyre",'abrasion emissions'!$L$7:$L$34,"c")))))/1000000</f>
        <v>4.6695363391900502E-6</v>
      </c>
      <c r="CQ91" s="7">
        <f>((SUMIFS('abrasion emissions'!$M$7:$M$34,'abrasion emissions'!$I$7:$I$34,"PM 2.5",'abrasion emissions'!$J$7:$J$34,"urban",'abrasion emissions'!$K$7:$K$34,"Brake",'abrasion emissions'!$L$7:$L$34,"b")*POWER(('vehicles specifications'!$Q91/1000),(1/SUMIFS('abrasion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specifications'!$P91/1000),(1/SUMIFS('abrasion emissions'!$M$7:$M$34,'abrasion emissions'!$I$7:$I$34,"PM 10",'abrasion emissions'!$J$7:$J$34,"urban",'abrasion emissions'!$K$7:$K$34,"Brake",'abrasion emissions'!$L$7:$L$34,"c")))))/1000000</f>
        <v>6.7875329517069138E-6</v>
      </c>
      <c r="CR91" s="7">
        <f>((SUMIFS('abrasion emissions'!$M$7:$M$34,'abrasion emissions'!$I$7:$I$34,"PM 2.5",'abrasion emissions'!$J$7:$J$34,"rural",'abrasion emissions'!$K$7:$K$34,"Brake",'abrasion emissions'!$L$7:$L$34,"b")*POWER(('vehicles specifications'!$Q91/1000),(1/SUMIFS('abrasion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specifications'!$P91/1000),(1/SUMIFS('abrasion emissions'!$M$7:$M$34,'abrasion emissions'!$I$7:$I$34,"PM 10",'abrasion emissions'!$J$7:$J$34,"rural",'abrasion emissions'!$K$7:$K$34,"Brake",'abrasion emissions'!$L$7:$L$34,"c")))))/1000000</f>
        <v>2.2668368632535251E-6</v>
      </c>
      <c r="CS91" s="7">
        <f>((SUMIFS('abrasion emissions'!$M$7:$M$34,'abrasion emissions'!$I$7:$I$34,"PM 2.5",'abrasion emissions'!$J$7:$J$34,"motorway",'abrasion emissions'!$K$7:$K$34,"Brake",'abrasion emissions'!$L$7:$L$34,"b")*POWER(('vehicles specifications'!$Q91/1000),(1/SUMIFS('abrasion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specifications'!$P91/1000),(1/SUMIFS('abrasion emissions'!$M$7:$M$34,'abrasion emissions'!$I$7:$I$34,"PM 10",'abrasion emissions'!$J$7:$J$34,"motorway",'abrasion emissions'!$K$7:$K$34,"Brake",'abrasion emissions'!$L$7:$L$34,"c")))))/1000000</f>
        <v>4.3094771254464265E-7</v>
      </c>
      <c r="CT91" s="7">
        <f>((SUMIFS('abrasion emissions'!$M$7:$M$38,'abrasion emissions'!$I$7:$I$38,"PM 2.5",'abrasion emissions'!$K$7:$K$38,"Re-susp.",'abrasion emissions'!$L$7:$L$38,"b")*POWER(('vehicles specifications'!$Q91/1000),(1/SUMIFS('abrasion emissions'!$M$7:$M$38,'abrasion emissions'!$I$7:$I$38,"PM 2.5",'abrasion emissions'!$K$7:$K$38,"Re-susp.",'abrasion emissions'!$L$7:$L$38,"c"))))+
(SUMIFS('abrasion emissions'!$M$7:$M$38,'abrasion emissions'!$I$7:$I$38,"PM 10",'abrasion emissions'!$K$7:$K$38,"Re-susp.",'abrasion emissions'!$L$7:$L$38,"b")*POWER(('vehicles specifications'!$Q91/1000),(1/SUMIFS('abrasion emissions'!$M$7:$M$38,'abrasion emissions'!$I$7:$I$38,"PM 10",'abrasion emissions'!$K$7:$K$38,"Re-susp.",'abrasion emissions'!$L$7:$L$38,"c")))))/1000000</f>
        <v>4.4721996516636561E-6</v>
      </c>
      <c r="CU91" s="7">
        <f>((SUMIFS('abrasion emissions'!$M$7:$M$38,'abrasion emissions'!$I$7:$I$38,"PM 2.5",'abrasion emissions'!$K$7:$K$38,"Road",'abrasion emissions'!$L$7:$L$38,"b")*POWER(('vehicles specifications'!$Q91/1000),(1/SUMIFS('abrasion emissions'!$M$7:$M$38,'abrasion emissions'!$I$7:$I$38,"PM 2.5",'abrasion emissions'!$K$7:$K$38,"Road",'abrasion emissions'!$L$7:$L$38,"c"))))+
(SUMIFS('abrasion emissions'!$M$7:$M$38,'abrasion emissions'!$I$7:$I$38,"PM 10",'abrasion emissions'!$K$7:$K$38,"Road",'abrasion emissions'!$L$7:$L$38,"b")*POWER(('vehicles specifications'!$Q91/1000),(1/SUMIFS('abrasion emissions'!$M$7:$M$38,'abrasion emissions'!$I$7:$I$38,"PM 10",'abrasion emissions'!$K$7:$K$38,"Road",'abrasion emissions'!$L$7:$L$38,"c")))))/1000000+CT91</f>
        <v>8.4055583303453682E-6</v>
      </c>
      <c r="CV91" s="7">
        <f>(CK91*CN91)+(CL91*CO91)+(CM91*CP91)</f>
        <v>6.2457556469000968E-6</v>
      </c>
      <c r="CW91" s="7">
        <f>(CK91*CQ91)+(CL91*CR91)+(CM91*CS91)</f>
        <v>4.5271849074802194E-6</v>
      </c>
    </row>
    <row r="92">
      <c r="A92" t="str">
        <f>B92&amp;" - "&amp;D92&amp;" - "&amp;IF(I92&lt;&gt;"",I92&amp;" - "&amp;E92,E92)</f>
        <v>Scooter, battery electric, 4-11kW - 2050 - LFP - CH</v>
      </c>
      <c r="B92" t="inlineStr">
        <is>
          <t>Scooter, battery electric, 4-11kW</t>
        </is>
      </c>
      <c r="D92" s="18" t="n">
        <v>2050</v>
      </c>
      <c r="E92" t="inlineStr">
        <is>
          <t>CH</t>
        </is>
      </c>
      <c r="F92" t="inlineStr">
        <is>
          <t>None</t>
        </is>
      </c>
      <c r="G92" t="inlineStr">
        <is>
          <t>vkm</t>
        </is>
      </c>
      <c r="H92" t="inlineStr">
        <is>
          <t>BEV</t>
        </is>
      </c>
      <c r="I92" t="inlineStr">
        <is>
          <t>LFP</t>
        </is>
      </c>
      <c r="J92" t="n">
        <v>30000</v>
      </c>
      <c r="K92" t="n">
        <v>1870</v>
      </c>
      <c r="L92" s="2">
        <f>J92/K92</f>
        <v>16.042780748663102</v>
      </c>
      <c r="M92" t="n">
        <v>1</v>
      </c>
      <c r="N92" t="n">
        <v>75</v>
      </c>
      <c r="O92" t="n">
        <v>4</v>
      </c>
      <c r="P92" s="2">
        <f>SUM(U92,V92,W92,AC92,AF92,AH92)</f>
        <v>168.92</v>
      </c>
      <c r="Q92" s="2">
        <f>P92+(M92*N92)+O92</f>
        <v>247.92</v>
      </c>
      <c r="R92" t="n">
        <v>6.1</v>
      </c>
      <c r="S92" s="2" t="n">
        <v>84</v>
      </c>
      <c r="T92" s="1" t="n">
        <v>0.07000000000000001</v>
      </c>
      <c r="U92" s="2">
        <f>S92*(1-T92)</f>
        <v>78.11999999999999</v>
      </c>
      <c r="V92" t="n">
        <v>10</v>
      </c>
      <c r="W92" t="n">
        <v>16</v>
      </c>
      <c r="X92" s="3" t="n">
        <v>10.8</v>
      </c>
      <c r="Y92" s="1" t="n">
        <v>0.8</v>
      </c>
      <c r="Z92" s="3">
        <f>Y92*X92</f>
        <v>8.64</v>
      </c>
      <c r="AA92" s="3">
        <f>IF(I92&lt;&gt;"",X92/INDEX('energy battery'!$B$3:$D$6,MATCH('vehicles specifications'!$D92,'energy battery'!$A$3:$A$6,0),MATCH('vehicles specifications'!$I92,'energy battery'!$B$2:$D$2,0)),"")</f>
        <v>54</v>
      </c>
      <c r="AB92" s="3">
        <f>IF(AA92&lt;&gt;"",0.2*AA92,"")</f>
        <v>10.8</v>
      </c>
      <c r="AC92" s="3">
        <f>IF(AA92&lt;&gt;"",AB92+AA92,"")</f>
        <v>64.8</v>
      </c>
      <c r="AD92" s="3" t="n">
        <v>0</v>
      </c>
      <c r="AE92" s="3" t="n">
        <v>0</v>
      </c>
      <c r="AF92">
        <f>AE92*'fuels and tailpipe emissions'!$B$3</f>
        <v>0</v>
      </c>
      <c r="AG92" t="n">
        <v>0</v>
      </c>
      <c r="AH92" s="3" t="n">
        <v>0</v>
      </c>
      <c r="AI92" s="3" t="n">
        <v>3</v>
      </c>
      <c r="AJ92" s="3" t="n">
        <v>1</v>
      </c>
      <c r="AK92">
        <f>J92/25000</f>
        <v>1.2</v>
      </c>
      <c r="AL92">
        <f>0.000537/1000*Q92</f>
        <v>1.3313303999999999E-4</v>
      </c>
      <c r="AM92" t="n">
        <v>0.00129</v>
      </c>
      <c r="AN92" s="2">
        <f>U92</f>
        <v>78.11999999999999</v>
      </c>
      <c r="AO92" s="2">
        <f>SUM(V92:W92)</f>
        <v>26</v>
      </c>
      <c r="AP92" s="2">
        <f>AC92</f>
        <v>64.8</v>
      </c>
      <c r="AQ92" s="6" t="inlineStr"/>
      <c r="AR92" s="20" t="n"/>
      <c r="AS92" s="5" t="n">
        <v>0.1894149615567632</v>
      </c>
      <c r="AT92" s="2">
        <f>SUM(Z92,AG92)/(SUM(AQ92,AS92)/3.6)</f>
        <v>164.21089308026419</v>
      </c>
      <c r="AU92" s="5" t="n">
        <v>0</v>
      </c>
      <c r="AV92" s="5" t="n">
        <v>0</v>
      </c>
      <c r="AW92" s="7" t="n">
        <v>0</v>
      </c>
      <c r="AX92" s="7" t="n">
        <v>0</v>
      </c>
      <c r="AY92" s="7" t="n">
        <v>0</v>
      </c>
      <c r="AZ92" s="7" t="n">
        <v>0</v>
      </c>
      <c r="BA92" s="7" t="n">
        <v>0</v>
      </c>
      <c r="BB92" s="7" t="n">
        <v>0</v>
      </c>
      <c r="BC92" s="7" t="n">
        <v>0</v>
      </c>
      <c r="BD92" s="7" t="n">
        <v>0</v>
      </c>
      <c r="BE92" s="7" t="n">
        <v>0</v>
      </c>
      <c r="BF92" s="7" t="n">
        <v>0</v>
      </c>
      <c r="BG92" s="7" t="n">
        <v>0</v>
      </c>
      <c r="BH92" s="7" t="n">
        <v>0</v>
      </c>
      <c r="BI92" s="7" t="n">
        <v>0</v>
      </c>
      <c r="BJ92" s="7" t="n">
        <v>0</v>
      </c>
      <c r="BK92" s="7" t="n">
        <v>0</v>
      </c>
      <c r="BL92" s="7" t="n">
        <v>0</v>
      </c>
      <c r="BM92" s="7" t="n">
        <v>0</v>
      </c>
      <c r="BN92" s="7" t="n">
        <v>0</v>
      </c>
      <c r="BO92" s="7" t="n">
        <v>0</v>
      </c>
      <c r="BP92" s="7" t="n">
        <v>0</v>
      </c>
      <c r="BQ92" s="7" t="n">
        <v>0</v>
      </c>
      <c r="BR92" s="7" t="n">
        <v>0</v>
      </c>
      <c r="BS92" s="7" t="n">
        <v>0</v>
      </c>
      <c r="BT92" s="7" t="n">
        <v>0</v>
      </c>
      <c r="BU92" s="7" t="n">
        <v>0</v>
      </c>
      <c r="BV92" s="7" t="n">
        <v>0</v>
      </c>
      <c r="BW92" s="7" t="n">
        <v>0</v>
      </c>
      <c r="BX92" s="7" t="n">
        <v>0</v>
      </c>
      <c r="BY92" s="7" t="n">
        <v>0</v>
      </c>
      <c r="BZ92" s="7" t="n">
        <v>0</v>
      </c>
      <c r="CA92" s="7" t="n">
        <v>0</v>
      </c>
      <c r="CB92" s="7" t="n">
        <v>0</v>
      </c>
      <c r="CC92" s="7" t="n">
        <v>0</v>
      </c>
      <c r="CD92" s="7" t="n">
        <v>0</v>
      </c>
      <c r="CE92" s="7" t="n">
        <v>0</v>
      </c>
      <c r="CF92" s="7" t="n">
        <v>0</v>
      </c>
      <c r="CG92" s="7" t="n">
        <v>0</v>
      </c>
      <c r="CH92" s="7" t="n">
        <v>0</v>
      </c>
      <c r="CI92" s="7" t="n">
        <v>0</v>
      </c>
      <c r="CJ92" s="7" t="n">
        <v>0</v>
      </c>
      <c r="CK92" s="38">
        <f>VLOOKUP($B92,'abrasion emissions'!$O$7:$R$36,2,FALSE)</f>
        <v>0.5</v>
      </c>
      <c r="CL92" s="38">
        <f>VLOOKUP($B92,'abrasion emissions'!$O$7:$R$36,3,FALSE)</f>
        <v>0.5</v>
      </c>
      <c r="CM92" s="38">
        <f>VLOOKUP($B92,'abrasion emissions'!$O$7:$R$36,4,FALSE)</f>
        <v>0</v>
      </c>
      <c r="CN92" s="7">
        <f>((SUMIFS('abrasion emissions'!$M$7:$M$34,'abrasion emissions'!$I$7:$I$34,"PM 2.5",'abrasion emissions'!$J$7:$J$34,"urban",'abrasion emissions'!$K$7:$K$34,"Tyre",'abrasion emissions'!$L$7:$L$34,"b")*POWER(('vehicles specifications'!$Q92/1000),(1/SUMIFS('abrasion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specifications'!$P92/1000),(1/SUMIFS('abrasion emissions'!$M$7:$M$34,'abrasion emissions'!$I$7:$I$34,"PM 10",'abrasion emissions'!$J$7:$J$34,"urban",'abrasion emissions'!$K$7:$K$34,"Tyre",'abrasion emissions'!$L$7:$L$34,"c")))))/1000000</f>
        <v>7.1486143332349651E-6</v>
      </c>
      <c r="CO92" s="7">
        <f>((SUMIFS('abrasion emissions'!$M$7:$M$34,'abrasion emissions'!$I$7:$I$34,"PM 2.5",'abrasion emissions'!$J$7:$J$34,"rural",'abrasion emissions'!$K$7:$K$34,"Tyre",'abrasion emissions'!$L$7:$L$34,"b")*POWER(('vehicles specifications'!$Q92/1000),(1/SUMIFS('abrasion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specifications'!$P92/1000),(1/SUMIFS('abrasion emissions'!$M$7:$M$34,'abrasion emissions'!$I$7:$I$34,"PM 10",'abrasion emissions'!$J$7:$J$34,"rural",'abrasion emissions'!$K$7:$K$34,"Tyre",'abrasion emissions'!$L$7:$L$34,"c")))))/1000000</f>
        <v>5.5670235336149891E-6</v>
      </c>
      <c r="CP92" s="7">
        <f>((SUMIFS('abrasion emissions'!$M$7:$M$34,'abrasion emissions'!$I$7:$I$34,"PM 2.5",'abrasion emissions'!$J$7:$J$34,"motorway",'abrasion emissions'!$K$7:$K$34,"Tyre",'abrasion emissions'!$L$7:$L$34,"b")*POWER(('vehicles specifications'!$Q92/1000),(1/SUMIFS('abrasion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specifications'!$P92/1000),(1/SUMIFS('abrasion emissions'!$M$7:$M$34,'abrasion emissions'!$I$7:$I$34,"PM 10",'abrasion emissions'!$J$7:$J$34,"motorway",'abrasion emissions'!$K$7:$K$34,"Tyre",'abrasion emissions'!$L$7:$L$34,"c")))))/1000000</f>
        <v>4.7531511435638935E-6</v>
      </c>
      <c r="CQ92" s="7">
        <f>((SUMIFS('abrasion emissions'!$M$7:$M$34,'abrasion emissions'!$I$7:$I$34,"PM 2.5",'abrasion emissions'!$J$7:$J$34,"urban",'abrasion emissions'!$K$7:$K$34,"Brake",'abrasion emissions'!$L$7:$L$34,"b")*POWER(('vehicles specifications'!$Q92/1000),(1/SUMIFS('abrasion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specifications'!$P92/1000),(1/SUMIFS('abrasion emissions'!$M$7:$M$34,'abrasion emissions'!$I$7:$I$34,"PM 10",'abrasion emissions'!$J$7:$J$34,"urban",'abrasion emissions'!$K$7:$K$34,"Brake",'abrasion emissions'!$L$7:$L$34,"c")))))/1000000</f>
        <v>6.9269738688076446E-6</v>
      </c>
      <c r="CR92" s="7">
        <f>((SUMIFS('abrasion emissions'!$M$7:$M$34,'abrasion emissions'!$I$7:$I$34,"PM 2.5",'abrasion emissions'!$J$7:$J$34,"rural",'abrasion emissions'!$K$7:$K$34,"Brake",'abrasion emissions'!$L$7:$L$34,"b")*POWER(('vehicles specifications'!$Q92/1000),(1/SUMIFS('abrasion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specifications'!$P92/1000),(1/SUMIFS('abrasion emissions'!$M$7:$M$34,'abrasion emissions'!$I$7:$I$34,"PM 10",'abrasion emissions'!$J$7:$J$34,"rural",'abrasion emissions'!$K$7:$K$34,"Brake",'abrasion emissions'!$L$7:$L$34,"c")))))/1000000</f>
        <v>2.3259456805990557E-6</v>
      </c>
      <c r="CS92" s="7">
        <f>((SUMIFS('abrasion emissions'!$M$7:$M$34,'abrasion emissions'!$I$7:$I$34,"PM 2.5",'abrasion emissions'!$J$7:$J$34,"motorway",'abrasion emissions'!$K$7:$K$34,"Brake",'abrasion emissions'!$L$7:$L$34,"b")*POWER(('vehicles specifications'!$Q92/1000),(1/SUMIFS('abrasion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specifications'!$P92/1000),(1/SUMIFS('abrasion emissions'!$M$7:$M$34,'abrasion emissions'!$I$7:$I$34,"PM 10",'abrasion emissions'!$J$7:$J$34,"motorway",'abrasion emissions'!$K$7:$K$34,"Brake",'abrasion emissions'!$L$7:$L$34,"c")))))/1000000</f>
        <v>4.4389877849213272E-7</v>
      </c>
      <c r="CT92" s="7">
        <f>((SUMIFS('abrasion emissions'!$M$7:$M$38,'abrasion emissions'!$I$7:$I$38,"PM 2.5",'abrasion emissions'!$K$7:$K$38,"Re-susp.",'abrasion emissions'!$L$7:$L$38,"b")*POWER(('vehicles specifications'!$Q92/1000),(1/SUMIFS('abrasion emissions'!$M$7:$M$38,'abrasion emissions'!$I$7:$I$38,"PM 2.5",'abrasion emissions'!$K$7:$K$38,"Re-susp.",'abrasion emissions'!$L$7:$L$38,"c"))))+
(SUMIFS('abrasion emissions'!$M$7:$M$38,'abrasion emissions'!$I$7:$I$38,"PM 10",'abrasion emissions'!$K$7:$K$38,"Re-susp.",'abrasion emissions'!$L$7:$L$38,"b")*POWER(('vehicles specifications'!$Q92/1000),(1/SUMIFS('abrasion emissions'!$M$7:$M$38,'abrasion emissions'!$I$7:$I$38,"PM 10",'abrasion emissions'!$K$7:$K$38,"Re-susp.",'abrasion emissions'!$L$7:$L$38,"c")))))/1000000</f>
        <v>4.6154919351242303E-6</v>
      </c>
      <c r="CU92" s="7">
        <f>((SUMIFS('abrasion emissions'!$M$7:$M$38,'abrasion emissions'!$I$7:$I$38,"PM 2.5",'abrasion emissions'!$K$7:$K$38,"Road",'abrasion emissions'!$L$7:$L$38,"b")*POWER(('vehicles specifications'!$Q92/1000),(1/SUMIFS('abrasion emissions'!$M$7:$M$38,'abrasion emissions'!$I$7:$I$38,"PM 2.5",'abrasion emissions'!$K$7:$K$38,"Road",'abrasion emissions'!$L$7:$L$38,"c"))))+
(SUMIFS('abrasion emissions'!$M$7:$M$38,'abrasion emissions'!$I$7:$I$38,"PM 10",'abrasion emissions'!$K$7:$K$38,"Road",'abrasion emissions'!$L$7:$L$38,"b")*POWER(('vehicles specifications'!$Q92/1000),(1/SUMIFS('abrasion emissions'!$M$7:$M$38,'abrasion emissions'!$I$7:$I$38,"PM 10",'abrasion emissions'!$K$7:$K$38,"Road",'abrasion emissions'!$L$7:$L$38,"c")))))/1000000+CT92</f>
        <v>8.6408811677586719E-6</v>
      </c>
      <c r="CV92" s="7">
        <f>(CK92*CN92)+(CL92*CO92)+(CM92*CP92)</f>
        <v>6.3578189334249771E-6</v>
      </c>
      <c r="CW92" s="7">
        <f>(CK92*CQ92)+(CL92*CR92)+(CM92*CS92)</f>
        <v>4.6264597747033504E-6</v>
      </c>
    </row>
    <row r="93">
      <c r="A93" t="str">
        <f>B93&amp;" - "&amp;D93&amp;" - "&amp;IF(I93&lt;&gt;"",I93&amp;" - "&amp;E93,E93)</f>
        <v>Scooter, battery electric, &lt;4kW - 2020 - NCA - CH</v>
      </c>
      <c r="B93" t="inlineStr">
        <is>
          <t>Scooter, battery electric, &lt;4kW</t>
        </is>
      </c>
      <c r="D93" s="18" t="n">
        <v>2020</v>
      </c>
      <c r="E93" t="inlineStr">
        <is>
          <t>CH</t>
        </is>
      </c>
      <c r="F93" t="inlineStr">
        <is>
          <t>None</t>
        </is>
      </c>
      <c r="G93" t="inlineStr">
        <is>
          <t>vkm</t>
        </is>
      </c>
      <c r="H93" t="inlineStr">
        <is>
          <t>BEV</t>
        </is>
      </c>
      <c r="I93" t="inlineStr">
        <is>
          <t>NCA</t>
        </is>
      </c>
      <c r="J93" t="n">
        <v>25000</v>
      </c>
      <c r="K93" t="n">
        <v>1570</v>
      </c>
      <c r="L93" s="2">
        <f>J93/K93</f>
        <v>15.923566878980891</v>
      </c>
      <c r="M93" t="n">
        <v>1</v>
      </c>
      <c r="N93" t="n">
        <v>75</v>
      </c>
      <c r="O93" t="n">
        <v>4</v>
      </c>
      <c r="P93" s="2">
        <f>SUM(U93,V93,W93,AC93,AF93,AH93)</f>
        <v>99</v>
      </c>
      <c r="Q93" s="2">
        <f>P93+(M93*N93)+O93</f>
        <v>178</v>
      </c>
      <c r="R93" t="n">
        <v>2.6</v>
      </c>
      <c r="S93" s="2" t="n">
        <v>73</v>
      </c>
      <c r="T93" s="1" t="n">
        <v>0</v>
      </c>
      <c r="U93" s="2">
        <f>S93*(1-T93)</f>
        <v>73</v>
      </c>
      <c r="V93" t="n">
        <v>5</v>
      </c>
      <c r="W93" t="n">
        <v>8</v>
      </c>
      <c r="X93" s="3" t="n">
        <v>2.3</v>
      </c>
      <c r="Y93" s="1" t="n">
        <v>0.8</v>
      </c>
      <c r="Z93" s="3">
        <f>Y93*X93</f>
        <v>1.8399999999999999</v>
      </c>
      <c r="AA93" s="3">
        <f>IF(I93&lt;&gt;"",X93/INDEX('energy battery'!$B$3:$D$6,MATCH('vehicles specifications'!$D93,'energy battery'!$A$3:$A$6,0),MATCH('vehicles specifications'!$I93,'energy battery'!$B$2:$D$2,0)),"")</f>
        <v>9.9999999999999982</v>
      </c>
      <c r="AB93" s="3">
        <f>IF(AA93&lt;&gt;"",0.3*AA93,"")</f>
        <v>2.9999999999999996</v>
      </c>
      <c r="AC93" s="3">
        <f>IF(AA93&lt;&gt;"",AB93+AA93,"")</f>
        <v>12.999999999999998</v>
      </c>
      <c r="AD93" s="3" t="n">
        <v>1</v>
      </c>
      <c r="AE93" s="3" t="n">
        <v>0</v>
      </c>
      <c r="AF93">
        <f>AE93*'fuels and tailpipe emissions'!$B$3</f>
        <v>0</v>
      </c>
      <c r="AG93" t="n">
        <v>0</v>
      </c>
      <c r="AH93" s="3" t="n">
        <v>0</v>
      </c>
      <c r="AI93" s="3" t="n">
        <v>3</v>
      </c>
      <c r="AJ93" s="3" t="n">
        <v>1</v>
      </c>
      <c r="AK93">
        <f>J93/25000</f>
        <v>1</v>
      </c>
      <c r="AL93">
        <f>0.000537/1000*Q93</f>
        <v>9.5586000000000003E-5</v>
      </c>
      <c r="AM93" t="n">
        <v>0.00129</v>
      </c>
      <c r="AN93" s="2">
        <f>U93</f>
        <v>73</v>
      </c>
      <c r="AO93" s="2">
        <f>SUM(V93:W93)</f>
        <v>13</v>
      </c>
      <c r="AP93" s="2">
        <f>AC93</f>
        <v>12.999999999999998</v>
      </c>
      <c r="AQ93" s="6" t="inlineStr"/>
      <c r="AR93" s="20" t="n"/>
      <c r="AS93" s="5" t="n">
        <v>0.1334361071081471</v>
      </c>
      <c r="AT93" s="2">
        <f>SUM(Z93,AG93)/(SUM(AQ93,AS93)/3.6)</f>
        <v>49.641735985533444</v>
      </c>
      <c r="AU93" s="5" t="n">
        <v>0</v>
      </c>
      <c r="AV93" s="5" t="n">
        <v>0</v>
      </c>
      <c r="AW93" s="7" t="n">
        <v>0</v>
      </c>
      <c r="AX93" s="7" t="n">
        <v>0</v>
      </c>
      <c r="AY93" s="7" t="n">
        <v>0</v>
      </c>
      <c r="AZ93" s="7" t="n">
        <v>0</v>
      </c>
      <c r="BA93" s="7" t="n">
        <v>0</v>
      </c>
      <c r="BB93" s="7" t="n">
        <v>0</v>
      </c>
      <c r="BC93" s="7" t="n">
        <v>0</v>
      </c>
      <c r="BD93" s="7" t="n">
        <v>0</v>
      </c>
      <c r="BE93" s="7" t="n">
        <v>0</v>
      </c>
      <c r="BF93" s="7" t="n">
        <v>0</v>
      </c>
      <c r="BG93" s="7" t="n">
        <v>0</v>
      </c>
      <c r="BH93" s="7" t="n">
        <v>0</v>
      </c>
      <c r="BI93" s="7" t="n">
        <v>0</v>
      </c>
      <c r="BJ93" s="7" t="n">
        <v>0</v>
      </c>
      <c r="BK93" s="7" t="n">
        <v>0</v>
      </c>
      <c r="BL93" s="7" t="n">
        <v>0</v>
      </c>
      <c r="BM93" s="7" t="n">
        <v>0</v>
      </c>
      <c r="BN93" s="7" t="n">
        <v>0</v>
      </c>
      <c r="BO93" s="7" t="n">
        <v>0</v>
      </c>
      <c r="BP93" s="7" t="n">
        <v>0</v>
      </c>
      <c r="BQ93" s="7" t="n">
        <v>0</v>
      </c>
      <c r="BR93" s="7" t="n">
        <v>0</v>
      </c>
      <c r="BS93" s="7" t="n">
        <v>0</v>
      </c>
      <c r="BT93" s="7" t="n">
        <v>0</v>
      </c>
      <c r="BU93" s="7" t="n">
        <v>0</v>
      </c>
      <c r="BV93" s="7" t="n">
        <v>0</v>
      </c>
      <c r="BW93" s="7" t="n">
        <v>0</v>
      </c>
      <c r="BX93" s="7" t="n">
        <v>0</v>
      </c>
      <c r="BY93" s="7" t="n">
        <v>0</v>
      </c>
      <c r="BZ93" s="7" t="n">
        <v>0</v>
      </c>
      <c r="CA93" s="7" t="n">
        <v>0</v>
      </c>
      <c r="CB93" s="7" t="n">
        <v>0</v>
      </c>
      <c r="CC93" s="7" t="n">
        <v>0</v>
      </c>
      <c r="CD93" s="7" t="n">
        <v>0</v>
      </c>
      <c r="CE93" s="7" t="n">
        <v>0</v>
      </c>
      <c r="CF93" s="7" t="n">
        <v>0</v>
      </c>
      <c r="CG93" s="7" t="n">
        <v>0</v>
      </c>
      <c r="CH93" s="7" t="n">
        <v>0</v>
      </c>
      <c r="CI93" s="7" t="n">
        <v>0</v>
      </c>
      <c r="CJ93" s="7" t="n">
        <v>0</v>
      </c>
      <c r="CK93" s="38">
        <f>VLOOKUP($B93,'abrasion emissions'!$O$7:$R$36,2,FALSE)</f>
        <v>0.5</v>
      </c>
      <c r="CL93" s="38">
        <f>VLOOKUP($B93,'abrasion emissions'!$O$7:$R$36,3,FALSE)</f>
        <v>0.5</v>
      </c>
      <c r="CM93" s="38">
        <f>VLOOKUP($B93,'abrasion emissions'!$O$7:$R$36,4,FALSE)</f>
        <v>0</v>
      </c>
      <c r="CN93" s="7">
        <f>((SUMIFS('abrasion emissions'!$M$7:$M$34,'abrasion emissions'!$I$7:$I$34,"PM 2.5",'abrasion emissions'!$J$7:$J$34,"urban",'abrasion emissions'!$K$7:$K$34,"Tyre",'abrasion emissions'!$L$7:$L$34,"b")*POWER(('vehicles specifications'!$Q93/1000),(1/SUMIFS('abrasion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specifications'!$P93/1000),(1/SUMIFS('abrasion emissions'!$M$7:$M$34,'abrasion emissions'!$I$7:$I$34,"PM 10",'abrasion emissions'!$J$7:$J$34,"urban",'abrasion emissions'!$K$7:$K$34,"Tyre",'abrasion emissions'!$L$7:$L$34,"c")))))/1000000</f>
        <v>5.9937806613518746E-6</v>
      </c>
      <c r="CO93" s="7">
        <f>((SUMIFS('abrasion emissions'!$M$7:$M$34,'abrasion emissions'!$I$7:$I$34,"PM 2.5",'abrasion emissions'!$J$7:$J$34,"rural",'abrasion emissions'!$K$7:$K$34,"Tyre",'abrasion emissions'!$L$7:$L$34,"b")*POWER(('vehicles specifications'!$Q93/1000),(1/SUMIFS('abrasion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specifications'!$P93/1000),(1/SUMIFS('abrasion emissions'!$M$7:$M$34,'abrasion emissions'!$I$7:$I$34,"PM 10",'abrasion emissions'!$J$7:$J$34,"rural",'abrasion emissions'!$K$7:$K$34,"Tyre",'abrasion emissions'!$L$7:$L$34,"c")))))/1000000</f>
        <v>4.668256848526165E-6</v>
      </c>
      <c r="CP93" s="7">
        <f>((SUMIFS('abrasion emissions'!$M$7:$M$34,'abrasion emissions'!$I$7:$I$34,"PM 2.5",'abrasion emissions'!$J$7:$J$34,"motorway",'abrasion emissions'!$K$7:$K$34,"Tyre",'abrasion emissions'!$L$7:$L$34,"b")*POWER(('vehicles specifications'!$Q93/1000),(1/SUMIFS('abrasion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specifications'!$P93/1000),(1/SUMIFS('abrasion emissions'!$M$7:$M$34,'abrasion emissions'!$I$7:$I$34,"PM 10",'abrasion emissions'!$J$7:$J$34,"motorway",'abrasion emissions'!$K$7:$K$34,"Tyre",'abrasion emissions'!$L$7:$L$34,"c")))))/1000000</f>
        <v>3.9872017433093455E-6</v>
      </c>
      <c r="CQ93" s="7">
        <f>((SUMIFS('abrasion emissions'!$M$7:$M$34,'abrasion emissions'!$I$7:$I$34,"PM 2.5",'abrasion emissions'!$J$7:$J$34,"urban",'abrasion emissions'!$K$7:$K$34,"Brake",'abrasion emissions'!$L$7:$L$34,"b")*POWER(('vehicles specifications'!$Q93/1000),(1/SUMIFS('abrasion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specifications'!$P93/1000),(1/SUMIFS('abrasion emissions'!$M$7:$M$34,'abrasion emissions'!$I$7:$I$34,"PM 10",'abrasion emissions'!$J$7:$J$34,"urban",'abrasion emissions'!$K$7:$K$34,"Brake",'abrasion emissions'!$L$7:$L$34,"c")))))/1000000</f>
        <v>5.6783018277317368E-6</v>
      </c>
      <c r="CR93" s="7">
        <f>((SUMIFS('abrasion emissions'!$M$7:$M$34,'abrasion emissions'!$I$7:$I$34,"PM 2.5",'abrasion emissions'!$J$7:$J$34,"rural",'abrasion emissions'!$K$7:$K$34,"Brake",'abrasion emissions'!$L$7:$L$34,"b")*POWER(('vehicles specifications'!$Q93/1000),(1/SUMIFS('abrasion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specifications'!$P93/1000),(1/SUMIFS('abrasion emissions'!$M$7:$M$34,'abrasion emissions'!$I$7:$I$34,"PM 10",'abrasion emissions'!$J$7:$J$34,"rural",'abrasion emissions'!$K$7:$K$34,"Brake",'abrasion emissions'!$L$7:$L$34,"c")))))/1000000</f>
        <v>1.8091513004734966E-6</v>
      </c>
      <c r="CS93" s="7">
        <f>((SUMIFS('abrasion emissions'!$M$7:$M$34,'abrasion emissions'!$I$7:$I$34,"PM 2.5",'abrasion emissions'!$J$7:$J$34,"motorway",'abrasion emissions'!$K$7:$K$34,"Brake",'abrasion emissions'!$L$7:$L$34,"b")*POWER(('vehicles specifications'!$Q93/1000),(1/SUMIFS('abrasion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specifications'!$P93/1000),(1/SUMIFS('abrasion emissions'!$M$7:$M$34,'abrasion emissions'!$I$7:$I$34,"PM 10",'abrasion emissions'!$J$7:$J$34,"motorway",'abrasion emissions'!$K$7:$K$34,"Brake",'abrasion emissions'!$L$7:$L$34,"c")))))/1000000</f>
        <v>3.3262016504474731E-7</v>
      </c>
      <c r="CT93" s="7">
        <f>((SUMIFS('abrasion emissions'!$M$7:$M$38,'abrasion emissions'!$I$7:$I$38,"PM 2.5",'abrasion emissions'!$K$7:$K$38,"Re-susp.",'abrasion emissions'!$L$7:$L$38,"b")*POWER(('vehicles specifications'!$Q93/1000),(1/SUMIFS('abrasion emissions'!$M$7:$M$38,'abrasion emissions'!$I$7:$I$38,"PM 2.5",'abrasion emissions'!$K$7:$K$38,"Re-susp.",'abrasion emissions'!$L$7:$L$38,"c"))))+
(SUMIFS('abrasion emissions'!$M$7:$M$38,'abrasion emissions'!$I$7:$I$38,"PM 10",'abrasion emissions'!$K$7:$K$38,"Re-susp.",'abrasion emissions'!$L$7:$L$38,"b")*POWER(('vehicles specifications'!$Q93/1000),(1/SUMIFS('abrasion emissions'!$M$7:$M$38,'abrasion emissions'!$I$7:$I$38,"PM 10",'abrasion emissions'!$K$7:$K$38,"Re-susp.",'abrasion emissions'!$L$7:$L$38,"c")))))/1000000</f>
        <v>3.4151319373422185E-6</v>
      </c>
      <c r="CU93" s="7">
        <f>((SUMIFS('abrasion emissions'!$M$7:$M$38,'abrasion emissions'!$I$7:$I$38,"PM 2.5",'abrasion emissions'!$K$7:$K$38,"Road",'abrasion emissions'!$L$7:$L$38,"b")*POWER(('vehicles specifications'!$Q93/1000),(1/SUMIFS('abrasion emissions'!$M$7:$M$38,'abrasion emissions'!$I$7:$I$38,"PM 2.5",'abrasion emissions'!$K$7:$K$38,"Road",'abrasion emissions'!$L$7:$L$38,"c"))))+
(SUMIFS('abrasion emissions'!$M$7:$M$38,'abrasion emissions'!$I$7:$I$38,"PM 10",'abrasion emissions'!$K$7:$K$38,"Road",'abrasion emissions'!$L$7:$L$38,"b")*POWER(('vehicles specifications'!$Q93/1000),(1/SUMIFS('abrasion emissions'!$M$7:$M$38,'abrasion emissions'!$I$7:$I$38,"PM 10",'abrasion emissions'!$K$7:$K$38,"Road",'abrasion emissions'!$L$7:$L$38,"c")))))/1000000+CT93</f>
        <v>6.6427354043393994E-6</v>
      </c>
      <c r="CV93" s="7">
        <f>(CK93*CN93)+(CL93*CO93)+(CM93*CP93)</f>
        <v>5.3310187549390202E-6</v>
      </c>
      <c r="CW93" s="7">
        <f>(CK93*CQ93)+(CL93*CR93)+(CM93*CS93)</f>
        <v>3.7437265641026168E-6</v>
      </c>
    </row>
    <row r="94">
      <c r="A94" t="str">
        <f>B94&amp;" - "&amp;D94&amp;" - "&amp;IF(I94&lt;&gt;"",I94&amp;" - "&amp;E94,E94)</f>
        <v>Scooter, battery electric, &lt;4kW - 2030 - NCA - CH</v>
      </c>
      <c r="B94" t="inlineStr">
        <is>
          <t>Scooter, battery electric, &lt;4kW</t>
        </is>
      </c>
      <c r="D94" s="18" t="n">
        <v>2030</v>
      </c>
      <c r="E94" t="inlineStr">
        <is>
          <t>CH</t>
        </is>
      </c>
      <c r="F94" t="inlineStr">
        <is>
          <t>None</t>
        </is>
      </c>
      <c r="G94" t="inlineStr">
        <is>
          <t>vkm</t>
        </is>
      </c>
      <c r="H94" t="inlineStr">
        <is>
          <t>BEV</t>
        </is>
      </c>
      <c r="I94" t="inlineStr">
        <is>
          <t>NCA</t>
        </is>
      </c>
      <c r="J94" t="n">
        <v>25000</v>
      </c>
      <c r="K94" t="n">
        <v>1570</v>
      </c>
      <c r="L94" s="2">
        <f>J94/K94</f>
        <v>15.923566878980891</v>
      </c>
      <c r="M94" t="n">
        <v>1</v>
      </c>
      <c r="N94" t="n">
        <v>75</v>
      </c>
      <c r="O94" t="n">
        <v>4</v>
      </c>
      <c r="P94" s="2">
        <f>SUM(U94,V94,W94,AC94,AF94,AH94)</f>
        <v>101.14333333333335</v>
      </c>
      <c r="Q94" s="2">
        <f>P94+(M94*N94)+O94</f>
        <v>180.14333333333335</v>
      </c>
      <c r="R94" t="n">
        <v>2.6</v>
      </c>
      <c r="S94" s="2" t="n">
        <v>73</v>
      </c>
      <c r="T94" s="1" t="n">
        <v>0.03</v>
      </c>
      <c r="U94" s="2">
        <f>S94*(1-T94)</f>
        <v>70.81</v>
      </c>
      <c r="V94" t="n">
        <v>5</v>
      </c>
      <c r="W94" t="n">
        <v>8</v>
      </c>
      <c r="X94" s="3" t="n">
        <v>4</v>
      </c>
      <c r="Y94" s="1" t="n">
        <v>0.8</v>
      </c>
      <c r="Z94" s="3">
        <f>Y94*X94</f>
        <v>3.2</v>
      </c>
      <c r="AA94" s="3">
        <f>IF(I94&lt;&gt;"",X94/INDEX('energy battery'!$B$3:$D$6,MATCH('vehicles specifications'!$D94,'energy battery'!$A$3:$A$6,0),MATCH('vehicles specifications'!$I94,'energy battery'!$B$2:$D$2,0)),"")</f>
        <v>13.333333333333334</v>
      </c>
      <c r="AB94" s="3">
        <f>IF(AA94&lt;&gt;"",0.3*AA94,"")</f>
        <v>4</v>
      </c>
      <c r="AC94" s="3">
        <f>IF(AA94&lt;&gt;"",AB94+AA94,"")</f>
        <v>17.333333333333336</v>
      </c>
      <c r="AD94" s="3" t="n">
        <v>0.5</v>
      </c>
      <c r="AE94" s="3" t="n">
        <v>0</v>
      </c>
      <c r="AF94">
        <f>AE94*'fuels and tailpipe emissions'!$B$3</f>
        <v>0</v>
      </c>
      <c r="AG94" t="n">
        <v>0</v>
      </c>
      <c r="AH94" s="3" t="n">
        <v>0</v>
      </c>
      <c r="AI94" s="3" t="n">
        <v>3</v>
      </c>
      <c r="AJ94" s="3" t="n">
        <v>1</v>
      </c>
      <c r="AK94">
        <f>J94/25000</f>
        <v>1</v>
      </c>
      <c r="AL94">
        <f>0.000537/1000*Q94</f>
        <v>9.6736970000000004E-5</v>
      </c>
      <c r="AM94" t="n">
        <v>0.00129</v>
      </c>
      <c r="AN94" s="2">
        <f>U94</f>
        <v>70.81</v>
      </c>
      <c r="AO94" s="2">
        <f>SUM(V94:W94)</f>
        <v>13</v>
      </c>
      <c r="AP94" s="2">
        <f>AC94</f>
        <v>17.333333333333336</v>
      </c>
      <c r="AQ94" s="6" t="inlineStr"/>
      <c r="AR94" s="20" t="n"/>
      <c r="AS94" s="5" t="n">
        <v>0.1334361071081471</v>
      </c>
      <c r="AT94" s="2">
        <f>SUM(Z94,AG94)/(SUM(AQ94,AS94)/3.6)</f>
        <v>86.333453887884261</v>
      </c>
      <c r="AU94" s="5" t="n">
        <v>0</v>
      </c>
      <c r="AV94" s="5" t="n">
        <v>0</v>
      </c>
      <c r="AW94" s="7" t="n">
        <v>0</v>
      </c>
      <c r="AX94" s="7" t="n">
        <v>0</v>
      </c>
      <c r="AY94" s="7" t="n">
        <v>0</v>
      </c>
      <c r="AZ94" s="7" t="n">
        <v>0</v>
      </c>
      <c r="BA94" s="7" t="n">
        <v>0</v>
      </c>
      <c r="BB94" s="7" t="n">
        <v>0</v>
      </c>
      <c r="BC94" s="7" t="n">
        <v>0</v>
      </c>
      <c r="BD94" s="7" t="n">
        <v>0</v>
      </c>
      <c r="BE94" s="7" t="n">
        <v>0</v>
      </c>
      <c r="BF94" s="7" t="n">
        <v>0</v>
      </c>
      <c r="BG94" s="7" t="n">
        <v>0</v>
      </c>
      <c r="BH94" s="7" t="n">
        <v>0</v>
      </c>
      <c r="BI94" s="7" t="n">
        <v>0</v>
      </c>
      <c r="BJ94" s="7" t="n">
        <v>0</v>
      </c>
      <c r="BK94" s="7" t="n">
        <v>0</v>
      </c>
      <c r="BL94" s="7" t="n">
        <v>0</v>
      </c>
      <c r="BM94" s="7" t="n">
        <v>0</v>
      </c>
      <c r="BN94" s="7" t="n">
        <v>0</v>
      </c>
      <c r="BO94" s="7" t="n">
        <v>0</v>
      </c>
      <c r="BP94" s="7" t="n">
        <v>0</v>
      </c>
      <c r="BQ94" s="7" t="n">
        <v>0</v>
      </c>
      <c r="BR94" s="7" t="n">
        <v>0</v>
      </c>
      <c r="BS94" s="7" t="n">
        <v>0</v>
      </c>
      <c r="BT94" s="7" t="n">
        <v>0</v>
      </c>
      <c r="BU94" s="7" t="n">
        <v>0</v>
      </c>
      <c r="BV94" s="7" t="n">
        <v>0</v>
      </c>
      <c r="BW94" s="7" t="n">
        <v>0</v>
      </c>
      <c r="BX94" s="7" t="n">
        <v>0</v>
      </c>
      <c r="BY94" s="7" t="n">
        <v>0</v>
      </c>
      <c r="BZ94" s="7" t="n">
        <v>0</v>
      </c>
      <c r="CA94" s="7" t="n">
        <v>0</v>
      </c>
      <c r="CB94" s="7" t="n">
        <v>0</v>
      </c>
      <c r="CC94" s="7" t="n">
        <v>0</v>
      </c>
      <c r="CD94" s="7" t="n">
        <v>0</v>
      </c>
      <c r="CE94" s="7" t="n">
        <v>0</v>
      </c>
      <c r="CF94" s="7" t="n">
        <v>0</v>
      </c>
      <c r="CG94" s="7" t="n">
        <v>0</v>
      </c>
      <c r="CH94" s="7" t="n">
        <v>0</v>
      </c>
      <c r="CI94" s="7" t="n">
        <v>0</v>
      </c>
      <c r="CJ94" s="7" t="n">
        <v>0</v>
      </c>
      <c r="CK94" s="38">
        <f>VLOOKUP($B94,'abrasion emissions'!$O$7:$R$36,2,FALSE)</f>
        <v>0.5</v>
      </c>
      <c r="CL94" s="38">
        <f>VLOOKUP($B94,'abrasion emissions'!$O$7:$R$36,3,FALSE)</f>
        <v>0.5</v>
      </c>
      <c r="CM94" s="38">
        <f>VLOOKUP($B94,'abrasion emissions'!$O$7:$R$36,4,FALSE)</f>
        <v>0</v>
      </c>
      <c r="CN94" s="7">
        <f>((SUMIFS('abrasion emissions'!$M$7:$M$34,'abrasion emissions'!$I$7:$I$34,"PM 2.5",'abrasion emissions'!$J$7:$J$34,"urban",'abrasion emissions'!$K$7:$K$34,"Tyre",'abrasion emissions'!$L$7:$L$34,"b")*POWER(('vehicles specifications'!$Q94/1000),(1/SUMIFS('abrasion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specifications'!$P94/1000),(1/SUMIFS('abrasion emissions'!$M$7:$M$34,'abrasion emissions'!$I$7:$I$34,"PM 10",'abrasion emissions'!$J$7:$J$34,"urban",'abrasion emissions'!$K$7:$K$34,"Tyre",'abrasion emissions'!$L$7:$L$34,"c")))))/1000000</f>
        <v>6.0338355801970296E-6</v>
      </c>
      <c r="CO94" s="7">
        <f>((SUMIFS('abrasion emissions'!$M$7:$M$34,'abrasion emissions'!$I$7:$I$34,"PM 2.5",'abrasion emissions'!$J$7:$J$34,"rural",'abrasion emissions'!$K$7:$K$34,"Tyre",'abrasion emissions'!$L$7:$L$34,"b")*POWER(('vehicles specifications'!$Q94/1000),(1/SUMIFS('abrasion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specifications'!$P94/1000),(1/SUMIFS('abrasion emissions'!$M$7:$M$34,'abrasion emissions'!$I$7:$I$34,"PM 10",'abrasion emissions'!$J$7:$J$34,"rural",'abrasion emissions'!$K$7:$K$34,"Tyre",'abrasion emissions'!$L$7:$L$34,"c")))))/1000000</f>
        <v>4.6994273868084212E-6</v>
      </c>
      <c r="CP94" s="7">
        <f>((SUMIFS('abrasion emissions'!$M$7:$M$34,'abrasion emissions'!$I$7:$I$34,"PM 2.5",'abrasion emissions'!$J$7:$J$34,"motorway",'abrasion emissions'!$K$7:$K$34,"Tyre",'abrasion emissions'!$L$7:$L$34,"b")*POWER(('vehicles specifications'!$Q94/1000),(1/SUMIFS('abrasion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specifications'!$P94/1000),(1/SUMIFS('abrasion emissions'!$M$7:$M$34,'abrasion emissions'!$I$7:$I$34,"PM 10",'abrasion emissions'!$J$7:$J$34,"motorway",'abrasion emissions'!$K$7:$K$34,"Tyre",'abrasion emissions'!$L$7:$L$34,"c")))))/1000000</f>
        <v>4.0137589397886747E-6</v>
      </c>
      <c r="CQ94" s="7">
        <f>((SUMIFS('abrasion emissions'!$M$7:$M$34,'abrasion emissions'!$I$7:$I$34,"PM 2.5",'abrasion emissions'!$J$7:$J$34,"urban",'abrasion emissions'!$K$7:$K$34,"Brake",'abrasion emissions'!$L$7:$L$34,"b")*POWER(('vehicles specifications'!$Q94/1000),(1/SUMIFS('abrasion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specifications'!$P94/1000),(1/SUMIFS('abrasion emissions'!$M$7:$M$34,'abrasion emissions'!$I$7:$I$34,"PM 10",'abrasion emissions'!$J$7:$J$34,"urban",'abrasion emissions'!$K$7:$K$34,"Brake",'abrasion emissions'!$L$7:$L$34,"c")))))/1000000</f>
        <v>5.7204247980683114E-6</v>
      </c>
      <c r="CR94" s="7">
        <f>((SUMIFS('abrasion emissions'!$M$7:$M$34,'abrasion emissions'!$I$7:$I$34,"PM 2.5",'abrasion emissions'!$J$7:$J$34,"rural",'abrasion emissions'!$K$7:$K$34,"Brake",'abrasion emissions'!$L$7:$L$34,"b")*POWER(('vehicles specifications'!$Q94/1000),(1/SUMIFS('abrasion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specifications'!$P94/1000),(1/SUMIFS('abrasion emissions'!$M$7:$M$34,'abrasion emissions'!$I$7:$I$34,"PM 10",'abrasion emissions'!$J$7:$J$34,"rural",'abrasion emissions'!$K$7:$K$34,"Brake",'abrasion emissions'!$L$7:$L$34,"c")))))/1000000</f>
        <v>1.8260990637650822E-6</v>
      </c>
      <c r="CS94" s="7">
        <f>((SUMIFS('abrasion emissions'!$M$7:$M$34,'abrasion emissions'!$I$7:$I$34,"PM 2.5",'abrasion emissions'!$J$7:$J$34,"motorway",'abrasion emissions'!$K$7:$K$34,"Brake",'abrasion emissions'!$L$7:$L$34,"b")*POWER(('vehicles specifications'!$Q94/1000),(1/SUMIFS('abrasion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specifications'!$P94/1000),(1/SUMIFS('abrasion emissions'!$M$7:$M$34,'abrasion emissions'!$I$7:$I$34,"PM 10",'abrasion emissions'!$J$7:$J$34,"motorway",'abrasion emissions'!$K$7:$K$34,"Brake",'abrasion emissions'!$L$7:$L$34,"c")))))/1000000</f>
        <v>3.3619396955925133E-7</v>
      </c>
      <c r="CT94" s="7">
        <f>((SUMIFS('abrasion emissions'!$M$7:$M$38,'abrasion emissions'!$I$7:$I$38,"PM 2.5",'abrasion emissions'!$K$7:$K$38,"Re-susp.",'abrasion emissions'!$L$7:$L$38,"b")*POWER(('vehicles specifications'!$Q94/1000),(1/SUMIFS('abrasion emissions'!$M$7:$M$38,'abrasion emissions'!$I$7:$I$38,"PM 2.5",'abrasion emissions'!$K$7:$K$38,"Re-susp.",'abrasion emissions'!$L$7:$L$38,"c"))))+
(SUMIFS('abrasion emissions'!$M$7:$M$38,'abrasion emissions'!$I$7:$I$38,"PM 10",'abrasion emissions'!$K$7:$K$38,"Re-susp.",'abrasion emissions'!$L$7:$L$38,"b")*POWER(('vehicles specifications'!$Q94/1000),(1/SUMIFS('abrasion emissions'!$M$7:$M$38,'abrasion emissions'!$I$7:$I$38,"PM 10",'abrasion emissions'!$K$7:$K$38,"Re-susp.",'abrasion emissions'!$L$7:$L$38,"c")))))/1000000</f>
        <v>3.4524954574872454E-6</v>
      </c>
      <c r="CU94" s="7">
        <f>((SUMIFS('abrasion emissions'!$M$7:$M$38,'abrasion emissions'!$I$7:$I$38,"PM 2.5",'abrasion emissions'!$K$7:$K$38,"Road",'abrasion emissions'!$L$7:$L$38,"b")*POWER(('vehicles specifications'!$Q94/1000),(1/SUMIFS('abrasion emissions'!$M$7:$M$38,'abrasion emissions'!$I$7:$I$38,"PM 2.5",'abrasion emissions'!$K$7:$K$38,"Road",'abrasion emissions'!$L$7:$L$38,"c"))))+
(SUMIFS('abrasion emissions'!$M$7:$M$38,'abrasion emissions'!$I$7:$I$38,"PM 10",'abrasion emissions'!$K$7:$K$38,"Road",'abrasion emissions'!$L$7:$L$38,"b")*POWER(('vehicles specifications'!$Q94/1000),(1/SUMIFS('abrasion emissions'!$M$7:$M$38,'abrasion emissions'!$I$7:$I$38,"PM 10",'abrasion emissions'!$K$7:$K$38,"Road",'abrasion emissions'!$L$7:$L$38,"c")))))/1000000+CT94</f>
        <v>6.7059566799777275E-6</v>
      </c>
      <c r="CV94" s="7">
        <f>(CK94*CN94)+(CL94*CO94)+(CM94*CP94)</f>
        <v>5.3666314835027254E-6</v>
      </c>
      <c r="CW94" s="7">
        <f>(CK94*CQ94)+(CL94*CR94)+(CM94*CS94)</f>
        <v>3.7732619309166969E-6</v>
      </c>
    </row>
    <row r="95">
      <c r="A95" t="str">
        <f>B95&amp;" - "&amp;D95&amp;" - "&amp;IF(I95&lt;&gt;"",I95&amp;" - "&amp;E95,E95)</f>
        <v>Scooter, battery electric, &lt;4kW - 2040 - NCA - CH</v>
      </c>
      <c r="B95" t="inlineStr">
        <is>
          <t>Scooter, battery electric, &lt;4kW</t>
        </is>
      </c>
      <c r="D95" s="18" t="n">
        <v>2040</v>
      </c>
      <c r="E95" t="inlineStr">
        <is>
          <t>CH</t>
        </is>
      </c>
      <c r="F95" t="inlineStr">
        <is>
          <t>None</t>
        </is>
      </c>
      <c r="G95" t="inlineStr">
        <is>
          <t>vkm</t>
        </is>
      </c>
      <c r="H95" t="inlineStr">
        <is>
          <t>BEV</t>
        </is>
      </c>
      <c r="I95" t="inlineStr">
        <is>
          <t>NCA</t>
        </is>
      </c>
      <c r="J95" t="n">
        <v>25000</v>
      </c>
      <c r="K95" t="n">
        <v>1570</v>
      </c>
      <c r="L95" s="2">
        <f>J95/K95</f>
        <v>15.923566878980891</v>
      </c>
      <c r="M95" t="n">
        <v>1</v>
      </c>
      <c r="N95" t="n">
        <v>75</v>
      </c>
      <c r="O95" t="n">
        <v>4</v>
      </c>
      <c r="P95" s="2">
        <f>SUM(U95,V95,W95,AC95,AF95,AH95)</f>
        <v>101.19999999999999</v>
      </c>
      <c r="Q95" s="2">
        <f>P95+(M95*N95)+O95</f>
        <v>180.2</v>
      </c>
      <c r="R95" t="n">
        <v>2.6</v>
      </c>
      <c r="S95" s="2" t="n">
        <v>73</v>
      </c>
      <c r="T95" s="1" t="n">
        <v>0.05</v>
      </c>
      <c r="U95" s="2">
        <f>S95*(1-T95)</f>
        <v>69.349999999999994</v>
      </c>
      <c r="V95" t="n">
        <v>5</v>
      </c>
      <c r="W95" t="n">
        <v>8</v>
      </c>
      <c r="X95" s="3" t="n">
        <v>5.8</v>
      </c>
      <c r="Y95" s="1" t="n">
        <v>0.8</v>
      </c>
      <c r="Z95" s="3">
        <f>Y95*X95</f>
        <v>4.6399999999999997</v>
      </c>
      <c r="AA95" s="3">
        <f>IF(I95&lt;&gt;"",X95/INDEX('energy battery'!$B$3:$D$6,MATCH('vehicles specifications'!$D95,'energy battery'!$A$3:$A$6,0),MATCH('vehicles specifications'!$I95,'energy battery'!$B$2:$D$2,0)),"")</f>
        <v>14.499999999999998</v>
      </c>
      <c r="AB95" s="3">
        <f>IF(AA95&lt;&gt;"",0.3*AA95,"")</f>
        <v>4.3499999999999996</v>
      </c>
      <c r="AC95" s="3">
        <f>IF(AA95&lt;&gt;"",AB95+AA95,"")</f>
        <v>18.849999999999998</v>
      </c>
      <c r="AD95" s="3" t="n">
        <v>0.25</v>
      </c>
      <c r="AE95" s="3" t="n">
        <v>0</v>
      </c>
      <c r="AF95">
        <f>AE95*'fuels and tailpipe emissions'!$B$3</f>
        <v>0</v>
      </c>
      <c r="AG95" t="n">
        <v>0</v>
      </c>
      <c r="AH95" s="3" t="n">
        <v>0</v>
      </c>
      <c r="AI95" s="3" t="n">
        <v>3</v>
      </c>
      <c r="AJ95" s="3" t="n">
        <v>1</v>
      </c>
      <c r="AK95">
        <f>J95/25000</f>
        <v>1</v>
      </c>
      <c r="AL95">
        <f>0.000537/1000*Q95</f>
        <v>9.6767399999999991E-5</v>
      </c>
      <c r="AM95" t="n">
        <v>0.00129</v>
      </c>
      <c r="AN95" s="2">
        <f>U95</f>
        <v>69.349999999999994</v>
      </c>
      <c r="AO95" s="2">
        <f>SUM(V95:W95)</f>
        <v>13</v>
      </c>
      <c r="AP95" s="2">
        <f>AC95</f>
        <v>18.849999999999998</v>
      </c>
      <c r="AQ95" s="6" t="inlineStr"/>
      <c r="AR95" s="20" t="n"/>
      <c r="AS95" s="5" t="n">
        <v>0.1334361071081471</v>
      </c>
      <c r="AT95" s="2">
        <f>SUM(Z95,AG95)/(SUM(AQ95,AS95)/3.6)</f>
        <v>125.18350813743217</v>
      </c>
      <c r="AU95" s="5" t="n">
        <v>0</v>
      </c>
      <c r="AV95" s="5" t="n">
        <v>0</v>
      </c>
      <c r="AW95" s="7" t="n">
        <v>0</v>
      </c>
      <c r="AX95" s="7" t="n">
        <v>0</v>
      </c>
      <c r="AY95" s="7" t="n">
        <v>0</v>
      </c>
      <c r="AZ95" s="7" t="n">
        <v>0</v>
      </c>
      <c r="BA95" s="7" t="n">
        <v>0</v>
      </c>
      <c r="BB95" s="7" t="n">
        <v>0</v>
      </c>
      <c r="BC95" s="7" t="n">
        <v>0</v>
      </c>
      <c r="BD95" s="7" t="n">
        <v>0</v>
      </c>
      <c r="BE95" s="7" t="n">
        <v>0</v>
      </c>
      <c r="BF95" s="7" t="n">
        <v>0</v>
      </c>
      <c r="BG95" s="7" t="n">
        <v>0</v>
      </c>
      <c r="BH95" s="7" t="n">
        <v>0</v>
      </c>
      <c r="BI95" s="7" t="n">
        <v>0</v>
      </c>
      <c r="BJ95" s="7" t="n">
        <v>0</v>
      </c>
      <c r="BK95" s="7" t="n">
        <v>0</v>
      </c>
      <c r="BL95" s="7" t="n">
        <v>0</v>
      </c>
      <c r="BM95" s="7" t="n">
        <v>0</v>
      </c>
      <c r="BN95" s="7" t="n">
        <v>0</v>
      </c>
      <c r="BO95" s="7" t="n">
        <v>0</v>
      </c>
      <c r="BP95" s="7" t="n">
        <v>0</v>
      </c>
      <c r="BQ95" s="7" t="n">
        <v>0</v>
      </c>
      <c r="BR95" s="7" t="n">
        <v>0</v>
      </c>
      <c r="BS95" s="7" t="n">
        <v>0</v>
      </c>
      <c r="BT95" s="7" t="n">
        <v>0</v>
      </c>
      <c r="BU95" s="7" t="n">
        <v>0</v>
      </c>
      <c r="BV95" s="7" t="n">
        <v>0</v>
      </c>
      <c r="BW95" s="7" t="n">
        <v>0</v>
      </c>
      <c r="BX95" s="7" t="n">
        <v>0</v>
      </c>
      <c r="BY95" s="7" t="n">
        <v>0</v>
      </c>
      <c r="BZ95" s="7" t="n">
        <v>0</v>
      </c>
      <c r="CA95" s="7" t="n">
        <v>0</v>
      </c>
      <c r="CB95" s="7" t="n">
        <v>0</v>
      </c>
      <c r="CC95" s="7" t="n">
        <v>0</v>
      </c>
      <c r="CD95" s="7" t="n">
        <v>0</v>
      </c>
      <c r="CE95" s="7" t="n">
        <v>0</v>
      </c>
      <c r="CF95" s="7" t="n">
        <v>0</v>
      </c>
      <c r="CG95" s="7" t="n">
        <v>0</v>
      </c>
      <c r="CH95" s="7" t="n">
        <v>0</v>
      </c>
      <c r="CI95" s="7" t="n">
        <v>0</v>
      </c>
      <c r="CJ95" s="7" t="n">
        <v>0</v>
      </c>
      <c r="CK95" s="38">
        <f>VLOOKUP($B95,'abrasion emissions'!$O$7:$R$36,2,FALSE)</f>
        <v>0.5</v>
      </c>
      <c r="CL95" s="38">
        <f>VLOOKUP($B95,'abrasion emissions'!$O$7:$R$36,3,FALSE)</f>
        <v>0.5</v>
      </c>
      <c r="CM95" s="38">
        <f>VLOOKUP($B95,'abrasion emissions'!$O$7:$R$36,4,FALSE)</f>
        <v>0</v>
      </c>
      <c r="CN95" s="7">
        <f>((SUMIFS('abrasion emissions'!$M$7:$M$34,'abrasion emissions'!$I$7:$I$34,"PM 2.5",'abrasion emissions'!$J$7:$J$34,"urban",'abrasion emissions'!$K$7:$K$34,"Tyre",'abrasion emissions'!$L$7:$L$34,"b")*POWER(('vehicles specifications'!$Q95/1000),(1/SUMIFS('abrasion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specifications'!$P95/1000),(1/SUMIFS('abrasion emissions'!$M$7:$M$34,'abrasion emissions'!$I$7:$I$34,"PM 10",'abrasion emissions'!$J$7:$J$34,"urban",'abrasion emissions'!$K$7:$K$34,"Tyre",'abrasion emissions'!$L$7:$L$34,"c")))))/1000000</f>
        <v>6.0348894844222866E-6</v>
      </c>
      <c r="CO95" s="7">
        <f>((SUMIFS('abrasion emissions'!$M$7:$M$34,'abrasion emissions'!$I$7:$I$34,"PM 2.5",'abrasion emissions'!$J$7:$J$34,"rural",'abrasion emissions'!$K$7:$K$34,"Tyre",'abrasion emissions'!$L$7:$L$34,"b")*POWER(('vehicles specifications'!$Q95/1000),(1/SUMIFS('abrasion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specifications'!$P95/1000),(1/SUMIFS('abrasion emissions'!$M$7:$M$34,'abrasion emissions'!$I$7:$I$34,"PM 10",'abrasion emissions'!$J$7:$J$34,"rural",'abrasion emissions'!$K$7:$K$34,"Tyre",'abrasion emissions'!$L$7:$L$34,"c")))))/1000000</f>
        <v>4.700247533151778E-6</v>
      </c>
      <c r="CP95" s="7">
        <f>((SUMIFS('abrasion emissions'!$M$7:$M$34,'abrasion emissions'!$I$7:$I$34,"PM 2.5",'abrasion emissions'!$J$7:$J$34,"motorway",'abrasion emissions'!$K$7:$K$34,"Tyre",'abrasion emissions'!$L$7:$L$34,"b")*POWER(('vehicles specifications'!$Q95/1000),(1/SUMIFS('abrasion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specifications'!$P95/1000),(1/SUMIFS('abrasion emissions'!$M$7:$M$34,'abrasion emissions'!$I$7:$I$34,"PM 10",'abrasion emissions'!$J$7:$J$34,"motorway",'abrasion emissions'!$K$7:$K$34,"Tyre",'abrasion emissions'!$L$7:$L$34,"c")))))/1000000</f>
        <v>4.0144577101396914E-6</v>
      </c>
      <c r="CQ95" s="7">
        <f>((SUMIFS('abrasion emissions'!$M$7:$M$34,'abrasion emissions'!$I$7:$I$34,"PM 2.5",'abrasion emissions'!$J$7:$J$34,"urban",'abrasion emissions'!$K$7:$K$34,"Brake",'abrasion emissions'!$L$7:$L$34,"b")*POWER(('vehicles specifications'!$Q95/1000),(1/SUMIFS('abrasion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specifications'!$P95/1000),(1/SUMIFS('abrasion emissions'!$M$7:$M$34,'abrasion emissions'!$I$7:$I$34,"PM 10",'abrasion emissions'!$J$7:$J$34,"urban",'abrasion emissions'!$K$7:$K$34,"Brake",'abrasion emissions'!$L$7:$L$34,"c")))))/1000000</f>
        <v>5.7215343897793968E-6</v>
      </c>
      <c r="CR95" s="7">
        <f>((SUMIFS('abrasion emissions'!$M$7:$M$34,'abrasion emissions'!$I$7:$I$34,"PM 2.5",'abrasion emissions'!$J$7:$J$34,"rural",'abrasion emissions'!$K$7:$K$34,"Brake",'abrasion emissions'!$L$7:$L$34,"b")*POWER(('vehicles specifications'!$Q95/1000),(1/SUMIFS('abrasion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specifications'!$P95/1000),(1/SUMIFS('abrasion emissions'!$M$7:$M$34,'abrasion emissions'!$I$7:$I$34,"PM 10",'abrasion emissions'!$J$7:$J$34,"rural",'abrasion emissions'!$K$7:$K$34,"Brake",'abrasion emissions'!$L$7:$L$34,"c")))))/1000000</f>
        <v>1.8265459885239875E-6</v>
      </c>
      <c r="CS95" s="7">
        <f>((SUMIFS('abrasion emissions'!$M$7:$M$34,'abrasion emissions'!$I$7:$I$34,"PM 2.5",'abrasion emissions'!$J$7:$J$34,"motorway",'abrasion emissions'!$K$7:$K$34,"Brake",'abrasion emissions'!$L$7:$L$34,"b")*POWER(('vehicles specifications'!$Q95/1000),(1/SUMIFS('abrasion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specifications'!$P95/1000),(1/SUMIFS('abrasion emissions'!$M$7:$M$34,'abrasion emissions'!$I$7:$I$34,"PM 10",'abrasion emissions'!$J$7:$J$34,"motorway",'abrasion emissions'!$K$7:$K$34,"Brake",'abrasion emissions'!$L$7:$L$34,"c")))))/1000000</f>
        <v>3.3628828928725343E-7</v>
      </c>
      <c r="CT95" s="7">
        <f>((SUMIFS('abrasion emissions'!$M$7:$M$38,'abrasion emissions'!$I$7:$I$38,"PM 2.5",'abrasion emissions'!$K$7:$K$38,"Re-susp.",'abrasion emissions'!$L$7:$L$38,"b")*POWER(('vehicles specifications'!$Q95/1000),(1/SUMIFS('abrasion emissions'!$M$7:$M$38,'abrasion emissions'!$I$7:$I$38,"PM 2.5",'abrasion emissions'!$K$7:$K$38,"Re-susp.",'abrasion emissions'!$L$7:$L$38,"c"))))+
(SUMIFS('abrasion emissions'!$M$7:$M$38,'abrasion emissions'!$I$7:$I$38,"PM 10",'abrasion emissions'!$K$7:$K$38,"Re-susp.",'abrasion emissions'!$L$7:$L$38,"b")*POWER(('vehicles specifications'!$Q95/1000),(1/SUMIFS('abrasion emissions'!$M$7:$M$38,'abrasion emissions'!$I$7:$I$38,"PM 10",'abrasion emissions'!$K$7:$K$38,"Re-susp.",'abrasion emissions'!$L$7:$L$38,"c")))))/1000000</f>
        <v>3.4534827451128693E-6</v>
      </c>
      <c r="CU95" s="7">
        <f>((SUMIFS('abrasion emissions'!$M$7:$M$38,'abrasion emissions'!$I$7:$I$38,"PM 2.5",'abrasion emissions'!$K$7:$K$38,"Road",'abrasion emissions'!$L$7:$L$38,"b")*POWER(('vehicles specifications'!$Q95/1000),(1/SUMIFS('abrasion emissions'!$M$7:$M$38,'abrasion emissions'!$I$7:$I$38,"PM 2.5",'abrasion emissions'!$K$7:$K$38,"Road",'abrasion emissions'!$L$7:$L$38,"c"))))+
(SUMIFS('abrasion emissions'!$M$7:$M$38,'abrasion emissions'!$I$7:$I$38,"PM 10",'abrasion emissions'!$K$7:$K$38,"Road",'abrasion emissions'!$L$7:$L$38,"b")*POWER(('vehicles specifications'!$Q95/1000),(1/SUMIFS('abrasion emissions'!$M$7:$M$38,'abrasion emissions'!$I$7:$I$38,"PM 10",'abrasion emissions'!$K$7:$K$38,"Road",'abrasion emissions'!$L$7:$L$38,"c")))))/1000000+CT95</f>
        <v>6.7076262137343895E-6</v>
      </c>
      <c r="CV95" s="7">
        <f>(CK95*CN95)+(CL95*CO95)+(CM95*CP95)</f>
        <v>5.3675685087870323E-6</v>
      </c>
      <c r="CW95" s="7">
        <f>(CK95*CQ95)+(CL95*CR95)+(CM95*CS95)</f>
        <v>3.7740401891516924E-6</v>
      </c>
    </row>
    <row r="96">
      <c r="A96" t="str">
        <f>B96&amp;" - "&amp;D96&amp;" - "&amp;IF(I96&lt;&gt;"",I96&amp;" - "&amp;E96,E96)</f>
        <v>Scooter, battery electric, &lt;4kW - 2050 - NCA - CH</v>
      </c>
      <c r="B96" t="inlineStr">
        <is>
          <t>Scooter, battery electric, &lt;4kW</t>
        </is>
      </c>
      <c r="D96" s="18" t="n">
        <v>2050</v>
      </c>
      <c r="E96" t="inlineStr">
        <is>
          <t>CH</t>
        </is>
      </c>
      <c r="F96" t="inlineStr">
        <is>
          <t>None</t>
        </is>
      </c>
      <c r="G96" t="inlineStr">
        <is>
          <t>vkm</t>
        </is>
      </c>
      <c r="H96" t="inlineStr">
        <is>
          <t>BEV</t>
        </is>
      </c>
      <c r="I96" t="inlineStr">
        <is>
          <t>NCA</t>
        </is>
      </c>
      <c r="J96" t="n">
        <v>25000</v>
      </c>
      <c r="K96" t="n">
        <v>1570</v>
      </c>
      <c r="L96" s="2">
        <f>J96/K96</f>
        <v>15.923566878980891</v>
      </c>
      <c r="M96" t="n">
        <v>1</v>
      </c>
      <c r="N96" t="n">
        <v>75</v>
      </c>
      <c r="O96" t="n">
        <v>4</v>
      </c>
      <c r="P96" s="2">
        <f>SUM(U96,V96,W96,AC96,AF96,AH96)</f>
        <v>101.69</v>
      </c>
      <c r="Q96" s="2">
        <f>P96+(M96*N96)+O96</f>
        <v>180.69</v>
      </c>
      <c r="R96" t="n">
        <v>2.6</v>
      </c>
      <c r="S96" s="2" t="n">
        <v>73</v>
      </c>
      <c r="T96" s="1" t="n">
        <v>0.07000000000000001</v>
      </c>
      <c r="U96" s="2">
        <f>S96*(1-T96)</f>
        <v>67.89</v>
      </c>
      <c r="V96" t="n">
        <v>5</v>
      </c>
      <c r="W96" t="n">
        <v>8</v>
      </c>
      <c r="X96" s="3" t="n">
        <v>8</v>
      </c>
      <c r="Y96" s="1" t="n">
        <v>0.8</v>
      </c>
      <c r="Z96" s="3">
        <f>Y96*X96</f>
        <v>6.4</v>
      </c>
      <c r="AA96" s="3">
        <f>IF(I96&lt;&gt;"",X96/INDEX('energy battery'!$B$3:$D$6,MATCH('vehicles specifications'!$D96,'energy battery'!$A$3:$A$6,0),MATCH('vehicles specifications'!$I96,'energy battery'!$B$2:$D$2,0)),"")</f>
        <v>16</v>
      </c>
      <c r="AB96" s="3">
        <f>IF(AA96&lt;&gt;"",0.3*AA96,"")</f>
        <v>4.8</v>
      </c>
      <c r="AC96" s="3">
        <f>IF(AA96&lt;&gt;"",AB96+AA96,"")</f>
        <v>20.8</v>
      </c>
      <c r="AD96" s="3" t="n">
        <v>0</v>
      </c>
      <c r="AE96" s="3" t="n">
        <v>0</v>
      </c>
      <c r="AF96">
        <f>AE96*'fuels and tailpipe emissions'!$B$3</f>
        <v>0</v>
      </c>
      <c r="AG96" t="n">
        <v>0</v>
      </c>
      <c r="AH96" s="3" t="n">
        <v>0</v>
      </c>
      <c r="AI96" s="3" t="n">
        <v>3</v>
      </c>
      <c r="AJ96" s="3" t="n">
        <v>1</v>
      </c>
      <c r="AK96">
        <f>J96/25000</f>
        <v>1</v>
      </c>
      <c r="AL96">
        <f>0.000537/1000*Q96</f>
        <v>9.7030529999999994E-5</v>
      </c>
      <c r="AM96" t="n">
        <v>0.00129</v>
      </c>
      <c r="AN96" s="2">
        <f>U96</f>
        <v>67.89</v>
      </c>
      <c r="AO96" s="2">
        <f>SUM(V96:W96)</f>
        <v>13</v>
      </c>
      <c r="AP96" s="2">
        <f>AC96</f>
        <v>20.8</v>
      </c>
      <c r="AQ96" s="6" t="inlineStr"/>
      <c r="AR96" s="20" t="n"/>
      <c r="AS96" s="5" t="n">
        <v>0.1334361071081471</v>
      </c>
      <c r="AT96" s="2">
        <f>SUM(Z96,AG96)/(SUM(AQ96,AS96)/3.6)</f>
        <v>172.66690777576852</v>
      </c>
      <c r="AU96" s="5" t="n">
        <v>0</v>
      </c>
      <c r="AV96" s="5" t="n">
        <v>0</v>
      </c>
      <c r="AW96" s="7" t="n">
        <v>0</v>
      </c>
      <c r="AX96" s="7" t="n">
        <v>0</v>
      </c>
      <c r="AY96" s="7" t="n">
        <v>0</v>
      </c>
      <c r="AZ96" s="7" t="n">
        <v>0</v>
      </c>
      <c r="BA96" s="7" t="n">
        <v>0</v>
      </c>
      <c r="BB96" s="7" t="n">
        <v>0</v>
      </c>
      <c r="BC96" s="7" t="n">
        <v>0</v>
      </c>
      <c r="BD96" s="7" t="n">
        <v>0</v>
      </c>
      <c r="BE96" s="7" t="n">
        <v>0</v>
      </c>
      <c r="BF96" s="7" t="n">
        <v>0</v>
      </c>
      <c r="BG96" s="7" t="n">
        <v>0</v>
      </c>
      <c r="BH96" s="7" t="n">
        <v>0</v>
      </c>
      <c r="BI96" s="7" t="n">
        <v>0</v>
      </c>
      <c r="BJ96" s="7" t="n">
        <v>0</v>
      </c>
      <c r="BK96" s="7" t="n">
        <v>0</v>
      </c>
      <c r="BL96" s="7" t="n">
        <v>0</v>
      </c>
      <c r="BM96" s="7" t="n">
        <v>0</v>
      </c>
      <c r="BN96" s="7" t="n">
        <v>0</v>
      </c>
      <c r="BO96" s="7" t="n">
        <v>0</v>
      </c>
      <c r="BP96" s="7" t="n">
        <v>0</v>
      </c>
      <c r="BQ96" s="7" t="n">
        <v>0</v>
      </c>
      <c r="BR96" s="7" t="n">
        <v>0</v>
      </c>
      <c r="BS96" s="7" t="n">
        <v>0</v>
      </c>
      <c r="BT96" s="7" t="n">
        <v>0</v>
      </c>
      <c r="BU96" s="7" t="n">
        <v>0</v>
      </c>
      <c r="BV96" s="7" t="n">
        <v>0</v>
      </c>
      <c r="BW96" s="7" t="n">
        <v>0</v>
      </c>
      <c r="BX96" s="7" t="n">
        <v>0</v>
      </c>
      <c r="BY96" s="7" t="n">
        <v>0</v>
      </c>
      <c r="BZ96" s="7" t="n">
        <v>0</v>
      </c>
      <c r="CA96" s="7" t="n">
        <v>0</v>
      </c>
      <c r="CB96" s="7" t="n">
        <v>0</v>
      </c>
      <c r="CC96" s="7" t="n">
        <v>0</v>
      </c>
      <c r="CD96" s="7" t="n">
        <v>0</v>
      </c>
      <c r="CE96" s="7" t="n">
        <v>0</v>
      </c>
      <c r="CF96" s="7" t="n">
        <v>0</v>
      </c>
      <c r="CG96" s="7" t="n">
        <v>0</v>
      </c>
      <c r="CH96" s="7" t="n">
        <v>0</v>
      </c>
      <c r="CI96" s="7" t="n">
        <v>0</v>
      </c>
      <c r="CJ96" s="7" t="n">
        <v>0</v>
      </c>
      <c r="CK96" s="38">
        <f>VLOOKUP($B96,'abrasion emissions'!$O$7:$R$36,2,FALSE)</f>
        <v>0.5</v>
      </c>
      <c r="CL96" s="38">
        <f>VLOOKUP($B96,'abrasion emissions'!$O$7:$R$36,3,FALSE)</f>
        <v>0.5</v>
      </c>
      <c r="CM96" s="38">
        <f>VLOOKUP($B96,'abrasion emissions'!$O$7:$R$36,4,FALSE)</f>
        <v>0</v>
      </c>
      <c r="CN96" s="7">
        <f>((SUMIFS('abrasion emissions'!$M$7:$M$34,'abrasion emissions'!$I$7:$I$34,"PM 2.5",'abrasion emissions'!$J$7:$J$34,"urban",'abrasion emissions'!$K$7:$K$34,"Tyre",'abrasion emissions'!$L$7:$L$34,"b")*POWER(('vehicles specifications'!$Q96/1000),(1/SUMIFS('abrasion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specifications'!$P96/1000),(1/SUMIFS('abrasion emissions'!$M$7:$M$34,'abrasion emissions'!$I$7:$I$34,"PM 10",'abrasion emissions'!$J$7:$J$34,"urban",'abrasion emissions'!$K$7:$K$34,"Tyre",'abrasion emissions'!$L$7:$L$34,"c")))))/1000000</f>
        <v>6.0439918459390894E-6</v>
      </c>
      <c r="CO96" s="7">
        <f>((SUMIFS('abrasion emissions'!$M$7:$M$34,'abrasion emissions'!$I$7:$I$34,"PM 2.5",'abrasion emissions'!$J$7:$J$34,"rural",'abrasion emissions'!$K$7:$K$34,"Tyre",'abrasion emissions'!$L$7:$L$34,"b")*POWER(('vehicles specifications'!$Q96/1000),(1/SUMIFS('abrasion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specifications'!$P96/1000),(1/SUMIFS('abrasion emissions'!$M$7:$M$34,'abrasion emissions'!$I$7:$I$34,"PM 10",'abrasion emissions'!$J$7:$J$34,"rural",'abrasion emissions'!$K$7:$K$34,"Tyre",'abrasion emissions'!$L$7:$L$34,"c")))))/1000000</f>
        <v>4.7073309812868793E-6</v>
      </c>
      <c r="CP96" s="7">
        <f>((SUMIFS('abrasion emissions'!$M$7:$M$34,'abrasion emissions'!$I$7:$I$34,"PM 2.5",'abrasion emissions'!$J$7:$J$34,"motorway",'abrasion emissions'!$K$7:$K$34,"Tyre",'abrasion emissions'!$L$7:$L$34,"b")*POWER(('vehicles specifications'!$Q96/1000),(1/SUMIFS('abrasion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specifications'!$P96/1000),(1/SUMIFS('abrasion emissions'!$M$7:$M$34,'abrasion emissions'!$I$7:$I$34,"PM 10",'abrasion emissions'!$J$7:$J$34,"motorway",'abrasion emissions'!$K$7:$K$34,"Tyre",'abrasion emissions'!$L$7:$L$34,"c")))))/1000000</f>
        <v>4.0204928745385546E-6</v>
      </c>
      <c r="CQ96" s="7">
        <f>((SUMIFS('abrasion emissions'!$M$7:$M$34,'abrasion emissions'!$I$7:$I$34,"PM 2.5",'abrasion emissions'!$J$7:$J$34,"urban",'abrasion emissions'!$K$7:$K$34,"Brake",'abrasion emissions'!$L$7:$L$34,"b")*POWER(('vehicles specifications'!$Q96/1000),(1/SUMIFS('abrasion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specifications'!$P96/1000),(1/SUMIFS('abrasion emissions'!$M$7:$M$34,'abrasion emissions'!$I$7:$I$34,"PM 10",'abrasion emissions'!$J$7:$J$34,"urban",'abrasion emissions'!$K$7:$K$34,"Brake",'abrasion emissions'!$L$7:$L$34,"c")))))/1000000</f>
        <v>5.7311204174179531E-6</v>
      </c>
      <c r="CR96" s="7">
        <f>((SUMIFS('abrasion emissions'!$M$7:$M$34,'abrasion emissions'!$I$7:$I$34,"PM 2.5",'abrasion emissions'!$J$7:$J$34,"rural",'abrasion emissions'!$K$7:$K$34,"Brake",'abrasion emissions'!$L$7:$L$34,"b")*POWER(('vehicles specifications'!$Q96/1000),(1/SUMIFS('abrasion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specifications'!$P96/1000),(1/SUMIFS('abrasion emissions'!$M$7:$M$34,'abrasion emissions'!$I$7:$I$34,"PM 10",'abrasion emissions'!$J$7:$J$34,"rural",'abrasion emissions'!$K$7:$K$34,"Brake",'abrasion emissions'!$L$7:$L$34,"c")))))/1000000</f>
        <v>1.8304081248953728E-6</v>
      </c>
      <c r="CS96" s="7">
        <f>((SUMIFS('abrasion emissions'!$M$7:$M$34,'abrasion emissions'!$I$7:$I$34,"PM 2.5",'abrasion emissions'!$J$7:$J$34,"motorway",'abrasion emissions'!$K$7:$K$34,"Brake",'abrasion emissions'!$L$7:$L$34,"b")*POWER(('vehicles specifications'!$Q96/1000),(1/SUMIFS('abrasion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specifications'!$P96/1000),(1/SUMIFS('abrasion emissions'!$M$7:$M$34,'abrasion emissions'!$I$7:$I$34,"PM 10",'abrasion emissions'!$J$7:$J$34,"motorway",'abrasion emissions'!$K$7:$K$34,"Brake",'abrasion emissions'!$L$7:$L$34,"c")))))/1000000</f>
        <v>3.3710352262607904E-7</v>
      </c>
      <c r="CT96" s="7">
        <f>((SUMIFS('abrasion emissions'!$M$7:$M$38,'abrasion emissions'!$I$7:$I$38,"PM 2.5",'abrasion emissions'!$K$7:$K$38,"Re-susp.",'abrasion emissions'!$L$7:$L$38,"b")*POWER(('vehicles specifications'!$Q96/1000),(1/SUMIFS('abrasion emissions'!$M$7:$M$38,'abrasion emissions'!$I$7:$I$38,"PM 2.5",'abrasion emissions'!$K$7:$K$38,"Re-susp.",'abrasion emissions'!$L$7:$L$38,"c"))))+
(SUMIFS('abrasion emissions'!$M$7:$M$38,'abrasion emissions'!$I$7:$I$38,"PM 10",'abrasion emissions'!$K$7:$K$38,"Re-susp.",'abrasion emissions'!$L$7:$L$38,"b")*POWER(('vehicles specifications'!$Q96/1000),(1/SUMIFS('abrasion emissions'!$M$7:$M$38,'abrasion emissions'!$I$7:$I$38,"PM 10",'abrasion emissions'!$K$7:$K$38,"Re-susp.",'abrasion emissions'!$L$7:$L$38,"c")))))/1000000</f>
        <v>3.4620187031132159E-6</v>
      </c>
      <c r="CU96" s="7">
        <f>((SUMIFS('abrasion emissions'!$M$7:$M$38,'abrasion emissions'!$I$7:$I$38,"PM 2.5",'abrasion emissions'!$K$7:$K$38,"Road",'abrasion emissions'!$L$7:$L$38,"b")*POWER(('vehicles specifications'!$Q96/1000),(1/SUMIFS('abrasion emissions'!$M$7:$M$38,'abrasion emissions'!$I$7:$I$38,"PM 2.5",'abrasion emissions'!$K$7:$K$38,"Road",'abrasion emissions'!$L$7:$L$38,"c"))))+
(SUMIFS('abrasion emissions'!$M$7:$M$38,'abrasion emissions'!$I$7:$I$38,"PM 10",'abrasion emissions'!$K$7:$K$38,"Road",'abrasion emissions'!$L$7:$L$38,"b")*POWER(('vehicles specifications'!$Q96/1000),(1/SUMIFS('abrasion emissions'!$M$7:$M$38,'abrasion emissions'!$I$7:$I$38,"PM 10",'abrasion emissions'!$K$7:$K$38,"Road",'abrasion emissions'!$L$7:$L$38,"c")))))/1000000+CT96</f>
        <v>6.7220586146877895E-6</v>
      </c>
      <c r="CV96" s="7">
        <f>(CK96*CN96)+(CL96*CO96)+(CM96*CP96)</f>
        <v>5.3756614136129848E-6</v>
      </c>
      <c r="CW96" s="7">
        <f>(CK96*CQ96)+(CL96*CR96)+(CM96*CS96)</f>
        <v>3.7807642711566629E-6</v>
      </c>
    </row>
    <row r="97">
      <c r="A97" t="str">
        <f>B97&amp;" - "&amp;D97&amp;" - "&amp;IF(I97&lt;&gt;"",I97&amp;" - "&amp;E97,E97)</f>
        <v>Scooter, battery electric, 4-11kW - 2020 - NCA - CH</v>
      </c>
      <c r="B97" t="inlineStr">
        <is>
          <t>Scooter, battery electric, 4-11kW</t>
        </is>
      </c>
      <c r="D97" s="18" t="n">
        <v>2020</v>
      </c>
      <c r="E97" t="inlineStr">
        <is>
          <t>CH</t>
        </is>
      </c>
      <c r="F97" t="inlineStr">
        <is>
          <t>None</t>
        </is>
      </c>
      <c r="G97" t="inlineStr">
        <is>
          <t>vkm</t>
        </is>
      </c>
      <c r="H97" t="inlineStr">
        <is>
          <t>BEV</t>
        </is>
      </c>
      <c r="I97" t="inlineStr">
        <is>
          <t>NCA</t>
        </is>
      </c>
      <c r="J97" t="n">
        <v>30000</v>
      </c>
      <c r="K97" t="n">
        <v>1870</v>
      </c>
      <c r="L97" s="2">
        <f>J97/K97</f>
        <v>16.042780748663102</v>
      </c>
      <c r="M97" t="n">
        <v>1</v>
      </c>
      <c r="N97" t="n">
        <v>75</v>
      </c>
      <c r="O97" t="n">
        <v>4</v>
      </c>
      <c r="P97" s="2">
        <f>SUM(U97,V97,W97,AC97,AF97,AH97)</f>
        <v>128.65217391304347</v>
      </c>
      <c r="Q97" s="2">
        <f>P97+(M97*N97)+O97</f>
        <v>207.65217391304347</v>
      </c>
      <c r="R97" t="n">
        <v>6.1</v>
      </c>
      <c r="S97" s="2" t="n">
        <v>84</v>
      </c>
      <c r="T97" s="1" t="n">
        <v>0</v>
      </c>
      <c r="U97" s="2">
        <f>S97*(1-T97)</f>
        <v>84</v>
      </c>
      <c r="V97" t="n">
        <v>10</v>
      </c>
      <c r="W97" t="n">
        <v>16</v>
      </c>
      <c r="X97" s="3" t="n">
        <v>3.3</v>
      </c>
      <c r="Y97" s="1" t="n">
        <v>0.8</v>
      </c>
      <c r="Z97" s="3">
        <f>Y97*X97</f>
        <v>2.64</v>
      </c>
      <c r="AA97" s="3">
        <f>IF(I97&lt;&gt;"",X97/INDEX('energy battery'!$B$3:$D$6,MATCH('vehicles specifications'!$D97,'energy battery'!$A$3:$A$6,0),MATCH('vehicles specifications'!$I97,'energy battery'!$B$2:$D$2,0)),"")</f>
        <v>14.34782608695652</v>
      </c>
      <c r="AB97" s="3">
        <f>IF(AA97&lt;&gt;"",0.3*AA97,"")</f>
        <v>4.3043478260869561</v>
      </c>
      <c r="AC97" s="3">
        <f>IF(AA97&lt;&gt;"",AB97+AA97,"")</f>
        <v>18.652173913043477</v>
      </c>
      <c r="AD97" s="3" t="n">
        <v>1</v>
      </c>
      <c r="AE97" s="3" t="n">
        <v>0</v>
      </c>
      <c r="AF97">
        <f>AE97*'fuels and tailpipe emissions'!$B$3</f>
        <v>0</v>
      </c>
      <c r="AG97" t="n">
        <v>0</v>
      </c>
      <c r="AH97" s="3" t="n">
        <v>0</v>
      </c>
      <c r="AI97" s="3" t="n">
        <v>3</v>
      </c>
      <c r="AJ97" s="3" t="n">
        <v>1</v>
      </c>
      <c r="AK97">
        <f>J97/25000</f>
        <v>1.2</v>
      </c>
      <c r="AL97">
        <f>0.000537/1000*Q97</f>
        <v>1.1150921739130435E-4</v>
      </c>
      <c r="AM97" t="n">
        <v>0.00129</v>
      </c>
      <c r="AN97" s="2">
        <f>U97</f>
        <v>84</v>
      </c>
      <c r="AO97" s="2">
        <f>SUM(V97:W97)</f>
        <v>26</v>
      </c>
      <c r="AP97" s="2">
        <f>AC97</f>
        <v>18.652173913043477</v>
      </c>
      <c r="AQ97" s="6" t="inlineStr"/>
      <c r="AR97" s="20" t="n"/>
      <c r="AS97" s="5" t="n">
        <v>0.1894149615567632</v>
      </c>
      <c r="AT97" s="2">
        <f>SUM(Z97,AG97)/(SUM(AQ97,AS97)/3.6)</f>
        <v>50.175550663414057</v>
      </c>
      <c r="AU97" s="5" t="n">
        <v>0</v>
      </c>
      <c r="AV97" s="5" t="n">
        <v>0</v>
      </c>
      <c r="AW97" s="7" t="n">
        <v>0</v>
      </c>
      <c r="AX97" s="7" t="n">
        <v>0</v>
      </c>
      <c r="AY97" s="7" t="n">
        <v>0</v>
      </c>
      <c r="AZ97" s="7" t="n">
        <v>0</v>
      </c>
      <c r="BA97" s="7" t="n">
        <v>0</v>
      </c>
      <c r="BB97" s="7" t="n">
        <v>0</v>
      </c>
      <c r="BC97" s="7" t="n">
        <v>0</v>
      </c>
      <c r="BD97" s="7" t="n">
        <v>0</v>
      </c>
      <c r="BE97" s="7" t="n">
        <v>0</v>
      </c>
      <c r="BF97" s="7" t="n">
        <v>0</v>
      </c>
      <c r="BG97" s="7" t="n">
        <v>0</v>
      </c>
      <c r="BH97" s="7" t="n">
        <v>0</v>
      </c>
      <c r="BI97" s="7" t="n">
        <v>0</v>
      </c>
      <c r="BJ97" s="7" t="n">
        <v>0</v>
      </c>
      <c r="BK97" s="7" t="n">
        <v>0</v>
      </c>
      <c r="BL97" s="7" t="n">
        <v>0</v>
      </c>
      <c r="BM97" s="7" t="n">
        <v>0</v>
      </c>
      <c r="BN97" s="7" t="n">
        <v>0</v>
      </c>
      <c r="BO97" s="7" t="n">
        <v>0</v>
      </c>
      <c r="BP97" s="7" t="n">
        <v>0</v>
      </c>
      <c r="BQ97" s="7" t="n">
        <v>0</v>
      </c>
      <c r="BR97" s="7" t="n">
        <v>0</v>
      </c>
      <c r="BS97" s="7" t="n">
        <v>0</v>
      </c>
      <c r="BT97" s="7" t="n">
        <v>0</v>
      </c>
      <c r="BU97" s="7" t="n">
        <v>0</v>
      </c>
      <c r="BV97" s="7" t="n">
        <v>0</v>
      </c>
      <c r="BW97" s="7" t="n">
        <v>0</v>
      </c>
      <c r="BX97" s="7" t="n">
        <v>0</v>
      </c>
      <c r="BY97" s="7" t="n">
        <v>0</v>
      </c>
      <c r="BZ97" s="7" t="n">
        <v>0</v>
      </c>
      <c r="CA97" s="7" t="n">
        <v>0</v>
      </c>
      <c r="CB97" s="7" t="n">
        <v>0</v>
      </c>
      <c r="CC97" s="7" t="n">
        <v>0</v>
      </c>
      <c r="CD97" s="7" t="n">
        <v>0</v>
      </c>
      <c r="CE97" s="7" t="n">
        <v>0</v>
      </c>
      <c r="CF97" s="7" t="n">
        <v>0</v>
      </c>
      <c r="CG97" s="7" t="n">
        <v>0</v>
      </c>
      <c r="CH97" s="7" t="n">
        <v>0</v>
      </c>
      <c r="CI97" s="7" t="n">
        <v>0</v>
      </c>
      <c r="CJ97" s="7" t="n">
        <v>0</v>
      </c>
      <c r="CK97" s="38">
        <f>VLOOKUP($B97,'abrasion emissions'!$O$7:$R$36,2,FALSE)</f>
        <v>0.5</v>
      </c>
      <c r="CL97" s="38">
        <f>VLOOKUP($B97,'abrasion emissions'!$O$7:$R$36,3,FALSE)</f>
        <v>0.5</v>
      </c>
      <c r="CM97" s="38">
        <f>VLOOKUP($B97,'abrasion emissions'!$O$7:$R$36,4,FALSE)</f>
        <v>0</v>
      </c>
      <c r="CN97" s="7">
        <f>((SUMIFS('abrasion emissions'!$M$7:$M$34,'abrasion emissions'!$I$7:$I$34,"PM 2.5",'abrasion emissions'!$J$7:$J$34,"urban",'abrasion emissions'!$K$7:$K$34,"Tyre",'abrasion emissions'!$L$7:$L$34,"b")*POWER(('vehicles specifications'!$Q97/1000),(1/SUMIFS('abrasion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specifications'!$P97/1000),(1/SUMIFS('abrasion emissions'!$M$7:$M$34,'abrasion emissions'!$I$7:$I$34,"PM 10",'abrasion emissions'!$J$7:$J$34,"urban",'abrasion emissions'!$K$7:$K$34,"Tyre",'abrasion emissions'!$L$7:$L$34,"c")))))/1000000</f>
        <v>6.5180652709527172E-6</v>
      </c>
      <c r="CO97" s="7">
        <f>((SUMIFS('abrasion emissions'!$M$7:$M$34,'abrasion emissions'!$I$7:$I$34,"PM 2.5",'abrasion emissions'!$J$7:$J$34,"rural",'abrasion emissions'!$K$7:$K$34,"Tyre",'abrasion emissions'!$L$7:$L$34,"b")*POWER(('vehicles specifications'!$Q97/1000),(1/SUMIFS('abrasion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specifications'!$P97/1000),(1/SUMIFS('abrasion emissions'!$M$7:$M$34,'abrasion emissions'!$I$7:$I$34,"PM 10",'abrasion emissions'!$J$7:$J$34,"rural",'abrasion emissions'!$K$7:$K$34,"Tyre",'abrasion emissions'!$L$7:$L$34,"c")))))/1000000</f>
        <v>5.076270298354759E-6</v>
      </c>
      <c r="CP97" s="7">
        <f>((SUMIFS('abrasion emissions'!$M$7:$M$34,'abrasion emissions'!$I$7:$I$34,"PM 2.5",'abrasion emissions'!$J$7:$J$34,"motorway",'abrasion emissions'!$K$7:$K$34,"Tyre",'abrasion emissions'!$L$7:$L$34,"b")*POWER(('vehicles specifications'!$Q97/1000),(1/SUMIFS('abrasion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specifications'!$P97/1000),(1/SUMIFS('abrasion emissions'!$M$7:$M$34,'abrasion emissions'!$I$7:$I$34,"PM 10",'abrasion emissions'!$J$7:$J$34,"motorway",'abrasion emissions'!$K$7:$K$34,"Tyre",'abrasion emissions'!$L$7:$L$34,"c")))))/1000000</f>
        <v>4.3348725194220593E-6</v>
      </c>
      <c r="CQ97" s="7">
        <f>((SUMIFS('abrasion emissions'!$M$7:$M$34,'abrasion emissions'!$I$7:$I$34,"PM 2.5",'abrasion emissions'!$J$7:$J$34,"urban",'abrasion emissions'!$K$7:$K$34,"Brake",'abrasion emissions'!$L$7:$L$34,"b")*POWER(('vehicles specifications'!$Q97/1000),(1/SUMIFS('abrasion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specifications'!$P97/1000),(1/SUMIFS('abrasion emissions'!$M$7:$M$34,'abrasion emissions'!$I$7:$I$34,"PM 10",'abrasion emissions'!$J$7:$J$34,"urban",'abrasion emissions'!$K$7:$K$34,"Brake",'abrasion emissions'!$L$7:$L$34,"c")))))/1000000</f>
        <v>6.2367779296619021E-6</v>
      </c>
      <c r="CR97" s="7">
        <f>((SUMIFS('abrasion emissions'!$M$7:$M$34,'abrasion emissions'!$I$7:$I$34,"PM 2.5",'abrasion emissions'!$J$7:$J$34,"rural",'abrasion emissions'!$K$7:$K$34,"Brake",'abrasion emissions'!$L$7:$L$34,"b")*POWER(('vehicles specifications'!$Q97/1000),(1/SUMIFS('abrasion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specifications'!$P97/1000),(1/SUMIFS('abrasion emissions'!$M$7:$M$34,'abrasion emissions'!$I$7:$I$34,"PM 10",'abrasion emissions'!$J$7:$J$34,"rural",'abrasion emissions'!$K$7:$K$34,"Brake",'abrasion emissions'!$L$7:$L$34,"c")))))/1000000</f>
        <v>2.0367103732541524E-6</v>
      </c>
      <c r="CS97" s="7">
        <f>((SUMIFS('abrasion emissions'!$M$7:$M$34,'abrasion emissions'!$I$7:$I$34,"PM 2.5",'abrasion emissions'!$J$7:$J$34,"motorway",'abrasion emissions'!$K$7:$K$34,"Brake",'abrasion emissions'!$L$7:$L$34,"b")*POWER(('vehicles specifications'!$Q97/1000),(1/SUMIFS('abrasion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specifications'!$P97/1000),(1/SUMIFS('abrasion emissions'!$M$7:$M$34,'abrasion emissions'!$I$7:$I$34,"PM 10",'abrasion emissions'!$J$7:$J$34,"motorway",'abrasion emissions'!$K$7:$K$34,"Brake",'abrasion emissions'!$L$7:$L$34,"c")))))/1000000</f>
        <v>3.8105489061198876E-7</v>
      </c>
      <c r="CT97" s="7">
        <f>((SUMIFS('abrasion emissions'!$M$7:$M$38,'abrasion emissions'!$I$7:$I$38,"PM 2.5",'abrasion emissions'!$K$7:$K$38,"Re-susp.",'abrasion emissions'!$L$7:$L$38,"b")*POWER(('vehicles specifications'!$Q97/1000),(1/SUMIFS('abrasion emissions'!$M$7:$M$38,'abrasion emissions'!$I$7:$I$38,"PM 2.5",'abrasion emissions'!$K$7:$K$38,"Re-susp.",'abrasion emissions'!$L$7:$L$38,"c"))))+
(SUMIFS('abrasion emissions'!$M$7:$M$38,'abrasion emissions'!$I$7:$I$38,"PM 10",'abrasion emissions'!$K$7:$K$38,"Re-susp.",'abrasion emissions'!$L$7:$L$38,"b")*POWER(('vehicles specifications'!$Q97/1000),(1/SUMIFS('abrasion emissions'!$M$7:$M$38,'abrasion emissions'!$I$7:$I$38,"PM 10",'abrasion emissions'!$K$7:$K$38,"Re-susp.",'abrasion emissions'!$L$7:$L$38,"c")))))/1000000</f>
        <v>3.9286256692865324E-6</v>
      </c>
      <c r="CU97" s="7">
        <f>((SUMIFS('abrasion emissions'!$M$7:$M$38,'abrasion emissions'!$I$7:$I$38,"PM 2.5",'abrasion emissions'!$K$7:$K$38,"Road",'abrasion emissions'!$L$7:$L$38,"b")*POWER(('vehicles specifications'!$Q97/1000),(1/SUMIFS('abrasion emissions'!$M$7:$M$38,'abrasion emissions'!$I$7:$I$38,"PM 2.5",'abrasion emissions'!$K$7:$K$38,"Road",'abrasion emissions'!$L$7:$L$38,"c"))))+
(SUMIFS('abrasion emissions'!$M$7:$M$38,'abrasion emissions'!$I$7:$I$38,"PM 10",'abrasion emissions'!$K$7:$K$38,"Road",'abrasion emissions'!$L$7:$L$38,"b")*POWER(('vehicles specifications'!$Q97/1000),(1/SUMIFS('abrasion emissions'!$M$7:$M$38,'abrasion emissions'!$I$7:$I$38,"PM 10",'abrasion emissions'!$K$7:$K$38,"Road",'abrasion emissions'!$L$7:$L$38,"c")))))/1000000+CT97</f>
        <v>7.505396868269776E-6</v>
      </c>
      <c r="CV97" s="7">
        <f>(CK97*CN97)+(CL97*CO97)+(CM97*CP97)</f>
        <v>5.7971677846537385E-6</v>
      </c>
      <c r="CW97" s="7">
        <f>(CK97*CQ97)+(CL97*CR97)+(CM97*CS97)</f>
        <v>4.1367441514580274E-6</v>
      </c>
    </row>
    <row r="98">
      <c r="A98" t="str">
        <f>B98&amp;" - "&amp;D98&amp;" - "&amp;IF(I98&lt;&gt;"",I98&amp;" - "&amp;E98,E98)</f>
        <v>Scooter, battery electric, 4-11kW - 2030 - NCA - CH</v>
      </c>
      <c r="B98" t="inlineStr">
        <is>
          <t>Scooter, battery electric, 4-11kW</t>
        </is>
      </c>
      <c r="D98" s="18" t="n">
        <v>2030</v>
      </c>
      <c r="E98" t="inlineStr">
        <is>
          <t>CH</t>
        </is>
      </c>
      <c r="F98" t="inlineStr">
        <is>
          <t>None</t>
        </is>
      </c>
      <c r="G98" t="inlineStr">
        <is>
          <t>vkm</t>
        </is>
      </c>
      <c r="H98" t="inlineStr">
        <is>
          <t>BEV</t>
        </is>
      </c>
      <c r="I98" t="inlineStr">
        <is>
          <t>NCA</t>
        </is>
      </c>
      <c r="J98" t="n">
        <v>30000</v>
      </c>
      <c r="K98" t="n">
        <v>1870</v>
      </c>
      <c r="L98" s="2">
        <f>J98/K98</f>
        <v>16.042780748663102</v>
      </c>
      <c r="M98" t="n">
        <v>1</v>
      </c>
      <c r="N98" t="n">
        <v>75</v>
      </c>
      <c r="O98" t="n">
        <v>4</v>
      </c>
      <c r="P98" s="2">
        <f>SUM(U98,V98,W98,AC98,AF98,AH98)</f>
        <v>132.18</v>
      </c>
      <c r="Q98" s="2">
        <f>P98+(M98*N98)+O98</f>
        <v>211.18</v>
      </c>
      <c r="R98" t="n">
        <v>6.1</v>
      </c>
      <c r="S98" s="2" t="n">
        <v>84</v>
      </c>
      <c r="T98" s="1" t="n">
        <v>0.03</v>
      </c>
      <c r="U98" s="2">
        <f>S98*(1-T98)</f>
        <v>81.48</v>
      </c>
      <c r="V98" t="n">
        <v>10</v>
      </c>
      <c r="W98" t="n">
        <v>16</v>
      </c>
      <c r="X98" s="3" t="n">
        <v>5.7</v>
      </c>
      <c r="Y98" s="1" t="n">
        <v>0.8</v>
      </c>
      <c r="Z98" s="3">
        <f>Y98*X98</f>
        <v>4.5600000000000005</v>
      </c>
      <c r="AA98" s="3">
        <f>IF(I98&lt;&gt;"",X98/INDEX('energy battery'!$B$3:$D$6,MATCH('vehicles specifications'!$D98,'energy battery'!$A$3:$A$6,0),MATCH('vehicles specifications'!$I98,'energy battery'!$B$2:$D$2,0)),"")</f>
        <v>19</v>
      </c>
      <c r="AB98" s="3">
        <f>IF(AA98&lt;&gt;"",0.3*AA98,"")</f>
        <v>5.7</v>
      </c>
      <c r="AC98" s="3">
        <f>IF(AA98&lt;&gt;"",AB98+AA98,"")</f>
        <v>24.7</v>
      </c>
      <c r="AD98" s="3" t="n">
        <v>0.5</v>
      </c>
      <c r="AE98" s="3" t="n">
        <v>0</v>
      </c>
      <c r="AF98">
        <f>AE98*'fuels and tailpipe emissions'!$B$3</f>
        <v>0</v>
      </c>
      <c r="AG98" t="n">
        <v>0</v>
      </c>
      <c r="AH98" s="3" t="n">
        <v>0</v>
      </c>
      <c r="AI98" s="3" t="n">
        <v>3</v>
      </c>
      <c r="AJ98" s="3" t="n">
        <v>1</v>
      </c>
      <c r="AK98">
        <f>J98/25000</f>
        <v>1.2</v>
      </c>
      <c r="AL98">
        <f>0.000537/1000*Q98</f>
        <v>1.1340366E-4</v>
      </c>
      <c r="AM98" t="n">
        <v>0.00129</v>
      </c>
      <c r="AN98" s="2">
        <f>U98</f>
        <v>81.48</v>
      </c>
      <c r="AO98" s="2">
        <f>SUM(V98:W98)</f>
        <v>26</v>
      </c>
      <c r="AP98" s="2">
        <f>AC98</f>
        <v>24.7</v>
      </c>
      <c r="AQ98" s="6" t="inlineStr"/>
      <c r="AR98" s="20" t="n"/>
      <c r="AS98" s="5" t="n">
        <v>0.1894149615567632</v>
      </c>
      <c r="AT98" s="2">
        <f>SUM(Z98,AG98)/(SUM(AQ98,AS98)/3.6)</f>
        <v>86.666860236806102</v>
      </c>
      <c r="AU98" s="5" t="n">
        <v>0</v>
      </c>
      <c r="AV98" s="5" t="n">
        <v>0</v>
      </c>
      <c r="AW98" s="7" t="n">
        <v>0</v>
      </c>
      <c r="AX98" s="7" t="n">
        <v>0</v>
      </c>
      <c r="AY98" s="7" t="n">
        <v>0</v>
      </c>
      <c r="AZ98" s="7" t="n">
        <v>0</v>
      </c>
      <c r="BA98" s="7" t="n">
        <v>0</v>
      </c>
      <c r="BB98" s="7" t="n">
        <v>0</v>
      </c>
      <c r="BC98" s="7" t="n">
        <v>0</v>
      </c>
      <c r="BD98" s="7" t="n">
        <v>0</v>
      </c>
      <c r="BE98" s="7" t="n">
        <v>0</v>
      </c>
      <c r="BF98" s="7" t="n">
        <v>0</v>
      </c>
      <c r="BG98" s="7" t="n">
        <v>0</v>
      </c>
      <c r="BH98" s="7" t="n">
        <v>0</v>
      </c>
      <c r="BI98" s="7" t="n">
        <v>0</v>
      </c>
      <c r="BJ98" s="7" t="n">
        <v>0</v>
      </c>
      <c r="BK98" s="7" t="n">
        <v>0</v>
      </c>
      <c r="BL98" s="7" t="n">
        <v>0</v>
      </c>
      <c r="BM98" s="7" t="n">
        <v>0</v>
      </c>
      <c r="BN98" s="7" t="n">
        <v>0</v>
      </c>
      <c r="BO98" s="7" t="n">
        <v>0</v>
      </c>
      <c r="BP98" s="7" t="n">
        <v>0</v>
      </c>
      <c r="BQ98" s="7" t="n">
        <v>0</v>
      </c>
      <c r="BR98" s="7" t="n">
        <v>0</v>
      </c>
      <c r="BS98" s="7" t="n">
        <v>0</v>
      </c>
      <c r="BT98" s="7" t="n">
        <v>0</v>
      </c>
      <c r="BU98" s="7" t="n">
        <v>0</v>
      </c>
      <c r="BV98" s="7" t="n">
        <v>0</v>
      </c>
      <c r="BW98" s="7" t="n">
        <v>0</v>
      </c>
      <c r="BX98" s="7" t="n">
        <v>0</v>
      </c>
      <c r="BY98" s="7" t="n">
        <v>0</v>
      </c>
      <c r="BZ98" s="7" t="n">
        <v>0</v>
      </c>
      <c r="CA98" s="7" t="n">
        <v>0</v>
      </c>
      <c r="CB98" s="7" t="n">
        <v>0</v>
      </c>
      <c r="CC98" s="7" t="n">
        <v>0</v>
      </c>
      <c r="CD98" s="7" t="n">
        <v>0</v>
      </c>
      <c r="CE98" s="7" t="n">
        <v>0</v>
      </c>
      <c r="CF98" s="7" t="n">
        <v>0</v>
      </c>
      <c r="CG98" s="7" t="n">
        <v>0</v>
      </c>
      <c r="CH98" s="7" t="n">
        <v>0</v>
      </c>
      <c r="CI98" s="7" t="n">
        <v>0</v>
      </c>
      <c r="CJ98" s="7" t="n">
        <v>0</v>
      </c>
      <c r="CK98" s="38">
        <f>VLOOKUP($B98,'abrasion emissions'!$O$7:$R$36,2,FALSE)</f>
        <v>0.5</v>
      </c>
      <c r="CL98" s="38">
        <f>VLOOKUP($B98,'abrasion emissions'!$O$7:$R$36,3,FALSE)</f>
        <v>0.5</v>
      </c>
      <c r="CM98" s="38">
        <f>VLOOKUP($B98,'abrasion emissions'!$O$7:$R$36,4,FALSE)</f>
        <v>0</v>
      </c>
      <c r="CN98" s="7">
        <f>((SUMIFS('abrasion emissions'!$M$7:$M$34,'abrasion emissions'!$I$7:$I$34,"PM 2.5",'abrasion emissions'!$J$7:$J$34,"urban",'abrasion emissions'!$K$7:$K$34,"Tyre",'abrasion emissions'!$L$7:$L$34,"b")*POWER(('vehicles specifications'!$Q98/1000),(1/SUMIFS('abrasion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specifications'!$P98/1000),(1/SUMIFS('abrasion emissions'!$M$7:$M$34,'abrasion emissions'!$I$7:$I$34,"PM 10",'abrasion emissions'!$J$7:$J$34,"urban",'abrasion emissions'!$K$7:$K$34,"Tyre",'abrasion emissions'!$L$7:$L$34,"c")))))/1000000</f>
        <v>6.5766355169193657E-6</v>
      </c>
      <c r="CO98" s="7">
        <f>((SUMIFS('abrasion emissions'!$M$7:$M$34,'abrasion emissions'!$I$7:$I$34,"PM 2.5",'abrasion emissions'!$J$7:$J$34,"rural",'abrasion emissions'!$K$7:$K$34,"Tyre",'abrasion emissions'!$L$7:$L$34,"b")*POWER(('vehicles specifications'!$Q98/1000),(1/SUMIFS('abrasion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specifications'!$P98/1000),(1/SUMIFS('abrasion emissions'!$M$7:$M$34,'abrasion emissions'!$I$7:$I$34,"PM 10",'abrasion emissions'!$J$7:$J$34,"rural",'abrasion emissions'!$K$7:$K$34,"Tyre",'abrasion emissions'!$L$7:$L$34,"c")))))/1000000</f>
        <v>5.1218535152818901E-6</v>
      </c>
      <c r="CP98" s="7">
        <f>((SUMIFS('abrasion emissions'!$M$7:$M$34,'abrasion emissions'!$I$7:$I$34,"PM 2.5",'abrasion emissions'!$J$7:$J$34,"motorway",'abrasion emissions'!$K$7:$K$34,"Tyre",'abrasion emissions'!$L$7:$L$34,"b")*POWER(('vehicles specifications'!$Q98/1000),(1/SUMIFS('abrasion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specifications'!$P98/1000),(1/SUMIFS('abrasion emissions'!$M$7:$M$34,'abrasion emissions'!$I$7:$I$34,"PM 10",'abrasion emissions'!$J$7:$J$34,"motorway",'abrasion emissions'!$K$7:$K$34,"Tyre",'abrasion emissions'!$L$7:$L$34,"c")))))/1000000</f>
        <v>4.3737196774239597E-6</v>
      </c>
      <c r="CQ98" s="7">
        <f>((SUMIFS('abrasion emissions'!$M$7:$M$34,'abrasion emissions'!$I$7:$I$34,"PM 2.5",'abrasion emissions'!$J$7:$J$34,"urban",'abrasion emissions'!$K$7:$K$34,"Brake",'abrasion emissions'!$L$7:$L$34,"b")*POWER(('vehicles specifications'!$Q98/1000),(1/SUMIFS('abrasion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specifications'!$P98/1000),(1/SUMIFS('abrasion emissions'!$M$7:$M$34,'abrasion emissions'!$I$7:$I$34,"PM 10",'abrasion emissions'!$J$7:$J$34,"urban",'abrasion emissions'!$K$7:$K$34,"Brake",'abrasion emissions'!$L$7:$L$34,"c")))))/1000000</f>
        <v>6.3000782940442976E-6</v>
      </c>
      <c r="CR98" s="7">
        <f>((SUMIFS('abrasion emissions'!$M$7:$M$34,'abrasion emissions'!$I$7:$I$34,"PM 2.5",'abrasion emissions'!$J$7:$J$34,"rural",'abrasion emissions'!$K$7:$K$34,"Brake",'abrasion emissions'!$L$7:$L$34,"b")*POWER(('vehicles specifications'!$Q98/1000),(1/SUMIFS('abrasion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specifications'!$P98/1000),(1/SUMIFS('abrasion emissions'!$M$7:$M$34,'abrasion emissions'!$I$7:$I$34,"PM 10",'abrasion emissions'!$J$7:$J$34,"rural",'abrasion emissions'!$K$7:$K$34,"Brake",'abrasion emissions'!$L$7:$L$34,"c")))))/1000000</f>
        <v>2.0628805759853273E-6</v>
      </c>
      <c r="CS98" s="7">
        <f>((SUMIFS('abrasion emissions'!$M$7:$M$34,'abrasion emissions'!$I$7:$I$34,"PM 2.5",'abrasion emissions'!$J$7:$J$34,"motorway",'abrasion emissions'!$K$7:$K$34,"Brake",'abrasion emissions'!$L$7:$L$34,"b")*POWER(('vehicles specifications'!$Q98/1000),(1/SUMIFS('abrasion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specifications'!$P98/1000),(1/SUMIFS('abrasion emissions'!$M$7:$M$34,'abrasion emissions'!$I$7:$I$34,"PM 10",'abrasion emissions'!$J$7:$J$34,"motorway",'abrasion emissions'!$K$7:$K$34,"Brake",'abrasion emissions'!$L$7:$L$34,"c")))))/1000000</f>
        <v>3.8668455780672078E-7</v>
      </c>
      <c r="CT98" s="7">
        <f>((SUMIFS('abrasion emissions'!$M$7:$M$38,'abrasion emissions'!$I$7:$I$38,"PM 2.5",'abrasion emissions'!$K$7:$K$38,"Re-susp.",'abrasion emissions'!$L$7:$L$38,"b")*POWER(('vehicles specifications'!$Q98/1000),(1/SUMIFS('abrasion emissions'!$M$7:$M$38,'abrasion emissions'!$I$7:$I$38,"PM 2.5",'abrasion emissions'!$K$7:$K$38,"Re-susp.",'abrasion emissions'!$L$7:$L$38,"c"))))+
(SUMIFS('abrasion emissions'!$M$7:$M$38,'abrasion emissions'!$I$7:$I$38,"PM 10",'abrasion emissions'!$K$7:$K$38,"Re-susp.",'abrasion emissions'!$L$7:$L$38,"b")*POWER(('vehicles specifications'!$Q98/1000),(1/SUMIFS('abrasion emissions'!$M$7:$M$38,'abrasion emissions'!$I$7:$I$38,"PM 10",'abrasion emissions'!$K$7:$K$38,"Re-susp.",'abrasion emissions'!$L$7:$L$38,"c")))))/1000000</f>
        <v>3.9892553385998303E-6</v>
      </c>
      <c r="CU98" s="7">
        <f>((SUMIFS('abrasion emissions'!$M$7:$M$38,'abrasion emissions'!$I$7:$I$38,"PM 2.5",'abrasion emissions'!$K$7:$K$38,"Road",'abrasion emissions'!$L$7:$L$38,"b")*POWER(('vehicles specifications'!$Q98/1000),(1/SUMIFS('abrasion emissions'!$M$7:$M$38,'abrasion emissions'!$I$7:$I$38,"PM 2.5",'abrasion emissions'!$K$7:$K$38,"Road",'abrasion emissions'!$L$7:$L$38,"c"))))+
(SUMIFS('abrasion emissions'!$M$7:$M$38,'abrasion emissions'!$I$7:$I$38,"PM 10",'abrasion emissions'!$K$7:$K$38,"Road",'abrasion emissions'!$L$7:$L$38,"b")*POWER(('vehicles specifications'!$Q98/1000),(1/SUMIFS('abrasion emissions'!$M$7:$M$38,'abrasion emissions'!$I$7:$I$38,"PM 10",'abrasion emissions'!$K$7:$K$38,"Road",'abrasion emissions'!$L$7:$L$38,"c")))))/1000000+CT98</f>
        <v>7.6064234663980656E-6</v>
      </c>
      <c r="CV98" s="7">
        <f>(CK98*CN98)+(CL98*CO98)+(CM98*CP98)</f>
        <v>5.8492445161006275E-6</v>
      </c>
      <c r="CW98" s="7">
        <f>(CK98*CQ98)+(CL98*CR98)+(CM98*CS98)</f>
        <v>4.1814794350148126E-6</v>
      </c>
    </row>
    <row r="99">
      <c r="A99" t="str">
        <f>B99&amp;" - "&amp;D99&amp;" - "&amp;IF(I99&lt;&gt;"",I99&amp;" - "&amp;E99,E99)</f>
        <v>Scooter, battery electric, 4-11kW - 2040 - NCA - CH</v>
      </c>
      <c r="B99" t="inlineStr">
        <is>
          <t>Scooter, battery electric, 4-11kW</t>
        </is>
      </c>
      <c r="D99" s="18" t="n">
        <v>2040</v>
      </c>
      <c r="E99" t="inlineStr">
        <is>
          <t>CH</t>
        </is>
      </c>
      <c r="F99" t="inlineStr">
        <is>
          <t>None</t>
        </is>
      </c>
      <c r="G99" t="inlineStr">
        <is>
          <t>vkm</t>
        </is>
      </c>
      <c r="H99" t="inlineStr">
        <is>
          <t>BEV</t>
        </is>
      </c>
      <c r="I99" t="inlineStr">
        <is>
          <t>NCA</t>
        </is>
      </c>
      <c r="J99" t="n">
        <v>30000</v>
      </c>
      <c r="K99" t="n">
        <v>1870</v>
      </c>
      <c r="L99" s="2">
        <f>J99/K99</f>
        <v>16.042780748663102</v>
      </c>
      <c r="M99" t="n">
        <v>1</v>
      </c>
      <c r="N99" t="n">
        <v>75</v>
      </c>
      <c r="O99" t="n">
        <v>4</v>
      </c>
      <c r="P99" s="2">
        <f>SUM(U99,V99,W99,AC99,AF99,AH99)</f>
        <v>132.44999999999999</v>
      </c>
      <c r="Q99" s="2">
        <f>P99+(M99*N99)+O99</f>
        <v>211.45</v>
      </c>
      <c r="R99" t="n">
        <v>6.1</v>
      </c>
      <c r="S99" s="2" t="n">
        <v>84</v>
      </c>
      <c r="T99" s="1" t="n">
        <v>0.05</v>
      </c>
      <c r="U99" s="2">
        <f>S99*(1-T99)</f>
        <v>79.8</v>
      </c>
      <c r="V99" t="n">
        <v>10</v>
      </c>
      <c r="W99" t="n">
        <v>16</v>
      </c>
      <c r="X99" s="3" t="n">
        <v>8.199999999999999</v>
      </c>
      <c r="Y99" s="1" t="n">
        <v>0.8</v>
      </c>
      <c r="Z99" s="3">
        <f>Y99*X99</f>
        <v>6.56</v>
      </c>
      <c r="AA99" s="3">
        <f>IF(I99&lt;&gt;"",X99/INDEX('energy battery'!$B$3:$D$6,MATCH('vehicles specifications'!$D99,'energy battery'!$A$3:$A$6,0),MATCH('vehicles specifications'!$I99,'energy battery'!$B$2:$D$2,0)),"")</f>
        <v>20.499999999999996</v>
      </c>
      <c r="AB99" s="3">
        <f>IF(AA99&lt;&gt;"",0.3*AA99,"")</f>
        <v>6.1499999999999986</v>
      </c>
      <c r="AC99" s="3">
        <f>IF(AA99&lt;&gt;"",AB99+AA99,"")</f>
        <v>26.649999999999995</v>
      </c>
      <c r="AD99" s="3" t="n">
        <v>0.25</v>
      </c>
      <c r="AE99" s="3" t="n">
        <v>0</v>
      </c>
      <c r="AF99">
        <f>AE99*'fuels and tailpipe emissions'!$B$3</f>
        <v>0</v>
      </c>
      <c r="AG99" t="n">
        <v>0</v>
      </c>
      <c r="AH99" s="3" t="n">
        <v>0</v>
      </c>
      <c r="AI99" s="3" t="n">
        <v>3</v>
      </c>
      <c r="AJ99" s="3" t="n">
        <v>1</v>
      </c>
      <c r="AK99">
        <f>J99/25000</f>
        <v>1.2</v>
      </c>
      <c r="AL99">
        <f>0.000537/1000*Q99</f>
        <v>1.1354865E-4</v>
      </c>
      <c r="AM99" t="n">
        <v>0.00129</v>
      </c>
      <c r="AN99" s="2">
        <f>U99</f>
        <v>79.8</v>
      </c>
      <c r="AO99" s="2">
        <f>SUM(V99:W99)</f>
        <v>26</v>
      </c>
      <c r="AP99" s="2">
        <f>AC99</f>
        <v>26.649999999999995</v>
      </c>
      <c r="AQ99" s="6" t="inlineStr"/>
      <c r="AR99" s="20" t="n"/>
      <c r="AS99" s="5" t="n">
        <v>0.1894149615567632</v>
      </c>
      <c r="AT99" s="2">
        <f>SUM(Z99,AG99)/(SUM(AQ99,AS99)/3.6)</f>
        <v>124.6786410424228</v>
      </c>
      <c r="AU99" s="5" t="n">
        <v>0</v>
      </c>
      <c r="AV99" s="5" t="n">
        <v>0</v>
      </c>
      <c r="AW99" s="7" t="n">
        <v>0</v>
      </c>
      <c r="AX99" s="7" t="n">
        <v>0</v>
      </c>
      <c r="AY99" s="7" t="n">
        <v>0</v>
      </c>
      <c r="AZ99" s="7" t="n">
        <v>0</v>
      </c>
      <c r="BA99" s="7" t="n">
        <v>0</v>
      </c>
      <c r="BB99" s="7" t="n">
        <v>0</v>
      </c>
      <c r="BC99" s="7" t="n">
        <v>0</v>
      </c>
      <c r="BD99" s="7" t="n">
        <v>0</v>
      </c>
      <c r="BE99" s="7" t="n">
        <v>0</v>
      </c>
      <c r="BF99" s="7" t="n">
        <v>0</v>
      </c>
      <c r="BG99" s="7" t="n">
        <v>0</v>
      </c>
      <c r="BH99" s="7" t="n">
        <v>0</v>
      </c>
      <c r="BI99" s="7" t="n">
        <v>0</v>
      </c>
      <c r="BJ99" s="7" t="n">
        <v>0</v>
      </c>
      <c r="BK99" s="7" t="n">
        <v>0</v>
      </c>
      <c r="BL99" s="7" t="n">
        <v>0</v>
      </c>
      <c r="BM99" s="7" t="n">
        <v>0</v>
      </c>
      <c r="BN99" s="7" t="n">
        <v>0</v>
      </c>
      <c r="BO99" s="7" t="n">
        <v>0</v>
      </c>
      <c r="BP99" s="7" t="n">
        <v>0</v>
      </c>
      <c r="BQ99" s="7" t="n">
        <v>0</v>
      </c>
      <c r="BR99" s="7" t="n">
        <v>0</v>
      </c>
      <c r="BS99" s="7" t="n">
        <v>0</v>
      </c>
      <c r="BT99" s="7" t="n">
        <v>0</v>
      </c>
      <c r="BU99" s="7" t="n">
        <v>0</v>
      </c>
      <c r="BV99" s="7" t="n">
        <v>0</v>
      </c>
      <c r="BW99" s="7" t="n">
        <v>0</v>
      </c>
      <c r="BX99" s="7" t="n">
        <v>0</v>
      </c>
      <c r="BY99" s="7" t="n">
        <v>0</v>
      </c>
      <c r="BZ99" s="7" t="n">
        <v>0</v>
      </c>
      <c r="CA99" s="7" t="n">
        <v>0</v>
      </c>
      <c r="CB99" s="7" t="n">
        <v>0</v>
      </c>
      <c r="CC99" s="7" t="n">
        <v>0</v>
      </c>
      <c r="CD99" s="7" t="n">
        <v>0</v>
      </c>
      <c r="CE99" s="7" t="n">
        <v>0</v>
      </c>
      <c r="CF99" s="7" t="n">
        <v>0</v>
      </c>
      <c r="CG99" s="7" t="n">
        <v>0</v>
      </c>
      <c r="CH99" s="7" t="n">
        <v>0</v>
      </c>
      <c r="CI99" s="7" t="n">
        <v>0</v>
      </c>
      <c r="CJ99" s="7" t="n">
        <v>0</v>
      </c>
      <c r="CK99" s="38">
        <f>VLOOKUP($B99,'abrasion emissions'!$O$7:$R$36,2,FALSE)</f>
        <v>0.5</v>
      </c>
      <c r="CL99" s="38">
        <f>VLOOKUP($B99,'abrasion emissions'!$O$7:$R$36,3,FALSE)</f>
        <v>0.5</v>
      </c>
      <c r="CM99" s="38">
        <f>VLOOKUP($B99,'abrasion emissions'!$O$7:$R$36,4,FALSE)</f>
        <v>0</v>
      </c>
      <c r="CN99" s="7">
        <f>((SUMIFS('abrasion emissions'!$M$7:$M$34,'abrasion emissions'!$I$7:$I$34,"PM 2.5",'abrasion emissions'!$J$7:$J$34,"urban",'abrasion emissions'!$K$7:$K$34,"Tyre",'abrasion emissions'!$L$7:$L$34,"b")*POWER(('vehicles specifications'!$Q99/1000),(1/SUMIFS('abrasion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specifications'!$P99/1000),(1/SUMIFS('abrasion emissions'!$M$7:$M$34,'abrasion emissions'!$I$7:$I$34,"PM 10",'abrasion emissions'!$J$7:$J$34,"urban",'abrasion emissions'!$K$7:$K$34,"Tyre",'abrasion emissions'!$L$7:$L$34,"c")))))/1000000</f>
        <v>6.5810886972386748E-6</v>
      </c>
      <c r="CO99" s="7">
        <f>((SUMIFS('abrasion emissions'!$M$7:$M$34,'abrasion emissions'!$I$7:$I$34,"PM 2.5",'abrasion emissions'!$J$7:$J$34,"rural",'abrasion emissions'!$K$7:$K$34,"Tyre",'abrasion emissions'!$L$7:$L$34,"b")*POWER(('vehicles specifications'!$Q99/1000),(1/SUMIFS('abrasion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specifications'!$P99/1000),(1/SUMIFS('abrasion emissions'!$M$7:$M$34,'abrasion emissions'!$I$7:$I$34,"PM 10",'abrasion emissions'!$J$7:$J$34,"rural",'abrasion emissions'!$K$7:$K$34,"Tyre",'abrasion emissions'!$L$7:$L$34,"c")))))/1000000</f>
        <v>5.1253192889032687E-6</v>
      </c>
      <c r="CP99" s="7">
        <f>((SUMIFS('abrasion emissions'!$M$7:$M$34,'abrasion emissions'!$I$7:$I$34,"PM 2.5",'abrasion emissions'!$J$7:$J$34,"motorway",'abrasion emissions'!$K$7:$K$34,"Tyre",'abrasion emissions'!$L$7:$L$34,"b")*POWER(('vehicles specifications'!$Q99/1000),(1/SUMIFS('abrasion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specifications'!$P99/1000),(1/SUMIFS('abrasion emissions'!$M$7:$M$34,'abrasion emissions'!$I$7:$I$34,"PM 10",'abrasion emissions'!$J$7:$J$34,"motorway",'abrasion emissions'!$K$7:$K$34,"Tyre",'abrasion emissions'!$L$7:$L$34,"c")))))/1000000</f>
        <v>4.3766733362535794E-6</v>
      </c>
      <c r="CQ99" s="7">
        <f>((SUMIFS('abrasion emissions'!$M$7:$M$34,'abrasion emissions'!$I$7:$I$34,"PM 2.5",'abrasion emissions'!$J$7:$J$34,"urban",'abrasion emissions'!$K$7:$K$34,"Brake",'abrasion emissions'!$L$7:$L$34,"b")*POWER(('vehicles specifications'!$Q99/1000),(1/SUMIFS('abrasion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specifications'!$P99/1000),(1/SUMIFS('abrasion emissions'!$M$7:$M$34,'abrasion emissions'!$I$7:$I$34,"PM 10",'abrasion emissions'!$J$7:$J$34,"urban",'abrasion emissions'!$K$7:$K$34,"Brake",'abrasion emissions'!$L$7:$L$34,"c")))))/1000000</f>
        <v>6.3048982122214375E-6</v>
      </c>
      <c r="CR99" s="7">
        <f>((SUMIFS('abrasion emissions'!$M$7:$M$34,'abrasion emissions'!$I$7:$I$34,"PM 2.5",'abrasion emissions'!$J$7:$J$34,"rural",'abrasion emissions'!$K$7:$K$34,"Brake",'abrasion emissions'!$L$7:$L$34,"b")*POWER(('vehicles specifications'!$Q99/1000),(1/SUMIFS('abrasion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specifications'!$P99/1000),(1/SUMIFS('abrasion emissions'!$M$7:$M$34,'abrasion emissions'!$I$7:$I$34,"PM 10",'abrasion emissions'!$J$7:$J$34,"rural",'abrasion emissions'!$K$7:$K$34,"Brake",'abrasion emissions'!$L$7:$L$34,"c")))))/1000000</f>
        <v>2.0648763114685876E-6</v>
      </c>
      <c r="CS99" s="7">
        <f>((SUMIFS('abrasion emissions'!$M$7:$M$34,'abrasion emissions'!$I$7:$I$34,"PM 2.5",'abrasion emissions'!$J$7:$J$34,"motorway",'abrasion emissions'!$K$7:$K$34,"Brake",'abrasion emissions'!$L$7:$L$34,"b")*POWER(('vehicles specifications'!$Q99/1000),(1/SUMIFS('abrasion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specifications'!$P99/1000),(1/SUMIFS('abrasion emissions'!$M$7:$M$34,'abrasion emissions'!$I$7:$I$34,"PM 10",'abrasion emissions'!$J$7:$J$34,"motorway",'abrasion emissions'!$K$7:$K$34,"Brake",'abrasion emissions'!$L$7:$L$34,"c")))))/1000000</f>
        <v>3.871143561051602E-7</v>
      </c>
      <c r="CT99" s="7">
        <f>((SUMIFS('abrasion emissions'!$M$7:$M$38,'abrasion emissions'!$I$7:$I$38,"PM 2.5",'abrasion emissions'!$K$7:$K$38,"Re-susp.",'abrasion emissions'!$L$7:$L$38,"b")*POWER(('vehicles specifications'!$Q99/1000),(1/SUMIFS('abrasion emissions'!$M$7:$M$38,'abrasion emissions'!$I$7:$I$38,"PM 2.5",'abrasion emissions'!$K$7:$K$38,"Re-susp.",'abrasion emissions'!$L$7:$L$38,"c"))))+
(SUMIFS('abrasion emissions'!$M$7:$M$38,'abrasion emissions'!$I$7:$I$38,"PM 10",'abrasion emissions'!$K$7:$K$38,"Re-susp.",'abrasion emissions'!$L$7:$L$38,"b")*POWER(('vehicles specifications'!$Q99/1000),(1/SUMIFS('abrasion emissions'!$M$7:$M$38,'abrasion emissions'!$I$7:$I$38,"PM 10",'abrasion emissions'!$K$7:$K$38,"Re-susp.",'abrasion emissions'!$L$7:$L$38,"c")))))/1000000</f>
        <v>3.9938917813367097E-6</v>
      </c>
      <c r="CU99" s="7">
        <f>((SUMIFS('abrasion emissions'!$M$7:$M$38,'abrasion emissions'!$I$7:$I$38,"PM 2.5",'abrasion emissions'!$K$7:$K$38,"Road",'abrasion emissions'!$L$7:$L$38,"b")*POWER(('vehicles specifications'!$Q99/1000),(1/SUMIFS('abrasion emissions'!$M$7:$M$38,'abrasion emissions'!$I$7:$I$38,"PM 2.5",'abrasion emissions'!$K$7:$K$38,"Road",'abrasion emissions'!$L$7:$L$38,"c"))))+
(SUMIFS('abrasion emissions'!$M$7:$M$38,'abrasion emissions'!$I$7:$I$38,"PM 10",'abrasion emissions'!$K$7:$K$38,"Road",'abrasion emissions'!$L$7:$L$38,"b")*POWER(('vehicles specifications'!$Q99/1000),(1/SUMIFS('abrasion emissions'!$M$7:$M$38,'abrasion emissions'!$I$7:$I$38,"PM 10",'abrasion emissions'!$K$7:$K$38,"Road",'abrasion emissions'!$L$7:$L$38,"c")))))/1000000+CT99</f>
        <v>7.6141423582400934E-6</v>
      </c>
      <c r="CV99" s="7">
        <f>(CK99*CN99)+(CL99*CO99)+(CM99*CP99)</f>
        <v>5.8532039930709717E-6</v>
      </c>
      <c r="CW99" s="7">
        <f>(CK99*CQ99)+(CL99*CR99)+(CM99*CS99)</f>
        <v>4.1848872618450126E-6</v>
      </c>
    </row>
    <row r="100">
      <c r="A100" t="str">
        <f>B100&amp;" - "&amp;D100&amp;" - "&amp;IF(I100&lt;&gt;"",I100&amp;" - "&amp;E100,E100)</f>
        <v>Scooter, battery electric, 4-11kW - 2050 - NCA - CH</v>
      </c>
      <c r="B100" t="inlineStr">
        <is>
          <t>Scooter, battery electric, 4-11kW</t>
        </is>
      </c>
      <c r="D100" s="18" t="n">
        <v>2050</v>
      </c>
      <c r="E100" t="inlineStr">
        <is>
          <t>CH</t>
        </is>
      </c>
      <c r="F100" t="inlineStr">
        <is>
          <t>None</t>
        </is>
      </c>
      <c r="G100" t="inlineStr">
        <is>
          <t>vkm</t>
        </is>
      </c>
      <c r="H100" t="inlineStr">
        <is>
          <t>BEV</t>
        </is>
      </c>
      <c r="I100" t="inlineStr">
        <is>
          <t>NCA</t>
        </is>
      </c>
      <c r="J100" t="n">
        <v>30000</v>
      </c>
      <c r="K100" t="n">
        <v>1870</v>
      </c>
      <c r="L100" s="2">
        <f>J100/K100</f>
        <v>16.042780748663102</v>
      </c>
      <c r="M100" t="n">
        <v>1</v>
      </c>
      <c r="N100" t="n">
        <v>75</v>
      </c>
      <c r="O100" t="n">
        <v>4</v>
      </c>
      <c r="P100" s="2">
        <f>SUM(U100,V100,W100,AC100,AF100,AH100)</f>
        <v>132.19999999999999</v>
      </c>
      <c r="Q100" s="2">
        <f>P100+(M100*N100)+O100</f>
        <v>211.2</v>
      </c>
      <c r="R100" t="n">
        <v>6.1</v>
      </c>
      <c r="S100" s="2" t="n">
        <v>84</v>
      </c>
      <c r="T100" s="1" t="n">
        <v>0.07000000000000001</v>
      </c>
      <c r="U100" s="2">
        <f>S100*(1-T100)</f>
        <v>78.11999999999999</v>
      </c>
      <c r="V100" t="n">
        <v>10</v>
      </c>
      <c r="W100" t="n">
        <v>16</v>
      </c>
      <c r="X100" s="3" t="n">
        <v>10.8</v>
      </c>
      <c r="Y100" s="1" t="n">
        <v>0.8</v>
      </c>
      <c r="Z100" s="3">
        <f>Y100*X100</f>
        <v>8.64</v>
      </c>
      <c r="AA100" s="3">
        <f>IF(I100&lt;&gt;"",X100/INDEX('energy battery'!$B$3:$D$6,MATCH('vehicles specifications'!$D100,'energy battery'!$A$3:$A$6,0),MATCH('vehicles specifications'!$I100,'energy battery'!$B$2:$D$2,0)),"")</f>
        <v>21.6</v>
      </c>
      <c r="AB100" s="3">
        <f>IF(AA100&lt;&gt;"",0.3*AA100,"")</f>
        <v>6.48</v>
      </c>
      <c r="AC100" s="3">
        <f>IF(AA100&lt;&gt;"",AB100+AA100,"")</f>
        <v>28.080000000000002</v>
      </c>
      <c r="AD100" s="3" t="n">
        <v>0</v>
      </c>
      <c r="AE100" s="3" t="n">
        <v>0</v>
      </c>
      <c r="AF100">
        <f>AE100*'fuels and tailpipe emissions'!$B$3</f>
        <v>0</v>
      </c>
      <c r="AG100" t="n">
        <v>0</v>
      </c>
      <c r="AH100" s="3" t="n">
        <v>0</v>
      </c>
      <c r="AI100" s="3" t="n">
        <v>3</v>
      </c>
      <c r="AJ100" s="3" t="n">
        <v>1</v>
      </c>
      <c r="AK100">
        <f>J100/25000</f>
        <v>1.2</v>
      </c>
      <c r="AL100">
        <f>0.000537/1000*Q100</f>
        <v>1.134144E-4</v>
      </c>
      <c r="AM100" t="n">
        <v>0.00129</v>
      </c>
      <c r="AN100" s="2">
        <f>U100</f>
        <v>78.11999999999999</v>
      </c>
      <c r="AO100" s="2">
        <f>SUM(V100:W100)</f>
        <v>26</v>
      </c>
      <c r="AP100" s="2">
        <f>AC100</f>
        <v>28.080000000000002</v>
      </c>
      <c r="AQ100" s="6" t="inlineStr"/>
      <c r="AR100" s="20" t="n"/>
      <c r="AS100" s="5" t="n">
        <v>0.1894149615567632</v>
      </c>
      <c r="AT100" s="2">
        <f>SUM(Z100,AG100)/(SUM(AQ100,AS100)/3.6)</f>
        <v>164.21089308026419</v>
      </c>
      <c r="AU100" s="5" t="n">
        <v>0</v>
      </c>
      <c r="AV100" s="5" t="n">
        <v>0</v>
      </c>
      <c r="AW100" s="7" t="n">
        <v>0</v>
      </c>
      <c r="AX100" s="7" t="n">
        <v>0</v>
      </c>
      <c r="AY100" s="7" t="n">
        <v>0</v>
      </c>
      <c r="AZ100" s="7" t="n">
        <v>0</v>
      </c>
      <c r="BA100" s="7" t="n">
        <v>0</v>
      </c>
      <c r="BB100" s="7" t="n">
        <v>0</v>
      </c>
      <c r="BC100" s="7" t="n">
        <v>0</v>
      </c>
      <c r="BD100" s="7" t="n">
        <v>0</v>
      </c>
      <c r="BE100" s="7" t="n">
        <v>0</v>
      </c>
      <c r="BF100" s="7" t="n">
        <v>0</v>
      </c>
      <c r="BG100" s="7" t="n">
        <v>0</v>
      </c>
      <c r="BH100" s="7" t="n">
        <v>0</v>
      </c>
      <c r="BI100" s="7" t="n">
        <v>0</v>
      </c>
      <c r="BJ100" s="7" t="n">
        <v>0</v>
      </c>
      <c r="BK100" s="7" t="n">
        <v>0</v>
      </c>
      <c r="BL100" s="7" t="n">
        <v>0</v>
      </c>
      <c r="BM100" s="7" t="n">
        <v>0</v>
      </c>
      <c r="BN100" s="7" t="n">
        <v>0</v>
      </c>
      <c r="BO100" s="7" t="n">
        <v>0</v>
      </c>
      <c r="BP100" s="7" t="n">
        <v>0</v>
      </c>
      <c r="BQ100" s="7" t="n">
        <v>0</v>
      </c>
      <c r="BR100" s="7" t="n">
        <v>0</v>
      </c>
      <c r="BS100" s="7" t="n">
        <v>0</v>
      </c>
      <c r="BT100" s="7" t="n">
        <v>0</v>
      </c>
      <c r="BU100" s="7" t="n">
        <v>0</v>
      </c>
      <c r="BV100" s="7" t="n">
        <v>0</v>
      </c>
      <c r="BW100" s="7" t="n">
        <v>0</v>
      </c>
      <c r="BX100" s="7" t="n">
        <v>0</v>
      </c>
      <c r="BY100" s="7" t="n">
        <v>0</v>
      </c>
      <c r="BZ100" s="7" t="n">
        <v>0</v>
      </c>
      <c r="CA100" s="7" t="n">
        <v>0</v>
      </c>
      <c r="CB100" s="7" t="n">
        <v>0</v>
      </c>
      <c r="CC100" s="7" t="n">
        <v>0</v>
      </c>
      <c r="CD100" s="7" t="n">
        <v>0</v>
      </c>
      <c r="CE100" s="7" t="n">
        <v>0</v>
      </c>
      <c r="CF100" s="7" t="n">
        <v>0</v>
      </c>
      <c r="CG100" s="7" t="n">
        <v>0</v>
      </c>
      <c r="CH100" s="7" t="n">
        <v>0</v>
      </c>
      <c r="CI100" s="7" t="n">
        <v>0</v>
      </c>
      <c r="CJ100" s="7" t="n">
        <v>0</v>
      </c>
      <c r="CK100" s="38">
        <f>VLOOKUP($B100,'abrasion emissions'!$O$7:$R$36,2,FALSE)</f>
        <v>0.5</v>
      </c>
      <c r="CL100" s="38">
        <f>VLOOKUP($B100,'abrasion emissions'!$O$7:$R$36,3,FALSE)</f>
        <v>0.5</v>
      </c>
      <c r="CM100" s="38">
        <f>VLOOKUP($B100,'abrasion emissions'!$O$7:$R$36,4,FALSE)</f>
        <v>0</v>
      </c>
      <c r="CN100" s="7">
        <f>((SUMIFS('abrasion emissions'!$M$7:$M$34,'abrasion emissions'!$I$7:$I$34,"PM 2.5",'abrasion emissions'!$J$7:$J$34,"urban",'abrasion emissions'!$K$7:$K$34,"Tyre",'abrasion emissions'!$L$7:$L$34,"b")*POWER(('vehicles specifications'!$Q100/1000),(1/SUMIFS('abrasion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specifications'!$P100/1000),(1/SUMIFS('abrasion emissions'!$M$7:$M$34,'abrasion emissions'!$I$7:$I$34,"PM 10",'abrasion emissions'!$J$7:$J$34,"urban",'abrasion emissions'!$K$7:$K$34,"Tyre",'abrasion emissions'!$L$7:$L$34,"c")))))/1000000</f>
        <v>6.5769655240526869E-6</v>
      </c>
      <c r="CO100" s="7">
        <f>((SUMIFS('abrasion emissions'!$M$7:$M$34,'abrasion emissions'!$I$7:$I$34,"PM 2.5",'abrasion emissions'!$J$7:$J$34,"rural",'abrasion emissions'!$K$7:$K$34,"Tyre",'abrasion emissions'!$L$7:$L$34,"b")*POWER(('vehicles specifications'!$Q100/1000),(1/SUMIFS('abrasion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specifications'!$P100/1000),(1/SUMIFS('abrasion emissions'!$M$7:$M$34,'abrasion emissions'!$I$7:$I$34,"PM 10",'abrasion emissions'!$J$7:$J$34,"rural",'abrasion emissions'!$K$7:$K$34,"Tyre",'abrasion emissions'!$L$7:$L$34,"c")))))/1000000</f>
        <v>5.1221103496332357E-6</v>
      </c>
      <c r="CP100" s="7">
        <f>((SUMIFS('abrasion emissions'!$M$7:$M$34,'abrasion emissions'!$I$7:$I$34,"PM 2.5",'abrasion emissions'!$J$7:$J$34,"motorway",'abrasion emissions'!$K$7:$K$34,"Tyre",'abrasion emissions'!$L$7:$L$34,"b")*POWER(('vehicles specifications'!$Q100/1000),(1/SUMIFS('abrasion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specifications'!$P100/1000),(1/SUMIFS('abrasion emissions'!$M$7:$M$34,'abrasion emissions'!$I$7:$I$34,"PM 10",'abrasion emissions'!$J$7:$J$34,"motorway",'abrasion emissions'!$K$7:$K$34,"Tyre",'abrasion emissions'!$L$7:$L$34,"c")))))/1000000</f>
        <v>4.3739385608451761E-6</v>
      </c>
      <c r="CQ100" s="7">
        <f>((SUMIFS('abrasion emissions'!$M$7:$M$34,'abrasion emissions'!$I$7:$I$34,"PM 2.5",'abrasion emissions'!$J$7:$J$34,"urban",'abrasion emissions'!$K$7:$K$34,"Brake",'abrasion emissions'!$L$7:$L$34,"b")*POWER(('vehicles specifications'!$Q100/1000),(1/SUMIFS('abrasion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specifications'!$P100/1000),(1/SUMIFS('abrasion emissions'!$M$7:$M$34,'abrasion emissions'!$I$7:$I$34,"PM 10",'abrasion emissions'!$J$7:$J$34,"urban",'abrasion emissions'!$K$7:$K$34,"Brake",'abrasion emissions'!$L$7:$L$34,"c")))))/1000000</f>
        <v>6.3004354443800739E-6</v>
      </c>
      <c r="CR100" s="7">
        <f>((SUMIFS('abrasion emissions'!$M$7:$M$34,'abrasion emissions'!$I$7:$I$34,"PM 2.5",'abrasion emissions'!$J$7:$J$34,"rural",'abrasion emissions'!$K$7:$K$34,"Brake",'abrasion emissions'!$L$7:$L$34,"b")*POWER(('vehicles specifications'!$Q100/1000),(1/SUMIFS('abrasion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specifications'!$P100/1000),(1/SUMIFS('abrasion emissions'!$M$7:$M$34,'abrasion emissions'!$I$7:$I$34,"PM 10",'abrasion emissions'!$J$7:$J$34,"rural",'abrasion emissions'!$K$7:$K$34,"Brake",'abrasion emissions'!$L$7:$L$34,"c")))))/1000000</f>
        <v>2.0630284429479404E-6</v>
      </c>
      <c r="CS100" s="7">
        <f>((SUMIFS('abrasion emissions'!$M$7:$M$34,'abrasion emissions'!$I$7:$I$34,"PM 2.5",'abrasion emissions'!$J$7:$J$34,"motorway",'abrasion emissions'!$K$7:$K$34,"Brake",'abrasion emissions'!$L$7:$L$34,"b")*POWER(('vehicles specifications'!$Q100/1000),(1/SUMIFS('abrasion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specifications'!$P100/1000),(1/SUMIFS('abrasion emissions'!$M$7:$M$34,'abrasion emissions'!$I$7:$I$34,"PM 10",'abrasion emissions'!$J$7:$J$34,"motorway",'abrasion emissions'!$K$7:$K$34,"Brake",'abrasion emissions'!$L$7:$L$34,"c")))))/1000000</f>
        <v>3.8671639986502506E-7</v>
      </c>
      <c r="CT100" s="7">
        <f>((SUMIFS('abrasion emissions'!$M$7:$M$38,'abrasion emissions'!$I$7:$I$38,"PM 2.5",'abrasion emissions'!$K$7:$K$38,"Re-susp.",'abrasion emissions'!$L$7:$L$38,"b")*POWER(('vehicles specifications'!$Q100/1000),(1/SUMIFS('abrasion emissions'!$M$7:$M$38,'abrasion emissions'!$I$7:$I$38,"PM 2.5",'abrasion emissions'!$K$7:$K$38,"Re-susp.",'abrasion emissions'!$L$7:$L$38,"c"))))+
(SUMIFS('abrasion emissions'!$M$7:$M$38,'abrasion emissions'!$I$7:$I$38,"PM 10",'abrasion emissions'!$K$7:$K$38,"Re-susp.",'abrasion emissions'!$L$7:$L$38,"b")*POWER(('vehicles specifications'!$Q100/1000),(1/SUMIFS('abrasion emissions'!$M$7:$M$38,'abrasion emissions'!$I$7:$I$38,"PM 10",'abrasion emissions'!$K$7:$K$38,"Re-susp.",'abrasion emissions'!$L$7:$L$38,"c")))))/1000000</f>
        <v>3.9895987972749974E-6</v>
      </c>
      <c r="CU100" s="7">
        <f>((SUMIFS('abrasion emissions'!$M$7:$M$38,'abrasion emissions'!$I$7:$I$38,"PM 2.5",'abrasion emissions'!$K$7:$K$38,"Road",'abrasion emissions'!$L$7:$L$38,"b")*POWER(('vehicles specifications'!$Q100/1000),(1/SUMIFS('abrasion emissions'!$M$7:$M$38,'abrasion emissions'!$I$7:$I$38,"PM 2.5",'abrasion emissions'!$K$7:$K$38,"Road",'abrasion emissions'!$L$7:$L$38,"c"))))+
(SUMIFS('abrasion emissions'!$M$7:$M$38,'abrasion emissions'!$I$7:$I$38,"PM 10",'abrasion emissions'!$K$7:$K$38,"Road",'abrasion emissions'!$L$7:$L$38,"b")*POWER(('vehicles specifications'!$Q100/1000),(1/SUMIFS('abrasion emissions'!$M$7:$M$38,'abrasion emissions'!$I$7:$I$38,"PM 10",'abrasion emissions'!$K$7:$K$38,"Road",'abrasion emissions'!$L$7:$L$38,"c")))))/1000000+CT100</f>
        <v>7.6069952996690376E-6</v>
      </c>
      <c r="CV100" s="7">
        <f>(CK100*CN100)+(CL100*CO100)+(CM100*CP100)</f>
        <v>5.8495379368429613E-6</v>
      </c>
      <c r="CW100" s="7">
        <f>(CK100*CQ100)+(CL100*CR100)+(CM100*CS100)</f>
        <v>4.1817319436640074E-6</v>
      </c>
    </row>
    <row r="101">
      <c r="A101" t="str">
        <f>B101&amp;" - "&amp;D101&amp;" - "&amp;IF(I101&lt;&gt;"",I101&amp;" - "&amp;E101,E101)</f>
        <v>Motorbike, gasoline, 4-11kW, EURO-3 - 2006 - CH</v>
      </c>
      <c r="B101" t="inlineStr">
        <is>
          <t>Motorbike, gasoline, 4-11kW, EURO-3</t>
        </is>
      </c>
      <c r="D101" s="18" t="n">
        <v>2006</v>
      </c>
      <c r="E101" t="inlineStr">
        <is>
          <t>CH</t>
        </is>
      </c>
      <c r="F101" t="inlineStr">
        <is>
          <t>EURO-3</t>
        </is>
      </c>
      <c r="G101" t="inlineStr">
        <is>
          <t>vkm</t>
        </is>
      </c>
      <c r="H101" t="inlineStr">
        <is>
          <t>ICEV-p</t>
        </is>
      </c>
      <c r="J101" t="n">
        <v>25000</v>
      </c>
      <c r="K101" t="n">
        <v>1776</v>
      </c>
      <c r="L101" s="2">
        <f>J101/K101</f>
        <v>14.076576576576576</v>
      </c>
      <c r="M101" t="n">
        <v>1.1</v>
      </c>
      <c r="N101" t="n">
        <v>75</v>
      </c>
      <c r="O101" t="n">
        <v>6</v>
      </c>
      <c r="P101" s="2">
        <f>SUM(U101,V101,W101,AC101,AF101,AH101)</f>
        <v>122.27169718057486</v>
      </c>
      <c r="Q101" s="2">
        <f>P101+(M101*N101)+O101</f>
        <v>210.77169718057485</v>
      </c>
      <c r="R101" t="n">
        <v>9</v>
      </c>
      <c r="S101" s="2" t="n">
        <v>65.43382696032849</v>
      </c>
      <c r="T101" s="1" t="n">
        <v>-0.05</v>
      </c>
      <c r="U101" s="2">
        <f>S101*(1-T101)</f>
        <v>68.705518308344921</v>
      </c>
      <c r="V101" s="2">
        <f>0.7*S101</f>
        <v>45.803678872229938</v>
      </c>
      <c r="W101" s="2" t="n">
        <v>0</v>
      </c>
      <c r="X101" s="3" t="n">
        <v>0</v>
      </c>
      <c r="Y101" s="1" t="n">
        <v>0.8</v>
      </c>
      <c r="Z101" s="3">
        <f>Y101*X101</f>
        <v>0</v>
      </c>
      <c r="AA101" s="3">
        <f>IF(I101&lt;&gt;"",X101/INDEX('energy battery'!$B$3:$D$6,MATCH('vehicles specifications'!$D101,'energy battery'!$A$3:$A$6,0),MATCH('vehicles specifications'!$I101,'energy battery'!$B$2:$D$2,0)),"")</f>
        <v/>
      </c>
      <c r="AB101" s="3">
        <f>IF(AA101&lt;&gt;"",0.3*AA101,"")</f>
        <v/>
      </c>
      <c r="AC101" s="3">
        <f>IF(AA101&lt;&gt;"",AB101+AA101,"")</f>
        <v/>
      </c>
      <c r="AD101" s="3" t="n">
        <v>0</v>
      </c>
      <c r="AE101" s="3" t="n">
        <v>9</v>
      </c>
      <c r="AF101">
        <f>AE101*'fuels and tailpipe emissions'!$B$3</f>
        <v>6.75</v>
      </c>
      <c r="AG101" s="2">
        <f>AF101*'fuels and tailpipe emissions'!$C$3</f>
        <v>79.875</v>
      </c>
      <c r="AH101" s="3">
        <f>0.15*AF101</f>
        <v>1.0125</v>
      </c>
      <c r="AI101" s="3" t="n">
        <v>0</v>
      </c>
      <c r="AJ101" s="3" t="n">
        <v>0</v>
      </c>
      <c r="AK101">
        <f>J101/25000</f>
        <v>1</v>
      </c>
      <c r="AL101">
        <f>0.000537/1000*Q101</f>
        <v>1.131844013859687E-4</v>
      </c>
      <c r="AM101" t="n">
        <v>0.00129</v>
      </c>
      <c r="AN101" s="2">
        <f>U101</f>
        <v>68.705518308344921</v>
      </c>
      <c r="AO101" s="2">
        <f>SUM(V101:W101)</f>
        <v>45.803678872229938</v>
      </c>
      <c r="AP101" s="2">
        <f>AC101</f>
        <v/>
      </c>
      <c r="AQ101" s="6" t="n">
        <v>1.026080229504251</v>
      </c>
      <c r="AR101" s="20" t="n">
        <v>0.012</v>
      </c>
      <c r="AS101" s="6">
        <f>IF($H101="BEV",SUMPRODUCT(#REF!,#REF!),"")</f>
        <v/>
      </c>
      <c r="AT101" s="2">
        <f>SUM(Z101,AG101)/(SUM(AQ101,AS101)/3.6)</f>
        <v>280.24124403890835</v>
      </c>
      <c r="AU101" s="5">
        <f>IF($H101="ICEV-p",$AQ101/('fuels and tailpipe emissions'!$C$3*3.6)*'fuels and tailpipe emissions'!$D$3,"")*(1-AR101)</f>
        <v>7.4723690553888014E-2</v>
      </c>
      <c r="AV101" s="5">
        <f>IF($H101="ICEV-p",$AQ101/('fuels and tailpipe emissions'!$C$3*3.6)*'fuels and tailpipe emissions'!$D$3,"")*AR101</f>
        <v>9.0757518891361954E-4</v>
      </c>
      <c r="AW101" s="7">
        <f>IF($H101="ICEV-p",$AQ101/('fuels and tailpipe emissions'!$C$3*3.6)*'fuels and tailpipe emissions'!$E$3,"")</f>
        <v>3.8538224582319301E-7</v>
      </c>
      <c r="AX101" s="7">
        <f>SUMIFS('fuels and tailpipe emissions'!$F$10:$F$126,'fuels and tailpipe emissions'!$A$10:$A$126,'vehicles specifications'!$F101,'fuels and tailpipe emissions'!$B$10:$B$126,'vehicles specifications'!AX$2)/1000*$AQ101</f>
        <v>3.6529704169004323E-6</v>
      </c>
      <c r="AY101" s="7">
        <f>SUMIFS('fuels and tailpipe emissions'!$F$10:$F$126,'fuels and tailpipe emissions'!$A$10:$A$126,'vehicles specifications'!$F101,'fuels and tailpipe emissions'!$B$10:$B$126,'vehicles specifications'!AY$2)/1000*$AQ101</f>
        <v>5.0143885394914575E-5</v>
      </c>
      <c r="AZ101" s="7">
        <f>SUMIFS('fuels and tailpipe emissions'!$F$10:$F$126,'fuels and tailpipe emissions'!$A$10:$A$126,'vehicles specifications'!$F101,'fuels and tailpipe emissions'!$B$10:$B$126,'vehicles specifications'!AZ$2)/1000*$AQ101</f>
        <v>7.0250030559411121E-4</v>
      </c>
      <c r="BA101" s="7">
        <f>SUMIFS('fuels and tailpipe emissions'!$F$10:$F$126,'fuels and tailpipe emissions'!$A$10:$A$126,'vehicles specifications'!$F101,'fuels and tailpipe emissions'!$B$10:$B$126,'vehicles specifications'!BA$2)/1000*$AQ101</f>
        <v>1.7908530498183775E-6</v>
      </c>
      <c r="BB101" s="7">
        <f>SUMIFS('fuels and tailpipe emissions'!$F$10:$F$126,'fuels and tailpipe emissions'!$A$10:$A$126,'vehicles specifications'!$F101,'fuels and tailpipe emissions'!$B$10:$B$126,'vehicles specifications'!BB$2)/1000*$AQ101</f>
        <v>1.7908530498183775E-6</v>
      </c>
      <c r="BC101" s="7">
        <f>SUMIFS('fuels and tailpipe emissions'!$F$10:$F$126,'fuels and tailpipe emissions'!$A$10:$A$126,'vehicles specifications'!$F101,'fuels and tailpipe emissions'!$B$10:$B$126,'vehicles specifications'!BC$2)/1000*$AQ101</f>
        <v>9.5536088059378408E-5</v>
      </c>
      <c r="BD101" s="7">
        <f>SUMIFS('fuels and tailpipe emissions'!$F$10:$F$126,'fuels and tailpipe emissions'!$A$10:$A$126,'vehicles specifications'!$F101,'fuels and tailpipe emissions'!$B$10:$B$126,'vehicles specifications'!BD$2)/1000*$AQ101</f>
        <v>4.4771326245459437E-6</v>
      </c>
      <c r="BE101" s="7">
        <f>SUMIFS('fuels and tailpipe emissions'!$F$10:$F$126,'fuels and tailpipe emissions'!$A$10:$A$126,'vehicles specifications'!$F101,'fuels and tailpipe emissions'!$B$10:$B$126,'vehicles specifications'!BE$2)/1000*$AQ101</f>
        <v>2.9458178549122205E-5</v>
      </c>
      <c r="BF101" s="7">
        <f>SUMIFS('fuels and tailpipe emissions'!$F$10:$F$126,'fuels and tailpipe emissions'!$A$10:$A$126,'vehicles specifications'!$F101,'fuels and tailpipe emissions'!$B$10:$B$126,'vehicles specifications'!BF$2)/1000*$AQ101</f>
        <v>2.077179256668873E-6</v>
      </c>
      <c r="BG101" s="7">
        <f>SUMIFS('fuels and tailpipe emissions'!$F$10:$F$126,'fuels and tailpipe emissions'!$A$10:$A$126,'vehicles specifications'!$F101,'fuels and tailpipe emissions'!$B$10:$B$126,'vehicles specifications'!BG$2)/1000*$AQ101</f>
        <v>4.232496917977328E-7</v>
      </c>
      <c r="BH101" s="7">
        <f>SUMIFS('fuels and tailpipe emissions'!$F$10:$F$126,'fuels and tailpipe emissions'!$A$10:$A$126,'vehicles specifications'!$F101,'fuels and tailpipe emissions'!$B$10:$B$126,'vehicles specifications'!BH$2)/1000*$AQ101</f>
        <v>3.4120436692617235E-6</v>
      </c>
      <c r="BI101" s="7">
        <f>SUMIFS('fuels and tailpipe emissions'!$F$10:$F$126,'fuels and tailpipe emissions'!$A$10:$A$126,'vehicles specifications'!$F101,'fuels and tailpipe emissions'!$B$10:$B$126,'vehicles specifications'!BI$2)/1000*$AQ101</f>
        <v>1.3999797497925008E-6</v>
      </c>
      <c r="BJ101" s="7">
        <f>SUMIFS('fuels and tailpipe emissions'!$F$10:$F$126,'fuels and tailpipe emissions'!$A$10:$A$126,'vehicles specifications'!$F101,'fuels and tailpipe emissions'!$B$10:$B$126,'vehicles specifications'!BJ$2)/1000*$AQ101</f>
        <v>1.0483569289143844E-6</v>
      </c>
      <c r="BK101" s="7">
        <f>SUMIFS('fuels and tailpipe emissions'!$F$10:$F$126,'fuels and tailpipe emissions'!$A$10:$A$126,'vehicles specifications'!$F101,'fuels and tailpipe emissions'!$B$10:$B$126,'vehicles specifications'!BK$2)/1000*$AQ101</f>
        <v>7.4231484407602367E-7</v>
      </c>
      <c r="BL101" s="7">
        <f>SUMIFS('fuels and tailpipe emissions'!$F$10:$F$126,'fuels and tailpipe emissions'!$A$10:$A$126,'vehicles specifications'!$F101,'fuels and tailpipe emissions'!$B$10:$B$126,'vehicles specifications'!BL$2)/1000*$AQ101</f>
        <v>4.8185349527741892E-7</v>
      </c>
      <c r="BM101" s="7">
        <f>SUMIFS('fuels and tailpipe emissions'!$F$10:$F$126,'fuels and tailpipe emissions'!$A$10:$A$126,'vehicles specifications'!$F101,'fuels and tailpipe emissions'!$B$10:$B$126,'vehicles specifications'!BM$2)/1000*$AQ101</f>
        <v>4.7534196155745371E-6</v>
      </c>
      <c r="BN101" s="7">
        <f>SUMIFS('fuels and tailpipe emissions'!$F$10:$F$126,'fuels and tailpipe emissions'!$A$10:$A$126,'vehicles specifications'!$F101,'fuels and tailpipe emissions'!$B$10:$B$126,'vehicles specifications'!BN$2)/1000*$AQ101</f>
        <v>2.4874058810266758E-6</v>
      </c>
      <c r="BO101" s="7">
        <f>SUMIFS('fuels and tailpipe emissions'!$F$10:$F$126,'fuels and tailpipe emissions'!$A$10:$A$126,'vehicles specifications'!$F101,'fuels and tailpipe emissions'!$B$10:$B$126,'vehicles specifications'!BO$2)/1000*$AQ101</f>
        <v>7.162687091961634E-8</v>
      </c>
      <c r="BP101" s="7">
        <f>SUMIFS('fuels and tailpipe emissions'!$F$10:$F$126,'fuels and tailpipe emissions'!$A$10:$A$126,'vehicles specifications'!$F101,'fuels and tailpipe emissions'!$B$10:$B$126,'vehicles specifications'!BP$2)/1000*$AQ101</f>
        <v>3.6529704169004323E-6</v>
      </c>
      <c r="BQ101" s="7">
        <f>SUMIFS('fuels and tailpipe emissions'!$F$10:$F$126,'fuels and tailpipe emissions'!$A$10:$A$126,'vehicles specifications'!$F101,'fuels and tailpipe emissions'!$B$10:$B$126,'vehicles specifications'!BQ$2)/1000*$AQ101</f>
        <v>7.1496640245217014E-6</v>
      </c>
      <c r="BR101" s="7">
        <f>SUMIFS('fuels and tailpipe emissions'!$F$10:$F$126,'fuels and tailpipe emissions'!$A$10:$A$126,'vehicles specifications'!$F101,'fuels and tailpipe emissions'!$B$10:$B$126,'vehicles specifications'!BR$2)/1000*$AQ101</f>
        <v>3.5357628099410601E-6</v>
      </c>
      <c r="BS101" s="7">
        <f>SUMIFS('fuels and tailpipe emissions'!$F$10:$F$126,'fuels and tailpipe emissions'!$A$10:$A$126,'vehicles specifications'!$F101,'fuels and tailpipe emissions'!$B$10:$B$126,'vehicles specifications'!BS$2)/1000*$AQ101</f>
        <v>1.471606620712117E-6</v>
      </c>
      <c r="BT101" s="7">
        <f>SUMIFS('fuels and tailpipe emissions'!$F$10:$F$126,'fuels and tailpipe emissions'!$A$10:$A$126,'vehicles specifications'!$F101,'fuels and tailpipe emissions'!$B$10:$B$126,'vehicles specifications'!BT$2)/1000*$AQ101</f>
        <v>1.1069607323940704E-6</v>
      </c>
      <c r="BU101" s="7">
        <f>SUMIFS('fuels and tailpipe emissions'!$F$10:$F$126,'fuels and tailpipe emissions'!$A$10:$A$126,'vehicles specifications'!$F101,'fuels and tailpipe emissions'!$B$10:$B$126,'vehicles specifications'!BU$2)/1000*$AQ101</f>
        <v>4.8836502899738398E-7</v>
      </c>
      <c r="BV101" s="7">
        <f>SUMIFS('fuels and tailpipe emissions'!$F$10:$F$126,'fuels and tailpipe emissions'!$A$10:$A$126,'vehicles specifications'!$F101,'fuels and tailpipe emissions'!$B$10:$B$126,'vehicles specifications'!BV$2)/1000*$AQ101</f>
        <v>1.4325374183923268E-7</v>
      </c>
      <c r="BW101" s="7">
        <f>SUMIFS('fuels and tailpipe emissions'!$F$10:$F$126,'fuels and tailpipe emissions'!$A$10:$A$126,'vehicles specifications'!$F101,'fuels and tailpipe emissions'!$B$10:$B$126,'vehicles specifications'!BW$2)/1000*$AQ101</f>
        <v>3.972035569178724E-7</v>
      </c>
      <c r="BX101" s="7">
        <f>SUMIFS('fuels and tailpipe emissions'!$F$10:$F$126,'fuels and tailpipe emissions'!$A$10:$A$126,'vehicles specifications'!$F101,'fuels and tailpipe emissions'!$B$10:$B$126,'vehicles specifications'!BX$2)/1000*$AQ101</f>
        <v>3.25576685998256E-8</v>
      </c>
      <c r="BY101" s="7">
        <f>SUMIFS('fuels and tailpipe emissions'!$F$10:$F$126,'fuels and tailpipe emissions'!$A$10:$A$126,'vehicles specifications'!$F101,'fuels and tailpipe emissions'!$B$10:$B$126,'vehicles specifications'!BY$2)/1000*$AQ101</f>
        <v>1.2371914067933729E-7</v>
      </c>
      <c r="BZ101" s="7">
        <f>SUMIFS('fuels and tailpipe emissions'!$F$10:$F$126,'fuels and tailpipe emissions'!$A$10:$A$126,'vehicles specifications'!$F101,'fuels and tailpipe emissions'!$B$10:$B$126,'vehicles specifications'!BZ$2)/1000*$AQ101</f>
        <v>6.5766490571647714E-7</v>
      </c>
      <c r="CA101" s="7">
        <f>SUMIFS('fuels and tailpipe emissions'!$F$10:$F$126,'fuels and tailpipe emissions'!$A$10:$A$126,'vehicles specifications'!$F101,'fuels and tailpipe emissions'!$B$10:$B$126,'vehicles specifications'!CA$2)/1000*$AQ101</f>
        <v>8.4017863498230475E-10</v>
      </c>
      <c r="CB101" s="7">
        <f>SUMIFS('fuels and tailpipe emissions'!$F$10:$F$126,'fuels and tailpipe emissions'!$A$10:$A$126,'vehicles specifications'!$F101,'fuels and tailpipe emissions'!$B$10:$B$126,'vehicles specifications'!CB$2)/1000*$AQ101</f>
        <v>7.2429192670888341E-12</v>
      </c>
      <c r="CC101" s="7">
        <f>SUMIFS('fuels and tailpipe emissions'!$F$10:$F$126,'fuels and tailpipe emissions'!$A$10:$A$126,'vehicles specifications'!$F101,'fuels and tailpipe emissions'!$B$10:$B$126,'vehicles specifications'!CC$2)/1000*$AQ101</f>
        <v>4.8286128447258891E-12</v>
      </c>
      <c r="CD101" s="7">
        <f>SUMIFS('fuels and tailpipe emissions'!$F$10:$F$126,'fuels and tailpipe emissions'!$A$10:$A$126,'vehicles specifications'!$F101,'fuels and tailpipe emissions'!$B$10:$B$126,'vehicles specifications'!CD$2)/1000*$AQ101</f>
        <v>5.2149018723039611E-8</v>
      </c>
      <c r="CE101" s="7">
        <f>SUMIFS('fuels and tailpipe emissions'!$F$10:$F$126,'fuels and tailpipe emissions'!$A$10:$A$126,'vehicles specifications'!$F101,'fuels and tailpipe emissions'!$B$10:$B$126,'vehicles specifications'!CE$2)/1000*$AQ101</f>
        <v>1.0140086973924367E-9</v>
      </c>
      <c r="CF101" s="7">
        <f>SUMIFS('fuels and tailpipe emissions'!$F$10:$F$126,'fuels and tailpipe emissions'!$A$10:$A$126,'vehicles specifications'!$F101,'fuels and tailpipe emissions'!$B$10:$B$126,'vehicles specifications'!CF$2)/1000*$AQ101</f>
        <v>3.1385983490718282E-10</v>
      </c>
      <c r="CG101" s="7">
        <f>SUMIFS('fuels and tailpipe emissions'!$F$10:$F$126,'fuels and tailpipe emissions'!$A$10:$A$126,'vehicles specifications'!$F101,'fuels and tailpipe emissions'!$B$10:$B$126,'vehicles specifications'!CG$2)/1000*$AQ101</f>
        <v>3.862890275780712E-10</v>
      </c>
      <c r="CH101" s="7">
        <f>SUMIFS('fuels and tailpipe emissions'!$F$10:$F$126,'fuels and tailpipe emissions'!$A$10:$A$126,'vehicles specifications'!$F101,'fuels and tailpipe emissions'!$B$10:$B$126,'vehicles specifications'!CH$2)/1000*$AQ101</f>
        <v>7.7257805515614221E-13</v>
      </c>
      <c r="CI101" s="7">
        <f>SUMIFS('fuels and tailpipe emissions'!$F$10:$F$126,'fuels and tailpipe emissions'!$A$10:$A$126,'vehicles specifications'!$F101,'fuels and tailpipe emissions'!$B$10:$B$126,'vehicles specifications'!CI$2)/1000*$AQ101</f>
        <v>2.1004465874557619E-10</v>
      </c>
      <c r="CJ101" s="7">
        <f>SUMIFS('fuels and tailpipe emissions'!$F$10:$F$126,'fuels and tailpipe emissions'!$A$10:$A$126,'vehicles specifications'!$F101,'fuels and tailpipe emissions'!$B$10:$B$126,'vehicles specifications'!CJ$2)/1000*$AQ101</f>
        <v>2.6074509361519809E-10</v>
      </c>
      <c r="CK101" s="38">
        <f>VLOOKUP($B101,'abrasion emissions'!$O$7:$R$36,2,FALSE)</f>
        <v>0.5</v>
      </c>
      <c r="CL101" s="38">
        <f>VLOOKUP($B101,'abrasion emissions'!$O$7:$R$36,3,FALSE)</f>
        <v>0.5</v>
      </c>
      <c r="CM101" s="38">
        <f>VLOOKUP($B101,'abrasion emissions'!$O$7:$R$36,4,FALSE)</f>
        <v>0</v>
      </c>
      <c r="CN101" s="7">
        <f>((SUMIFS('abrasion emissions'!$M$7:$M$34,'abrasion emissions'!$I$7:$I$34,"PM 2.5",'abrasion emissions'!$J$7:$J$34,"urban",'abrasion emissions'!$K$7:$K$34,"Tyre",'abrasion emissions'!$L$7:$L$34,"b")*POWER(('vehicles specifications'!$Q101/1000),(1/SUMIFS('abrasion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specifications'!$P101/1000),(1/SUMIFS('abrasion emissions'!$M$7:$M$34,'abrasion emissions'!$I$7:$I$34,"PM 10",'abrasion emissions'!$J$7:$J$34,"urban",'abrasion emissions'!$K$7:$K$34,"Tyre",'abrasion emissions'!$L$7:$L$34,"c")))))/1000000</f>
        <v>6.4929773186288809E-6</v>
      </c>
      <c r="CO101" s="7">
        <f>((SUMIFS('abrasion emissions'!$M$7:$M$34,'abrasion emissions'!$I$7:$I$34,"PM 2.5",'abrasion emissions'!$J$7:$J$34,"rural",'abrasion emissions'!$K$7:$K$34,"Tyre",'abrasion emissions'!$L$7:$L$34,"b")*POWER(('vehicles specifications'!$Q101/1000),(1/SUMIFS('abrasion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specifications'!$P101/1000),(1/SUMIFS('abrasion emissions'!$M$7:$M$34,'abrasion emissions'!$I$7:$I$34,"PM 10",'abrasion emissions'!$J$7:$J$34,"rural",'abrasion emissions'!$K$7:$K$34,"Tyre",'abrasion emissions'!$L$7:$L$34,"c")))))/1000000</f>
        <v>5.056930066723435E-6</v>
      </c>
      <c r="CP101" s="7">
        <f>((SUMIFS('abrasion emissions'!$M$7:$M$34,'abrasion emissions'!$I$7:$I$34,"PM 2.5",'abrasion emissions'!$J$7:$J$34,"motorway",'abrasion emissions'!$K$7:$K$34,"Tyre",'abrasion emissions'!$L$7:$L$34,"b")*POWER(('vehicles specifications'!$Q101/1000),(1/SUMIFS('abrasion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specifications'!$P101/1000),(1/SUMIFS('abrasion emissions'!$M$7:$M$34,'abrasion emissions'!$I$7:$I$34,"PM 10",'abrasion emissions'!$J$7:$J$34,"motorway",'abrasion emissions'!$K$7:$K$34,"Tyre",'abrasion emissions'!$L$7:$L$34,"c")))))/1000000</f>
        <v>4.3188545562041961E-6</v>
      </c>
      <c r="CQ101" s="7">
        <f>((SUMIFS('abrasion emissions'!$M$7:$M$34,'abrasion emissions'!$I$7:$I$34,"PM 2.5",'abrasion emissions'!$J$7:$J$34,"urban",'abrasion emissions'!$K$7:$K$34,"Brake",'abrasion emissions'!$L$7:$L$34,"b")*POWER(('vehicles specifications'!$Q101/1000),(1/SUMIFS('abrasion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specifications'!$P101/1000),(1/SUMIFS('abrasion emissions'!$M$7:$M$34,'abrasion emissions'!$I$7:$I$34,"PM 10",'abrasion emissions'!$J$7:$J$34,"urban",'abrasion emissions'!$K$7:$K$34,"Brake",'abrasion emissions'!$L$7:$L$34,"c")))))/1000000</f>
        <v>6.23696553044657E-6</v>
      </c>
      <c r="CR101" s="7">
        <f>((SUMIFS('abrasion emissions'!$M$7:$M$34,'abrasion emissions'!$I$7:$I$34,"PM 2.5",'abrasion emissions'!$J$7:$J$34,"rural",'abrasion emissions'!$K$7:$K$34,"Brake",'abrasion emissions'!$L$7:$L$34,"b")*POWER(('vehicles specifications'!$Q101/1000),(1/SUMIFS('abrasion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specifications'!$P101/1000),(1/SUMIFS('abrasion emissions'!$M$7:$M$34,'abrasion emissions'!$I$7:$I$34,"PM 10",'abrasion emissions'!$J$7:$J$34,"rural",'abrasion emissions'!$K$7:$K$34,"Brake",'abrasion emissions'!$L$7:$L$34,"c")))))/1000000</f>
        <v>2.0371798949652502E-6</v>
      </c>
      <c r="CS101" s="7">
        <f>((SUMIFS('abrasion emissions'!$M$7:$M$34,'abrasion emissions'!$I$7:$I$34,"PM 2.5",'abrasion emissions'!$J$7:$J$34,"motorway",'abrasion emissions'!$K$7:$K$34,"Brake",'abrasion emissions'!$L$7:$L$34,"b")*POWER(('vehicles specifications'!$Q101/1000),(1/SUMIFS('abrasion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specifications'!$P101/1000),(1/SUMIFS('abrasion emissions'!$M$7:$M$34,'abrasion emissions'!$I$7:$I$34,"PM 10",'abrasion emissions'!$J$7:$J$34,"motorway",'abrasion emissions'!$K$7:$K$34,"Brake",'abrasion emissions'!$L$7:$L$34,"c")))))/1000000</f>
        <v>3.8132816036809112E-7</v>
      </c>
      <c r="CT101" s="7">
        <f>((SUMIFS('abrasion emissions'!$M$7:$M$38,'abrasion emissions'!$I$7:$I$38,"PM 2.5",'abrasion emissions'!$K$7:$K$38,"Re-susp.",'abrasion emissions'!$L$7:$L$38,"b")*POWER(('vehicles specifications'!$Q101/1000),(1/SUMIFS('abrasion emissions'!$M$7:$M$38,'abrasion emissions'!$I$7:$I$38,"PM 2.5",'abrasion emissions'!$K$7:$K$38,"Re-susp.",'abrasion emissions'!$L$7:$L$38,"c"))))+
(SUMIFS('abrasion emissions'!$M$7:$M$38,'abrasion emissions'!$I$7:$I$38,"PM 10",'abrasion emissions'!$K$7:$K$38,"Re-susp.",'abrasion emissions'!$L$7:$L$38,"b")*POWER(('vehicles specifications'!$Q101/1000),(1/SUMIFS('abrasion emissions'!$M$7:$M$38,'abrasion emissions'!$I$7:$I$38,"PM 10",'abrasion emissions'!$K$7:$K$38,"Re-susp.",'abrasion emissions'!$L$7:$L$38,"c")))))/1000000</f>
        <v>3.9822429344916161E-6</v>
      </c>
      <c r="CU101" s="7">
        <f>((SUMIFS('abrasion emissions'!$M$7:$M$38,'abrasion emissions'!$I$7:$I$38,"PM 2.5",'abrasion emissions'!$K$7:$K$38,"Road",'abrasion emissions'!$L$7:$L$38,"b")*POWER(('vehicles specifications'!$Q101/1000),(1/SUMIFS('abrasion emissions'!$M$7:$M$38,'abrasion emissions'!$I$7:$I$38,"PM 2.5",'abrasion emissions'!$K$7:$K$38,"Road",'abrasion emissions'!$L$7:$L$38,"c"))))+
(SUMIFS('abrasion emissions'!$M$7:$M$38,'abrasion emissions'!$I$7:$I$38,"PM 10",'abrasion emissions'!$K$7:$K$38,"Road",'abrasion emissions'!$L$7:$L$38,"b")*POWER(('vehicles specifications'!$Q101/1000),(1/SUMIFS('abrasion emissions'!$M$7:$M$38,'abrasion emissions'!$I$7:$I$38,"PM 10",'abrasion emissions'!$K$7:$K$38,"Road",'abrasion emissions'!$L$7:$L$38,"c")))))/1000000+CT101</f>
        <v>7.5947471854411634E-6</v>
      </c>
      <c r="CV101" s="7">
        <f>(CK101*CN101)+(CL101*CO101)+(CM101*CP101)</f>
        <v>5.7749536926761575E-6</v>
      </c>
      <c r="CW101" s="7">
        <f>(CK101*CQ101)+(CL101*CR101)+(CM101*CS101)</f>
        <v>4.1370727127059103E-6</v>
      </c>
    </row>
    <row r="102">
      <c r="A102" t="str">
        <f>B102&amp;" - "&amp;D102&amp;" - "&amp;IF(I102&lt;&gt;"",I102&amp;" - "&amp;E102,E102)</f>
        <v>Motorbike, gasoline, 4-11kW, EURO-4 - 2016 - CH</v>
      </c>
      <c r="B102" t="inlineStr">
        <is>
          <t>Motorbike, gasoline, 4-11kW, EURO-4</t>
        </is>
      </c>
      <c r="D102" s="18" t="n">
        <v>2016</v>
      </c>
      <c r="E102" t="inlineStr">
        <is>
          <t>CH</t>
        </is>
      </c>
      <c r="F102" t="inlineStr">
        <is>
          <t>EURO-4</t>
        </is>
      </c>
      <c r="G102" t="inlineStr">
        <is>
          <t>vkm</t>
        </is>
      </c>
      <c r="H102" t="inlineStr">
        <is>
          <t>ICEV-p</t>
        </is>
      </c>
      <c r="J102" t="n">
        <v>25000</v>
      </c>
      <c r="K102" t="n">
        <v>1776</v>
      </c>
      <c r="L102" s="2">
        <f>J102/K102</f>
        <v>14.076576576576576</v>
      </c>
      <c r="M102" t="n">
        <v>1.1</v>
      </c>
      <c r="N102" t="n">
        <v>75</v>
      </c>
      <c r="O102" t="n">
        <v>6</v>
      </c>
      <c r="P102" s="2">
        <f>SUM(U102,V102,W102,AC102,AF102,AH102)</f>
        <v>120.308682371765</v>
      </c>
      <c r="Q102" s="2">
        <f>P102+(M102*N102)+O102</f>
        <v>208.808682371765</v>
      </c>
      <c r="R102" t="n">
        <v>9</v>
      </c>
      <c r="S102" s="2" t="n">
        <v>65.43382696032849</v>
      </c>
      <c r="T102" s="1" t="n">
        <v>-0.02</v>
      </c>
      <c r="U102" s="2">
        <f>S102*(1-T102)</f>
        <v>66.742503499535061</v>
      </c>
      <c r="V102" s="2">
        <f>0.7*S102</f>
        <v>45.803678872229938</v>
      </c>
      <c r="W102" s="2" t="n">
        <v>0</v>
      </c>
      <c r="X102" s="3" t="n">
        <v>0</v>
      </c>
      <c r="Y102" s="1" t="n">
        <v>0.8</v>
      </c>
      <c r="Z102" s="3">
        <f>Y102*X102</f>
        <v>0</v>
      </c>
      <c r="AA102" s="3">
        <f>IF(I102&lt;&gt;"",X102/INDEX('energy battery'!$B$3:$D$6,MATCH('vehicles specifications'!$D102,'energy battery'!$A$3:$A$6,0),MATCH('vehicles specifications'!$I102,'energy battery'!$B$2:$D$2,0)),"")</f>
        <v/>
      </c>
      <c r="AB102" s="3">
        <f>IF(AA102&lt;&gt;"",0.3*AA102,"")</f>
        <v/>
      </c>
      <c r="AC102" s="3">
        <f>IF(AA102&lt;&gt;"",AB102+AA102,"")</f>
        <v/>
      </c>
      <c r="AD102" s="3" t="n">
        <v>0</v>
      </c>
      <c r="AE102" s="3" t="n">
        <v>9</v>
      </c>
      <c r="AF102">
        <f>AE102*'fuels and tailpipe emissions'!$B$3</f>
        <v>6.75</v>
      </c>
      <c r="AG102" s="2">
        <f>AF102*'fuels and tailpipe emissions'!$C$3</f>
        <v>79.875</v>
      </c>
      <c r="AH102" s="3">
        <f>0.15*AF102</f>
        <v>1.0125</v>
      </c>
      <c r="AI102" s="3" t="n">
        <v>0</v>
      </c>
      <c r="AJ102" s="3" t="n">
        <v>0</v>
      </c>
      <c r="AK102">
        <f>J102/25000</f>
        <v>1</v>
      </c>
      <c r="AL102">
        <f>0.000537/1000*Q102</f>
        <v>1.1213026243363781E-4</v>
      </c>
      <c r="AM102" t="n">
        <v>0.00129</v>
      </c>
      <c r="AN102" s="2">
        <f>U102</f>
        <v>66.742503499535061</v>
      </c>
      <c r="AO102" s="2">
        <f>SUM(V102:W102)</f>
        <v>45.803678872229938</v>
      </c>
      <c r="AP102" s="2">
        <f>AC102</f>
        <v/>
      </c>
      <c r="AQ102" s="6" t="n">
        <v>1.01592101931114</v>
      </c>
      <c r="AR102" s="20" t="n">
        <v>0.012</v>
      </c>
      <c r="AS102" s="6">
        <f>IF($H102="BEV",SUMPRODUCT(#REF!,#REF!),"")</f>
        <v/>
      </c>
      <c r="AT102" s="2">
        <f>SUM(Z102,AG102)/(SUM(AQ102,AS102)/3.6)</f>
        <v>283.0436564792974</v>
      </c>
      <c r="AU102" s="5">
        <f>IF($H102="ICEV-p",$AQ102/('fuels and tailpipe emissions'!$C$3*3.6)*'fuels and tailpipe emissions'!$D$3,"")*(1-AR102)</f>
        <v>7.3983852033552483E-2</v>
      </c>
      <c r="AV102" s="5">
        <f>IF($H102="ICEV-p",$AQ102/('fuels and tailpipe emissions'!$C$3*3.6)*'fuels and tailpipe emissions'!$D$3,"")*AR102</f>
        <v>8.9858929595407883E-4</v>
      </c>
      <c r="AW102" s="7">
        <f>IF($H102="ICEV-p",$AQ102/('fuels and tailpipe emissions'!$C$3*3.6)*'fuels and tailpipe emissions'!$E$3,"")</f>
        <v>3.8156658002296336E-7</v>
      </c>
      <c r="AX102" s="7">
        <f>SUMIFS('fuels and tailpipe emissions'!$F$10:$F$126,'fuels and tailpipe emissions'!$A$10:$A$126,'vehicles specifications'!$F102,'fuels and tailpipe emissions'!$B$10:$B$126,'vehicles specifications'!AX$2)/1000*$AQ102</f>
        <v>5.1657452836225586E-6</v>
      </c>
      <c r="AY102" s="7">
        <f>SUMIFS('fuels and tailpipe emissions'!$F$10:$F$126,'fuels and tailpipe emissions'!$A$10:$A$126,'vehicles specifications'!$F102,'fuels and tailpipe emissions'!$B$10:$B$126,'vehicles specifications'!AY$2)/1000*$AQ102</f>
        <v>5.6307019006388424E-5</v>
      </c>
      <c r="AZ102" s="7">
        <f>SUMIFS('fuels and tailpipe emissions'!$F$10:$F$126,'fuels and tailpipe emissions'!$A$10:$A$126,'vehicles specifications'!$F102,'fuels and tailpipe emissions'!$B$10:$B$126,'vehicles specifications'!AZ$2)/1000*$AQ102</f>
        <v>8.2177593124772407E-4</v>
      </c>
      <c r="BA102" s="7">
        <f>SUMIFS('fuels and tailpipe emissions'!$F$10:$F$126,'fuels and tailpipe emissions'!$A$10:$A$126,'vehicles specifications'!$F102,'fuels and tailpipe emissions'!$B$10:$B$126,'vehicles specifications'!BA$2)/1000*$AQ102</f>
        <v>2.0109649645138723E-6</v>
      </c>
      <c r="BB102" s="7">
        <f>SUMIFS('fuels and tailpipe emissions'!$F$10:$F$126,'fuels and tailpipe emissions'!$A$10:$A$126,'vehicles specifications'!$F102,'fuels and tailpipe emissions'!$B$10:$B$126,'vehicles specifications'!BB$2)/1000*$AQ102</f>
        <v>2.0109649645138723E-6</v>
      </c>
      <c r="BC102" s="7">
        <f>SUMIFS('fuels and tailpipe emissions'!$F$10:$F$126,'fuels and tailpipe emissions'!$A$10:$A$126,'vehicles specifications'!$F102,'fuels and tailpipe emissions'!$B$10:$B$126,'vehicles specifications'!BC$2)/1000*$AQ102</f>
        <v>2.7297678240826657E-5</v>
      </c>
      <c r="BD102" s="7">
        <f>SUMIFS('fuels and tailpipe emissions'!$F$10:$F$126,'fuels and tailpipe emissions'!$A$10:$A$126,'vehicles specifications'!$F102,'fuels and tailpipe emissions'!$B$10:$B$126,'vehicles specifications'!BD$2)/1000*$AQ102</f>
        <v>5.0274124112846799E-6</v>
      </c>
      <c r="BE102" s="7">
        <f>SUMIFS('fuels and tailpipe emissions'!$F$10:$F$126,'fuels and tailpipe emissions'!$A$10:$A$126,'vehicles specifications'!$F102,'fuels and tailpipe emissions'!$B$10:$B$126,'vehicles specifications'!BE$2)/1000*$AQ102</f>
        <v>4.1657453944934862E-5</v>
      </c>
      <c r="BF102" s="7">
        <f>SUMIFS('fuels and tailpipe emissions'!$F$10:$F$126,'fuels and tailpipe emissions'!$A$10:$A$126,'vehicles specifications'!$F102,'fuels and tailpipe emissions'!$B$10:$B$126,'vehicles specifications'!BF$2)/1000*$AQ102</f>
        <v>2.9373845730402788E-6</v>
      </c>
      <c r="BG102" s="7">
        <f>SUMIFS('fuels and tailpipe emissions'!$F$10:$F$126,'fuels and tailpipe emissions'!$A$10:$A$126,'vehicles specifications'!$F102,'fuels and tailpipe emissions'!$B$10:$B$126,'vehicles specifications'!BG$2)/1000*$AQ102</f>
        <v>5.9852663713986867E-7</v>
      </c>
      <c r="BH102" s="7">
        <f>SUMIFS('fuels and tailpipe emissions'!$F$10:$F$126,'fuels and tailpipe emissions'!$A$10:$A$126,'vehicles specifications'!$F102,'fuels and tailpipe emissions'!$B$10:$B$126,'vehicles specifications'!BH$2)/1000*$AQ102</f>
        <v>4.8250455055583258E-6</v>
      </c>
      <c r="BI102" s="7">
        <f>SUMIFS('fuels and tailpipe emissions'!$F$10:$F$126,'fuels and tailpipe emissions'!$A$10:$A$126,'vehicles specifications'!$F102,'fuels and tailpipe emissions'!$B$10:$B$126,'vehicles specifications'!BI$2)/1000*$AQ102</f>
        <v>1.9797419536164887E-6</v>
      </c>
      <c r="BJ102" s="7">
        <f>SUMIFS('fuels and tailpipe emissions'!$F$10:$F$126,'fuels and tailpipe emissions'!$A$10:$A$126,'vehicles specifications'!$F102,'fuels and tailpipe emissions'!$B$10:$B$126,'vehicles specifications'!BJ$2)/1000*$AQ102</f>
        <v>1.4825044396849054E-6</v>
      </c>
      <c r="BK102" s="7">
        <f>SUMIFS('fuels and tailpipe emissions'!$F$10:$F$126,'fuels and tailpipe emissions'!$A$10:$A$126,'vehicles specifications'!$F102,'fuels and tailpipe emissions'!$B$10:$B$126,'vehicles specifications'!BK$2)/1000*$AQ102</f>
        <v>1.0497236405222313E-6</v>
      </c>
      <c r="BL102" s="7">
        <f>SUMIFS('fuels and tailpipe emissions'!$F$10:$F$126,'fuels and tailpipe emissions'!$A$10:$A$126,'vehicles specifications'!$F102,'fuels and tailpipe emissions'!$B$10:$B$126,'vehicles specifications'!BL$2)/1000*$AQ102</f>
        <v>6.8139955612846592E-7</v>
      </c>
      <c r="BM102" s="7">
        <f>SUMIFS('fuels and tailpipe emissions'!$F$10:$F$126,'fuels and tailpipe emissions'!$A$10:$A$126,'vehicles specifications'!$F102,'fuels and tailpipe emissions'!$B$10:$B$126,'vehicles specifications'!BM$2)/1000*$AQ102</f>
        <v>6.7219145401862166E-6</v>
      </c>
      <c r="BN102" s="7">
        <f>SUMIFS('fuels and tailpipe emissions'!$F$10:$F$126,'fuels and tailpipe emissions'!$A$10:$A$126,'vehicles specifications'!$F102,'fuels and tailpipe emissions'!$B$10:$B$126,'vehicles specifications'!BN$2)/1000*$AQ102</f>
        <v>3.5174950059604585E-6</v>
      </c>
      <c r="BO102" s="7">
        <f>SUMIFS('fuels and tailpipe emissions'!$F$10:$F$126,'fuels and tailpipe emissions'!$A$10:$A$126,'vehicles specifications'!$F102,'fuels and tailpipe emissions'!$B$10:$B$126,'vehicles specifications'!BO$2)/1000*$AQ102</f>
        <v>1.0128912320828547E-7</v>
      </c>
      <c r="BP102" s="7">
        <f>SUMIFS('fuels and tailpipe emissions'!$F$10:$F$126,'fuels and tailpipe emissions'!$A$10:$A$126,'vehicles specifications'!$F102,'fuels and tailpipe emissions'!$B$10:$B$126,'vehicles specifications'!BP$2)/1000*$AQ102</f>
        <v>5.1657452836225586E-6</v>
      </c>
      <c r="BQ102" s="7">
        <f>SUMIFS('fuels and tailpipe emissions'!$F$10:$F$126,'fuels and tailpipe emissions'!$A$10:$A$126,'vehicles specifications'!$F102,'fuels and tailpipe emissions'!$B$10:$B$126,'vehicles specifications'!BQ$2)/1000*$AQ102</f>
        <v>1.0110496116608857E-5</v>
      </c>
      <c r="BR102" s="7">
        <f>SUMIFS('fuels and tailpipe emissions'!$F$10:$F$126,'fuels and tailpipe emissions'!$A$10:$A$126,'vehicles specifications'!$F102,'fuels and tailpipe emissions'!$B$10:$B$126,'vehicles specifications'!BR$2)/1000*$AQ102</f>
        <v>4.9999994456453646E-6</v>
      </c>
      <c r="BS102" s="7">
        <f>SUMIFS('fuels and tailpipe emissions'!$F$10:$F$126,'fuels and tailpipe emissions'!$A$10:$A$126,'vehicles specifications'!$F102,'fuels and tailpipe emissions'!$B$10:$B$126,'vehicles specifications'!BS$2)/1000*$AQ102</f>
        <v>2.0810310768247739E-6</v>
      </c>
      <c r="BT102" s="7">
        <f>SUMIFS('fuels and tailpipe emissions'!$F$10:$F$126,'fuels and tailpipe emissions'!$A$10:$A$126,'vehicles specifications'!$F102,'fuels and tailpipe emissions'!$B$10:$B$126,'vehicles specifications'!BT$2)/1000*$AQ102</f>
        <v>1.5653773586735031E-6</v>
      </c>
      <c r="BU102" s="7">
        <f>SUMIFS('fuels and tailpipe emissions'!$F$10:$F$126,'fuels and tailpipe emissions'!$A$10:$A$126,'vehicles specifications'!$F102,'fuels and tailpipe emissions'!$B$10:$B$126,'vehicles specifications'!BU$2)/1000*$AQ102</f>
        <v>6.9060765823831001E-7</v>
      </c>
      <c r="BV102" s="7">
        <f>SUMIFS('fuels and tailpipe emissions'!$F$10:$F$126,'fuels and tailpipe emissions'!$A$10:$A$126,'vehicles specifications'!$F102,'fuels and tailpipe emissions'!$B$10:$B$126,'vehicles specifications'!BV$2)/1000*$AQ102</f>
        <v>2.0257824641657093E-7</v>
      </c>
      <c r="BW102" s="7">
        <f>SUMIFS('fuels and tailpipe emissions'!$F$10:$F$126,'fuels and tailpipe emissions'!$A$10:$A$126,'vehicles specifications'!$F102,'fuels and tailpipe emissions'!$B$10:$B$126,'vehicles specifications'!BW$2)/1000*$AQ102</f>
        <v>5.616942287004922E-7</v>
      </c>
      <c r="BX102" s="7">
        <f>SUMIFS('fuels and tailpipe emissions'!$F$10:$F$126,'fuels and tailpipe emissions'!$A$10:$A$126,'vehicles specifications'!$F102,'fuels and tailpipe emissions'!$B$10:$B$126,'vehicles specifications'!BX$2)/1000*$AQ102</f>
        <v>0</v>
      </c>
      <c r="BY102" s="7">
        <f>SUMIFS('fuels and tailpipe emissions'!$F$10:$F$126,'fuels and tailpipe emissions'!$A$10:$A$126,'vehicles specifications'!$F102,'fuels and tailpipe emissions'!$B$10:$B$126,'vehicles specifications'!BY$2)/1000*$AQ102</f>
        <v>1.7495394008703853E-7</v>
      </c>
      <c r="BZ102" s="7">
        <f>SUMIFS('fuels and tailpipe emissions'!$F$10:$F$126,'fuels and tailpipe emissions'!$A$10:$A$126,'vehicles specifications'!$F102,'fuels and tailpipe emissions'!$B$10:$B$126,'vehicles specifications'!BZ$2)/1000*$AQ102</f>
        <v>9.3001831309425754E-7</v>
      </c>
      <c r="CA102" s="7">
        <f>SUMIFS('fuels and tailpipe emissions'!$F$10:$F$126,'fuels and tailpipe emissions'!$A$10:$A$126,'vehicles specifications'!$F102,'fuels and tailpipe emissions'!$B$10:$B$126,'vehicles specifications'!CA$2)/1000*$AQ102</f>
        <v>8.3186003463594531E-10</v>
      </c>
      <c r="CB102" s="7">
        <f>SUMIFS('fuels and tailpipe emissions'!$F$10:$F$126,'fuels and tailpipe emissions'!$A$10:$A$126,'vehicles specifications'!$F102,'fuels and tailpipe emissions'!$B$10:$B$126,'vehicles specifications'!CB$2)/1000*$AQ102</f>
        <v>7.1712071951374601E-12</v>
      </c>
      <c r="CC102" s="7">
        <f>SUMIFS('fuels and tailpipe emissions'!$F$10:$F$126,'fuels and tailpipe emissions'!$A$10:$A$126,'vehicles specifications'!$F102,'fuels and tailpipe emissions'!$B$10:$B$126,'vehicles specifications'!CC$2)/1000*$AQ102</f>
        <v>4.7808047967583062E-12</v>
      </c>
      <c r="CD102" s="7">
        <f>SUMIFS('fuels and tailpipe emissions'!$F$10:$F$126,'fuels and tailpipe emissions'!$A$10:$A$126,'vehicles specifications'!$F102,'fuels and tailpipe emissions'!$B$10:$B$126,'vehicles specifications'!CD$2)/1000*$AQ102</f>
        <v>5.1632691804989713E-8</v>
      </c>
      <c r="CE102" s="7">
        <f>SUMIFS('fuels and tailpipe emissions'!$F$10:$F$126,'fuels and tailpipe emissions'!$A$10:$A$126,'vehicles specifications'!$F102,'fuels and tailpipe emissions'!$B$10:$B$126,'vehicles specifications'!CE$2)/1000*$AQ102</f>
        <v>1.0039690073192443E-9</v>
      </c>
      <c r="CF102" s="7">
        <f>SUMIFS('fuels and tailpipe emissions'!$F$10:$F$126,'fuels and tailpipe emissions'!$A$10:$A$126,'vehicles specifications'!$F102,'fuels and tailpipe emissions'!$B$10:$B$126,'vehicles specifications'!CF$2)/1000*$AQ102</f>
        <v>3.1075231178928993E-10</v>
      </c>
      <c r="CG102" s="7">
        <f>SUMIFS('fuels and tailpipe emissions'!$F$10:$F$126,'fuels and tailpipe emissions'!$A$10:$A$126,'vehicles specifications'!$F102,'fuels and tailpipe emissions'!$B$10:$B$126,'vehicles specifications'!CG$2)/1000*$AQ102</f>
        <v>3.8246438374066455E-10</v>
      </c>
      <c r="CH102" s="7">
        <f>SUMIFS('fuels and tailpipe emissions'!$F$10:$F$126,'fuels and tailpipe emissions'!$A$10:$A$126,'vehicles specifications'!$F102,'fuels and tailpipe emissions'!$B$10:$B$126,'vehicles specifications'!CH$2)/1000*$AQ102</f>
        <v>7.6492876748132895E-13</v>
      </c>
      <c r="CI102" s="7">
        <f>SUMIFS('fuels and tailpipe emissions'!$F$10:$F$126,'fuels and tailpipe emissions'!$A$10:$A$126,'vehicles specifications'!$F102,'fuels and tailpipe emissions'!$B$10:$B$126,'vehicles specifications'!CI$2)/1000*$AQ102</f>
        <v>2.0796500865898633E-10</v>
      </c>
      <c r="CJ102" s="7">
        <f>SUMIFS('fuels and tailpipe emissions'!$F$10:$F$126,'fuels and tailpipe emissions'!$A$10:$A$126,'vehicles specifications'!$F102,'fuels and tailpipe emissions'!$B$10:$B$126,'vehicles specifications'!CJ$2)/1000*$AQ102</f>
        <v>2.5816345902494862E-10</v>
      </c>
      <c r="CK102" s="38">
        <f>VLOOKUP($B102,'abrasion emissions'!$O$7:$R$36,2,FALSE)</f>
        <v>0.5</v>
      </c>
      <c r="CL102" s="38">
        <f>VLOOKUP($B102,'abrasion emissions'!$O$7:$R$36,3,FALSE)</f>
        <v>0.5</v>
      </c>
      <c r="CM102" s="38">
        <f>VLOOKUP($B102,'abrasion emissions'!$O$7:$R$36,4,FALSE)</f>
        <v>0</v>
      </c>
      <c r="CN102" s="7">
        <f>((SUMIFS('abrasion emissions'!$M$7:$M$34,'abrasion emissions'!$I$7:$I$34,"PM 2.5",'abrasion emissions'!$J$7:$J$34,"urban",'abrasion emissions'!$K$7:$K$34,"Tyre",'abrasion emissions'!$L$7:$L$34,"b")*POWER(('vehicles specifications'!$Q102/1000),(1/SUMIFS('abrasion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specifications'!$P102/1000),(1/SUMIFS('abrasion emissions'!$M$7:$M$34,'abrasion emissions'!$I$7:$I$34,"PM 10",'abrasion emissions'!$J$7:$J$34,"urban",'abrasion emissions'!$K$7:$K$34,"Tyre",'abrasion emissions'!$L$7:$L$34,"c")))))/1000000</f>
        <v>6.4597488512953998E-6</v>
      </c>
      <c r="CO102" s="7">
        <f>((SUMIFS('abrasion emissions'!$M$7:$M$34,'abrasion emissions'!$I$7:$I$34,"PM 2.5",'abrasion emissions'!$J$7:$J$34,"rural",'abrasion emissions'!$K$7:$K$34,"Tyre",'abrasion emissions'!$L$7:$L$34,"b")*POWER(('vehicles specifications'!$Q102/1000),(1/SUMIFS('abrasion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specifications'!$P102/1000),(1/SUMIFS('abrasion emissions'!$M$7:$M$34,'abrasion emissions'!$I$7:$I$34,"PM 10",'abrasion emissions'!$J$7:$J$34,"rural",'abrasion emissions'!$K$7:$K$34,"Tyre",'abrasion emissions'!$L$7:$L$34,"c")))))/1000000</f>
        <v>5.0310711009675511E-6</v>
      </c>
      <c r="CP102" s="7">
        <f>((SUMIFS('abrasion emissions'!$M$7:$M$34,'abrasion emissions'!$I$7:$I$34,"PM 2.5",'abrasion emissions'!$J$7:$J$34,"motorway",'abrasion emissions'!$K$7:$K$34,"Tyre",'abrasion emissions'!$L$7:$L$34,"b")*POWER(('vehicles specifications'!$Q102/1000),(1/SUMIFS('abrasion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specifications'!$P102/1000),(1/SUMIFS('abrasion emissions'!$M$7:$M$34,'abrasion emissions'!$I$7:$I$34,"PM 10",'abrasion emissions'!$J$7:$J$34,"motorway",'abrasion emissions'!$K$7:$K$34,"Tyre",'abrasion emissions'!$L$7:$L$34,"c")))))/1000000</f>
        <v>4.2968209484498459E-6</v>
      </c>
      <c r="CQ102" s="7">
        <f>((SUMIFS('abrasion emissions'!$M$7:$M$34,'abrasion emissions'!$I$7:$I$34,"PM 2.5",'abrasion emissions'!$J$7:$J$34,"urban",'abrasion emissions'!$K$7:$K$34,"Brake",'abrasion emissions'!$L$7:$L$34,"b")*POWER(('vehicles specifications'!$Q102/1000),(1/SUMIFS('abrasion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specifications'!$P102/1000),(1/SUMIFS('abrasion emissions'!$M$7:$M$34,'abrasion emissions'!$I$7:$I$34,"PM 10",'abrasion emissions'!$J$7:$J$34,"urban",'abrasion emissions'!$K$7:$K$34,"Brake",'abrasion emissions'!$L$7:$L$34,"c")))))/1000000</f>
        <v>6.2013651123062881E-6</v>
      </c>
      <c r="CR102" s="7">
        <f>((SUMIFS('abrasion emissions'!$M$7:$M$34,'abrasion emissions'!$I$7:$I$34,"PM 2.5",'abrasion emissions'!$J$7:$J$34,"rural",'abrasion emissions'!$K$7:$K$34,"Brake",'abrasion emissions'!$L$7:$L$34,"b")*POWER(('vehicles specifications'!$Q102/1000),(1/SUMIFS('abrasion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specifications'!$P102/1000),(1/SUMIFS('abrasion emissions'!$M$7:$M$34,'abrasion emissions'!$I$7:$I$34,"PM 10",'abrasion emissions'!$J$7:$J$34,"rural",'abrasion emissions'!$K$7:$K$34,"Brake",'abrasion emissions'!$L$7:$L$34,"c")))))/1000000</f>
        <v>2.0225100925216942E-6</v>
      </c>
      <c r="CS102" s="7">
        <f>((SUMIFS('abrasion emissions'!$M$7:$M$34,'abrasion emissions'!$I$7:$I$34,"PM 2.5",'abrasion emissions'!$J$7:$J$34,"motorway",'abrasion emissions'!$K$7:$K$34,"Brake",'abrasion emissions'!$L$7:$L$34,"b")*POWER(('vehicles specifications'!$Q102/1000),(1/SUMIFS('abrasion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specifications'!$P102/1000),(1/SUMIFS('abrasion emissions'!$M$7:$M$34,'abrasion emissions'!$I$7:$I$34,"PM 10",'abrasion emissions'!$J$7:$J$34,"motorway",'abrasion emissions'!$K$7:$K$34,"Brake",'abrasion emissions'!$L$7:$L$34,"c")))))/1000000</f>
        <v>3.781801885900582E-7</v>
      </c>
      <c r="CT102" s="7">
        <f>((SUMIFS('abrasion emissions'!$M$7:$M$38,'abrasion emissions'!$I$7:$I$38,"PM 2.5",'abrasion emissions'!$K$7:$K$38,"Re-susp.",'abrasion emissions'!$L$7:$L$38,"b")*POWER(('vehicles specifications'!$Q102/1000),(1/SUMIFS('abrasion emissions'!$M$7:$M$38,'abrasion emissions'!$I$7:$I$38,"PM 2.5",'abrasion emissions'!$K$7:$K$38,"Re-susp.",'abrasion emissions'!$L$7:$L$38,"c"))))+
(SUMIFS('abrasion emissions'!$M$7:$M$38,'abrasion emissions'!$I$7:$I$38,"PM 10",'abrasion emissions'!$K$7:$K$38,"Re-susp.",'abrasion emissions'!$L$7:$L$38,"b")*POWER(('vehicles specifications'!$Q102/1000),(1/SUMIFS('abrasion emissions'!$M$7:$M$38,'abrasion emissions'!$I$7:$I$38,"PM 10",'abrasion emissions'!$K$7:$K$38,"Re-susp.",'abrasion emissions'!$L$7:$L$38,"c")))))/1000000</f>
        <v>3.9485118123653546E-6</v>
      </c>
      <c r="CU102" s="7">
        <f>((SUMIFS('abrasion emissions'!$M$7:$M$38,'abrasion emissions'!$I$7:$I$38,"PM 2.5",'abrasion emissions'!$K$7:$K$38,"Road",'abrasion emissions'!$L$7:$L$38,"b")*POWER(('vehicles specifications'!$Q102/1000),(1/SUMIFS('abrasion emissions'!$M$7:$M$38,'abrasion emissions'!$I$7:$I$38,"PM 2.5",'abrasion emissions'!$K$7:$K$38,"Road",'abrasion emissions'!$L$7:$L$38,"c"))))+
(SUMIFS('abrasion emissions'!$M$7:$M$38,'abrasion emissions'!$I$7:$I$38,"PM 10",'abrasion emissions'!$K$7:$K$38,"Road",'abrasion emissions'!$L$7:$L$38,"b")*POWER(('vehicles specifications'!$Q102/1000),(1/SUMIFS('abrasion emissions'!$M$7:$M$38,'abrasion emissions'!$I$7:$I$38,"PM 10",'abrasion emissions'!$K$7:$K$38,"Road",'abrasion emissions'!$L$7:$L$38,"c")))))/1000000+CT102</f>
        <v>7.5385511472227333E-6</v>
      </c>
      <c r="CV102" s="7">
        <f>(CK102*CN102)+(CL102*CO102)+(CM102*CP102)</f>
        <v>5.7454099761314755E-6</v>
      </c>
      <c r="CW102" s="7">
        <f>(CK102*CQ102)+(CL102*CR102)+(CM102*CS102)</f>
        <v>4.1119376024139909E-6</v>
      </c>
    </row>
    <row r="103">
      <c r="A103" t="str">
        <f>B103&amp;" - "&amp;D103&amp;" - "&amp;IF(I103&lt;&gt;"",I103&amp;" - "&amp;E103,E103)</f>
        <v>Motorbike, gasoline, 4-11kW, EURO-5 - 2020 - CH</v>
      </c>
      <c r="B103" t="inlineStr">
        <is>
          <t>Motorbike, gasoline, 4-11kW, EURO-5</t>
        </is>
      </c>
      <c r="D103" s="18" t="n">
        <v>2020</v>
      </c>
      <c r="E103" t="inlineStr">
        <is>
          <t>CH</t>
        </is>
      </c>
      <c r="F103" t="inlineStr">
        <is>
          <t>EURO-5</t>
        </is>
      </c>
      <c r="G103" t="inlineStr">
        <is>
          <t>vkm</t>
        </is>
      </c>
      <c r="H103" t="inlineStr">
        <is>
          <t>ICEV-p</t>
        </is>
      </c>
      <c r="J103" t="n">
        <v>25000</v>
      </c>
      <c r="K103" t="n">
        <v>1776</v>
      </c>
      <c r="L103" s="2">
        <f>J103/K103</f>
        <v>14.076576576576576</v>
      </c>
      <c r="M103" t="n">
        <v>1.1</v>
      </c>
      <c r="N103" t="n">
        <v>75</v>
      </c>
      <c r="O103" t="n">
        <v>6</v>
      </c>
      <c r="P103" s="2">
        <f>SUM(U103,V103,W103,AC103,AF103,AH103)</f>
        <v>119.00000583255843</v>
      </c>
      <c r="Q103" s="2">
        <f>P103+(M103*N103)+O103</f>
        <v>207.50000583255843</v>
      </c>
      <c r="R103" t="n">
        <v>9</v>
      </c>
      <c r="S103" s="2" t="n">
        <v>65.43382696032849</v>
      </c>
      <c r="T103" s="1" t="n">
        <v>0</v>
      </c>
      <c r="U103" s="2">
        <f>S103*(1-T103)</f>
        <v>65.433826960328489</v>
      </c>
      <c r="V103" s="2">
        <f>0.7*S103</f>
        <v>45.803678872229938</v>
      </c>
      <c r="W103" s="2" t="n">
        <v>0</v>
      </c>
      <c r="X103" s="3" t="n">
        <v>0</v>
      </c>
      <c r="Y103" s="1" t="n">
        <v>0.8</v>
      </c>
      <c r="Z103" s="3">
        <f>Y103*X103</f>
        <v>0</v>
      </c>
      <c r="AA103" s="3">
        <f>IF(I103&lt;&gt;"",X103/INDEX('energy battery'!$B$3:$D$6,MATCH('vehicles specifications'!$D103,'energy battery'!$A$3:$A$6,0),MATCH('vehicles specifications'!$I103,'energy battery'!$B$2:$D$2,0)),"")</f>
        <v/>
      </c>
      <c r="AB103" s="3">
        <f>IF(AA103&lt;&gt;"",0.3*AA103,"")</f>
        <v/>
      </c>
      <c r="AC103" s="3">
        <f>IF(AA103&lt;&gt;"",AB103+AA103,"")</f>
        <v/>
      </c>
      <c r="AD103" s="3" t="n">
        <v>0</v>
      </c>
      <c r="AE103" s="3" t="n">
        <v>9</v>
      </c>
      <c r="AF103">
        <f>AE103*'fuels and tailpipe emissions'!$B$3</f>
        <v>6.75</v>
      </c>
      <c r="AG103" s="2">
        <f>AF103*'fuels and tailpipe emissions'!$C$3</f>
        <v>79.875</v>
      </c>
      <c r="AH103" s="3">
        <f>0.15*AF103</f>
        <v>1.0125</v>
      </c>
      <c r="AI103" s="3" t="n">
        <v>0</v>
      </c>
      <c r="AJ103" s="3" t="n">
        <v>0</v>
      </c>
      <c r="AK103">
        <f>J103/25000</f>
        <v>1</v>
      </c>
      <c r="AL103">
        <f>0.000537/1000*Q103</f>
        <v>1.1142750313208388E-4</v>
      </c>
      <c r="AM103" t="n">
        <v>0.00129</v>
      </c>
      <c r="AN103" s="2">
        <f>U103</f>
        <v>65.433826960328489</v>
      </c>
      <c r="AO103" s="2">
        <f>SUM(V103:W103)</f>
        <v>45.803678872229938</v>
      </c>
      <c r="AP103" s="2">
        <f>AC103</f>
        <v/>
      </c>
      <c r="AQ103" s="6" t="n">
        <v>1.005761809118029</v>
      </c>
      <c r="AR103" s="20" t="n">
        <v>0.012</v>
      </c>
      <c r="AS103" s="6">
        <f>IF($H103="BEV",SUMPRODUCT(#REF!,#REF!),"")</f>
        <v/>
      </c>
      <c r="AT103" s="2">
        <f>SUM(Z103,AG103)/(SUM(AQ103,AS103)/3.6)</f>
        <v>285.90268331242163</v>
      </c>
      <c r="AU103" s="5">
        <f>IF($H103="ICEV-p",$AQ103/('fuels and tailpipe emissions'!$C$3*3.6)*'fuels and tailpipe emissions'!$D$3,"")*(1-AR103)</f>
        <v>7.3244013513216966E-2</v>
      </c>
      <c r="AV103" s="5">
        <f>IF($H103="ICEV-p",$AQ103/('fuels and tailpipe emissions'!$C$3*3.6)*'fuels and tailpipe emissions'!$D$3,"")*AR103</f>
        <v>8.8960340299453812E-4</v>
      </c>
      <c r="AW103" s="7">
        <f>IF($H103="ICEV-p",$AQ103/('fuels and tailpipe emissions'!$C$3*3.6)*'fuels and tailpipe emissions'!$E$3,"")</f>
        <v>3.7775091422273376E-7</v>
      </c>
      <c r="AX103" s="7">
        <f>SUMIFS('fuels and tailpipe emissions'!$F$10:$F$126,'fuels and tailpipe emissions'!$A$10:$A$126,'vehicles specifications'!$F103,'fuels and tailpipe emissions'!$B$10:$B$126,'vehicles specifications'!AX$2)/1000*$AQ103</f>
        <v>3.0028551502939905E-6</v>
      </c>
      <c r="AY103" s="7">
        <f>SUMIFS('fuels and tailpipe emissions'!$F$10:$F$126,'fuels and tailpipe emissions'!$A$10:$A$126,'vehicles specifications'!$F103,'fuels and tailpipe emissions'!$B$10:$B$126,'vehicles specifications'!AY$2)/1000*$AQ103</f>
        <v>5.5743948816324545E-5</v>
      </c>
      <c r="AZ103" s="7">
        <f>SUMIFS('fuels and tailpipe emissions'!$F$10:$F$126,'fuels and tailpipe emissions'!$A$10:$A$126,'vehicles specifications'!$F103,'fuels and tailpipe emissions'!$B$10:$B$126,'vehicles specifications'!AZ$2)/1000*$AQ103</f>
        <v>7.1242322292383402E-4</v>
      </c>
      <c r="BA103" s="7">
        <f>SUMIFS('fuels and tailpipe emissions'!$F$10:$F$126,'fuels and tailpipe emissions'!$A$10:$A$126,'vehicles specifications'!$F103,'fuels and tailpipe emissions'!$B$10:$B$126,'vehicles specifications'!BA$2)/1000*$AQ103</f>
        <v>1.9908553148687333E-6</v>
      </c>
      <c r="BB103" s="7">
        <f>SUMIFS('fuels and tailpipe emissions'!$F$10:$F$126,'fuels and tailpipe emissions'!$A$10:$A$126,'vehicles specifications'!$F103,'fuels and tailpipe emissions'!$B$10:$B$126,'vehicles specifications'!BB$2)/1000*$AQ103</f>
        <v>1.9908553148687333E-6</v>
      </c>
      <c r="BC103" s="7">
        <f>SUMIFS('fuels and tailpipe emissions'!$F$10:$F$126,'fuels and tailpipe emissions'!$A$10:$A$126,'vehicles specifications'!$F103,'fuels and tailpipe emissions'!$B$10:$B$126,'vehicles specifications'!BC$2)/1000*$AQ103</f>
        <v>1.8315516128898121E-5</v>
      </c>
      <c r="BD103" s="7">
        <f>SUMIFS('fuels and tailpipe emissions'!$F$10:$F$126,'fuels and tailpipe emissions'!$A$10:$A$126,'vehicles specifications'!$F103,'fuels and tailpipe emissions'!$B$10:$B$126,'vehicles specifications'!BD$2)/1000*$AQ103</f>
        <v>4.9771382871718332E-6</v>
      </c>
      <c r="BE103" s="7">
        <f>SUMIFS('fuels and tailpipe emissions'!$F$10:$F$126,'fuels and tailpipe emissions'!$A$10:$A$126,'vehicles specifications'!$F103,'fuels and tailpipe emissions'!$B$10:$B$126,'vehicles specifications'!BE$2)/1000*$AQ103</f>
        <v>2.4215537789536568E-5</v>
      </c>
      <c r="BF103" s="7">
        <f>SUMIFS('fuels and tailpipe emissions'!$F$10:$F$126,'fuels and tailpipe emissions'!$A$10:$A$126,'vehicles specifications'!$F103,'fuels and tailpipe emissions'!$B$10:$B$126,'vehicles specifications'!BF$2)/1000*$AQ103</f>
        <v>1.7075058697750144E-6</v>
      </c>
      <c r="BG103" s="7">
        <f>SUMIFS('fuels and tailpipe emissions'!$F$10:$F$126,'fuels and tailpipe emissions'!$A$10:$A$126,'vehicles specifications'!$F103,'fuels and tailpipe emissions'!$B$10:$B$126,'vehicles specifications'!BG$2)/1000*$AQ103</f>
        <v>3.4792439352782425E-7</v>
      </c>
      <c r="BH103" s="7">
        <f>SUMIFS('fuels and tailpipe emissions'!$F$10:$F$126,'fuels and tailpipe emissions'!$A$10:$A$126,'vehicles specifications'!$F103,'fuels and tailpipe emissions'!$B$10:$B$126,'vehicles specifications'!BH$2)/1000*$AQ103</f>
        <v>2.804805880131999E-6</v>
      </c>
      <c r="BI103" s="7">
        <f>SUMIFS('fuels and tailpipe emissions'!$F$10:$F$126,'fuels and tailpipe emissions'!$A$10:$A$126,'vehicles specifications'!$F103,'fuels and tailpipe emissions'!$B$10:$B$126,'vehicles specifications'!BI$2)/1000*$AQ103</f>
        <v>1.1508268401304956E-6</v>
      </c>
      <c r="BJ103" s="7">
        <f>SUMIFS('fuels and tailpipe emissions'!$F$10:$F$126,'fuels and tailpipe emissions'!$A$10:$A$126,'vehicles specifications'!$F103,'fuels and tailpipe emissions'!$B$10:$B$126,'vehicles specifications'!BJ$2)/1000*$AQ103</f>
        <v>8.6178195935353402E-7</v>
      </c>
      <c r="BK103" s="7">
        <f>SUMIFS('fuels and tailpipe emissions'!$F$10:$F$126,'fuels and tailpipe emissions'!$A$10:$A$126,'vehicles specifications'!$F103,'fuels and tailpipe emissions'!$B$10:$B$126,'vehicles specifications'!BK$2)/1000*$AQ103</f>
        <v>6.1020585941803032E-7</v>
      </c>
      <c r="BL103" s="7">
        <f>SUMIFS('fuels and tailpipe emissions'!$F$10:$F$126,'fuels and tailpipe emissions'!$A$10:$A$126,'vehicles specifications'!$F103,'fuels and tailpipe emissions'!$B$10:$B$126,'vehicles specifications'!BL$2)/1000*$AQ103</f>
        <v>3.960985403239846E-7</v>
      </c>
      <c r="BM103" s="7">
        <f>SUMIFS('fuels and tailpipe emissions'!$F$10:$F$126,'fuels and tailpipe emissions'!$A$10:$A$126,'vehicles specifications'!$F103,'fuels and tailpipe emissions'!$B$10:$B$126,'vehicles specifications'!BM$2)/1000*$AQ103</f>
        <v>3.9074585734663338E-6</v>
      </c>
      <c r="BN103" s="7">
        <f>SUMIFS('fuels and tailpipe emissions'!$F$10:$F$126,'fuels and tailpipe emissions'!$A$10:$A$126,'vehicles specifications'!$F103,'fuels and tailpipe emissions'!$B$10:$B$126,'vehicles specifications'!BN$2)/1000*$AQ103</f>
        <v>2.0447248973481361E-6</v>
      </c>
      <c r="BO103" s="7">
        <f>SUMIFS('fuels and tailpipe emissions'!$F$10:$F$126,'fuels and tailpipe emissions'!$A$10:$A$126,'vehicles specifications'!$F103,'fuels and tailpipe emissions'!$B$10:$B$126,'vehicles specifications'!BO$2)/1000*$AQ103</f>
        <v>5.8879512750862572E-8</v>
      </c>
      <c r="BP103" s="7">
        <f>SUMIFS('fuels and tailpipe emissions'!$F$10:$F$126,'fuels and tailpipe emissions'!$A$10:$A$126,'vehicles specifications'!$F103,'fuels and tailpipe emissions'!$B$10:$B$126,'vehicles specifications'!BP$2)/1000*$AQ103</f>
        <v>3.0028551502939905E-6</v>
      </c>
      <c r="BQ103" s="7">
        <f>SUMIFS('fuels and tailpipe emissions'!$F$10:$F$126,'fuels and tailpipe emissions'!$A$10:$A$126,'vehicles specifications'!$F103,'fuels and tailpipe emissions'!$B$10:$B$126,'vehicles specifications'!BQ$2)/1000*$AQ103</f>
        <v>5.877245909131555E-6</v>
      </c>
      <c r="BR103" s="7">
        <f>SUMIFS('fuels and tailpipe emissions'!$F$10:$F$126,'fuels and tailpipe emissions'!$A$10:$A$126,'vehicles specifications'!$F103,'fuels and tailpipe emissions'!$B$10:$B$126,'vehicles specifications'!BR$2)/1000*$AQ103</f>
        <v>2.9065068567016706E-6</v>
      </c>
      <c r="BS103" s="7">
        <f>SUMIFS('fuels and tailpipe emissions'!$F$10:$F$126,'fuels and tailpipe emissions'!$A$10:$A$126,'vehicles specifications'!$F103,'fuels and tailpipe emissions'!$B$10:$B$126,'vehicles specifications'!BS$2)/1000*$AQ103</f>
        <v>1.2097063528813583E-6</v>
      </c>
      <c r="BT103" s="7">
        <f>SUMIFS('fuels and tailpipe emissions'!$F$10:$F$126,'fuels and tailpipe emissions'!$A$10:$A$126,'vehicles specifications'!$F103,'fuels and tailpipe emissions'!$B$10:$B$126,'vehicles specifications'!BT$2)/1000*$AQ103</f>
        <v>9.0995610614969421E-7</v>
      </c>
      <c r="BU103" s="7">
        <f>SUMIFS('fuels and tailpipe emissions'!$F$10:$F$126,'fuels and tailpipe emissions'!$A$10:$A$126,'vehicles specifications'!$F103,'fuels and tailpipe emissions'!$B$10:$B$126,'vehicles specifications'!BU$2)/1000*$AQ103</f>
        <v>4.0145122330133565E-7</v>
      </c>
      <c r="BV103" s="7">
        <f>SUMIFS('fuels and tailpipe emissions'!$F$10:$F$126,'fuels and tailpipe emissions'!$A$10:$A$126,'vehicles specifications'!$F103,'fuels and tailpipe emissions'!$B$10:$B$126,'vehicles specifications'!BV$2)/1000*$AQ103</f>
        <v>1.1775902550172514E-7</v>
      </c>
      <c r="BW103" s="7">
        <f>SUMIFS('fuels and tailpipe emissions'!$F$10:$F$126,'fuels and tailpipe emissions'!$A$10:$A$126,'vehicles specifications'!$F103,'fuels and tailpipe emissions'!$B$10:$B$126,'vehicles specifications'!BW$2)/1000*$AQ103</f>
        <v>3.2651366161841968E-7</v>
      </c>
      <c r="BX103" s="7">
        <f>SUMIFS('fuels and tailpipe emissions'!$F$10:$F$126,'fuels and tailpipe emissions'!$A$10:$A$126,'vehicles specifications'!$F103,'fuels and tailpipe emissions'!$B$10:$B$126,'vehicles specifications'!BX$2)/1000*$AQ103</f>
        <v>0</v>
      </c>
      <c r="BY103" s="7">
        <f>SUMIFS('fuels and tailpipe emissions'!$F$10:$F$126,'fuels and tailpipe emissions'!$A$10:$A$126,'vehicles specifications'!$F103,'fuels and tailpipe emissions'!$B$10:$B$126,'vehicles specifications'!BY$2)/1000*$AQ103</f>
        <v>1.017009765696717E-7</v>
      </c>
      <c r="BZ103" s="7">
        <f>SUMIFS('fuels and tailpipe emissions'!$F$10:$F$126,'fuels and tailpipe emissions'!$A$10:$A$126,'vehicles specifications'!$F103,'fuels and tailpipe emissions'!$B$10:$B$126,'vehicles specifications'!BZ$2)/1000*$AQ103</f>
        <v>5.4062098071246539E-7</v>
      </c>
      <c r="CA103" s="7">
        <f>SUMIFS('fuels and tailpipe emissions'!$F$10:$F$126,'fuels and tailpipe emissions'!$A$10:$A$126,'vehicles specifications'!$F103,'fuels and tailpipe emissions'!$B$10:$B$126,'vehicles specifications'!CA$2)/1000*$AQ103</f>
        <v>8.2354143428958587E-10</v>
      </c>
      <c r="CB103" s="7">
        <f>SUMIFS('fuels and tailpipe emissions'!$F$10:$F$126,'fuels and tailpipe emissions'!$A$10:$A$126,'vehicles specifications'!$F103,'fuels and tailpipe emissions'!$B$10:$B$126,'vehicles specifications'!CB$2)/1000*$AQ103</f>
        <v>7.0994951231860852E-12</v>
      </c>
      <c r="CC103" s="7">
        <f>SUMIFS('fuels and tailpipe emissions'!$F$10:$F$126,'fuels and tailpipe emissions'!$A$10:$A$126,'vehicles specifications'!$F103,'fuels and tailpipe emissions'!$B$10:$B$126,'vehicles specifications'!CC$2)/1000*$AQ103</f>
        <v>4.7329967487907232E-12</v>
      </c>
      <c r="CD103" s="7">
        <f>SUMIFS('fuels and tailpipe emissions'!$F$10:$F$126,'fuels and tailpipe emissions'!$A$10:$A$126,'vehicles specifications'!$F103,'fuels and tailpipe emissions'!$B$10:$B$126,'vehicles specifications'!CD$2)/1000*$AQ103</f>
        <v>5.1116364886939815E-8</v>
      </c>
      <c r="CE103" s="7">
        <f>SUMIFS('fuels and tailpipe emissions'!$F$10:$F$126,'fuels and tailpipe emissions'!$A$10:$A$126,'vehicles specifications'!$F103,'fuels and tailpipe emissions'!$B$10:$B$126,'vehicles specifications'!CE$2)/1000*$AQ103</f>
        <v>9.9392931724605184E-10</v>
      </c>
      <c r="CF103" s="7">
        <f>SUMIFS('fuels and tailpipe emissions'!$F$10:$F$126,'fuels and tailpipe emissions'!$A$10:$A$126,'vehicles specifications'!$F103,'fuels and tailpipe emissions'!$B$10:$B$126,'vehicles specifications'!CF$2)/1000*$AQ103</f>
        <v>3.0764478867139705E-10</v>
      </c>
      <c r="CG103" s="7">
        <f>SUMIFS('fuels and tailpipe emissions'!$F$10:$F$126,'fuels and tailpipe emissions'!$A$10:$A$126,'vehicles specifications'!$F103,'fuels and tailpipe emissions'!$B$10:$B$126,'vehicles specifications'!CG$2)/1000*$AQ103</f>
        <v>3.786397399032579E-10</v>
      </c>
      <c r="CH103" s="7">
        <f>SUMIFS('fuels and tailpipe emissions'!$F$10:$F$126,'fuels and tailpipe emissions'!$A$10:$A$126,'vehicles specifications'!$F103,'fuels and tailpipe emissions'!$B$10:$B$126,'vehicles specifications'!CH$2)/1000*$AQ103</f>
        <v>7.5727947980651569E-13</v>
      </c>
      <c r="CI103" s="7">
        <f>SUMIFS('fuels and tailpipe emissions'!$F$10:$F$126,'fuels and tailpipe emissions'!$A$10:$A$126,'vehicles specifications'!$F103,'fuels and tailpipe emissions'!$B$10:$B$126,'vehicles specifications'!CI$2)/1000*$AQ103</f>
        <v>2.0588535857239647E-10</v>
      </c>
      <c r="CJ103" s="7">
        <f>SUMIFS('fuels and tailpipe emissions'!$F$10:$F$126,'fuels and tailpipe emissions'!$A$10:$A$126,'vehicles specifications'!$F103,'fuels and tailpipe emissions'!$B$10:$B$126,'vehicles specifications'!CJ$2)/1000*$AQ103</f>
        <v>2.5558182443469911E-10</v>
      </c>
      <c r="CK103" s="38">
        <f>VLOOKUP($B103,'abrasion emissions'!$O$7:$R$36,2,FALSE)</f>
        <v>0.5</v>
      </c>
      <c r="CL103" s="38">
        <f>VLOOKUP($B103,'abrasion emissions'!$O$7:$R$36,3,FALSE)</f>
        <v>0.5</v>
      </c>
      <c r="CM103" s="38">
        <f>VLOOKUP($B103,'abrasion emissions'!$O$7:$R$36,4,FALSE)</f>
        <v>0</v>
      </c>
      <c r="CN103" s="7">
        <f>((SUMIFS('abrasion emissions'!$M$7:$M$34,'abrasion emissions'!$I$7:$I$34,"PM 2.5",'abrasion emissions'!$J$7:$J$34,"urban",'abrasion emissions'!$K$7:$K$34,"Tyre",'abrasion emissions'!$L$7:$L$34,"b")*POWER(('vehicles specifications'!$Q103/1000),(1/SUMIFS('abrasion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specifications'!$P103/1000),(1/SUMIFS('abrasion emissions'!$M$7:$M$34,'abrasion emissions'!$I$7:$I$34,"PM 10",'abrasion emissions'!$J$7:$J$34,"urban",'abrasion emissions'!$K$7:$K$34,"Tyre",'abrasion emissions'!$L$7:$L$34,"c")))))/1000000</f>
        <v>6.4374628273737208E-6</v>
      </c>
      <c r="CO103" s="7">
        <f>((SUMIFS('abrasion emissions'!$M$7:$M$34,'abrasion emissions'!$I$7:$I$34,"PM 2.5",'abrasion emissions'!$J$7:$J$34,"rural",'abrasion emissions'!$K$7:$K$34,"Tyre",'abrasion emissions'!$L$7:$L$34,"b")*POWER(('vehicles specifications'!$Q103/1000),(1/SUMIFS('abrasion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specifications'!$P103/1000),(1/SUMIFS('abrasion emissions'!$M$7:$M$34,'abrasion emissions'!$I$7:$I$34,"PM 10",'abrasion emissions'!$J$7:$J$34,"rural",'abrasion emissions'!$K$7:$K$34,"Tyre",'abrasion emissions'!$L$7:$L$34,"c")))))/1000000</f>
        <v>5.0137278168521609E-6</v>
      </c>
      <c r="CP103" s="7">
        <f>((SUMIFS('abrasion emissions'!$M$7:$M$34,'abrasion emissions'!$I$7:$I$34,"PM 2.5",'abrasion emissions'!$J$7:$J$34,"motorway",'abrasion emissions'!$K$7:$K$34,"Tyre",'abrasion emissions'!$L$7:$L$34,"b")*POWER(('vehicles specifications'!$Q103/1000),(1/SUMIFS('abrasion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specifications'!$P103/1000),(1/SUMIFS('abrasion emissions'!$M$7:$M$34,'abrasion emissions'!$I$7:$I$34,"PM 10",'abrasion emissions'!$J$7:$J$34,"motorway",'abrasion emissions'!$K$7:$K$34,"Tyre",'abrasion emissions'!$L$7:$L$34,"c")))))/1000000</f>
        <v>4.2820434940904498E-6</v>
      </c>
      <c r="CQ103" s="7">
        <f>((SUMIFS('abrasion emissions'!$M$7:$M$34,'abrasion emissions'!$I$7:$I$34,"PM 2.5",'abrasion emissions'!$J$7:$J$34,"urban",'abrasion emissions'!$K$7:$K$34,"Brake",'abrasion emissions'!$L$7:$L$34,"b")*POWER(('vehicles specifications'!$Q103/1000),(1/SUMIFS('abrasion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specifications'!$P103/1000),(1/SUMIFS('abrasion emissions'!$M$7:$M$34,'abrasion emissions'!$I$7:$I$34,"PM 10",'abrasion emissions'!$J$7:$J$34,"urban",'abrasion emissions'!$K$7:$K$34,"Brake",'abrasion emissions'!$L$7:$L$34,"c")))))/1000000</f>
        <v>6.1775218725325214E-6</v>
      </c>
      <c r="CR103" s="7">
        <f>((SUMIFS('abrasion emissions'!$M$7:$M$34,'abrasion emissions'!$I$7:$I$34,"PM 2.5",'abrasion emissions'!$J$7:$J$34,"rural",'abrasion emissions'!$K$7:$K$34,"Brake",'abrasion emissions'!$L$7:$L$34,"b")*POWER(('vehicles specifications'!$Q103/1000),(1/SUMIFS('abrasion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specifications'!$P103/1000),(1/SUMIFS('abrasion emissions'!$M$7:$M$34,'abrasion emissions'!$I$7:$I$34,"PM 10",'abrasion emissions'!$J$7:$J$34,"rural",'abrasion emissions'!$K$7:$K$34,"Brake",'abrasion emissions'!$L$7:$L$34,"c")))))/1000000</f>
        <v>2.0126985827534303E-6</v>
      </c>
      <c r="CS103" s="7">
        <f>((SUMIFS('abrasion emissions'!$M$7:$M$34,'abrasion emissions'!$I$7:$I$34,"PM 2.5",'abrasion emissions'!$J$7:$J$34,"motorway",'abrasion emissions'!$K$7:$K$34,"Brake",'abrasion emissions'!$L$7:$L$34,"b")*POWER(('vehicles specifications'!$Q103/1000),(1/SUMIFS('abrasion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specifications'!$P103/1000),(1/SUMIFS('abrasion emissions'!$M$7:$M$34,'abrasion emissions'!$I$7:$I$34,"PM 10",'abrasion emissions'!$J$7:$J$34,"motorway",'abrasion emissions'!$K$7:$K$34,"Brake",'abrasion emissions'!$L$7:$L$34,"c")))))/1000000</f>
        <v>3.7607687640700252E-7</v>
      </c>
      <c r="CT103" s="7">
        <f>((SUMIFS('abrasion emissions'!$M$7:$M$38,'abrasion emissions'!$I$7:$I$38,"PM 2.5",'abrasion emissions'!$K$7:$K$38,"Re-susp.",'abrasion emissions'!$L$7:$L$38,"b")*POWER(('vehicles specifications'!$Q103/1000),(1/SUMIFS('abrasion emissions'!$M$7:$M$38,'abrasion emissions'!$I$7:$I$38,"PM 2.5",'abrasion emissions'!$K$7:$K$38,"Re-susp.",'abrasion emissions'!$L$7:$L$38,"c"))))+
(SUMIFS('abrasion emissions'!$M$7:$M$38,'abrasion emissions'!$I$7:$I$38,"PM 10",'abrasion emissions'!$K$7:$K$38,"Re-susp.",'abrasion emissions'!$L$7:$L$38,"b")*POWER(('vehicles specifications'!$Q103/1000),(1/SUMIFS('abrasion emissions'!$M$7:$M$38,'abrasion emissions'!$I$7:$I$38,"PM 10",'abrasion emissions'!$K$7:$K$38,"Re-susp.",'abrasion emissions'!$L$7:$L$38,"c")))))/1000000</f>
        <v>3.9260083933358541E-6</v>
      </c>
      <c r="CU103" s="7">
        <f>((SUMIFS('abrasion emissions'!$M$7:$M$38,'abrasion emissions'!$I$7:$I$38,"PM 2.5",'abrasion emissions'!$K$7:$K$38,"Road",'abrasion emissions'!$L$7:$L$38,"b")*POWER(('vehicles specifications'!$Q103/1000),(1/SUMIFS('abrasion emissions'!$M$7:$M$38,'abrasion emissions'!$I$7:$I$38,"PM 2.5",'abrasion emissions'!$K$7:$K$38,"Road",'abrasion emissions'!$L$7:$L$38,"c"))))+
(SUMIFS('abrasion emissions'!$M$7:$M$38,'abrasion emissions'!$I$7:$I$38,"PM 10",'abrasion emissions'!$K$7:$K$38,"Road",'abrasion emissions'!$L$7:$L$38,"b")*POWER(('vehicles specifications'!$Q103/1000),(1/SUMIFS('abrasion emissions'!$M$7:$M$38,'abrasion emissions'!$I$7:$I$38,"PM 10",'abrasion emissions'!$K$7:$K$38,"Road",'abrasion emissions'!$L$7:$L$38,"c")))))/1000000+CT103</f>
        <v>7.5010320003631441E-6</v>
      </c>
      <c r="CV103" s="7">
        <f>(CK103*CN103)+(CL103*CO103)+(CM103*CP103)</f>
        <v>5.7255953221129413E-6</v>
      </c>
      <c r="CW103" s="7">
        <f>(CK103*CQ103)+(CL103*CR103)+(CM103*CS103)</f>
        <v>4.0951102276429758E-6</v>
      </c>
    </row>
    <row r="104">
      <c r="A104" t="str">
        <f>B104&amp;" - "&amp;D104&amp;" - "&amp;IF(I104&lt;&gt;"",I104&amp;" - "&amp;E104,E104)</f>
        <v>Motorbike, gasoline, 4-11kW, EURO-5 - 2030 - CH</v>
      </c>
      <c r="B104" t="inlineStr">
        <is>
          <t>Motorbike, gasoline, 4-11kW, EURO-5</t>
        </is>
      </c>
      <c r="D104" s="18" t="n">
        <v>2030</v>
      </c>
      <c r="E104" t="inlineStr">
        <is>
          <t>CH</t>
        </is>
      </c>
      <c r="F104" t="inlineStr">
        <is>
          <t>EURO-5</t>
        </is>
      </c>
      <c r="G104" t="inlineStr">
        <is>
          <t>vkm</t>
        </is>
      </c>
      <c r="H104" t="inlineStr">
        <is>
          <t>ICEV-p</t>
        </is>
      </c>
      <c r="J104" t="n">
        <v>25000</v>
      </c>
      <c r="K104" t="n">
        <v>1776</v>
      </c>
      <c r="L104" s="2">
        <f>J104/K104</f>
        <v>14.076576576576576</v>
      </c>
      <c r="M104" t="n">
        <v>1.1</v>
      </c>
      <c r="N104" t="n">
        <v>75</v>
      </c>
      <c r="O104" t="n">
        <v>6</v>
      </c>
      <c r="P104" s="2">
        <f>SUM(U104,V104,W104,AC104,AF104,AH104)</f>
        <v>117.03699102374857</v>
      </c>
      <c r="Q104" s="2">
        <f>P104+(M104*N104)+O104</f>
        <v>205.53699102374856</v>
      </c>
      <c r="R104" t="n">
        <v>9</v>
      </c>
      <c r="S104" s="2" t="n">
        <v>65.43382696032849</v>
      </c>
      <c r="T104" s="1" t="n">
        <v>0.03</v>
      </c>
      <c r="U104" s="2">
        <f>S104*(1-T104)</f>
        <v>63.470812151518629</v>
      </c>
      <c r="V104" s="2">
        <f>0.7*S104</f>
        <v>45.803678872229938</v>
      </c>
      <c r="W104" s="2" t="n">
        <v>0</v>
      </c>
      <c r="X104" s="3" t="n">
        <v>0</v>
      </c>
      <c r="Y104" s="1" t="n">
        <v>0.8</v>
      </c>
      <c r="Z104" s="3">
        <f>Y104*X104</f>
        <v>0</v>
      </c>
      <c r="AA104" s="3">
        <f>IF(I104&lt;&gt;"",X104/INDEX('energy battery'!$B$3:$D$6,MATCH('vehicles specifications'!$D104,'energy battery'!$A$3:$A$6,0),MATCH('vehicles specifications'!$I104,'energy battery'!$B$2:$D$2,0)),"")</f>
        <v/>
      </c>
      <c r="AB104" s="3">
        <f>IF(AA104&lt;&gt;"",0.3*AA104,"")</f>
        <v/>
      </c>
      <c r="AC104" s="3">
        <f>IF(AA104&lt;&gt;"",AB104+AA104,"")</f>
        <v/>
      </c>
      <c r="AD104" s="3" t="n">
        <v>0</v>
      </c>
      <c r="AE104" s="3" t="n">
        <v>9</v>
      </c>
      <c r="AF104">
        <f>AE104*'fuels and tailpipe emissions'!$B$3</f>
        <v>6.75</v>
      </c>
      <c r="AG104" s="2">
        <f>AF104*'fuels and tailpipe emissions'!$C$3</f>
        <v>79.875</v>
      </c>
      <c r="AH104" s="3">
        <f>0.15*AF104</f>
        <v>1.0125</v>
      </c>
      <c r="AI104" s="3" t="n">
        <v>0</v>
      </c>
      <c r="AJ104" s="3" t="n">
        <v>0</v>
      </c>
      <c r="AK104">
        <f>J104/25000</f>
        <v>1</v>
      </c>
      <c r="AL104">
        <f>0.000537/1000*Q104</f>
        <v>1.1037336417975297E-4</v>
      </c>
      <c r="AM104" t="n">
        <v>0.00129</v>
      </c>
      <c r="AN104" s="2">
        <f>U104</f>
        <v>63.470812151518629</v>
      </c>
      <c r="AO104" s="2">
        <f>SUM(V104:W104)</f>
        <v>45.803678872229938</v>
      </c>
      <c r="AP104" s="2">
        <f>AC104</f>
        <v/>
      </c>
      <c r="AQ104" s="6" t="n">
        <v>0.9957041910268484</v>
      </c>
      <c r="AR104" s="20" t="n">
        <v>0.012</v>
      </c>
      <c r="AS104" s="6">
        <f>IF($H104="BEV",SUMPRODUCT(#REF!,#REF!),"")</f>
        <v/>
      </c>
      <c r="AT104" s="2">
        <f>SUM(Z104,AG104)/(SUM(AQ104,AS104)/3.6)</f>
        <v>288.7905892044663</v>
      </c>
      <c r="AU104" s="5">
        <f>IF($H104="ICEV-p",$AQ104/('fuels and tailpipe emissions'!$C$3*3.6)*'fuels and tailpipe emissions'!$D$3,"")*(1-AR104)</f>
        <v>7.2511573378084795E-2</v>
      </c>
      <c r="AV104" s="5">
        <f>IF($H104="ICEV-p",$AQ104/('fuels and tailpipe emissions'!$C$3*3.6)*'fuels and tailpipe emissions'!$D$3,"")*AR104</f>
        <v>8.807073689645926E-4</v>
      </c>
      <c r="AW104" s="7">
        <f>IF($H104="ICEV-p",$AQ104/('fuels and tailpipe emissions'!$C$3*3.6)*'fuels and tailpipe emissions'!$E$3,"")</f>
        <v>3.7397340508050638E-7</v>
      </c>
      <c r="AX104" s="7">
        <f>SUMIFS('fuels and tailpipe emissions'!$F$10:$F$126,'fuels and tailpipe emissions'!$A$10:$A$126,'vehicles specifications'!$F104,'fuels and tailpipe emissions'!$B$10:$B$126,'vehicles specifications'!AX$2)/1000*$AQ104</f>
        <v>2.9728265987910503E-6</v>
      </c>
      <c r="AY104" s="7">
        <f>SUMIFS('fuels and tailpipe emissions'!$F$10:$F$126,'fuels and tailpipe emissions'!$A$10:$A$126,'vehicles specifications'!$F104,'fuels and tailpipe emissions'!$B$10:$B$126,'vehicles specifications'!AY$2)/1000*$AQ104</f>
        <v>5.5186509328161295E-5</v>
      </c>
      <c r="AZ104" s="7">
        <f>SUMIFS('fuels and tailpipe emissions'!$F$10:$F$126,'fuels and tailpipe emissions'!$A$10:$A$126,'vehicles specifications'!$F104,'fuels and tailpipe emissions'!$B$10:$B$126,'vehicles specifications'!AZ$2)/1000*$AQ104</f>
        <v>7.0529899069459573E-4</v>
      </c>
      <c r="BA104" s="7">
        <f>SUMIFS('fuels and tailpipe emissions'!$F$10:$F$126,'fuels and tailpipe emissions'!$A$10:$A$126,'vehicles specifications'!$F104,'fuels and tailpipe emissions'!$B$10:$B$126,'vehicles specifications'!BA$2)/1000*$AQ104</f>
        <v>1.9709467617200459E-6</v>
      </c>
      <c r="BB104" s="7">
        <f>SUMIFS('fuels and tailpipe emissions'!$F$10:$F$126,'fuels and tailpipe emissions'!$A$10:$A$126,'vehicles specifications'!$F104,'fuels and tailpipe emissions'!$B$10:$B$126,'vehicles specifications'!BB$2)/1000*$AQ104</f>
        <v>1.9709467617200459E-6</v>
      </c>
      <c r="BC104" s="7">
        <f>SUMIFS('fuels and tailpipe emissions'!$F$10:$F$126,'fuels and tailpipe emissions'!$A$10:$A$126,'vehicles specifications'!$F104,'fuels and tailpipe emissions'!$B$10:$B$126,'vehicles specifications'!BC$2)/1000*$AQ104</f>
        <v>1.8132360967609141E-5</v>
      </c>
      <c r="BD104" s="7">
        <f>SUMIFS('fuels and tailpipe emissions'!$F$10:$F$126,'fuels and tailpipe emissions'!$A$10:$A$126,'vehicles specifications'!$F104,'fuels and tailpipe emissions'!$B$10:$B$126,'vehicles specifications'!BD$2)/1000*$AQ104</f>
        <v>4.9273669043001146E-6</v>
      </c>
      <c r="BE104" s="7">
        <f>SUMIFS('fuels and tailpipe emissions'!$F$10:$F$126,'fuels and tailpipe emissions'!$A$10:$A$126,'vehicles specifications'!$F104,'fuels and tailpipe emissions'!$B$10:$B$126,'vehicles specifications'!BE$2)/1000*$AQ104</f>
        <v>2.3973382411641201E-5</v>
      </c>
      <c r="BF104" s="7">
        <f>SUMIFS('fuels and tailpipe emissions'!$F$10:$F$126,'fuels and tailpipe emissions'!$A$10:$A$126,'vehicles specifications'!$F104,'fuels and tailpipe emissions'!$B$10:$B$126,'vehicles specifications'!BF$2)/1000*$AQ104</f>
        <v>1.690430811077264E-6</v>
      </c>
      <c r="BG104" s="7">
        <f>SUMIFS('fuels and tailpipe emissions'!$F$10:$F$126,'fuels and tailpipe emissions'!$A$10:$A$126,'vehicles specifications'!$F104,'fuels and tailpipe emissions'!$B$10:$B$126,'vehicles specifications'!BG$2)/1000*$AQ104</f>
        <v>3.44445149592546E-7</v>
      </c>
      <c r="BH104" s="7">
        <f>SUMIFS('fuels and tailpipe emissions'!$F$10:$F$126,'fuels and tailpipe emissions'!$A$10:$A$126,'vehicles specifications'!$F104,'fuels and tailpipe emissions'!$B$10:$B$126,'vehicles specifications'!BH$2)/1000*$AQ104</f>
        <v>2.7767578213306791E-6</v>
      </c>
      <c r="BI104" s="7">
        <f>SUMIFS('fuels and tailpipe emissions'!$F$10:$F$126,'fuels and tailpipe emissions'!$A$10:$A$126,'vehicles specifications'!$F104,'fuels and tailpipe emissions'!$B$10:$B$126,'vehicles specifications'!BI$2)/1000*$AQ104</f>
        <v>1.1393185717291907E-6</v>
      </c>
      <c r="BJ104" s="7">
        <f>SUMIFS('fuels and tailpipe emissions'!$F$10:$F$126,'fuels and tailpipe emissions'!$A$10:$A$126,'vehicles specifications'!$F104,'fuels and tailpipe emissions'!$B$10:$B$126,'vehicles specifications'!BJ$2)/1000*$AQ104</f>
        <v>8.5316413975999859E-7</v>
      </c>
      <c r="BK104" s="7">
        <f>SUMIFS('fuels and tailpipe emissions'!$F$10:$F$126,'fuels and tailpipe emissions'!$A$10:$A$126,'vehicles specifications'!$F104,'fuels and tailpipe emissions'!$B$10:$B$126,'vehicles specifications'!BK$2)/1000*$AQ104</f>
        <v>6.0410380082384996E-7</v>
      </c>
      <c r="BL104" s="7">
        <f>SUMIFS('fuels and tailpipe emissions'!$F$10:$F$126,'fuels and tailpipe emissions'!$A$10:$A$126,'vehicles specifications'!$F104,'fuels and tailpipe emissions'!$B$10:$B$126,'vehicles specifications'!BL$2)/1000*$AQ104</f>
        <v>3.921375549207447E-7</v>
      </c>
      <c r="BM104" s="7">
        <f>SUMIFS('fuels and tailpipe emissions'!$F$10:$F$126,'fuels and tailpipe emissions'!$A$10:$A$126,'vehicles specifications'!$F104,'fuels and tailpipe emissions'!$B$10:$B$126,'vehicles specifications'!BM$2)/1000*$AQ104</f>
        <v>3.868383987731671E-6</v>
      </c>
      <c r="BN104" s="7">
        <f>SUMIFS('fuels and tailpipe emissions'!$F$10:$F$126,'fuels and tailpipe emissions'!$A$10:$A$126,'vehicles specifications'!$F104,'fuels and tailpipe emissions'!$B$10:$B$126,'vehicles specifications'!BN$2)/1000*$AQ104</f>
        <v>2.0242776483746546E-6</v>
      </c>
      <c r="BO104" s="7">
        <f>SUMIFS('fuels and tailpipe emissions'!$F$10:$F$126,'fuels and tailpipe emissions'!$A$10:$A$126,'vehicles specifications'!$F104,'fuels and tailpipe emissions'!$B$10:$B$126,'vehicles specifications'!BO$2)/1000*$AQ104</f>
        <v>5.8290717623353947E-8</v>
      </c>
      <c r="BP104" s="7">
        <f>SUMIFS('fuels and tailpipe emissions'!$F$10:$F$126,'fuels and tailpipe emissions'!$A$10:$A$126,'vehicles specifications'!$F104,'fuels and tailpipe emissions'!$B$10:$B$126,'vehicles specifications'!BP$2)/1000*$AQ104</f>
        <v>2.9728265987910503E-6</v>
      </c>
      <c r="BQ104" s="7">
        <f>SUMIFS('fuels and tailpipe emissions'!$F$10:$F$126,'fuels and tailpipe emissions'!$A$10:$A$126,'vehicles specifications'!$F104,'fuels and tailpipe emissions'!$B$10:$B$126,'vehicles specifications'!BQ$2)/1000*$AQ104</f>
        <v>5.8184734500402395E-6</v>
      </c>
      <c r="BR104" s="7">
        <f>SUMIFS('fuels and tailpipe emissions'!$F$10:$F$126,'fuels and tailpipe emissions'!$A$10:$A$126,'vehicles specifications'!$F104,'fuels and tailpipe emissions'!$B$10:$B$126,'vehicles specifications'!BR$2)/1000*$AQ104</f>
        <v>2.8774417881346538E-6</v>
      </c>
      <c r="BS104" s="7">
        <f>SUMIFS('fuels and tailpipe emissions'!$F$10:$F$126,'fuels and tailpipe emissions'!$A$10:$A$126,'vehicles specifications'!$F104,'fuels and tailpipe emissions'!$B$10:$B$126,'vehicles specifications'!BS$2)/1000*$AQ104</f>
        <v>1.1976092893525445E-6</v>
      </c>
      <c r="BT104" s="7">
        <f>SUMIFS('fuels and tailpipe emissions'!$F$10:$F$126,'fuels and tailpipe emissions'!$A$10:$A$126,'vehicles specifications'!$F104,'fuels and tailpipe emissions'!$B$10:$B$126,'vehicles specifications'!BT$2)/1000*$AQ104</f>
        <v>9.0085654508819725E-7</v>
      </c>
      <c r="BU104" s="7">
        <f>SUMIFS('fuels and tailpipe emissions'!$F$10:$F$126,'fuels and tailpipe emissions'!$A$10:$A$126,'vehicles specifications'!$F104,'fuels and tailpipe emissions'!$B$10:$B$126,'vehicles specifications'!BU$2)/1000*$AQ104</f>
        <v>3.9743671106832228E-7</v>
      </c>
      <c r="BV104" s="7">
        <f>SUMIFS('fuels and tailpipe emissions'!$F$10:$F$126,'fuels and tailpipe emissions'!$A$10:$A$126,'vehicles specifications'!$F104,'fuels and tailpipe emissions'!$B$10:$B$126,'vehicles specifications'!BV$2)/1000*$AQ104</f>
        <v>1.1658143524670789E-7</v>
      </c>
      <c r="BW104" s="7">
        <f>SUMIFS('fuels and tailpipe emissions'!$F$10:$F$126,'fuels and tailpipe emissions'!$A$10:$A$126,'vehicles specifications'!$F104,'fuels and tailpipe emissions'!$B$10:$B$126,'vehicles specifications'!BW$2)/1000*$AQ104</f>
        <v>3.2324852500223546E-7</v>
      </c>
      <c r="BX104" s="7">
        <f>SUMIFS('fuels and tailpipe emissions'!$F$10:$F$126,'fuels and tailpipe emissions'!$A$10:$A$126,'vehicles specifications'!$F104,'fuels and tailpipe emissions'!$B$10:$B$126,'vehicles specifications'!BX$2)/1000*$AQ104</f>
        <v>0</v>
      </c>
      <c r="BY104" s="7">
        <f>SUMIFS('fuels and tailpipe emissions'!$F$10:$F$126,'fuels and tailpipe emissions'!$A$10:$A$126,'vehicles specifications'!$F104,'fuels and tailpipe emissions'!$B$10:$B$126,'vehicles specifications'!BY$2)/1000*$AQ104</f>
        <v>1.0068396680397498E-7</v>
      </c>
      <c r="BZ104" s="7">
        <f>SUMIFS('fuels and tailpipe emissions'!$F$10:$F$126,'fuels and tailpipe emissions'!$A$10:$A$126,'vehicles specifications'!$F104,'fuels and tailpipe emissions'!$B$10:$B$126,'vehicles specifications'!BZ$2)/1000*$AQ104</f>
        <v>5.3521477090534066E-7</v>
      </c>
      <c r="CA104" s="7">
        <f>SUMIFS('fuels and tailpipe emissions'!$F$10:$F$126,'fuels and tailpipe emissions'!$A$10:$A$126,'vehicles specifications'!$F104,'fuels and tailpipe emissions'!$B$10:$B$126,'vehicles specifications'!CA$2)/1000*$AQ104</f>
        <v>8.1530601994668997E-10</v>
      </c>
      <c r="CB104" s="7">
        <f>SUMIFS('fuels and tailpipe emissions'!$F$10:$F$126,'fuels and tailpipe emissions'!$A$10:$A$126,'vehicles specifications'!$F104,'fuels and tailpipe emissions'!$B$10:$B$126,'vehicles specifications'!CB$2)/1000*$AQ104</f>
        <v>7.0285001719542239E-12</v>
      </c>
      <c r="CC104" s="7">
        <f>SUMIFS('fuels and tailpipe emissions'!$F$10:$F$126,'fuels and tailpipe emissions'!$A$10:$A$126,'vehicles specifications'!$F104,'fuels and tailpipe emissions'!$B$10:$B$126,'vehicles specifications'!CC$2)/1000*$AQ104</f>
        <v>4.6856667813028157E-12</v>
      </c>
      <c r="CD104" s="7">
        <f>SUMIFS('fuels and tailpipe emissions'!$F$10:$F$126,'fuels and tailpipe emissions'!$A$10:$A$126,'vehicles specifications'!$F104,'fuels and tailpipe emissions'!$B$10:$B$126,'vehicles specifications'!CD$2)/1000*$AQ104</f>
        <v>5.0605201238070412E-8</v>
      </c>
      <c r="CE104" s="7">
        <f>SUMIFS('fuels and tailpipe emissions'!$F$10:$F$126,'fuels and tailpipe emissions'!$A$10:$A$126,'vehicles specifications'!$F104,'fuels and tailpipe emissions'!$B$10:$B$126,'vehicles specifications'!CE$2)/1000*$AQ104</f>
        <v>9.8399002407359125E-10</v>
      </c>
      <c r="CF104" s="7">
        <f>SUMIFS('fuels and tailpipe emissions'!$F$10:$F$126,'fuels and tailpipe emissions'!$A$10:$A$126,'vehicles specifications'!$F104,'fuels and tailpipe emissions'!$B$10:$B$126,'vehicles specifications'!CF$2)/1000*$AQ104</f>
        <v>3.0456834078468303E-10</v>
      </c>
      <c r="CG104" s="7">
        <f>SUMIFS('fuels and tailpipe emissions'!$F$10:$F$126,'fuels and tailpipe emissions'!$A$10:$A$126,'vehicles specifications'!$F104,'fuels and tailpipe emissions'!$B$10:$B$126,'vehicles specifications'!CG$2)/1000*$AQ104</f>
        <v>3.7485334250422529E-10</v>
      </c>
      <c r="CH104" s="7">
        <f>SUMIFS('fuels and tailpipe emissions'!$F$10:$F$126,'fuels and tailpipe emissions'!$A$10:$A$126,'vehicles specifications'!$F104,'fuels and tailpipe emissions'!$B$10:$B$126,'vehicles specifications'!CH$2)/1000*$AQ104</f>
        <v>7.4970668500845046E-13</v>
      </c>
      <c r="CI104" s="7">
        <f>SUMIFS('fuels and tailpipe emissions'!$F$10:$F$126,'fuels and tailpipe emissions'!$A$10:$A$126,'vehicles specifications'!$F104,'fuels and tailpipe emissions'!$B$10:$B$126,'vehicles specifications'!CI$2)/1000*$AQ104</f>
        <v>2.0382650498667249E-10</v>
      </c>
      <c r="CJ104" s="7">
        <f>SUMIFS('fuels and tailpipe emissions'!$F$10:$F$126,'fuels and tailpipe emissions'!$A$10:$A$126,'vehicles specifications'!$F104,'fuels and tailpipe emissions'!$B$10:$B$126,'vehicles specifications'!CJ$2)/1000*$AQ104</f>
        <v>2.5302600619035213E-10</v>
      </c>
      <c r="CK104" s="38">
        <f>VLOOKUP($B104,'abrasion emissions'!$O$7:$R$36,2,FALSE)</f>
        <v>0.5</v>
      </c>
      <c r="CL104" s="38">
        <f>VLOOKUP($B104,'abrasion emissions'!$O$7:$R$36,3,FALSE)</f>
        <v>0.5</v>
      </c>
      <c r="CM104" s="38">
        <f>VLOOKUP($B104,'abrasion emissions'!$O$7:$R$36,4,FALSE)</f>
        <v>0</v>
      </c>
      <c r="CN104" s="7">
        <f>((SUMIFS('abrasion emissions'!$M$7:$M$34,'abrasion emissions'!$I$7:$I$34,"PM 2.5",'abrasion emissions'!$J$7:$J$34,"urban",'abrasion emissions'!$K$7:$K$34,"Tyre",'abrasion emissions'!$L$7:$L$34,"b")*POWER(('vehicles specifications'!$Q104/1000),(1/SUMIFS('abrasion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specifications'!$P104/1000),(1/SUMIFS('abrasion emissions'!$M$7:$M$34,'abrasion emissions'!$I$7:$I$34,"PM 10",'abrasion emissions'!$J$7:$J$34,"urban",'abrasion emissions'!$K$7:$K$34,"Tyre",'abrasion emissions'!$L$7:$L$34,"c")))))/1000000</f>
        <v>6.4038293328569971E-6</v>
      </c>
      <c r="CO104" s="7">
        <f>((SUMIFS('abrasion emissions'!$M$7:$M$34,'abrasion emissions'!$I$7:$I$34,"PM 2.5",'abrasion emissions'!$J$7:$J$34,"rural",'abrasion emissions'!$K$7:$K$34,"Tyre",'abrasion emissions'!$L$7:$L$34,"b")*POWER(('vehicles specifications'!$Q104/1000),(1/SUMIFS('abrasion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specifications'!$P104/1000),(1/SUMIFS('abrasion emissions'!$M$7:$M$34,'abrasion emissions'!$I$7:$I$34,"PM 10",'abrasion emissions'!$J$7:$J$34,"rural",'abrasion emissions'!$K$7:$K$34,"Tyre",'abrasion emissions'!$L$7:$L$34,"c")))))/1000000</f>
        <v>4.9875539075107491E-6</v>
      </c>
      <c r="CP104" s="7">
        <f>((SUMIFS('abrasion emissions'!$M$7:$M$34,'abrasion emissions'!$I$7:$I$34,"PM 2.5",'abrasion emissions'!$J$7:$J$34,"motorway",'abrasion emissions'!$K$7:$K$34,"Tyre",'abrasion emissions'!$L$7:$L$34,"b")*POWER(('vehicles specifications'!$Q104/1000),(1/SUMIFS('abrasion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specifications'!$P104/1000),(1/SUMIFS('abrasion emissions'!$M$7:$M$34,'abrasion emissions'!$I$7:$I$34,"PM 10",'abrasion emissions'!$J$7:$J$34,"motorway",'abrasion emissions'!$K$7:$K$34,"Tyre",'abrasion emissions'!$L$7:$L$34,"c")))))/1000000</f>
        <v>4.2597421746792975E-6</v>
      </c>
      <c r="CQ104" s="7">
        <f>((SUMIFS('abrasion emissions'!$M$7:$M$34,'abrasion emissions'!$I$7:$I$34,"PM 2.5",'abrasion emissions'!$J$7:$J$34,"urban",'abrasion emissions'!$K$7:$K$34,"Brake",'abrasion emissions'!$L$7:$L$34,"b")*POWER(('vehicles specifications'!$Q104/1000),(1/SUMIFS('abrasion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specifications'!$P104/1000),(1/SUMIFS('abrasion emissions'!$M$7:$M$34,'abrasion emissions'!$I$7:$I$34,"PM 10",'abrasion emissions'!$J$7:$J$34,"urban",'abrasion emissions'!$K$7:$K$34,"Brake",'abrasion emissions'!$L$7:$L$34,"c")))))/1000000</f>
        <v>6.1415898207601093E-6</v>
      </c>
      <c r="CR104" s="7">
        <f>((SUMIFS('abrasion emissions'!$M$7:$M$34,'abrasion emissions'!$I$7:$I$34,"PM 2.5",'abrasion emissions'!$J$7:$J$34,"rural",'abrasion emissions'!$K$7:$K$34,"Brake",'abrasion emissions'!$L$7:$L$34,"b")*POWER(('vehicles specifications'!$Q104/1000),(1/SUMIFS('abrasion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specifications'!$P104/1000),(1/SUMIFS('abrasion emissions'!$M$7:$M$34,'abrasion emissions'!$I$7:$I$34,"PM 10",'abrasion emissions'!$J$7:$J$34,"rural",'abrasion emissions'!$K$7:$K$34,"Brake",'abrasion emissions'!$L$7:$L$34,"c")))))/1000000</f>
        <v>1.9979331412648386E-6</v>
      </c>
      <c r="CS104" s="7">
        <f>((SUMIFS('abrasion emissions'!$M$7:$M$34,'abrasion emissions'!$I$7:$I$34,"PM 2.5",'abrasion emissions'!$J$7:$J$34,"motorway",'abrasion emissions'!$K$7:$K$34,"Brake",'abrasion emissions'!$L$7:$L$34,"b")*POWER(('vehicles specifications'!$Q104/1000),(1/SUMIFS('abrasion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specifications'!$P104/1000),(1/SUMIFS('abrasion emissions'!$M$7:$M$34,'abrasion emissions'!$I$7:$I$34,"PM 10",'abrasion emissions'!$J$7:$J$34,"motorway",'abrasion emissions'!$K$7:$K$34,"Brake",'abrasion emissions'!$L$7:$L$34,"c")))))/1000000</f>
        <v>3.7291481521144681E-7</v>
      </c>
      <c r="CT104" s="7">
        <f>((SUMIFS('abrasion emissions'!$M$7:$M$38,'abrasion emissions'!$I$7:$I$38,"PM 2.5",'abrasion emissions'!$K$7:$K$38,"Re-susp.",'abrasion emissions'!$L$7:$L$38,"b")*POWER(('vehicles specifications'!$Q104/1000),(1/SUMIFS('abrasion emissions'!$M$7:$M$38,'abrasion emissions'!$I$7:$I$38,"PM 2.5",'abrasion emissions'!$K$7:$K$38,"Re-susp.",'abrasion emissions'!$L$7:$L$38,"c"))))+
(SUMIFS('abrasion emissions'!$M$7:$M$38,'abrasion emissions'!$I$7:$I$38,"PM 10",'abrasion emissions'!$K$7:$K$38,"Re-susp.",'abrasion emissions'!$L$7:$L$38,"b")*POWER(('vehicles specifications'!$Q104/1000),(1/SUMIFS('abrasion emissions'!$M$7:$M$38,'abrasion emissions'!$I$7:$I$38,"PM 10",'abrasion emissions'!$K$7:$K$38,"Re-susp.",'abrasion emissions'!$L$7:$L$38,"c")))))/1000000</f>
        <v>3.8922290378264043E-6</v>
      </c>
      <c r="CU104" s="7">
        <f>((SUMIFS('abrasion emissions'!$M$7:$M$38,'abrasion emissions'!$I$7:$I$38,"PM 2.5",'abrasion emissions'!$K$7:$K$38,"Road",'abrasion emissions'!$L$7:$L$38,"b")*POWER(('vehicles specifications'!$Q104/1000),(1/SUMIFS('abrasion emissions'!$M$7:$M$38,'abrasion emissions'!$I$7:$I$38,"PM 2.5",'abrasion emissions'!$K$7:$K$38,"Road",'abrasion emissions'!$L$7:$L$38,"c"))))+
(SUMIFS('abrasion emissions'!$M$7:$M$38,'abrasion emissions'!$I$7:$I$38,"PM 10",'abrasion emissions'!$K$7:$K$38,"Road",'abrasion emissions'!$L$7:$L$38,"b")*POWER(('vehicles specifications'!$Q104/1000),(1/SUMIFS('abrasion emissions'!$M$7:$M$38,'abrasion emissions'!$I$7:$I$38,"PM 10",'abrasion emissions'!$K$7:$K$38,"Road",'abrasion emissions'!$L$7:$L$38,"c")))))/1000000+CT104</f>
        <v>7.4446697179391853E-6</v>
      </c>
      <c r="CV104" s="7">
        <f>(CK104*CN104)+(CL104*CO104)+(CM104*CP104)</f>
        <v>5.6956916201838731E-6</v>
      </c>
      <c r="CW104" s="7">
        <f>(CK104*CQ104)+(CL104*CR104)+(CM104*CS104)</f>
        <v>4.0697614810124742E-6</v>
      </c>
    </row>
    <row r="105">
      <c r="A105" t="str">
        <f>B105&amp;" - "&amp;D105&amp;" - "&amp;IF(I105&lt;&gt;"",I105&amp;" - "&amp;E105,E105)</f>
        <v>Motorbike, gasoline, 4-11kW, EURO-5 - 2040 - CH</v>
      </c>
      <c r="B105" t="inlineStr">
        <is>
          <t>Motorbike, gasoline, 4-11kW, EURO-5</t>
        </is>
      </c>
      <c r="D105" s="18" t="n">
        <v>2040</v>
      </c>
      <c r="E105" t="inlineStr">
        <is>
          <t>CH</t>
        </is>
      </c>
      <c r="F105" t="inlineStr">
        <is>
          <t>EURO-5</t>
        </is>
      </c>
      <c r="G105" t="inlineStr">
        <is>
          <t>vkm</t>
        </is>
      </c>
      <c r="H105" t="inlineStr">
        <is>
          <t>ICEV-p</t>
        </is>
      </c>
      <c r="J105" t="n">
        <v>25000</v>
      </c>
      <c r="K105" t="n">
        <v>1776</v>
      </c>
      <c r="L105" s="2">
        <f>J105/K105</f>
        <v>14.076576576576576</v>
      </c>
      <c r="M105" t="n">
        <v>1.1</v>
      </c>
      <c r="N105" t="n">
        <v>75</v>
      </c>
      <c r="O105" t="n">
        <v>6</v>
      </c>
      <c r="P105" s="2">
        <f>SUM(U105,V105,W105,AC105,AF105,AH105)</f>
        <v>115.728314484542</v>
      </c>
      <c r="Q105" s="2">
        <f>P105+(M105*N105)+O105</f>
        <v>204.22831448454201</v>
      </c>
      <c r="R105" t="n">
        <v>9</v>
      </c>
      <c r="S105" s="2" t="n">
        <v>65.43382696032849</v>
      </c>
      <c r="T105" s="1" t="n">
        <v>0.05</v>
      </c>
      <c r="U105" s="2">
        <f>S105*(1-T105)</f>
        <v>62.162135612312063</v>
      </c>
      <c r="V105" s="2">
        <f>0.7*S105</f>
        <v>45.803678872229938</v>
      </c>
      <c r="W105" s="2" t="n">
        <v>0</v>
      </c>
      <c r="X105" s="3" t="n">
        <v>0</v>
      </c>
      <c r="Y105" s="1" t="n">
        <v>0.8</v>
      </c>
      <c r="Z105" s="3">
        <f>Y105*X105</f>
        <v>0</v>
      </c>
      <c r="AA105" s="3">
        <f>IF(I105&lt;&gt;"",X105/INDEX('energy battery'!$B$3:$D$6,MATCH('vehicles specifications'!$D105,'energy battery'!$A$3:$A$6,0),MATCH('vehicles specifications'!$I105,'energy battery'!$B$2:$D$2,0)),"")</f>
        <v/>
      </c>
      <c r="AB105" s="3">
        <f>IF(AA105&lt;&gt;"",0.3*AA105,"")</f>
        <v/>
      </c>
      <c r="AC105" s="3">
        <f>IF(AA105&lt;&gt;"",AB105+AA105,"")</f>
        <v/>
      </c>
      <c r="AD105" s="3" t="n">
        <v>0</v>
      </c>
      <c r="AE105" s="3" t="n">
        <v>9</v>
      </c>
      <c r="AF105">
        <f>AE105*'fuels and tailpipe emissions'!$B$3</f>
        <v>6.75</v>
      </c>
      <c r="AG105" s="2">
        <f>AF105*'fuels and tailpipe emissions'!$C$3</f>
        <v>79.875</v>
      </c>
      <c r="AH105" s="3">
        <f>0.15*AF105</f>
        <v>1.0125</v>
      </c>
      <c r="AI105" s="3" t="n">
        <v>0</v>
      </c>
      <c r="AJ105" s="3" t="n">
        <v>0</v>
      </c>
      <c r="AK105">
        <f>J105/25000</f>
        <v>1</v>
      </c>
      <c r="AL105">
        <f>0.000537/1000*Q105</f>
        <v>1.0967060487819905E-4</v>
      </c>
      <c r="AM105" t="n">
        <v>0.00129</v>
      </c>
      <c r="AN105" s="2">
        <f>U105</f>
        <v>62.162135612312063</v>
      </c>
      <c r="AO105" s="2">
        <f>SUM(V105:W105)</f>
        <v>45.803678872229938</v>
      </c>
      <c r="AP105" s="2">
        <f>AC105</f>
        <v/>
      </c>
      <c r="AQ105" s="6" t="n">
        <v>0.9857471491165799</v>
      </c>
      <c r="AR105" s="20" t="n">
        <v>0.012</v>
      </c>
      <c r="AS105" s="6">
        <f>IF($H105="BEV",SUMPRODUCT(#REF!,#REF!),"")</f>
        <v/>
      </c>
      <c r="AT105" s="2">
        <f>SUM(Z105,AG105)/(SUM(AQ105,AS105)/3.6)</f>
        <v>291.70766586309725</v>
      </c>
      <c r="AU105" s="5">
        <f>IF($H105="ICEV-p",$AQ105/('fuels and tailpipe emissions'!$C$3*3.6)*'fuels and tailpipe emissions'!$D$3,"")*(1-AR105)</f>
        <v>7.1786457644303941E-2</v>
      </c>
      <c r="AV105" s="5">
        <f>IF($H105="ICEV-p",$AQ105/('fuels and tailpipe emissions'!$C$3*3.6)*'fuels and tailpipe emissions'!$D$3,"")*AR105</f>
        <v>8.7190029527494674E-4</v>
      </c>
      <c r="AW105" s="7">
        <f>IF($H105="ICEV-p",$AQ105/('fuels and tailpipe emissions'!$C$3*3.6)*'fuels and tailpipe emissions'!$E$3,"")</f>
        <v>3.7023367102970135E-7</v>
      </c>
      <c r="AX105" s="7">
        <f>SUMIFS('fuels and tailpipe emissions'!$F$10:$F$126,'fuels and tailpipe emissions'!$A$10:$A$126,'vehicles specifications'!$F105,'fuels and tailpipe emissions'!$B$10:$B$126,'vehicles specifications'!AX$2)/1000*$AQ105</f>
        <v>2.9430983328031398E-6</v>
      </c>
      <c r="AY105" s="7">
        <f>SUMIFS('fuels and tailpipe emissions'!$F$10:$F$126,'fuels and tailpipe emissions'!$A$10:$A$126,'vehicles specifications'!$F105,'fuels and tailpipe emissions'!$B$10:$B$126,'vehicles specifications'!AY$2)/1000*$AQ105</f>
        <v>5.4634644234879682E-5</v>
      </c>
      <c r="AZ105" s="7">
        <f>SUMIFS('fuels and tailpipe emissions'!$F$10:$F$126,'fuels and tailpipe emissions'!$A$10:$A$126,'vehicles specifications'!$F105,'fuels and tailpipe emissions'!$B$10:$B$126,'vehicles specifications'!AZ$2)/1000*$AQ105</f>
        <v>6.982460007876497E-4</v>
      </c>
      <c r="BA105" s="7">
        <f>SUMIFS('fuels and tailpipe emissions'!$F$10:$F$126,'fuels and tailpipe emissions'!$A$10:$A$126,'vehicles specifications'!$F105,'fuels and tailpipe emissions'!$B$10:$B$126,'vehicles specifications'!BA$2)/1000*$AQ105</f>
        <v>1.9512372941028455E-6</v>
      </c>
      <c r="BB105" s="7">
        <f>SUMIFS('fuels and tailpipe emissions'!$F$10:$F$126,'fuels and tailpipe emissions'!$A$10:$A$126,'vehicles specifications'!$F105,'fuels and tailpipe emissions'!$B$10:$B$126,'vehicles specifications'!BB$2)/1000*$AQ105</f>
        <v>1.9512372941028455E-6</v>
      </c>
      <c r="BC105" s="7">
        <f>SUMIFS('fuels and tailpipe emissions'!$F$10:$F$126,'fuels and tailpipe emissions'!$A$10:$A$126,'vehicles specifications'!$F105,'fuels and tailpipe emissions'!$B$10:$B$126,'vehicles specifications'!BC$2)/1000*$AQ105</f>
        <v>1.795103735793305E-5</v>
      </c>
      <c r="BD105" s="7">
        <f>SUMIFS('fuels and tailpipe emissions'!$F$10:$F$126,'fuels and tailpipe emissions'!$A$10:$A$126,'vehicles specifications'!$F105,'fuels and tailpipe emissions'!$B$10:$B$126,'vehicles specifications'!BD$2)/1000*$AQ105</f>
        <v>4.8780932352571135E-6</v>
      </c>
      <c r="BE105" s="7">
        <f>SUMIFS('fuels and tailpipe emissions'!$F$10:$F$126,'fuels and tailpipe emissions'!$A$10:$A$126,'vehicles specifications'!$F105,'fuels and tailpipe emissions'!$B$10:$B$126,'vehicles specifications'!BE$2)/1000*$AQ105</f>
        <v>2.3733648587524791E-5</v>
      </c>
      <c r="BF105" s="7">
        <f>SUMIFS('fuels and tailpipe emissions'!$F$10:$F$126,'fuels and tailpipe emissions'!$A$10:$A$126,'vehicles specifications'!$F105,'fuels and tailpipe emissions'!$B$10:$B$126,'vehicles specifications'!BF$2)/1000*$AQ105</f>
        <v>1.6735265029664914E-6</v>
      </c>
      <c r="BG105" s="7">
        <f>SUMIFS('fuels and tailpipe emissions'!$F$10:$F$126,'fuels and tailpipe emissions'!$A$10:$A$126,'vehicles specifications'!$F105,'fuels and tailpipe emissions'!$B$10:$B$126,'vehicles specifications'!BG$2)/1000*$AQ105</f>
        <v>3.4100069809662051E-7</v>
      </c>
      <c r="BH105" s="7">
        <f>SUMIFS('fuels and tailpipe emissions'!$F$10:$F$126,'fuels and tailpipe emissions'!$A$10:$A$126,'vehicles specifications'!$F105,'fuels and tailpipe emissions'!$B$10:$B$126,'vehicles specifications'!BH$2)/1000*$AQ105</f>
        <v>2.7489902431173722E-6</v>
      </c>
      <c r="BI105" s="7">
        <f>SUMIFS('fuels and tailpipe emissions'!$F$10:$F$126,'fuels and tailpipe emissions'!$A$10:$A$126,'vehicles specifications'!$F105,'fuels and tailpipe emissions'!$B$10:$B$126,'vehicles specifications'!BI$2)/1000*$AQ105</f>
        <v>1.1279253860118987E-6</v>
      </c>
      <c r="BJ105" s="7">
        <f>SUMIFS('fuels and tailpipe emissions'!$F$10:$F$126,'fuels and tailpipe emissions'!$A$10:$A$126,'vehicles specifications'!$F105,'fuels and tailpipe emissions'!$B$10:$B$126,'vehicles specifications'!BJ$2)/1000*$AQ105</f>
        <v>8.4463249836239867E-7</v>
      </c>
      <c r="BK105" s="7">
        <f>SUMIFS('fuels and tailpipe emissions'!$F$10:$F$126,'fuels and tailpipe emissions'!$A$10:$A$126,'vehicles specifications'!$F105,'fuels and tailpipe emissions'!$B$10:$B$126,'vehicles specifications'!BK$2)/1000*$AQ105</f>
        <v>5.9806276281561148E-7</v>
      </c>
      <c r="BL105" s="7">
        <f>SUMIFS('fuels and tailpipe emissions'!$F$10:$F$126,'fuels and tailpipe emissions'!$A$10:$A$126,'vehicles specifications'!$F105,'fuels and tailpipe emissions'!$B$10:$B$126,'vehicles specifications'!BL$2)/1000*$AQ105</f>
        <v>3.8821617937153727E-7</v>
      </c>
      <c r="BM105" s="7">
        <f>SUMIFS('fuels and tailpipe emissions'!$F$10:$F$126,'fuels and tailpipe emissions'!$A$10:$A$126,'vehicles specifications'!$F105,'fuels and tailpipe emissions'!$B$10:$B$126,'vehicles specifications'!BM$2)/1000*$AQ105</f>
        <v>3.8297001478543544E-6</v>
      </c>
      <c r="BN105" s="7">
        <f>SUMIFS('fuels and tailpipe emissions'!$F$10:$F$126,'fuels and tailpipe emissions'!$A$10:$A$126,'vehicles specifications'!$F105,'fuels and tailpipe emissions'!$B$10:$B$126,'vehicles specifications'!BN$2)/1000*$AQ105</f>
        <v>2.0040348718909082E-6</v>
      </c>
      <c r="BO105" s="7">
        <f>SUMIFS('fuels and tailpipe emissions'!$F$10:$F$126,'fuels and tailpipe emissions'!$A$10:$A$126,'vehicles specifications'!$F105,'fuels and tailpipe emissions'!$B$10:$B$126,'vehicles specifications'!BO$2)/1000*$AQ105</f>
        <v>5.7707810447120405E-8</v>
      </c>
      <c r="BP105" s="7">
        <f>SUMIFS('fuels and tailpipe emissions'!$F$10:$F$126,'fuels and tailpipe emissions'!$A$10:$A$126,'vehicles specifications'!$F105,'fuels and tailpipe emissions'!$B$10:$B$126,'vehicles specifications'!BP$2)/1000*$AQ105</f>
        <v>2.9430983328031398E-6</v>
      </c>
      <c r="BQ105" s="7">
        <f>SUMIFS('fuels and tailpipe emissions'!$F$10:$F$126,'fuels and tailpipe emissions'!$A$10:$A$126,'vehicles specifications'!$F105,'fuels and tailpipe emissions'!$B$10:$B$126,'vehicles specifications'!BQ$2)/1000*$AQ105</f>
        <v>5.7602887155398365E-6</v>
      </c>
      <c r="BR105" s="7">
        <f>SUMIFS('fuels and tailpipe emissions'!$F$10:$F$126,'fuels and tailpipe emissions'!$A$10:$A$126,'vehicles specifications'!$F105,'fuels and tailpipe emissions'!$B$10:$B$126,'vehicles specifications'!BR$2)/1000*$AQ105</f>
        <v>2.8486673702533073E-6</v>
      </c>
      <c r="BS105" s="7">
        <f>SUMIFS('fuels and tailpipe emissions'!$F$10:$F$126,'fuels and tailpipe emissions'!$A$10:$A$126,'vehicles specifications'!$F105,'fuels and tailpipe emissions'!$B$10:$B$126,'vehicles specifications'!BS$2)/1000*$AQ105</f>
        <v>1.1856331964590191E-6</v>
      </c>
      <c r="BT105" s="7">
        <f>SUMIFS('fuels and tailpipe emissions'!$F$10:$F$126,'fuels and tailpipe emissions'!$A$10:$A$126,'vehicles specifications'!$F105,'fuels and tailpipe emissions'!$B$10:$B$126,'vehicles specifications'!BT$2)/1000*$AQ105</f>
        <v>8.9184797963731528E-7</v>
      </c>
      <c r="BU105" s="7">
        <f>SUMIFS('fuels and tailpipe emissions'!$F$10:$F$126,'fuels and tailpipe emissions'!$A$10:$A$126,'vehicles specifications'!$F105,'fuels and tailpipe emissions'!$B$10:$B$126,'vehicles specifications'!BU$2)/1000*$AQ105</f>
        <v>3.9346234395763905E-7</v>
      </c>
      <c r="BV105" s="7">
        <f>SUMIFS('fuels and tailpipe emissions'!$F$10:$F$126,'fuels and tailpipe emissions'!$A$10:$A$126,'vehicles specifications'!$F105,'fuels and tailpipe emissions'!$B$10:$B$126,'vehicles specifications'!BV$2)/1000*$AQ105</f>
        <v>1.1541562089424081E-7</v>
      </c>
      <c r="BW105" s="7">
        <f>SUMIFS('fuels and tailpipe emissions'!$F$10:$F$126,'fuels and tailpipe emissions'!$A$10:$A$126,'vehicles specifications'!$F105,'fuels and tailpipe emissions'!$B$10:$B$126,'vehicles specifications'!BW$2)/1000*$AQ105</f>
        <v>3.2001603975221312E-7</v>
      </c>
      <c r="BX105" s="7">
        <f>SUMIFS('fuels and tailpipe emissions'!$F$10:$F$126,'fuels and tailpipe emissions'!$A$10:$A$126,'vehicles specifications'!$F105,'fuels and tailpipe emissions'!$B$10:$B$126,'vehicles specifications'!BX$2)/1000*$AQ105</f>
        <v>0</v>
      </c>
      <c r="BY105" s="7">
        <f>SUMIFS('fuels and tailpipe emissions'!$F$10:$F$126,'fuels and tailpipe emissions'!$A$10:$A$126,'vehicles specifications'!$F105,'fuels and tailpipe emissions'!$B$10:$B$126,'vehicles specifications'!BY$2)/1000*$AQ105</f>
        <v>9.9677127135935233E-8</v>
      </c>
      <c r="BZ105" s="7">
        <f>SUMIFS('fuels and tailpipe emissions'!$F$10:$F$126,'fuels and tailpipe emissions'!$A$10:$A$126,'vehicles specifications'!$F105,'fuels and tailpipe emissions'!$B$10:$B$126,'vehicles specifications'!BZ$2)/1000*$AQ105</f>
        <v>5.2986262319628733E-7</v>
      </c>
      <c r="CA105" s="7">
        <f>SUMIFS('fuels and tailpipe emissions'!$F$10:$F$126,'fuels and tailpipe emissions'!$A$10:$A$126,'vehicles specifications'!$F105,'fuels and tailpipe emissions'!$B$10:$B$126,'vehicles specifications'!CA$2)/1000*$AQ105</f>
        <v>8.0715295974722312E-10</v>
      </c>
      <c r="CB105" s="7">
        <f>SUMIFS('fuels and tailpipe emissions'!$F$10:$F$126,'fuels and tailpipe emissions'!$A$10:$A$126,'vehicles specifications'!$F105,'fuels and tailpipe emissions'!$B$10:$B$126,'vehicles specifications'!CB$2)/1000*$AQ105</f>
        <v>6.9582151702346818E-12</v>
      </c>
      <c r="CC105" s="7">
        <f>SUMIFS('fuels and tailpipe emissions'!$F$10:$F$126,'fuels and tailpipe emissions'!$A$10:$A$126,'vehicles specifications'!$F105,'fuels and tailpipe emissions'!$B$10:$B$126,'vehicles specifications'!CC$2)/1000*$AQ105</f>
        <v>4.6388101134897876E-12</v>
      </c>
      <c r="CD105" s="7">
        <f>SUMIFS('fuels and tailpipe emissions'!$F$10:$F$126,'fuels and tailpipe emissions'!$A$10:$A$126,'vehicles specifications'!$F105,'fuels and tailpipe emissions'!$B$10:$B$126,'vehicles specifications'!CD$2)/1000*$AQ105</f>
        <v>5.0099149225689714E-8</v>
      </c>
      <c r="CE105" s="7">
        <f>SUMIFS('fuels and tailpipe emissions'!$F$10:$F$126,'fuels and tailpipe emissions'!$A$10:$A$126,'vehicles specifications'!$F105,'fuels and tailpipe emissions'!$B$10:$B$126,'vehicles specifications'!CE$2)/1000*$AQ105</f>
        <v>9.7415012383285542E-10</v>
      </c>
      <c r="CF105" s="7">
        <f>SUMIFS('fuels and tailpipe emissions'!$F$10:$F$126,'fuels and tailpipe emissions'!$A$10:$A$126,'vehicles specifications'!$F105,'fuels and tailpipe emissions'!$B$10:$B$126,'vehicles specifications'!CF$2)/1000*$AQ105</f>
        <v>3.0152265737683623E-10</v>
      </c>
      <c r="CG105" s="7">
        <f>SUMIFS('fuels and tailpipe emissions'!$F$10:$F$126,'fuels and tailpipe emissions'!$A$10:$A$126,'vehicles specifications'!$F105,'fuels and tailpipe emissions'!$B$10:$B$126,'vehicles specifications'!CG$2)/1000*$AQ105</f>
        <v>3.7110480907918307E-10</v>
      </c>
      <c r="CH105" s="7">
        <f>SUMIFS('fuels and tailpipe emissions'!$F$10:$F$126,'fuels and tailpipe emissions'!$A$10:$A$126,'vehicles specifications'!$F105,'fuels and tailpipe emissions'!$B$10:$B$126,'vehicles specifications'!CH$2)/1000*$AQ105</f>
        <v>7.4220961815836594E-13</v>
      </c>
      <c r="CI105" s="7">
        <f>SUMIFS('fuels and tailpipe emissions'!$F$10:$F$126,'fuels and tailpipe emissions'!$A$10:$A$126,'vehicles specifications'!$F105,'fuels and tailpipe emissions'!$B$10:$B$126,'vehicles specifications'!CI$2)/1000*$AQ105</f>
        <v>2.0178823993680578E-10</v>
      </c>
      <c r="CJ105" s="7">
        <f>SUMIFS('fuels and tailpipe emissions'!$F$10:$F$126,'fuels and tailpipe emissions'!$A$10:$A$126,'vehicles specifications'!$F105,'fuels and tailpipe emissions'!$B$10:$B$126,'vehicles specifications'!CJ$2)/1000*$AQ105</f>
        <v>2.5049574612844861E-10</v>
      </c>
      <c r="CK105" s="38">
        <f>VLOOKUP($B105,'abrasion emissions'!$O$7:$R$36,2,FALSE)</f>
        <v>0.5</v>
      </c>
      <c r="CL105" s="38">
        <f>VLOOKUP($B105,'abrasion emissions'!$O$7:$R$36,3,FALSE)</f>
        <v>0.5</v>
      </c>
      <c r="CM105" s="38">
        <f>VLOOKUP($B105,'abrasion emissions'!$O$7:$R$36,4,FALSE)</f>
        <v>0</v>
      </c>
      <c r="CN105" s="7">
        <f>((SUMIFS('abrasion emissions'!$M$7:$M$34,'abrasion emissions'!$I$7:$I$34,"PM 2.5",'abrasion emissions'!$J$7:$J$34,"urban",'abrasion emissions'!$K$7:$K$34,"Tyre",'abrasion emissions'!$L$7:$L$34,"b")*POWER(('vehicles specifications'!$Q105/1000),(1/SUMIFS('abrasion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specifications'!$P105/1000),(1/SUMIFS('abrasion emissions'!$M$7:$M$34,'abrasion emissions'!$I$7:$I$34,"PM 10",'abrasion emissions'!$J$7:$J$34,"urban",'abrasion emissions'!$K$7:$K$34,"Tyre",'abrasion emissions'!$L$7:$L$34,"c")))))/1000000</f>
        <v>6.381268355654537E-6</v>
      </c>
      <c r="CO105" s="7">
        <f>((SUMIFS('abrasion emissions'!$M$7:$M$34,'abrasion emissions'!$I$7:$I$34,"PM 2.5",'abrasion emissions'!$J$7:$J$34,"rural",'abrasion emissions'!$K$7:$K$34,"Tyre",'abrasion emissions'!$L$7:$L$34,"b")*POWER(('vehicles specifications'!$Q105/1000),(1/SUMIFS('abrasion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specifications'!$P105/1000),(1/SUMIFS('abrasion emissions'!$M$7:$M$34,'abrasion emissions'!$I$7:$I$34,"PM 10",'abrasion emissions'!$J$7:$J$34,"rural",'abrasion emissions'!$K$7:$K$34,"Tyre",'abrasion emissions'!$L$7:$L$34,"c")))))/1000000</f>
        <v>4.9699968262210205E-6</v>
      </c>
      <c r="CP105" s="7">
        <f>((SUMIFS('abrasion emissions'!$M$7:$M$34,'abrasion emissions'!$I$7:$I$34,"PM 2.5",'abrasion emissions'!$J$7:$J$34,"motorway",'abrasion emissions'!$K$7:$K$34,"Tyre",'abrasion emissions'!$L$7:$L$34,"b")*POWER(('vehicles specifications'!$Q105/1000),(1/SUMIFS('abrasion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specifications'!$P105/1000),(1/SUMIFS('abrasion emissions'!$M$7:$M$34,'abrasion emissions'!$I$7:$I$34,"PM 10",'abrasion emissions'!$J$7:$J$34,"motorway",'abrasion emissions'!$K$7:$K$34,"Tyre",'abrasion emissions'!$L$7:$L$34,"c")))))/1000000</f>
        <v>4.2447829930550182E-6</v>
      </c>
      <c r="CQ105" s="7">
        <f>((SUMIFS('abrasion emissions'!$M$7:$M$34,'abrasion emissions'!$I$7:$I$34,"PM 2.5",'abrasion emissions'!$J$7:$J$34,"urban",'abrasion emissions'!$K$7:$K$34,"Brake",'abrasion emissions'!$L$7:$L$34,"b")*POWER(('vehicles specifications'!$Q105/1000),(1/SUMIFS('abrasion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specifications'!$P105/1000),(1/SUMIFS('abrasion emissions'!$M$7:$M$34,'abrasion emissions'!$I$7:$I$34,"PM 10",'abrasion emissions'!$J$7:$J$34,"urban",'abrasion emissions'!$K$7:$K$34,"Brake",'abrasion emissions'!$L$7:$L$34,"c")))))/1000000</f>
        <v>6.1175220076877672E-6</v>
      </c>
      <c r="CR105" s="7">
        <f>((SUMIFS('abrasion emissions'!$M$7:$M$34,'abrasion emissions'!$I$7:$I$34,"PM 2.5",'abrasion emissions'!$J$7:$J$34,"rural",'abrasion emissions'!$K$7:$K$34,"Brake",'abrasion emissions'!$L$7:$L$34,"b")*POWER(('vehicles specifications'!$Q105/1000),(1/SUMIFS('abrasion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specifications'!$P105/1000),(1/SUMIFS('abrasion emissions'!$M$7:$M$34,'abrasion emissions'!$I$7:$I$34,"PM 10",'abrasion emissions'!$J$7:$J$34,"rural",'abrasion emissions'!$K$7:$K$34,"Brake",'abrasion emissions'!$L$7:$L$34,"c")))))/1000000</f>
        <v>1.9880569676362356E-6</v>
      </c>
      <c r="CS105" s="7">
        <f>((SUMIFS('abrasion emissions'!$M$7:$M$34,'abrasion emissions'!$I$7:$I$34,"PM 2.5",'abrasion emissions'!$J$7:$J$34,"motorway",'abrasion emissions'!$K$7:$K$34,"Brake",'abrasion emissions'!$L$7:$L$34,"b")*POWER(('vehicles specifications'!$Q105/1000),(1/SUMIFS('abrasion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specifications'!$P105/1000),(1/SUMIFS('abrasion emissions'!$M$7:$M$34,'abrasion emissions'!$I$7:$I$34,"PM 10",'abrasion emissions'!$J$7:$J$34,"motorway",'abrasion emissions'!$K$7:$K$34,"Brake",'abrasion emissions'!$L$7:$L$34,"c")))))/1000000</f>
        <v>3.7080198811768085E-7</v>
      </c>
      <c r="CT105" s="7">
        <f>((SUMIFS('abrasion emissions'!$M$7:$M$38,'abrasion emissions'!$I$7:$I$38,"PM 2.5",'abrasion emissions'!$K$7:$K$38,"Re-susp.",'abrasion emissions'!$L$7:$L$38,"b")*POWER(('vehicles specifications'!$Q105/1000),(1/SUMIFS('abrasion emissions'!$M$7:$M$38,'abrasion emissions'!$I$7:$I$38,"PM 2.5",'abrasion emissions'!$K$7:$K$38,"Re-susp.",'abrasion emissions'!$L$7:$L$38,"c"))))+
(SUMIFS('abrasion emissions'!$M$7:$M$38,'abrasion emissions'!$I$7:$I$38,"PM 10",'abrasion emissions'!$K$7:$K$38,"Re-susp.",'abrasion emissions'!$L$7:$L$38,"b")*POWER(('vehicles specifications'!$Q105/1000),(1/SUMIFS('abrasion emissions'!$M$7:$M$38,'abrasion emissions'!$I$7:$I$38,"PM 10",'abrasion emissions'!$K$7:$K$38,"Re-susp.",'abrasion emissions'!$L$7:$L$38,"c")))))/1000000</f>
        <v>3.8696931853850677E-6</v>
      </c>
      <c r="CU105" s="7">
        <f>((SUMIFS('abrasion emissions'!$M$7:$M$38,'abrasion emissions'!$I$7:$I$38,"PM 2.5",'abrasion emissions'!$K$7:$K$38,"Road",'abrasion emissions'!$L$7:$L$38,"b")*POWER(('vehicles specifications'!$Q105/1000),(1/SUMIFS('abrasion emissions'!$M$7:$M$38,'abrasion emissions'!$I$7:$I$38,"PM 2.5",'abrasion emissions'!$K$7:$K$38,"Road",'abrasion emissions'!$L$7:$L$38,"c"))))+
(SUMIFS('abrasion emissions'!$M$7:$M$38,'abrasion emissions'!$I$7:$I$38,"PM 10",'abrasion emissions'!$K$7:$K$38,"Road",'abrasion emissions'!$L$7:$L$38,"b")*POWER(('vehicles specifications'!$Q105/1000),(1/SUMIFS('abrasion emissions'!$M$7:$M$38,'abrasion emissions'!$I$7:$I$38,"PM 10",'abrasion emissions'!$K$7:$K$38,"Road",'abrasion emissions'!$L$7:$L$38,"c")))))/1000000+CT105</f>
        <v>7.4070386322459766E-6</v>
      </c>
      <c r="CV105" s="7">
        <f>(CK105*CN105)+(CL105*CO105)+(CM105*CP105)</f>
        <v>5.6756325909377783E-6</v>
      </c>
      <c r="CW105" s="7">
        <f>(CK105*CQ105)+(CL105*CR105)+(CM105*CS105)</f>
        <v>4.0527894876620012E-6</v>
      </c>
    </row>
    <row r="106">
      <c r="A106" t="str">
        <f>B106&amp;" - "&amp;D106&amp;" - "&amp;IF(I106&lt;&gt;"",I106&amp;" - "&amp;E106,E106)</f>
        <v>Motorbike, gasoline, 4-11kW, EURO-5 - 2050 - CH</v>
      </c>
      <c r="B106" t="inlineStr">
        <is>
          <t>Motorbike, gasoline, 4-11kW, EURO-5</t>
        </is>
      </c>
      <c r="D106" s="18" t="n">
        <v>2050</v>
      </c>
      <c r="E106" t="inlineStr">
        <is>
          <t>CH</t>
        </is>
      </c>
      <c r="F106" t="inlineStr">
        <is>
          <t>EURO-5</t>
        </is>
      </c>
      <c r="G106" t="inlineStr">
        <is>
          <t>vkm</t>
        </is>
      </c>
      <c r="H106" t="inlineStr">
        <is>
          <t>ICEV-p</t>
        </is>
      </c>
      <c r="J106" t="n">
        <v>25000</v>
      </c>
      <c r="K106" t="n">
        <v>1776</v>
      </c>
      <c r="L106" s="2">
        <f>J106/K106</f>
        <v>14.076576576576576</v>
      </c>
      <c r="M106" t="n">
        <v>1.1</v>
      </c>
      <c r="N106" t="n">
        <v>75</v>
      </c>
      <c r="O106" t="n">
        <v>6</v>
      </c>
      <c r="P106" s="2">
        <f>SUM(U106,V106,W106,AC106,AF106,AH106)</f>
        <v>114.41963794533542</v>
      </c>
      <c r="Q106" s="2">
        <f>P106+(M106*N106)+O106</f>
        <v>202.91963794533541</v>
      </c>
      <c r="R106" t="n">
        <v>9</v>
      </c>
      <c r="S106" s="2" t="n">
        <v>65.43382696032849</v>
      </c>
      <c r="T106" s="1" t="n">
        <v>0.07000000000000001</v>
      </c>
      <c r="U106" s="2">
        <f>S106*(1-T106)</f>
        <v>60.853459073105491</v>
      </c>
      <c r="V106" s="2">
        <f>0.7*S106</f>
        <v>45.803678872229938</v>
      </c>
      <c r="W106" s="2" t="n">
        <v>0</v>
      </c>
      <c r="X106" s="3" t="n">
        <v>0</v>
      </c>
      <c r="Y106" s="1" t="n">
        <v>0.8</v>
      </c>
      <c r="Z106" s="3">
        <f>Y106*X106</f>
        <v>0</v>
      </c>
      <c r="AA106" s="3">
        <f>IF(I106&lt;&gt;"",X106/INDEX('energy battery'!$B$3:$D$6,MATCH('vehicles specifications'!$D106,'energy battery'!$A$3:$A$6,0),MATCH('vehicles specifications'!$I106,'energy battery'!$B$2:$D$2,0)),"")</f>
        <v/>
      </c>
      <c r="AB106" s="3">
        <f>IF(AA106&lt;&gt;"",0.3*AA106,"")</f>
        <v/>
      </c>
      <c r="AC106" s="3">
        <f>IF(AA106&lt;&gt;"",AB106+AA106,"")</f>
        <v/>
      </c>
      <c r="AD106" s="3" t="n">
        <v>0</v>
      </c>
      <c r="AE106" s="3" t="n">
        <v>9</v>
      </c>
      <c r="AF106">
        <f>AE106*'fuels and tailpipe emissions'!$B$3</f>
        <v>6.75</v>
      </c>
      <c r="AG106" s="2">
        <f>AF106*'fuels and tailpipe emissions'!$C$3</f>
        <v>79.875</v>
      </c>
      <c r="AH106" s="3">
        <f>0.15*AF106</f>
        <v>1.0125</v>
      </c>
      <c r="AI106" s="3" t="n">
        <v>0</v>
      </c>
      <c r="AJ106" s="3" t="n">
        <v>0</v>
      </c>
      <c r="AK106">
        <f>J106/25000</f>
        <v>1</v>
      </c>
      <c r="AL106">
        <f>0.000537/1000*Q106</f>
        <v>1.0896784557664511E-4</v>
      </c>
      <c r="AM106" t="n">
        <v>0.00129</v>
      </c>
      <c r="AN106" s="2">
        <f>U106</f>
        <v>60.853459073105491</v>
      </c>
      <c r="AO106" s="2">
        <f>SUM(V106:W106)</f>
        <v>45.803678872229938</v>
      </c>
      <c r="AP106" s="2">
        <f>AC106</f>
        <v/>
      </c>
      <c r="AQ106" s="6" t="n">
        <v>0.9758896776254141</v>
      </c>
      <c r="AR106" s="20" t="n">
        <v>0.012</v>
      </c>
      <c r="AS106" s="6">
        <f>IF($H106="BEV",SUMPRODUCT(#REF!,#REF!),"")</f>
        <v/>
      </c>
      <c r="AT106" s="2">
        <f>SUM(Z106,AG106)/(SUM(AQ106,AS106)/3.6)</f>
        <v>294.65420794252248</v>
      </c>
      <c r="AU106" s="5">
        <f>IF($H106="ICEV-p",$AQ106/('fuels and tailpipe emissions'!$C$3*3.6)*'fuels and tailpipe emissions'!$D$3,"")*(1-AR106)</f>
        <v>7.1068593067860911E-2</v>
      </c>
      <c r="AV106" s="5">
        <f>IF($H106="ICEV-p",$AQ106/('fuels and tailpipe emissions'!$C$3*3.6)*'fuels and tailpipe emissions'!$D$3,"")*AR106</f>
        <v>8.6318129232219735E-4</v>
      </c>
      <c r="AW106" s="7">
        <f>IF($H106="ICEV-p",$AQ106/('fuels and tailpipe emissions'!$C$3*3.6)*'fuels and tailpipe emissions'!$E$3,"")</f>
        <v>3.6653133431940438E-7</v>
      </c>
      <c r="AX106" s="7">
        <f>SUMIFS('fuels and tailpipe emissions'!$F$10:$F$126,'fuels and tailpipe emissions'!$A$10:$A$126,'vehicles specifications'!$F106,'fuels and tailpipe emissions'!$B$10:$B$126,'vehicles specifications'!AX$2)/1000*$AQ106</f>
        <v>2.9136673494751086E-6</v>
      </c>
      <c r="AY106" s="7">
        <f>SUMIFS('fuels and tailpipe emissions'!$F$10:$F$126,'fuels and tailpipe emissions'!$A$10:$A$126,'vehicles specifications'!$F106,'fuels and tailpipe emissions'!$B$10:$B$126,'vehicles specifications'!AY$2)/1000*$AQ106</f>
        <v>5.4088297792530884E-5</v>
      </c>
      <c r="AZ106" s="7">
        <f>SUMIFS('fuels and tailpipe emissions'!$F$10:$F$126,'fuels and tailpipe emissions'!$A$10:$A$126,'vehicles specifications'!$F106,'fuels and tailpipe emissions'!$B$10:$B$126,'vehicles specifications'!AZ$2)/1000*$AQ106</f>
        <v>6.912635407797733E-4</v>
      </c>
      <c r="BA106" s="7">
        <f>SUMIFS('fuels and tailpipe emissions'!$F$10:$F$126,'fuels and tailpipe emissions'!$A$10:$A$126,'vehicles specifications'!$F106,'fuels and tailpipe emissions'!$B$10:$B$126,'vehicles specifications'!BA$2)/1000*$AQ106</f>
        <v>1.9317249211618169E-6</v>
      </c>
      <c r="BB106" s="7">
        <f>SUMIFS('fuels and tailpipe emissions'!$F$10:$F$126,'fuels and tailpipe emissions'!$A$10:$A$126,'vehicles specifications'!$F106,'fuels and tailpipe emissions'!$B$10:$B$126,'vehicles specifications'!BB$2)/1000*$AQ106</f>
        <v>1.9317249211618169E-6</v>
      </c>
      <c r="BC106" s="7">
        <f>SUMIFS('fuels and tailpipe emissions'!$F$10:$F$126,'fuels and tailpipe emissions'!$A$10:$A$126,'vehicles specifications'!$F106,'fuels and tailpipe emissions'!$B$10:$B$126,'vehicles specifications'!BC$2)/1000*$AQ106</f>
        <v>1.7771526984353721E-5</v>
      </c>
      <c r="BD106" s="7">
        <f>SUMIFS('fuels and tailpipe emissions'!$F$10:$F$126,'fuels and tailpipe emissions'!$A$10:$A$126,'vehicles specifications'!$F106,'fuels and tailpipe emissions'!$B$10:$B$126,'vehicles specifications'!BD$2)/1000*$AQ106</f>
        <v>4.8293123029045427E-6</v>
      </c>
      <c r="BE106" s="7">
        <f>SUMIFS('fuels and tailpipe emissions'!$F$10:$F$126,'fuels and tailpipe emissions'!$A$10:$A$126,'vehicles specifications'!$F106,'fuels and tailpipe emissions'!$B$10:$B$126,'vehicles specifications'!BE$2)/1000*$AQ106</f>
        <v>2.3496312101649541E-5</v>
      </c>
      <c r="BF106" s="7">
        <f>SUMIFS('fuels and tailpipe emissions'!$F$10:$F$126,'fuels and tailpipe emissions'!$A$10:$A$126,'vehicles specifications'!$F106,'fuels and tailpipe emissions'!$B$10:$B$126,'vehicles specifications'!BF$2)/1000*$AQ106</f>
        <v>1.6567912379368265E-6</v>
      </c>
      <c r="BG106" s="7">
        <f>SUMIFS('fuels and tailpipe emissions'!$F$10:$F$126,'fuels and tailpipe emissions'!$A$10:$A$126,'vehicles specifications'!$F106,'fuels and tailpipe emissions'!$B$10:$B$126,'vehicles specifications'!BG$2)/1000*$AQ106</f>
        <v>3.3759069111565431E-7</v>
      </c>
      <c r="BH106" s="7">
        <f>SUMIFS('fuels and tailpipe emissions'!$F$10:$F$126,'fuels and tailpipe emissions'!$A$10:$A$126,'vehicles specifications'!$F106,'fuels and tailpipe emissions'!$B$10:$B$126,'vehicles specifications'!BH$2)/1000*$AQ106</f>
        <v>2.7215003406861984E-6</v>
      </c>
      <c r="BI106" s="7">
        <f>SUMIFS('fuels and tailpipe emissions'!$F$10:$F$126,'fuels and tailpipe emissions'!$A$10:$A$126,'vehicles specifications'!$F106,'fuels and tailpipe emissions'!$B$10:$B$126,'vehicles specifications'!BI$2)/1000*$AQ106</f>
        <v>1.1166461321517797E-6</v>
      </c>
      <c r="BJ106" s="7">
        <f>SUMIFS('fuels and tailpipe emissions'!$F$10:$F$126,'fuels and tailpipe emissions'!$A$10:$A$126,'vehicles specifications'!$F106,'fuels and tailpipe emissions'!$B$10:$B$126,'vehicles specifications'!BJ$2)/1000*$AQ106</f>
        <v>8.3618617337877467E-7</v>
      </c>
      <c r="BK106" s="7">
        <f>SUMIFS('fuels and tailpipe emissions'!$F$10:$F$126,'fuels and tailpipe emissions'!$A$10:$A$126,'vehicles specifications'!$F106,'fuels and tailpipe emissions'!$B$10:$B$126,'vehicles specifications'!BK$2)/1000*$AQ106</f>
        <v>5.9208213518745539E-7</v>
      </c>
      <c r="BL106" s="7">
        <f>SUMIFS('fuels and tailpipe emissions'!$F$10:$F$126,'fuels and tailpipe emissions'!$A$10:$A$126,'vehicles specifications'!$F106,'fuels and tailpipe emissions'!$B$10:$B$126,'vehicles specifications'!BL$2)/1000*$AQ106</f>
        <v>3.8433401757782191E-7</v>
      </c>
      <c r="BM106" s="7">
        <f>SUMIFS('fuels and tailpipe emissions'!$F$10:$F$126,'fuels and tailpipe emissions'!$A$10:$A$126,'vehicles specifications'!$F106,'fuels and tailpipe emissions'!$B$10:$B$126,'vehicles specifications'!BM$2)/1000*$AQ106</f>
        <v>3.7914031463758107E-6</v>
      </c>
      <c r="BN106" s="7">
        <f>SUMIFS('fuels and tailpipe emissions'!$F$10:$F$126,'fuels and tailpipe emissions'!$A$10:$A$126,'vehicles specifications'!$F106,'fuels and tailpipe emissions'!$B$10:$B$126,'vehicles specifications'!BN$2)/1000*$AQ106</f>
        <v>1.9839945231719991E-6</v>
      </c>
      <c r="BO106" s="7">
        <f>SUMIFS('fuels and tailpipe emissions'!$F$10:$F$126,'fuels and tailpipe emissions'!$A$10:$A$126,'vehicles specifications'!$F106,'fuels and tailpipe emissions'!$B$10:$B$126,'vehicles specifications'!BO$2)/1000*$AQ106</f>
        <v>5.7130732342649204E-8</v>
      </c>
      <c r="BP106" s="7">
        <f>SUMIFS('fuels and tailpipe emissions'!$F$10:$F$126,'fuels and tailpipe emissions'!$A$10:$A$126,'vehicles specifications'!$F106,'fuels and tailpipe emissions'!$B$10:$B$126,'vehicles specifications'!BP$2)/1000*$AQ106</f>
        <v>2.9136673494751086E-6</v>
      </c>
      <c r="BQ106" s="7">
        <f>SUMIFS('fuels and tailpipe emissions'!$F$10:$F$126,'fuels and tailpipe emissions'!$A$10:$A$126,'vehicles specifications'!$F106,'fuels and tailpipe emissions'!$B$10:$B$126,'vehicles specifications'!BQ$2)/1000*$AQ106</f>
        <v>5.7026858283844389E-6</v>
      </c>
      <c r="BR106" s="7">
        <f>SUMIFS('fuels and tailpipe emissions'!$F$10:$F$126,'fuels and tailpipe emissions'!$A$10:$A$126,'vehicles specifications'!$F106,'fuels and tailpipe emissions'!$B$10:$B$126,'vehicles specifications'!BR$2)/1000*$AQ106</f>
        <v>2.8201806965507743E-6</v>
      </c>
      <c r="BS106" s="7">
        <f>SUMIFS('fuels and tailpipe emissions'!$F$10:$F$126,'fuels and tailpipe emissions'!$A$10:$A$126,'vehicles specifications'!$F106,'fuels and tailpipe emissions'!$B$10:$B$126,'vehicles specifications'!BS$2)/1000*$AQ106</f>
        <v>1.173776864494429E-6</v>
      </c>
      <c r="BT106" s="7">
        <f>SUMIFS('fuels and tailpipe emissions'!$F$10:$F$126,'fuels and tailpipe emissions'!$A$10:$A$126,'vehicles specifications'!$F106,'fuels and tailpipe emissions'!$B$10:$B$126,'vehicles specifications'!BT$2)/1000*$AQ106</f>
        <v>8.8292949984094216E-7</v>
      </c>
      <c r="BU106" s="7">
        <f>SUMIFS('fuels and tailpipe emissions'!$F$10:$F$126,'fuels and tailpipe emissions'!$A$10:$A$126,'vehicles specifications'!$F106,'fuels and tailpipe emissions'!$B$10:$B$126,'vehicles specifications'!BU$2)/1000*$AQ106</f>
        <v>3.8952772051806267E-7</v>
      </c>
      <c r="BV106" s="7">
        <f>SUMIFS('fuels and tailpipe emissions'!$F$10:$F$126,'fuels and tailpipe emissions'!$A$10:$A$126,'vehicles specifications'!$F106,'fuels and tailpipe emissions'!$B$10:$B$126,'vehicles specifications'!BV$2)/1000*$AQ106</f>
        <v>1.1426146468529841E-7</v>
      </c>
      <c r="BW106" s="7">
        <f>SUMIFS('fuels and tailpipe emissions'!$F$10:$F$126,'fuels and tailpipe emissions'!$A$10:$A$126,'vehicles specifications'!$F106,'fuels and tailpipe emissions'!$B$10:$B$126,'vehicles specifications'!BW$2)/1000*$AQ106</f>
        <v>3.16815879354691E-7</v>
      </c>
      <c r="BX106" s="7">
        <f>SUMIFS('fuels and tailpipe emissions'!$F$10:$F$126,'fuels and tailpipe emissions'!$A$10:$A$126,'vehicles specifications'!$F106,'fuels and tailpipe emissions'!$B$10:$B$126,'vehicles specifications'!BX$2)/1000*$AQ106</f>
        <v>0</v>
      </c>
      <c r="BY106" s="7">
        <f>SUMIFS('fuels and tailpipe emissions'!$F$10:$F$126,'fuels and tailpipe emissions'!$A$10:$A$126,'vehicles specifications'!$F106,'fuels and tailpipe emissions'!$B$10:$B$126,'vehicles specifications'!BY$2)/1000*$AQ106</f>
        <v>9.8680355864575885E-8</v>
      </c>
      <c r="BZ106" s="7">
        <f>SUMIFS('fuels and tailpipe emissions'!$F$10:$F$126,'fuels and tailpipe emissions'!$A$10:$A$126,'vehicles specifications'!$F106,'fuels and tailpipe emissions'!$B$10:$B$126,'vehicles specifications'!BZ$2)/1000*$AQ106</f>
        <v>5.2456399696432443E-7</v>
      </c>
      <c r="CA106" s="7">
        <f>SUMIFS('fuels and tailpipe emissions'!$F$10:$F$126,'fuels and tailpipe emissions'!$A$10:$A$126,'vehicles specifications'!$F106,'fuels and tailpipe emissions'!$B$10:$B$126,'vehicles specifications'!CA$2)/1000*$AQ106</f>
        <v>7.9908143014975087E-10</v>
      </c>
      <c r="CB106" s="7">
        <f>SUMIFS('fuels and tailpipe emissions'!$F$10:$F$126,'fuels and tailpipe emissions'!$A$10:$A$126,'vehicles specifications'!$F106,'fuels and tailpipe emissions'!$B$10:$B$126,'vehicles specifications'!CB$2)/1000*$AQ106</f>
        <v>6.8886330185323354E-12</v>
      </c>
      <c r="CC106" s="7">
        <f>SUMIFS('fuels and tailpipe emissions'!$F$10:$F$126,'fuels and tailpipe emissions'!$A$10:$A$126,'vehicles specifications'!$F106,'fuels and tailpipe emissions'!$B$10:$B$126,'vehicles specifications'!CC$2)/1000*$AQ106</f>
        <v>4.5924220123548903E-12</v>
      </c>
      <c r="CD106" s="7">
        <f>SUMIFS('fuels and tailpipe emissions'!$F$10:$F$126,'fuels and tailpipe emissions'!$A$10:$A$126,'vehicles specifications'!$F106,'fuels and tailpipe emissions'!$B$10:$B$126,'vehicles specifications'!CD$2)/1000*$AQ106</f>
        <v>4.9598157733432818E-8</v>
      </c>
      <c r="CE106" s="7">
        <f>SUMIFS('fuels and tailpipe emissions'!$F$10:$F$126,'fuels and tailpipe emissions'!$A$10:$A$126,'vehicles specifications'!$F106,'fuels and tailpipe emissions'!$B$10:$B$126,'vehicles specifications'!CE$2)/1000*$AQ106</f>
        <v>9.6440862259452689E-10</v>
      </c>
      <c r="CF106" s="7">
        <f>SUMIFS('fuels and tailpipe emissions'!$F$10:$F$126,'fuels and tailpipe emissions'!$A$10:$A$126,'vehicles specifications'!$F106,'fuels and tailpipe emissions'!$B$10:$B$126,'vehicles specifications'!CF$2)/1000*$AQ106</f>
        <v>2.9850743080306785E-10</v>
      </c>
      <c r="CG106" s="7">
        <f>SUMIFS('fuels and tailpipe emissions'!$F$10:$F$126,'fuels and tailpipe emissions'!$A$10:$A$126,'vehicles specifications'!$F106,'fuels and tailpipe emissions'!$B$10:$B$126,'vehicles specifications'!CG$2)/1000*$AQ106</f>
        <v>3.6739376098839125E-10</v>
      </c>
      <c r="CH106" s="7">
        <f>SUMIFS('fuels and tailpipe emissions'!$F$10:$F$126,'fuels and tailpipe emissions'!$A$10:$A$126,'vehicles specifications'!$F106,'fuels and tailpipe emissions'!$B$10:$B$126,'vehicles specifications'!CH$2)/1000*$AQ106</f>
        <v>7.3478752197678232E-13</v>
      </c>
      <c r="CI106" s="7">
        <f>SUMIFS('fuels and tailpipe emissions'!$F$10:$F$126,'fuels and tailpipe emissions'!$A$10:$A$126,'vehicles specifications'!$F106,'fuels and tailpipe emissions'!$B$10:$B$126,'vehicles specifications'!CI$2)/1000*$AQ106</f>
        <v>1.9977035753743772E-10</v>
      </c>
      <c r="CJ106" s="7">
        <f>SUMIFS('fuels and tailpipe emissions'!$F$10:$F$126,'fuels and tailpipe emissions'!$A$10:$A$126,'vehicles specifications'!$F106,'fuels and tailpipe emissions'!$B$10:$B$126,'vehicles specifications'!CJ$2)/1000*$AQ106</f>
        <v>2.4799078866716413E-10</v>
      </c>
      <c r="CK106" s="38">
        <f>VLOOKUP($B106,'abrasion emissions'!$O$7:$R$36,2,FALSE)</f>
        <v>0.5</v>
      </c>
      <c r="CL106" s="38">
        <f>VLOOKUP($B106,'abrasion emissions'!$O$7:$R$36,3,FALSE)</f>
        <v>0.5</v>
      </c>
      <c r="CM106" s="38">
        <f>VLOOKUP($B106,'abrasion emissions'!$O$7:$R$36,4,FALSE)</f>
        <v>0</v>
      </c>
      <c r="CN106" s="7">
        <f>((SUMIFS('abrasion emissions'!$M$7:$M$34,'abrasion emissions'!$I$7:$I$34,"PM 2.5",'abrasion emissions'!$J$7:$J$34,"urban",'abrasion emissions'!$K$7:$K$34,"Tyre",'abrasion emissions'!$L$7:$L$34,"b")*POWER(('vehicles specifications'!$Q106/1000),(1/SUMIFS('abrasion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specifications'!$P106/1000),(1/SUMIFS('abrasion emissions'!$M$7:$M$34,'abrasion emissions'!$I$7:$I$34,"PM 10",'abrasion emissions'!$J$7:$J$34,"urban",'abrasion emissions'!$K$7:$K$34,"Tyre",'abrasion emissions'!$L$7:$L$34,"c")))))/1000000</f>
        <v>6.3585945324260216E-6</v>
      </c>
      <c r="CO106" s="7">
        <f>((SUMIFS('abrasion emissions'!$M$7:$M$34,'abrasion emissions'!$I$7:$I$34,"PM 2.5",'abrasion emissions'!$J$7:$J$34,"rural",'abrasion emissions'!$K$7:$K$34,"Tyre",'abrasion emissions'!$L$7:$L$34,"b")*POWER(('vehicles specifications'!$Q106/1000),(1/SUMIFS('abrasion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specifications'!$P106/1000),(1/SUMIFS('abrasion emissions'!$M$7:$M$34,'abrasion emissions'!$I$7:$I$34,"PM 10",'abrasion emissions'!$J$7:$J$34,"rural",'abrasion emissions'!$K$7:$K$34,"Tyre",'abrasion emissions'!$L$7:$L$34,"c")))))/1000000</f>
        <v>4.9523520001257689E-6</v>
      </c>
      <c r="CP106" s="7">
        <f>((SUMIFS('abrasion emissions'!$M$7:$M$34,'abrasion emissions'!$I$7:$I$34,"PM 2.5",'abrasion emissions'!$J$7:$J$34,"motorway",'abrasion emissions'!$K$7:$K$34,"Tyre",'abrasion emissions'!$L$7:$L$34,"b")*POWER(('vehicles specifications'!$Q106/1000),(1/SUMIFS('abrasion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specifications'!$P106/1000),(1/SUMIFS('abrasion emissions'!$M$7:$M$34,'abrasion emissions'!$I$7:$I$34,"PM 10",'abrasion emissions'!$J$7:$J$34,"motorway",'abrasion emissions'!$K$7:$K$34,"Tyre",'abrasion emissions'!$L$7:$L$34,"c")))))/1000000</f>
        <v>4.2297492324994506E-6</v>
      </c>
      <c r="CQ106" s="7">
        <f>((SUMIFS('abrasion emissions'!$M$7:$M$34,'abrasion emissions'!$I$7:$I$34,"PM 2.5",'abrasion emissions'!$J$7:$J$34,"urban",'abrasion emissions'!$K$7:$K$34,"Brake",'abrasion emissions'!$L$7:$L$34,"b")*POWER(('vehicles specifications'!$Q106/1000),(1/SUMIFS('abrasion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specifications'!$P106/1000),(1/SUMIFS('abrasion emissions'!$M$7:$M$34,'abrasion emissions'!$I$7:$I$34,"PM 10",'abrasion emissions'!$J$7:$J$34,"urban",'abrasion emissions'!$K$7:$K$34,"Brake",'abrasion emissions'!$L$7:$L$34,"c")))))/1000000</f>
        <v>6.0933623502407123E-6</v>
      </c>
      <c r="CR106" s="7">
        <f>((SUMIFS('abrasion emissions'!$M$7:$M$34,'abrasion emissions'!$I$7:$I$34,"PM 2.5",'abrasion emissions'!$J$7:$J$34,"rural",'abrasion emissions'!$K$7:$K$34,"Brake",'abrasion emissions'!$L$7:$L$34,"b")*POWER(('vehicles specifications'!$Q106/1000),(1/SUMIFS('abrasion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specifications'!$P106/1000),(1/SUMIFS('abrasion emissions'!$M$7:$M$34,'abrasion emissions'!$I$7:$I$34,"PM 10",'abrasion emissions'!$J$7:$J$34,"rural",'abrasion emissions'!$K$7:$K$34,"Brake",'abrasion emissions'!$L$7:$L$34,"c")))))/1000000</f>
        <v>1.9781544063748917E-6</v>
      </c>
      <c r="CS106" s="7">
        <f>((SUMIFS('abrasion emissions'!$M$7:$M$34,'abrasion emissions'!$I$7:$I$34,"PM 2.5",'abrasion emissions'!$J$7:$J$34,"motorway",'abrasion emissions'!$K$7:$K$34,"Brake",'abrasion emissions'!$L$7:$L$34,"b")*POWER(('vehicles specifications'!$Q106/1000),(1/SUMIFS('abrasion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specifications'!$P106/1000),(1/SUMIFS('abrasion emissions'!$M$7:$M$34,'abrasion emissions'!$I$7:$I$34,"PM 10",'abrasion emissions'!$J$7:$J$34,"motorway",'abrasion emissions'!$K$7:$K$34,"Brake",'abrasion emissions'!$L$7:$L$34,"c")))))/1000000</f>
        <v>3.6868528476745605E-7</v>
      </c>
      <c r="CT106" s="7">
        <f>((SUMIFS('abrasion emissions'!$M$7:$M$38,'abrasion emissions'!$I$7:$I$38,"PM 2.5",'abrasion emissions'!$K$7:$K$38,"Re-susp.",'abrasion emissions'!$L$7:$L$38,"b")*POWER(('vehicles specifications'!$Q106/1000),(1/SUMIFS('abrasion emissions'!$M$7:$M$38,'abrasion emissions'!$I$7:$I$38,"PM 2.5",'abrasion emissions'!$K$7:$K$38,"Re-susp.",'abrasion emissions'!$L$7:$L$38,"c"))))+
(SUMIFS('abrasion emissions'!$M$7:$M$38,'abrasion emissions'!$I$7:$I$38,"PM 10",'abrasion emissions'!$K$7:$K$38,"Re-susp.",'abrasion emissions'!$L$7:$L$38,"b")*POWER(('vehicles specifications'!$Q106/1000),(1/SUMIFS('abrasion emissions'!$M$7:$M$38,'abrasion emissions'!$I$7:$I$38,"PM 10",'abrasion emissions'!$K$7:$K$38,"Re-susp.",'abrasion emissions'!$L$7:$L$38,"c")))))/1000000</f>
        <v>3.8471442010524158E-6</v>
      </c>
      <c r="CU106" s="7">
        <f>((SUMIFS('abrasion emissions'!$M$7:$M$38,'abrasion emissions'!$I$7:$I$38,"PM 2.5",'abrasion emissions'!$K$7:$K$38,"Road",'abrasion emissions'!$L$7:$L$38,"b")*POWER(('vehicles specifications'!$Q106/1000),(1/SUMIFS('abrasion emissions'!$M$7:$M$38,'abrasion emissions'!$I$7:$I$38,"PM 2.5",'abrasion emissions'!$K$7:$K$38,"Road",'abrasion emissions'!$L$7:$L$38,"c"))))+
(SUMIFS('abrasion emissions'!$M$7:$M$38,'abrasion emissions'!$I$7:$I$38,"PM 10",'abrasion emissions'!$K$7:$K$38,"Road",'abrasion emissions'!$L$7:$L$38,"b")*POWER(('vehicles specifications'!$Q106/1000),(1/SUMIFS('abrasion emissions'!$M$7:$M$38,'abrasion emissions'!$I$7:$I$38,"PM 10",'abrasion emissions'!$K$7:$K$38,"Road",'abrasion emissions'!$L$7:$L$38,"c")))))/1000000+CT106</f>
        <v>7.369362136981513E-6</v>
      </c>
      <c r="CV106" s="7">
        <f>(CK106*CN106)+(CL106*CO106)+(CM106*CP106)</f>
        <v>5.6554732662758953E-6</v>
      </c>
      <c r="CW106" s="7">
        <f>(CK106*CQ106)+(CL106*CR106)+(CM106*CS106)</f>
        <v>4.0357583783078024E-6</v>
      </c>
    </row>
    <row r="107">
      <c r="A107" t="str">
        <f>B107&amp;" - "&amp;D107&amp;" - "&amp;IF(I107&lt;&gt;"",I107&amp;" - "&amp;E107,E107)</f>
        <v>Motorbike, gasoline, 11-35kW, EURO-3 - 2006 - CH</v>
      </c>
      <c r="B107" t="inlineStr">
        <is>
          <t>Motorbike, gasoline, 11-35kW, EURO-3</t>
        </is>
      </c>
      <c r="D107" s="18" t="n">
        <v>2006</v>
      </c>
      <c r="E107" t="inlineStr">
        <is>
          <t>CH</t>
        </is>
      </c>
      <c r="F107" t="inlineStr">
        <is>
          <t>EURO-3</t>
        </is>
      </c>
      <c r="G107" t="inlineStr">
        <is>
          <t>vkm</t>
        </is>
      </c>
      <c r="H107" t="inlineStr">
        <is>
          <t>ICEV-p</t>
        </is>
      </c>
      <c r="J107" t="n">
        <v>38500</v>
      </c>
      <c r="K107" t="n">
        <v>2405</v>
      </c>
      <c r="L107" s="2">
        <f>J107/K107</f>
        <v>16.008316008316008</v>
      </c>
      <c r="M107" t="n">
        <v>1.1</v>
      </c>
      <c r="N107" t="n">
        <v>75</v>
      </c>
      <c r="O107" t="n">
        <v>6</v>
      </c>
      <c r="P107" s="2">
        <f>SUM(U107,V107,W107,AC107,AF107,AH107)</f>
        <v>159.98750000000001</v>
      </c>
      <c r="Q107" s="2">
        <f>P107+(M107*N107)+O107</f>
        <v>248.48750000000001</v>
      </c>
      <c r="R107" t="n">
        <v>20</v>
      </c>
      <c r="S107" s="2" t="n">
        <v>81</v>
      </c>
      <c r="T107" s="1" t="n">
        <v>-0.05</v>
      </c>
      <c r="U107" s="2">
        <f>S107*(1-T107)</f>
        <v>85.05</v>
      </c>
      <c r="V107" s="2" t="n">
        <v>62</v>
      </c>
      <c r="W107" s="2" t="n">
        <v>0</v>
      </c>
      <c r="X107" s="3" t="n">
        <v>0</v>
      </c>
      <c r="Y107" s="1" t="n">
        <v>0.8</v>
      </c>
      <c r="Z107" s="3">
        <f>Y107*X107</f>
        <v>0</v>
      </c>
      <c r="AA107" s="3">
        <f>IF(I107&lt;&gt;"",X107/INDEX('energy battery'!$B$3:$D$6,MATCH('vehicles specifications'!$D107,'energy battery'!$A$3:$A$6,0),MATCH('vehicles specifications'!$I107,'energy battery'!$B$2:$D$2,0)),"")</f>
        <v/>
      </c>
      <c r="AB107" s="3">
        <f>IF(AA107&lt;&gt;"",0.3*AA107,"")</f>
        <v/>
      </c>
      <c r="AC107" s="3">
        <f>IF(AA107&lt;&gt;"",AB107+AA107,"")</f>
        <v/>
      </c>
      <c r="AD107" s="3" t="n">
        <v>0</v>
      </c>
      <c r="AE107" s="3" t="n">
        <v>15</v>
      </c>
      <c r="AF107">
        <f>AE107*'fuels and tailpipe emissions'!$B$3</f>
        <v>11.25</v>
      </c>
      <c r="AG107" s="2">
        <f>AF107*'fuels and tailpipe emissions'!$C$3</f>
        <v>133.125</v>
      </c>
      <c r="AH107" s="3">
        <f>0.15*AF107</f>
        <v>1.6875</v>
      </c>
      <c r="AI107" s="3" t="n">
        <v>0</v>
      </c>
      <c r="AJ107" s="3" t="n">
        <v>0</v>
      </c>
      <c r="AK107">
        <f>J107/25000</f>
        <v>1.54</v>
      </c>
      <c r="AL107">
        <f>0.000537/1000*Q107</f>
        <v>1.334377875E-4</v>
      </c>
      <c r="AM107" t="n">
        <v>0.00129</v>
      </c>
      <c r="AN107" s="2">
        <f>U107</f>
        <v>85.05</v>
      </c>
      <c r="AO107" s="2">
        <f>SUM(V107:W107)</f>
        <v>62</v>
      </c>
      <c r="AP107" s="2">
        <f>AC107</f>
        <v/>
      </c>
      <c r="AQ107" s="6" t="n">
        <v>1.488248148761457</v>
      </c>
      <c r="AR107" s="20" t="n">
        <v>0.012</v>
      </c>
      <c r="AS107" s="6">
        <f>IF($H107="BEV",SUMPRODUCT(#REF!,#REF!),"")</f>
        <v/>
      </c>
      <c r="AT107" s="2">
        <f>SUM(Z107,AG107)/(SUM(AQ107,AS107)/3.6)</f>
        <v>322.02291022423861</v>
      </c>
      <c r="AU107" s="5">
        <f>IF($H107="ICEV-p",$AQ107/('fuels and tailpipe emissions'!$C$3*3.6)*'fuels and tailpipe emissions'!$D$3,"")*(1-AR107)</f>
        <v>0.10838079804848928</v>
      </c>
      <c r="AV107" s="5">
        <f>IF($H107="ICEV-p",$AQ107/('fuels and tailpipe emissions'!$C$3*3.6)*'fuels and tailpipe emissions'!$D$3,"")*AR107</f>
        <v>1.3163659682002746E-3</v>
      </c>
      <c r="AW107" s="7">
        <f>IF($H107="ICEV-p",$AQ107/('fuels and tailpipe emissions'!$C$3*3.6)*'fuels and tailpipe emissions'!$E$3,"")</f>
        <v>5.589664408493735E-7</v>
      </c>
      <c r="AX107" s="7">
        <f>SUMIFS('fuels and tailpipe emissions'!$G$10:$G$126,'fuels and tailpipe emissions'!$A$10:$A$126,'vehicles specifications'!$F107,'fuels and tailpipe emissions'!$B$10:$B$126,'vehicles specifications'!AX$2)/1000*$AQ107</f>
        <v>5.4417962719780696E-6</v>
      </c>
      <c r="AY107" s="7">
        <f>SUMIFS('fuels and tailpipe emissions'!$G$10:$G$126,'fuels and tailpipe emissions'!$A$10:$A$126,'vehicles specifications'!$F107,'fuels and tailpipe emissions'!$B$10:$B$126,'vehicles specifications'!AY$2)/1000*$AQ107</f>
        <v>2.203769637337727E-5</v>
      </c>
      <c r="AZ107" s="7">
        <f>SUMIFS('fuels and tailpipe emissions'!$G$10:$G$126,'fuels and tailpipe emissions'!$A$10:$A$126,'vehicles specifications'!$F107,'fuels and tailpipe emissions'!$B$10:$B$126,'vehicles specifications'!AZ$2)/1000*$AQ107</f>
        <v>2.2122455045910314E-4</v>
      </c>
      <c r="BA107" s="7">
        <f>SUMIFS('fuels and tailpipe emissions'!$G$10:$G$126,'fuels and tailpipe emissions'!$A$10:$A$126,'vehicles specifications'!$F107,'fuels and tailpipe emissions'!$B$10:$B$126,'vehicles specifications'!BA$2)/1000*$AQ107</f>
        <v>6.627878608534517E-7</v>
      </c>
      <c r="BB107" s="7">
        <f>SUMIFS('fuels and tailpipe emissions'!$G$10:$G$126,'fuels and tailpipe emissions'!$A$10:$A$126,'vehicles specifications'!$F107,'fuels and tailpipe emissions'!$B$10:$B$126,'vehicles specifications'!BB$2)/1000*$AQ107</f>
        <v>6.627878608534517E-7</v>
      </c>
      <c r="BC107" s="7">
        <f>SUMIFS('fuels and tailpipe emissions'!$G$10:$G$126,'fuels and tailpipe emissions'!$A$10:$A$126,'vehicles specifications'!$F107,'fuels and tailpipe emissions'!$B$10:$B$126,'vehicles specifications'!BC$2)/1000*$AQ107</f>
        <v>2.6220817193601416E-5</v>
      </c>
      <c r="BD107" s="7">
        <f>SUMIFS('fuels and tailpipe emissions'!$G$10:$G$126,'fuels and tailpipe emissions'!$A$10:$A$126,'vehicles specifications'!$F107,'fuels and tailpipe emissions'!$B$10:$B$126,'vehicles specifications'!BD$2)/1000*$AQ107</f>
        <v>1.6569696521336294E-6</v>
      </c>
      <c r="BE107" s="7">
        <f>SUMIFS('fuels and tailpipe emissions'!$G$10:$G$126,'fuels and tailpipe emissions'!$A$10:$A$126,'vehicles specifications'!$F107,'fuels and tailpipe emissions'!$B$10:$B$126,'vehicles specifications'!BE$2)/1000*$AQ107</f>
        <v>4.3883576353705504E-5</v>
      </c>
      <c r="BF107" s="7">
        <f>SUMIFS('fuels and tailpipe emissions'!$G$10:$G$126,'fuels and tailpipe emissions'!$A$10:$A$126,'vehicles specifications'!$F107,'fuels and tailpipe emissions'!$B$10:$B$126,'vehicles specifications'!BF$2)/1000*$AQ107</f>
        <v>3.09435474288949E-6</v>
      </c>
      <c r="BG107" s="7">
        <f>SUMIFS('fuels and tailpipe emissions'!$G$10:$G$126,'fuels and tailpipe emissions'!$A$10:$A$126,'vehicles specifications'!$F107,'fuels and tailpipe emissions'!$B$10:$B$126,'vehicles specifications'!BG$2)/1000*$AQ107</f>
        <v>6.3051115450726299E-7</v>
      </c>
      <c r="BH107" s="7">
        <f>SUMIFS('fuels and tailpipe emissions'!$G$10:$G$126,'fuels and tailpipe emissions'!$A$10:$A$126,'vehicles specifications'!$F107,'fuels and tailpipe emissions'!$B$10:$B$126,'vehicles specifications'!BH$2)/1000*$AQ107</f>
        <v>5.0828899224893196E-6</v>
      </c>
      <c r="BI107" s="7">
        <f>SUMIFS('fuels and tailpipe emissions'!$G$10:$G$126,'fuels and tailpipe emissions'!$A$10:$A$126,'vehicles specifications'!$F107,'fuels and tailpipe emissions'!$B$10:$B$126,'vehicles specifications'!BI$2)/1000*$AQ107</f>
        <v>2.0855368956778698E-6</v>
      </c>
      <c r="BJ107" s="7">
        <f>SUMIFS('fuels and tailpipe emissions'!$G$10:$G$126,'fuels and tailpipe emissions'!$A$10:$A$126,'vehicles specifications'!$F107,'fuels and tailpipe emissions'!$B$10:$B$126,'vehicles specifications'!BJ$2)/1000*$AQ107</f>
        <v>1.5617276288564514E-6</v>
      </c>
      <c r="BK107" s="7">
        <f>SUMIFS('fuels and tailpipe emissions'!$G$10:$G$126,'fuels and tailpipe emissions'!$A$10:$A$126,'vehicles specifications'!$F107,'fuels and tailpipe emissions'!$B$10:$B$126,'vehicles specifications'!BK$2)/1000*$AQ107</f>
        <v>1.1058195632896611E-6</v>
      </c>
      <c r="BL107" s="7">
        <f>SUMIFS('fuels and tailpipe emissions'!$G$10:$G$126,'fuels and tailpipe emissions'!$A$10:$A$126,'vehicles specifications'!$F107,'fuels and tailpipe emissions'!$B$10:$B$126,'vehicles specifications'!BL$2)/1000*$AQ107</f>
        <v>7.1781269897749935E-7</v>
      </c>
      <c r="BM107" s="7">
        <f>SUMIFS('fuels and tailpipe emissions'!$G$10:$G$126,'fuels and tailpipe emissions'!$A$10:$A$126,'vehicles specifications'!$F107,'fuels and tailpipe emissions'!$B$10:$B$126,'vehicles specifications'!BM$2)/1000*$AQ107</f>
        <v>7.0811252736969535E-6</v>
      </c>
      <c r="BN107" s="7">
        <f>SUMIFS('fuels and tailpipe emissions'!$G$10:$G$126,'fuels and tailpipe emissions'!$A$10:$A$126,'vehicles specifications'!$F107,'fuels and tailpipe emissions'!$B$10:$B$126,'vehicles specifications'!BN$2)/1000*$AQ107</f>
        <v>3.7054655541811453E-6</v>
      </c>
      <c r="BO107" s="7">
        <f>SUMIFS('fuels and tailpipe emissions'!$G$10:$G$126,'fuels and tailpipe emissions'!$A$10:$A$126,'vehicles specifications'!$F107,'fuels and tailpipe emissions'!$B$10:$B$126,'vehicles specifications'!BO$2)/1000*$AQ107</f>
        <v>1.0670188768584451E-7</v>
      </c>
      <c r="BP107" s="7">
        <f>SUMIFS('fuels and tailpipe emissions'!$G$10:$G$126,'fuels and tailpipe emissions'!$A$10:$A$126,'vehicles specifications'!$F107,'fuels and tailpipe emissions'!$B$10:$B$126,'vehicles specifications'!BP$2)/1000*$AQ107</f>
        <v>5.4417962719780696E-6</v>
      </c>
      <c r="BQ107" s="7">
        <f>SUMIFS('fuels and tailpipe emissions'!$G$10:$G$126,'fuels and tailpipe emissions'!$A$10:$A$126,'vehicles specifications'!$F107,'fuels and tailpipe emissions'!$B$10:$B$126,'vehicles specifications'!BQ$2)/1000*$AQ107</f>
        <v>1.0650788425368842E-5</v>
      </c>
      <c r="BR107" s="7">
        <f>SUMIFS('fuels and tailpipe emissions'!$G$10:$G$126,'fuels and tailpipe emissions'!$A$10:$A$126,'vehicles specifications'!$F107,'fuels and tailpipe emissions'!$B$10:$B$126,'vehicles specifications'!BR$2)/1000*$AQ107</f>
        <v>5.2671931830375969E-6</v>
      </c>
      <c r="BS107" s="7">
        <f>SUMIFS('fuels and tailpipe emissions'!$G$10:$G$126,'fuels and tailpipe emissions'!$A$10:$A$126,'vehicles specifications'!$F107,'fuels and tailpipe emissions'!$B$10:$B$126,'vehicles specifications'!BS$2)/1000*$AQ107</f>
        <v>2.192238783363714E-6</v>
      </c>
      <c r="BT107" s="7">
        <f>SUMIFS('fuels and tailpipe emissions'!$G$10:$G$126,'fuels and tailpipe emissions'!$A$10:$A$126,'vehicles specifications'!$F107,'fuels and tailpipe emissions'!$B$10:$B$126,'vehicles specifications'!BT$2)/1000*$AQ107</f>
        <v>1.649029173326688E-6</v>
      </c>
      <c r="BU107" s="7">
        <f>SUMIFS('fuels and tailpipe emissions'!$G$10:$G$126,'fuels and tailpipe emissions'!$A$10:$A$126,'vehicles specifications'!$F107,'fuels and tailpipe emissions'!$B$10:$B$126,'vehicles specifications'!BU$2)/1000*$AQ107</f>
        <v>7.2751287058530338E-7</v>
      </c>
      <c r="BV107" s="7">
        <f>SUMIFS('fuels and tailpipe emissions'!$G$10:$G$126,'fuels and tailpipe emissions'!$A$10:$A$126,'vehicles specifications'!$F107,'fuels and tailpipe emissions'!$B$10:$B$126,'vehicles specifications'!BV$2)/1000*$AQ107</f>
        <v>2.1340377537168902E-7</v>
      </c>
      <c r="BW107" s="7">
        <f>SUMIFS('fuels and tailpipe emissions'!$G$10:$G$126,'fuels and tailpipe emissions'!$A$10:$A$126,'vehicles specifications'!$F107,'fuels and tailpipe emissions'!$B$10:$B$126,'vehicles specifications'!BW$2)/1000*$AQ107</f>
        <v>5.9171046807604678E-7</v>
      </c>
      <c r="BX107" s="7">
        <f>SUMIFS('fuels and tailpipe emissions'!$G$10:$G$126,'fuels and tailpipe emissions'!$A$10:$A$126,'vehicles specifications'!$F107,'fuels and tailpipe emissions'!$B$10:$B$126,'vehicles specifications'!BX$2)/1000*$AQ107</f>
        <v>4.8500858039020227E-8</v>
      </c>
      <c r="BY107" s="7">
        <f>SUMIFS('fuels and tailpipe emissions'!$G$10:$G$126,'fuels and tailpipe emissions'!$A$10:$A$126,'vehicles specifications'!$F107,'fuels and tailpipe emissions'!$B$10:$B$126,'vehicles specifications'!BY$2)/1000*$AQ107</f>
        <v>1.8430326054827685E-7</v>
      </c>
      <c r="BZ107" s="7">
        <f>SUMIFS('fuels and tailpipe emissions'!$G$10:$G$126,'fuels and tailpipe emissions'!$A$10:$A$126,'vehicles specifications'!$F107,'fuels and tailpipe emissions'!$B$10:$B$126,'vehicles specifications'!BZ$2)/1000*$AQ107</f>
        <v>9.7971733238820843E-7</v>
      </c>
      <c r="CA107" s="7">
        <f>SUMIFS('fuels and tailpipe emissions'!$G$10:$G$126,'fuels and tailpipe emissions'!$A$10:$A$126,'vehicles specifications'!$F107,'fuels and tailpipe emissions'!$B$10:$B$126,'vehicles specifications'!CA$2)/1000*$AQ107</f>
        <v>1.2186126018093815E-9</v>
      </c>
      <c r="CB107" s="7">
        <f>SUMIFS('fuels and tailpipe emissions'!$G$10:$G$126,'fuels and tailpipe emissions'!$A$10:$A$126,'vehicles specifications'!$F107,'fuels and tailpipe emissions'!$B$10:$B$126,'vehicles specifications'!CB$2)/1000*$AQ107</f>
        <v>1.0505281050080874E-11</v>
      </c>
      <c r="CC107" s="7">
        <f>SUMIFS('fuels and tailpipe emissions'!$G$10:$G$126,'fuels and tailpipe emissions'!$A$10:$A$126,'vehicles specifications'!$F107,'fuels and tailpipe emissions'!$B$10:$B$126,'vehicles specifications'!CC$2)/1000*$AQ107</f>
        <v>7.0035207000539162E-12</v>
      </c>
      <c r="CD107" s="7">
        <f>SUMIFS('fuels and tailpipe emissions'!$G$10:$G$126,'fuels and tailpipe emissions'!$A$10:$A$126,'vehicles specifications'!$F107,'fuels and tailpipe emissions'!$B$10:$B$126,'vehicles specifications'!CD$2)/1000*$AQ107</f>
        <v>7.5638023560582296E-8</v>
      </c>
      <c r="CE107" s="7">
        <f>SUMIFS('fuels and tailpipe emissions'!$G$10:$G$126,'fuels and tailpipe emissions'!$A$10:$A$126,'vehicles specifications'!$F107,'fuels and tailpipe emissions'!$B$10:$B$126,'vehicles specifications'!CE$2)/1000*$AQ107</f>
        <v>1.4707393470113222E-9</v>
      </c>
      <c r="CF107" s="7">
        <f>SUMIFS('fuels and tailpipe emissions'!$G$10:$G$126,'fuels and tailpipe emissions'!$A$10:$A$126,'vehicles specifications'!$F107,'fuels and tailpipe emissions'!$B$10:$B$126,'vehicles specifications'!CF$2)/1000*$AQ107</f>
        <v>4.5522884550350459E-10</v>
      </c>
      <c r="CG107" s="7">
        <f>SUMIFS('fuels and tailpipe emissions'!$G$10:$G$126,'fuels and tailpipe emissions'!$A$10:$A$126,'vehicles specifications'!$F107,'fuels and tailpipe emissions'!$B$10:$B$126,'vehicles specifications'!CG$2)/1000*$AQ107</f>
        <v>5.6028165600431336E-10</v>
      </c>
      <c r="CH107" s="7">
        <f>SUMIFS('fuels and tailpipe emissions'!$G$10:$G$126,'fuels and tailpipe emissions'!$A$10:$A$126,'vehicles specifications'!$F107,'fuels and tailpipe emissions'!$B$10:$B$126,'vehicles specifications'!CH$2)/1000*$AQ107</f>
        <v>1.1205633120086266E-12</v>
      </c>
      <c r="CI107" s="7">
        <f>SUMIFS('fuels and tailpipe emissions'!$G$10:$G$126,'fuels and tailpipe emissions'!$A$10:$A$126,'vehicles specifications'!$F107,'fuels and tailpipe emissions'!$B$10:$B$126,'vehicles specifications'!CI$2)/1000*$AQ107</f>
        <v>3.0465315045234537E-10</v>
      </c>
      <c r="CJ107" s="7">
        <f>SUMIFS('fuels and tailpipe emissions'!$G$10:$G$126,'fuels and tailpipe emissions'!$A$10:$A$126,'vehicles specifications'!$F107,'fuels and tailpipe emissions'!$B$10:$B$126,'vehicles specifications'!CJ$2)/1000*$AQ107</f>
        <v>3.7819011780291154E-10</v>
      </c>
      <c r="CK107" s="38">
        <f>VLOOKUP($B107,'abrasion emissions'!$O$7:$R$36,2,FALSE)</f>
        <v>0.33</v>
      </c>
      <c r="CL107" s="38">
        <f>VLOOKUP($B107,'abrasion emissions'!$O$7:$R$36,3,FALSE)</f>
        <v>0.33</v>
      </c>
      <c r="CM107" s="38">
        <f>VLOOKUP($B107,'abrasion emissions'!$O$7:$R$36,4,FALSE)</f>
        <v>0.33</v>
      </c>
      <c r="CN107" s="7">
        <f>((SUMIFS('abrasion emissions'!$M$7:$M$34,'abrasion emissions'!$I$7:$I$34,"PM 2.5",'abrasion emissions'!$J$7:$J$34,"urban",'abrasion emissions'!$K$7:$K$34,"Tyre",'abrasion emissions'!$L$7:$L$34,"b")*POWER(('vehicles specifications'!$Q107/1000),(1/SUMIFS('abrasion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specifications'!$P107/1000),(1/SUMIFS('abrasion emissions'!$M$7:$M$34,'abrasion emissions'!$I$7:$I$34,"PM 10",'abrasion emissions'!$J$7:$J$34,"urban",'abrasion emissions'!$K$7:$K$34,"Tyre",'abrasion emissions'!$L$7:$L$34,"c")))))/1000000</f>
        <v>7.0905695987185291E-6</v>
      </c>
      <c r="CO107" s="7">
        <f>((SUMIFS('abrasion emissions'!$M$7:$M$34,'abrasion emissions'!$I$7:$I$34,"PM 2.5",'abrasion emissions'!$J$7:$J$34,"rural",'abrasion emissions'!$K$7:$K$34,"Tyre",'abrasion emissions'!$L$7:$L$34,"b")*POWER(('vehicles specifications'!$Q107/1000),(1/SUMIFS('abrasion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specifications'!$P107/1000),(1/SUMIFS('abrasion emissions'!$M$7:$M$34,'abrasion emissions'!$I$7:$I$34,"PM 10",'abrasion emissions'!$J$7:$J$34,"rural",'abrasion emissions'!$K$7:$K$34,"Tyre",'abrasion emissions'!$L$7:$L$34,"c")))))/1000000</f>
        <v>5.5220093988017779E-6</v>
      </c>
      <c r="CP107" s="7">
        <f>((SUMIFS('abrasion emissions'!$M$7:$M$34,'abrasion emissions'!$I$7:$I$34,"PM 2.5",'abrasion emissions'!$J$7:$J$34,"motorway",'abrasion emissions'!$K$7:$K$34,"Tyre",'abrasion emissions'!$L$7:$L$34,"b")*POWER(('vehicles specifications'!$Q107/1000),(1/SUMIFS('abrasion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specifications'!$P107/1000),(1/SUMIFS('abrasion emissions'!$M$7:$M$34,'abrasion emissions'!$I$7:$I$34,"PM 10",'abrasion emissions'!$J$7:$J$34,"motorway",'abrasion emissions'!$K$7:$K$34,"Tyre",'abrasion emissions'!$L$7:$L$34,"c")))))/1000000</f>
        <v>4.7151910348379448E-6</v>
      </c>
      <c r="CQ107" s="7">
        <f>((SUMIFS('abrasion emissions'!$M$7:$M$34,'abrasion emissions'!$I$7:$I$34,"PM 2.5",'abrasion emissions'!$J$7:$J$34,"urban",'abrasion emissions'!$K$7:$K$34,"Brake",'abrasion emissions'!$L$7:$L$34,"b")*POWER(('vehicles specifications'!$Q107/1000),(1/SUMIFS('abrasion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specifications'!$P107/1000),(1/SUMIFS('abrasion emissions'!$M$7:$M$34,'abrasion emissions'!$I$7:$I$34,"PM 10",'abrasion emissions'!$J$7:$J$34,"urban",'abrasion emissions'!$K$7:$K$34,"Brake",'abrasion emissions'!$L$7:$L$34,"c")))))/1000000</f>
        <v>6.8868953193702116E-6</v>
      </c>
      <c r="CR107" s="7">
        <f>((SUMIFS('abrasion emissions'!$M$7:$M$34,'abrasion emissions'!$I$7:$I$34,"PM 2.5",'abrasion emissions'!$J$7:$J$34,"rural",'abrasion emissions'!$K$7:$K$34,"Brake",'abrasion emissions'!$L$7:$L$34,"b")*POWER(('vehicles specifications'!$Q107/1000),(1/SUMIFS('abrasion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specifications'!$P107/1000),(1/SUMIFS('abrasion emissions'!$M$7:$M$34,'abrasion emissions'!$I$7:$I$34,"PM 10",'abrasion emissions'!$J$7:$J$34,"rural",'abrasion emissions'!$K$7:$K$34,"Brake",'abrasion emissions'!$L$7:$L$34,"c")))))/1000000</f>
        <v>2.3090889739450251E-6</v>
      </c>
      <c r="CS107" s="7">
        <f>((SUMIFS('abrasion emissions'!$M$7:$M$34,'abrasion emissions'!$I$7:$I$34,"PM 2.5",'abrasion emissions'!$J$7:$J$34,"motorway",'abrasion emissions'!$K$7:$K$34,"Brake",'abrasion emissions'!$L$7:$L$34,"b")*POWER(('vehicles specifications'!$Q107/1000),(1/SUMIFS('abrasion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specifications'!$P107/1000),(1/SUMIFS('abrasion emissions'!$M$7:$M$34,'abrasion emissions'!$I$7:$I$34,"PM 10",'abrasion emissions'!$J$7:$J$34,"motorway",'abrasion emissions'!$K$7:$K$34,"Brake",'abrasion emissions'!$L$7:$L$34,"c")))))/1000000</f>
        <v>4.4033203250892517E-7</v>
      </c>
      <c r="CT107" s="7">
        <f>((SUMIFS('abrasion emissions'!$M$7:$M$38,'abrasion emissions'!$I$7:$I$38,"PM 2.5",'abrasion emissions'!$K$7:$K$38,"Re-susp.",'abrasion emissions'!$L$7:$L$38,"b")*POWER(('vehicles specifications'!$Q107/1000),(1/SUMIFS('abrasion emissions'!$M$7:$M$38,'abrasion emissions'!$I$7:$I$38,"PM 2.5",'abrasion emissions'!$K$7:$K$38,"Re-susp.",'abrasion emissions'!$L$7:$L$38,"c"))))+
(SUMIFS('abrasion emissions'!$M$7:$M$38,'abrasion emissions'!$I$7:$I$38,"PM 10",'abrasion emissions'!$K$7:$K$38,"Re-susp.",'abrasion emissions'!$L$7:$L$38,"b")*POWER(('vehicles specifications'!$Q107/1000),(1/SUMIFS('abrasion emissions'!$M$7:$M$38,'abrasion emissions'!$I$7:$I$38,"PM 10",'abrasion emissions'!$K$7:$K$38,"Re-susp.",'abrasion emissions'!$L$7:$L$38,"c")))))/1000000</f>
        <v>4.625095543946093E-6</v>
      </c>
      <c r="CU107" s="7">
        <f>((SUMIFS('abrasion emissions'!$M$7:$M$38,'abrasion emissions'!$I$7:$I$38,"PM 2.5",'abrasion emissions'!$K$7:$K$38,"Road",'abrasion emissions'!$L$7:$L$38,"b")*POWER(('vehicles specifications'!$Q107/1000),(1/SUMIFS('abrasion emissions'!$M$7:$M$38,'abrasion emissions'!$I$7:$I$38,"PM 2.5",'abrasion emissions'!$K$7:$K$38,"Road",'abrasion emissions'!$L$7:$L$38,"c"))))+
(SUMIFS('abrasion emissions'!$M$7:$M$38,'abrasion emissions'!$I$7:$I$38,"PM 10",'abrasion emissions'!$K$7:$K$38,"Road",'abrasion emissions'!$L$7:$L$38,"b")*POWER(('vehicles specifications'!$Q107/1000),(1/SUMIFS('abrasion emissions'!$M$7:$M$38,'abrasion emissions'!$I$7:$I$38,"PM 10",'abrasion emissions'!$K$7:$K$38,"Road",'abrasion emissions'!$L$7:$L$38,"c")))))/1000000+CT107</f>
        <v>8.656625299749574E-6</v>
      </c>
      <c r="CV107" s="7">
        <f>(CK107*CN107)+(CL107*CO107)+(CM107*CP107)</f>
        <v>5.7181641106782229E-6</v>
      </c>
      <c r="CW107" s="7">
        <f>(CK107*CQ107)+(CL107*CR107)+(CM107*CS107)</f>
        <v>3.1799843875219737E-6</v>
      </c>
    </row>
    <row r="108">
      <c r="A108" t="str">
        <f>B108&amp;" - "&amp;D108&amp;" - "&amp;IF(I108&lt;&gt;"",I108&amp;" - "&amp;E108,E108)</f>
        <v>Motorbike, gasoline, 11-35kW, EURO-4 - 2016 - CH</v>
      </c>
      <c r="B108" t="inlineStr">
        <is>
          <t>Motorbike, gasoline, 11-35kW, EURO-4</t>
        </is>
      </c>
      <c r="D108" s="18" t="n">
        <v>2016</v>
      </c>
      <c r="E108" t="inlineStr">
        <is>
          <t>CH</t>
        </is>
      </c>
      <c r="F108" t="inlineStr">
        <is>
          <t>EURO-4</t>
        </is>
      </c>
      <c r="G108" t="inlineStr">
        <is>
          <t>vkm</t>
        </is>
      </c>
      <c r="H108" t="inlineStr">
        <is>
          <t>ICEV-p</t>
        </is>
      </c>
      <c r="J108" t="n">
        <v>38500</v>
      </c>
      <c r="K108" t="n">
        <v>2405</v>
      </c>
      <c r="L108" s="2">
        <f>J108/K108</f>
        <v>16.008316008316008</v>
      </c>
      <c r="M108" t="n">
        <v>1.1</v>
      </c>
      <c r="N108" t="n">
        <v>75</v>
      </c>
      <c r="O108" t="n">
        <v>6</v>
      </c>
      <c r="P108" s="2">
        <f>SUM(U108,V108,W108,AC108,AF108,AH108)</f>
        <v>157.5575</v>
      </c>
      <c r="Q108" s="2">
        <f>P108+(M108*N108)+O108</f>
        <v>246.0575</v>
      </c>
      <c r="R108" t="n">
        <v>20</v>
      </c>
      <c r="S108" s="2" t="n">
        <v>81</v>
      </c>
      <c r="T108" s="1" t="n">
        <v>-0.02</v>
      </c>
      <c r="U108" s="2">
        <f>S108*(1-T108)</f>
        <v>82.62</v>
      </c>
      <c r="V108" s="2" t="n">
        <v>62</v>
      </c>
      <c r="W108" s="2" t="n">
        <v>0</v>
      </c>
      <c r="X108" s="3" t="n">
        <v>0</v>
      </c>
      <c r="Y108" s="1" t="n">
        <v>0.8</v>
      </c>
      <c r="Z108" s="3">
        <f>Y108*X108</f>
        <v>0</v>
      </c>
      <c r="AA108" s="3">
        <f>IF(I108&lt;&gt;"",X108/INDEX('energy battery'!$B$3:$D$6,MATCH('vehicles specifications'!$D108,'energy battery'!$A$3:$A$6,0),MATCH('vehicles specifications'!$I108,'energy battery'!$B$2:$D$2,0)),"")</f>
        <v/>
      </c>
      <c r="AB108" s="3">
        <f>IF(AA108&lt;&gt;"",0.3*AA108,"")</f>
        <v/>
      </c>
      <c r="AC108" s="3">
        <f>IF(AA108&lt;&gt;"",AB108+AA108,"")</f>
        <v/>
      </c>
      <c r="AD108" s="3" t="n">
        <v>0</v>
      </c>
      <c r="AE108" s="3" t="n">
        <v>15</v>
      </c>
      <c r="AF108">
        <f>AE108*'fuels and tailpipe emissions'!$B$3</f>
        <v>11.25</v>
      </c>
      <c r="AG108" s="2">
        <f>AF108*'fuels and tailpipe emissions'!$C$3</f>
        <v>133.125</v>
      </c>
      <c r="AH108" s="3">
        <f>0.15*AF108</f>
        <v>1.6875</v>
      </c>
      <c r="AI108" s="3" t="n">
        <v>0</v>
      </c>
      <c r="AJ108" s="3" t="n">
        <v>0</v>
      </c>
      <c r="AK108">
        <f>J108/25000</f>
        <v>1.54</v>
      </c>
      <c r="AL108">
        <f>0.000537/1000*Q108</f>
        <v>1.3213287749999999E-4</v>
      </c>
      <c r="AM108" t="n">
        <v>0.00129</v>
      </c>
      <c r="AN108" s="2">
        <f>U108</f>
        <v>82.62</v>
      </c>
      <c r="AO108" s="2">
        <f>SUM(V108:W108)</f>
        <v>62</v>
      </c>
      <c r="AP108" s="2">
        <f>AC108</f>
        <v/>
      </c>
      <c r="AQ108" s="6" t="n">
        <v>1.4735130185757</v>
      </c>
      <c r="AR108" s="20" t="n">
        <v>0.012</v>
      </c>
      <c r="AS108" s="6">
        <f>IF($H108="BEV",SUMPRODUCT(#REF!,#REF!),"")</f>
        <v/>
      </c>
      <c r="AT108" s="2">
        <f>SUM(Z108,AG108)/(SUM(AQ108,AS108)/3.6)</f>
        <v>325.24313932648096</v>
      </c>
      <c r="AU108" s="5">
        <f>IF($H108="ICEV-p",$AQ108/('fuels and tailpipe emissions'!$C$3*3.6)*'fuels and tailpipe emissions'!$D$3,"")*(1-AR108)</f>
        <v>0.10730772084008841</v>
      </c>
      <c r="AV108" s="5">
        <f>IF($H108="ICEV-p",$AQ108/('fuels and tailpipe emissions'!$C$3*3.6)*'fuels and tailpipe emissions'!$D$3,"")*AR108</f>
        <v>1.3033326417824505E-3</v>
      </c>
      <c r="AW108" s="7">
        <f>IF($H108="ICEV-p",$AQ108/('fuels and tailpipe emissions'!$C$3*3.6)*'fuels and tailpipe emissions'!$E$3,"")</f>
        <v>5.5343211965284504E-7</v>
      </c>
      <c r="AX108" s="7">
        <f>SUMIFS('fuels and tailpipe emissions'!$G$10:$G$126,'fuels and tailpipe emissions'!$A$10:$A$126,'vehicles specifications'!$F108,'fuels and tailpipe emissions'!$B$10:$B$126,'vehicles specifications'!AX$2)/1000*$AQ108</f>
        <v>1.9073617591137917E-6</v>
      </c>
      <c r="AY108" s="7">
        <f>SUMIFS('fuels and tailpipe emissions'!$G$10:$G$126,'fuels and tailpipe emissions'!$A$10:$A$126,'vehicles specifications'!$F108,'fuels and tailpipe emissions'!$B$10:$B$126,'vehicles specifications'!AY$2)/1000*$AQ108</f>
        <v>2.7697735778460602E-5</v>
      </c>
      <c r="AZ108" s="7">
        <f>SUMIFS('fuels and tailpipe emissions'!$G$10:$G$126,'fuels and tailpipe emissions'!$A$10:$A$126,'vehicles specifications'!$F108,'fuels and tailpipe emissions'!$B$10:$B$126,'vehicles specifications'!AZ$2)/1000*$AQ108</f>
        <v>1.4020599038117664E-4</v>
      </c>
      <c r="BA108" s="7">
        <f>SUMIFS('fuels and tailpipe emissions'!$G$10:$G$126,'fuels and tailpipe emissions'!$A$10:$A$126,'vehicles specifications'!$F108,'fuels and tailpipe emissions'!$B$10:$B$126,'vehicles specifications'!BA$2)/1000*$AQ108</f>
        <v>8.3301460987851437E-7</v>
      </c>
      <c r="BB108" s="7">
        <f>SUMIFS('fuels and tailpipe emissions'!$G$10:$G$126,'fuels and tailpipe emissions'!$A$10:$A$126,'vehicles specifications'!$F108,'fuels and tailpipe emissions'!$B$10:$B$126,'vehicles specifications'!BB$2)/1000*$AQ108</f>
        <v>8.3301460987851437E-7</v>
      </c>
      <c r="BC108" s="7">
        <f>SUMIFS('fuels and tailpipe emissions'!$G$10:$G$126,'fuels and tailpipe emissions'!$A$10:$A$126,'vehicles specifications'!$F108,'fuels and tailpipe emissions'!$B$10:$B$126,'vehicles specifications'!BC$2)/1000*$AQ108</f>
        <v>1.3603299444488674E-5</v>
      </c>
      <c r="BD108" s="7">
        <f>SUMIFS('fuels and tailpipe emissions'!$G$10:$G$126,'fuels and tailpipe emissions'!$A$10:$A$126,'vehicles specifications'!$F108,'fuels and tailpipe emissions'!$B$10:$B$126,'vehicles specifications'!BD$2)/1000*$AQ108</f>
        <v>2.082536524696286E-6</v>
      </c>
      <c r="BE108" s="7">
        <f>SUMIFS('fuels and tailpipe emissions'!$G$10:$G$126,'fuels and tailpipe emissions'!$A$10:$A$126,'vehicles specifications'!$F108,'fuels and tailpipe emissions'!$B$10:$B$126,'vehicles specifications'!BE$2)/1000*$AQ108</f>
        <v>1.5381291618949722E-5</v>
      </c>
      <c r="BF108" s="7">
        <f>SUMIFS('fuels and tailpipe emissions'!$G$10:$G$126,'fuels and tailpipe emissions'!$A$10:$A$126,'vehicles specifications'!$F108,'fuels and tailpipe emissions'!$B$10:$B$126,'vehicles specifications'!BF$2)/1000*$AQ108</f>
        <v>1.084578255182352E-6</v>
      </c>
      <c r="BG108" s="7">
        <f>SUMIFS('fuels and tailpipe emissions'!$G$10:$G$126,'fuels and tailpipe emissions'!$A$10:$A$126,'vehicles specifications'!$F108,'fuels and tailpipe emissions'!$B$10:$B$126,'vehicles specifications'!BG$2)/1000*$AQ108</f>
        <v>2.2099556923778335E-7</v>
      </c>
      <c r="BH108" s="7">
        <f>SUMIFS('fuels and tailpipe emissions'!$G$10:$G$126,'fuels and tailpipe emissions'!$A$10:$A$126,'vehicles specifications'!$F108,'fuels and tailpipe emissions'!$B$10:$B$126,'vehicles specifications'!BH$2)/1000*$AQ108</f>
        <v>1.7815642812399767E-6</v>
      </c>
      <c r="BI108" s="7">
        <f>SUMIFS('fuels and tailpipe emissions'!$G$10:$G$126,'fuels and tailpipe emissions'!$A$10:$A$126,'vehicles specifications'!$F108,'fuels and tailpipe emissions'!$B$10:$B$126,'vehicles specifications'!BI$2)/1000*$AQ108</f>
        <v>7.3098534440189867E-7</v>
      </c>
      <c r="BJ108" s="7">
        <f>SUMIFS('fuels and tailpipe emissions'!$G$10:$G$126,'fuels and tailpipe emissions'!$A$10:$A$126,'vehicles specifications'!$F108,'fuels and tailpipe emissions'!$B$10:$B$126,'vehicles specifications'!BJ$2)/1000*$AQ108</f>
        <v>5.4738902534281725E-7</v>
      </c>
      <c r="BK108" s="7">
        <f>SUMIFS('fuels and tailpipe emissions'!$G$10:$G$126,'fuels and tailpipe emissions'!$A$10:$A$126,'vehicles specifications'!$F108,'fuels and tailpipe emissions'!$B$10:$B$126,'vehicles specifications'!BK$2)/1000*$AQ108</f>
        <v>3.875922291247277E-7</v>
      </c>
      <c r="BL108" s="7">
        <f>SUMIFS('fuels and tailpipe emissions'!$G$10:$G$126,'fuels and tailpipe emissions'!$A$10:$A$126,'vehicles specifications'!$F108,'fuels and tailpipe emissions'!$B$10:$B$126,'vehicles specifications'!BL$2)/1000*$AQ108</f>
        <v>2.5159495574763026E-7</v>
      </c>
      <c r="BM108" s="7">
        <f>SUMIFS('fuels and tailpipe emissions'!$G$10:$G$126,'fuels and tailpipe emissions'!$A$10:$A$126,'vehicles specifications'!$F108,'fuels and tailpipe emissions'!$B$10:$B$126,'vehicles specifications'!BM$2)/1000*$AQ108</f>
        <v>2.481950239132028E-6</v>
      </c>
      <c r="BN108" s="7">
        <f>SUMIFS('fuels and tailpipe emissions'!$G$10:$G$126,'fuels and tailpipe emissions'!$A$10:$A$126,'vehicles specifications'!$F108,'fuels and tailpipe emissions'!$B$10:$B$126,'vehicles specifications'!BN$2)/1000*$AQ108</f>
        <v>1.2987739607512805E-6</v>
      </c>
      <c r="BO108" s="7">
        <f>SUMIFS('fuels and tailpipe emissions'!$G$10:$G$126,'fuels and tailpipe emissions'!$A$10:$A$126,'vehicles specifications'!$F108,'fuels and tailpipe emissions'!$B$10:$B$126,'vehicles specifications'!BO$2)/1000*$AQ108</f>
        <v>3.73992501787018E-8</v>
      </c>
      <c r="BP108" s="7">
        <f>SUMIFS('fuels and tailpipe emissions'!$G$10:$G$126,'fuels and tailpipe emissions'!$A$10:$A$126,'vehicles specifications'!$F108,'fuels and tailpipe emissions'!$B$10:$B$126,'vehicles specifications'!BP$2)/1000*$AQ108</f>
        <v>1.9073617591137917E-6</v>
      </c>
      <c r="BQ108" s="7">
        <f>SUMIFS('fuels and tailpipe emissions'!$G$10:$G$126,'fuels and tailpipe emissions'!$A$10:$A$126,'vehicles specifications'!$F108,'fuels and tailpipe emissions'!$B$10:$B$126,'vehicles specifications'!BQ$2)/1000*$AQ108</f>
        <v>3.7331251542013252E-6</v>
      </c>
      <c r="BR108" s="7">
        <f>SUMIFS('fuels and tailpipe emissions'!$G$10:$G$126,'fuels and tailpipe emissions'!$A$10:$A$126,'vehicles specifications'!$F108,'fuels and tailpipe emissions'!$B$10:$B$126,'vehicles specifications'!BR$2)/1000*$AQ108</f>
        <v>1.8461629860940981E-6</v>
      </c>
      <c r="BS108" s="7">
        <f>SUMIFS('fuels and tailpipe emissions'!$G$10:$G$126,'fuels and tailpipe emissions'!$A$10:$A$126,'vehicles specifications'!$F108,'fuels and tailpipe emissions'!$B$10:$B$126,'vehicles specifications'!BS$2)/1000*$AQ108</f>
        <v>7.6838459458060058E-7</v>
      </c>
      <c r="BT108" s="7">
        <f>SUMIFS('fuels and tailpipe emissions'!$G$10:$G$126,'fuels and tailpipe emissions'!$A$10:$A$126,'vehicles specifications'!$F108,'fuels and tailpipe emissions'!$B$10:$B$126,'vehicles specifications'!BT$2)/1000*$AQ108</f>
        <v>5.7798841185266424E-7</v>
      </c>
      <c r="BU108" s="7">
        <f>SUMIFS('fuels and tailpipe emissions'!$G$10:$G$126,'fuels and tailpipe emissions'!$A$10:$A$126,'vehicles specifications'!$F108,'fuels and tailpipe emissions'!$B$10:$B$126,'vehicles specifications'!BU$2)/1000*$AQ108</f>
        <v>2.5499488758205772E-7</v>
      </c>
      <c r="BV108" s="7">
        <f>SUMIFS('fuels and tailpipe emissions'!$G$10:$G$126,'fuels and tailpipe emissions'!$A$10:$A$126,'vehicles specifications'!$F108,'fuels and tailpipe emissions'!$B$10:$B$126,'vehicles specifications'!BV$2)/1000*$AQ108</f>
        <v>7.47985003574036E-8</v>
      </c>
      <c r="BW108" s="7">
        <f>SUMIFS('fuels and tailpipe emissions'!$G$10:$G$126,'fuels and tailpipe emissions'!$A$10:$A$126,'vehicles specifications'!$F108,'fuels and tailpipe emissions'!$B$10:$B$126,'vehicles specifications'!BW$2)/1000*$AQ108</f>
        <v>2.0739584190007364E-7</v>
      </c>
      <c r="BX108" s="7">
        <f>SUMIFS('fuels and tailpipe emissions'!$G$10:$G$126,'fuels and tailpipe emissions'!$A$10:$A$126,'vehicles specifications'!$F108,'fuels and tailpipe emissions'!$B$10:$B$126,'vehicles specifications'!BX$2)/1000*$AQ108</f>
        <v>0</v>
      </c>
      <c r="BY108" s="7">
        <f>SUMIFS('fuels and tailpipe emissions'!$G$10:$G$126,'fuels and tailpipe emissions'!$A$10:$A$126,'vehicles specifications'!$F108,'fuels and tailpipe emissions'!$B$10:$B$126,'vehicles specifications'!BY$2)/1000*$AQ108</f>
        <v>6.4598704854121283E-8</v>
      </c>
      <c r="BZ108" s="7">
        <f>SUMIFS('fuels and tailpipe emissions'!$G$10:$G$126,'fuels and tailpipe emissions'!$A$10:$A$126,'vehicles specifications'!$F108,'fuels and tailpipe emissions'!$B$10:$B$126,'vehicles specifications'!BZ$2)/1000*$AQ108</f>
        <v>3.4339311527717102E-7</v>
      </c>
      <c r="CA108" s="7">
        <f>SUMIFS('fuels and tailpipe emissions'!$G$10:$G$126,'fuels and tailpipe emissions'!$A$10:$A$126,'vehicles specifications'!$F108,'fuels and tailpipe emissions'!$B$10:$B$126,'vehicles specifications'!CA$2)/1000*$AQ108</f>
        <v>1.206547130504338E-9</v>
      </c>
      <c r="CB108" s="7">
        <f>SUMIFS('fuels and tailpipe emissions'!$G$10:$G$126,'fuels and tailpipe emissions'!$A$10:$A$126,'vehicles specifications'!$F108,'fuels and tailpipe emissions'!$B$10:$B$126,'vehicles specifications'!CB$2)/1000*$AQ108</f>
        <v>1.0401268366416708E-11</v>
      </c>
      <c r="CC108" s="7">
        <f>SUMIFS('fuels and tailpipe emissions'!$G$10:$G$126,'fuels and tailpipe emissions'!$A$10:$A$126,'vehicles specifications'!$F108,'fuels and tailpipe emissions'!$B$10:$B$126,'vehicles specifications'!CC$2)/1000*$AQ108</f>
        <v>6.9341789109444719E-12</v>
      </c>
      <c r="CD108" s="7">
        <f>SUMIFS('fuels and tailpipe emissions'!$G$10:$G$126,'fuels and tailpipe emissions'!$A$10:$A$126,'vehicles specifications'!$F108,'fuels and tailpipe emissions'!$B$10:$B$126,'vehicles specifications'!CD$2)/1000*$AQ108</f>
        <v>7.4889132238200295E-8</v>
      </c>
      <c r="CE108" s="7">
        <f>SUMIFS('fuels and tailpipe emissions'!$G$10:$G$126,'fuels and tailpipe emissions'!$A$10:$A$126,'vehicles specifications'!$F108,'fuels and tailpipe emissions'!$B$10:$B$126,'vehicles specifications'!CE$2)/1000*$AQ108</f>
        <v>1.4561775712983389E-9</v>
      </c>
      <c r="CF108" s="7">
        <f>SUMIFS('fuels and tailpipe emissions'!$G$10:$G$126,'fuels and tailpipe emissions'!$A$10:$A$126,'vehicles specifications'!$F108,'fuels and tailpipe emissions'!$B$10:$B$126,'vehicles specifications'!CF$2)/1000*$AQ108</f>
        <v>4.5072162921139066E-10</v>
      </c>
      <c r="CG108" s="7">
        <f>SUMIFS('fuels and tailpipe emissions'!$G$10:$G$126,'fuels and tailpipe emissions'!$A$10:$A$126,'vehicles specifications'!$F108,'fuels and tailpipe emissions'!$B$10:$B$126,'vehicles specifications'!CG$2)/1000*$AQ108</f>
        <v>5.5473431287555782E-10</v>
      </c>
      <c r="CH108" s="7">
        <f>SUMIFS('fuels and tailpipe emissions'!$G$10:$G$126,'fuels and tailpipe emissions'!$A$10:$A$126,'vehicles specifications'!$F108,'fuels and tailpipe emissions'!$B$10:$B$126,'vehicles specifications'!CH$2)/1000*$AQ108</f>
        <v>1.1094686257511153E-12</v>
      </c>
      <c r="CI108" s="7">
        <f>SUMIFS('fuels and tailpipe emissions'!$G$10:$G$126,'fuels and tailpipe emissions'!$A$10:$A$126,'vehicles specifications'!$F108,'fuels and tailpipe emissions'!$B$10:$B$126,'vehicles specifications'!CI$2)/1000*$AQ108</f>
        <v>3.016367826260845E-10</v>
      </c>
      <c r="CJ108" s="7">
        <f>SUMIFS('fuels and tailpipe emissions'!$G$10:$G$126,'fuels and tailpipe emissions'!$A$10:$A$126,'vehicles specifications'!$F108,'fuels and tailpipe emissions'!$B$10:$B$126,'vehicles specifications'!CJ$2)/1000*$AQ108</f>
        <v>3.7444566119100157E-10</v>
      </c>
      <c r="CK108" s="38">
        <f>VLOOKUP($B108,'abrasion emissions'!$O$7:$R$36,2,FALSE)</f>
        <v>0.33</v>
      </c>
      <c r="CL108" s="38">
        <f>VLOOKUP($B108,'abrasion emissions'!$O$7:$R$36,3,FALSE)</f>
        <v>0.33</v>
      </c>
      <c r="CM108" s="38">
        <f>VLOOKUP($B108,'abrasion emissions'!$O$7:$R$36,4,FALSE)</f>
        <v>0.33</v>
      </c>
      <c r="CN108" s="7">
        <f>((SUMIFS('abrasion emissions'!$M$7:$M$34,'abrasion emissions'!$I$7:$I$34,"PM 2.5",'abrasion emissions'!$J$7:$J$34,"urban",'abrasion emissions'!$K$7:$K$34,"Tyre",'abrasion emissions'!$L$7:$L$34,"b")*POWER(('vehicles specifications'!$Q108/1000),(1/SUMIFS('abrasion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specifications'!$P108/1000),(1/SUMIFS('abrasion emissions'!$M$7:$M$34,'abrasion emissions'!$I$7:$I$34,"PM 10",'abrasion emissions'!$J$7:$J$34,"urban",'abrasion emissions'!$K$7:$K$34,"Tyre",'abrasion emissions'!$L$7:$L$34,"c")))))/1000000</f>
        <v>7.0541451988985374E-6</v>
      </c>
      <c r="CO108" s="7">
        <f>((SUMIFS('abrasion emissions'!$M$7:$M$34,'abrasion emissions'!$I$7:$I$34,"PM 2.5",'abrasion emissions'!$J$7:$J$34,"rural",'abrasion emissions'!$K$7:$K$34,"Tyre",'abrasion emissions'!$L$7:$L$34,"b")*POWER(('vehicles specifications'!$Q108/1000),(1/SUMIFS('abrasion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specifications'!$P108/1000),(1/SUMIFS('abrasion emissions'!$M$7:$M$34,'abrasion emissions'!$I$7:$I$34,"PM 10",'abrasion emissions'!$J$7:$J$34,"rural",'abrasion emissions'!$K$7:$K$34,"Tyre",'abrasion emissions'!$L$7:$L$34,"c")))))/1000000</f>
        <v>5.4936608086115363E-6</v>
      </c>
      <c r="CP108" s="7">
        <f>((SUMIFS('abrasion emissions'!$M$7:$M$34,'abrasion emissions'!$I$7:$I$34,"PM 2.5",'abrasion emissions'!$J$7:$J$34,"motorway",'abrasion emissions'!$K$7:$K$34,"Tyre",'abrasion emissions'!$L$7:$L$34,"b")*POWER(('vehicles specifications'!$Q108/1000),(1/SUMIFS('abrasion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specifications'!$P108/1000),(1/SUMIFS('abrasion emissions'!$M$7:$M$34,'abrasion emissions'!$I$7:$I$34,"PM 10",'abrasion emissions'!$J$7:$J$34,"motorway",'abrasion emissions'!$K$7:$K$34,"Tyre",'abrasion emissions'!$L$7:$L$34,"c")))))/1000000</f>
        <v>4.6910298311189319E-6</v>
      </c>
      <c r="CQ108" s="7">
        <f>((SUMIFS('abrasion emissions'!$M$7:$M$34,'abrasion emissions'!$I$7:$I$34,"PM 2.5",'abrasion emissions'!$J$7:$J$34,"urban",'abrasion emissions'!$K$7:$K$34,"Brake",'abrasion emissions'!$L$7:$L$34,"b")*POWER(('vehicles specifications'!$Q108/1000),(1/SUMIFS('abrasion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specifications'!$P108/1000),(1/SUMIFS('abrasion emissions'!$M$7:$M$34,'abrasion emissions'!$I$7:$I$34,"PM 10",'abrasion emissions'!$J$7:$J$34,"urban",'abrasion emissions'!$K$7:$K$34,"Brake",'abrasion emissions'!$L$7:$L$34,"c")))))/1000000</f>
        <v>6.846781489410032E-6</v>
      </c>
      <c r="CR108" s="7">
        <f>((SUMIFS('abrasion emissions'!$M$7:$M$34,'abrasion emissions'!$I$7:$I$34,"PM 2.5",'abrasion emissions'!$J$7:$J$34,"rural",'abrasion emissions'!$K$7:$K$34,"Brake",'abrasion emissions'!$L$7:$L$34,"b")*POWER(('vehicles specifications'!$Q108/1000),(1/SUMIFS('abrasion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specifications'!$P108/1000),(1/SUMIFS('abrasion emissions'!$M$7:$M$34,'abrasion emissions'!$I$7:$I$34,"PM 10",'abrasion emissions'!$J$7:$J$34,"rural",'abrasion emissions'!$K$7:$K$34,"Brake",'abrasion emissions'!$L$7:$L$34,"c")))))/1000000</f>
        <v>2.2920892587386676E-6</v>
      </c>
      <c r="CS108" s="7">
        <f>((SUMIFS('abrasion emissions'!$M$7:$M$34,'abrasion emissions'!$I$7:$I$34,"PM 2.5",'abrasion emissions'!$J$7:$J$34,"motorway",'abrasion emissions'!$K$7:$K$34,"Brake",'abrasion emissions'!$L$7:$L$34,"b")*POWER(('vehicles specifications'!$Q108/1000),(1/SUMIFS('abrasion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specifications'!$P108/1000),(1/SUMIFS('abrasion emissions'!$M$7:$M$34,'abrasion emissions'!$I$7:$I$34,"PM 10",'abrasion emissions'!$J$7:$J$34,"motorway",'abrasion emissions'!$K$7:$K$34,"Brake",'abrasion emissions'!$L$7:$L$34,"c")))))/1000000</f>
        <v>4.3660825583264685E-7</v>
      </c>
      <c r="CT108" s="7">
        <f>((SUMIFS('abrasion emissions'!$M$7:$M$38,'abrasion emissions'!$I$7:$I$38,"PM 2.5",'abrasion emissions'!$K$7:$K$38,"Re-susp.",'abrasion emissions'!$L$7:$L$38,"b")*POWER(('vehicles specifications'!$Q108/1000),(1/SUMIFS('abrasion emissions'!$M$7:$M$38,'abrasion emissions'!$I$7:$I$38,"PM 2.5",'abrasion emissions'!$K$7:$K$38,"Re-susp.",'abrasion emissions'!$L$7:$L$38,"c"))))+
(SUMIFS('abrasion emissions'!$M$7:$M$38,'abrasion emissions'!$I$7:$I$38,"PM 10",'abrasion emissions'!$K$7:$K$38,"Re-susp.",'abrasion emissions'!$L$7:$L$38,"b")*POWER(('vehicles specifications'!$Q108/1000),(1/SUMIFS('abrasion emissions'!$M$7:$M$38,'abrasion emissions'!$I$7:$I$38,"PM 10",'abrasion emissions'!$K$7:$K$38,"Re-susp.",'abrasion emissions'!$L$7:$L$38,"c")))))/1000000</f>
        <v>4.5839594127527914E-6</v>
      </c>
      <c r="CU108" s="7">
        <f>((SUMIFS('abrasion emissions'!$M$7:$M$38,'abrasion emissions'!$I$7:$I$38,"PM 2.5",'abrasion emissions'!$K$7:$K$38,"Road",'abrasion emissions'!$L$7:$L$38,"b")*POWER(('vehicles specifications'!$Q108/1000),(1/SUMIFS('abrasion emissions'!$M$7:$M$38,'abrasion emissions'!$I$7:$I$38,"PM 2.5",'abrasion emissions'!$K$7:$K$38,"Road",'abrasion emissions'!$L$7:$L$38,"c"))))+
(SUMIFS('abrasion emissions'!$M$7:$M$38,'abrasion emissions'!$I$7:$I$38,"PM 10",'abrasion emissions'!$K$7:$K$38,"Road",'abrasion emissions'!$L$7:$L$38,"b")*POWER(('vehicles specifications'!$Q108/1000),(1/SUMIFS('abrasion emissions'!$M$7:$M$38,'abrasion emissions'!$I$7:$I$38,"PM 10",'abrasion emissions'!$K$7:$K$38,"Road",'abrasion emissions'!$L$7:$L$38,"c")))))/1000000+CT108</f>
        <v>8.5891628161937534E-6</v>
      </c>
      <c r="CV108" s="7">
        <f>(CK108*CN108)+(CL108*CO108)+(CM108*CP108)</f>
        <v>5.6888158267475719E-6</v>
      </c>
      <c r="CW108" s="7">
        <f>(CK108*CQ108)+(CL108*CR108)+(CM108*CS108)</f>
        <v>3.1599080713138445E-6</v>
      </c>
    </row>
    <row r="109">
      <c r="A109" t="str">
        <f>B109&amp;" - "&amp;D109&amp;" - "&amp;IF(I109&lt;&gt;"",I109&amp;" - "&amp;E109,E109)</f>
        <v>Motorbike, gasoline, 11-35kW, EURO-5 - 2020 - CH</v>
      </c>
      <c r="B109" t="inlineStr">
        <is>
          <t>Motorbike, gasoline, 11-35kW, EURO-5</t>
        </is>
      </c>
      <c r="D109" s="18" t="n">
        <v>2020</v>
      </c>
      <c r="E109" t="inlineStr">
        <is>
          <t>CH</t>
        </is>
      </c>
      <c r="F109" t="inlineStr">
        <is>
          <t>EURO-5</t>
        </is>
      </c>
      <c r="G109" t="inlineStr">
        <is>
          <t>vkm</t>
        </is>
      </c>
      <c r="H109" t="inlineStr">
        <is>
          <t>ICEV-p</t>
        </is>
      </c>
      <c r="J109" t="n">
        <v>38500</v>
      </c>
      <c r="K109" t="n">
        <v>2405</v>
      </c>
      <c r="L109" s="2">
        <f>J109/K109</f>
        <v>16.008316008316008</v>
      </c>
      <c r="M109" t="n">
        <v>1.1</v>
      </c>
      <c r="N109" t="n">
        <v>75</v>
      </c>
      <c r="O109" t="n">
        <v>6</v>
      </c>
      <c r="P109" s="2">
        <f>SUM(U109,V109,W109,AC109,AF109,AH109)</f>
        <v>155.9375</v>
      </c>
      <c r="Q109" s="2">
        <f>P109+(M109*N109)+O109</f>
        <v>244.4375</v>
      </c>
      <c r="R109" t="n">
        <v>20</v>
      </c>
      <c r="S109" s="2" t="n">
        <v>81</v>
      </c>
      <c r="T109" s="1" t="n">
        <v>0</v>
      </c>
      <c r="U109" s="2">
        <f>S109*(1-T109)</f>
        <v>81</v>
      </c>
      <c r="V109" s="2" t="n">
        <v>62</v>
      </c>
      <c r="W109" s="2" t="n">
        <v>0</v>
      </c>
      <c r="X109" s="3" t="n">
        <v>0</v>
      </c>
      <c r="Y109" s="1" t="n">
        <v>0.8</v>
      </c>
      <c r="Z109" s="3">
        <f>Y109*X109</f>
        <v>0</v>
      </c>
      <c r="AA109" s="3">
        <f>IF(I109&lt;&gt;"",X109/INDEX('energy battery'!$B$3:$D$6,MATCH('vehicles specifications'!$D109,'energy battery'!$A$3:$A$6,0),MATCH('vehicles specifications'!$I109,'energy battery'!$B$2:$D$2,0)),"")</f>
        <v/>
      </c>
      <c r="AB109" s="3">
        <f>IF(AA109&lt;&gt;"",0.3*AA109,"")</f>
        <v/>
      </c>
      <c r="AC109" s="3">
        <f>IF(AA109&lt;&gt;"",AB109+AA109,"")</f>
        <v/>
      </c>
      <c r="AD109" s="3" t="n">
        <v>0</v>
      </c>
      <c r="AE109" s="3" t="n">
        <v>15</v>
      </c>
      <c r="AF109">
        <f>AE109*'fuels and tailpipe emissions'!$B$3</f>
        <v>11.25</v>
      </c>
      <c r="AG109" s="2">
        <f>AF109*'fuels and tailpipe emissions'!$C$3</f>
        <v>133.125</v>
      </c>
      <c r="AH109" s="3">
        <f>0.15*AF109</f>
        <v>1.6875</v>
      </c>
      <c r="AI109" s="3" t="n">
        <v>0</v>
      </c>
      <c r="AJ109" s="3" t="n">
        <v>0</v>
      </c>
      <c r="AK109">
        <f>J109/25000</f>
        <v>1.54</v>
      </c>
      <c r="AL109">
        <f>0.000537/1000*Q109</f>
        <v>1.3126293750000001E-4</v>
      </c>
      <c r="AM109" t="n">
        <v>0.00129</v>
      </c>
      <c r="AN109" s="2">
        <f>U109</f>
        <v>81</v>
      </c>
      <c r="AO109" s="2">
        <f>SUM(V109:W109)</f>
        <v>62</v>
      </c>
      <c r="AP109" s="2">
        <f>AC109</f>
        <v/>
      </c>
      <c r="AQ109" s="6" t="n">
        <v>1.458777888389943</v>
      </c>
      <c r="AR109" s="20" t="n">
        <v>0.012</v>
      </c>
      <c r="AS109" s="6">
        <f>IF($H109="BEV",SUMPRODUCT(#REF!,#REF!),"")</f>
        <v/>
      </c>
      <c r="AT109" s="2">
        <f>SUM(Z109,AG109)/(SUM(AQ109,AS109)/3.6)</f>
        <v>328.52842356210198</v>
      </c>
      <c r="AU109" s="5">
        <f>IF($H109="ICEV-p",$AQ109/('fuels and tailpipe emissions'!$C$3*3.6)*'fuels and tailpipe emissions'!$D$3,"")*(1-AR109)</f>
        <v>0.10623464363168753</v>
      </c>
      <c r="AV109" s="5">
        <f>IF($H109="ICEV-p",$AQ109/('fuels and tailpipe emissions'!$C$3*3.6)*'fuels and tailpipe emissions'!$D$3,"")*AR109</f>
        <v>1.2902993153646259E-3</v>
      </c>
      <c r="AW109" s="7">
        <f>IF($H109="ICEV-p",$AQ109/('fuels and tailpipe emissions'!$C$3*3.6)*'fuels and tailpipe emissions'!$E$3,"")</f>
        <v>5.478977984563167E-7</v>
      </c>
      <c r="AX109" s="7">
        <f>SUMIFS('fuels and tailpipe emissions'!$G$10:$G$126,'fuels and tailpipe emissions'!$A$10:$A$126,'vehicles specifications'!$F109,'fuels and tailpipe emissions'!$B$10:$B$126,'vehicles specifications'!AX$2)/1000*$AQ109</f>
        <v>1.1120861815633757E-6</v>
      </c>
      <c r="AY109" s="7">
        <f>SUMIFS('fuels and tailpipe emissions'!$G$10:$G$126,'fuels and tailpipe emissions'!$A$10:$A$126,'vehicles specifications'!$F109,'fuels and tailpipe emissions'!$B$10:$B$126,'vehicles specifications'!AY$2)/1000*$AQ109</f>
        <v>2.7420758420675998E-5</v>
      </c>
      <c r="AZ109" s="7">
        <f>SUMIFS('fuels and tailpipe emissions'!$G$10:$G$126,'fuels and tailpipe emissions'!$A$10:$A$126,'vehicles specifications'!$F109,'fuels and tailpipe emissions'!$B$10:$B$126,'vehicles specifications'!AZ$2)/1000*$AQ109</f>
        <v>1.217425302427384E-4</v>
      </c>
      <c r="BA109" s="7">
        <f>SUMIFS('fuels and tailpipe emissions'!$G$10:$G$126,'fuels and tailpipe emissions'!$A$10:$A$126,'vehicles specifications'!$F109,'fuels and tailpipe emissions'!$B$10:$B$126,'vehicles specifications'!BA$2)/1000*$AQ109</f>
        <v>8.2468446377972918E-7</v>
      </c>
      <c r="BB109" s="7">
        <f>SUMIFS('fuels and tailpipe emissions'!$G$10:$G$126,'fuels and tailpipe emissions'!$A$10:$A$126,'vehicles specifications'!$F109,'fuels and tailpipe emissions'!$B$10:$B$126,'vehicles specifications'!BB$2)/1000*$AQ109</f>
        <v>8.2468446377972918E-7</v>
      </c>
      <c r="BC109" s="7">
        <f>SUMIFS('fuels and tailpipe emissions'!$G$10:$G$126,'fuels and tailpipe emissions'!$A$10:$A$126,'vehicles specifications'!$F109,'fuels and tailpipe emissions'!$B$10:$B$126,'vehicles specifications'!BC$2)/1000*$AQ109</f>
        <v>8.9890099189194488E-6</v>
      </c>
      <c r="BD109" s="7">
        <f>SUMIFS('fuels and tailpipe emissions'!$G$10:$G$126,'fuels and tailpipe emissions'!$A$10:$A$126,'vehicles specifications'!$F109,'fuels and tailpipe emissions'!$B$10:$B$126,'vehicles specifications'!BD$2)/1000*$AQ109</f>
        <v>2.0617111594493231E-6</v>
      </c>
      <c r="BE109" s="7">
        <f>SUMIFS('fuels and tailpipe emissions'!$G$10:$G$126,'fuels and tailpipe emissions'!$A$10:$A$126,'vehicles specifications'!$F109,'fuels and tailpipe emissions'!$B$10:$B$126,'vehicles specifications'!BE$2)/1000*$AQ109</f>
        <v>8.9680532716447633E-6</v>
      </c>
      <c r="BF109" s="7">
        <f>SUMIFS('fuels and tailpipe emissions'!$G$10:$G$126,'fuels and tailpipe emissions'!$A$10:$A$126,'vehicles specifications'!$F109,'fuels and tailpipe emissions'!$B$10:$B$126,'vehicles specifications'!BF$2)/1000*$AQ109</f>
        <v>6.3236273069289983E-7</v>
      </c>
      <c r="BG109" s="7">
        <f>SUMIFS('fuels and tailpipe emissions'!$G$10:$G$126,'fuels and tailpipe emissions'!$A$10:$A$126,'vehicles specifications'!$F109,'fuels and tailpipe emissions'!$B$10:$B$126,'vehicles specifications'!BG$2)/1000*$AQ109</f>
        <v>1.2885134010983853E-7</v>
      </c>
      <c r="BH109" s="7">
        <f>SUMIFS('fuels and tailpipe emissions'!$G$10:$G$126,'fuels and tailpipe emissions'!$A$10:$A$126,'vehicles specifications'!$F109,'fuels and tailpipe emissions'!$B$10:$B$126,'vehicles specifications'!BH$2)/1000*$AQ109</f>
        <v>1.0387400341162367E-6</v>
      </c>
      <c r="BI109" s="7">
        <f>SUMIFS('fuels and tailpipe emissions'!$G$10:$G$126,'fuels and tailpipe emissions'!$A$10:$A$126,'vehicles specifications'!$F109,'fuels and tailpipe emissions'!$B$10:$B$126,'vehicles specifications'!BI$2)/1000*$AQ109</f>
        <v>4.2620058651715824E-7</v>
      </c>
      <c r="BJ109" s="7">
        <f>SUMIFS('fuels and tailpipe emissions'!$G$10:$G$126,'fuels and tailpipe emissions'!$A$10:$A$126,'vehicles specifications'!$F109,'fuels and tailpipe emissions'!$B$10:$B$126,'vehicles specifications'!BJ$2)/1000*$AQ109</f>
        <v>3.1915485781052317E-7</v>
      </c>
      <c r="BK109" s="7">
        <f>SUMIFS('fuels and tailpipe emissions'!$G$10:$G$126,'fuels and tailpipe emissions'!$A$10:$A$126,'vehicles specifications'!$F109,'fuels and tailpipe emissions'!$B$10:$B$126,'vehicles specifications'!BK$2)/1000*$AQ109</f>
        <v>2.2598542726956295E-7</v>
      </c>
      <c r="BL109" s="7">
        <f>SUMIFS('fuels and tailpipe emissions'!$G$10:$G$126,'fuels and tailpipe emissions'!$A$10:$A$126,'vehicles specifications'!$F109,'fuels and tailpipe emissions'!$B$10:$B$126,'vehicles specifications'!BL$2)/1000*$AQ109</f>
        <v>1.4669229489427773E-7</v>
      </c>
      <c r="BM109" s="7">
        <f>SUMIFS('fuels and tailpipe emissions'!$G$10:$G$126,'fuels and tailpipe emissions'!$A$10:$A$126,'vehicles specifications'!$F109,'fuels and tailpipe emissions'!$B$10:$B$126,'vehicles specifications'!BM$2)/1000*$AQ109</f>
        <v>1.4470996658489557E-6</v>
      </c>
      <c r="BN109" s="7">
        <f>SUMIFS('fuels and tailpipe emissions'!$G$10:$G$126,'fuels and tailpipe emissions'!$A$10:$A$126,'vehicles specifications'!$F109,'fuels and tailpipe emissions'!$B$10:$B$126,'vehicles specifications'!BN$2)/1000*$AQ109</f>
        <v>7.572494141839741E-7</v>
      </c>
      <c r="BO109" s="7">
        <f>SUMIFS('fuels and tailpipe emissions'!$G$10:$G$126,'fuels and tailpipe emissions'!$A$10:$A$126,'vehicles specifications'!$F109,'fuels and tailpipe emissions'!$B$10:$B$126,'vehicles specifications'!BO$2)/1000*$AQ109</f>
        <v>2.1805611403203451E-8</v>
      </c>
      <c r="BP109" s="7">
        <f>SUMIFS('fuels and tailpipe emissions'!$G$10:$G$126,'fuels and tailpipe emissions'!$A$10:$A$126,'vehicles specifications'!$F109,'fuels and tailpipe emissions'!$B$10:$B$126,'vehicles specifications'!BP$2)/1000*$AQ109</f>
        <v>1.1120861815633757E-6</v>
      </c>
      <c r="BQ109" s="7">
        <f>SUMIFS('fuels and tailpipe emissions'!$G$10:$G$126,'fuels and tailpipe emissions'!$A$10:$A$126,'vehicles specifications'!$F109,'fuels and tailpipe emissions'!$B$10:$B$126,'vehicles specifications'!BQ$2)/1000*$AQ109</f>
        <v>2.1765964837015801E-6</v>
      </c>
      <c r="BR109" s="7">
        <f>SUMIFS('fuels and tailpipe emissions'!$G$10:$G$126,'fuels and tailpipe emissions'!$A$10:$A$126,'vehicles specifications'!$F109,'fuels and tailpipe emissions'!$B$10:$B$126,'vehicles specifications'!BR$2)/1000*$AQ109</f>
        <v>1.0764042719944975E-6</v>
      </c>
      <c r="BS109" s="7">
        <f>SUMIFS('fuels and tailpipe emissions'!$G$10:$G$126,'fuels and tailpipe emissions'!$A$10:$A$126,'vehicles specifications'!$F109,'fuels and tailpipe emissions'!$B$10:$B$126,'vehicles specifications'!BS$2)/1000*$AQ109</f>
        <v>4.4800619792036162E-7</v>
      </c>
      <c r="BT109" s="7">
        <f>SUMIFS('fuels and tailpipe emissions'!$G$10:$G$126,'fuels and tailpipe emissions'!$A$10:$A$126,'vehicles specifications'!$F109,'fuels and tailpipe emissions'!$B$10:$B$126,'vehicles specifications'!BT$2)/1000*$AQ109</f>
        <v>3.3699581259496236E-7</v>
      </c>
      <c r="BU109" s="7">
        <f>SUMIFS('fuels and tailpipe emissions'!$G$10:$G$126,'fuels and tailpipe emissions'!$A$10:$A$126,'vehicles specifications'!$F109,'fuels and tailpipe emissions'!$B$10:$B$126,'vehicles specifications'!BU$2)/1000*$AQ109</f>
        <v>1.4867462320365984E-7</v>
      </c>
      <c r="BV109" s="7">
        <f>SUMIFS('fuels and tailpipe emissions'!$G$10:$G$126,'fuels and tailpipe emissions'!$A$10:$A$126,'vehicles specifications'!$F109,'fuels and tailpipe emissions'!$B$10:$B$126,'vehicles specifications'!BV$2)/1000*$AQ109</f>
        <v>4.3611222806406902E-8</v>
      </c>
      <c r="BW109" s="7">
        <f>SUMIFS('fuels and tailpipe emissions'!$G$10:$G$126,'fuels and tailpipe emissions'!$A$10:$A$126,'vehicles specifications'!$F109,'fuels and tailpipe emissions'!$B$10:$B$126,'vehicles specifications'!BW$2)/1000*$AQ109</f>
        <v>1.2092202687231004E-7</v>
      </c>
      <c r="BX109" s="7">
        <f>SUMIFS('fuels and tailpipe emissions'!$G$10:$G$126,'fuels and tailpipe emissions'!$A$10:$A$126,'vehicles specifications'!$F109,'fuels and tailpipe emissions'!$B$10:$B$126,'vehicles specifications'!BX$2)/1000*$AQ109</f>
        <v>0</v>
      </c>
      <c r="BY109" s="7">
        <f>SUMIFS('fuels and tailpipe emissions'!$G$10:$G$126,'fuels and tailpipe emissions'!$A$10:$A$126,'vehicles specifications'!$F109,'fuels and tailpipe emissions'!$B$10:$B$126,'vehicles specifications'!BY$2)/1000*$AQ109</f>
        <v>3.7664237878260496E-8</v>
      </c>
      <c r="BZ109" s="7">
        <f>SUMIFS('fuels and tailpipe emissions'!$G$10:$G$126,'fuels and tailpipe emissions'!$A$10:$A$126,'vehicles specifications'!$F109,'fuels and tailpipe emissions'!$B$10:$B$126,'vehicles specifications'!BZ$2)/1000*$AQ109</f>
        <v>2.0021515924759527E-7</v>
      </c>
      <c r="CA109" s="7">
        <f>SUMIFS('fuels and tailpipe emissions'!$G$10:$G$126,'fuels and tailpipe emissions'!$A$10:$A$126,'vehicles specifications'!$F109,'fuels and tailpipe emissions'!$B$10:$B$126,'vehicles specifications'!CA$2)/1000*$AQ109</f>
        <v>1.1944816591992947E-9</v>
      </c>
      <c r="CB109" s="7">
        <f>SUMIFS('fuels and tailpipe emissions'!$G$10:$G$126,'fuels and tailpipe emissions'!$A$10:$A$126,'vehicles specifications'!$F109,'fuels and tailpipe emissions'!$B$10:$B$126,'vehicles specifications'!CB$2)/1000*$AQ109</f>
        <v>1.0297255682752541E-11</v>
      </c>
      <c r="CC109" s="7">
        <f>SUMIFS('fuels and tailpipe emissions'!$G$10:$G$126,'fuels and tailpipe emissions'!$A$10:$A$126,'vehicles specifications'!$F109,'fuels and tailpipe emissions'!$B$10:$B$126,'vehicles specifications'!CC$2)/1000*$AQ109</f>
        <v>6.8648371218350269E-12</v>
      </c>
      <c r="CD109" s="7">
        <f>SUMIFS('fuels and tailpipe emissions'!$G$10:$G$126,'fuels and tailpipe emissions'!$A$10:$A$126,'vehicles specifications'!$F109,'fuels and tailpipe emissions'!$B$10:$B$126,'vehicles specifications'!CD$2)/1000*$AQ109</f>
        <v>7.4140240915818294E-8</v>
      </c>
      <c r="CE109" s="7">
        <f>SUMIFS('fuels and tailpipe emissions'!$G$10:$G$126,'fuels and tailpipe emissions'!$A$10:$A$126,'vehicles specifications'!$F109,'fuels and tailpipe emissions'!$B$10:$B$126,'vehicles specifications'!CE$2)/1000*$AQ109</f>
        <v>1.4416157955853554E-9</v>
      </c>
      <c r="CF109" s="7">
        <f>SUMIFS('fuels and tailpipe emissions'!$G$10:$G$126,'fuels and tailpipe emissions'!$A$10:$A$126,'vehicles specifications'!$F109,'fuels and tailpipe emissions'!$B$10:$B$126,'vehicles specifications'!CF$2)/1000*$AQ109</f>
        <v>4.4621441291927677E-10</v>
      </c>
      <c r="CG109" s="7">
        <f>SUMIFS('fuels and tailpipe emissions'!$G$10:$G$126,'fuels and tailpipe emissions'!$A$10:$A$126,'vehicles specifications'!$F109,'fuels and tailpipe emissions'!$B$10:$B$126,'vehicles specifications'!CG$2)/1000*$AQ109</f>
        <v>5.4918696974680217E-10</v>
      </c>
      <c r="CH109" s="7">
        <f>SUMIFS('fuels and tailpipe emissions'!$G$10:$G$126,'fuels and tailpipe emissions'!$A$10:$A$126,'vehicles specifications'!$F109,'fuels and tailpipe emissions'!$B$10:$B$126,'vehicles specifications'!CH$2)/1000*$AQ109</f>
        <v>1.0983739394936042E-12</v>
      </c>
      <c r="CI109" s="7">
        <f>SUMIFS('fuels and tailpipe emissions'!$G$10:$G$126,'fuels and tailpipe emissions'!$A$10:$A$126,'vehicles specifications'!$F109,'fuels and tailpipe emissions'!$B$10:$B$126,'vehicles specifications'!CI$2)/1000*$AQ109</f>
        <v>2.9862041479982367E-10</v>
      </c>
      <c r="CJ109" s="7">
        <f>SUMIFS('fuels and tailpipe emissions'!$G$10:$G$126,'fuels and tailpipe emissions'!$A$10:$A$126,'vehicles specifications'!$F109,'fuels and tailpipe emissions'!$B$10:$B$126,'vehicles specifications'!CJ$2)/1000*$AQ109</f>
        <v>3.7070120457909154E-10</v>
      </c>
      <c r="CK109" s="38">
        <f>VLOOKUP($B109,'abrasion emissions'!$O$7:$R$36,2,FALSE)</f>
        <v>0.33</v>
      </c>
      <c r="CL109" s="38">
        <f>VLOOKUP($B109,'abrasion emissions'!$O$7:$R$36,3,FALSE)</f>
        <v>0.33</v>
      </c>
      <c r="CM109" s="38">
        <f>VLOOKUP($B109,'abrasion emissions'!$O$7:$R$36,4,FALSE)</f>
        <v>0.33</v>
      </c>
      <c r="CN109" s="7">
        <f>((SUMIFS('abrasion emissions'!$M$7:$M$34,'abrasion emissions'!$I$7:$I$34,"PM 2.5",'abrasion emissions'!$J$7:$J$34,"urban",'abrasion emissions'!$K$7:$K$34,"Tyre",'abrasion emissions'!$L$7:$L$34,"b")*POWER(('vehicles specifications'!$Q109/1000),(1/SUMIFS('abrasion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specifications'!$P109/1000),(1/SUMIFS('abrasion emissions'!$M$7:$M$34,'abrasion emissions'!$I$7:$I$34,"PM 10",'abrasion emissions'!$J$7:$J$34,"urban",'abrasion emissions'!$K$7:$K$34,"Tyre",'abrasion emissions'!$L$7:$L$34,"c")))))/1000000</f>
        <v>7.029718898897414E-6</v>
      </c>
      <c r="CO109" s="7">
        <f>((SUMIFS('abrasion emissions'!$M$7:$M$34,'abrasion emissions'!$I$7:$I$34,"PM 2.5",'abrasion emissions'!$J$7:$J$34,"rural",'abrasion emissions'!$K$7:$K$34,"Tyre",'abrasion emissions'!$L$7:$L$34,"b")*POWER(('vehicles specifications'!$Q109/1000),(1/SUMIFS('abrasion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specifications'!$P109/1000),(1/SUMIFS('abrasion emissions'!$M$7:$M$34,'abrasion emissions'!$I$7:$I$34,"PM 10",'abrasion emissions'!$J$7:$J$34,"rural",'abrasion emissions'!$K$7:$K$34,"Tyre",'abrasion emissions'!$L$7:$L$34,"c")))))/1000000</f>
        <v>5.4746502415712912E-6</v>
      </c>
      <c r="CP109" s="7">
        <f>((SUMIFS('abrasion emissions'!$M$7:$M$34,'abrasion emissions'!$I$7:$I$34,"PM 2.5",'abrasion emissions'!$J$7:$J$34,"motorway",'abrasion emissions'!$K$7:$K$34,"Tyre",'abrasion emissions'!$L$7:$L$34,"b")*POWER(('vehicles specifications'!$Q109/1000),(1/SUMIFS('abrasion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specifications'!$P109/1000),(1/SUMIFS('abrasion emissions'!$M$7:$M$34,'abrasion emissions'!$I$7:$I$34,"PM 10",'abrasion emissions'!$J$7:$J$34,"motorway",'abrasion emissions'!$K$7:$K$34,"Tyre",'abrasion emissions'!$L$7:$L$34,"c")))))/1000000</f>
        <v>4.674827510167581E-6</v>
      </c>
      <c r="CQ109" s="7">
        <f>((SUMIFS('abrasion emissions'!$M$7:$M$34,'abrasion emissions'!$I$7:$I$34,"PM 2.5",'abrasion emissions'!$J$7:$J$34,"urban",'abrasion emissions'!$K$7:$K$34,"Brake",'abrasion emissions'!$L$7:$L$34,"b")*POWER(('vehicles specifications'!$Q109/1000),(1/SUMIFS('abrasion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specifications'!$P109/1000),(1/SUMIFS('abrasion emissions'!$M$7:$M$34,'abrasion emissions'!$I$7:$I$34,"PM 10",'abrasion emissions'!$J$7:$J$34,"urban",'abrasion emissions'!$K$7:$K$34,"Brake",'abrasion emissions'!$L$7:$L$34,"c")))))/1000000</f>
        <v>6.8199158236496421E-6</v>
      </c>
      <c r="CR109" s="7">
        <f>((SUMIFS('abrasion emissions'!$M$7:$M$34,'abrasion emissions'!$I$7:$I$34,"PM 2.5",'abrasion emissions'!$J$7:$J$34,"rural",'abrasion emissions'!$K$7:$K$34,"Brake",'abrasion emissions'!$L$7:$L$34,"b")*POWER(('vehicles specifications'!$Q109/1000),(1/SUMIFS('abrasion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specifications'!$P109/1000),(1/SUMIFS('abrasion emissions'!$M$7:$M$34,'abrasion emissions'!$I$7:$I$34,"PM 10",'abrasion emissions'!$J$7:$J$34,"rural",'abrasion emissions'!$K$7:$K$34,"Brake",'abrasion emissions'!$L$7:$L$34,"c")))))/1000000</f>
        <v>2.2807194845263903E-6</v>
      </c>
      <c r="CS109" s="7">
        <f>((SUMIFS('abrasion emissions'!$M$7:$M$34,'abrasion emissions'!$I$7:$I$34,"PM 2.5",'abrasion emissions'!$J$7:$J$34,"motorway",'abrasion emissions'!$K$7:$K$34,"Brake",'abrasion emissions'!$L$7:$L$34,"b")*POWER(('vehicles specifications'!$Q109/1000),(1/SUMIFS('abrasion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specifications'!$P109/1000),(1/SUMIFS('abrasion emissions'!$M$7:$M$34,'abrasion emissions'!$I$7:$I$34,"PM 10",'abrasion emissions'!$J$7:$J$34,"motorway",'abrasion emissions'!$K$7:$K$34,"Brake",'abrasion emissions'!$L$7:$L$34,"c")))))/1000000</f>
        <v>4.3412021153095185E-7</v>
      </c>
      <c r="CT109" s="7">
        <f>((SUMIFS('abrasion emissions'!$M$7:$M$38,'abrasion emissions'!$I$7:$I$38,"PM 2.5",'abrasion emissions'!$K$7:$K$38,"Re-susp.",'abrasion emissions'!$L$7:$L$38,"b")*POWER(('vehicles specifications'!$Q109/1000),(1/SUMIFS('abrasion emissions'!$M$7:$M$38,'abrasion emissions'!$I$7:$I$38,"PM 2.5",'abrasion emissions'!$K$7:$K$38,"Re-susp.",'abrasion emissions'!$L$7:$L$38,"c"))))+
(SUMIFS('abrasion emissions'!$M$7:$M$38,'abrasion emissions'!$I$7:$I$38,"PM 10",'abrasion emissions'!$K$7:$K$38,"Re-susp.",'abrasion emissions'!$L$7:$L$38,"b")*POWER(('vehicles specifications'!$Q109/1000),(1/SUMIFS('abrasion emissions'!$M$7:$M$38,'abrasion emissions'!$I$7:$I$38,"PM 10",'abrasion emissions'!$K$7:$K$38,"Re-susp.",'abrasion emissions'!$L$7:$L$38,"c")))))/1000000</f>
        <v>4.5565148227217145E-6</v>
      </c>
      <c r="CU109" s="7">
        <f>((SUMIFS('abrasion emissions'!$M$7:$M$38,'abrasion emissions'!$I$7:$I$38,"PM 2.5",'abrasion emissions'!$K$7:$K$38,"Road",'abrasion emissions'!$L$7:$L$38,"b")*POWER(('vehicles specifications'!$Q109/1000),(1/SUMIFS('abrasion emissions'!$M$7:$M$38,'abrasion emissions'!$I$7:$I$38,"PM 2.5",'abrasion emissions'!$K$7:$K$38,"Road",'abrasion emissions'!$L$7:$L$38,"c"))))+
(SUMIFS('abrasion emissions'!$M$7:$M$38,'abrasion emissions'!$I$7:$I$38,"PM 10",'abrasion emissions'!$K$7:$K$38,"Road",'abrasion emissions'!$L$7:$L$38,"b")*POWER(('vehicles specifications'!$Q109/1000),(1/SUMIFS('abrasion emissions'!$M$7:$M$38,'abrasion emissions'!$I$7:$I$38,"PM 10",'abrasion emissions'!$K$7:$K$38,"Road",'abrasion emissions'!$L$7:$L$38,"c")))))/1000000+CT109</f>
        <v>8.5441191684619126E-6</v>
      </c>
      <c r="CV109" s="7">
        <f>(CK109*CN109)+(CL109*CO109)+(CM109*CP109)</f>
        <v>5.6691348947099748E-6</v>
      </c>
      <c r="CW109" s="7">
        <f>(CK109*CQ109)+(CL109*CR109)+(CM109*CS109)</f>
        <v>3.1464693215033047E-6</v>
      </c>
    </row>
    <row r="110">
      <c r="A110" t="str">
        <f>B110&amp;" - "&amp;D110&amp;" - "&amp;IF(I110&lt;&gt;"",I110&amp;" - "&amp;E110,E110)</f>
        <v>Motorbike, gasoline, 11-35kW, EURO-5 - 2030 - CH</v>
      </c>
      <c r="B110" t="inlineStr">
        <is>
          <t>Motorbike, gasoline, 11-35kW, EURO-5</t>
        </is>
      </c>
      <c r="D110" s="18" t="n">
        <v>2030</v>
      </c>
      <c r="E110" t="inlineStr">
        <is>
          <t>CH</t>
        </is>
      </c>
      <c r="F110" t="inlineStr">
        <is>
          <t>EURO-5</t>
        </is>
      </c>
      <c r="G110" t="inlineStr">
        <is>
          <t>vkm</t>
        </is>
      </c>
      <c r="H110" t="inlineStr">
        <is>
          <t>ICEV-p</t>
        </is>
      </c>
      <c r="J110" t="n">
        <v>38500</v>
      </c>
      <c r="K110" t="n">
        <v>2405</v>
      </c>
      <c r="L110" s="2">
        <f>J110/K110</f>
        <v>16.008316008316008</v>
      </c>
      <c r="M110" t="n">
        <v>1.1</v>
      </c>
      <c r="N110" t="n">
        <v>75</v>
      </c>
      <c r="O110" t="n">
        <v>6</v>
      </c>
      <c r="P110" s="2">
        <f>SUM(U110,V110,W110,AC110,AF110,AH110)</f>
        <v>153.50749999999999</v>
      </c>
      <c r="Q110" s="2">
        <f>P110+(M110*N110)+O110</f>
        <v>242.00749999999999</v>
      </c>
      <c r="R110" t="n">
        <v>20</v>
      </c>
      <c r="S110" s="2" t="n">
        <v>81</v>
      </c>
      <c r="T110" s="1" t="n">
        <v>0.03</v>
      </c>
      <c r="U110" s="2">
        <f>S110*(1-T110)</f>
        <v>78.569999999999993</v>
      </c>
      <c r="V110" s="2" t="n">
        <v>62</v>
      </c>
      <c r="W110" s="2" t="n">
        <v>0</v>
      </c>
      <c r="X110" s="3" t="n">
        <v>0</v>
      </c>
      <c r="Y110" s="1" t="n">
        <v>0.8</v>
      </c>
      <c r="Z110" s="3">
        <f>Y110*X110</f>
        <v>0</v>
      </c>
      <c r="AA110" s="3">
        <f>IF(I110&lt;&gt;"",X110/INDEX('energy battery'!$B$3:$D$6,MATCH('vehicles specifications'!$D110,'energy battery'!$A$3:$A$6,0),MATCH('vehicles specifications'!$I110,'energy battery'!$B$2:$D$2,0)),"")</f>
        <v/>
      </c>
      <c r="AB110" s="3">
        <f>IF(AA110&lt;&gt;"",0.3*AA110,"")</f>
        <v/>
      </c>
      <c r="AC110" s="3">
        <f>IF(AA110&lt;&gt;"",AB110+AA110,"")</f>
        <v/>
      </c>
      <c r="AD110" s="3" t="n">
        <v>0</v>
      </c>
      <c r="AE110" s="3" t="n">
        <v>15</v>
      </c>
      <c r="AF110">
        <f>AE110*'fuels and tailpipe emissions'!$B$3</f>
        <v>11.25</v>
      </c>
      <c r="AG110" s="2">
        <f>AF110*'fuels and tailpipe emissions'!$C$3</f>
        <v>133.125</v>
      </c>
      <c r="AH110" s="3">
        <f>0.15*AF110</f>
        <v>1.6875</v>
      </c>
      <c r="AI110" s="3" t="n">
        <v>0</v>
      </c>
      <c r="AJ110" s="3" t="n">
        <v>0</v>
      </c>
      <c r="AK110">
        <f>J110/25000</f>
        <v>1.54</v>
      </c>
      <c r="AL110">
        <f>0.000537/1000*Q110</f>
        <v>1.299580275E-4</v>
      </c>
      <c r="AM110" t="n">
        <v>0.00129</v>
      </c>
      <c r="AN110" s="2">
        <f>U110</f>
        <v>78.569999999999993</v>
      </c>
      <c r="AO110" s="2">
        <f>SUM(V110:W110)</f>
        <v>62</v>
      </c>
      <c r="AP110" s="2">
        <f>AC110</f>
        <v/>
      </c>
      <c r="AQ110" s="6" t="n">
        <v>1.444190109506044</v>
      </c>
      <c r="AR110" s="20" t="n">
        <v>0.012</v>
      </c>
      <c r="AS110" s="6">
        <f>IF($H110="BEV",SUMPRODUCT(#REF!,#REF!),"")</f>
        <v/>
      </c>
      <c r="AT110" s="2">
        <f>SUM(Z110,AG110)/(SUM(AQ110,AS110)/3.6)</f>
        <v>331.84689248697174</v>
      </c>
      <c r="AU110" s="5">
        <f>IF($H110="ICEV-p",$AQ110/('fuels and tailpipe emissions'!$C$3*3.6)*'fuels and tailpipe emissions'!$D$3,"")*(1-AR110)</f>
        <v>0.10517229719537065</v>
      </c>
      <c r="AV110" s="5">
        <f>IF($H110="ICEV-p",$AQ110/('fuels and tailpipe emissions'!$C$3*3.6)*'fuels and tailpipe emissions'!$D$3,"")*AR110</f>
        <v>1.2773963222109796E-3</v>
      </c>
      <c r="AW110" s="7">
        <f>IF($H110="ICEV-p",$AQ110/('fuels and tailpipe emissions'!$C$3*3.6)*'fuels and tailpipe emissions'!$E$3,"")</f>
        <v>5.4241882047175348E-7</v>
      </c>
      <c r="AX110" s="7">
        <f>SUMIFS('fuels and tailpipe emissions'!$G$10:$G$126,'fuels and tailpipe emissions'!$A$10:$A$126,'vehicles specifications'!$F110,'fuels and tailpipe emissions'!$B$10:$B$126,'vehicles specifications'!AX$2)/1000*$AQ110</f>
        <v>1.1009653197477418E-6</v>
      </c>
      <c r="AY110" s="7">
        <f>SUMIFS('fuels and tailpipe emissions'!$G$10:$G$126,'fuels and tailpipe emissions'!$A$10:$A$126,'vehicles specifications'!$F110,'fuels and tailpipe emissions'!$B$10:$B$126,'vehicles specifications'!AY$2)/1000*$AQ110</f>
        <v>2.7146550836469235E-5</v>
      </c>
      <c r="AZ110" s="7">
        <f>SUMIFS('fuels and tailpipe emissions'!$G$10:$G$126,'fuels and tailpipe emissions'!$A$10:$A$126,'vehicles specifications'!$F110,'fuels and tailpipe emissions'!$B$10:$B$126,'vehicles specifications'!AZ$2)/1000*$AQ110</f>
        <v>1.2052510494031101E-4</v>
      </c>
      <c r="BA110" s="7">
        <f>SUMIFS('fuels and tailpipe emissions'!$G$10:$G$126,'fuels and tailpipe emissions'!$A$10:$A$126,'vehicles specifications'!$F110,'fuels and tailpipe emissions'!$B$10:$B$126,'vehicles specifications'!BA$2)/1000*$AQ110</f>
        <v>8.1643761914193182E-7</v>
      </c>
      <c r="BB110" s="7">
        <f>SUMIFS('fuels and tailpipe emissions'!$G$10:$G$126,'fuels and tailpipe emissions'!$A$10:$A$126,'vehicles specifications'!$F110,'fuels and tailpipe emissions'!$B$10:$B$126,'vehicles specifications'!BB$2)/1000*$AQ110</f>
        <v>8.1643761914193182E-7</v>
      </c>
      <c r="BC110" s="7">
        <f>SUMIFS('fuels and tailpipe emissions'!$G$10:$G$126,'fuels and tailpipe emissions'!$A$10:$A$126,'vehicles specifications'!$F110,'fuels and tailpipe emissions'!$B$10:$B$126,'vehicles specifications'!BC$2)/1000*$AQ110</f>
        <v>8.8991198197302526E-6</v>
      </c>
      <c r="BD110" s="7">
        <f>SUMIFS('fuels and tailpipe emissions'!$G$10:$G$126,'fuels and tailpipe emissions'!$A$10:$A$126,'vehicles specifications'!$F110,'fuels and tailpipe emissions'!$B$10:$B$126,'vehicles specifications'!BD$2)/1000*$AQ110</f>
        <v>2.0410940478548298E-6</v>
      </c>
      <c r="BE110" s="7">
        <f>SUMIFS('fuels and tailpipe emissions'!$G$10:$G$126,'fuels and tailpipe emissions'!$A$10:$A$126,'vehicles specifications'!$F110,'fuels and tailpipe emissions'!$B$10:$B$126,'vehicles specifications'!BE$2)/1000*$AQ110</f>
        <v>8.8783727389283155E-6</v>
      </c>
      <c r="BF110" s="7">
        <f>SUMIFS('fuels and tailpipe emissions'!$G$10:$G$126,'fuels and tailpipe emissions'!$A$10:$A$126,'vehicles specifications'!$F110,'fuels and tailpipe emissions'!$B$10:$B$126,'vehicles specifications'!BF$2)/1000*$AQ110</f>
        <v>6.2603910338597077E-7</v>
      </c>
      <c r="BG110" s="7">
        <f>SUMIFS('fuels and tailpipe emissions'!$G$10:$G$126,'fuels and tailpipe emissions'!$A$10:$A$126,'vehicles specifications'!$F110,'fuels and tailpipe emissions'!$B$10:$B$126,'vehicles specifications'!BG$2)/1000*$AQ110</f>
        <v>1.2756282670874015E-7</v>
      </c>
      <c r="BH110" s="7">
        <f>SUMIFS('fuels and tailpipe emissions'!$G$10:$G$126,'fuels and tailpipe emissions'!$A$10:$A$126,'vehicles specifications'!$F110,'fuels and tailpipe emissions'!$B$10:$B$126,'vehicles specifications'!BH$2)/1000*$AQ110</f>
        <v>1.0283526337750743E-6</v>
      </c>
      <c r="BI110" s="7">
        <f>SUMIFS('fuels and tailpipe emissions'!$G$10:$G$126,'fuels and tailpipe emissions'!$A$10:$A$126,'vehicles specifications'!$F110,'fuels and tailpipe emissions'!$B$10:$B$126,'vehicles specifications'!BI$2)/1000*$AQ110</f>
        <v>4.2193858065198663E-7</v>
      </c>
      <c r="BJ110" s="7">
        <f>SUMIFS('fuels and tailpipe emissions'!$G$10:$G$126,'fuels and tailpipe emissions'!$A$10:$A$126,'vehicles specifications'!$F110,'fuels and tailpipe emissions'!$B$10:$B$126,'vehicles specifications'!BJ$2)/1000*$AQ110</f>
        <v>3.1596330923241792E-7</v>
      </c>
      <c r="BK110" s="7">
        <f>SUMIFS('fuels and tailpipe emissions'!$G$10:$G$126,'fuels and tailpipe emissions'!$A$10:$A$126,'vehicles specifications'!$F110,'fuels and tailpipe emissions'!$B$10:$B$126,'vehicles specifications'!BK$2)/1000*$AQ110</f>
        <v>2.2372557299686732E-7</v>
      </c>
      <c r="BL110" s="7">
        <f>SUMIFS('fuels and tailpipe emissions'!$G$10:$G$126,'fuels and tailpipe emissions'!$A$10:$A$126,'vehicles specifications'!$F110,'fuels and tailpipe emissions'!$B$10:$B$126,'vehicles specifications'!BL$2)/1000*$AQ110</f>
        <v>1.4522537194533496E-7</v>
      </c>
      <c r="BM110" s="7">
        <f>SUMIFS('fuels and tailpipe emissions'!$G$10:$G$126,'fuels and tailpipe emissions'!$A$10:$A$126,'vehicles specifications'!$F110,'fuels and tailpipe emissions'!$B$10:$B$126,'vehicles specifications'!BM$2)/1000*$AQ110</f>
        <v>1.4326286691904661E-6</v>
      </c>
      <c r="BN110" s="7">
        <f>SUMIFS('fuels and tailpipe emissions'!$G$10:$G$126,'fuels and tailpipe emissions'!$A$10:$A$126,'vehicles specifications'!$F110,'fuels and tailpipe emissions'!$B$10:$B$126,'vehicles specifications'!BN$2)/1000*$AQ110</f>
        <v>7.4967692004213441E-7</v>
      </c>
      <c r="BO110" s="7">
        <f>SUMIFS('fuels and tailpipe emissions'!$G$10:$G$126,'fuels and tailpipe emissions'!$A$10:$A$126,'vehicles specifications'!$F110,'fuels and tailpipe emissions'!$B$10:$B$126,'vehicles specifications'!BO$2)/1000*$AQ110</f>
        <v>2.1587555289171415E-8</v>
      </c>
      <c r="BP110" s="7">
        <f>SUMIFS('fuels and tailpipe emissions'!$G$10:$G$126,'fuels and tailpipe emissions'!$A$10:$A$126,'vehicles specifications'!$F110,'fuels and tailpipe emissions'!$B$10:$B$126,'vehicles specifications'!BP$2)/1000*$AQ110</f>
        <v>1.1009653197477418E-6</v>
      </c>
      <c r="BQ110" s="7">
        <f>SUMIFS('fuels and tailpipe emissions'!$G$10:$G$126,'fuels and tailpipe emissions'!$A$10:$A$126,'vehicles specifications'!$F110,'fuels and tailpipe emissions'!$B$10:$B$126,'vehicles specifications'!BQ$2)/1000*$AQ110</f>
        <v>2.154830518864564E-6</v>
      </c>
      <c r="BR110" s="7">
        <f>SUMIFS('fuels and tailpipe emissions'!$G$10:$G$126,'fuels and tailpipe emissions'!$A$10:$A$126,'vehicles specifications'!$F110,'fuels and tailpipe emissions'!$B$10:$B$126,'vehicles specifications'!BR$2)/1000*$AQ110</f>
        <v>1.0656402292745523E-6</v>
      </c>
      <c r="BS110" s="7">
        <f>SUMIFS('fuels and tailpipe emissions'!$G$10:$G$126,'fuels and tailpipe emissions'!$A$10:$A$126,'vehicles specifications'!$F110,'fuels and tailpipe emissions'!$B$10:$B$126,'vehicles specifications'!BS$2)/1000*$AQ110</f>
        <v>4.4352613594115801E-7</v>
      </c>
      <c r="BT110" s="7">
        <f>SUMIFS('fuels and tailpipe emissions'!$G$10:$G$126,'fuels and tailpipe emissions'!$A$10:$A$126,'vehicles specifications'!$F110,'fuels and tailpipe emissions'!$B$10:$B$126,'vehicles specifications'!BT$2)/1000*$AQ110</f>
        <v>3.3362585446901273E-7</v>
      </c>
      <c r="BU110" s="7">
        <f>SUMIFS('fuels and tailpipe emissions'!$G$10:$G$126,'fuels and tailpipe emissions'!$A$10:$A$126,'vehicles specifications'!$F110,'fuels and tailpipe emissions'!$B$10:$B$126,'vehicles specifications'!BU$2)/1000*$AQ110</f>
        <v>1.4718787697162324E-7</v>
      </c>
      <c r="BV110" s="7">
        <f>SUMIFS('fuels and tailpipe emissions'!$G$10:$G$126,'fuels and tailpipe emissions'!$A$10:$A$126,'vehicles specifications'!$F110,'fuels and tailpipe emissions'!$B$10:$B$126,'vehicles specifications'!BV$2)/1000*$AQ110</f>
        <v>4.317511057834283E-8</v>
      </c>
      <c r="BW110" s="7">
        <f>SUMIFS('fuels and tailpipe emissions'!$G$10:$G$126,'fuels and tailpipe emissions'!$A$10:$A$126,'vehicles specifications'!$F110,'fuels and tailpipe emissions'!$B$10:$B$126,'vehicles specifications'!BW$2)/1000*$AQ110</f>
        <v>1.1971280660358694E-7</v>
      </c>
      <c r="BX110" s="7">
        <f>SUMIFS('fuels and tailpipe emissions'!$G$10:$G$126,'fuels and tailpipe emissions'!$A$10:$A$126,'vehicles specifications'!$F110,'fuels and tailpipe emissions'!$B$10:$B$126,'vehicles specifications'!BX$2)/1000*$AQ110</f>
        <v>0</v>
      </c>
      <c r="BY110" s="7">
        <f>SUMIFS('fuels and tailpipe emissions'!$G$10:$G$126,'fuels and tailpipe emissions'!$A$10:$A$126,'vehicles specifications'!$F110,'fuels and tailpipe emissions'!$B$10:$B$126,'vehicles specifications'!BY$2)/1000*$AQ110</f>
        <v>3.7287595499477888E-8</v>
      </c>
      <c r="BZ110" s="7">
        <f>SUMIFS('fuels and tailpipe emissions'!$G$10:$G$126,'fuels and tailpipe emissions'!$A$10:$A$126,'vehicles specifications'!$F110,'fuels and tailpipe emissions'!$B$10:$B$126,'vehicles specifications'!BZ$2)/1000*$AQ110</f>
        <v>1.9821300765511932E-7</v>
      </c>
      <c r="CA110" s="7">
        <f>SUMIFS('fuels and tailpipe emissions'!$G$10:$G$126,'fuels and tailpipe emissions'!$A$10:$A$126,'vehicles specifications'!$F110,'fuels and tailpipe emissions'!$B$10:$B$126,'vehicles specifications'!CA$2)/1000*$AQ110</f>
        <v>1.1825368426073017E-9</v>
      </c>
      <c r="CB110" s="7">
        <f>SUMIFS('fuels and tailpipe emissions'!$G$10:$G$126,'fuels and tailpipe emissions'!$A$10:$A$126,'vehicles specifications'!$F110,'fuels and tailpipe emissions'!$B$10:$B$126,'vehicles specifications'!CB$2)/1000*$AQ110</f>
        <v>1.0194283125925015E-11</v>
      </c>
      <c r="CC110" s="7">
        <f>SUMIFS('fuels and tailpipe emissions'!$G$10:$G$126,'fuels and tailpipe emissions'!$A$10:$A$126,'vehicles specifications'!$F110,'fuels and tailpipe emissions'!$B$10:$B$126,'vehicles specifications'!CC$2)/1000*$AQ110</f>
        <v>6.7961887506166765E-12</v>
      </c>
      <c r="CD110" s="7">
        <f>SUMIFS('fuels and tailpipe emissions'!$G$10:$G$126,'fuels and tailpipe emissions'!$A$10:$A$126,'vehicles specifications'!$F110,'fuels and tailpipe emissions'!$B$10:$B$126,'vehicles specifications'!CD$2)/1000*$AQ110</f>
        <v>7.3398838506660105E-8</v>
      </c>
      <c r="CE110" s="7">
        <f>SUMIFS('fuels and tailpipe emissions'!$G$10:$G$126,'fuels and tailpipe emissions'!$A$10:$A$126,'vehicles specifications'!$F110,'fuels and tailpipe emissions'!$B$10:$B$126,'vehicles specifications'!CE$2)/1000*$AQ110</f>
        <v>1.4271996376295018E-9</v>
      </c>
      <c r="CF110" s="7">
        <f>SUMIFS('fuels and tailpipe emissions'!$G$10:$G$126,'fuels and tailpipe emissions'!$A$10:$A$126,'vehicles specifications'!$F110,'fuels and tailpipe emissions'!$B$10:$B$126,'vehicles specifications'!CF$2)/1000*$AQ110</f>
        <v>4.4175226879008398E-10</v>
      </c>
      <c r="CG110" s="7">
        <f>SUMIFS('fuels and tailpipe emissions'!$G$10:$G$126,'fuels and tailpipe emissions'!$A$10:$A$126,'vehicles specifications'!$F110,'fuels and tailpipe emissions'!$B$10:$B$126,'vehicles specifications'!CG$2)/1000*$AQ110</f>
        <v>5.4369510004933417E-10</v>
      </c>
      <c r="CH110" s="7">
        <f>SUMIFS('fuels and tailpipe emissions'!$G$10:$G$126,'fuels and tailpipe emissions'!$A$10:$A$126,'vehicles specifications'!$F110,'fuels and tailpipe emissions'!$B$10:$B$126,'vehicles specifications'!CH$2)/1000*$AQ110</f>
        <v>1.0873902000986681E-12</v>
      </c>
      <c r="CI110" s="7">
        <f>SUMIFS('fuels and tailpipe emissions'!$G$10:$G$126,'fuels and tailpipe emissions'!$A$10:$A$126,'vehicles specifications'!$F110,'fuels and tailpipe emissions'!$B$10:$B$126,'vehicles specifications'!CI$2)/1000*$AQ110</f>
        <v>2.9563421065182544E-10</v>
      </c>
      <c r="CJ110" s="7">
        <f>SUMIFS('fuels and tailpipe emissions'!$G$10:$G$126,'fuels and tailpipe emissions'!$A$10:$A$126,'vehicles specifications'!$F110,'fuels and tailpipe emissions'!$B$10:$B$126,'vehicles specifications'!CJ$2)/1000*$AQ110</f>
        <v>3.6699419253330059E-10</v>
      </c>
      <c r="CK110" s="38">
        <f>VLOOKUP($B110,'abrasion emissions'!$O$7:$R$36,2,FALSE)</f>
        <v>0.33</v>
      </c>
      <c r="CL110" s="38">
        <f>VLOOKUP($B110,'abrasion emissions'!$O$7:$R$36,3,FALSE)</f>
        <v>0.33</v>
      </c>
      <c r="CM110" s="38">
        <f>VLOOKUP($B110,'abrasion emissions'!$O$7:$R$36,4,FALSE)</f>
        <v>0.33</v>
      </c>
      <c r="CN110" s="7">
        <f>((SUMIFS('abrasion emissions'!$M$7:$M$34,'abrasion emissions'!$I$7:$I$34,"PM 2.5",'abrasion emissions'!$J$7:$J$34,"urban",'abrasion emissions'!$K$7:$K$34,"Tyre",'abrasion emissions'!$L$7:$L$34,"b")*POWER(('vehicles specifications'!$Q110/1000),(1/SUMIFS('abrasion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specifications'!$P110/1000),(1/SUMIFS('abrasion emissions'!$M$7:$M$34,'abrasion emissions'!$I$7:$I$34,"PM 10",'abrasion emissions'!$J$7:$J$34,"urban",'abrasion emissions'!$K$7:$K$34,"Tyre",'abrasion emissions'!$L$7:$L$34,"c")))))/1000000</f>
        <v>6.9928604136732344E-6</v>
      </c>
      <c r="CO110" s="7">
        <f>((SUMIFS('abrasion emissions'!$M$7:$M$34,'abrasion emissions'!$I$7:$I$34,"PM 2.5",'abrasion emissions'!$J$7:$J$34,"rural",'abrasion emissions'!$K$7:$K$34,"Tyre",'abrasion emissions'!$L$7:$L$34,"b")*POWER(('vehicles specifications'!$Q110/1000),(1/SUMIFS('abrasion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specifications'!$P110/1000),(1/SUMIFS('abrasion emissions'!$M$7:$M$34,'abrasion emissions'!$I$7:$I$34,"PM 10",'abrasion emissions'!$J$7:$J$34,"rural",'abrasion emissions'!$K$7:$K$34,"Tyre",'abrasion emissions'!$L$7:$L$34,"c")))))/1000000</f>
        <v>5.4459640330922227E-6</v>
      </c>
      <c r="CP110" s="7">
        <f>((SUMIFS('abrasion emissions'!$M$7:$M$34,'abrasion emissions'!$I$7:$I$34,"PM 2.5",'abrasion emissions'!$J$7:$J$34,"motorway",'abrasion emissions'!$K$7:$K$34,"Tyre",'abrasion emissions'!$L$7:$L$34,"b")*POWER(('vehicles specifications'!$Q110/1000),(1/SUMIFS('abrasion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specifications'!$P110/1000),(1/SUMIFS('abrasion emissions'!$M$7:$M$34,'abrasion emissions'!$I$7:$I$34,"PM 10",'abrasion emissions'!$J$7:$J$34,"motorway",'abrasion emissions'!$K$7:$K$34,"Tyre",'abrasion emissions'!$L$7:$L$34,"c")))))/1000000</f>
        <v>4.6503791209488802E-6</v>
      </c>
      <c r="CQ110" s="7">
        <f>((SUMIFS('abrasion emissions'!$M$7:$M$34,'abrasion emissions'!$I$7:$I$34,"PM 2.5",'abrasion emissions'!$J$7:$J$34,"urban",'abrasion emissions'!$K$7:$K$34,"Brake",'abrasion emissions'!$L$7:$L$34,"b")*POWER(('vehicles specifications'!$Q110/1000),(1/SUMIFS('abrasion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specifications'!$P110/1000),(1/SUMIFS('abrasion emissions'!$M$7:$M$34,'abrasion emissions'!$I$7:$I$34,"PM 10",'abrasion emissions'!$J$7:$J$34,"urban",'abrasion emissions'!$K$7:$K$34,"Brake",'abrasion emissions'!$L$7:$L$34,"c")))))/1000000</f>
        <v>6.7794296603266221E-6</v>
      </c>
      <c r="CR110" s="7">
        <f>((SUMIFS('abrasion emissions'!$M$7:$M$34,'abrasion emissions'!$I$7:$I$34,"PM 2.5",'abrasion emissions'!$J$7:$J$34,"rural",'abrasion emissions'!$K$7:$K$34,"Brake",'abrasion emissions'!$L$7:$L$34,"b")*POWER(('vehicles specifications'!$Q110/1000),(1/SUMIFS('abrasion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specifications'!$P110/1000),(1/SUMIFS('abrasion emissions'!$M$7:$M$34,'abrasion emissions'!$I$7:$I$34,"PM 10",'abrasion emissions'!$J$7:$J$34,"rural",'abrasion emissions'!$K$7:$K$34,"Brake",'abrasion emissions'!$L$7:$L$34,"c")))))/1000000</f>
        <v>2.2636090726604796E-6</v>
      </c>
      <c r="CS110" s="7">
        <f>((SUMIFS('abrasion emissions'!$M$7:$M$34,'abrasion emissions'!$I$7:$I$34,"PM 2.5",'abrasion emissions'!$J$7:$J$34,"motorway",'abrasion emissions'!$K$7:$K$34,"Brake",'abrasion emissions'!$L$7:$L$34,"b")*POWER(('vehicles specifications'!$Q110/1000),(1/SUMIFS('abrasion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specifications'!$P110/1000),(1/SUMIFS('abrasion emissions'!$M$7:$M$34,'abrasion emissions'!$I$7:$I$34,"PM 10",'abrasion emissions'!$J$7:$J$34,"motorway",'abrasion emissions'!$K$7:$K$34,"Brake",'abrasion emissions'!$L$7:$L$34,"c")))))/1000000</f>
        <v>4.3037974390835764E-7</v>
      </c>
      <c r="CT110" s="7">
        <f>((SUMIFS('abrasion emissions'!$M$7:$M$38,'abrasion emissions'!$I$7:$I$38,"PM 2.5",'abrasion emissions'!$K$7:$K$38,"Re-susp.",'abrasion emissions'!$L$7:$L$38,"b")*POWER(('vehicles specifications'!$Q110/1000),(1/SUMIFS('abrasion emissions'!$M$7:$M$38,'abrasion emissions'!$I$7:$I$38,"PM 2.5",'abrasion emissions'!$K$7:$K$38,"Re-susp.",'abrasion emissions'!$L$7:$L$38,"c"))))+
(SUMIFS('abrasion emissions'!$M$7:$M$38,'abrasion emissions'!$I$7:$I$38,"PM 10",'abrasion emissions'!$K$7:$K$38,"Re-susp.",'abrasion emissions'!$L$7:$L$38,"b")*POWER(('vehicles specifications'!$Q110/1000),(1/SUMIFS('abrasion emissions'!$M$7:$M$38,'abrasion emissions'!$I$7:$I$38,"PM 10",'abrasion emissions'!$K$7:$K$38,"Re-susp.",'abrasion emissions'!$L$7:$L$38,"c")))))/1000000</f>
        <v>4.5153168869018032E-6</v>
      </c>
      <c r="CU110" s="7">
        <f>((SUMIFS('abrasion emissions'!$M$7:$M$38,'abrasion emissions'!$I$7:$I$38,"PM 2.5",'abrasion emissions'!$K$7:$K$38,"Road",'abrasion emissions'!$L$7:$L$38,"b")*POWER(('vehicles specifications'!$Q110/1000),(1/SUMIFS('abrasion emissions'!$M$7:$M$38,'abrasion emissions'!$I$7:$I$38,"PM 2.5",'abrasion emissions'!$K$7:$K$38,"Road",'abrasion emissions'!$L$7:$L$38,"c"))))+
(SUMIFS('abrasion emissions'!$M$7:$M$38,'abrasion emissions'!$I$7:$I$38,"PM 10",'abrasion emissions'!$K$7:$K$38,"Road",'abrasion emissions'!$L$7:$L$38,"b")*POWER(('vehicles specifications'!$Q110/1000),(1/SUMIFS('abrasion emissions'!$M$7:$M$38,'abrasion emissions'!$I$7:$I$38,"PM 10",'abrasion emissions'!$K$7:$K$38,"Road",'abrasion emissions'!$L$7:$L$38,"c")))))/1000000+CT110</f>
        <v>8.4764495586081521E-6</v>
      </c>
      <c r="CV110" s="7">
        <f>(CK110*CN110)+(CL110*CO110)+(CM110*CP110)</f>
        <v>5.6394371773457311E-6</v>
      </c>
      <c r="CW110" s="7">
        <f>(CK110*CQ110)+(CL110*CR110)+(CM110*CS110)</f>
        <v>3.126228097375502E-6</v>
      </c>
    </row>
    <row r="111">
      <c r="A111" t="str">
        <f>B111&amp;" - "&amp;D111&amp;" - "&amp;IF(I111&lt;&gt;"",I111&amp;" - "&amp;E111,E111)</f>
        <v>Motorbike, gasoline, 11-35kW, EURO-5 - 2040 - CH</v>
      </c>
      <c r="B111" t="inlineStr">
        <is>
          <t>Motorbike, gasoline, 11-35kW, EURO-5</t>
        </is>
      </c>
      <c r="D111" s="18" t="n">
        <v>2040</v>
      </c>
      <c r="E111" t="inlineStr">
        <is>
          <t>CH</t>
        </is>
      </c>
      <c r="F111" t="inlineStr">
        <is>
          <t>EURO-5</t>
        </is>
      </c>
      <c r="G111" t="inlineStr">
        <is>
          <t>vkm</t>
        </is>
      </c>
      <c r="H111" t="inlineStr">
        <is>
          <t>ICEV-p</t>
        </is>
      </c>
      <c r="J111" t="n">
        <v>38500</v>
      </c>
      <c r="K111" t="n">
        <v>2405</v>
      </c>
      <c r="L111" s="2">
        <f>J111/K111</f>
        <v>16.008316008316008</v>
      </c>
      <c r="M111" t="n">
        <v>1.1</v>
      </c>
      <c r="N111" t="n">
        <v>75</v>
      </c>
      <c r="O111" t="n">
        <v>6</v>
      </c>
      <c r="P111" s="2">
        <f>SUM(U111,V111,W111,AC111,AF111,AH111)</f>
        <v>151.88749999999999</v>
      </c>
      <c r="Q111" s="2">
        <f>P111+(M111*N111)+O111</f>
        <v>240.38749999999999</v>
      </c>
      <c r="R111" t="n">
        <v>20</v>
      </c>
      <c r="S111" s="2" t="n">
        <v>81</v>
      </c>
      <c r="T111" s="1" t="n">
        <v>0.05</v>
      </c>
      <c r="U111" s="2">
        <f>S111*(1-T111)</f>
        <v>76.95</v>
      </c>
      <c r="V111" s="2" t="n">
        <v>62</v>
      </c>
      <c r="W111" s="2" t="n">
        <v>0</v>
      </c>
      <c r="X111" s="3" t="n">
        <v>0</v>
      </c>
      <c r="Y111" s="1" t="n">
        <v>0.8</v>
      </c>
      <c r="Z111" s="3">
        <f>Y111*X111</f>
        <v>0</v>
      </c>
      <c r="AA111" s="3">
        <f>IF(I111&lt;&gt;"",X111/INDEX('energy battery'!$B$3:$D$6,MATCH('vehicles specifications'!$D111,'energy battery'!$A$3:$A$6,0),MATCH('vehicles specifications'!$I111,'energy battery'!$B$2:$D$2,0)),"")</f>
        <v/>
      </c>
      <c r="AB111" s="3">
        <f>IF(AA111&lt;&gt;"",0.3*AA111,"")</f>
        <v/>
      </c>
      <c r="AC111" s="3">
        <f>IF(AA111&lt;&gt;"",AB111+AA111,"")</f>
        <v/>
      </c>
      <c r="AD111" s="3" t="n">
        <v>0</v>
      </c>
      <c r="AE111" s="3" t="n">
        <v>15</v>
      </c>
      <c r="AF111">
        <f>AE111*'fuels and tailpipe emissions'!$B$3</f>
        <v>11.25</v>
      </c>
      <c r="AG111" s="2">
        <f>AF111*'fuels and tailpipe emissions'!$C$3</f>
        <v>133.125</v>
      </c>
      <c r="AH111" s="3">
        <f>0.15*AF111</f>
        <v>1.6875</v>
      </c>
      <c r="AI111" s="3" t="n">
        <v>0</v>
      </c>
      <c r="AJ111" s="3" t="n">
        <v>0</v>
      </c>
      <c r="AK111">
        <f>J111/25000</f>
        <v>1.54</v>
      </c>
      <c r="AL111">
        <f>0.000537/1000*Q111</f>
        <v>1.290880875E-4</v>
      </c>
      <c r="AM111" t="n">
        <v>0.00129</v>
      </c>
      <c r="AN111" s="2">
        <f>U111</f>
        <v>76.95</v>
      </c>
      <c r="AO111" s="2">
        <f>SUM(V111:W111)</f>
        <v>62</v>
      </c>
      <c r="AP111" s="2">
        <f>AC111</f>
        <v/>
      </c>
      <c r="AQ111" s="6" t="n">
        <v>1.429748208410983</v>
      </c>
      <c r="AR111" s="20" t="n">
        <v>0.012</v>
      </c>
      <c r="AS111" s="6">
        <f>IF($H111="BEV",SUMPRODUCT(#REF!,#REF!),"")</f>
        <v/>
      </c>
      <c r="AT111" s="2">
        <f>SUM(Z111,AG111)/(SUM(AQ111,AS111)/3.6)</f>
        <v>335.19888129997145</v>
      </c>
      <c r="AU111" s="5">
        <f>IF($H111="ICEV-p",$AQ111/('fuels and tailpipe emissions'!$C$3*3.6)*'fuels and tailpipe emissions'!$D$3,"")*(1-AR111)</f>
        <v>0.10412057422341693</v>
      </c>
      <c r="AV111" s="5">
        <f>IF($H111="ICEV-p",$AQ111/('fuels and tailpipe emissions'!$C$3*3.6)*'fuels and tailpipe emissions'!$D$3,"")*AR111</f>
        <v>1.2646223589888696E-3</v>
      </c>
      <c r="AW111" s="7">
        <f>IF($H111="ICEV-p",$AQ111/('fuels and tailpipe emissions'!$C$3*3.6)*'fuels and tailpipe emissions'!$E$3,"")</f>
        <v>5.3699463226703594E-7</v>
      </c>
      <c r="AX111" s="7">
        <f>SUMIFS('fuels and tailpipe emissions'!$G$10:$G$126,'fuels and tailpipe emissions'!$A$10:$A$126,'vehicles specifications'!$F111,'fuels and tailpipe emissions'!$B$10:$B$126,'vehicles specifications'!AX$2)/1000*$AQ111</f>
        <v>1.0899556665502644E-6</v>
      </c>
      <c r="AY111" s="7">
        <f>SUMIFS('fuels and tailpipe emissions'!$G$10:$G$126,'fuels and tailpipe emissions'!$A$10:$A$126,'vehicles specifications'!$F111,'fuels and tailpipe emissions'!$B$10:$B$126,'vehicles specifications'!AY$2)/1000*$AQ111</f>
        <v>2.6875085328104543E-5</v>
      </c>
      <c r="AZ111" s="7">
        <f>SUMIFS('fuels and tailpipe emissions'!$G$10:$G$126,'fuels and tailpipe emissions'!$A$10:$A$126,'vehicles specifications'!$F111,'fuels and tailpipe emissions'!$B$10:$B$126,'vehicles specifications'!AZ$2)/1000*$AQ111</f>
        <v>1.1931985389090789E-4</v>
      </c>
      <c r="BA111" s="7">
        <f>SUMIFS('fuels and tailpipe emissions'!$G$10:$G$126,'fuels and tailpipe emissions'!$A$10:$A$126,'vehicles specifications'!$F111,'fuels and tailpipe emissions'!$B$10:$B$126,'vehicles specifications'!BA$2)/1000*$AQ111</f>
        <v>8.0827324295051251E-7</v>
      </c>
      <c r="BB111" s="7">
        <f>SUMIFS('fuels and tailpipe emissions'!$G$10:$G$126,'fuels and tailpipe emissions'!$A$10:$A$126,'vehicles specifications'!$F111,'fuels and tailpipe emissions'!$B$10:$B$126,'vehicles specifications'!BB$2)/1000*$AQ111</f>
        <v>8.0827324295051251E-7</v>
      </c>
      <c r="BC111" s="7">
        <f>SUMIFS('fuels and tailpipe emissions'!$G$10:$G$126,'fuels and tailpipe emissions'!$A$10:$A$126,'vehicles specifications'!$F111,'fuels and tailpipe emissions'!$B$10:$B$126,'vehicles specifications'!BC$2)/1000*$AQ111</f>
        <v>8.8101286215329498E-6</v>
      </c>
      <c r="BD111" s="7">
        <f>SUMIFS('fuels and tailpipe emissions'!$G$10:$G$126,'fuels and tailpipe emissions'!$A$10:$A$126,'vehicles specifications'!$F111,'fuels and tailpipe emissions'!$B$10:$B$126,'vehicles specifications'!BD$2)/1000*$AQ111</f>
        <v>2.0206831073762815E-6</v>
      </c>
      <c r="BE111" s="7">
        <f>SUMIFS('fuels and tailpipe emissions'!$G$10:$G$126,'fuels and tailpipe emissions'!$A$10:$A$126,'vehicles specifications'!$F111,'fuels and tailpipe emissions'!$B$10:$B$126,'vehicles specifications'!BE$2)/1000*$AQ111</f>
        <v>8.7895890115390312E-6</v>
      </c>
      <c r="BF111" s="7">
        <f>SUMIFS('fuels and tailpipe emissions'!$G$10:$G$126,'fuels and tailpipe emissions'!$A$10:$A$126,'vehicles specifications'!$F111,'fuels and tailpipe emissions'!$B$10:$B$126,'vehicles specifications'!BF$2)/1000*$AQ111</f>
        <v>6.1977871235211111E-7</v>
      </c>
      <c r="BG111" s="7">
        <f>SUMIFS('fuels and tailpipe emissions'!$G$10:$G$126,'fuels and tailpipe emissions'!$A$10:$A$126,'vehicles specifications'!$F111,'fuels and tailpipe emissions'!$B$10:$B$126,'vehicles specifications'!BG$2)/1000*$AQ111</f>
        <v>1.2628719844165272E-7</v>
      </c>
      <c r="BH111" s="7">
        <f>SUMIFS('fuels and tailpipe emissions'!$G$10:$G$126,'fuels and tailpipe emissions'!$A$10:$A$126,'vehicles specifications'!$F111,'fuels and tailpipe emissions'!$B$10:$B$126,'vehicles specifications'!BH$2)/1000*$AQ111</f>
        <v>1.0180691074373236E-6</v>
      </c>
      <c r="BI111" s="7">
        <f>SUMIFS('fuels and tailpipe emissions'!$G$10:$G$126,'fuels and tailpipe emissions'!$A$10:$A$126,'vehicles specifications'!$F111,'fuels and tailpipe emissions'!$B$10:$B$126,'vehicles specifications'!BI$2)/1000*$AQ111</f>
        <v>4.1771919484546673E-7</v>
      </c>
      <c r="BJ111" s="7">
        <f>SUMIFS('fuels and tailpipe emissions'!$G$10:$G$126,'fuels and tailpipe emissions'!$A$10:$A$126,'vehicles specifications'!$F111,'fuels and tailpipe emissions'!$B$10:$B$126,'vehicles specifications'!BJ$2)/1000*$AQ111</f>
        <v>3.1280367614009373E-7</v>
      </c>
      <c r="BK111" s="7">
        <f>SUMIFS('fuels and tailpipe emissions'!$G$10:$G$126,'fuels and tailpipe emissions'!$A$10:$A$126,'vehicles specifications'!$F111,'fuels and tailpipe emissions'!$B$10:$B$126,'vehicles specifications'!BK$2)/1000*$AQ111</f>
        <v>2.2148831726689864E-7</v>
      </c>
      <c r="BL111" s="7">
        <f>SUMIFS('fuels and tailpipe emissions'!$G$10:$G$126,'fuels and tailpipe emissions'!$A$10:$A$126,'vehicles specifications'!$F111,'fuels and tailpipe emissions'!$B$10:$B$126,'vehicles specifications'!BL$2)/1000*$AQ111</f>
        <v>1.4377311822588159E-7</v>
      </c>
      <c r="BM111" s="7">
        <f>SUMIFS('fuels and tailpipe emissions'!$G$10:$G$126,'fuels and tailpipe emissions'!$A$10:$A$126,'vehicles specifications'!$F111,'fuels and tailpipe emissions'!$B$10:$B$126,'vehicles specifications'!BM$2)/1000*$AQ111</f>
        <v>1.4183023824985615E-6</v>
      </c>
      <c r="BN111" s="7">
        <f>SUMIFS('fuels and tailpipe emissions'!$G$10:$G$126,'fuels and tailpipe emissions'!$A$10:$A$126,'vehicles specifications'!$F111,'fuels and tailpipe emissions'!$B$10:$B$126,'vehicles specifications'!BN$2)/1000*$AQ111</f>
        <v>7.4218015084171301E-7</v>
      </c>
      <c r="BO111" s="7">
        <f>SUMIFS('fuels and tailpipe emissions'!$G$10:$G$126,'fuels and tailpipe emissions'!$A$10:$A$126,'vehicles specifications'!$F111,'fuels and tailpipe emissions'!$B$10:$B$126,'vehicles specifications'!BO$2)/1000*$AQ111</f>
        <v>2.1371679736279698E-8</v>
      </c>
      <c r="BP111" s="7">
        <f>SUMIFS('fuels and tailpipe emissions'!$G$10:$G$126,'fuels and tailpipe emissions'!$A$10:$A$126,'vehicles specifications'!$F111,'fuels and tailpipe emissions'!$B$10:$B$126,'vehicles specifications'!BP$2)/1000*$AQ111</f>
        <v>1.0899556665502644E-6</v>
      </c>
      <c r="BQ111" s="7">
        <f>SUMIFS('fuels and tailpipe emissions'!$G$10:$G$126,'fuels and tailpipe emissions'!$A$10:$A$126,'vehicles specifications'!$F111,'fuels and tailpipe emissions'!$B$10:$B$126,'vehicles specifications'!BQ$2)/1000*$AQ111</f>
        <v>2.1332822136759185E-6</v>
      </c>
      <c r="BR111" s="7">
        <f>SUMIFS('fuels and tailpipe emissions'!$G$10:$G$126,'fuels and tailpipe emissions'!$A$10:$A$126,'vehicles specifications'!$F111,'fuels and tailpipe emissions'!$B$10:$B$126,'vehicles specifications'!BR$2)/1000*$AQ111</f>
        <v>1.0549838269818067E-6</v>
      </c>
      <c r="BS111" s="7">
        <f>SUMIFS('fuels and tailpipe emissions'!$G$10:$G$126,'fuels and tailpipe emissions'!$A$10:$A$126,'vehicles specifications'!$F111,'fuels and tailpipe emissions'!$B$10:$B$126,'vehicles specifications'!BS$2)/1000*$AQ111</f>
        <v>4.390908745817464E-7</v>
      </c>
      <c r="BT111" s="7">
        <f>SUMIFS('fuels and tailpipe emissions'!$G$10:$G$126,'fuels and tailpipe emissions'!$A$10:$A$126,'vehicles specifications'!$F111,'fuels and tailpipe emissions'!$B$10:$B$126,'vehicles specifications'!BT$2)/1000*$AQ111</f>
        <v>3.3028959592432257E-7</v>
      </c>
      <c r="BU111" s="7">
        <f>SUMIFS('fuels and tailpipe emissions'!$G$10:$G$126,'fuels and tailpipe emissions'!$A$10:$A$126,'vehicles specifications'!$F111,'fuels and tailpipe emissions'!$B$10:$B$126,'vehicles specifications'!BU$2)/1000*$AQ111</f>
        <v>1.45715998201907E-7</v>
      </c>
      <c r="BV111" s="7">
        <f>SUMIFS('fuels and tailpipe emissions'!$G$10:$G$126,'fuels and tailpipe emissions'!$A$10:$A$126,'vehicles specifications'!$F111,'fuels and tailpipe emissions'!$B$10:$B$126,'vehicles specifications'!BV$2)/1000*$AQ111</f>
        <v>4.2743359472559396E-8</v>
      </c>
      <c r="BW111" s="7">
        <f>SUMIFS('fuels and tailpipe emissions'!$G$10:$G$126,'fuels and tailpipe emissions'!$A$10:$A$126,'vehicles specifications'!$F111,'fuels and tailpipe emissions'!$B$10:$B$126,'vehicles specifications'!BW$2)/1000*$AQ111</f>
        <v>1.1851567853755105E-7</v>
      </c>
      <c r="BX111" s="7">
        <f>SUMIFS('fuels and tailpipe emissions'!$G$10:$G$126,'fuels and tailpipe emissions'!$A$10:$A$126,'vehicles specifications'!$F111,'fuels and tailpipe emissions'!$B$10:$B$126,'vehicles specifications'!BX$2)/1000*$AQ111</f>
        <v>0</v>
      </c>
      <c r="BY111" s="7">
        <f>SUMIFS('fuels and tailpipe emissions'!$G$10:$G$126,'fuels and tailpipe emissions'!$A$10:$A$126,'vehicles specifications'!$F111,'fuels and tailpipe emissions'!$B$10:$B$126,'vehicles specifications'!BY$2)/1000*$AQ111</f>
        <v>3.6914719544483105E-8</v>
      </c>
      <c r="BZ111" s="7">
        <f>SUMIFS('fuels and tailpipe emissions'!$G$10:$G$126,'fuels and tailpipe emissions'!$A$10:$A$126,'vehicles specifications'!$F111,'fuels and tailpipe emissions'!$B$10:$B$126,'vehicles specifications'!BZ$2)/1000*$AQ111</f>
        <v>1.9623087757856811E-7</v>
      </c>
      <c r="CA111" s="7">
        <f>SUMIFS('fuels and tailpipe emissions'!$G$10:$G$126,'fuels and tailpipe emissions'!$A$10:$A$126,'vehicles specifications'!$F111,'fuels and tailpipe emissions'!$B$10:$B$126,'vehicles specifications'!CA$2)/1000*$AQ111</f>
        <v>1.1707114741812285E-9</v>
      </c>
      <c r="CB111" s="7">
        <f>SUMIFS('fuels and tailpipe emissions'!$G$10:$G$126,'fuels and tailpipe emissions'!$A$10:$A$126,'vehicles specifications'!$F111,'fuels and tailpipe emissions'!$B$10:$B$126,'vehicles specifications'!CB$2)/1000*$AQ111</f>
        <v>1.0092340294665764E-11</v>
      </c>
      <c r="CC111" s="7">
        <f>SUMIFS('fuels and tailpipe emissions'!$G$10:$G$126,'fuels and tailpipe emissions'!$A$10:$A$126,'vehicles specifications'!$F111,'fuels and tailpipe emissions'!$B$10:$B$126,'vehicles specifications'!CC$2)/1000*$AQ111</f>
        <v>6.7282268631105095E-12</v>
      </c>
      <c r="CD111" s="7">
        <f>SUMIFS('fuels and tailpipe emissions'!$G$10:$G$126,'fuels and tailpipe emissions'!$A$10:$A$126,'vehicles specifications'!$F111,'fuels and tailpipe emissions'!$B$10:$B$126,'vehicles specifications'!CD$2)/1000*$AQ111</f>
        <v>7.2664850121593506E-8</v>
      </c>
      <c r="CE111" s="7">
        <f>SUMIFS('fuels and tailpipe emissions'!$G$10:$G$126,'fuels and tailpipe emissions'!$A$10:$A$126,'vehicles specifications'!$F111,'fuels and tailpipe emissions'!$B$10:$B$126,'vehicles specifications'!CE$2)/1000*$AQ111</f>
        <v>1.4129276412532068E-9</v>
      </c>
      <c r="CF111" s="7">
        <f>SUMIFS('fuels and tailpipe emissions'!$G$10:$G$126,'fuels and tailpipe emissions'!$A$10:$A$126,'vehicles specifications'!$F111,'fuels and tailpipe emissions'!$B$10:$B$126,'vehicles specifications'!CF$2)/1000*$AQ111</f>
        <v>4.3733474610218308E-10</v>
      </c>
      <c r="CG111" s="7">
        <f>SUMIFS('fuels and tailpipe emissions'!$G$10:$G$126,'fuels and tailpipe emissions'!$A$10:$A$126,'vehicles specifications'!$F111,'fuels and tailpipe emissions'!$B$10:$B$126,'vehicles specifications'!CG$2)/1000*$AQ111</f>
        <v>5.3825814904884082E-10</v>
      </c>
      <c r="CH111" s="7">
        <f>SUMIFS('fuels and tailpipe emissions'!$G$10:$G$126,'fuels and tailpipe emissions'!$A$10:$A$126,'vehicles specifications'!$F111,'fuels and tailpipe emissions'!$B$10:$B$126,'vehicles specifications'!CH$2)/1000*$AQ111</f>
        <v>1.0765162980976813E-12</v>
      </c>
      <c r="CI111" s="7">
        <f>SUMIFS('fuels and tailpipe emissions'!$G$10:$G$126,'fuels and tailpipe emissions'!$A$10:$A$126,'vehicles specifications'!$F111,'fuels and tailpipe emissions'!$B$10:$B$126,'vehicles specifications'!CI$2)/1000*$AQ111</f>
        <v>2.9267786854530714E-10</v>
      </c>
      <c r="CJ111" s="7">
        <f>SUMIFS('fuels and tailpipe emissions'!$G$10:$G$126,'fuels and tailpipe emissions'!$A$10:$A$126,'vehicles specifications'!$F111,'fuels and tailpipe emissions'!$B$10:$B$126,'vehicles specifications'!CJ$2)/1000*$AQ111</f>
        <v>3.6332425060796757E-10</v>
      </c>
      <c r="CK111" s="38">
        <f>VLOOKUP($B111,'abrasion emissions'!$O$7:$R$36,2,FALSE)</f>
        <v>0.33</v>
      </c>
      <c r="CL111" s="38">
        <f>VLOOKUP($B111,'abrasion emissions'!$O$7:$R$36,3,FALSE)</f>
        <v>0.33</v>
      </c>
      <c r="CM111" s="38">
        <f>VLOOKUP($B111,'abrasion emissions'!$O$7:$R$36,4,FALSE)</f>
        <v>0.33</v>
      </c>
      <c r="CN111" s="7">
        <f>((SUMIFS('abrasion emissions'!$M$7:$M$34,'abrasion emissions'!$I$7:$I$34,"PM 2.5",'abrasion emissions'!$J$7:$J$34,"urban",'abrasion emissions'!$K$7:$K$34,"Tyre",'abrasion emissions'!$L$7:$L$34,"b")*POWER(('vehicles specifications'!$Q111/1000),(1/SUMIFS('abrasion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specifications'!$P111/1000),(1/SUMIFS('abrasion emissions'!$M$7:$M$34,'abrasion emissions'!$I$7:$I$34,"PM 10",'abrasion emissions'!$J$7:$J$34,"urban",'abrasion emissions'!$K$7:$K$34,"Tyre",'abrasion emissions'!$L$7:$L$34,"c")))))/1000000</f>
        <v>6.968139672245422E-6</v>
      </c>
      <c r="CO111" s="7">
        <f>((SUMIFS('abrasion emissions'!$M$7:$M$34,'abrasion emissions'!$I$7:$I$34,"PM 2.5",'abrasion emissions'!$J$7:$J$34,"rural",'abrasion emissions'!$K$7:$K$34,"Tyre",'abrasion emissions'!$L$7:$L$34,"b")*POWER(('vehicles specifications'!$Q111/1000),(1/SUMIFS('abrasion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specifications'!$P111/1000),(1/SUMIFS('abrasion emissions'!$M$7:$M$34,'abrasion emissions'!$I$7:$I$34,"PM 10",'abrasion emissions'!$J$7:$J$34,"rural",'abrasion emissions'!$K$7:$K$34,"Tyre",'abrasion emissions'!$L$7:$L$34,"c")))))/1000000</f>
        <v>5.4267244609867166E-6</v>
      </c>
      <c r="CP111" s="7">
        <f>((SUMIFS('abrasion emissions'!$M$7:$M$34,'abrasion emissions'!$I$7:$I$34,"PM 2.5",'abrasion emissions'!$J$7:$J$34,"motorway",'abrasion emissions'!$K$7:$K$34,"Tyre",'abrasion emissions'!$L$7:$L$34,"b")*POWER(('vehicles specifications'!$Q111/1000),(1/SUMIFS('abrasion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specifications'!$P111/1000),(1/SUMIFS('abrasion emissions'!$M$7:$M$34,'abrasion emissions'!$I$7:$I$34,"PM 10",'abrasion emissions'!$J$7:$J$34,"motorway",'abrasion emissions'!$K$7:$K$34,"Tyre",'abrasion emissions'!$L$7:$L$34,"c")))))/1000000</f>
        <v>4.6339820093847201E-6</v>
      </c>
      <c r="CQ111" s="7">
        <f>((SUMIFS('abrasion emissions'!$M$7:$M$34,'abrasion emissions'!$I$7:$I$34,"PM 2.5",'abrasion emissions'!$J$7:$J$34,"urban",'abrasion emissions'!$K$7:$K$34,"Brake",'abrasion emissions'!$L$7:$L$34,"b")*POWER(('vehicles specifications'!$Q111/1000),(1/SUMIFS('abrasion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specifications'!$P111/1000),(1/SUMIFS('abrasion emissions'!$M$7:$M$34,'abrasion emissions'!$I$7:$I$34,"PM 10",'abrasion emissions'!$J$7:$J$34,"urban",'abrasion emissions'!$K$7:$K$34,"Brake",'abrasion emissions'!$L$7:$L$34,"c")))))/1000000</f>
        <v>6.7523119799278713E-6</v>
      </c>
      <c r="CR111" s="7">
        <f>((SUMIFS('abrasion emissions'!$M$7:$M$34,'abrasion emissions'!$I$7:$I$34,"PM 2.5",'abrasion emissions'!$J$7:$J$34,"rural",'abrasion emissions'!$K$7:$K$34,"Brake",'abrasion emissions'!$L$7:$L$34,"b")*POWER(('vehicles specifications'!$Q111/1000),(1/SUMIFS('abrasion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specifications'!$P111/1000),(1/SUMIFS('abrasion emissions'!$M$7:$M$34,'abrasion emissions'!$I$7:$I$34,"PM 10",'abrasion emissions'!$J$7:$J$34,"rural",'abrasion emissions'!$K$7:$K$34,"Brake",'abrasion emissions'!$L$7:$L$34,"c")))))/1000000</f>
        <v>2.2521644831581709E-6</v>
      </c>
      <c r="CS111" s="7">
        <f>((SUMIFS('abrasion emissions'!$M$7:$M$34,'abrasion emissions'!$I$7:$I$34,"PM 2.5",'abrasion emissions'!$J$7:$J$34,"motorway",'abrasion emissions'!$K$7:$K$34,"Brake",'abrasion emissions'!$L$7:$L$34,"b")*POWER(('vehicles specifications'!$Q111/1000),(1/SUMIFS('abrasion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specifications'!$P111/1000),(1/SUMIFS('abrasion emissions'!$M$7:$M$34,'abrasion emissions'!$I$7:$I$34,"PM 10",'abrasion emissions'!$J$7:$J$34,"motorway",'abrasion emissions'!$K$7:$K$34,"Brake",'abrasion emissions'!$L$7:$L$34,"c")))))/1000000</f>
        <v>4.2788043149073443E-7</v>
      </c>
      <c r="CT111" s="7">
        <f>((SUMIFS('abrasion emissions'!$M$7:$M$38,'abrasion emissions'!$I$7:$I$38,"PM 2.5",'abrasion emissions'!$K$7:$K$38,"Re-susp.",'abrasion emissions'!$L$7:$L$38,"b")*POWER(('vehicles specifications'!$Q111/1000),(1/SUMIFS('abrasion emissions'!$M$7:$M$38,'abrasion emissions'!$I$7:$I$38,"PM 2.5",'abrasion emissions'!$K$7:$K$38,"Re-susp.",'abrasion emissions'!$L$7:$L$38,"c"))))+
(SUMIFS('abrasion emissions'!$M$7:$M$38,'abrasion emissions'!$I$7:$I$38,"PM 10",'abrasion emissions'!$K$7:$K$38,"Re-susp.",'abrasion emissions'!$L$7:$L$38,"b")*POWER(('vehicles specifications'!$Q111/1000),(1/SUMIFS('abrasion emissions'!$M$7:$M$38,'abrasion emissions'!$I$7:$I$38,"PM 10",'abrasion emissions'!$K$7:$K$38,"Re-susp.",'abrasion emissions'!$L$7:$L$38,"c")))))/1000000</f>
        <v>4.4878307196088682E-6</v>
      </c>
      <c r="CU111" s="7">
        <f>((SUMIFS('abrasion emissions'!$M$7:$M$38,'abrasion emissions'!$I$7:$I$38,"PM 2.5",'abrasion emissions'!$K$7:$K$38,"Road",'abrasion emissions'!$L$7:$L$38,"b")*POWER(('vehicles specifications'!$Q111/1000),(1/SUMIFS('abrasion emissions'!$M$7:$M$38,'abrasion emissions'!$I$7:$I$38,"PM 2.5",'abrasion emissions'!$K$7:$K$38,"Road",'abrasion emissions'!$L$7:$L$38,"c"))))+
(SUMIFS('abrasion emissions'!$M$7:$M$38,'abrasion emissions'!$I$7:$I$38,"PM 10",'abrasion emissions'!$K$7:$K$38,"Road",'abrasion emissions'!$L$7:$L$38,"b")*POWER(('vehicles specifications'!$Q111/1000),(1/SUMIFS('abrasion emissions'!$M$7:$M$38,'abrasion emissions'!$I$7:$I$38,"PM 10",'abrasion emissions'!$K$7:$K$38,"Road",'abrasion emissions'!$L$7:$L$38,"c")))))/1000000+CT111</f>
        <v>8.4312663761640712E-6</v>
      </c>
      <c r="CV111" s="7">
        <f>(CK111*CN111)+(CL111*CO111)+(CM111*CP111)</f>
        <v>5.6195192270635636E-6</v>
      </c>
      <c r="CW111" s="7">
        <f>(CK111*CQ111)+(CL111*CR111)+(CM111*CS111)</f>
        <v>3.1126777752103363E-6</v>
      </c>
    </row>
    <row r="112">
      <c r="A112" t="str">
        <f>B112&amp;" - "&amp;D112&amp;" - "&amp;IF(I112&lt;&gt;"",I112&amp;" - "&amp;E112,E112)</f>
        <v>Motorbike, gasoline, 11-35kW, EURO-5 - 2050 - CH</v>
      </c>
      <c r="B112" t="inlineStr">
        <is>
          <t>Motorbike, gasoline, 11-35kW, EURO-5</t>
        </is>
      </c>
      <c r="D112" s="18" t="n">
        <v>2050</v>
      </c>
      <c r="E112" t="inlineStr">
        <is>
          <t>CH</t>
        </is>
      </c>
      <c r="F112" t="inlineStr">
        <is>
          <t>EURO-5</t>
        </is>
      </c>
      <c r="G112" t="inlineStr">
        <is>
          <t>vkm</t>
        </is>
      </c>
      <c r="H112" t="inlineStr">
        <is>
          <t>ICEV-p</t>
        </is>
      </c>
      <c r="J112" t="n">
        <v>38500</v>
      </c>
      <c r="K112" t="n">
        <v>2405</v>
      </c>
      <c r="L112" s="2">
        <f>J112/K112</f>
        <v>16.008316008316008</v>
      </c>
      <c r="M112" t="n">
        <v>1.1</v>
      </c>
      <c r="N112" t="n">
        <v>75</v>
      </c>
      <c r="O112" t="n">
        <v>6</v>
      </c>
      <c r="P112" s="2">
        <f>SUM(U112,V112,W112,AC112,AF112,AH112)</f>
        <v>150.26749999999998</v>
      </c>
      <c r="Q112" s="2">
        <f>P112+(M112*N112)+O112</f>
        <v>238.76749999999998</v>
      </c>
      <c r="R112" t="n">
        <v>20</v>
      </c>
      <c r="S112" s="2" t="n">
        <v>81</v>
      </c>
      <c r="T112" s="1" t="n">
        <v>0.07000000000000001</v>
      </c>
      <c r="U112" s="2">
        <f>S112*(1-T112)</f>
        <v>75.33</v>
      </c>
      <c r="V112" s="2" t="n">
        <v>62</v>
      </c>
      <c r="W112" s="2" t="n">
        <v>0</v>
      </c>
      <c r="X112" s="3" t="n">
        <v>0</v>
      </c>
      <c r="Y112" s="1" t="n">
        <v>0.8</v>
      </c>
      <c r="Z112" s="3">
        <f>Y112*X112</f>
        <v>0</v>
      </c>
      <c r="AA112" s="3">
        <f>IF(I112&lt;&gt;"",X112/INDEX('energy battery'!$B$3:$D$6,MATCH('vehicles specifications'!$D112,'energy battery'!$A$3:$A$6,0),MATCH('vehicles specifications'!$I112,'energy battery'!$B$2:$D$2,0)),"")</f>
        <v/>
      </c>
      <c r="AB112" s="3">
        <f>IF(AA112&lt;&gt;"",0.3*AA112,"")</f>
        <v/>
      </c>
      <c r="AC112" s="3">
        <f>IF(AA112&lt;&gt;"",AB112+AA112,"")</f>
        <v/>
      </c>
      <c r="AD112" s="3" t="n">
        <v>0</v>
      </c>
      <c r="AE112" s="3" t="n">
        <v>15</v>
      </c>
      <c r="AF112">
        <f>AE112*'fuels and tailpipe emissions'!$B$3</f>
        <v>11.25</v>
      </c>
      <c r="AG112" s="2">
        <f>AF112*'fuels and tailpipe emissions'!$C$3</f>
        <v>133.125</v>
      </c>
      <c r="AH112" s="3">
        <f>0.15*AF112</f>
        <v>1.6875</v>
      </c>
      <c r="AI112" s="3" t="n">
        <v>0</v>
      </c>
      <c r="AJ112" s="3" t="n">
        <v>0</v>
      </c>
      <c r="AK112">
        <f>J112/25000</f>
        <v>1.54</v>
      </c>
      <c r="AL112">
        <f>0.000537/1000*Q112</f>
        <v>1.2821814749999999E-4</v>
      </c>
      <c r="AM112" t="n">
        <v>0.00129</v>
      </c>
      <c r="AN112" s="2">
        <f>U112</f>
        <v>75.33</v>
      </c>
      <c r="AO112" s="2">
        <f>SUM(V112:W112)</f>
        <v>62</v>
      </c>
      <c r="AP112" s="2">
        <f>AC112</f>
        <v/>
      </c>
      <c r="AQ112" s="6" t="n">
        <v>1.415450726326873</v>
      </c>
      <c r="AR112" s="20" t="n">
        <v>0.012</v>
      </c>
      <c r="AS112" s="6">
        <f>IF($H112="BEV",SUMPRODUCT(#REF!,#REF!),"")</f>
        <v/>
      </c>
      <c r="AT112" s="2">
        <f>SUM(Z112,AG112)/(SUM(AQ112,AS112)/3.6)</f>
        <v>338.58472858582974</v>
      </c>
      <c r="AU112" s="5">
        <f>IF($H112="ICEV-p",$AQ112/('fuels and tailpipe emissions'!$C$3*3.6)*'fuels and tailpipe emissions'!$D$3,"")*(1-AR112)</f>
        <v>0.10307936848118278</v>
      </c>
      <c r="AV112" s="5">
        <f>IF($H112="ICEV-p",$AQ112/('fuels and tailpipe emissions'!$C$3*3.6)*'fuels and tailpipe emissions'!$D$3,"")*AR112</f>
        <v>1.2519761353989812E-3</v>
      </c>
      <c r="AW112" s="7">
        <f>IF($H112="ICEV-p",$AQ112/('fuels and tailpipe emissions'!$C$3*3.6)*'fuels and tailpipe emissions'!$E$3,"")</f>
        <v>5.316246859443656E-7</v>
      </c>
      <c r="AX112" s="7">
        <f>SUMIFS('fuels and tailpipe emissions'!$G$10:$G$126,'fuels and tailpipe emissions'!$A$10:$A$126,'vehicles specifications'!$F112,'fuels and tailpipe emissions'!$B$10:$B$126,'vehicles specifications'!AX$2)/1000*$AQ112</f>
        <v>1.0790561098847618E-6</v>
      </c>
      <c r="AY112" s="7">
        <f>SUMIFS('fuels and tailpipe emissions'!$G$10:$G$126,'fuels and tailpipe emissions'!$A$10:$A$126,'vehicles specifications'!$F112,'fuels and tailpipe emissions'!$B$10:$B$126,'vehicles specifications'!AY$2)/1000*$AQ112</f>
        <v>2.6606334474823498E-5</v>
      </c>
      <c r="AZ112" s="7">
        <f>SUMIFS('fuels and tailpipe emissions'!$G$10:$G$126,'fuels and tailpipe emissions'!$A$10:$A$126,'vehicles specifications'!$F112,'fuels and tailpipe emissions'!$B$10:$B$126,'vehicles specifications'!AZ$2)/1000*$AQ112</f>
        <v>1.1812665535199882E-4</v>
      </c>
      <c r="BA112" s="7">
        <f>SUMIFS('fuels and tailpipe emissions'!$G$10:$G$126,'fuels and tailpipe emissions'!$A$10:$A$126,'vehicles specifications'!$F112,'fuels and tailpipe emissions'!$B$10:$B$126,'vehicles specifications'!BA$2)/1000*$AQ112</f>
        <v>8.0019051052100739E-7</v>
      </c>
      <c r="BB112" s="7">
        <f>SUMIFS('fuels and tailpipe emissions'!$G$10:$G$126,'fuels and tailpipe emissions'!$A$10:$A$126,'vehicles specifications'!$F112,'fuels and tailpipe emissions'!$B$10:$B$126,'vehicles specifications'!BB$2)/1000*$AQ112</f>
        <v>8.0019051052100739E-7</v>
      </c>
      <c r="BC112" s="7">
        <f>SUMIFS('fuels and tailpipe emissions'!$G$10:$G$126,'fuels and tailpipe emissions'!$A$10:$A$126,'vehicles specifications'!$F112,'fuels and tailpipe emissions'!$B$10:$B$126,'vehicles specifications'!BC$2)/1000*$AQ112</f>
        <v>8.7220273353176207E-6</v>
      </c>
      <c r="BD112" s="7">
        <f>SUMIFS('fuels and tailpipe emissions'!$G$10:$G$126,'fuels and tailpipe emissions'!$A$10:$A$126,'vehicles specifications'!$F112,'fuels and tailpipe emissions'!$B$10:$B$126,'vehicles specifications'!BD$2)/1000*$AQ112</f>
        <v>2.0004762763025187E-6</v>
      </c>
      <c r="BE112" s="7">
        <f>SUMIFS('fuels and tailpipe emissions'!$G$10:$G$126,'fuels and tailpipe emissions'!$A$10:$A$126,'vehicles specifications'!$F112,'fuels and tailpipe emissions'!$B$10:$B$126,'vehicles specifications'!BE$2)/1000*$AQ112</f>
        <v>8.7016931214236427E-6</v>
      </c>
      <c r="BF112" s="7">
        <f>SUMIFS('fuels and tailpipe emissions'!$G$10:$G$126,'fuels and tailpipe emissions'!$A$10:$A$126,'vehicles specifications'!$F112,'fuels and tailpipe emissions'!$B$10:$B$126,'vehicles specifications'!BF$2)/1000*$AQ112</f>
        <v>6.1358092522859004E-7</v>
      </c>
      <c r="BG112" s="7">
        <f>SUMIFS('fuels and tailpipe emissions'!$G$10:$G$126,'fuels and tailpipe emissions'!$A$10:$A$126,'vehicles specifications'!$F112,'fuels and tailpipe emissions'!$B$10:$B$126,'vehicles specifications'!BG$2)/1000*$AQ112</f>
        <v>1.2502432645723621E-7</v>
      </c>
      <c r="BH112" s="7">
        <f>SUMIFS('fuels and tailpipe emissions'!$G$10:$G$126,'fuels and tailpipe emissions'!$A$10:$A$126,'vehicles specifications'!$F112,'fuels and tailpipe emissions'!$B$10:$B$126,'vehicles specifications'!BH$2)/1000*$AQ112</f>
        <v>1.0078884163629505E-6</v>
      </c>
      <c r="BI112" s="7">
        <f>SUMIFS('fuels and tailpipe emissions'!$G$10:$G$126,'fuels and tailpipe emissions'!$A$10:$A$126,'vehicles specifications'!$F112,'fuels and tailpipe emissions'!$B$10:$B$126,'vehicles specifications'!BI$2)/1000*$AQ112</f>
        <v>4.1354200289701212E-7</v>
      </c>
      <c r="BJ112" s="7">
        <f>SUMIFS('fuels and tailpipe emissions'!$G$10:$G$126,'fuels and tailpipe emissions'!$A$10:$A$126,'vehicles specifications'!$F112,'fuels and tailpipe emissions'!$B$10:$B$126,'vehicles specifications'!BJ$2)/1000*$AQ112</f>
        <v>3.0967563937869277E-7</v>
      </c>
      <c r="BK112" s="7">
        <f>SUMIFS('fuels and tailpipe emissions'!$G$10:$G$126,'fuels and tailpipe emissions'!$A$10:$A$126,'vehicles specifications'!$F112,'fuels and tailpipe emissions'!$B$10:$B$126,'vehicles specifications'!BK$2)/1000*$AQ112</f>
        <v>2.1927343409422966E-7</v>
      </c>
      <c r="BL112" s="7">
        <f>SUMIFS('fuels and tailpipe emissions'!$G$10:$G$126,'fuels and tailpipe emissions'!$A$10:$A$126,'vehicles specifications'!$F112,'fuels and tailpipe emissions'!$B$10:$B$126,'vehicles specifications'!BL$2)/1000*$AQ112</f>
        <v>1.4233538704362279E-7</v>
      </c>
      <c r="BM112" s="7">
        <f>SUMIFS('fuels and tailpipe emissions'!$G$10:$G$126,'fuels and tailpipe emissions'!$A$10:$A$126,'vehicles specifications'!$F112,'fuels and tailpipe emissions'!$B$10:$B$126,'vehicles specifications'!BM$2)/1000*$AQ112</f>
        <v>1.404119358673576E-6</v>
      </c>
      <c r="BN112" s="7">
        <f>SUMIFS('fuels and tailpipe emissions'!$G$10:$G$126,'fuels and tailpipe emissions'!$A$10:$A$126,'vehicles specifications'!$F112,'fuels and tailpipe emissions'!$B$10:$B$126,'vehicles specifications'!BN$2)/1000*$AQ112</f>
        <v>7.3475834933329586E-7</v>
      </c>
      <c r="BO112" s="7">
        <f>SUMIFS('fuels and tailpipe emissions'!$G$10:$G$126,'fuels and tailpipe emissions'!$A$10:$A$126,'vehicles specifications'!$F112,'fuels and tailpipe emissions'!$B$10:$B$126,'vehicles specifications'!BO$2)/1000*$AQ112</f>
        <v>2.1157962938916902E-8</v>
      </c>
      <c r="BP112" s="7">
        <f>SUMIFS('fuels and tailpipe emissions'!$G$10:$G$126,'fuels and tailpipe emissions'!$A$10:$A$126,'vehicles specifications'!$F112,'fuels and tailpipe emissions'!$B$10:$B$126,'vehicles specifications'!BP$2)/1000*$AQ112</f>
        <v>1.0790561098847618E-6</v>
      </c>
      <c r="BQ112" s="7">
        <f>SUMIFS('fuels and tailpipe emissions'!$G$10:$G$126,'fuels and tailpipe emissions'!$A$10:$A$126,'vehicles specifications'!$F112,'fuels and tailpipe emissions'!$B$10:$B$126,'vehicles specifications'!BQ$2)/1000*$AQ112</f>
        <v>2.1119493915391591E-6</v>
      </c>
      <c r="BR112" s="7">
        <f>SUMIFS('fuels and tailpipe emissions'!$G$10:$G$126,'fuels and tailpipe emissions'!$A$10:$A$126,'vehicles specifications'!$F112,'fuels and tailpipe emissions'!$B$10:$B$126,'vehicles specifications'!BR$2)/1000*$AQ112</f>
        <v>1.0444339887119887E-6</v>
      </c>
      <c r="BS112" s="7">
        <f>SUMIFS('fuels and tailpipe emissions'!$G$10:$G$126,'fuels and tailpipe emissions'!$A$10:$A$126,'vehicles specifications'!$F112,'fuels and tailpipe emissions'!$B$10:$B$126,'vehicles specifications'!BS$2)/1000*$AQ112</f>
        <v>4.3469996583592895E-7</v>
      </c>
      <c r="BT112" s="7">
        <f>SUMIFS('fuels and tailpipe emissions'!$G$10:$G$126,'fuels and tailpipe emissions'!$A$10:$A$126,'vehicles specifications'!$F112,'fuels and tailpipe emissions'!$B$10:$B$126,'vehicles specifications'!BT$2)/1000*$AQ112</f>
        <v>3.2698669996507936E-7</v>
      </c>
      <c r="BU112" s="7">
        <f>SUMIFS('fuels and tailpipe emissions'!$G$10:$G$126,'fuels and tailpipe emissions'!$A$10:$A$126,'vehicles specifications'!$F112,'fuels and tailpipe emissions'!$B$10:$B$126,'vehicles specifications'!BU$2)/1000*$AQ112</f>
        <v>1.4425883821988794E-7</v>
      </c>
      <c r="BV112" s="7">
        <f>SUMIFS('fuels and tailpipe emissions'!$G$10:$G$126,'fuels and tailpipe emissions'!$A$10:$A$126,'vehicles specifications'!$F112,'fuels and tailpipe emissions'!$B$10:$B$126,'vehicles specifications'!BV$2)/1000*$AQ112</f>
        <v>4.2315925877833804E-8</v>
      </c>
      <c r="BW112" s="7">
        <f>SUMIFS('fuels and tailpipe emissions'!$G$10:$G$126,'fuels and tailpipe emissions'!$A$10:$A$126,'vehicles specifications'!$F112,'fuels and tailpipe emissions'!$B$10:$B$126,'vehicles specifications'!BW$2)/1000*$AQ112</f>
        <v>1.1733052175217554E-7</v>
      </c>
      <c r="BX112" s="7">
        <f>SUMIFS('fuels and tailpipe emissions'!$G$10:$G$126,'fuels and tailpipe emissions'!$A$10:$A$126,'vehicles specifications'!$F112,'fuels and tailpipe emissions'!$B$10:$B$126,'vehicles specifications'!BX$2)/1000*$AQ112</f>
        <v>0</v>
      </c>
      <c r="BY112" s="7">
        <f>SUMIFS('fuels and tailpipe emissions'!$G$10:$G$126,'fuels and tailpipe emissions'!$A$10:$A$126,'vehicles specifications'!$F112,'fuels and tailpipe emissions'!$B$10:$B$126,'vehicles specifications'!BY$2)/1000*$AQ112</f>
        <v>3.654557234903828E-8</v>
      </c>
      <c r="BZ112" s="7">
        <f>SUMIFS('fuels and tailpipe emissions'!$G$10:$G$126,'fuels and tailpipe emissions'!$A$10:$A$126,'vehicles specifications'!$F112,'fuels and tailpipe emissions'!$B$10:$B$126,'vehicles specifications'!BZ$2)/1000*$AQ112</f>
        <v>1.9426856880278244E-7</v>
      </c>
      <c r="CA112" s="7">
        <f>SUMIFS('fuels and tailpipe emissions'!$G$10:$G$126,'fuels and tailpipe emissions'!$A$10:$A$126,'vehicles specifications'!$F112,'fuels and tailpipe emissions'!$B$10:$B$126,'vehicles specifications'!CA$2)/1000*$AQ112</f>
        <v>1.1590043594394164E-9</v>
      </c>
      <c r="CB112" s="7">
        <f>SUMIFS('fuels and tailpipe emissions'!$G$10:$G$126,'fuels and tailpipe emissions'!$A$10:$A$126,'vehicles specifications'!$F112,'fuels and tailpipe emissions'!$B$10:$B$126,'vehicles specifications'!CB$2)/1000*$AQ112</f>
        <v>9.9914168917191075E-12</v>
      </c>
      <c r="CC112" s="7">
        <f>SUMIFS('fuels and tailpipe emissions'!$G$10:$G$126,'fuels and tailpipe emissions'!$A$10:$A$126,'vehicles specifications'!$F112,'fuels and tailpipe emissions'!$B$10:$B$126,'vehicles specifications'!CC$2)/1000*$AQ112</f>
        <v>6.6609445944794042E-12</v>
      </c>
      <c r="CD112" s="7">
        <f>SUMIFS('fuels and tailpipe emissions'!$G$10:$G$126,'fuels and tailpipe emissions'!$A$10:$A$126,'vehicles specifications'!$F112,'fuels and tailpipe emissions'!$B$10:$B$126,'vehicles specifications'!CD$2)/1000*$AQ112</f>
        <v>7.1938201620377578E-8</v>
      </c>
      <c r="CE112" s="7">
        <f>SUMIFS('fuels and tailpipe emissions'!$G$10:$G$126,'fuels and tailpipe emissions'!$A$10:$A$126,'vehicles specifications'!$F112,'fuels and tailpipe emissions'!$B$10:$B$126,'vehicles specifications'!CE$2)/1000*$AQ112</f>
        <v>1.3987983648406747E-9</v>
      </c>
      <c r="CF112" s="7">
        <f>SUMIFS('fuels and tailpipe emissions'!$G$10:$G$126,'fuels and tailpipe emissions'!$A$10:$A$126,'vehicles specifications'!$F112,'fuels and tailpipe emissions'!$B$10:$B$126,'vehicles specifications'!CF$2)/1000*$AQ112</f>
        <v>4.3296139864116131E-10</v>
      </c>
      <c r="CG112" s="7">
        <f>SUMIFS('fuels and tailpipe emissions'!$G$10:$G$126,'fuels and tailpipe emissions'!$A$10:$A$126,'vehicles specifications'!$F112,'fuels and tailpipe emissions'!$B$10:$B$126,'vehicles specifications'!CG$2)/1000*$AQ112</f>
        <v>5.328755675583524E-10</v>
      </c>
      <c r="CH112" s="7">
        <f>SUMIFS('fuels and tailpipe emissions'!$G$10:$G$126,'fuels and tailpipe emissions'!$A$10:$A$126,'vehicles specifications'!$F112,'fuels and tailpipe emissions'!$B$10:$B$126,'vehicles specifications'!CH$2)/1000*$AQ112</f>
        <v>1.0657511351167047E-12</v>
      </c>
      <c r="CI112" s="7">
        <f>SUMIFS('fuels and tailpipe emissions'!$G$10:$G$126,'fuels and tailpipe emissions'!$A$10:$A$126,'vehicles specifications'!$F112,'fuels and tailpipe emissions'!$B$10:$B$126,'vehicles specifications'!CI$2)/1000*$AQ112</f>
        <v>2.897510898598541E-10</v>
      </c>
      <c r="CJ112" s="7">
        <f>SUMIFS('fuels and tailpipe emissions'!$G$10:$G$126,'fuels and tailpipe emissions'!$A$10:$A$126,'vehicles specifications'!$F112,'fuels and tailpipe emissions'!$B$10:$B$126,'vehicles specifications'!CJ$2)/1000*$AQ112</f>
        <v>3.5969100810188791E-10</v>
      </c>
      <c r="CK112" s="38">
        <f>VLOOKUP($B112,'abrasion emissions'!$O$7:$R$36,2,FALSE)</f>
        <v>0.33</v>
      </c>
      <c r="CL112" s="38">
        <f>VLOOKUP($B112,'abrasion emissions'!$O$7:$R$36,3,FALSE)</f>
        <v>0.33</v>
      </c>
      <c r="CM112" s="38">
        <f>VLOOKUP($B112,'abrasion emissions'!$O$7:$R$36,4,FALSE)</f>
        <v>0.33</v>
      </c>
      <c r="CN112" s="7">
        <f>((SUMIFS('abrasion emissions'!$M$7:$M$34,'abrasion emissions'!$I$7:$I$34,"PM 2.5",'abrasion emissions'!$J$7:$J$34,"urban",'abrasion emissions'!$K$7:$K$34,"Tyre",'abrasion emissions'!$L$7:$L$34,"b")*POWER(('vehicles specifications'!$Q112/1000),(1/SUMIFS('abrasion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specifications'!$P112/1000),(1/SUMIFS('abrasion emissions'!$M$7:$M$34,'abrasion emissions'!$I$7:$I$34,"PM 10",'abrasion emissions'!$J$7:$J$34,"urban",'abrasion emissions'!$K$7:$K$34,"Tyre",'abrasion emissions'!$L$7:$L$34,"c")))))/1000000</f>
        <v>6.9432982284822032E-6</v>
      </c>
      <c r="CO112" s="7">
        <f>((SUMIFS('abrasion emissions'!$M$7:$M$34,'abrasion emissions'!$I$7:$I$34,"PM 2.5",'abrasion emissions'!$J$7:$J$34,"rural",'abrasion emissions'!$K$7:$K$34,"Tyre",'abrasion emissions'!$L$7:$L$34,"b")*POWER(('vehicles specifications'!$Q112/1000),(1/SUMIFS('abrasion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specifications'!$P112/1000),(1/SUMIFS('abrasion emissions'!$M$7:$M$34,'abrasion emissions'!$I$7:$I$34,"PM 10",'abrasion emissions'!$J$7:$J$34,"rural",'abrasion emissions'!$K$7:$K$34,"Tyre",'abrasion emissions'!$L$7:$L$34,"c")))))/1000000</f>
        <v>5.4073910127318179E-6</v>
      </c>
      <c r="CP112" s="7">
        <f>((SUMIFS('abrasion emissions'!$M$7:$M$34,'abrasion emissions'!$I$7:$I$34,"PM 2.5",'abrasion emissions'!$J$7:$J$34,"motorway",'abrasion emissions'!$K$7:$K$34,"Tyre",'abrasion emissions'!$L$7:$L$34,"b")*POWER(('vehicles specifications'!$Q112/1000),(1/SUMIFS('abrasion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specifications'!$P112/1000),(1/SUMIFS('abrasion emissions'!$M$7:$M$34,'abrasion emissions'!$I$7:$I$34,"PM 10",'abrasion emissions'!$J$7:$J$34,"motorway",'abrasion emissions'!$K$7:$K$34,"Tyre",'abrasion emissions'!$L$7:$L$34,"c")))))/1000000</f>
        <v>4.6175050507918053E-6</v>
      </c>
      <c r="CQ112" s="7">
        <f>((SUMIFS('abrasion emissions'!$M$7:$M$34,'abrasion emissions'!$I$7:$I$34,"PM 2.5",'abrasion emissions'!$J$7:$J$34,"urban",'abrasion emissions'!$K$7:$K$34,"Brake",'abrasion emissions'!$L$7:$L$34,"b")*POWER(('vehicles specifications'!$Q112/1000),(1/SUMIFS('abrasion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specifications'!$P112/1000),(1/SUMIFS('abrasion emissions'!$M$7:$M$34,'abrasion emissions'!$I$7:$I$34,"PM 10",'abrasion emissions'!$J$7:$J$34,"urban",'abrasion emissions'!$K$7:$K$34,"Brake",'abrasion emissions'!$L$7:$L$34,"c")))))/1000000</f>
        <v>6.7250913041549486E-6</v>
      </c>
      <c r="CR112" s="7">
        <f>((SUMIFS('abrasion emissions'!$M$7:$M$34,'abrasion emissions'!$I$7:$I$34,"PM 2.5",'abrasion emissions'!$J$7:$J$34,"rural",'abrasion emissions'!$K$7:$K$34,"Brake",'abrasion emissions'!$L$7:$L$34,"b")*POWER(('vehicles specifications'!$Q112/1000),(1/SUMIFS('abrasion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specifications'!$P112/1000),(1/SUMIFS('abrasion emissions'!$M$7:$M$34,'abrasion emissions'!$I$7:$I$34,"PM 10",'abrasion emissions'!$J$7:$J$34,"rural",'abrasion emissions'!$K$7:$K$34,"Brake",'abrasion emissions'!$L$7:$L$34,"c")))))/1000000</f>
        <v>2.2406893811279768E-6</v>
      </c>
      <c r="CS112" s="7">
        <f>((SUMIFS('abrasion emissions'!$M$7:$M$34,'abrasion emissions'!$I$7:$I$34,"PM 2.5",'abrasion emissions'!$J$7:$J$34,"motorway",'abrasion emissions'!$K$7:$K$34,"Brake",'abrasion emissions'!$L$7:$L$34,"b")*POWER(('vehicles specifications'!$Q112/1000),(1/SUMIFS('abrasion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specifications'!$P112/1000),(1/SUMIFS('abrasion emissions'!$M$7:$M$34,'abrasion emissions'!$I$7:$I$34,"PM 10",'abrasion emissions'!$J$7:$J$34,"motorway",'abrasion emissions'!$K$7:$K$34,"Brake",'abrasion emissions'!$L$7:$L$34,"c")))))/1000000</f>
        <v>4.2537653078432464E-7</v>
      </c>
      <c r="CT112" s="7">
        <f>((SUMIFS('abrasion emissions'!$M$7:$M$38,'abrasion emissions'!$I$7:$I$38,"PM 2.5",'abrasion emissions'!$K$7:$K$38,"Re-susp.",'abrasion emissions'!$L$7:$L$38,"b")*POWER(('vehicles specifications'!$Q112/1000),(1/SUMIFS('abrasion emissions'!$M$7:$M$38,'abrasion emissions'!$I$7:$I$38,"PM 2.5",'abrasion emissions'!$K$7:$K$38,"Re-susp.",'abrasion emissions'!$L$7:$L$38,"c"))))+
(SUMIFS('abrasion emissions'!$M$7:$M$38,'abrasion emissions'!$I$7:$I$38,"PM 10",'abrasion emissions'!$K$7:$K$38,"Re-susp.",'abrasion emissions'!$L$7:$L$38,"b")*POWER(('vehicles specifications'!$Q112/1000),(1/SUMIFS('abrasion emissions'!$M$7:$M$38,'abrasion emissions'!$I$7:$I$38,"PM 10",'abrasion emissions'!$K$7:$K$38,"Re-susp.",'abrasion emissions'!$L$7:$L$38,"c")))))/1000000</f>
        <v>4.4603277077000034E-6</v>
      </c>
      <c r="CU112" s="7">
        <f>((SUMIFS('abrasion emissions'!$M$7:$M$38,'abrasion emissions'!$I$7:$I$38,"PM 2.5",'abrasion emissions'!$K$7:$K$38,"Road",'abrasion emissions'!$L$7:$L$38,"b")*POWER(('vehicles specifications'!$Q112/1000),(1/SUMIFS('abrasion emissions'!$M$7:$M$38,'abrasion emissions'!$I$7:$I$38,"PM 2.5",'abrasion emissions'!$K$7:$K$38,"Road",'abrasion emissions'!$L$7:$L$38,"c"))))+
(SUMIFS('abrasion emissions'!$M$7:$M$38,'abrasion emissions'!$I$7:$I$38,"PM 10",'abrasion emissions'!$K$7:$K$38,"Road",'abrasion emissions'!$L$7:$L$38,"b")*POWER(('vehicles specifications'!$Q112/1000),(1/SUMIFS('abrasion emissions'!$M$7:$M$38,'abrasion emissions'!$I$7:$I$38,"PM 10",'abrasion emissions'!$K$7:$K$38,"Road",'abrasion emissions'!$L$7:$L$38,"c")))))/1000000+CT112</f>
        <v>8.3860265499696955E-6</v>
      </c>
      <c r="CV112" s="7">
        <f>(CK112*CN112)+(CL112*CO112)+(CM112*CP112)</f>
        <v>5.5995041163619232E-6</v>
      </c>
      <c r="CW112" s="7">
        <f>(CK112*CQ112)+(CL112*CR112)+(CM112*CS112)</f>
        <v>3.0990818813021925E-6</v>
      </c>
    </row>
    <row r="113">
      <c r="A113" t="str">
        <f>B113&amp;" - "&amp;D113&amp;" - "&amp;IF(I113&lt;&gt;"",I113&amp;" - "&amp;E113,E113)</f>
        <v>Motorbike, gasoline, &gt;35kW, EURO-3 - 2006 - CH</v>
      </c>
      <c r="B113" t="inlineStr">
        <is>
          <t>Motorbike, gasoline, &gt;35kW, EURO-3</t>
        </is>
      </c>
      <c r="D113" s="18" t="n">
        <v>2006</v>
      </c>
      <c r="E113" t="inlineStr">
        <is>
          <t>CH</t>
        </is>
      </c>
      <c r="F113" t="inlineStr">
        <is>
          <t>EURO-3</t>
        </is>
      </c>
      <c r="G113" t="inlineStr">
        <is>
          <t>vkm</t>
        </is>
      </c>
      <c r="H113" t="inlineStr">
        <is>
          <t>ICEV-p</t>
        </is>
      </c>
      <c r="J113" t="n">
        <v>40500</v>
      </c>
      <c r="K113" t="n">
        <v>2896</v>
      </c>
      <c r="L113" s="2">
        <f>J113/K113</f>
        <v>13.984806629834255</v>
      </c>
      <c r="M113" t="n">
        <v>1.1</v>
      </c>
      <c r="N113" t="n">
        <v>75</v>
      </c>
      <c r="O113" t="n">
        <v>6</v>
      </c>
      <c r="P113" s="2">
        <f>SUM(U113,V113,W113,AC113,AF113,AH113)</f>
        <v>262.07499999999999</v>
      </c>
      <c r="Q113" s="2">
        <f>P113+(M113*N113)+O113</f>
        <v>350.57499999999999</v>
      </c>
      <c r="R113" t="n">
        <v>91</v>
      </c>
      <c r="S113" s="2" t="n">
        <v>111</v>
      </c>
      <c r="T113" s="1" t="n">
        <v>-0.05</v>
      </c>
      <c r="U113" s="2">
        <f>S113*(1-T113)</f>
        <v>116.55000000000001</v>
      </c>
      <c r="V113" s="2" t="n">
        <v>130</v>
      </c>
      <c r="W113" s="2" t="n">
        <v>0</v>
      </c>
      <c r="X113" s="3" t="n">
        <v>0</v>
      </c>
      <c r="Y113" s="1" t="n">
        <v>0.8</v>
      </c>
      <c r="Z113" s="3">
        <f>Y113*X113</f>
        <v>0</v>
      </c>
      <c r="AA113" s="3">
        <f>IF(I113&lt;&gt;"",X113/INDEX('energy battery'!$B$3:$D$6,MATCH('vehicles specifications'!$D113,'energy battery'!$A$3:$A$6,0),MATCH('vehicles specifications'!$I113,'energy battery'!$B$2:$D$2,0)),"")</f>
        <v/>
      </c>
      <c r="AB113" s="3">
        <f>IF(AA113&lt;&gt;"",0.3*AA113,"")</f>
        <v/>
      </c>
      <c r="AC113" s="3">
        <f>IF(AA113&lt;&gt;"",AB113+AA113,"")</f>
        <v/>
      </c>
      <c r="AD113" s="3" t="n">
        <v>0</v>
      </c>
      <c r="AE113" s="3" t="n">
        <v>18</v>
      </c>
      <c r="AF113">
        <f>AE113*'fuels and tailpipe emissions'!$B$3</f>
        <v>13.5</v>
      </c>
      <c r="AG113" s="2">
        <f>AF113*'fuels and tailpipe emissions'!$C$3</f>
        <v>159.75</v>
      </c>
      <c r="AH113" s="3">
        <f>0.15*AF113</f>
        <v>2.0249999999999999</v>
      </c>
      <c r="AI113" s="3" t="n">
        <v>0</v>
      </c>
      <c r="AJ113" s="3" t="n">
        <v>0</v>
      </c>
      <c r="AK113">
        <f>J113/25000</f>
        <v>1.62</v>
      </c>
      <c r="AL113">
        <f>0.000537/1000*Q113</f>
        <v>1.8825877500000001E-4</v>
      </c>
      <c r="AM113" t="n">
        <v>0.00129</v>
      </c>
      <c r="AN113" s="2">
        <f>U113</f>
        <v>116.55000000000001</v>
      </c>
      <c r="AO113" s="2">
        <f>SUM(V113:W113)</f>
        <v>130</v>
      </c>
      <c r="AP113" s="2">
        <f>AC113</f>
        <v/>
      </c>
      <c r="AQ113" s="6" t="n">
        <v>1.973438316384231</v>
      </c>
      <c r="AR113" s="20" t="n">
        <v>0.012</v>
      </c>
      <c r="AS113" s="6">
        <f>IF($H113="BEV",SUMPRODUCT(#REF!,#REF!),"")</f>
        <v/>
      </c>
      <c r="AT113" s="2">
        <f>SUM(Z113,AG113)/(SUM(AQ113,AS113)/3.6)</f>
        <v>291.42030699682999</v>
      </c>
      <c r="AU113" s="5">
        <f>IF($H113="ICEV-p",$AQ113/('fuels and tailpipe emissions'!$C$3*3.6)*'fuels and tailpipe emissions'!$D$3,"")*(1-AR113)</f>
        <v>0.14371448726960392</v>
      </c>
      <c r="AV113" s="5">
        <f>IF($H113="ICEV-p",$AQ113/('fuels and tailpipe emissions'!$C$3*3.6)*'fuels and tailpipe emissions'!$D$3,"")*AR113</f>
        <v>1.7455200882947846E-3</v>
      </c>
      <c r="AW113" s="7">
        <f>IF($H113="ICEV-p",$AQ113/('fuels and tailpipe emissions'!$C$3*3.6)*'fuels and tailpipe emissions'!$E$3,"")</f>
        <v>7.4119748972177688E-7</v>
      </c>
      <c r="AX113" s="7">
        <f>SUMIFS('fuels and tailpipe emissions'!$H$10:$H$126,'fuels and tailpipe emissions'!$A$10:$A$126,'vehicles specifications'!$F113,'fuels and tailpipe emissions'!$B$10:$B$126,'vehicles specifications'!AX$2)/1000*$AQ113</f>
        <v>7.237951507199054E-6</v>
      </c>
      <c r="AY113" s="7">
        <f>SUMIFS('fuels and tailpipe emissions'!$H$10:$H$126,'fuels and tailpipe emissions'!$A$10:$A$126,'vehicles specifications'!$F113,'fuels and tailpipe emissions'!$B$10:$B$126,'vehicles specifications'!AY$2)/1000*$AQ113</f>
        <v>1.6720380300830153E-5</v>
      </c>
      <c r="AZ113" s="7">
        <f>SUMIFS('fuels and tailpipe emissions'!$H$10:$H$126,'fuels and tailpipe emissions'!$A$10:$A$126,'vehicles specifications'!$F113,'fuels and tailpipe emissions'!$B$10:$B$126,'vehicles specifications'!AZ$2)/1000*$AQ113</f>
        <v>2.9373204293002417E-4</v>
      </c>
      <c r="BA113" s="7">
        <f>SUMIFS('fuels and tailpipe emissions'!$H$10:$H$126,'fuels and tailpipe emissions'!$A$10:$A$126,'vehicles specifications'!$F113,'fuels and tailpipe emissions'!$B$10:$B$126,'vehicles specifications'!BA$2)/1000*$AQ113</f>
        <v>8.8002001583316587E-7</v>
      </c>
      <c r="BB113" s="7">
        <f>SUMIFS('fuels and tailpipe emissions'!$H$10:$H$126,'fuels and tailpipe emissions'!$A$10:$A$126,'vehicles specifications'!$F113,'fuels and tailpipe emissions'!$B$10:$B$126,'vehicles specifications'!BB$2)/1000*$AQ113</f>
        <v>8.8002001583316587E-7</v>
      </c>
      <c r="BC113" s="7">
        <f>SUMIFS('fuels and tailpipe emissions'!$H$10:$H$126,'fuels and tailpipe emissions'!$A$10:$A$126,'vehicles specifications'!$F113,'fuels and tailpipe emissions'!$B$10:$B$126,'vehicles specifications'!BC$2)/1000*$AQ113</f>
        <v>3.1128530669022286E-5</v>
      </c>
      <c r="BD113" s="7">
        <f>SUMIFS('fuels and tailpipe emissions'!$H$10:$H$126,'fuels and tailpipe emissions'!$A$10:$A$126,'vehicles specifications'!$F113,'fuels and tailpipe emissions'!$B$10:$B$126,'vehicles specifications'!BD$2)/1000*$AQ113</f>
        <v>2.2000500395829146E-6</v>
      </c>
      <c r="BE113" s="7">
        <f>SUMIFS('fuels and tailpipe emissions'!$H$10:$H$126,'fuels and tailpipe emissions'!$A$10:$A$126,'vehicles specifications'!$F113,'fuels and tailpipe emissions'!$B$10:$B$126,'vehicles specifications'!BE$2)/1000*$AQ113</f>
        <v>5.8368079533990228E-5</v>
      </c>
      <c r="BF113" s="7">
        <f>SUMIFS('fuels and tailpipe emissions'!$H$10:$H$126,'fuels and tailpipe emissions'!$A$10:$A$126,'vehicles specifications'!$F113,'fuels and tailpipe emissions'!$B$10:$B$126,'vehicles specifications'!BF$2)/1000*$AQ113</f>
        <v>4.1156979158582854E-6</v>
      </c>
      <c r="BG113" s="7">
        <f>SUMIFS('fuels and tailpipe emissions'!$H$10:$H$126,'fuels and tailpipe emissions'!$A$10:$A$126,'vehicles specifications'!$F113,'fuels and tailpipe emissions'!$B$10:$B$126,'vehicles specifications'!BG$2)/1000*$AQ113</f>
        <v>8.3862183238491708E-7</v>
      </c>
      <c r="BH113" s="7">
        <f>SUMIFS('fuels and tailpipe emissions'!$H$10:$H$126,'fuels and tailpipe emissions'!$A$10:$A$126,'vehicles specifications'!$F113,'fuels and tailpipe emissions'!$B$10:$B$126,'vehicles specifications'!BH$2)/1000*$AQ113</f>
        <v>6.7605821564568703E-6</v>
      </c>
      <c r="BI113" s="7">
        <f>SUMIFS('fuels and tailpipe emissions'!$H$10:$H$126,'fuels and tailpipe emissions'!$A$10:$A$126,'vehicles specifications'!$F113,'fuels and tailpipe emissions'!$B$10:$B$126,'vehicles specifications'!BI$2)/1000*$AQ113</f>
        <v>2.7739029840424182E-6</v>
      </c>
      <c r="BJ113" s="7">
        <f>SUMIFS('fuels and tailpipe emissions'!$H$10:$H$126,'fuels and tailpipe emissions'!$A$10:$A$126,'vehicles specifications'!$F113,'fuels and tailpipe emissions'!$B$10:$B$126,'vehicles specifications'!BJ$2)/1000*$AQ113</f>
        <v>2.0772017694457178E-6</v>
      </c>
      <c r="BK113" s="7">
        <f>SUMIFS('fuels and tailpipe emissions'!$H$10:$H$126,'fuels and tailpipe emissions'!$A$10:$A$126,'vehicles specifications'!$F113,'fuels and tailpipe emissions'!$B$10:$B$126,'vehicles specifications'!BK$2)/1000*$AQ113</f>
        <v>1.4708136752597006E-6</v>
      </c>
      <c r="BL113" s="7">
        <f>SUMIFS('fuels and tailpipe emissions'!$H$10:$H$126,'fuels and tailpipe emissions'!$A$10:$A$126,'vehicles specifications'!$F113,'fuels and tailpipe emissions'!$B$10:$B$126,'vehicles specifications'!BL$2)/1000*$AQ113</f>
        <v>9.5473870148436736E-7</v>
      </c>
      <c r="BM113" s="7">
        <f>SUMIFS('fuels and tailpipe emissions'!$H$10:$H$126,'fuels and tailpipe emissions'!$A$10:$A$126,'vehicles specifications'!$F113,'fuels and tailpipe emissions'!$B$10:$B$126,'vehicles specifications'!BM$2)/1000*$AQ113</f>
        <v>9.4183682713998361E-6</v>
      </c>
      <c r="BN113" s="7">
        <f>SUMIFS('fuels and tailpipe emissions'!$H$10:$H$126,'fuels and tailpipe emissions'!$A$10:$A$126,'vehicles specifications'!$F113,'fuels and tailpipe emissions'!$B$10:$B$126,'vehicles specifications'!BN$2)/1000*$AQ113</f>
        <v>4.928515999554436E-6</v>
      </c>
      <c r="BO113" s="7">
        <f>SUMIFS('fuels and tailpipe emissions'!$H$10:$H$126,'fuels and tailpipe emissions'!$A$10:$A$126,'vehicles specifications'!$F113,'fuels and tailpipe emissions'!$B$10:$B$126,'vehicles specifications'!BO$2)/1000*$AQ113</f>
        <v>1.4192061778821673E-7</v>
      </c>
      <c r="BP113" s="7">
        <f>SUMIFS('fuels and tailpipe emissions'!$H$10:$H$126,'fuels and tailpipe emissions'!$A$10:$A$126,'vehicles specifications'!$F113,'fuels and tailpipe emissions'!$B$10:$B$126,'vehicles specifications'!BP$2)/1000*$AQ113</f>
        <v>7.237951507199054E-6</v>
      </c>
      <c r="BQ113" s="7">
        <f>SUMIFS('fuels and tailpipe emissions'!$H$10:$H$126,'fuels and tailpipe emissions'!$A$10:$A$126,'vehicles specifications'!$F113,'fuels and tailpipe emissions'!$B$10:$B$126,'vehicles specifications'!BQ$2)/1000*$AQ113</f>
        <v>1.4166258030132906E-5</v>
      </c>
      <c r="BR113" s="7">
        <f>SUMIFS('fuels and tailpipe emissions'!$H$10:$H$126,'fuels and tailpipe emissions'!$A$10:$A$126,'vehicles specifications'!$F113,'fuels and tailpipe emissions'!$B$10:$B$126,'vehicles specifications'!BR$2)/1000*$AQ113</f>
        <v>7.0057177690001534E-6</v>
      </c>
      <c r="BS113" s="7">
        <f>SUMIFS('fuels and tailpipe emissions'!$H$10:$H$126,'fuels and tailpipe emissions'!$A$10:$A$126,'vehicles specifications'!$F113,'fuels and tailpipe emissions'!$B$10:$B$126,'vehicles specifications'!BS$2)/1000*$AQ113</f>
        <v>2.9158236018306349E-6</v>
      </c>
      <c r="BT113" s="7">
        <f>SUMIFS('fuels and tailpipe emissions'!$H$10:$H$126,'fuels and tailpipe emissions'!$A$10:$A$126,'vehicles specifications'!$F113,'fuels and tailpipe emissions'!$B$10:$B$126,'vehicles specifications'!BT$2)/1000*$AQ113</f>
        <v>2.1933186385451676E-6</v>
      </c>
      <c r="BU113" s="7">
        <f>SUMIFS('fuels and tailpipe emissions'!$H$10:$H$126,'fuels and tailpipe emissions'!$A$10:$A$126,'vehicles specifications'!$F113,'fuels and tailpipe emissions'!$B$10:$B$126,'vehicles specifications'!BU$2)/1000*$AQ113</f>
        <v>9.6764057582875035E-7</v>
      </c>
      <c r="BV113" s="7">
        <f>SUMIFS('fuels and tailpipe emissions'!$H$10:$H$126,'fuels and tailpipe emissions'!$A$10:$A$126,'vehicles specifications'!$F113,'fuels and tailpipe emissions'!$B$10:$B$126,'vehicles specifications'!BV$2)/1000*$AQ113</f>
        <v>2.8384123557643346E-7</v>
      </c>
      <c r="BW113" s="7">
        <f>SUMIFS('fuels and tailpipe emissions'!$H$10:$H$126,'fuels and tailpipe emissions'!$A$10:$A$126,'vehicles specifications'!$F113,'fuels and tailpipe emissions'!$B$10:$B$126,'vehicles specifications'!BW$2)/1000*$AQ113</f>
        <v>7.8701433500738386E-7</v>
      </c>
      <c r="BX113" s="7">
        <f>SUMIFS('fuels and tailpipe emissions'!$H$10:$H$126,'fuels and tailpipe emissions'!$A$10:$A$126,'vehicles specifications'!$F113,'fuels and tailpipe emissions'!$B$10:$B$126,'vehicles specifications'!BX$2)/1000*$AQ113</f>
        <v>6.4509371721916699E-8</v>
      </c>
      <c r="BY113" s="7">
        <f>SUMIFS('fuels and tailpipe emissions'!$H$10:$H$126,'fuels and tailpipe emissions'!$A$10:$A$126,'vehicles specifications'!$F113,'fuels and tailpipe emissions'!$B$10:$B$126,'vehicles specifications'!BY$2)/1000*$AQ113</f>
        <v>2.4513561254328344E-7</v>
      </c>
      <c r="BZ113" s="7">
        <f>SUMIFS('fuels and tailpipe emissions'!$H$10:$H$126,'fuels and tailpipe emissions'!$A$10:$A$126,'vehicles specifications'!$F113,'fuels and tailpipe emissions'!$B$10:$B$126,'vehicles specifications'!BZ$2)/1000*$AQ113</f>
        <v>1.3030893087827173E-6</v>
      </c>
      <c r="CA113" s="7">
        <f>SUMIFS('fuels and tailpipe emissions'!$H$10:$H$126,'fuels and tailpipe emissions'!$A$10:$A$126,'vehicles specifications'!$F113,'fuels and tailpipe emissions'!$B$10:$B$126,'vehicles specifications'!CA$2)/1000*$AQ113</f>
        <v>1.6158977272981469E-9</v>
      </c>
      <c r="CB113" s="7">
        <f>SUMIFS('fuels and tailpipe emissions'!$H$10:$H$126,'fuels and tailpipe emissions'!$A$10:$A$126,'vehicles specifications'!$F113,'fuels and tailpipe emissions'!$B$10:$B$126,'vehicles specifications'!CB$2)/1000*$AQ113</f>
        <v>1.3930152821535749E-11</v>
      </c>
      <c r="CC113" s="7">
        <f>SUMIFS('fuels and tailpipe emissions'!$H$10:$H$126,'fuels and tailpipe emissions'!$A$10:$A$126,'vehicles specifications'!$F113,'fuels and tailpipe emissions'!$B$10:$B$126,'vehicles specifications'!CC$2)/1000*$AQ113</f>
        <v>9.2867685476904988E-12</v>
      </c>
      <c r="CD113" s="7">
        <f>SUMIFS('fuels and tailpipe emissions'!$H$10:$H$126,'fuels and tailpipe emissions'!$A$10:$A$126,'vehicles specifications'!$F113,'fuels and tailpipe emissions'!$B$10:$B$126,'vehicles specifications'!CD$2)/1000*$AQ113</f>
        <v>1.0029710031505739E-7</v>
      </c>
      <c r="CE113" s="7">
        <f>SUMIFS('fuels and tailpipe emissions'!$H$10:$H$126,'fuels and tailpipe emissions'!$A$10:$A$126,'vehicles specifications'!$F113,'fuels and tailpipe emissions'!$B$10:$B$126,'vehicles specifications'!CE$2)/1000*$AQ113</f>
        <v>1.9502213950150047E-9</v>
      </c>
      <c r="CF113" s="7">
        <f>SUMIFS('fuels and tailpipe emissions'!$H$10:$H$126,'fuels and tailpipe emissions'!$A$10:$A$126,'vehicles specifications'!$F113,'fuels and tailpipe emissions'!$B$10:$B$126,'vehicles specifications'!CF$2)/1000*$AQ113</f>
        <v>6.0363995559988245E-10</v>
      </c>
      <c r="CG113" s="7">
        <f>SUMIFS('fuels and tailpipe emissions'!$H$10:$H$126,'fuels and tailpipe emissions'!$A$10:$A$126,'vehicles specifications'!$F113,'fuels and tailpipe emissions'!$B$10:$B$126,'vehicles specifications'!CG$2)/1000*$AQ113</f>
        <v>7.4294148381523998E-10</v>
      </c>
      <c r="CH113" s="7">
        <f>SUMIFS('fuels and tailpipe emissions'!$H$10:$H$126,'fuels and tailpipe emissions'!$A$10:$A$126,'vehicles specifications'!$F113,'fuels and tailpipe emissions'!$B$10:$B$126,'vehicles specifications'!CH$2)/1000*$AQ113</f>
        <v>1.4858829676304797E-12</v>
      </c>
      <c r="CI113" s="7">
        <f>SUMIFS('fuels and tailpipe emissions'!$H$10:$H$126,'fuels and tailpipe emissions'!$A$10:$A$126,'vehicles specifications'!$F113,'fuels and tailpipe emissions'!$B$10:$B$126,'vehicles specifications'!CI$2)/1000*$AQ113</f>
        <v>4.0397443182453672E-10</v>
      </c>
      <c r="CJ113" s="7">
        <f>SUMIFS('fuels and tailpipe emissions'!$H$10:$H$126,'fuels and tailpipe emissions'!$A$10:$A$126,'vehicles specifications'!$F113,'fuels and tailpipe emissions'!$B$10:$B$126,'vehicles specifications'!CJ$2)/1000*$AQ113</f>
        <v>5.0148550157528711E-10</v>
      </c>
      <c r="CK113" s="38">
        <f>VLOOKUP($B113,'abrasion emissions'!$O$7:$R$36,2,FALSE)</f>
        <v>0.33</v>
      </c>
      <c r="CL113" s="38">
        <f>VLOOKUP($B113,'abrasion emissions'!$O$7:$R$36,3,FALSE)</f>
        <v>0.33</v>
      </c>
      <c r="CM113" s="38">
        <f>VLOOKUP($B113,'abrasion emissions'!$O$7:$R$36,4,FALSE)</f>
        <v>0.33</v>
      </c>
      <c r="CN113" s="7">
        <f>((SUMIFS('abrasion emissions'!$M$7:$M$34,'abrasion emissions'!$I$7:$I$34,"PM 2.5",'abrasion emissions'!$J$7:$J$34,"urban",'abrasion emissions'!$K$7:$K$34,"Tyre",'abrasion emissions'!$L$7:$L$34,"b")*POWER(('vehicles specifications'!$Q113/1000),(1/SUMIFS('abrasion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specifications'!$P113/1000),(1/SUMIFS('abrasion emissions'!$M$7:$M$34,'abrasion emissions'!$I$7:$I$34,"PM 10",'abrasion emissions'!$J$7:$J$34,"urban",'abrasion emissions'!$K$7:$K$34,"Tyre",'abrasion emissions'!$L$7:$L$34,"c")))))/1000000</f>
        <v>8.4388563951081501E-6</v>
      </c>
      <c r="CO113" s="7">
        <f>((SUMIFS('abrasion emissions'!$M$7:$M$34,'abrasion emissions'!$I$7:$I$34,"PM 2.5",'abrasion emissions'!$J$7:$J$34,"rural",'abrasion emissions'!$K$7:$K$34,"Tyre",'abrasion emissions'!$L$7:$L$34,"b")*POWER(('vehicles specifications'!$Q113/1000),(1/SUMIFS('abrasion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specifications'!$P113/1000),(1/SUMIFS('abrasion emissions'!$M$7:$M$34,'abrasion emissions'!$I$7:$I$34,"PM 10",'abrasion emissions'!$J$7:$J$34,"rural",'abrasion emissions'!$K$7:$K$34,"Tyre",'abrasion emissions'!$L$7:$L$34,"c")))))/1000000</f>
        <v>6.5714362720369016E-6</v>
      </c>
      <c r="CP113" s="7">
        <f>((SUMIFS('abrasion emissions'!$M$7:$M$34,'abrasion emissions'!$I$7:$I$34,"PM 2.5",'abrasion emissions'!$J$7:$J$34,"motorway",'abrasion emissions'!$K$7:$K$34,"Tyre",'abrasion emissions'!$L$7:$L$34,"b")*POWER(('vehicles specifications'!$Q113/1000),(1/SUMIFS('abrasion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specifications'!$P113/1000),(1/SUMIFS('abrasion emissions'!$M$7:$M$34,'abrasion emissions'!$I$7:$I$34,"PM 10",'abrasion emissions'!$J$7:$J$34,"motorway",'abrasion emissions'!$K$7:$K$34,"Tyre",'abrasion emissions'!$L$7:$L$34,"c")))))/1000000</f>
        <v>5.6097935973218272E-6</v>
      </c>
      <c r="CQ113" s="7">
        <f>((SUMIFS('abrasion emissions'!$M$7:$M$34,'abrasion emissions'!$I$7:$I$34,"PM 2.5",'abrasion emissions'!$J$7:$J$34,"urban",'abrasion emissions'!$K$7:$K$34,"Brake",'abrasion emissions'!$L$7:$L$34,"b")*POWER(('vehicles specifications'!$Q113/1000),(1/SUMIFS('abrasion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specifications'!$P113/1000),(1/SUMIFS('abrasion emissions'!$M$7:$M$34,'abrasion emissions'!$I$7:$I$34,"PM 10",'abrasion emissions'!$J$7:$J$34,"urban",'abrasion emissions'!$K$7:$K$34,"Brake",'abrasion emissions'!$L$7:$L$34,"c")))))/1000000</f>
        <v>8.4114989230631296E-6</v>
      </c>
      <c r="CR113" s="7">
        <f>((SUMIFS('abrasion emissions'!$M$7:$M$34,'abrasion emissions'!$I$7:$I$34,"PM 2.5",'abrasion emissions'!$J$7:$J$34,"rural",'abrasion emissions'!$K$7:$K$34,"Brake",'abrasion emissions'!$L$7:$L$34,"b")*POWER(('vehicles specifications'!$Q113/1000),(1/SUMIFS('abrasion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specifications'!$P113/1000),(1/SUMIFS('abrasion emissions'!$M$7:$M$34,'abrasion emissions'!$I$7:$I$34,"PM 10",'abrasion emissions'!$J$7:$J$34,"rural",'abrasion emissions'!$K$7:$K$34,"Brake",'abrasion emissions'!$L$7:$L$34,"c")))))/1000000</f>
        <v>2.9744965698354089E-6</v>
      </c>
      <c r="CS113" s="7">
        <f>((SUMIFS('abrasion emissions'!$M$7:$M$34,'abrasion emissions'!$I$7:$I$34,"PM 2.5",'abrasion emissions'!$J$7:$J$34,"motorway",'abrasion emissions'!$K$7:$K$34,"Brake",'abrasion emissions'!$L$7:$L$34,"b")*POWER(('vehicles specifications'!$Q113/1000),(1/SUMIFS('abrasion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specifications'!$P113/1000),(1/SUMIFS('abrasion emissions'!$M$7:$M$34,'abrasion emissions'!$I$7:$I$34,"PM 10",'abrasion emissions'!$J$7:$J$34,"motorway",'abrasion emissions'!$K$7:$K$34,"Brake",'abrasion emissions'!$L$7:$L$34,"c")))))/1000000</f>
        <v>5.8929941575106402E-7</v>
      </c>
      <c r="CT113" s="7">
        <f>((SUMIFS('abrasion emissions'!$M$7:$M$38,'abrasion emissions'!$I$7:$I$38,"PM 2.5",'abrasion emissions'!$K$7:$K$38,"Re-susp.",'abrasion emissions'!$L$7:$L$38,"b")*POWER(('vehicles specifications'!$Q113/1000),(1/SUMIFS('abrasion emissions'!$M$7:$M$38,'abrasion emissions'!$I$7:$I$38,"PM 2.5",'abrasion emissions'!$K$7:$K$38,"Re-susp.",'abrasion emissions'!$L$7:$L$38,"c"))))+
(SUMIFS('abrasion emissions'!$M$7:$M$38,'abrasion emissions'!$I$7:$I$38,"PM 10",'abrasion emissions'!$K$7:$K$38,"Re-susp.",'abrasion emissions'!$L$7:$L$38,"b")*POWER(('vehicles specifications'!$Q113/1000),(1/SUMIFS('abrasion emissions'!$M$7:$M$38,'abrasion emissions'!$I$7:$I$38,"PM 10",'abrasion emissions'!$K$7:$K$38,"Re-susp.",'abrasion emissions'!$L$7:$L$38,"c")))))/1000000</f>
        <v>6.3242399811616169E-6</v>
      </c>
      <c r="CU113" s="7">
        <f>((SUMIFS('abrasion emissions'!$M$7:$M$38,'abrasion emissions'!$I$7:$I$38,"PM 2.5",'abrasion emissions'!$K$7:$K$38,"Road",'abrasion emissions'!$L$7:$L$38,"b")*POWER(('vehicles specifications'!$Q113/1000),(1/SUMIFS('abrasion emissions'!$M$7:$M$38,'abrasion emissions'!$I$7:$I$38,"PM 2.5",'abrasion emissions'!$K$7:$K$38,"Road",'abrasion emissions'!$L$7:$L$38,"c"))))+
(SUMIFS('abrasion emissions'!$M$7:$M$38,'abrasion emissions'!$I$7:$I$38,"PM 10",'abrasion emissions'!$K$7:$K$38,"Road",'abrasion emissions'!$L$7:$L$38,"b")*POWER(('vehicles specifications'!$Q113/1000),(1/SUMIFS('abrasion emissions'!$M$7:$M$38,'abrasion emissions'!$I$7:$I$38,"PM 10",'abrasion emissions'!$K$7:$K$38,"Road",'abrasion emissions'!$L$7:$L$38,"c")))))/1000000+CT113</f>
        <v>1.1395557468987971E-5</v>
      </c>
      <c r="CV113" s="7">
        <f>(CK113*CN113)+(CL113*CO113)+(CM113*CP113)</f>
        <v>6.8046284672740703E-6</v>
      </c>
      <c r="CW113" s="7">
        <f>(CK113*CQ113)+(CL113*CR113)+(CM113*CS113)</f>
        <v>3.9518473198543693E-6</v>
      </c>
    </row>
    <row r="114">
      <c r="A114" t="str">
        <f>B114&amp;" - "&amp;D114&amp;" - "&amp;IF(I114&lt;&gt;"",I114&amp;" - "&amp;E114,E114)</f>
        <v>Motorbike, gasoline, &gt;35kW, EURO-4 - 2016 - CH</v>
      </c>
      <c r="B114" t="inlineStr">
        <is>
          <t>Motorbike, gasoline, &gt;35kW, EURO-4</t>
        </is>
      </c>
      <c r="D114" s="18" t="n">
        <v>2016</v>
      </c>
      <c r="E114" t="inlineStr">
        <is>
          <t>CH</t>
        </is>
      </c>
      <c r="F114" t="inlineStr">
        <is>
          <t>EURO-4</t>
        </is>
      </c>
      <c r="G114" t="inlineStr">
        <is>
          <t>vkm</t>
        </is>
      </c>
      <c r="H114" t="inlineStr">
        <is>
          <t>ICEV-p</t>
        </is>
      </c>
      <c r="J114" t="n">
        <v>40500</v>
      </c>
      <c r="K114" t="n">
        <v>2896</v>
      </c>
      <c r="L114" s="2">
        <f>J114/K114</f>
        <v>13.984806629834255</v>
      </c>
      <c r="M114" t="n">
        <v>1.1</v>
      </c>
      <c r="N114" t="n">
        <v>75</v>
      </c>
      <c r="O114" t="n">
        <v>6</v>
      </c>
      <c r="P114" s="2">
        <f>SUM(U114,V114,W114,AC114,AF114,AH114)</f>
        <v>258.745</v>
      </c>
      <c r="Q114" s="2">
        <f>P114+(M114*N114)+O114</f>
        <v>347.245</v>
      </c>
      <c r="R114" t="n">
        <v>91</v>
      </c>
      <c r="S114" s="2" t="n">
        <v>111</v>
      </c>
      <c r="T114" s="1" t="n">
        <v>-0.02</v>
      </c>
      <c r="U114" s="2">
        <f>S114*(1-T114)</f>
        <v>113.22</v>
      </c>
      <c r="V114" s="2" t="n">
        <v>130</v>
      </c>
      <c r="W114" s="2" t="n">
        <v>0</v>
      </c>
      <c r="X114" s="3" t="n">
        <v>0</v>
      </c>
      <c r="Y114" s="1" t="n">
        <v>0.8</v>
      </c>
      <c r="Z114" s="3">
        <f>Y114*X114</f>
        <v>0</v>
      </c>
      <c r="AA114" s="3">
        <f>IF(I114&lt;&gt;"",X114/INDEX('energy battery'!$B$3:$D$6,MATCH('vehicles specifications'!$D114,'energy battery'!$A$3:$A$6,0),MATCH('vehicles specifications'!$I114,'energy battery'!$B$2:$D$2,0)),"")</f>
        <v/>
      </c>
      <c r="AB114" s="3">
        <f>IF(AA114&lt;&gt;"",0.3*AA114,"")</f>
        <v/>
      </c>
      <c r="AC114" s="3">
        <f>IF(AA114&lt;&gt;"",AB114+AA114,"")</f>
        <v/>
      </c>
      <c r="AD114" s="3" t="n">
        <v>0</v>
      </c>
      <c r="AE114" s="3" t="n">
        <v>18</v>
      </c>
      <c r="AF114">
        <f>AE114*'fuels and tailpipe emissions'!$B$3</f>
        <v>13.5</v>
      </c>
      <c r="AG114" s="2">
        <f>AF114*'fuels and tailpipe emissions'!$C$3</f>
        <v>159.75</v>
      </c>
      <c r="AH114" s="3">
        <f>0.15*AF114</f>
        <v>2.0249999999999999</v>
      </c>
      <c r="AI114" s="3" t="n">
        <v>0</v>
      </c>
      <c r="AJ114" s="3" t="n">
        <v>0</v>
      </c>
      <c r="AK114">
        <f>J114/25000</f>
        <v>1.62</v>
      </c>
      <c r="AL114">
        <f>0.000537/1000*Q114</f>
        <v>1.8647056500000001E-4</v>
      </c>
      <c r="AM114" t="n">
        <v>0.00129</v>
      </c>
      <c r="AN114" s="2">
        <f>U114</f>
        <v>113.22</v>
      </c>
      <c r="AO114" s="2">
        <f>SUM(V114:W114)</f>
        <v>130</v>
      </c>
      <c r="AP114" s="2">
        <f>AC114</f>
        <v/>
      </c>
      <c r="AQ114" s="6" t="n">
        <v>1.953899323152704</v>
      </c>
      <c r="AR114" s="20" t="n">
        <v>0.012</v>
      </c>
      <c r="AS114" s="6">
        <f>IF($H114="BEV",SUMPRODUCT(#REF!,#REF!),"")</f>
        <v/>
      </c>
      <c r="AT114" s="2">
        <f>SUM(Z114,AG114)/(SUM(AQ114,AS114)/3.6)</f>
        <v>294.33451006679832</v>
      </c>
      <c r="AU114" s="5">
        <f>IF($H114="ICEV-p",$AQ114/('fuels and tailpipe emissions'!$C$3*3.6)*'fuels and tailpipe emissions'!$D$3,"")*(1-AR114)</f>
        <v>0.14229157155406327</v>
      </c>
      <c r="AV114" s="5">
        <f>IF($H114="ICEV-p",$AQ114/('fuels and tailpipe emissions'!$C$3*3.6)*'fuels and tailpipe emissions'!$D$3,"")*AR114</f>
        <v>1.7282377111829548E-3</v>
      </c>
      <c r="AW114" s="7">
        <f>IF($H114="ICEV-p",$AQ114/('fuels and tailpipe emissions'!$C$3*3.6)*'fuels and tailpipe emissions'!$E$3,"")</f>
        <v>7.3385890071463054E-7</v>
      </c>
      <c r="AX114" s="7">
        <f>SUMIFS('fuels and tailpipe emissions'!$H$10:$H$126,'fuels and tailpipe emissions'!$A$10:$A$126,'vehicles specifications'!$F114,'fuels and tailpipe emissions'!$B$10:$B$126,'vehicles specifications'!AX$2)/1000*$AQ114</f>
        <v>2.5284474658107934E-6</v>
      </c>
      <c r="AY114" s="7">
        <f>SUMIFS('fuels and tailpipe emissions'!$H$10:$H$126,'fuels and tailpipe emissions'!$A$10:$A$126,'vehicles specifications'!$F114,'fuels and tailpipe emissions'!$B$10:$B$126,'vehicles specifications'!AY$2)/1000*$AQ114</f>
        <v>2.0986931709545604E-5</v>
      </c>
      <c r="AZ114" s="7">
        <f>SUMIFS('fuels and tailpipe emissions'!$H$10:$H$126,'fuels and tailpipe emissions'!$A$10:$A$126,'vehicles specifications'!$F114,'fuels and tailpipe emissions'!$B$10:$B$126,'vehicles specifications'!AZ$2)/1000*$AQ114</f>
        <v>1.8591280332931159E-4</v>
      </c>
      <c r="BA114" s="7">
        <f>SUMIFS('fuels and tailpipe emissions'!$H$10:$H$126,'fuels and tailpipe emissions'!$A$10:$A$126,'vehicles specifications'!$F114,'fuels and tailpipe emissions'!$B$10:$B$126,'vehicles specifications'!BA$2)/1000*$AQ114</f>
        <v>1.1045753531339791E-6</v>
      </c>
      <c r="BB114" s="7">
        <f>SUMIFS('fuels and tailpipe emissions'!$H$10:$H$126,'fuels and tailpipe emissions'!$A$10:$A$126,'vehicles specifications'!$F114,'fuels and tailpipe emissions'!$B$10:$B$126,'vehicles specifications'!BB$2)/1000*$AQ114</f>
        <v>1.1045753531339791E-6</v>
      </c>
      <c r="BC114" s="7">
        <f>SUMIFS('fuels and tailpipe emissions'!$H$10:$H$126,'fuels and tailpipe emissions'!$A$10:$A$126,'vehicles specifications'!$F114,'fuels and tailpipe emissions'!$B$10:$B$126,'vehicles specifications'!BC$2)/1000*$AQ114</f>
        <v>1.3774566377073175E-5</v>
      </c>
      <c r="BD114" s="7">
        <f>SUMIFS('fuels and tailpipe emissions'!$H$10:$H$126,'fuels and tailpipe emissions'!$A$10:$A$126,'vehicles specifications'!$F114,'fuels and tailpipe emissions'!$B$10:$B$126,'vehicles specifications'!BD$2)/1000*$AQ114</f>
        <v>2.7614383828349475E-6</v>
      </c>
      <c r="BE114" s="7">
        <f>SUMIFS('fuels and tailpipe emissions'!$H$10:$H$126,'fuels and tailpipe emissions'!$A$10:$A$126,'vehicles specifications'!$F114,'fuels and tailpipe emissions'!$B$10:$B$126,'vehicles specifications'!BE$2)/1000*$AQ114</f>
        <v>2.0389833039800411E-5</v>
      </c>
      <c r="BF114" s="7">
        <f>SUMIFS('fuels and tailpipe emissions'!$H$10:$H$126,'fuels and tailpipe emissions'!$A$10:$A$126,'vehicles specifications'!$F114,'fuels and tailpipe emissions'!$B$10:$B$126,'vehicles specifications'!BF$2)/1000*$AQ114</f>
        <v>1.4377446374218237E-6</v>
      </c>
      <c r="BG114" s="7">
        <f>SUMIFS('fuels and tailpipe emissions'!$H$10:$H$126,'fuels and tailpipe emissions'!$A$10:$A$126,'vehicles specifications'!$F114,'fuels and tailpipe emissions'!$B$10:$B$126,'vehicles specifications'!BG$2)/1000*$AQ114</f>
        <v>2.9295737126150013E-7</v>
      </c>
      <c r="BH114" s="7">
        <f>SUMIFS('fuels and tailpipe emissions'!$H$10:$H$126,'fuels and tailpipe emissions'!$A$10:$A$126,'vehicles specifications'!$F114,'fuels and tailpipe emissions'!$B$10:$B$126,'vehicles specifications'!BH$2)/1000*$AQ114</f>
        <v>2.3616871160157862E-6</v>
      </c>
      <c r="BI114" s="7">
        <f>SUMIFS('fuels and tailpipe emissions'!$H$10:$H$126,'fuels and tailpipe emissions'!$A$10:$A$126,'vehicles specifications'!$F114,'fuels and tailpipe emissions'!$B$10:$B$126,'vehicles specifications'!BI$2)/1000*$AQ114</f>
        <v>9.6901284340342343E-7</v>
      </c>
      <c r="BJ114" s="7">
        <f>SUMIFS('fuels and tailpipe emissions'!$H$10:$H$126,'fuels and tailpipe emissions'!$A$10:$A$126,'vehicles specifications'!$F114,'fuels and tailpipe emissions'!$B$10:$B$126,'vehicles specifications'!BJ$2)/1000*$AQ114</f>
        <v>7.2563287343233113E-7</v>
      </c>
      <c r="BK114" s="7">
        <f>SUMIFS('fuels and tailpipe emissions'!$H$10:$H$126,'fuels and tailpipe emissions'!$A$10:$A$126,'vehicles specifications'!$F114,'fuels and tailpipe emissions'!$B$10:$B$126,'vehicles specifications'!BK$2)/1000*$AQ114</f>
        <v>5.1380215882786179E-7</v>
      </c>
      <c r="BL114" s="7">
        <f>SUMIFS('fuels and tailpipe emissions'!$H$10:$H$126,'fuels and tailpipe emissions'!$A$10:$A$126,'vehicles specifications'!$F114,'fuels and tailpipe emissions'!$B$10:$B$126,'vehicles specifications'!BL$2)/1000*$AQ114</f>
        <v>3.335206995900156E-7</v>
      </c>
      <c r="BM114" s="7">
        <f>SUMIFS('fuels and tailpipe emissions'!$H$10:$H$126,'fuels and tailpipe emissions'!$A$10:$A$126,'vehicles specifications'!$F114,'fuels and tailpipe emissions'!$B$10:$B$126,'vehicles specifications'!BM$2)/1000*$AQ114</f>
        <v>3.2901366310906936E-6</v>
      </c>
      <c r="BN114" s="7">
        <f>SUMIFS('fuels and tailpipe emissions'!$H$10:$H$126,'fuels and tailpipe emissions'!$A$10:$A$126,'vehicles specifications'!$F114,'fuels and tailpipe emissions'!$B$10:$B$126,'vehicles specifications'!BN$2)/1000*$AQ114</f>
        <v>1.7216879357214317E-6</v>
      </c>
      <c r="BO114" s="7">
        <f>SUMIFS('fuels and tailpipe emissions'!$H$10:$H$126,'fuels and tailpipe emissions'!$A$10:$A$126,'vehicles specifications'!$F114,'fuels and tailpipe emissions'!$B$10:$B$126,'vehicles specifications'!BO$2)/1000*$AQ114</f>
        <v>4.9577401290407721E-8</v>
      </c>
      <c r="BP114" s="7">
        <f>SUMIFS('fuels and tailpipe emissions'!$H$10:$H$126,'fuels and tailpipe emissions'!$A$10:$A$126,'vehicles specifications'!$F114,'fuels and tailpipe emissions'!$B$10:$B$126,'vehicles specifications'!BP$2)/1000*$AQ114</f>
        <v>2.5284474658107934E-6</v>
      </c>
      <c r="BQ114" s="7">
        <f>SUMIFS('fuels and tailpipe emissions'!$H$10:$H$126,'fuels and tailpipe emissions'!$A$10:$A$126,'vehicles specifications'!$F114,'fuels and tailpipe emissions'!$B$10:$B$126,'vehicles specifications'!BQ$2)/1000*$AQ114</f>
        <v>4.9487260560788793E-6</v>
      </c>
      <c r="BR114" s="7">
        <f>SUMIFS('fuels and tailpipe emissions'!$H$10:$H$126,'fuels and tailpipe emissions'!$A$10:$A$126,'vehicles specifications'!$F114,'fuels and tailpipe emissions'!$B$10:$B$126,'vehicles specifications'!BR$2)/1000*$AQ114</f>
        <v>2.4473208091537626E-6</v>
      </c>
      <c r="BS114" s="7">
        <f>SUMIFS('fuels and tailpipe emissions'!$H$10:$H$126,'fuels and tailpipe emissions'!$A$10:$A$126,'vehicles specifications'!$F114,'fuels and tailpipe emissions'!$B$10:$B$126,'vehicles specifications'!BS$2)/1000*$AQ114</f>
        <v>1.0185902446938312E-6</v>
      </c>
      <c r="BT114" s="7">
        <f>SUMIFS('fuels and tailpipe emissions'!$H$10:$H$126,'fuels and tailpipe emissions'!$A$10:$A$126,'vehicles specifications'!$F114,'fuels and tailpipe emissions'!$B$10:$B$126,'vehicles specifications'!BT$2)/1000*$AQ114</f>
        <v>7.6619620176084655E-7</v>
      </c>
      <c r="BU114" s="7">
        <f>SUMIFS('fuels and tailpipe emissions'!$H$10:$H$126,'fuels and tailpipe emissions'!$A$10:$A$126,'vehicles specifications'!$F114,'fuels and tailpipe emissions'!$B$10:$B$126,'vehicles specifications'!BU$2)/1000*$AQ114</f>
        <v>3.3802773607096173E-7</v>
      </c>
      <c r="BV114" s="7">
        <f>SUMIFS('fuels and tailpipe emissions'!$H$10:$H$126,'fuels and tailpipe emissions'!$A$10:$A$126,'vehicles specifications'!$F114,'fuels and tailpipe emissions'!$B$10:$B$126,'vehicles specifications'!BV$2)/1000*$AQ114</f>
        <v>9.9154802580815442E-8</v>
      </c>
      <c r="BW114" s="7">
        <f>SUMIFS('fuels and tailpipe emissions'!$H$10:$H$126,'fuels and tailpipe emissions'!$A$10:$A$126,'vehicles specifications'!$F114,'fuels and tailpipe emissions'!$B$10:$B$126,'vehicles specifications'!BW$2)/1000*$AQ114</f>
        <v>2.7492922533771551E-7</v>
      </c>
      <c r="BX114" s="7">
        <f>SUMIFS('fuels and tailpipe emissions'!$H$10:$H$126,'fuels and tailpipe emissions'!$A$10:$A$126,'vehicles specifications'!$F114,'fuels and tailpipe emissions'!$B$10:$B$126,'vehicles specifications'!BX$2)/1000*$AQ114</f>
        <v>0</v>
      </c>
      <c r="BY114" s="7">
        <f>SUMIFS('fuels and tailpipe emissions'!$H$10:$H$126,'fuels and tailpipe emissions'!$A$10:$A$126,'vehicles specifications'!$F114,'fuels and tailpipe emissions'!$B$10:$B$126,'vehicles specifications'!BY$2)/1000*$AQ114</f>
        <v>8.5633693137976965E-8</v>
      </c>
      <c r="BZ114" s="7">
        <f>SUMIFS('fuels and tailpipe emissions'!$H$10:$H$126,'fuels and tailpipe emissions'!$A$10:$A$126,'vehicles specifications'!$F114,'fuels and tailpipe emissions'!$B$10:$B$126,'vehicles specifications'!BZ$2)/1000*$AQ114</f>
        <v>4.5521068457556175E-7</v>
      </c>
      <c r="CA114" s="7">
        <f>SUMIFS('fuels and tailpipe emissions'!$H$10:$H$126,'fuels and tailpipe emissions'!$A$10:$A$126,'vehicles specifications'!$F114,'fuels and tailpipe emissions'!$B$10:$B$126,'vehicles specifications'!CA$2)/1000*$AQ114</f>
        <v>1.5998987398991553E-9</v>
      </c>
      <c r="CB114" s="7">
        <f>SUMIFS('fuels and tailpipe emissions'!$H$10:$H$126,'fuels and tailpipe emissions'!$A$10:$A$126,'vehicles specifications'!$F114,'fuels and tailpipe emissions'!$B$10:$B$126,'vehicles specifications'!CB$2)/1000*$AQ114</f>
        <v>1.3792230516372029E-11</v>
      </c>
      <c r="CC114" s="7">
        <f>SUMIFS('fuels and tailpipe emissions'!$H$10:$H$126,'fuels and tailpipe emissions'!$A$10:$A$126,'vehicles specifications'!$F114,'fuels and tailpipe emissions'!$B$10:$B$126,'vehicles specifications'!CC$2)/1000*$AQ114</f>
        <v>9.1948203442480187E-12</v>
      </c>
      <c r="CD114" s="7">
        <f>SUMIFS('fuels and tailpipe emissions'!$H$10:$H$126,'fuels and tailpipe emissions'!$A$10:$A$126,'vehicles specifications'!$F114,'fuels and tailpipe emissions'!$B$10:$B$126,'vehicles specifications'!CD$2)/1000*$AQ114</f>
        <v>9.930405971787861E-8</v>
      </c>
      <c r="CE114" s="7">
        <f>SUMIFS('fuels and tailpipe emissions'!$H$10:$H$126,'fuels and tailpipe emissions'!$A$10:$A$126,'vehicles specifications'!$F114,'fuels and tailpipe emissions'!$B$10:$B$126,'vehicles specifications'!CE$2)/1000*$AQ114</f>
        <v>1.9309122722920839E-9</v>
      </c>
      <c r="CF114" s="7">
        <f>SUMIFS('fuels and tailpipe emissions'!$H$10:$H$126,'fuels and tailpipe emissions'!$A$10:$A$126,'vehicles specifications'!$F114,'fuels and tailpipe emissions'!$B$10:$B$126,'vehicles specifications'!CF$2)/1000*$AQ114</f>
        <v>5.9766332237612127E-10</v>
      </c>
      <c r="CG114" s="7">
        <f>SUMIFS('fuels and tailpipe emissions'!$H$10:$H$126,'fuels and tailpipe emissions'!$A$10:$A$126,'vehicles specifications'!$F114,'fuels and tailpipe emissions'!$B$10:$B$126,'vehicles specifications'!CG$2)/1000*$AQ114</f>
        <v>7.3558562753984162E-10</v>
      </c>
      <c r="CH114" s="7">
        <f>SUMIFS('fuels and tailpipe emissions'!$H$10:$H$126,'fuels and tailpipe emissions'!$A$10:$A$126,'vehicles specifications'!$F114,'fuels and tailpipe emissions'!$B$10:$B$126,'vehicles specifications'!CH$2)/1000*$AQ114</f>
        <v>1.4711712550796828E-12</v>
      </c>
      <c r="CI114" s="7">
        <f>SUMIFS('fuels and tailpipe emissions'!$H$10:$H$126,'fuels and tailpipe emissions'!$A$10:$A$126,'vehicles specifications'!$F114,'fuels and tailpipe emissions'!$B$10:$B$126,'vehicles specifications'!CI$2)/1000*$AQ114</f>
        <v>3.9997468497478883E-10</v>
      </c>
      <c r="CJ114" s="7">
        <f>SUMIFS('fuels and tailpipe emissions'!$H$10:$H$126,'fuels and tailpipe emissions'!$A$10:$A$126,'vehicles specifications'!$F114,'fuels and tailpipe emissions'!$B$10:$B$126,'vehicles specifications'!CJ$2)/1000*$AQ114</f>
        <v>4.9652029858939313E-10</v>
      </c>
      <c r="CK114" s="38">
        <f>VLOOKUP($B114,'abrasion emissions'!$O$7:$R$36,2,FALSE)</f>
        <v>0.33</v>
      </c>
      <c r="CL114" s="38">
        <f>VLOOKUP($B114,'abrasion emissions'!$O$7:$R$36,3,FALSE)</f>
        <v>0.33</v>
      </c>
      <c r="CM114" s="38">
        <f>VLOOKUP($B114,'abrasion emissions'!$O$7:$R$36,4,FALSE)</f>
        <v>0.33</v>
      </c>
      <c r="CN114" s="7">
        <f>((SUMIFS('abrasion emissions'!$M$7:$M$34,'abrasion emissions'!$I$7:$I$34,"PM 2.5",'abrasion emissions'!$J$7:$J$34,"urban",'abrasion emissions'!$K$7:$K$34,"Tyre",'abrasion emissions'!$L$7:$L$34,"b")*POWER(('vehicles specifications'!$Q114/1000),(1/SUMIFS('abrasion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specifications'!$P114/1000),(1/SUMIFS('abrasion emissions'!$M$7:$M$34,'abrasion emissions'!$I$7:$I$34,"PM 10",'abrasion emissions'!$J$7:$J$34,"urban",'abrasion emissions'!$K$7:$K$34,"Tyre",'abrasion emissions'!$L$7:$L$34,"c")))))/1000000</f>
        <v>8.3993636650275864E-6</v>
      </c>
      <c r="CO114" s="7">
        <f>((SUMIFS('abrasion emissions'!$M$7:$M$34,'abrasion emissions'!$I$7:$I$34,"PM 2.5",'abrasion emissions'!$J$7:$J$34,"rural",'abrasion emissions'!$K$7:$K$34,"Tyre",'abrasion emissions'!$L$7:$L$34,"b")*POWER(('vehicles specifications'!$Q114/1000),(1/SUMIFS('abrasion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specifications'!$P114/1000),(1/SUMIFS('abrasion emissions'!$M$7:$M$34,'abrasion emissions'!$I$7:$I$34,"PM 10",'abrasion emissions'!$J$7:$J$34,"rural",'abrasion emissions'!$K$7:$K$34,"Tyre",'abrasion emissions'!$L$7:$L$34,"c")))))/1000000</f>
        <v>6.5406957792196127E-6</v>
      </c>
      <c r="CP114" s="7">
        <f>((SUMIFS('abrasion emissions'!$M$7:$M$34,'abrasion emissions'!$I$7:$I$34,"PM 2.5",'abrasion emissions'!$J$7:$J$34,"motorway",'abrasion emissions'!$K$7:$K$34,"Tyre",'abrasion emissions'!$L$7:$L$34,"b")*POWER(('vehicles specifications'!$Q114/1000),(1/SUMIFS('abrasion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specifications'!$P114/1000),(1/SUMIFS('abrasion emissions'!$M$7:$M$34,'abrasion emissions'!$I$7:$I$34,"PM 10",'abrasion emissions'!$J$7:$J$34,"motorway",'abrasion emissions'!$K$7:$K$34,"Tyre",'abrasion emissions'!$L$7:$L$34,"c")))))/1000000</f>
        <v>5.5835840939120512E-6</v>
      </c>
      <c r="CQ114" s="7">
        <f>((SUMIFS('abrasion emissions'!$M$7:$M$34,'abrasion emissions'!$I$7:$I$34,"PM 2.5",'abrasion emissions'!$J$7:$J$34,"urban",'abrasion emissions'!$K$7:$K$34,"Brake",'abrasion emissions'!$L$7:$L$34,"b")*POWER(('vehicles specifications'!$Q114/1000),(1/SUMIFS('abrasion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specifications'!$P114/1000),(1/SUMIFS('abrasion emissions'!$M$7:$M$34,'abrasion emissions'!$I$7:$I$34,"PM 10",'abrasion emissions'!$J$7:$J$34,"urban",'abrasion emissions'!$K$7:$K$34,"Brake",'abrasion emissions'!$L$7:$L$34,"c")))))/1000000</f>
        <v>8.3658294723897611E-6</v>
      </c>
      <c r="CR114" s="7">
        <f>((SUMIFS('abrasion emissions'!$M$7:$M$34,'abrasion emissions'!$I$7:$I$34,"PM 2.5",'abrasion emissions'!$J$7:$J$34,"rural",'abrasion emissions'!$K$7:$K$34,"Brake",'abrasion emissions'!$L$7:$L$34,"b")*POWER(('vehicles specifications'!$Q114/1000),(1/SUMIFS('abrasion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specifications'!$P114/1000),(1/SUMIFS('abrasion emissions'!$M$7:$M$34,'abrasion emissions'!$I$7:$I$34,"PM 10",'abrasion emissions'!$J$7:$J$34,"rural",'abrasion emissions'!$K$7:$K$34,"Brake",'abrasion emissions'!$L$7:$L$34,"c")))))/1000000</f>
        <v>2.9540485585320965E-6</v>
      </c>
      <c r="CS114" s="7">
        <f>((SUMIFS('abrasion emissions'!$M$7:$M$34,'abrasion emissions'!$I$7:$I$34,"PM 2.5",'abrasion emissions'!$J$7:$J$34,"motorway",'abrasion emissions'!$K$7:$K$34,"Brake",'abrasion emissions'!$L$7:$L$34,"b")*POWER(('vehicles specifications'!$Q114/1000),(1/SUMIFS('abrasion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specifications'!$P114/1000),(1/SUMIFS('abrasion emissions'!$M$7:$M$34,'abrasion emissions'!$I$7:$I$34,"PM 10",'abrasion emissions'!$J$7:$J$34,"motorway",'abrasion emissions'!$K$7:$K$34,"Brake",'abrasion emissions'!$L$7:$L$34,"c")))))/1000000</f>
        <v>5.8463563211009624E-7</v>
      </c>
      <c r="CT114" s="7">
        <f>((SUMIFS('abrasion emissions'!$M$7:$M$38,'abrasion emissions'!$I$7:$I$38,"PM 2.5",'abrasion emissions'!$K$7:$K$38,"Re-susp.",'abrasion emissions'!$L$7:$L$38,"b")*POWER(('vehicles specifications'!$Q114/1000),(1/SUMIFS('abrasion emissions'!$M$7:$M$38,'abrasion emissions'!$I$7:$I$38,"PM 2.5",'abrasion emissions'!$K$7:$K$38,"Re-susp.",'abrasion emissions'!$L$7:$L$38,"c"))))+
(SUMIFS('abrasion emissions'!$M$7:$M$38,'abrasion emissions'!$I$7:$I$38,"PM 10",'abrasion emissions'!$K$7:$K$38,"Re-susp.",'abrasion emissions'!$L$7:$L$38,"b")*POWER(('vehicles specifications'!$Q114/1000),(1/SUMIFS('abrasion emissions'!$M$7:$M$38,'abrasion emissions'!$I$7:$I$38,"PM 10",'abrasion emissions'!$K$7:$K$38,"Re-susp.",'abrasion emissions'!$L$7:$L$38,"c")))))/1000000</f>
        <v>6.2696054692683277E-6</v>
      </c>
      <c r="CU114" s="7">
        <f>((SUMIFS('abrasion emissions'!$M$7:$M$38,'abrasion emissions'!$I$7:$I$38,"PM 2.5",'abrasion emissions'!$K$7:$K$38,"Road",'abrasion emissions'!$L$7:$L$38,"b")*POWER(('vehicles specifications'!$Q114/1000),(1/SUMIFS('abrasion emissions'!$M$7:$M$38,'abrasion emissions'!$I$7:$I$38,"PM 2.5",'abrasion emissions'!$K$7:$K$38,"Road",'abrasion emissions'!$L$7:$L$38,"c"))))+
(SUMIFS('abrasion emissions'!$M$7:$M$38,'abrasion emissions'!$I$7:$I$38,"PM 10",'abrasion emissions'!$K$7:$K$38,"Road",'abrasion emissions'!$L$7:$L$38,"b")*POWER(('vehicles specifications'!$Q114/1000),(1/SUMIFS('abrasion emissions'!$M$7:$M$38,'abrasion emissions'!$I$7:$I$38,"PM 10",'abrasion emissions'!$K$7:$K$38,"Road",'abrasion emissions'!$L$7:$L$38,"c")))))/1000000+CT114</f>
        <v>1.1308758017520681E-5</v>
      </c>
      <c r="CV114" s="7">
        <f>(CK114*CN114)+(CL114*CO114)+(CM114*CP114)</f>
        <v>6.7728023675925525E-6</v>
      </c>
      <c r="CW114" s="7">
        <f>(CK114*CQ114)+(CL114*CR114)+(CM114*CS114)</f>
        <v>3.9284895088005455E-6</v>
      </c>
    </row>
    <row r="115">
      <c r="A115" t="str">
        <f>B115&amp;" - "&amp;D115&amp;" - "&amp;IF(I115&lt;&gt;"",I115&amp;" - "&amp;E115,E115)</f>
        <v>Motorbike, gasoline, &gt;35kW, EURO-5 - 2020 - CH</v>
      </c>
      <c r="B115" t="inlineStr">
        <is>
          <t>Motorbike, gasoline, &gt;35kW, EURO-5</t>
        </is>
      </c>
      <c r="D115" s="18" t="n">
        <v>2020</v>
      </c>
      <c r="E115" t="inlineStr">
        <is>
          <t>CH</t>
        </is>
      </c>
      <c r="F115" t="inlineStr">
        <is>
          <t>EURO-5</t>
        </is>
      </c>
      <c r="G115" t="inlineStr">
        <is>
          <t>vkm</t>
        </is>
      </c>
      <c r="H115" t="inlineStr">
        <is>
          <t>ICEV-p</t>
        </is>
      </c>
      <c r="J115" t="n">
        <v>40500</v>
      </c>
      <c r="K115" t="n">
        <v>2896</v>
      </c>
      <c r="L115" s="2">
        <f>J115/K115</f>
        <v>13.984806629834255</v>
      </c>
      <c r="M115" t="n">
        <v>1.1</v>
      </c>
      <c r="N115" t="n">
        <v>75</v>
      </c>
      <c r="O115" t="n">
        <v>6</v>
      </c>
      <c r="P115" s="2">
        <f>SUM(U115,V115,W115,AC115,AF115,AH115)</f>
        <v>256.52499999999998</v>
      </c>
      <c r="Q115" s="2">
        <f>P115+(M115*N115)+O115</f>
        <v>345.02499999999998</v>
      </c>
      <c r="R115" t="n">
        <v>91</v>
      </c>
      <c r="S115" s="2" t="n">
        <v>111</v>
      </c>
      <c r="T115" s="1" t="n">
        <v>0</v>
      </c>
      <c r="U115" s="2">
        <f>S115*(1-T115)</f>
        <v>111</v>
      </c>
      <c r="V115" s="2" t="n">
        <v>130</v>
      </c>
      <c r="W115" s="2" t="n">
        <v>0</v>
      </c>
      <c r="X115" s="3" t="n">
        <v>0</v>
      </c>
      <c r="Y115" s="1" t="n">
        <v>0.8</v>
      </c>
      <c r="Z115" s="3">
        <f>Y115*X115</f>
        <v>0</v>
      </c>
      <c r="AA115" s="3">
        <f>IF(I115&lt;&gt;"",X115/INDEX('energy battery'!$B$3:$D$6,MATCH('vehicles specifications'!$D115,'energy battery'!$A$3:$A$6,0),MATCH('vehicles specifications'!$I115,'energy battery'!$B$2:$D$2,0)),"")</f>
        <v/>
      </c>
      <c r="AB115" s="3">
        <f>IF(AA115&lt;&gt;"",0.3*AA115,"")</f>
        <v/>
      </c>
      <c r="AC115" s="3">
        <f>IF(AA115&lt;&gt;"",AB115+AA115,"")</f>
        <v/>
      </c>
      <c r="AD115" s="3" t="n">
        <v>0</v>
      </c>
      <c r="AE115" s="3" t="n">
        <v>18</v>
      </c>
      <c r="AF115">
        <f>AE115*'fuels and tailpipe emissions'!$B$3</f>
        <v>13.5</v>
      </c>
      <c r="AG115" s="2">
        <f>AF115*'fuels and tailpipe emissions'!$C$3</f>
        <v>159.75</v>
      </c>
      <c r="AH115" s="3">
        <f>0.15*AF115</f>
        <v>2.0249999999999999</v>
      </c>
      <c r="AI115" s="3" t="n">
        <v>0</v>
      </c>
      <c r="AJ115" s="3" t="n">
        <v>0</v>
      </c>
      <c r="AK115">
        <f>J115/25000</f>
        <v>1.62</v>
      </c>
      <c r="AL115">
        <f>0.000537/1000*Q115</f>
        <v>1.8527842499999999E-4</v>
      </c>
      <c r="AM115" t="n">
        <v>0.00129</v>
      </c>
      <c r="AN115" s="2">
        <f>U115</f>
        <v>111</v>
      </c>
      <c r="AO115" s="2">
        <f>SUM(V115:W115)</f>
        <v>130</v>
      </c>
      <c r="AP115" s="2">
        <f>AC115</f>
        <v/>
      </c>
      <c r="AQ115" s="6" t="n">
        <v>1.934360329921177</v>
      </c>
      <c r="AR115" s="20" t="n">
        <v>0.012</v>
      </c>
      <c r="AS115" s="6">
        <f>IF($H115="BEV",SUMPRODUCT(#REF!,#REF!),"")</f>
        <v/>
      </c>
      <c r="AT115" s="2">
        <f>SUM(Z115,AG115)/(SUM(AQ115,AS115)/3.6)</f>
        <v>297.30758592605895</v>
      </c>
      <c r="AU115" s="5">
        <f>IF($H115="ICEV-p",$AQ115/('fuels and tailpipe emissions'!$C$3*3.6)*'fuels and tailpipe emissions'!$D$3,"")*(1-AR115)</f>
        <v>0.14086865583852268</v>
      </c>
      <c r="AV115" s="5">
        <f>IF($H115="ICEV-p",$AQ115/('fuels and tailpipe emissions'!$C$3*3.6)*'fuels and tailpipe emissions'!$D$3,"")*AR115</f>
        <v>1.7109553340711255E-3</v>
      </c>
      <c r="AW115" s="7">
        <f>IF($H115="ICEV-p",$AQ115/('fuels and tailpipe emissions'!$C$3*3.6)*'fuels and tailpipe emissions'!$E$3,"")</f>
        <v>7.265203117074842E-7</v>
      </c>
      <c r="AX115" s="7">
        <f>SUMIFS('fuels and tailpipe emissions'!$H$10:$H$126,'fuels and tailpipe emissions'!$A$10:$A$126,'vehicles specifications'!$F115,'fuels and tailpipe emissions'!$B$10:$B$126,'vehicles specifications'!AX$2)/1000*$AQ115</f>
        <v>1.4740138315818797E-6</v>
      </c>
      <c r="AY115" s="7">
        <f>SUMIFS('fuels and tailpipe emissions'!$H$10:$H$126,'fuels and tailpipe emissions'!$A$10:$A$126,'vehicles specifications'!$F115,'fuels and tailpipe emissions'!$B$10:$B$126,'vehicles specifications'!AY$2)/1000*$AQ115</f>
        <v>2.0777062392450149E-5</v>
      </c>
      <c r="AZ115" s="7">
        <f>SUMIFS('fuels and tailpipe emissions'!$H$10:$H$126,'fuels and tailpipe emissions'!$A$10:$A$126,'vehicles specifications'!$F115,'fuels and tailpipe emissions'!$B$10:$B$126,'vehicles specifications'!AZ$2)/1000*$AQ115</f>
        <v>1.6143029994865083E-4</v>
      </c>
      <c r="BA115" s="7">
        <f>SUMIFS('fuels and tailpipe emissions'!$H$10:$H$126,'fuels and tailpipe emissions'!$A$10:$A$126,'vehicles specifications'!$F115,'fuels and tailpipe emissions'!$B$10:$B$126,'vehicles specifications'!BA$2)/1000*$AQ115</f>
        <v>1.0935295996026393E-6</v>
      </c>
      <c r="BB115" s="7">
        <f>SUMIFS('fuels and tailpipe emissions'!$H$10:$H$126,'fuels and tailpipe emissions'!$A$10:$A$126,'vehicles specifications'!$F115,'fuels and tailpipe emissions'!$B$10:$B$126,'vehicles specifications'!BB$2)/1000*$AQ115</f>
        <v>1.0935295996026393E-6</v>
      </c>
      <c r="BC115" s="7">
        <f>SUMIFS('fuels and tailpipe emissions'!$H$10:$H$126,'fuels and tailpipe emissions'!$A$10:$A$126,'vehicles specifications'!$F115,'fuels and tailpipe emissions'!$B$10:$B$126,'vehicles specifications'!BC$2)/1000*$AQ115</f>
        <v>9.2040080028458703E-6</v>
      </c>
      <c r="BD115" s="7">
        <f>SUMIFS('fuels and tailpipe emissions'!$H$10:$H$126,'fuels and tailpipe emissions'!$A$10:$A$126,'vehicles specifications'!$F115,'fuels and tailpipe emissions'!$B$10:$B$126,'vehicles specifications'!BD$2)/1000*$AQ115</f>
        <v>2.7338239990065983E-6</v>
      </c>
      <c r="BE115" s="7">
        <f>SUMIFS('fuels and tailpipe emissions'!$H$10:$H$126,'fuels and tailpipe emissions'!$A$10:$A$126,'vehicles specifications'!$F115,'fuels and tailpipe emissions'!$B$10:$B$126,'vehicles specifications'!BE$2)/1000*$AQ115</f>
        <v>1.18866997755373E-5</v>
      </c>
      <c r="BF115" s="7">
        <f>SUMIFS('fuels and tailpipe emissions'!$H$10:$H$126,'fuels and tailpipe emissions'!$A$10:$A$126,'vehicles specifications'!$F115,'fuels and tailpipe emissions'!$B$10:$B$126,'vehicles specifications'!BF$2)/1000*$AQ115</f>
        <v>8.381647277622453E-7</v>
      </c>
      <c r="BG115" s="7">
        <f>SUMIFS('fuels and tailpipe emissions'!$H$10:$H$126,'fuels and tailpipe emissions'!$A$10:$A$126,'vehicles specifications'!$F115,'fuels and tailpipe emissions'!$B$10:$B$126,'vehicles specifications'!BG$2)/1000*$AQ115</f>
        <v>1.7078591631519106E-7</v>
      </c>
      <c r="BH115" s="7">
        <f>SUMIFS('fuels and tailpipe emissions'!$H$10:$H$126,'fuels and tailpipe emissions'!$A$10:$A$126,'vehicles specifications'!$F115,'fuels and tailpipe emissions'!$B$10:$B$126,'vehicles specifications'!BH$2)/1000*$AQ115</f>
        <v>1.3767972330640017E-6</v>
      </c>
      <c r="BI115" s="7">
        <f>SUMIFS('fuels and tailpipe emissions'!$H$10:$H$126,'fuels and tailpipe emissions'!$A$10:$A$126,'vehicles specifications'!$F115,'fuels and tailpipe emissions'!$B$10:$B$126,'vehicles specifications'!BI$2)/1000*$AQ115</f>
        <v>5.6490726165793968E-7</v>
      </c>
      <c r="BJ115" s="7">
        <f>SUMIFS('fuels and tailpipe emissions'!$H$10:$H$126,'fuels and tailpipe emissions'!$A$10:$A$126,'vehicles specifications'!$F115,'fuels and tailpipe emissions'!$B$10:$B$126,'vehicles specifications'!BJ$2)/1000*$AQ115</f>
        <v>4.2302357733455016E-7</v>
      </c>
      <c r="BK115" s="7">
        <f>SUMIFS('fuels and tailpipe emissions'!$H$10:$H$126,'fuels and tailpipe emissions'!$A$10:$A$126,'vehicles specifications'!$F115,'fuels and tailpipe emissions'!$B$10:$B$126,'vehicles specifications'!BK$2)/1000*$AQ115</f>
        <v>2.9953222246048898E-7</v>
      </c>
      <c r="BL115" s="7">
        <f>SUMIFS('fuels and tailpipe emissions'!$H$10:$H$126,'fuels and tailpipe emissions'!$A$10:$A$126,'vehicles specifications'!$F115,'fuels and tailpipe emissions'!$B$10:$B$126,'vehicles specifications'!BL$2)/1000*$AQ115</f>
        <v>1.9443319703575599E-7</v>
      </c>
      <c r="BM115" s="7">
        <f>SUMIFS('fuels and tailpipe emissions'!$H$10:$H$126,'fuels and tailpipe emissions'!$A$10:$A$126,'vehicles specifications'!$F115,'fuels and tailpipe emissions'!$B$10:$B$126,'vehicles specifications'!BM$2)/1000*$AQ115</f>
        <v>1.9180572140013763E-6</v>
      </c>
      <c r="BN115" s="7">
        <f>SUMIFS('fuels and tailpipe emissions'!$H$10:$H$126,'fuels and tailpipe emissions'!$A$10:$A$126,'vehicles specifications'!$F115,'fuels and tailpipe emissions'!$B$10:$B$126,'vehicles specifications'!BN$2)/1000*$AQ115</f>
        <v>1.0036956928061999E-6</v>
      </c>
      <c r="BO115" s="7">
        <f>SUMIFS('fuels and tailpipe emissions'!$H$10:$H$126,'fuels and tailpipe emissions'!$A$10:$A$126,'vehicles specifications'!$F115,'fuels and tailpipe emissions'!$B$10:$B$126,'vehicles specifications'!BO$2)/1000*$AQ115</f>
        <v>2.8902231991801569E-8</v>
      </c>
      <c r="BP115" s="7">
        <f>SUMIFS('fuels and tailpipe emissions'!$H$10:$H$126,'fuels and tailpipe emissions'!$A$10:$A$126,'vehicles specifications'!$F115,'fuels and tailpipe emissions'!$B$10:$B$126,'vehicles specifications'!BP$2)/1000*$AQ115</f>
        <v>1.4740138315818797E-6</v>
      </c>
      <c r="BQ115" s="7">
        <f>SUMIFS('fuels and tailpipe emissions'!$H$10:$H$126,'fuels and tailpipe emissions'!$A$10:$A$126,'vehicles specifications'!$F115,'fuels and tailpipe emissions'!$B$10:$B$126,'vehicles specifications'!BQ$2)/1000*$AQ115</f>
        <v>2.8849682479089193E-6</v>
      </c>
      <c r="BR115" s="7">
        <f>SUMIFS('fuels and tailpipe emissions'!$H$10:$H$126,'fuels and tailpipe emissions'!$A$10:$A$126,'vehicles specifications'!$F115,'fuels and tailpipe emissions'!$B$10:$B$126,'vehicles specifications'!BR$2)/1000*$AQ115</f>
        <v>1.42671927014075E-6</v>
      </c>
      <c r="BS115" s="7">
        <f>SUMIFS('fuels and tailpipe emissions'!$H$10:$H$126,'fuels and tailpipe emissions'!$A$10:$A$126,'vehicles specifications'!$F115,'fuels and tailpipe emissions'!$B$10:$B$126,'vehicles specifications'!BS$2)/1000*$AQ115</f>
        <v>5.9380949364974125E-7</v>
      </c>
      <c r="BT115" s="7">
        <f>SUMIFS('fuels and tailpipe emissions'!$H$10:$H$126,'fuels and tailpipe emissions'!$A$10:$A$126,'vehicles specifications'!$F115,'fuels and tailpipe emissions'!$B$10:$B$126,'vehicles specifications'!BT$2)/1000*$AQ115</f>
        <v>4.4667085805511511E-7</v>
      </c>
      <c r="BU115" s="7">
        <f>SUMIFS('fuels and tailpipe emissions'!$H$10:$H$126,'fuels and tailpipe emissions'!$A$10:$A$126,'vehicles specifications'!$F115,'fuels and tailpipe emissions'!$B$10:$B$126,'vehicles specifications'!BU$2)/1000*$AQ115</f>
        <v>1.970606726713743E-7</v>
      </c>
      <c r="BV115" s="7">
        <f>SUMIFS('fuels and tailpipe emissions'!$H$10:$H$126,'fuels and tailpipe emissions'!$A$10:$A$126,'vehicles specifications'!$F115,'fuels and tailpipe emissions'!$B$10:$B$126,'vehicles specifications'!BV$2)/1000*$AQ115</f>
        <v>5.7804463983603138E-8</v>
      </c>
      <c r="BW115" s="7">
        <f>SUMIFS('fuels and tailpipe emissions'!$H$10:$H$126,'fuels and tailpipe emissions'!$A$10:$A$126,'vehicles specifications'!$F115,'fuels and tailpipe emissions'!$B$10:$B$126,'vehicles specifications'!BW$2)/1000*$AQ115</f>
        <v>1.6027601377271776E-7</v>
      </c>
      <c r="BX115" s="7">
        <f>SUMIFS('fuels and tailpipe emissions'!$H$10:$H$126,'fuels and tailpipe emissions'!$A$10:$A$126,'vehicles specifications'!$F115,'fuels and tailpipe emissions'!$B$10:$B$126,'vehicles specifications'!BX$2)/1000*$AQ115</f>
        <v>0</v>
      </c>
      <c r="BY115" s="7">
        <f>SUMIFS('fuels and tailpipe emissions'!$H$10:$H$126,'fuels and tailpipe emissions'!$A$10:$A$126,'vehicles specifications'!$F115,'fuels and tailpipe emissions'!$B$10:$B$126,'vehicles specifications'!BY$2)/1000*$AQ115</f>
        <v>4.992203707674815E-8</v>
      </c>
      <c r="BZ115" s="7">
        <f>SUMIFS('fuels and tailpipe emissions'!$H$10:$H$126,'fuels and tailpipe emissions'!$A$10:$A$126,'vehicles specifications'!$F115,'fuels and tailpipe emissions'!$B$10:$B$126,'vehicles specifications'!BZ$2)/1000*$AQ115</f>
        <v>2.6537503919745075E-7</v>
      </c>
      <c r="CA115" s="7">
        <f>SUMIFS('fuels and tailpipe emissions'!$H$10:$H$126,'fuels and tailpipe emissions'!$A$10:$A$126,'vehicles specifications'!$F115,'fuels and tailpipe emissions'!$B$10:$B$126,'vehicles specifications'!CA$2)/1000*$AQ115</f>
        <v>1.5838997525001637E-9</v>
      </c>
      <c r="CB115" s="7">
        <f>SUMIFS('fuels and tailpipe emissions'!$H$10:$H$126,'fuels and tailpipe emissions'!$A$10:$A$126,'vehicles specifications'!$F115,'fuels and tailpipe emissions'!$B$10:$B$126,'vehicles specifications'!CB$2)/1000*$AQ115</f>
        <v>1.3654308211208309E-11</v>
      </c>
      <c r="CC115" s="7">
        <f>SUMIFS('fuels and tailpipe emissions'!$H$10:$H$126,'fuels and tailpipe emissions'!$A$10:$A$126,'vehicles specifications'!$F115,'fuels and tailpipe emissions'!$B$10:$B$126,'vehicles specifications'!CC$2)/1000*$AQ115</f>
        <v>9.1028721408055385E-12</v>
      </c>
      <c r="CD115" s="7">
        <f>SUMIFS('fuels and tailpipe emissions'!$H$10:$H$126,'fuels and tailpipe emissions'!$A$10:$A$126,'vehicles specifications'!$F115,'fuels and tailpipe emissions'!$B$10:$B$126,'vehicles specifications'!CD$2)/1000*$AQ115</f>
        <v>9.8311019120699828E-8</v>
      </c>
      <c r="CE115" s="7">
        <f>SUMIFS('fuels and tailpipe emissions'!$H$10:$H$126,'fuels and tailpipe emissions'!$A$10:$A$126,'vehicles specifications'!$F115,'fuels and tailpipe emissions'!$B$10:$B$126,'vehicles specifications'!CE$2)/1000*$AQ115</f>
        <v>1.911603149569163E-9</v>
      </c>
      <c r="CF115" s="7">
        <f>SUMIFS('fuels and tailpipe emissions'!$H$10:$H$126,'fuels and tailpipe emissions'!$A$10:$A$126,'vehicles specifications'!$F115,'fuels and tailpipe emissions'!$B$10:$B$126,'vehicles specifications'!CF$2)/1000*$AQ115</f>
        <v>5.9168668915236E-10</v>
      </c>
      <c r="CG115" s="7">
        <f>SUMIFS('fuels and tailpipe emissions'!$H$10:$H$126,'fuels and tailpipe emissions'!$A$10:$A$126,'vehicles specifications'!$F115,'fuels and tailpipe emissions'!$B$10:$B$126,'vehicles specifications'!CG$2)/1000*$AQ115</f>
        <v>7.2822977126444316E-10</v>
      </c>
      <c r="CH115" s="7">
        <f>SUMIFS('fuels and tailpipe emissions'!$H$10:$H$126,'fuels and tailpipe emissions'!$A$10:$A$126,'vehicles specifications'!$F115,'fuels and tailpipe emissions'!$B$10:$B$126,'vehicles specifications'!CH$2)/1000*$AQ115</f>
        <v>1.4564595425288861E-12</v>
      </c>
      <c r="CI115" s="7">
        <f>SUMIFS('fuels and tailpipe emissions'!$H$10:$H$126,'fuels and tailpipe emissions'!$A$10:$A$126,'vehicles specifications'!$F115,'fuels and tailpipe emissions'!$B$10:$B$126,'vehicles specifications'!CI$2)/1000*$AQ115</f>
        <v>3.9597493812504094E-10</v>
      </c>
      <c r="CJ115" s="7">
        <f>SUMIFS('fuels and tailpipe emissions'!$H$10:$H$126,'fuels and tailpipe emissions'!$A$10:$A$126,'vehicles specifications'!$F115,'fuels and tailpipe emissions'!$B$10:$B$126,'vehicles specifications'!CJ$2)/1000*$AQ115</f>
        <v>4.9155509560349916E-10</v>
      </c>
      <c r="CK115" s="38">
        <f>VLOOKUP($B115,'abrasion emissions'!$O$7:$R$36,2,FALSE)</f>
        <v>0.33</v>
      </c>
      <c r="CL115" s="38">
        <f>VLOOKUP($B115,'abrasion emissions'!$O$7:$R$36,3,FALSE)</f>
        <v>0.33</v>
      </c>
      <c r="CM115" s="38">
        <f>VLOOKUP($B115,'abrasion emissions'!$O$7:$R$36,4,FALSE)</f>
        <v>0.33</v>
      </c>
      <c r="CN115" s="7">
        <f>((SUMIFS('abrasion emissions'!$M$7:$M$34,'abrasion emissions'!$I$7:$I$34,"PM 2.5",'abrasion emissions'!$J$7:$J$34,"urban",'abrasion emissions'!$K$7:$K$34,"Tyre",'abrasion emissions'!$L$7:$L$34,"b")*POWER(('vehicles specifications'!$Q115/1000),(1/SUMIFS('abrasion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specifications'!$P115/1000),(1/SUMIFS('abrasion emissions'!$M$7:$M$34,'abrasion emissions'!$I$7:$I$34,"PM 10",'abrasion emissions'!$J$7:$J$34,"urban",'abrasion emissions'!$K$7:$K$34,"Tyre",'abrasion emissions'!$L$7:$L$34,"c")))))/1000000</f>
        <v>8.3728975795597335E-6</v>
      </c>
      <c r="CO115" s="7">
        <f>((SUMIFS('abrasion emissions'!$M$7:$M$34,'abrasion emissions'!$I$7:$I$34,"PM 2.5",'abrasion emissions'!$J$7:$J$34,"rural",'abrasion emissions'!$K$7:$K$34,"Tyre",'abrasion emissions'!$L$7:$L$34,"b")*POWER(('vehicles specifications'!$Q115/1000),(1/SUMIFS('abrasion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specifications'!$P115/1000),(1/SUMIFS('abrasion emissions'!$M$7:$M$34,'abrasion emissions'!$I$7:$I$34,"PM 10",'abrasion emissions'!$J$7:$J$34,"rural",'abrasion emissions'!$K$7:$K$34,"Tyre",'abrasion emissions'!$L$7:$L$34,"c")))))/1000000</f>
        <v>6.5200950595079898E-6</v>
      </c>
      <c r="CP115" s="7">
        <f>((SUMIFS('abrasion emissions'!$M$7:$M$34,'abrasion emissions'!$I$7:$I$34,"PM 2.5",'abrasion emissions'!$J$7:$J$34,"motorway",'abrasion emissions'!$K$7:$K$34,"Tyre",'abrasion emissions'!$L$7:$L$34,"b")*POWER(('vehicles specifications'!$Q115/1000),(1/SUMIFS('abrasion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specifications'!$P115/1000),(1/SUMIFS('abrasion emissions'!$M$7:$M$34,'abrasion emissions'!$I$7:$I$34,"PM 10",'abrasion emissions'!$J$7:$J$34,"motorway",'abrasion emissions'!$K$7:$K$34,"Tyre",'abrasion emissions'!$L$7:$L$34,"c")))))/1000000</f>
        <v>5.5660199310237594E-6</v>
      </c>
      <c r="CQ115" s="7">
        <f>((SUMIFS('abrasion emissions'!$M$7:$M$34,'abrasion emissions'!$I$7:$I$34,"PM 2.5",'abrasion emissions'!$J$7:$J$34,"urban",'abrasion emissions'!$K$7:$K$34,"Brake",'abrasion emissions'!$L$7:$L$34,"b")*POWER(('vehicles specifications'!$Q115/1000),(1/SUMIFS('abrasion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specifications'!$P115/1000),(1/SUMIFS('abrasion emissions'!$M$7:$M$34,'abrasion emissions'!$I$7:$I$34,"PM 10",'abrasion emissions'!$J$7:$J$34,"urban",'abrasion emissions'!$K$7:$K$34,"Brake",'abrasion emissions'!$L$7:$L$34,"c")))))/1000000</f>
        <v>8.335255798831221E-6</v>
      </c>
      <c r="CR115" s="7">
        <f>((SUMIFS('abrasion emissions'!$M$7:$M$34,'abrasion emissions'!$I$7:$I$34,"PM 2.5",'abrasion emissions'!$J$7:$J$34,"rural",'abrasion emissions'!$K$7:$K$34,"Brake",'abrasion emissions'!$L$7:$L$34,"b")*POWER(('vehicles specifications'!$Q115/1000),(1/SUMIFS('abrasion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specifications'!$P115/1000),(1/SUMIFS('abrasion emissions'!$M$7:$M$34,'abrasion emissions'!$I$7:$I$34,"PM 10",'abrasion emissions'!$J$7:$J$34,"rural",'abrasion emissions'!$K$7:$K$34,"Brake",'abrasion emissions'!$L$7:$L$34,"c")))))/1000000</f>
        <v>2.9403764280959344E-6</v>
      </c>
      <c r="CS115" s="7">
        <f>((SUMIFS('abrasion emissions'!$M$7:$M$34,'abrasion emissions'!$I$7:$I$34,"PM 2.5",'abrasion emissions'!$J$7:$J$34,"motorway",'abrasion emissions'!$K$7:$K$34,"Brake",'abrasion emissions'!$L$7:$L$34,"b")*POWER(('vehicles specifications'!$Q115/1000),(1/SUMIFS('abrasion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specifications'!$P115/1000),(1/SUMIFS('abrasion emissions'!$M$7:$M$34,'abrasion emissions'!$I$7:$I$34,"PM 10",'abrasion emissions'!$J$7:$J$34,"motorway",'abrasion emissions'!$K$7:$K$34,"Brake",'abrasion emissions'!$L$7:$L$34,"c")))))/1000000</f>
        <v>5.8152012269883543E-7</v>
      </c>
      <c r="CT115" s="7">
        <f>((SUMIFS('abrasion emissions'!$M$7:$M$38,'abrasion emissions'!$I$7:$I$38,"PM 2.5",'abrasion emissions'!$K$7:$K$38,"Re-susp.",'abrasion emissions'!$L$7:$L$38,"b")*POWER(('vehicles specifications'!$Q115/1000),(1/SUMIFS('abrasion emissions'!$M$7:$M$38,'abrasion emissions'!$I$7:$I$38,"PM 2.5",'abrasion emissions'!$K$7:$K$38,"Re-susp.",'abrasion emissions'!$L$7:$L$38,"c"))))+
(SUMIFS('abrasion emissions'!$M$7:$M$38,'abrasion emissions'!$I$7:$I$38,"PM 10",'abrasion emissions'!$K$7:$K$38,"Re-susp.",'abrasion emissions'!$L$7:$L$38,"b")*POWER(('vehicles specifications'!$Q115/1000),(1/SUMIFS('abrasion emissions'!$M$7:$M$38,'abrasion emissions'!$I$7:$I$38,"PM 10",'abrasion emissions'!$K$7:$K$38,"Re-susp.",'abrasion emissions'!$L$7:$L$38,"c")))))/1000000</f>
        <v>6.233156019018277E-6</v>
      </c>
      <c r="CU115" s="7">
        <f>((SUMIFS('abrasion emissions'!$M$7:$M$38,'abrasion emissions'!$I$7:$I$38,"PM 2.5",'abrasion emissions'!$K$7:$K$38,"Road",'abrasion emissions'!$L$7:$L$38,"b")*POWER(('vehicles specifications'!$Q115/1000),(1/SUMIFS('abrasion emissions'!$M$7:$M$38,'abrasion emissions'!$I$7:$I$38,"PM 2.5",'abrasion emissions'!$K$7:$K$38,"Road",'abrasion emissions'!$L$7:$L$38,"c"))))+
(SUMIFS('abrasion emissions'!$M$7:$M$38,'abrasion emissions'!$I$7:$I$38,"PM 10",'abrasion emissions'!$K$7:$K$38,"Road",'abrasion emissions'!$L$7:$L$38,"b")*POWER(('vehicles specifications'!$Q115/1000),(1/SUMIFS('abrasion emissions'!$M$7:$M$38,'abrasion emissions'!$I$7:$I$38,"PM 10",'abrasion emissions'!$K$7:$K$38,"Road",'abrasion emissions'!$L$7:$L$38,"c")))))/1000000+CT115</f>
        <v>1.1250808142206311E-5</v>
      </c>
      <c r="CV115" s="7">
        <f>(CK115*CN115)+(CL115*CO115)+(CM115*CP115)</f>
        <v>6.7514741481301901E-6</v>
      </c>
      <c r="CW115" s="7">
        <f>(CK115*CQ115)+(CL115*CR115)+(CM115*CS115)</f>
        <v>3.9128602753765776E-6</v>
      </c>
    </row>
    <row r="116">
      <c r="A116" t="str">
        <f>B116&amp;" - "&amp;D116&amp;" - "&amp;IF(I116&lt;&gt;"",I116&amp;" - "&amp;E116,E116)</f>
        <v>Motorbike, gasoline, &gt;35kW, EURO-5 - 2030 - CH</v>
      </c>
      <c r="B116" t="inlineStr">
        <is>
          <t>Motorbike, gasoline, &gt;35kW, EURO-5</t>
        </is>
      </c>
      <c r="D116" s="18" t="n">
        <v>2030</v>
      </c>
      <c r="E116" t="inlineStr">
        <is>
          <t>CH</t>
        </is>
      </c>
      <c r="F116" t="inlineStr">
        <is>
          <t>EURO-5</t>
        </is>
      </c>
      <c r="G116" t="inlineStr">
        <is>
          <t>vkm</t>
        </is>
      </c>
      <c r="H116" t="inlineStr">
        <is>
          <t>ICEV-p</t>
        </is>
      </c>
      <c r="J116" t="n">
        <v>40500</v>
      </c>
      <c r="K116" t="n">
        <v>2896</v>
      </c>
      <c r="L116" s="2">
        <f>J116/K116</f>
        <v>13.984806629834255</v>
      </c>
      <c r="M116" t="n">
        <v>1.1</v>
      </c>
      <c r="N116" t="n">
        <v>75</v>
      </c>
      <c r="O116" t="n">
        <v>6</v>
      </c>
      <c r="P116" s="2">
        <f>SUM(U116,V116,W116,AC116,AF116,AH116)</f>
        <v>253.19500000000002</v>
      </c>
      <c r="Q116" s="2">
        <f>P116+(M116*N116)+O116</f>
        <v>341.69500000000005</v>
      </c>
      <c r="R116" t="n">
        <v>91</v>
      </c>
      <c r="S116" s="2" t="n">
        <v>111</v>
      </c>
      <c r="T116" s="1" t="n">
        <v>0.03</v>
      </c>
      <c r="U116" s="2">
        <f>S116*(1-T116)</f>
        <v>107.67</v>
      </c>
      <c r="V116" s="2" t="n">
        <v>130</v>
      </c>
      <c r="W116" s="2" t="n">
        <v>0</v>
      </c>
      <c r="X116" s="3" t="n">
        <v>0</v>
      </c>
      <c r="Y116" s="1" t="n">
        <v>0.8</v>
      </c>
      <c r="Z116" s="3">
        <f>Y116*X116</f>
        <v>0</v>
      </c>
      <c r="AA116" s="3">
        <f>IF(I116&lt;&gt;"",X116/INDEX('energy battery'!$B$3:$D$6,MATCH('vehicles specifications'!$D116,'energy battery'!$A$3:$A$6,0),MATCH('vehicles specifications'!$I116,'energy battery'!$B$2:$D$2,0)),"")</f>
        <v/>
      </c>
      <c r="AB116" s="3">
        <f>IF(AA116&lt;&gt;"",0.3*AA116,"")</f>
        <v/>
      </c>
      <c r="AC116" s="3">
        <f>IF(AA116&lt;&gt;"",AB116+AA116,"")</f>
        <v/>
      </c>
      <c r="AD116" s="3" t="n">
        <v>0</v>
      </c>
      <c r="AE116" s="3" t="n">
        <v>18</v>
      </c>
      <c r="AF116">
        <f>AE116*'fuels and tailpipe emissions'!$B$3</f>
        <v>13.5</v>
      </c>
      <c r="AG116" s="2">
        <f>AF116*'fuels and tailpipe emissions'!$C$3</f>
        <v>159.75</v>
      </c>
      <c r="AH116" s="3">
        <f>0.15*AF116</f>
        <v>2.0249999999999999</v>
      </c>
      <c r="AI116" s="3" t="n">
        <v>0</v>
      </c>
      <c r="AJ116" s="3" t="n">
        <v>0</v>
      </c>
      <c r="AK116">
        <f>J116/25000</f>
        <v>1.62</v>
      </c>
      <c r="AL116">
        <f>0.000537/1000*Q116</f>
        <v>1.8349021500000003E-4</v>
      </c>
      <c r="AM116" t="n">
        <v>0.00129</v>
      </c>
      <c r="AN116" s="2">
        <f>U116</f>
        <v>107.67</v>
      </c>
      <c r="AO116" s="2">
        <f>SUM(V116:W116)</f>
        <v>130</v>
      </c>
      <c r="AP116" s="2">
        <f>AC116</f>
        <v/>
      </c>
      <c r="AQ116" s="6" t="n">
        <v>1.915016726621965</v>
      </c>
      <c r="AR116" s="20" t="n">
        <v>0.012</v>
      </c>
      <c r="AS116" s="6">
        <f>IF($H116="BEV",SUMPRODUCT(#REF!,#REF!),"")</f>
        <v/>
      </c>
      <c r="AT116" s="2">
        <f>SUM(Z116,AG116)/(SUM(AQ116,AS116)/3.6)</f>
        <v>300.31069285460501</v>
      </c>
      <c r="AU116" s="5">
        <f>IF($H116="ICEV-p",$AQ116/('fuels and tailpipe emissions'!$C$3*3.6)*'fuels and tailpipe emissions'!$D$3,"")*(1-AR116)</f>
        <v>0.13945996928013743</v>
      </c>
      <c r="AV116" s="5">
        <f>IF($H116="ICEV-p",$AQ116/('fuels and tailpipe emissions'!$C$3*3.6)*'fuels and tailpipe emissions'!$D$3,"")*AR116</f>
        <v>1.6938457807304144E-3</v>
      </c>
      <c r="AW116" s="7">
        <f>IF($H116="ICEV-p",$AQ116/('fuels and tailpipe emissions'!$C$3*3.6)*'fuels and tailpipe emissions'!$E$3,"")</f>
        <v>7.1925510859040943E-7</v>
      </c>
      <c r="AX116" s="7">
        <f>SUMIFS('fuels and tailpipe emissions'!$H$10:$H$126,'fuels and tailpipe emissions'!$A$10:$A$126,'vehicles specifications'!$F116,'fuels and tailpipe emissions'!$B$10:$B$126,'vehicles specifications'!AX$2)/1000*$AQ116</f>
        <v>1.459273693266061E-6</v>
      </c>
      <c r="AY116" s="7">
        <f>SUMIFS('fuels and tailpipe emissions'!$H$10:$H$126,'fuels and tailpipe emissions'!$A$10:$A$126,'vehicles specifications'!$F116,'fuels and tailpipe emissions'!$B$10:$B$126,'vehicles specifications'!AY$2)/1000*$AQ116</f>
        <v>2.0569291768525646E-5</v>
      </c>
      <c r="AZ116" s="7">
        <f>SUMIFS('fuels and tailpipe emissions'!$H$10:$H$126,'fuels and tailpipe emissions'!$A$10:$A$126,'vehicles specifications'!$F116,'fuels and tailpipe emissions'!$B$10:$B$126,'vehicles specifications'!AZ$2)/1000*$AQ116</f>
        <v>1.5981599694916431E-4</v>
      </c>
      <c r="BA116" s="7">
        <f>SUMIFS('fuels and tailpipe emissions'!$H$10:$H$126,'fuels and tailpipe emissions'!$A$10:$A$126,'vehicles specifications'!$F116,'fuels and tailpipe emissions'!$B$10:$B$126,'vehicles specifications'!BA$2)/1000*$AQ116</f>
        <v>1.0825943036066128E-6</v>
      </c>
      <c r="BB116" s="7">
        <f>SUMIFS('fuels and tailpipe emissions'!$H$10:$H$126,'fuels and tailpipe emissions'!$A$10:$A$126,'vehicles specifications'!$F116,'fuels and tailpipe emissions'!$B$10:$B$126,'vehicles specifications'!BB$2)/1000*$AQ116</f>
        <v>1.0825943036066128E-6</v>
      </c>
      <c r="BC116" s="7">
        <f>SUMIFS('fuels and tailpipe emissions'!$H$10:$H$126,'fuels and tailpipe emissions'!$A$10:$A$126,'vehicles specifications'!$F116,'fuels and tailpipe emissions'!$B$10:$B$126,'vehicles specifications'!BC$2)/1000*$AQ116</f>
        <v>9.1119679228174102E-6</v>
      </c>
      <c r="BD116" s="7">
        <f>SUMIFS('fuels and tailpipe emissions'!$H$10:$H$126,'fuels and tailpipe emissions'!$A$10:$A$126,'vehicles specifications'!$F116,'fuels and tailpipe emissions'!$B$10:$B$126,'vehicles specifications'!BD$2)/1000*$AQ116</f>
        <v>2.7064857590165319E-6</v>
      </c>
      <c r="BE116" s="7">
        <f>SUMIFS('fuels and tailpipe emissions'!$H$10:$H$126,'fuels and tailpipe emissions'!$A$10:$A$126,'vehicles specifications'!$F116,'fuels and tailpipe emissions'!$B$10:$B$126,'vehicles specifications'!BE$2)/1000*$AQ116</f>
        <v>1.1767832777781926E-5</v>
      </c>
      <c r="BF116" s="7">
        <f>SUMIFS('fuels and tailpipe emissions'!$H$10:$H$126,'fuels and tailpipe emissions'!$A$10:$A$126,'vehicles specifications'!$F116,'fuels and tailpipe emissions'!$B$10:$B$126,'vehicles specifications'!BF$2)/1000*$AQ116</f>
        <v>8.2978308048462282E-7</v>
      </c>
      <c r="BG116" s="7">
        <f>SUMIFS('fuels and tailpipe emissions'!$H$10:$H$126,'fuels and tailpipe emissions'!$A$10:$A$126,'vehicles specifications'!$F116,'fuels and tailpipe emissions'!$B$10:$B$126,'vehicles specifications'!BG$2)/1000*$AQ116</f>
        <v>1.6907805715203913E-7</v>
      </c>
      <c r="BH116" s="7">
        <f>SUMIFS('fuels and tailpipe emissions'!$H$10:$H$126,'fuels and tailpipe emissions'!$A$10:$A$126,'vehicles specifications'!$F116,'fuels and tailpipe emissions'!$B$10:$B$126,'vehicles specifications'!BH$2)/1000*$AQ116</f>
        <v>1.3630292607333617E-6</v>
      </c>
      <c r="BI116" s="7">
        <f>SUMIFS('fuels and tailpipe emissions'!$H$10:$H$126,'fuels and tailpipe emissions'!$A$10:$A$126,'vehicles specifications'!$F116,'fuels and tailpipe emissions'!$B$10:$B$126,'vehicles specifications'!BI$2)/1000*$AQ116</f>
        <v>5.5925818904136034E-7</v>
      </c>
      <c r="BJ116" s="7">
        <f>SUMIFS('fuels and tailpipe emissions'!$H$10:$H$126,'fuels and tailpipe emissions'!$A$10:$A$126,'vehicles specifications'!$F116,'fuels and tailpipe emissions'!$B$10:$B$126,'vehicles specifications'!BJ$2)/1000*$AQ116</f>
        <v>4.1879334156120465E-7</v>
      </c>
      <c r="BK116" s="7">
        <f>SUMIFS('fuels and tailpipe emissions'!$H$10:$H$126,'fuels and tailpipe emissions'!$A$10:$A$126,'vehicles specifications'!$F116,'fuels and tailpipe emissions'!$B$10:$B$126,'vehicles specifications'!BK$2)/1000*$AQ116</f>
        <v>2.9653690023588408E-7</v>
      </c>
      <c r="BL116" s="7">
        <f>SUMIFS('fuels and tailpipe emissions'!$H$10:$H$126,'fuels and tailpipe emissions'!$A$10:$A$126,'vehicles specifications'!$F116,'fuels and tailpipe emissions'!$B$10:$B$126,'vehicles specifications'!BL$2)/1000*$AQ116</f>
        <v>1.9248886506539842E-7</v>
      </c>
      <c r="BM116" s="7">
        <f>SUMIFS('fuels and tailpipe emissions'!$H$10:$H$126,'fuels and tailpipe emissions'!$A$10:$A$126,'vehicles specifications'!$F116,'fuels and tailpipe emissions'!$B$10:$B$126,'vehicles specifications'!BM$2)/1000*$AQ116</f>
        <v>1.8988766418613624E-6</v>
      </c>
      <c r="BN116" s="7">
        <f>SUMIFS('fuels and tailpipe emissions'!$H$10:$H$126,'fuels and tailpipe emissions'!$A$10:$A$126,'vehicles specifications'!$F116,'fuels and tailpipe emissions'!$B$10:$B$126,'vehicles specifications'!BN$2)/1000*$AQ116</f>
        <v>9.9365873587813773E-7</v>
      </c>
      <c r="BO116" s="7">
        <f>SUMIFS('fuels and tailpipe emissions'!$H$10:$H$126,'fuels and tailpipe emissions'!$A$10:$A$126,'vehicles specifications'!$F116,'fuels and tailpipe emissions'!$B$10:$B$126,'vehicles specifications'!BO$2)/1000*$AQ116</f>
        <v>2.8613209671883554E-8</v>
      </c>
      <c r="BP116" s="7">
        <f>SUMIFS('fuels and tailpipe emissions'!$H$10:$H$126,'fuels and tailpipe emissions'!$A$10:$A$126,'vehicles specifications'!$F116,'fuels and tailpipe emissions'!$B$10:$B$126,'vehicles specifications'!BP$2)/1000*$AQ116</f>
        <v>1.459273693266061E-6</v>
      </c>
      <c r="BQ116" s="7">
        <f>SUMIFS('fuels and tailpipe emissions'!$H$10:$H$126,'fuels and tailpipe emissions'!$A$10:$A$126,'vehicles specifications'!$F116,'fuels and tailpipe emissions'!$B$10:$B$126,'vehicles specifications'!BQ$2)/1000*$AQ116</f>
        <v>2.8561185654298302E-6</v>
      </c>
      <c r="BR116" s="7">
        <f>SUMIFS('fuels and tailpipe emissions'!$H$10:$H$126,'fuels and tailpipe emissions'!$A$10:$A$126,'vehicles specifications'!$F116,'fuels and tailpipe emissions'!$B$10:$B$126,'vehicles specifications'!BR$2)/1000*$AQ116</f>
        <v>1.4124520774393426E-6</v>
      </c>
      <c r="BS116" s="7">
        <f>SUMIFS('fuels and tailpipe emissions'!$H$10:$H$126,'fuels and tailpipe emissions'!$A$10:$A$126,'vehicles specifications'!$F116,'fuels and tailpipe emissions'!$B$10:$B$126,'vehicles specifications'!BS$2)/1000*$AQ116</f>
        <v>5.878713987132438E-7</v>
      </c>
      <c r="BT116" s="7">
        <f>SUMIFS('fuels and tailpipe emissions'!$H$10:$H$126,'fuels and tailpipe emissions'!$A$10:$A$126,'vehicles specifications'!$F116,'fuels and tailpipe emissions'!$B$10:$B$126,'vehicles specifications'!BT$2)/1000*$AQ116</f>
        <v>4.4220414947456396E-7</v>
      </c>
      <c r="BU116" s="7">
        <f>SUMIFS('fuels and tailpipe emissions'!$H$10:$H$126,'fuels and tailpipe emissions'!$A$10:$A$126,'vehicles specifications'!$F116,'fuels and tailpipe emissions'!$B$10:$B$126,'vehicles specifications'!BU$2)/1000*$AQ116</f>
        <v>1.9509006594466054E-7</v>
      </c>
      <c r="BV116" s="7">
        <f>SUMIFS('fuels and tailpipe emissions'!$H$10:$H$126,'fuels and tailpipe emissions'!$A$10:$A$126,'vehicles specifications'!$F116,'fuels and tailpipe emissions'!$B$10:$B$126,'vehicles specifications'!BV$2)/1000*$AQ116</f>
        <v>5.7226419343767108E-8</v>
      </c>
      <c r="BW116" s="7">
        <f>SUMIFS('fuels and tailpipe emissions'!$H$10:$H$126,'fuels and tailpipe emissions'!$A$10:$A$126,'vehicles specifications'!$F116,'fuels and tailpipe emissions'!$B$10:$B$126,'vehicles specifications'!BW$2)/1000*$AQ116</f>
        <v>1.5867325363499058E-7</v>
      </c>
      <c r="BX116" s="7">
        <f>SUMIFS('fuels and tailpipe emissions'!$H$10:$H$126,'fuels and tailpipe emissions'!$A$10:$A$126,'vehicles specifications'!$F116,'fuels and tailpipe emissions'!$B$10:$B$126,'vehicles specifications'!BX$2)/1000*$AQ116</f>
        <v>0</v>
      </c>
      <c r="BY116" s="7">
        <f>SUMIFS('fuels and tailpipe emissions'!$H$10:$H$126,'fuels and tailpipe emissions'!$A$10:$A$126,'vehicles specifications'!$F116,'fuels and tailpipe emissions'!$B$10:$B$126,'vehicles specifications'!BY$2)/1000*$AQ116</f>
        <v>4.9422816705980673E-8</v>
      </c>
      <c r="BZ116" s="7">
        <f>SUMIFS('fuels and tailpipe emissions'!$H$10:$H$126,'fuels and tailpipe emissions'!$A$10:$A$126,'vehicles specifications'!$F116,'fuels and tailpipe emissions'!$B$10:$B$126,'vehicles specifications'!BZ$2)/1000*$AQ116</f>
        <v>2.6272128880547621E-7</v>
      </c>
      <c r="CA116" s="7">
        <f>SUMIFS('fuels and tailpipe emissions'!$H$10:$H$126,'fuels and tailpipe emissions'!$A$10:$A$126,'vehicles specifications'!$F116,'fuels and tailpipe emissions'!$B$10:$B$126,'vehicles specifications'!CA$2)/1000*$AQ116</f>
        <v>1.5680607549751621E-9</v>
      </c>
      <c r="CB116" s="7">
        <f>SUMIFS('fuels and tailpipe emissions'!$H$10:$H$126,'fuels and tailpipe emissions'!$A$10:$A$126,'vehicles specifications'!$F116,'fuels and tailpipe emissions'!$B$10:$B$126,'vehicles specifications'!CB$2)/1000*$AQ116</f>
        <v>1.3517765129096225E-11</v>
      </c>
      <c r="CC116" s="7">
        <f>SUMIFS('fuels and tailpipe emissions'!$H$10:$H$126,'fuels and tailpipe emissions'!$A$10:$A$126,'vehicles specifications'!$F116,'fuels and tailpipe emissions'!$B$10:$B$126,'vehicles specifications'!CC$2)/1000*$AQ116</f>
        <v>9.0118434193974832E-12</v>
      </c>
      <c r="CD116" s="7">
        <f>SUMIFS('fuels and tailpipe emissions'!$H$10:$H$126,'fuels and tailpipe emissions'!$A$10:$A$126,'vehicles specifications'!$F116,'fuels and tailpipe emissions'!$B$10:$B$126,'vehicles specifications'!CD$2)/1000*$AQ116</f>
        <v>9.7327908929492816E-8</v>
      </c>
      <c r="CE116" s="7">
        <f>SUMIFS('fuels and tailpipe emissions'!$H$10:$H$126,'fuels and tailpipe emissions'!$A$10:$A$126,'vehicles specifications'!$F116,'fuels and tailpipe emissions'!$B$10:$B$126,'vehicles specifications'!CE$2)/1000*$AQ116</f>
        <v>1.8924871180734711E-9</v>
      </c>
      <c r="CF116" s="7">
        <f>SUMIFS('fuels and tailpipe emissions'!$H$10:$H$126,'fuels and tailpipe emissions'!$A$10:$A$126,'vehicles specifications'!$F116,'fuels and tailpipe emissions'!$B$10:$B$126,'vehicles specifications'!CF$2)/1000*$AQ116</f>
        <v>5.8576982226083646E-10</v>
      </c>
      <c r="CG116" s="7">
        <f>SUMIFS('fuels and tailpipe emissions'!$H$10:$H$126,'fuels and tailpipe emissions'!$A$10:$A$126,'vehicles specifications'!$F116,'fuels and tailpipe emissions'!$B$10:$B$126,'vehicles specifications'!CG$2)/1000*$AQ116</f>
        <v>7.2094747355179865E-10</v>
      </c>
      <c r="CH116" s="7">
        <f>SUMIFS('fuels and tailpipe emissions'!$H$10:$H$126,'fuels and tailpipe emissions'!$A$10:$A$126,'vehicles specifications'!$F116,'fuels and tailpipe emissions'!$B$10:$B$126,'vehicles specifications'!CH$2)/1000*$AQ116</f>
        <v>1.4418949471035971E-12</v>
      </c>
      <c r="CI116" s="7">
        <f>SUMIFS('fuels and tailpipe emissions'!$H$10:$H$126,'fuels and tailpipe emissions'!$A$10:$A$126,'vehicles specifications'!$F116,'fuels and tailpipe emissions'!$B$10:$B$126,'vehicles specifications'!CI$2)/1000*$AQ116</f>
        <v>3.9201518874379051E-10</v>
      </c>
      <c r="CJ116" s="7">
        <f>SUMIFS('fuels and tailpipe emissions'!$H$10:$H$126,'fuels and tailpipe emissions'!$A$10:$A$126,'vehicles specifications'!$F116,'fuels and tailpipe emissions'!$B$10:$B$126,'vehicles specifications'!CJ$2)/1000*$AQ116</f>
        <v>4.8663954464746423E-10</v>
      </c>
      <c r="CK116" s="38">
        <f>VLOOKUP($B116,'abrasion emissions'!$O$7:$R$36,2,FALSE)</f>
        <v>0.33</v>
      </c>
      <c r="CL116" s="38">
        <f>VLOOKUP($B116,'abrasion emissions'!$O$7:$R$36,3,FALSE)</f>
        <v>0.33</v>
      </c>
      <c r="CM116" s="38">
        <f>VLOOKUP($B116,'abrasion emissions'!$O$7:$R$36,4,FALSE)</f>
        <v>0.33</v>
      </c>
      <c r="CN116" s="7">
        <f>((SUMIFS('abrasion emissions'!$M$7:$M$34,'abrasion emissions'!$I$7:$I$34,"PM 2.5",'abrasion emissions'!$J$7:$J$34,"urban",'abrasion emissions'!$K$7:$K$34,"Tyre",'abrasion emissions'!$L$7:$L$34,"b")*POWER(('vehicles specifications'!$Q116/1000),(1/SUMIFS('abrasion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specifications'!$P116/1000),(1/SUMIFS('abrasion emissions'!$M$7:$M$34,'abrasion emissions'!$I$7:$I$34,"PM 10",'abrasion emissions'!$J$7:$J$34,"urban",'abrasion emissions'!$K$7:$K$34,"Tyre",'abrasion emissions'!$L$7:$L$34,"c")))))/1000000</f>
        <v>8.3329887624736449E-6</v>
      </c>
      <c r="CO116" s="7">
        <f>((SUMIFS('abrasion emissions'!$M$7:$M$34,'abrasion emissions'!$I$7:$I$34,"PM 2.5",'abrasion emissions'!$J$7:$J$34,"rural",'abrasion emissions'!$K$7:$K$34,"Tyre",'abrasion emissions'!$L$7:$L$34,"b")*POWER(('vehicles specifications'!$Q116/1000),(1/SUMIFS('abrasion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specifications'!$P116/1000),(1/SUMIFS('abrasion emissions'!$M$7:$M$34,'abrasion emissions'!$I$7:$I$34,"PM 10",'abrasion emissions'!$J$7:$J$34,"rural",'abrasion emissions'!$K$7:$K$34,"Tyre",'abrasion emissions'!$L$7:$L$34,"c")))))/1000000</f>
        <v>6.4890308339444193E-6</v>
      </c>
      <c r="CP116" s="7">
        <f>((SUMIFS('abrasion emissions'!$M$7:$M$34,'abrasion emissions'!$I$7:$I$34,"PM 2.5",'abrasion emissions'!$J$7:$J$34,"motorway",'abrasion emissions'!$K$7:$K$34,"Tyre",'abrasion emissions'!$L$7:$L$34,"b")*POWER(('vehicles specifications'!$Q116/1000),(1/SUMIFS('abrasion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specifications'!$P116/1000),(1/SUMIFS('abrasion emissions'!$M$7:$M$34,'abrasion emissions'!$I$7:$I$34,"PM 10",'abrasion emissions'!$J$7:$J$34,"motorway",'abrasion emissions'!$K$7:$K$34,"Tyre",'abrasion emissions'!$L$7:$L$34,"c")))))/1000000</f>
        <v>5.5395347693418289E-6</v>
      </c>
      <c r="CQ116" s="7">
        <f>((SUMIFS('abrasion emissions'!$M$7:$M$34,'abrasion emissions'!$I$7:$I$34,"PM 2.5",'abrasion emissions'!$J$7:$J$34,"urban",'abrasion emissions'!$K$7:$K$34,"Brake",'abrasion emissions'!$L$7:$L$34,"b")*POWER(('vehicles specifications'!$Q116/1000),(1/SUMIFS('abrasion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specifications'!$P116/1000),(1/SUMIFS('abrasion emissions'!$M$7:$M$34,'abrasion emissions'!$I$7:$I$34,"PM 10",'abrasion emissions'!$J$7:$J$34,"urban",'abrasion emissions'!$K$7:$K$34,"Brake",'abrasion emissions'!$L$7:$L$34,"c")))))/1000000</f>
        <v>8.2892014946113247E-6</v>
      </c>
      <c r="CR116" s="7">
        <f>((SUMIFS('abrasion emissions'!$M$7:$M$34,'abrasion emissions'!$I$7:$I$34,"PM 2.5",'abrasion emissions'!$J$7:$J$34,"rural",'abrasion emissions'!$K$7:$K$34,"Brake",'abrasion emissions'!$L$7:$L$34,"b")*POWER(('vehicles specifications'!$Q116/1000),(1/SUMIFS('abrasion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specifications'!$P116/1000),(1/SUMIFS('abrasion emissions'!$M$7:$M$34,'abrasion emissions'!$I$7:$I$34,"PM 10",'abrasion emissions'!$J$7:$J$34,"rural",'abrasion emissions'!$K$7:$K$34,"Brake",'abrasion emissions'!$L$7:$L$34,"c")))))/1000000</f>
        <v>2.9198072690787368E-6</v>
      </c>
      <c r="CS116" s="7">
        <f>((SUMIFS('abrasion emissions'!$M$7:$M$34,'abrasion emissions'!$I$7:$I$34,"PM 2.5",'abrasion emissions'!$J$7:$J$34,"motorway",'abrasion emissions'!$K$7:$K$34,"Brake",'abrasion emissions'!$L$7:$L$34,"b")*POWER(('vehicles specifications'!$Q116/1000),(1/SUMIFS('abrasion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specifications'!$P116/1000),(1/SUMIFS('abrasion emissions'!$M$7:$M$34,'abrasion emissions'!$I$7:$I$34,"PM 10",'abrasion emissions'!$J$7:$J$34,"motorway",'abrasion emissions'!$K$7:$K$34,"Brake",'abrasion emissions'!$L$7:$L$34,"c")))))/1000000</f>
        <v>5.7683726513333103E-7</v>
      </c>
      <c r="CT116" s="7">
        <f>((SUMIFS('abrasion emissions'!$M$7:$M$38,'abrasion emissions'!$I$7:$I$38,"PM 2.5",'abrasion emissions'!$K$7:$K$38,"Re-susp.",'abrasion emissions'!$L$7:$L$38,"b")*POWER(('vehicles specifications'!$Q116/1000),(1/SUMIFS('abrasion emissions'!$M$7:$M$38,'abrasion emissions'!$I$7:$I$38,"PM 2.5",'abrasion emissions'!$K$7:$K$38,"Re-susp.",'abrasion emissions'!$L$7:$L$38,"c"))))+
(SUMIFS('abrasion emissions'!$M$7:$M$38,'abrasion emissions'!$I$7:$I$38,"PM 10",'abrasion emissions'!$K$7:$K$38,"Re-susp.",'abrasion emissions'!$L$7:$L$38,"b")*POWER(('vehicles specifications'!$Q116/1000),(1/SUMIFS('abrasion emissions'!$M$7:$M$38,'abrasion emissions'!$I$7:$I$38,"PM 10",'abrasion emissions'!$K$7:$K$38,"Re-susp.",'abrasion emissions'!$L$7:$L$38,"c")))))/1000000</f>
        <v>6.1784418083983486E-6</v>
      </c>
      <c r="CU116" s="7">
        <f>((SUMIFS('abrasion emissions'!$M$7:$M$38,'abrasion emissions'!$I$7:$I$38,"PM 2.5",'abrasion emissions'!$K$7:$K$38,"Road",'abrasion emissions'!$L$7:$L$38,"b")*POWER(('vehicles specifications'!$Q116/1000),(1/SUMIFS('abrasion emissions'!$M$7:$M$38,'abrasion emissions'!$I$7:$I$38,"PM 2.5",'abrasion emissions'!$K$7:$K$38,"Road",'abrasion emissions'!$L$7:$L$38,"c"))))+
(SUMIFS('abrasion emissions'!$M$7:$M$38,'abrasion emissions'!$I$7:$I$38,"PM 10",'abrasion emissions'!$K$7:$K$38,"Road",'abrasion emissions'!$L$7:$L$38,"b")*POWER(('vehicles specifications'!$Q116/1000),(1/SUMIFS('abrasion emissions'!$M$7:$M$38,'abrasion emissions'!$I$7:$I$38,"PM 10",'abrasion emissions'!$K$7:$K$38,"Road",'abrasion emissions'!$L$7:$L$38,"c")))))/1000000+CT116</f>
        <v>1.1163756613204765E-5</v>
      </c>
      <c r="CV116" s="7">
        <f>(CK116*CN116)+(CL116*CO116)+(CM116*CP116)</f>
        <v>6.7193129407007649E-6</v>
      </c>
      <c r="CW116" s="7">
        <f>(CK116*CQ116)+(CL116*CR116)+(CM116*CS116)</f>
        <v>3.8893291895117198E-6</v>
      </c>
    </row>
    <row r="117">
      <c r="A117" t="str">
        <f>B117&amp;" - "&amp;D117&amp;" - "&amp;IF(I117&lt;&gt;"",I117&amp;" - "&amp;E117,E117)</f>
        <v>Motorbike, gasoline, &gt;35kW, EURO-5 - 2040 - CH</v>
      </c>
      <c r="B117" t="inlineStr">
        <is>
          <t>Motorbike, gasoline, &gt;35kW, EURO-5</t>
        </is>
      </c>
      <c r="D117" s="18" t="n">
        <v>2040</v>
      </c>
      <c r="E117" t="inlineStr">
        <is>
          <t>CH</t>
        </is>
      </c>
      <c r="F117" t="inlineStr">
        <is>
          <t>EURO-5</t>
        </is>
      </c>
      <c r="G117" t="inlineStr">
        <is>
          <t>vkm</t>
        </is>
      </c>
      <c r="H117" t="inlineStr">
        <is>
          <t>ICEV-p</t>
        </is>
      </c>
      <c r="J117" t="n">
        <v>40500</v>
      </c>
      <c r="K117" t="n">
        <v>2896</v>
      </c>
      <c r="L117" s="2">
        <f>J117/K117</f>
        <v>13.984806629834255</v>
      </c>
      <c r="M117" t="n">
        <v>1.1</v>
      </c>
      <c r="N117" t="n">
        <v>75</v>
      </c>
      <c r="O117" t="n">
        <v>6</v>
      </c>
      <c r="P117" s="2">
        <f>SUM(U117,V117,W117,AC117,AF117,AH117)</f>
        <v>250.97499999999999</v>
      </c>
      <c r="Q117" s="2">
        <f>P117+(M117*N117)+O117</f>
        <v>339.47500000000002</v>
      </c>
      <c r="R117" t="n">
        <v>91</v>
      </c>
      <c r="S117" s="2" t="n">
        <v>111</v>
      </c>
      <c r="T117" s="1" t="n">
        <v>0.05</v>
      </c>
      <c r="U117" s="2">
        <f>S117*(1-T117)</f>
        <v>105.44999999999999</v>
      </c>
      <c r="V117" s="2" t="n">
        <v>130</v>
      </c>
      <c r="W117" s="2" t="n">
        <v>0</v>
      </c>
      <c r="X117" s="3" t="n">
        <v>0</v>
      </c>
      <c r="Y117" s="1" t="n">
        <v>0.8</v>
      </c>
      <c r="Z117" s="3">
        <f>Y117*X117</f>
        <v>0</v>
      </c>
      <c r="AA117" s="3">
        <f>IF(I117&lt;&gt;"",X117/INDEX('energy battery'!$B$3:$D$6,MATCH('vehicles specifications'!$D117,'energy battery'!$A$3:$A$6,0),MATCH('vehicles specifications'!$I117,'energy battery'!$B$2:$D$2,0)),"")</f>
        <v/>
      </c>
      <c r="AB117" s="3">
        <f>IF(AA117&lt;&gt;"",0.3*AA117,"")</f>
        <v/>
      </c>
      <c r="AC117" s="3">
        <f>IF(AA117&lt;&gt;"",AB117+AA117,"")</f>
        <v/>
      </c>
      <c r="AD117" s="3" t="n">
        <v>0</v>
      </c>
      <c r="AE117" s="3" t="n">
        <v>18</v>
      </c>
      <c r="AF117">
        <f>AE117*'fuels and tailpipe emissions'!$B$3</f>
        <v>13.5</v>
      </c>
      <c r="AG117" s="2">
        <f>AF117*'fuels and tailpipe emissions'!$C$3</f>
        <v>159.75</v>
      </c>
      <c r="AH117" s="3">
        <f>0.15*AF117</f>
        <v>2.0249999999999999</v>
      </c>
      <c r="AI117" s="3" t="n">
        <v>0</v>
      </c>
      <c r="AJ117" s="3" t="n">
        <v>0</v>
      </c>
      <c r="AK117">
        <f>J117/25000</f>
        <v>1.62</v>
      </c>
      <c r="AL117">
        <f>0.000537/1000*Q117</f>
        <v>1.8229807500000001E-4</v>
      </c>
      <c r="AM117" t="n">
        <v>0.00129</v>
      </c>
      <c r="AN117" s="2">
        <f>U117</f>
        <v>105.44999999999999</v>
      </c>
      <c r="AO117" s="2">
        <f>SUM(V117:W117)</f>
        <v>130</v>
      </c>
      <c r="AP117" s="2">
        <f>AC117</f>
        <v/>
      </c>
      <c r="AQ117" s="6" t="n">
        <v>1.895866559355745</v>
      </c>
      <c r="AR117" s="20" t="n">
        <v>0.012</v>
      </c>
      <c r="AS117" s="6">
        <f>IF($H117="BEV",SUMPRODUCT(#REF!,#REF!),"")</f>
        <v/>
      </c>
      <c r="AT117" s="2">
        <f>SUM(Z117,AG117)/(SUM(AQ117,AS117)/3.6)</f>
        <v>303.34413419657068</v>
      </c>
      <c r="AU117" s="5">
        <f>IF($H117="ICEV-p",$AQ117/('fuels and tailpipe emissions'!$C$3*3.6)*'fuels and tailpipe emissions'!$D$3,"")*(1-AR117)</f>
        <v>0.13806536958733606</v>
      </c>
      <c r="AV117" s="5">
        <f>IF($H117="ICEV-p",$AQ117/('fuels and tailpipe emissions'!$C$3*3.6)*'fuels and tailpipe emissions'!$D$3,"")*AR117</f>
        <v>1.6769073229231102E-3</v>
      </c>
      <c r="AW117" s="7">
        <f>IF($H117="ICEV-p",$AQ117/('fuels and tailpipe emissions'!$C$3*3.6)*'fuels and tailpipe emissions'!$E$3,"")</f>
        <v>7.1206255750450526E-7</v>
      </c>
      <c r="AX117" s="7">
        <f>SUMIFS('fuels and tailpipe emissions'!$H$10:$H$126,'fuels and tailpipe emissions'!$A$10:$A$126,'vehicles specifications'!$F117,'fuels and tailpipe emissions'!$B$10:$B$126,'vehicles specifications'!AX$2)/1000*$AQ117</f>
        <v>1.4446809563334003E-6</v>
      </c>
      <c r="AY117" s="7">
        <f>SUMIFS('fuels and tailpipe emissions'!$H$10:$H$126,'fuels and tailpipe emissions'!$A$10:$A$126,'vehicles specifications'!$F117,'fuels and tailpipe emissions'!$B$10:$B$126,'vehicles specifications'!AY$2)/1000*$AQ117</f>
        <v>2.0363598850840388E-5</v>
      </c>
      <c r="AZ117" s="7">
        <f>SUMIFS('fuels and tailpipe emissions'!$H$10:$H$126,'fuels and tailpipe emissions'!$A$10:$A$126,'vehicles specifications'!$F117,'fuels and tailpipe emissions'!$B$10:$B$126,'vehicles specifications'!AZ$2)/1000*$AQ117</f>
        <v>1.5821783697967266E-4</v>
      </c>
      <c r="BA117" s="7">
        <f>SUMIFS('fuels and tailpipe emissions'!$H$10:$H$126,'fuels and tailpipe emissions'!$A$10:$A$126,'vehicles specifications'!$F117,'fuels and tailpipe emissions'!$B$10:$B$126,'vehicles specifications'!BA$2)/1000*$AQ117</f>
        <v>1.0717683605705466E-6</v>
      </c>
      <c r="BB117" s="7">
        <f>SUMIFS('fuels and tailpipe emissions'!$H$10:$H$126,'fuels and tailpipe emissions'!$A$10:$A$126,'vehicles specifications'!$F117,'fuels and tailpipe emissions'!$B$10:$B$126,'vehicles specifications'!BB$2)/1000*$AQ117</f>
        <v>1.0717683605705466E-6</v>
      </c>
      <c r="BC117" s="7">
        <f>SUMIFS('fuels and tailpipe emissions'!$H$10:$H$126,'fuels and tailpipe emissions'!$A$10:$A$126,'vehicles specifications'!$F117,'fuels and tailpipe emissions'!$B$10:$B$126,'vehicles specifications'!BC$2)/1000*$AQ117</f>
        <v>9.0208482435892366E-6</v>
      </c>
      <c r="BD117" s="7">
        <f>SUMIFS('fuels and tailpipe emissions'!$H$10:$H$126,'fuels and tailpipe emissions'!$A$10:$A$126,'vehicles specifications'!$F117,'fuels and tailpipe emissions'!$B$10:$B$126,'vehicles specifications'!BD$2)/1000*$AQ117</f>
        <v>2.6794209014263668E-6</v>
      </c>
      <c r="BE117" s="7">
        <f>SUMIFS('fuels and tailpipe emissions'!$H$10:$H$126,'fuels and tailpipe emissions'!$A$10:$A$126,'vehicles specifications'!$F117,'fuels and tailpipe emissions'!$B$10:$B$126,'vehicles specifications'!BE$2)/1000*$AQ117</f>
        <v>1.1650154450004105E-5</v>
      </c>
      <c r="BF117" s="7">
        <f>SUMIFS('fuels and tailpipe emissions'!$H$10:$H$126,'fuels and tailpipe emissions'!$A$10:$A$126,'vehicles specifications'!$F117,'fuels and tailpipe emissions'!$B$10:$B$126,'vehicles specifications'!BF$2)/1000*$AQ117</f>
        <v>8.2148524967977661E-7</v>
      </c>
      <c r="BG117" s="7">
        <f>SUMIFS('fuels and tailpipe emissions'!$H$10:$H$126,'fuels and tailpipe emissions'!$A$10:$A$126,'vehicles specifications'!$F117,'fuels and tailpipe emissions'!$B$10:$B$126,'vehicles specifications'!BG$2)/1000*$AQ117</f>
        <v>1.6738727658051873E-7</v>
      </c>
      <c r="BH117" s="7">
        <f>SUMIFS('fuels and tailpipe emissions'!$H$10:$H$126,'fuels and tailpipe emissions'!$A$10:$A$126,'vehicles specifications'!$F117,'fuels and tailpipe emissions'!$B$10:$B$126,'vehicles specifications'!BH$2)/1000*$AQ117</f>
        <v>1.3493989681260279E-6</v>
      </c>
      <c r="BI117" s="7">
        <f>SUMIFS('fuels and tailpipe emissions'!$H$10:$H$126,'fuels and tailpipe emissions'!$A$10:$A$126,'vehicles specifications'!$F117,'fuels and tailpipe emissions'!$B$10:$B$126,'vehicles specifications'!BI$2)/1000*$AQ117</f>
        <v>5.5366560715094662E-7</v>
      </c>
      <c r="BJ117" s="7">
        <f>SUMIFS('fuels and tailpipe emissions'!$H$10:$H$126,'fuels and tailpipe emissions'!$A$10:$A$126,'vehicles specifications'!$F117,'fuels and tailpipe emissions'!$B$10:$B$126,'vehicles specifications'!BJ$2)/1000*$AQ117</f>
        <v>4.1460540814559257E-7</v>
      </c>
      <c r="BK117" s="7">
        <f>SUMIFS('fuels and tailpipe emissions'!$H$10:$H$126,'fuels and tailpipe emissions'!$A$10:$A$126,'vehicles specifications'!$F117,'fuels and tailpipe emissions'!$B$10:$B$126,'vehicles specifications'!BK$2)/1000*$AQ117</f>
        <v>2.9357153123352523E-7</v>
      </c>
      <c r="BL117" s="7">
        <f>SUMIFS('fuels and tailpipe emissions'!$H$10:$H$126,'fuels and tailpipe emissions'!$A$10:$A$126,'vehicles specifications'!$F117,'fuels and tailpipe emissions'!$B$10:$B$126,'vehicles specifications'!BL$2)/1000*$AQ117</f>
        <v>1.9056397641474442E-7</v>
      </c>
      <c r="BM117" s="7">
        <f>SUMIFS('fuels and tailpipe emissions'!$H$10:$H$126,'fuels and tailpipe emissions'!$A$10:$A$126,'vehicles specifications'!$F117,'fuels and tailpipe emissions'!$B$10:$B$126,'vehicles specifications'!BM$2)/1000*$AQ117</f>
        <v>1.8798878754427487E-6</v>
      </c>
      <c r="BN117" s="7">
        <f>SUMIFS('fuels and tailpipe emissions'!$H$10:$H$126,'fuels and tailpipe emissions'!$A$10:$A$126,'vehicles specifications'!$F117,'fuels and tailpipe emissions'!$B$10:$B$126,'vehicles specifications'!BN$2)/1000*$AQ117</f>
        <v>9.8372214851935643E-7</v>
      </c>
      <c r="BO117" s="7">
        <f>SUMIFS('fuels and tailpipe emissions'!$H$10:$H$126,'fuels and tailpipe emissions'!$A$10:$A$126,'vehicles specifications'!$F117,'fuels and tailpipe emissions'!$B$10:$B$126,'vehicles specifications'!BO$2)/1000*$AQ117</f>
        <v>2.8327077575164717E-8</v>
      </c>
      <c r="BP117" s="7">
        <f>SUMIFS('fuels and tailpipe emissions'!$H$10:$H$126,'fuels and tailpipe emissions'!$A$10:$A$126,'vehicles specifications'!$F117,'fuels and tailpipe emissions'!$B$10:$B$126,'vehicles specifications'!BP$2)/1000*$AQ117</f>
        <v>1.4446809563334003E-6</v>
      </c>
      <c r="BQ117" s="7">
        <f>SUMIFS('fuels and tailpipe emissions'!$H$10:$H$126,'fuels and tailpipe emissions'!$A$10:$A$126,'vehicles specifications'!$F117,'fuels and tailpipe emissions'!$B$10:$B$126,'vehicles specifications'!BQ$2)/1000*$AQ117</f>
        <v>2.8275573797755318E-6</v>
      </c>
      <c r="BR117" s="7">
        <f>SUMIFS('fuels and tailpipe emissions'!$H$10:$H$126,'fuels and tailpipe emissions'!$A$10:$A$126,'vehicles specifications'!$F117,'fuels and tailpipe emissions'!$B$10:$B$126,'vehicles specifications'!BR$2)/1000*$AQ117</f>
        <v>1.3983275566649491E-6</v>
      </c>
      <c r="BS117" s="7">
        <f>SUMIFS('fuels and tailpipe emissions'!$H$10:$H$126,'fuels and tailpipe emissions'!$A$10:$A$126,'vehicles specifications'!$F117,'fuels and tailpipe emissions'!$B$10:$B$126,'vehicles specifications'!BS$2)/1000*$AQ117</f>
        <v>5.819926847261114E-7</v>
      </c>
      <c r="BT117" s="7">
        <f>SUMIFS('fuels and tailpipe emissions'!$H$10:$H$126,'fuels and tailpipe emissions'!$A$10:$A$126,'vehicles specifications'!$F117,'fuels and tailpipe emissions'!$B$10:$B$126,'vehicles specifications'!BT$2)/1000*$AQ117</f>
        <v>4.3778210797981829E-7</v>
      </c>
      <c r="BU117" s="7">
        <f>SUMIFS('fuels and tailpipe emissions'!$H$10:$H$126,'fuels and tailpipe emissions'!$A$10:$A$126,'vehicles specifications'!$F117,'fuels and tailpipe emissions'!$B$10:$B$126,'vehicles specifications'!BU$2)/1000*$AQ117</f>
        <v>1.9313916528521392E-7</v>
      </c>
      <c r="BV117" s="7">
        <f>SUMIFS('fuels and tailpipe emissions'!$H$10:$H$126,'fuels and tailpipe emissions'!$A$10:$A$126,'vehicles specifications'!$F117,'fuels and tailpipe emissions'!$B$10:$B$126,'vehicles specifications'!BV$2)/1000*$AQ117</f>
        <v>5.6654155150329434E-8</v>
      </c>
      <c r="BW117" s="7">
        <f>SUMIFS('fuels and tailpipe emissions'!$H$10:$H$126,'fuels and tailpipe emissions'!$A$10:$A$126,'vehicles specifications'!$F117,'fuels and tailpipe emissions'!$B$10:$B$126,'vehicles specifications'!BW$2)/1000*$AQ117</f>
        <v>1.5708652109864066E-7</v>
      </c>
      <c r="BX117" s="7">
        <f>SUMIFS('fuels and tailpipe emissions'!$H$10:$H$126,'fuels and tailpipe emissions'!$A$10:$A$126,'vehicles specifications'!$F117,'fuels and tailpipe emissions'!$B$10:$B$126,'vehicles specifications'!BX$2)/1000*$AQ117</f>
        <v>0</v>
      </c>
      <c r="BY117" s="7">
        <f>SUMIFS('fuels and tailpipe emissions'!$H$10:$H$126,'fuels and tailpipe emissions'!$A$10:$A$126,'vehicles specifications'!$F117,'fuels and tailpipe emissions'!$B$10:$B$126,'vehicles specifications'!BY$2)/1000*$AQ117</f>
        <v>4.8928588538920863E-8</v>
      </c>
      <c r="BZ117" s="7">
        <f>SUMIFS('fuels and tailpipe emissions'!$H$10:$H$126,'fuels and tailpipe emissions'!$A$10:$A$126,'vehicles specifications'!$F117,'fuels and tailpipe emissions'!$B$10:$B$126,'vehicles specifications'!BZ$2)/1000*$AQ117</f>
        <v>2.6009407591742145E-7</v>
      </c>
      <c r="CA117" s="7">
        <f>SUMIFS('fuels and tailpipe emissions'!$H$10:$H$126,'fuels and tailpipe emissions'!$A$10:$A$126,'vehicles specifications'!$F117,'fuels and tailpipe emissions'!$B$10:$B$126,'vehicles specifications'!CA$2)/1000*$AQ117</f>
        <v>1.5523801474254103E-9</v>
      </c>
      <c r="CB117" s="7">
        <f>SUMIFS('fuels and tailpipe emissions'!$H$10:$H$126,'fuels and tailpipe emissions'!$A$10:$A$126,'vehicles specifications'!$F117,'fuels and tailpipe emissions'!$B$10:$B$126,'vehicles specifications'!CB$2)/1000*$AQ117</f>
        <v>1.3382587477805262E-11</v>
      </c>
      <c r="CC117" s="7">
        <f>SUMIFS('fuels and tailpipe emissions'!$H$10:$H$126,'fuels and tailpipe emissions'!$A$10:$A$126,'vehicles specifications'!$F117,'fuels and tailpipe emissions'!$B$10:$B$126,'vehicles specifications'!CC$2)/1000*$AQ117</f>
        <v>8.9217249852035084E-12</v>
      </c>
      <c r="CD117" s="7">
        <f>SUMIFS('fuels and tailpipe emissions'!$H$10:$H$126,'fuels and tailpipe emissions'!$A$10:$A$126,'vehicles specifications'!$F117,'fuels and tailpipe emissions'!$B$10:$B$126,'vehicles specifications'!CD$2)/1000*$AQ117</f>
        <v>9.635462984019789E-8</v>
      </c>
      <c r="CE117" s="7">
        <f>SUMIFS('fuels and tailpipe emissions'!$H$10:$H$126,'fuels and tailpipe emissions'!$A$10:$A$126,'vehicles specifications'!$F117,'fuels and tailpipe emissions'!$B$10:$B$126,'vehicles specifications'!CE$2)/1000*$AQ117</f>
        <v>1.8735622468927363E-9</v>
      </c>
      <c r="CF117" s="7">
        <f>SUMIFS('fuels and tailpipe emissions'!$H$10:$H$126,'fuels and tailpipe emissions'!$A$10:$A$126,'vehicles specifications'!$F117,'fuels and tailpipe emissions'!$B$10:$B$126,'vehicles specifications'!CF$2)/1000*$AQ117</f>
        <v>5.7991212403822797E-10</v>
      </c>
      <c r="CG117" s="7">
        <f>SUMIFS('fuels and tailpipe emissions'!$H$10:$H$126,'fuels and tailpipe emissions'!$A$10:$A$126,'vehicles specifications'!$F117,'fuels and tailpipe emissions'!$B$10:$B$126,'vehicles specifications'!CG$2)/1000*$AQ117</f>
        <v>7.137379988162807E-10</v>
      </c>
      <c r="CH117" s="7">
        <f>SUMIFS('fuels and tailpipe emissions'!$H$10:$H$126,'fuels and tailpipe emissions'!$A$10:$A$126,'vehicles specifications'!$F117,'fuels and tailpipe emissions'!$B$10:$B$126,'vehicles specifications'!CH$2)/1000*$AQ117</f>
        <v>1.427475997632561E-12</v>
      </c>
      <c r="CI117" s="7">
        <f>SUMIFS('fuels and tailpipe emissions'!$H$10:$H$126,'fuels and tailpipe emissions'!$A$10:$A$126,'vehicles specifications'!$F117,'fuels and tailpipe emissions'!$B$10:$B$126,'vehicles specifications'!CI$2)/1000*$AQ117</f>
        <v>3.8809503685635257E-10</v>
      </c>
      <c r="CJ117" s="7">
        <f>SUMIFS('fuels and tailpipe emissions'!$H$10:$H$126,'fuels and tailpipe emissions'!$A$10:$A$126,'vehicles specifications'!$F117,'fuels and tailpipe emissions'!$B$10:$B$126,'vehicles specifications'!CJ$2)/1000*$AQ117</f>
        <v>4.8177314920098949E-10</v>
      </c>
      <c r="CK117" s="38">
        <f>VLOOKUP($B117,'abrasion emissions'!$O$7:$R$36,2,FALSE)</f>
        <v>0.33</v>
      </c>
      <c r="CL117" s="38">
        <f>VLOOKUP($B117,'abrasion emissions'!$O$7:$R$36,3,FALSE)</f>
        <v>0.33</v>
      </c>
      <c r="CM117" s="38">
        <f>VLOOKUP($B117,'abrasion emissions'!$O$7:$R$36,4,FALSE)</f>
        <v>0.33</v>
      </c>
      <c r="CN117" s="7">
        <f>((SUMIFS('abrasion emissions'!$M$7:$M$34,'abrasion emissions'!$I$7:$I$34,"PM 2.5",'abrasion emissions'!$J$7:$J$34,"urban",'abrasion emissions'!$K$7:$K$34,"Tyre",'abrasion emissions'!$L$7:$L$34,"b")*POWER(('vehicles specifications'!$Q117/1000),(1/SUMIFS('abrasion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specifications'!$P117/1000),(1/SUMIFS('abrasion emissions'!$M$7:$M$34,'abrasion emissions'!$I$7:$I$34,"PM 10",'abrasion emissions'!$J$7:$J$34,"urban",'abrasion emissions'!$K$7:$K$34,"Tyre",'abrasion emissions'!$L$7:$L$34,"c")))))/1000000</f>
        <v>8.3062411237614483E-6</v>
      </c>
      <c r="CO117" s="7">
        <f>((SUMIFS('abrasion emissions'!$M$7:$M$34,'abrasion emissions'!$I$7:$I$34,"PM 2.5",'abrasion emissions'!$J$7:$J$34,"rural",'abrasion emissions'!$K$7:$K$34,"Tyre",'abrasion emissions'!$L$7:$L$34,"b")*POWER(('vehicles specifications'!$Q117/1000),(1/SUMIFS('abrasion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specifications'!$P117/1000),(1/SUMIFS('abrasion emissions'!$M$7:$M$34,'abrasion emissions'!$I$7:$I$34,"PM 10",'abrasion emissions'!$J$7:$J$34,"rural",'abrasion emissions'!$K$7:$K$34,"Tyre",'abrasion emissions'!$L$7:$L$34,"c")))))/1000000</f>
        <v>6.4682110556774452E-6</v>
      </c>
      <c r="CP117" s="7">
        <f>((SUMIFS('abrasion emissions'!$M$7:$M$34,'abrasion emissions'!$I$7:$I$34,"PM 2.5",'abrasion emissions'!$J$7:$J$34,"motorway",'abrasion emissions'!$K$7:$K$34,"Tyre",'abrasion emissions'!$L$7:$L$34,"b")*POWER(('vehicles specifications'!$Q117/1000),(1/SUMIFS('abrasion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specifications'!$P117/1000),(1/SUMIFS('abrasion emissions'!$M$7:$M$34,'abrasion emissions'!$I$7:$I$34,"PM 10",'abrasion emissions'!$J$7:$J$34,"motorway",'abrasion emissions'!$K$7:$K$34,"Tyre",'abrasion emissions'!$L$7:$L$34,"c")))))/1000000</f>
        <v>5.5217840817449345E-6</v>
      </c>
      <c r="CQ117" s="7">
        <f>((SUMIFS('abrasion emissions'!$M$7:$M$34,'abrasion emissions'!$I$7:$I$34,"PM 2.5",'abrasion emissions'!$J$7:$J$34,"urban",'abrasion emissions'!$K$7:$K$34,"Brake",'abrasion emissions'!$L$7:$L$34,"b")*POWER(('vehicles specifications'!$Q117/1000),(1/SUMIFS('abrasion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specifications'!$P117/1000),(1/SUMIFS('abrasion emissions'!$M$7:$M$34,'abrasion emissions'!$I$7:$I$34,"PM 10",'abrasion emissions'!$J$7:$J$34,"urban",'abrasion emissions'!$K$7:$K$34,"Brake",'abrasion emissions'!$L$7:$L$34,"c")))))/1000000</f>
        <v>8.2583677972300274E-6</v>
      </c>
      <c r="CR117" s="7">
        <f>((SUMIFS('abrasion emissions'!$M$7:$M$34,'abrasion emissions'!$I$7:$I$34,"PM 2.5",'abrasion emissions'!$J$7:$J$34,"rural",'abrasion emissions'!$K$7:$K$34,"Brake",'abrasion emissions'!$L$7:$L$34,"b")*POWER(('vehicles specifications'!$Q117/1000),(1/SUMIFS('abrasion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specifications'!$P117/1000),(1/SUMIFS('abrasion emissions'!$M$7:$M$34,'abrasion emissions'!$I$7:$I$34,"PM 10",'abrasion emissions'!$J$7:$J$34,"rural",'abrasion emissions'!$K$7:$K$34,"Brake",'abrasion emissions'!$L$7:$L$34,"c")))))/1000000</f>
        <v>2.9060533897886684E-6</v>
      </c>
      <c r="CS117" s="7">
        <f>((SUMIFS('abrasion emissions'!$M$7:$M$34,'abrasion emissions'!$I$7:$I$34,"PM 2.5",'abrasion emissions'!$J$7:$J$34,"motorway",'abrasion emissions'!$K$7:$K$34,"Brake",'abrasion emissions'!$L$7:$L$34,"b")*POWER(('vehicles specifications'!$Q117/1000),(1/SUMIFS('abrasion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specifications'!$P117/1000),(1/SUMIFS('abrasion emissions'!$M$7:$M$34,'abrasion emissions'!$I$7:$I$34,"PM 10",'abrasion emissions'!$J$7:$J$34,"motorway",'abrasion emissions'!$K$7:$K$34,"Brake",'abrasion emissions'!$L$7:$L$34,"c")))))/1000000</f>
        <v>5.7370889718126504E-7</v>
      </c>
      <c r="CT117" s="7">
        <f>((SUMIFS('abrasion emissions'!$M$7:$M$38,'abrasion emissions'!$I$7:$I$38,"PM 2.5",'abrasion emissions'!$K$7:$K$38,"Re-susp.",'abrasion emissions'!$L$7:$L$38,"b")*POWER(('vehicles specifications'!$Q117/1000),(1/SUMIFS('abrasion emissions'!$M$7:$M$38,'abrasion emissions'!$I$7:$I$38,"PM 2.5",'abrasion emissions'!$K$7:$K$38,"Re-susp.",'abrasion emissions'!$L$7:$L$38,"c"))))+
(SUMIFS('abrasion emissions'!$M$7:$M$38,'abrasion emissions'!$I$7:$I$38,"PM 10",'abrasion emissions'!$K$7:$K$38,"Re-susp.",'abrasion emissions'!$L$7:$L$38,"b")*POWER(('vehicles specifications'!$Q117/1000),(1/SUMIFS('abrasion emissions'!$M$7:$M$38,'abrasion emissions'!$I$7:$I$38,"PM 10",'abrasion emissions'!$K$7:$K$38,"Re-susp.",'abrasion emissions'!$L$7:$L$38,"c")))))/1000000</f>
        <v>6.1419387572808959E-6</v>
      </c>
      <c r="CU117" s="7">
        <f>((SUMIFS('abrasion emissions'!$M$7:$M$38,'abrasion emissions'!$I$7:$I$38,"PM 2.5",'abrasion emissions'!$K$7:$K$38,"Road",'abrasion emissions'!$L$7:$L$38,"b")*POWER(('vehicles specifications'!$Q117/1000),(1/SUMIFS('abrasion emissions'!$M$7:$M$38,'abrasion emissions'!$I$7:$I$38,"PM 2.5",'abrasion emissions'!$K$7:$K$38,"Road",'abrasion emissions'!$L$7:$L$38,"c"))))+
(SUMIFS('abrasion emissions'!$M$7:$M$38,'abrasion emissions'!$I$7:$I$38,"PM 10",'abrasion emissions'!$K$7:$K$38,"Road",'abrasion emissions'!$L$7:$L$38,"b")*POWER(('vehicles specifications'!$Q117/1000),(1/SUMIFS('abrasion emissions'!$M$7:$M$38,'abrasion emissions'!$I$7:$I$38,"PM 10",'abrasion emissions'!$K$7:$K$38,"Road",'abrasion emissions'!$L$7:$L$38,"c")))))/1000000+CT117</f>
        <v>1.1105636978500829E-5</v>
      </c>
      <c r="CV117" s="7">
        <f>(CK117*CN117)+(CL117*CO117)+(CM117*CP117)</f>
        <v>6.6977579661906636E-6</v>
      </c>
      <c r="CW117" s="7">
        <f>(CK117*CQ117)+(CL117*CR117)+(CM117*CS117)</f>
        <v>3.8735829277859865E-6</v>
      </c>
    </row>
    <row r="118">
      <c r="A118" t="str">
        <f>B118&amp;" - "&amp;D118&amp;" - "&amp;IF(I118&lt;&gt;"",I118&amp;" - "&amp;E118,E118)</f>
        <v>Motorbike, gasoline, &gt;35kW, EURO-5 - 2050 - CH</v>
      </c>
      <c r="B118" t="inlineStr">
        <is>
          <t>Motorbike, gasoline, &gt;35kW, EURO-5</t>
        </is>
      </c>
      <c r="D118" s="18" t="n">
        <v>2050</v>
      </c>
      <c r="E118" t="inlineStr">
        <is>
          <t>CH</t>
        </is>
      </c>
      <c r="F118" t="inlineStr">
        <is>
          <t>EURO-5</t>
        </is>
      </c>
      <c r="G118" t="inlineStr">
        <is>
          <t>vkm</t>
        </is>
      </c>
      <c r="H118" t="inlineStr">
        <is>
          <t>ICEV-p</t>
        </is>
      </c>
      <c r="J118" t="n">
        <v>40500</v>
      </c>
      <c r="K118" t="n">
        <v>2896</v>
      </c>
      <c r="L118" s="2">
        <f>J118/K118</f>
        <v>13.984806629834255</v>
      </c>
      <c r="M118" t="n">
        <v>1.1</v>
      </c>
      <c r="N118" t="n">
        <v>75</v>
      </c>
      <c r="O118" t="n">
        <v>6</v>
      </c>
      <c r="P118" s="2">
        <f>SUM(U118,V118,W118,AC118,AF118,AH118)</f>
        <v>248.755</v>
      </c>
      <c r="Q118" s="2">
        <f>P118+(M118*N118)+O118</f>
        <v>337.255</v>
      </c>
      <c r="R118" t="n">
        <v>91</v>
      </c>
      <c r="S118" s="2" t="n">
        <v>111</v>
      </c>
      <c r="T118" s="1" t="n">
        <v>0.07000000000000001</v>
      </c>
      <c r="U118" s="2">
        <f>S118*(1-T118)</f>
        <v>103.22999999999999</v>
      </c>
      <c r="V118" s="2" t="n">
        <v>130</v>
      </c>
      <c r="W118" s="2" t="n">
        <v>0</v>
      </c>
      <c r="X118" s="3" t="n">
        <v>0</v>
      </c>
      <c r="Y118" s="1" t="n">
        <v>0.8</v>
      </c>
      <c r="Z118" s="3">
        <f>Y118*X118</f>
        <v>0</v>
      </c>
      <c r="AA118" s="3">
        <f>IF(I118&lt;&gt;"",X118/INDEX('energy battery'!$B$3:$D$6,MATCH('vehicles specifications'!$D118,'energy battery'!$A$3:$A$6,0),MATCH('vehicles specifications'!$I118,'energy battery'!$B$2:$D$2,0)),"")</f>
        <v/>
      </c>
      <c r="AB118" s="3">
        <f>IF(AA118&lt;&gt;"",0.3*AA118,"")</f>
        <v/>
      </c>
      <c r="AC118" s="3">
        <f>IF(AA118&lt;&gt;"",AB118+AA118,"")</f>
        <v/>
      </c>
      <c r="AD118" s="3" t="n">
        <v>0</v>
      </c>
      <c r="AE118" s="3" t="n">
        <v>18</v>
      </c>
      <c r="AF118">
        <f>AE118*'fuels and tailpipe emissions'!$B$3</f>
        <v>13.5</v>
      </c>
      <c r="AG118" s="2">
        <f>AF118*'fuels and tailpipe emissions'!$C$3</f>
        <v>159.75</v>
      </c>
      <c r="AH118" s="3">
        <f>0.15*AF118</f>
        <v>2.0249999999999999</v>
      </c>
      <c r="AI118" s="3" t="n">
        <v>0</v>
      </c>
      <c r="AJ118" s="3" t="n">
        <v>0</v>
      </c>
      <c r="AK118">
        <f>J118/25000</f>
        <v>1.62</v>
      </c>
      <c r="AL118">
        <f>0.000537/1000*Q118</f>
        <v>1.8110593499999999E-4</v>
      </c>
      <c r="AM118" t="n">
        <v>0.00129</v>
      </c>
      <c r="AN118" s="2">
        <f>U118</f>
        <v>103.22999999999999</v>
      </c>
      <c r="AO118" s="2">
        <f>SUM(V118:W118)</f>
        <v>130</v>
      </c>
      <c r="AP118" s="2">
        <f>AC118</f>
        <v/>
      </c>
      <c r="AQ118" s="6" t="n">
        <v>1.876907893762188</v>
      </c>
      <c r="AR118" s="20" t="n">
        <v>0.012</v>
      </c>
      <c r="AS118" s="6">
        <f>IF($H118="BEV",SUMPRODUCT(#REF!,#REF!),"")</f>
        <v/>
      </c>
      <c r="AT118" s="2">
        <f>SUM(Z118,AG118)/(SUM(AQ118,AS118)/3.6)</f>
        <v>306.40821636017245</v>
      </c>
      <c r="AU118" s="5">
        <f>IF($H118="ICEV-p",$AQ118/('fuels and tailpipe emissions'!$C$3*3.6)*'fuels and tailpipe emissions'!$D$3,"")*(1-AR118)</f>
        <v>0.13668471589146269</v>
      </c>
      <c r="AV118" s="5">
        <f>IF($H118="ICEV-p",$AQ118/('fuels and tailpipe emissions'!$C$3*3.6)*'fuels and tailpipe emissions'!$D$3,"")*AR118</f>
        <v>1.6601382496938789E-3</v>
      </c>
      <c r="AW118" s="7">
        <f>IF($H118="ICEV-p",$AQ118/('fuels and tailpipe emissions'!$C$3*3.6)*'fuels and tailpipe emissions'!$E$3,"")</f>
        <v>7.0494193192946013E-7</v>
      </c>
      <c r="AX118" s="7">
        <f>SUMIFS('fuels and tailpipe emissions'!$H$10:$H$126,'fuels and tailpipe emissions'!$A$10:$A$126,'vehicles specifications'!$F118,'fuels and tailpipe emissions'!$B$10:$B$126,'vehicles specifications'!AX$2)/1000*$AQ118</f>
        <v>1.4302341467700663E-6</v>
      </c>
      <c r="AY118" s="7">
        <f>SUMIFS('fuels and tailpipe emissions'!$H$10:$H$126,'fuels and tailpipe emissions'!$A$10:$A$126,'vehicles specifications'!$F118,'fuels and tailpipe emissions'!$B$10:$B$126,'vehicles specifications'!AY$2)/1000*$AQ118</f>
        <v>2.0159962862331985E-5</v>
      </c>
      <c r="AZ118" s="7">
        <f>SUMIFS('fuels and tailpipe emissions'!$H$10:$H$126,'fuels and tailpipe emissions'!$A$10:$A$126,'vehicles specifications'!$F118,'fuels and tailpipe emissions'!$B$10:$B$126,'vehicles specifications'!AZ$2)/1000*$AQ118</f>
        <v>1.5663565860987594E-4</v>
      </c>
      <c r="BA118" s="7">
        <f>SUMIFS('fuels and tailpipe emissions'!$H$10:$H$126,'fuels and tailpipe emissions'!$A$10:$A$126,'vehicles specifications'!$F118,'fuels and tailpipe emissions'!$B$10:$B$126,'vehicles specifications'!BA$2)/1000*$AQ118</f>
        <v>1.0610506769648412E-6</v>
      </c>
      <c r="BB118" s="7">
        <f>SUMIFS('fuels and tailpipe emissions'!$H$10:$H$126,'fuels and tailpipe emissions'!$A$10:$A$126,'vehicles specifications'!$F118,'fuels and tailpipe emissions'!$B$10:$B$126,'vehicles specifications'!BB$2)/1000*$AQ118</f>
        <v>1.0610506769648412E-6</v>
      </c>
      <c r="BC118" s="7">
        <f>SUMIFS('fuels and tailpipe emissions'!$H$10:$H$126,'fuels and tailpipe emissions'!$A$10:$A$126,'vehicles specifications'!$F118,'fuels and tailpipe emissions'!$B$10:$B$126,'vehicles specifications'!BC$2)/1000*$AQ118</f>
        <v>8.9306397611533445E-6</v>
      </c>
      <c r="BD118" s="7">
        <f>SUMIFS('fuels and tailpipe emissions'!$H$10:$H$126,'fuels and tailpipe emissions'!$A$10:$A$126,'vehicles specifications'!$F118,'fuels and tailpipe emissions'!$B$10:$B$126,'vehicles specifications'!BD$2)/1000*$AQ118</f>
        <v>2.6526266924121032E-6</v>
      </c>
      <c r="BE118" s="7">
        <f>SUMIFS('fuels and tailpipe emissions'!$H$10:$H$126,'fuels and tailpipe emissions'!$A$10:$A$126,'vehicles specifications'!$F118,'fuels and tailpipe emissions'!$B$10:$B$126,'vehicles specifications'!BE$2)/1000*$AQ118</f>
        <v>1.1533652905504065E-5</v>
      </c>
      <c r="BF118" s="7">
        <f>SUMIFS('fuels and tailpipe emissions'!$H$10:$H$126,'fuels and tailpipe emissions'!$A$10:$A$126,'vehicles specifications'!$F118,'fuels and tailpipe emissions'!$B$10:$B$126,'vehicles specifications'!BF$2)/1000*$AQ118</f>
        <v>8.132703971829788E-7</v>
      </c>
      <c r="BG118" s="7">
        <f>SUMIFS('fuels and tailpipe emissions'!$H$10:$H$126,'fuels and tailpipe emissions'!$A$10:$A$126,'vehicles specifications'!$F118,'fuels and tailpipe emissions'!$B$10:$B$126,'vehicles specifications'!BG$2)/1000*$AQ118</f>
        <v>1.6571340381471356E-7</v>
      </c>
      <c r="BH118" s="7">
        <f>SUMIFS('fuels and tailpipe emissions'!$H$10:$H$126,'fuels and tailpipe emissions'!$A$10:$A$126,'vehicles specifications'!$F118,'fuels and tailpipe emissions'!$B$10:$B$126,'vehicles specifications'!BH$2)/1000*$AQ118</f>
        <v>1.3359049784447677E-6</v>
      </c>
      <c r="BI118" s="7">
        <f>SUMIFS('fuels and tailpipe emissions'!$H$10:$H$126,'fuels and tailpipe emissions'!$A$10:$A$126,'vehicles specifications'!$F118,'fuels and tailpipe emissions'!$B$10:$B$126,'vehicles specifications'!BI$2)/1000*$AQ118</f>
        <v>5.4812895107943716E-7</v>
      </c>
      <c r="BJ118" s="7">
        <f>SUMIFS('fuels and tailpipe emissions'!$H$10:$H$126,'fuels and tailpipe emissions'!$A$10:$A$126,'vehicles specifications'!$F118,'fuels and tailpipe emissions'!$B$10:$B$126,'vehicles specifications'!BJ$2)/1000*$AQ118</f>
        <v>4.1045935406413667E-7</v>
      </c>
      <c r="BK118" s="7">
        <f>SUMIFS('fuels and tailpipe emissions'!$H$10:$H$126,'fuels and tailpipe emissions'!$A$10:$A$126,'vehicles specifications'!$F118,'fuels and tailpipe emissions'!$B$10:$B$126,'vehicles specifications'!BK$2)/1000*$AQ118</f>
        <v>2.9063581592118997E-7</v>
      </c>
      <c r="BL118" s="7">
        <f>SUMIFS('fuels and tailpipe emissions'!$H$10:$H$126,'fuels and tailpipe emissions'!$A$10:$A$126,'vehicles specifications'!$F118,'fuels and tailpipe emissions'!$B$10:$B$126,'vehicles specifications'!BL$2)/1000*$AQ118</f>
        <v>1.8865833665059698E-7</v>
      </c>
      <c r="BM118" s="7">
        <f>SUMIFS('fuels and tailpipe emissions'!$H$10:$H$126,'fuels and tailpipe emissions'!$A$10:$A$126,'vehicles specifications'!$F118,'fuels and tailpipe emissions'!$B$10:$B$126,'vehicles specifications'!BM$2)/1000*$AQ118</f>
        <v>1.8610889966883214E-6</v>
      </c>
      <c r="BN118" s="7">
        <f>SUMIFS('fuels and tailpipe emissions'!$H$10:$H$126,'fuels and tailpipe emissions'!$A$10:$A$126,'vehicles specifications'!$F118,'fuels and tailpipe emissions'!$B$10:$B$126,'vehicles specifications'!BN$2)/1000*$AQ118</f>
        <v>9.7388492703416292E-7</v>
      </c>
      <c r="BO118" s="7">
        <f>SUMIFS('fuels and tailpipe emissions'!$H$10:$H$126,'fuels and tailpipe emissions'!$A$10:$A$126,'vehicles specifications'!$F118,'fuels and tailpipe emissions'!$B$10:$B$126,'vehicles specifications'!BO$2)/1000*$AQ118</f>
        <v>2.804380679941307E-8</v>
      </c>
      <c r="BP118" s="7">
        <f>SUMIFS('fuels and tailpipe emissions'!$H$10:$H$126,'fuels and tailpipe emissions'!$A$10:$A$126,'vehicles specifications'!$F118,'fuels and tailpipe emissions'!$B$10:$B$126,'vehicles specifications'!BP$2)/1000*$AQ118</f>
        <v>1.4302341467700663E-6</v>
      </c>
      <c r="BQ118" s="7">
        <f>SUMIFS('fuels and tailpipe emissions'!$H$10:$H$126,'fuels and tailpipe emissions'!$A$10:$A$126,'vehicles specifications'!$F118,'fuels and tailpipe emissions'!$B$10:$B$126,'vehicles specifications'!BQ$2)/1000*$AQ118</f>
        <v>2.7992818059777767E-6</v>
      </c>
      <c r="BR118" s="7">
        <f>SUMIFS('fuels and tailpipe emissions'!$H$10:$H$126,'fuels and tailpipe emissions'!$A$10:$A$126,'vehicles specifications'!$F118,'fuels and tailpipe emissions'!$B$10:$B$126,'vehicles specifications'!BR$2)/1000*$AQ118</f>
        <v>1.3843442810982995E-6</v>
      </c>
      <c r="BS118" s="7">
        <f>SUMIFS('fuels and tailpipe emissions'!$H$10:$H$126,'fuels and tailpipe emissions'!$A$10:$A$126,'vehicles specifications'!$F118,'fuels and tailpipe emissions'!$B$10:$B$126,'vehicles specifications'!BS$2)/1000*$AQ118</f>
        <v>5.761727578788502E-7</v>
      </c>
      <c r="BT118" s="7">
        <f>SUMIFS('fuels and tailpipe emissions'!$H$10:$H$126,'fuels and tailpipe emissions'!$A$10:$A$126,'vehicles specifications'!$F118,'fuels and tailpipe emissions'!$B$10:$B$126,'vehicles specifications'!BT$2)/1000*$AQ118</f>
        <v>4.3340428690002014E-7</v>
      </c>
      <c r="BU118" s="7">
        <f>SUMIFS('fuels and tailpipe emissions'!$H$10:$H$126,'fuels and tailpipe emissions'!$A$10:$A$126,'vehicles specifications'!$F118,'fuels and tailpipe emissions'!$B$10:$B$126,'vehicles specifications'!BU$2)/1000*$AQ118</f>
        <v>1.9120777363236179E-7</v>
      </c>
      <c r="BV118" s="7">
        <f>SUMIFS('fuels and tailpipe emissions'!$H$10:$H$126,'fuels and tailpipe emissions'!$A$10:$A$126,'vehicles specifications'!$F118,'fuels and tailpipe emissions'!$B$10:$B$126,'vehicles specifications'!BV$2)/1000*$AQ118</f>
        <v>5.608761359882614E-8</v>
      </c>
      <c r="BW118" s="7">
        <f>SUMIFS('fuels and tailpipe emissions'!$H$10:$H$126,'fuels and tailpipe emissions'!$A$10:$A$126,'vehicles specifications'!$F118,'fuels and tailpipe emissions'!$B$10:$B$126,'vehicles specifications'!BW$2)/1000*$AQ118</f>
        <v>1.5551565588765426E-7</v>
      </c>
      <c r="BX118" s="7">
        <f>SUMIFS('fuels and tailpipe emissions'!$H$10:$H$126,'fuels and tailpipe emissions'!$A$10:$A$126,'vehicles specifications'!$F118,'fuels and tailpipe emissions'!$B$10:$B$126,'vehicles specifications'!BX$2)/1000*$AQ118</f>
        <v>0</v>
      </c>
      <c r="BY118" s="7">
        <f>SUMIFS('fuels and tailpipe emissions'!$H$10:$H$126,'fuels and tailpipe emissions'!$A$10:$A$126,'vehicles specifications'!$F118,'fuels and tailpipe emissions'!$B$10:$B$126,'vehicles specifications'!BY$2)/1000*$AQ118</f>
        <v>4.843930265353165E-8</v>
      </c>
      <c r="BZ118" s="7">
        <f>SUMIFS('fuels and tailpipe emissions'!$H$10:$H$126,'fuels and tailpipe emissions'!$A$10:$A$126,'vehicles specifications'!$F118,'fuels and tailpipe emissions'!$B$10:$B$126,'vehicles specifications'!BZ$2)/1000*$AQ118</f>
        <v>2.5749313515824725E-7</v>
      </c>
      <c r="CA118" s="7">
        <f>SUMIFS('fuels and tailpipe emissions'!$H$10:$H$126,'fuels and tailpipe emissions'!$A$10:$A$126,'vehicles specifications'!$F118,'fuels and tailpipe emissions'!$B$10:$B$126,'vehicles specifications'!CA$2)/1000*$AQ118</f>
        <v>1.5368563459511563E-9</v>
      </c>
      <c r="CB118" s="7">
        <f>SUMIFS('fuels and tailpipe emissions'!$H$10:$H$126,'fuels and tailpipe emissions'!$A$10:$A$126,'vehicles specifications'!$F118,'fuels and tailpipe emissions'!$B$10:$B$126,'vehicles specifications'!CB$2)/1000*$AQ118</f>
        <v>1.324876160302721E-11</v>
      </c>
      <c r="CC118" s="7">
        <f>SUMIFS('fuels and tailpipe emissions'!$H$10:$H$126,'fuels and tailpipe emissions'!$A$10:$A$126,'vehicles specifications'!$F118,'fuels and tailpipe emissions'!$B$10:$B$126,'vehicles specifications'!CC$2)/1000*$AQ118</f>
        <v>8.8325077353514733E-12</v>
      </c>
      <c r="CD118" s="7">
        <f>SUMIFS('fuels and tailpipe emissions'!$H$10:$H$126,'fuels and tailpipe emissions'!$A$10:$A$126,'vehicles specifications'!$F118,'fuels and tailpipe emissions'!$B$10:$B$126,'vehicles specifications'!CD$2)/1000*$AQ118</f>
        <v>9.539108354179591E-8</v>
      </c>
      <c r="CE118" s="7">
        <f>SUMIFS('fuels and tailpipe emissions'!$H$10:$H$126,'fuels and tailpipe emissions'!$A$10:$A$126,'vehicles specifications'!$F118,'fuels and tailpipe emissions'!$B$10:$B$126,'vehicles specifications'!CE$2)/1000*$AQ118</f>
        <v>1.854826624423809E-9</v>
      </c>
      <c r="CF118" s="7">
        <f>SUMIFS('fuels and tailpipe emissions'!$H$10:$H$126,'fuels and tailpipe emissions'!$A$10:$A$126,'vehicles specifications'!$F118,'fuels and tailpipe emissions'!$B$10:$B$126,'vehicles specifications'!CF$2)/1000*$AQ118</f>
        <v>5.741130027978458E-10</v>
      </c>
      <c r="CG118" s="7">
        <f>SUMIFS('fuels and tailpipe emissions'!$H$10:$H$126,'fuels and tailpipe emissions'!$A$10:$A$126,'vehicles specifications'!$F118,'fuels and tailpipe emissions'!$B$10:$B$126,'vehicles specifications'!CG$2)/1000*$AQ118</f>
        <v>7.0660061882811791E-10</v>
      </c>
      <c r="CH118" s="7">
        <f>SUMIFS('fuels and tailpipe emissions'!$H$10:$H$126,'fuels and tailpipe emissions'!$A$10:$A$126,'vehicles specifications'!$F118,'fuels and tailpipe emissions'!$B$10:$B$126,'vehicles specifications'!CH$2)/1000*$AQ118</f>
        <v>1.4132012376562355E-12</v>
      </c>
      <c r="CI118" s="7">
        <f>SUMIFS('fuels and tailpipe emissions'!$H$10:$H$126,'fuels and tailpipe emissions'!$A$10:$A$126,'vehicles specifications'!$F118,'fuels and tailpipe emissions'!$B$10:$B$126,'vehicles specifications'!CI$2)/1000*$AQ118</f>
        <v>3.8421408648778908E-10</v>
      </c>
      <c r="CJ118" s="7">
        <f>SUMIFS('fuels and tailpipe emissions'!$H$10:$H$126,'fuels and tailpipe emissions'!$A$10:$A$126,'vehicles specifications'!$F118,'fuels and tailpipe emissions'!$B$10:$B$126,'vehicles specifications'!CJ$2)/1000*$AQ118</f>
        <v>4.7695541770897962E-10</v>
      </c>
      <c r="CK118" s="38">
        <f>VLOOKUP($B118,'abrasion emissions'!$O$7:$R$36,2,FALSE)</f>
        <v>0.33</v>
      </c>
      <c r="CL118" s="38">
        <f>VLOOKUP($B118,'abrasion emissions'!$O$7:$R$36,3,FALSE)</f>
        <v>0.33</v>
      </c>
      <c r="CM118" s="38">
        <f>VLOOKUP($B118,'abrasion emissions'!$O$7:$R$36,4,FALSE)</f>
        <v>0.33</v>
      </c>
      <c r="CN118" s="7">
        <f>((SUMIFS('abrasion emissions'!$M$7:$M$34,'abrasion emissions'!$I$7:$I$34,"PM 2.5",'abrasion emissions'!$J$7:$J$34,"urban",'abrasion emissions'!$K$7:$K$34,"Tyre",'abrasion emissions'!$L$7:$L$34,"b")*POWER(('vehicles specifications'!$Q118/1000),(1/SUMIFS('abrasion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specifications'!$P118/1000),(1/SUMIFS('abrasion emissions'!$M$7:$M$34,'abrasion emissions'!$I$7:$I$34,"PM 10",'abrasion emissions'!$J$7:$J$34,"urban",'abrasion emissions'!$K$7:$K$34,"Tyre",'abrasion emissions'!$L$7:$L$34,"c")))))/1000000</f>
        <v>8.2793784659779021E-6</v>
      </c>
      <c r="CO118" s="7">
        <f>((SUMIFS('abrasion emissions'!$M$7:$M$34,'abrasion emissions'!$I$7:$I$34,"PM 2.5",'abrasion emissions'!$J$7:$J$34,"rural",'abrasion emissions'!$K$7:$K$34,"Tyre",'abrasion emissions'!$L$7:$L$34,"b")*POWER(('vehicles specifications'!$Q118/1000),(1/SUMIFS('abrasion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specifications'!$P118/1000),(1/SUMIFS('abrasion emissions'!$M$7:$M$34,'abrasion emissions'!$I$7:$I$34,"PM 10",'abrasion emissions'!$J$7:$J$34,"rural",'abrasion emissions'!$K$7:$K$34,"Tyre",'abrasion emissions'!$L$7:$L$34,"c")))))/1000000</f>
        <v>6.4473017892561255E-6</v>
      </c>
      <c r="CP118" s="7">
        <f>((SUMIFS('abrasion emissions'!$M$7:$M$34,'abrasion emissions'!$I$7:$I$34,"PM 2.5",'abrasion emissions'!$J$7:$J$34,"motorway",'abrasion emissions'!$K$7:$K$34,"Tyre",'abrasion emissions'!$L$7:$L$34,"b")*POWER(('vehicles specifications'!$Q118/1000),(1/SUMIFS('abrasion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specifications'!$P118/1000),(1/SUMIFS('abrasion emissions'!$M$7:$M$34,'abrasion emissions'!$I$7:$I$34,"PM 10",'abrasion emissions'!$J$7:$J$34,"motorway",'abrasion emissions'!$K$7:$K$34,"Tyre",'abrasion emissions'!$L$7:$L$34,"c")))))/1000000</f>
        <v>5.5039571985410661E-6</v>
      </c>
      <c r="CQ118" s="7">
        <f>((SUMIFS('abrasion emissions'!$M$7:$M$34,'abrasion emissions'!$I$7:$I$34,"PM 2.5",'abrasion emissions'!$J$7:$J$34,"urban",'abrasion emissions'!$K$7:$K$34,"Brake",'abrasion emissions'!$L$7:$L$34,"b")*POWER(('vehicles specifications'!$Q118/1000),(1/SUMIFS('abrasion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specifications'!$P118/1000),(1/SUMIFS('abrasion emissions'!$M$7:$M$34,'abrasion emissions'!$I$7:$I$34,"PM 10",'abrasion emissions'!$J$7:$J$34,"urban",'abrasion emissions'!$K$7:$K$34,"Brake",'abrasion emissions'!$L$7:$L$34,"c")))))/1000000</f>
        <v>8.2274281044295216E-6</v>
      </c>
      <c r="CR118" s="7">
        <f>((SUMIFS('abrasion emissions'!$M$7:$M$34,'abrasion emissions'!$I$7:$I$34,"PM 2.5",'abrasion emissions'!$J$7:$J$34,"rural",'abrasion emissions'!$K$7:$K$34,"Brake",'abrasion emissions'!$L$7:$L$34,"b")*POWER(('vehicles specifications'!$Q118/1000),(1/SUMIFS('abrasion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specifications'!$P118/1000),(1/SUMIFS('abrasion emissions'!$M$7:$M$34,'abrasion emissions'!$I$7:$I$34,"PM 10",'abrasion emissions'!$J$7:$J$34,"rural",'abrasion emissions'!$K$7:$K$34,"Brake",'abrasion emissions'!$L$7:$L$34,"c")))))/1000000</f>
        <v>2.8922662463300942E-6</v>
      </c>
      <c r="CS118" s="7">
        <f>((SUMIFS('abrasion emissions'!$M$7:$M$34,'abrasion emissions'!$I$7:$I$34,"PM 2.5",'abrasion emissions'!$J$7:$J$34,"motorway",'abrasion emissions'!$K$7:$K$34,"Brake",'abrasion emissions'!$L$7:$L$34,"b")*POWER(('vehicles specifications'!$Q118/1000),(1/SUMIFS('abrasion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specifications'!$P118/1000),(1/SUMIFS('abrasion emissions'!$M$7:$M$34,'abrasion emissions'!$I$7:$I$34,"PM 10",'abrasion emissions'!$J$7:$J$34,"motorway",'abrasion emissions'!$K$7:$K$34,"Brake",'abrasion emissions'!$L$7:$L$34,"c")))))/1000000</f>
        <v>5.7057530406188664E-7</v>
      </c>
      <c r="CT118" s="7">
        <f>((SUMIFS('abrasion emissions'!$M$7:$M$38,'abrasion emissions'!$I$7:$I$38,"PM 2.5",'abrasion emissions'!$K$7:$K$38,"Re-susp.",'abrasion emissions'!$L$7:$L$38,"b")*POWER(('vehicles specifications'!$Q118/1000),(1/SUMIFS('abrasion emissions'!$M$7:$M$38,'abrasion emissions'!$I$7:$I$38,"PM 2.5",'abrasion emissions'!$K$7:$K$38,"Re-susp.",'abrasion emissions'!$L$7:$L$38,"c"))))+
(SUMIFS('abrasion emissions'!$M$7:$M$38,'abrasion emissions'!$I$7:$I$38,"PM 10",'abrasion emissions'!$K$7:$K$38,"Re-susp.",'abrasion emissions'!$L$7:$L$38,"b")*POWER(('vehicles specifications'!$Q118/1000),(1/SUMIFS('abrasion emissions'!$M$7:$M$38,'abrasion emissions'!$I$7:$I$38,"PM 10",'abrasion emissions'!$K$7:$K$38,"Re-susp.",'abrasion emissions'!$L$7:$L$38,"c")))))/1000000</f>
        <v>6.1054139984541615E-6</v>
      </c>
      <c r="CU118" s="7">
        <f>((SUMIFS('abrasion emissions'!$M$7:$M$38,'abrasion emissions'!$I$7:$I$38,"PM 2.5",'abrasion emissions'!$K$7:$K$38,"Road",'abrasion emissions'!$L$7:$L$38,"b")*POWER(('vehicles specifications'!$Q118/1000),(1/SUMIFS('abrasion emissions'!$M$7:$M$38,'abrasion emissions'!$I$7:$I$38,"PM 2.5",'abrasion emissions'!$K$7:$K$38,"Road",'abrasion emissions'!$L$7:$L$38,"c"))))+
(SUMIFS('abrasion emissions'!$M$7:$M$38,'abrasion emissions'!$I$7:$I$38,"PM 10",'abrasion emissions'!$K$7:$K$38,"Road",'abrasion emissions'!$L$7:$L$38,"b")*POWER(('vehicles specifications'!$Q118/1000),(1/SUMIFS('abrasion emissions'!$M$7:$M$38,'abrasion emissions'!$I$7:$I$38,"PM 10",'abrasion emissions'!$K$7:$K$38,"Road",'abrasion emissions'!$L$7:$L$38,"c")))))/1000000+CT118</f>
        <v>1.104744846368179E-5</v>
      </c>
      <c r="CV118" s="7">
        <f>(CK118*CN118)+(CL118*CO118)+(CM118*CP118)</f>
        <v>6.6761103597457815E-6</v>
      </c>
      <c r="CW118" s="7">
        <f>(CK118*CQ118)+(CL118*CR118)+(CM118*CS118)</f>
        <v>3.8577889860910961E-6</v>
      </c>
    </row>
    <row r="119">
      <c r="A119" t="str">
        <f>B119&amp;" - "&amp;D119&amp;" - "&amp;IF(I119&lt;&gt;"",I119&amp;" - "&amp;E119,E119)</f>
        <v>Motorbike, battery electric, &lt;4kW - 2020 - NMC - CH</v>
      </c>
      <c r="B119" t="inlineStr">
        <is>
          <t>Motorbike, battery electric, &lt;4kW</t>
        </is>
      </c>
      <c r="D119" s="18" t="n">
        <v>2020</v>
      </c>
      <c r="E119" t="inlineStr">
        <is>
          <t>CH</t>
        </is>
      </c>
      <c r="F119" t="inlineStr">
        <is>
          <t>None</t>
        </is>
      </c>
      <c r="G119" t="inlineStr">
        <is>
          <t>vkm</t>
        </is>
      </c>
      <c r="H119" t="inlineStr">
        <is>
          <t>BEV</t>
        </is>
      </c>
      <c r="I119" t="inlineStr">
        <is>
          <t>NMC</t>
        </is>
      </c>
      <c r="J119" t="n">
        <v>25000</v>
      </c>
      <c r="K119" t="n">
        <v>1776</v>
      </c>
      <c r="L119" s="2">
        <f>J119/K119</f>
        <v>14.076576576576576</v>
      </c>
      <c r="M119" t="n">
        <v>1.1</v>
      </c>
      <c r="N119" t="n">
        <v>75</v>
      </c>
      <c r="O119" t="n">
        <v>6</v>
      </c>
      <c r="P119" s="2">
        <f>SUM(U119,V119,W119,AC119,AF119,AH119)</f>
        <v>76.7</v>
      </c>
      <c r="Q119" s="2">
        <f>P119+(M119*N119)+O119</f>
        <v>165.2</v>
      </c>
      <c r="R119" t="n">
        <v>2.5</v>
      </c>
      <c r="S119" s="2" t="n">
        <v>53</v>
      </c>
      <c r="T119" s="1" t="n">
        <v>0</v>
      </c>
      <c r="U119" s="2">
        <f>S119*(1-T119)</f>
        <v>53</v>
      </c>
      <c r="V119" s="2" t="n">
        <v>4.5</v>
      </c>
      <c r="W119" s="2" t="n">
        <v>7.5</v>
      </c>
      <c r="X119" s="3" t="n">
        <v>1.8</v>
      </c>
      <c r="Y119" s="1" t="n">
        <v>0.8</v>
      </c>
      <c r="Z119" s="3">
        <f>Y119*X119</f>
        <v>1.4400000000000002</v>
      </c>
      <c r="AA119" s="3">
        <f>IF(I119&lt;&gt;"",X119/INDEX('energy battery'!$B$3:$D$6,MATCH('vehicles specifications'!$D119,'energy battery'!$A$3:$A$6,0),MATCH('vehicles specifications'!$I119,'energy battery'!$B$2:$D$2,0)),"")</f>
        <v>9</v>
      </c>
      <c r="AB119" s="3">
        <f>IF(AA119&lt;&gt;"",0.3*AA119,"")</f>
        <v>2.6999999999999997</v>
      </c>
      <c r="AC119" s="3">
        <f>IF(AA119&lt;&gt;"",AB119+AA119,"")</f>
        <v>11.7</v>
      </c>
      <c r="AD119" s="3" t="n">
        <v>1</v>
      </c>
      <c r="AE119" s="3" t="n">
        <v>0</v>
      </c>
      <c r="AF119">
        <f>AE119*'fuels and tailpipe emissions'!$B$3</f>
        <v>0</v>
      </c>
      <c r="AG119" t="n">
        <v>0</v>
      </c>
      <c r="AH119" s="3" t="n">
        <v>0</v>
      </c>
      <c r="AI119" s="3" t="n">
        <v>3</v>
      </c>
      <c r="AJ119" s="3" t="n">
        <v>1</v>
      </c>
      <c r="AK119">
        <f>J119/25000</f>
        <v>1</v>
      </c>
      <c r="AL119">
        <f>0.000537/1000*Q119</f>
        <v>8.8712400000000001E-5</v>
      </c>
      <c r="AM119" t="n">
        <v>0.00129</v>
      </c>
      <c r="AN119" s="2">
        <f>U119</f>
        <v>53</v>
      </c>
      <c r="AO119" s="2">
        <f>SUM(V119:W119)</f>
        <v>12</v>
      </c>
      <c r="AP119" s="2">
        <f>AC119</f>
        <v>11.7</v>
      </c>
      <c r="AQ119" s="6" t="inlineStr"/>
      <c r="AR119" s="20" t="n"/>
      <c r="AS119" s="6" t="n">
        <v>0.121</v>
      </c>
      <c r="AT119" s="2">
        <f>SUM(Z119,AG119)/(SUM(AQ119,AS119)/3.6)</f>
        <v>42.842975206611577</v>
      </c>
      <c r="AU119" s="5" t="n">
        <v>0</v>
      </c>
      <c r="AV119" s="5" t="n">
        <v>0</v>
      </c>
      <c r="AW119" s="7" t="n">
        <v>0</v>
      </c>
      <c r="AX119" s="7" t="n">
        <v>0</v>
      </c>
      <c r="AY119" s="7" t="n">
        <v>0</v>
      </c>
      <c r="AZ119" s="7" t="n">
        <v>0</v>
      </c>
      <c r="BA119" s="7" t="n">
        <v>0</v>
      </c>
      <c r="BB119" s="7" t="n">
        <v>0</v>
      </c>
      <c r="BC119" s="7" t="n">
        <v>0</v>
      </c>
      <c r="BD119" s="7" t="n">
        <v>0</v>
      </c>
      <c r="BE119" s="7" t="n">
        <v>0</v>
      </c>
      <c r="BF119" s="7" t="n">
        <v>0</v>
      </c>
      <c r="BG119" s="7" t="n">
        <v>0</v>
      </c>
      <c r="BH119" s="7" t="n">
        <v>0</v>
      </c>
      <c r="BI119" s="7" t="n">
        <v>0</v>
      </c>
      <c r="BJ119" s="7" t="n">
        <v>0</v>
      </c>
      <c r="BK119" s="7" t="n">
        <v>0</v>
      </c>
      <c r="BL119" s="7" t="n">
        <v>0</v>
      </c>
      <c r="BM119" s="7" t="n">
        <v>0</v>
      </c>
      <c r="BN119" s="7" t="n">
        <v>0</v>
      </c>
      <c r="BO119" s="7" t="n">
        <v>0</v>
      </c>
      <c r="BP119" s="7" t="n">
        <v>0</v>
      </c>
      <c r="BQ119" s="7" t="n">
        <v>0</v>
      </c>
      <c r="BR119" s="7" t="n">
        <v>0</v>
      </c>
      <c r="BS119" s="7" t="n">
        <v>0</v>
      </c>
      <c r="BT119" s="7" t="n">
        <v>0</v>
      </c>
      <c r="BU119" s="7" t="n">
        <v>0</v>
      </c>
      <c r="BV119" s="7" t="n">
        <v>0</v>
      </c>
      <c r="BW119" s="7" t="n">
        <v>0</v>
      </c>
      <c r="BX119" s="7" t="n">
        <v>0</v>
      </c>
      <c r="BY119" s="7" t="n">
        <v>0</v>
      </c>
      <c r="BZ119" s="7" t="n">
        <v>0</v>
      </c>
      <c r="CA119" s="7" t="n">
        <v>0</v>
      </c>
      <c r="CB119" s="7" t="n">
        <v>0</v>
      </c>
      <c r="CC119" s="7" t="n">
        <v>0</v>
      </c>
      <c r="CD119" s="7" t="n">
        <v>0</v>
      </c>
      <c r="CE119" s="7" t="n">
        <v>0</v>
      </c>
      <c r="CF119" s="7" t="n">
        <v>0</v>
      </c>
      <c r="CG119" s="7" t="n">
        <v>0</v>
      </c>
      <c r="CH119" s="7" t="n">
        <v>0</v>
      </c>
      <c r="CI119" s="7" t="n">
        <v>0</v>
      </c>
      <c r="CJ119" s="7" t="n">
        <v>0</v>
      </c>
      <c r="CK119" s="38">
        <f>VLOOKUP($B119,'abrasion emissions'!$O$7:$R$36,2,FALSE)</f>
        <v>0.33</v>
      </c>
      <c r="CL119" s="38">
        <f>VLOOKUP($B119,'abrasion emissions'!$O$7:$R$36,3,FALSE)</f>
        <v>0.33</v>
      </c>
      <c r="CM119" s="38">
        <f>VLOOKUP($B119,'abrasion emissions'!$O$7:$R$36,4,FALSE)</f>
        <v>0.33</v>
      </c>
      <c r="CN119" s="7">
        <f>((SUMIFS('abrasion emissions'!$M$7:$M$34,'abrasion emissions'!$I$7:$I$34,"PM 2.5",'abrasion emissions'!$J$7:$J$34,"urban",'abrasion emissions'!$K$7:$K$34,"Tyre",'abrasion emissions'!$L$7:$L$34,"b")*POWER(('vehicles specifications'!$Q119/1000),(1/SUMIFS('abrasion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specifications'!$P119/1000),(1/SUMIFS('abrasion emissions'!$M$7:$M$34,'abrasion emissions'!$I$7:$I$34,"PM 10",'abrasion emissions'!$J$7:$J$34,"urban",'abrasion emissions'!$K$7:$K$34,"Tyre",'abrasion emissions'!$L$7:$L$34,"c")))))/1000000</f>
        <v>5.6472983541835316E-6</v>
      </c>
      <c r="CO119" s="7">
        <f>((SUMIFS('abrasion emissions'!$M$7:$M$34,'abrasion emissions'!$I$7:$I$34,"PM 2.5",'abrasion emissions'!$J$7:$J$34,"rural",'abrasion emissions'!$K$7:$K$34,"Tyre",'abrasion emissions'!$L$7:$L$34,"b")*POWER(('vehicles specifications'!$Q119/1000),(1/SUMIFS('abrasion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specifications'!$P119/1000),(1/SUMIFS('abrasion emissions'!$M$7:$M$34,'abrasion emissions'!$I$7:$I$34,"PM 10",'abrasion emissions'!$J$7:$J$34,"rural",'abrasion emissions'!$K$7:$K$34,"Tyre",'abrasion emissions'!$L$7:$L$34,"c")))))/1000000</f>
        <v>4.3988625873444564E-6</v>
      </c>
      <c r="CP119" s="7">
        <f>((SUMIFS('abrasion emissions'!$M$7:$M$34,'abrasion emissions'!$I$7:$I$34,"PM 2.5",'abrasion emissions'!$J$7:$J$34,"motorway",'abrasion emissions'!$K$7:$K$34,"Tyre",'abrasion emissions'!$L$7:$L$34,"b")*POWER(('vehicles specifications'!$Q119/1000),(1/SUMIFS('abrasion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specifications'!$P119/1000),(1/SUMIFS('abrasion emissions'!$M$7:$M$34,'abrasion emissions'!$I$7:$I$34,"PM 10",'abrasion emissions'!$J$7:$J$34,"motorway",'abrasion emissions'!$K$7:$K$34,"Tyre",'abrasion emissions'!$L$7:$L$34,"c")))))/1000000</f>
        <v>3.7582728287999042E-6</v>
      </c>
      <c r="CQ119" s="7">
        <f>((SUMIFS('abrasion emissions'!$M$7:$M$34,'abrasion emissions'!$I$7:$I$34,"PM 2.5",'abrasion emissions'!$J$7:$J$34,"urban",'abrasion emissions'!$K$7:$K$34,"Brake",'abrasion emissions'!$L$7:$L$34,"b")*POWER(('vehicles specifications'!$Q119/1000),(1/SUMIFS('abrasion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specifications'!$P119/1000),(1/SUMIFS('abrasion emissions'!$M$7:$M$34,'abrasion emissions'!$I$7:$I$34,"PM 10",'abrasion emissions'!$J$7:$J$34,"urban",'abrasion emissions'!$K$7:$K$34,"Brake",'abrasion emissions'!$L$7:$L$34,"c")))))/1000000</f>
        <v>5.3511930056293722E-6</v>
      </c>
      <c r="CR119" s="7">
        <f>((SUMIFS('abrasion emissions'!$M$7:$M$34,'abrasion emissions'!$I$7:$I$34,"PM 2.5",'abrasion emissions'!$J$7:$J$34,"rural",'abrasion emissions'!$K$7:$K$34,"Brake",'abrasion emissions'!$L$7:$L$34,"b")*POWER(('vehicles specifications'!$Q119/1000),(1/SUMIFS('abrasion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specifications'!$P119/1000),(1/SUMIFS('abrasion emissions'!$M$7:$M$34,'abrasion emissions'!$I$7:$I$34,"PM 10",'abrasion emissions'!$J$7:$J$34,"rural",'abrasion emissions'!$K$7:$K$34,"Brake",'abrasion emissions'!$L$7:$L$34,"c")))))/1000000</f>
        <v>1.679773020902114E-6</v>
      </c>
      <c r="CS119" s="7">
        <f>((SUMIFS('abrasion emissions'!$M$7:$M$34,'abrasion emissions'!$I$7:$I$34,"PM 2.5",'abrasion emissions'!$J$7:$J$34,"motorway",'abrasion emissions'!$K$7:$K$34,"Brake",'abrasion emissions'!$L$7:$L$34,"b")*POWER(('vehicles specifications'!$Q119/1000),(1/SUMIFS('abrasion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specifications'!$P119/1000),(1/SUMIFS('abrasion emissions'!$M$7:$M$34,'abrasion emissions'!$I$7:$I$34,"PM 10",'abrasion emissions'!$J$7:$J$34,"motorway",'abrasion emissions'!$K$7:$K$34,"Brake",'abrasion emissions'!$L$7:$L$34,"c")))))/1000000</f>
        <v>3.0579428045108337E-7</v>
      </c>
      <c r="CT119" s="7">
        <f>((SUMIFS('abrasion emissions'!$M$7:$M$38,'abrasion emissions'!$I$7:$I$38,"PM 2.5",'abrasion emissions'!$K$7:$K$38,"Re-susp.",'abrasion emissions'!$L$7:$L$38,"b")*POWER(('vehicles specifications'!$Q119/1000),(1/SUMIFS('abrasion emissions'!$M$7:$M$38,'abrasion emissions'!$I$7:$I$38,"PM 2.5",'abrasion emissions'!$K$7:$K$38,"Re-susp.",'abrasion emissions'!$L$7:$L$38,"c"))))+
(SUMIFS('abrasion emissions'!$M$7:$M$38,'abrasion emissions'!$I$7:$I$38,"PM 10",'abrasion emissions'!$K$7:$K$38,"Re-susp.",'abrasion emissions'!$L$7:$L$38,"b")*POWER(('vehicles specifications'!$Q119/1000),(1/SUMIFS('abrasion emissions'!$M$7:$M$38,'abrasion emissions'!$I$7:$I$38,"PM 10",'abrasion emissions'!$K$7:$K$38,"Re-susp.",'abrasion emissions'!$L$7:$L$38,"c")))))/1000000</f>
        <v>3.1911255201409019E-6</v>
      </c>
      <c r="CU119" s="7">
        <f>((SUMIFS('abrasion emissions'!$M$7:$M$38,'abrasion emissions'!$I$7:$I$38,"PM 2.5",'abrasion emissions'!$K$7:$K$38,"Road",'abrasion emissions'!$L$7:$L$38,"b")*POWER(('vehicles specifications'!$Q119/1000),(1/SUMIFS('abrasion emissions'!$M$7:$M$38,'abrasion emissions'!$I$7:$I$38,"PM 2.5",'abrasion emissions'!$K$7:$K$38,"Road",'abrasion emissions'!$L$7:$L$38,"c"))))+
(SUMIFS('abrasion emissions'!$M$7:$M$38,'abrasion emissions'!$I$7:$I$38,"PM 10",'abrasion emissions'!$K$7:$K$38,"Road",'abrasion emissions'!$L$7:$L$38,"b")*POWER(('vehicles specifications'!$Q119/1000),(1/SUMIFS('abrasion emissions'!$M$7:$M$38,'abrasion emissions'!$I$7:$I$38,"PM 10",'abrasion emissions'!$K$7:$K$38,"Road",'abrasion emissions'!$L$7:$L$38,"c")))))/1000000+CT119</f>
        <v>6.2620810940496784E-6</v>
      </c>
      <c r="CV119" s="7">
        <f>(CK119*CN119)+(CL119*CO119)+(CM119*CP119)</f>
        <v>4.5554631442082041E-6</v>
      </c>
      <c r="CW119" s="7">
        <f>(CK119*CQ119)+(CL119*CR119)+(CM119*CS119)</f>
        <v>2.4211309013042481E-6</v>
      </c>
    </row>
    <row r="120">
      <c r="A120" t="str">
        <f>B120&amp;" - "&amp;D120&amp;" - "&amp;IF(I120&lt;&gt;"",I120&amp;" - "&amp;E120,E120)</f>
        <v>Motorbike, battery electric, &lt;4kW - 2030 - NMC - CH</v>
      </c>
      <c r="B120" t="inlineStr">
        <is>
          <t>Motorbike, battery electric, &lt;4kW</t>
        </is>
      </c>
      <c r="D120" s="18" t="n">
        <v>2030</v>
      </c>
      <c r="E120" t="inlineStr">
        <is>
          <t>CH</t>
        </is>
      </c>
      <c r="F120" t="inlineStr">
        <is>
          <t>None</t>
        </is>
      </c>
      <c r="G120" t="inlineStr">
        <is>
          <t>vkm</t>
        </is>
      </c>
      <c r="H120" t="inlineStr">
        <is>
          <t>BEV</t>
        </is>
      </c>
      <c r="I120" t="inlineStr">
        <is>
          <t>NMC</t>
        </is>
      </c>
      <c r="J120" t="n">
        <v>25000</v>
      </c>
      <c r="K120" t="n">
        <v>1776</v>
      </c>
      <c r="L120" s="2">
        <f>J120/K120</f>
        <v>14.076576576576576</v>
      </c>
      <c r="M120" t="n">
        <v>1.1</v>
      </c>
      <c r="N120" t="n">
        <v>75</v>
      </c>
      <c r="O120" t="n">
        <v>6</v>
      </c>
      <c r="P120" s="2">
        <f>SUM(U120,V120,W120,AC120,AF120,AH120)</f>
        <v>77.276666666666671</v>
      </c>
      <c r="Q120" s="2">
        <f>P120+(M120*N120)+O120</f>
        <v>165.77666666666667</v>
      </c>
      <c r="R120" t="n">
        <v>2.5</v>
      </c>
      <c r="S120" s="2" t="n">
        <v>53</v>
      </c>
      <c r="T120" s="1" t="n">
        <v>0.03</v>
      </c>
      <c r="U120" s="2">
        <f>S120*(1-T120)</f>
        <v>51.41</v>
      </c>
      <c r="V120" s="2" t="n">
        <v>4.5</v>
      </c>
      <c r="W120" s="2" t="n">
        <v>7.5</v>
      </c>
      <c r="X120" s="3" t="n">
        <v>3.2</v>
      </c>
      <c r="Y120" s="1" t="n">
        <v>0.8</v>
      </c>
      <c r="Z120" s="3">
        <f>Y120*X120</f>
        <v>2.5600000000000005</v>
      </c>
      <c r="AA120" s="3">
        <f>IF(I120&lt;&gt;"",X120/INDEX('energy battery'!$B$3:$D$6,MATCH('vehicles specifications'!$D120,'energy battery'!$A$3:$A$6,0),MATCH('vehicles specifications'!$I120,'energy battery'!$B$2:$D$2,0)),"")</f>
        <v>10.666666666666668</v>
      </c>
      <c r="AB120" s="3">
        <f>IF(AA120&lt;&gt;"",0.3*AA120,"")</f>
        <v>3.2</v>
      </c>
      <c r="AC120" s="3">
        <f>IF(AA120&lt;&gt;"",AB120+AA120,"")</f>
        <v>13.866666666666667</v>
      </c>
      <c r="AD120" s="3" t="n">
        <v>0.5</v>
      </c>
      <c r="AE120" s="3" t="n">
        <v>0</v>
      </c>
      <c r="AF120">
        <f>AE120*'fuels and tailpipe emissions'!$B$3</f>
        <v>0</v>
      </c>
      <c r="AG120" t="n">
        <v>0</v>
      </c>
      <c r="AH120" s="3" t="n">
        <v>0</v>
      </c>
      <c r="AI120" s="3" t="n">
        <v>3</v>
      </c>
      <c r="AJ120" s="3" t="n">
        <v>1</v>
      </c>
      <c r="AK120">
        <f>J120/25000</f>
        <v>1</v>
      </c>
      <c r="AL120">
        <f>0.000537/1000*Q120</f>
        <v>8.9022070000000007E-5</v>
      </c>
      <c r="AM120" t="n">
        <v>0.00129</v>
      </c>
      <c r="AN120" s="2">
        <f>U120</f>
        <v>51.41</v>
      </c>
      <c r="AO120" s="2">
        <f>SUM(V120:W120)</f>
        <v>12</v>
      </c>
      <c r="AP120" s="2">
        <f>AC120</f>
        <v>13.866666666666667</v>
      </c>
      <c r="AQ120" s="6" t="inlineStr"/>
      <c r="AR120" s="20" t="n"/>
      <c r="AS120" s="6" t="n">
        <v>0.121</v>
      </c>
      <c r="AT120" s="2">
        <f>SUM(Z120,AG120)/(SUM(AQ120,AS120)/3.6)</f>
        <v>76.165289256198363</v>
      </c>
      <c r="AU120" s="5" t="n">
        <v>0</v>
      </c>
      <c r="AV120" s="5" t="n">
        <v>0</v>
      </c>
      <c r="AW120" s="7" t="n">
        <v>0</v>
      </c>
      <c r="AX120" s="7" t="n">
        <v>0</v>
      </c>
      <c r="AY120" s="7" t="n">
        <v>0</v>
      </c>
      <c r="AZ120" s="7" t="n">
        <v>0</v>
      </c>
      <c r="BA120" s="7" t="n">
        <v>0</v>
      </c>
      <c r="BB120" s="7" t="n">
        <v>0</v>
      </c>
      <c r="BC120" s="7" t="n">
        <v>0</v>
      </c>
      <c r="BD120" s="7" t="n">
        <v>0</v>
      </c>
      <c r="BE120" s="7" t="n">
        <v>0</v>
      </c>
      <c r="BF120" s="7" t="n">
        <v>0</v>
      </c>
      <c r="BG120" s="7" t="n">
        <v>0</v>
      </c>
      <c r="BH120" s="7" t="n">
        <v>0</v>
      </c>
      <c r="BI120" s="7" t="n">
        <v>0</v>
      </c>
      <c r="BJ120" s="7" t="n">
        <v>0</v>
      </c>
      <c r="BK120" s="7" t="n">
        <v>0</v>
      </c>
      <c r="BL120" s="7" t="n">
        <v>0</v>
      </c>
      <c r="BM120" s="7" t="n">
        <v>0</v>
      </c>
      <c r="BN120" s="7" t="n">
        <v>0</v>
      </c>
      <c r="BO120" s="7" t="n">
        <v>0</v>
      </c>
      <c r="BP120" s="7" t="n">
        <v>0</v>
      </c>
      <c r="BQ120" s="7" t="n">
        <v>0</v>
      </c>
      <c r="BR120" s="7" t="n">
        <v>0</v>
      </c>
      <c r="BS120" s="7" t="n">
        <v>0</v>
      </c>
      <c r="BT120" s="7" t="n">
        <v>0</v>
      </c>
      <c r="BU120" s="7" t="n">
        <v>0</v>
      </c>
      <c r="BV120" s="7" t="n">
        <v>0</v>
      </c>
      <c r="BW120" s="7" t="n">
        <v>0</v>
      </c>
      <c r="BX120" s="7" t="n">
        <v>0</v>
      </c>
      <c r="BY120" s="7" t="n">
        <v>0</v>
      </c>
      <c r="BZ120" s="7" t="n">
        <v>0</v>
      </c>
      <c r="CA120" s="7" t="n">
        <v>0</v>
      </c>
      <c r="CB120" s="7" t="n">
        <v>0</v>
      </c>
      <c r="CC120" s="7" t="n">
        <v>0</v>
      </c>
      <c r="CD120" s="7" t="n">
        <v>0</v>
      </c>
      <c r="CE120" s="7" t="n">
        <v>0</v>
      </c>
      <c r="CF120" s="7" t="n">
        <v>0</v>
      </c>
      <c r="CG120" s="7" t="n">
        <v>0</v>
      </c>
      <c r="CH120" s="7" t="n">
        <v>0</v>
      </c>
      <c r="CI120" s="7" t="n">
        <v>0</v>
      </c>
      <c r="CJ120" s="7" t="n">
        <v>0</v>
      </c>
      <c r="CK120" s="38">
        <f>VLOOKUP($B120,'abrasion emissions'!$O$7:$R$36,2,FALSE)</f>
        <v>0.33</v>
      </c>
      <c r="CL120" s="38">
        <f>VLOOKUP($B120,'abrasion emissions'!$O$7:$R$36,3,FALSE)</f>
        <v>0.33</v>
      </c>
      <c r="CM120" s="38">
        <f>VLOOKUP($B120,'abrasion emissions'!$O$7:$R$36,4,FALSE)</f>
        <v>0.33</v>
      </c>
      <c r="CN120" s="7">
        <f>((SUMIFS('abrasion emissions'!$M$7:$M$34,'abrasion emissions'!$I$7:$I$34,"PM 2.5",'abrasion emissions'!$J$7:$J$34,"urban",'abrasion emissions'!$K$7:$K$34,"Tyre",'abrasion emissions'!$L$7:$L$34,"b")*POWER(('vehicles specifications'!$Q120/1000),(1/SUMIFS('abrasion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specifications'!$P120/1000),(1/SUMIFS('abrasion emissions'!$M$7:$M$34,'abrasion emissions'!$I$7:$I$34,"PM 10",'abrasion emissions'!$J$7:$J$34,"urban",'abrasion emissions'!$K$7:$K$34,"Tyre",'abrasion emissions'!$L$7:$L$34,"c")))))/1000000</f>
        <v>5.659176301253236E-6</v>
      </c>
      <c r="CO120" s="7">
        <f>((SUMIFS('abrasion emissions'!$M$7:$M$34,'abrasion emissions'!$I$7:$I$34,"PM 2.5",'abrasion emissions'!$J$7:$J$34,"rural",'abrasion emissions'!$K$7:$K$34,"Tyre",'abrasion emissions'!$L$7:$L$34,"b")*POWER(('vehicles specifications'!$Q120/1000),(1/SUMIFS('abrasion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specifications'!$P120/1000),(1/SUMIFS('abrasion emissions'!$M$7:$M$34,'abrasion emissions'!$I$7:$I$34,"PM 10",'abrasion emissions'!$J$7:$J$34,"rural",'abrasion emissions'!$K$7:$K$34,"Tyre",'abrasion emissions'!$L$7:$L$34,"c")))))/1000000</f>
        <v>4.4081045239699584E-6</v>
      </c>
      <c r="CP120" s="7">
        <f>((SUMIFS('abrasion emissions'!$M$7:$M$34,'abrasion emissions'!$I$7:$I$34,"PM 2.5",'abrasion emissions'!$J$7:$J$34,"motorway",'abrasion emissions'!$K$7:$K$34,"Tyre",'abrasion emissions'!$L$7:$L$34,"b")*POWER(('vehicles specifications'!$Q120/1000),(1/SUMIFS('abrasion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specifications'!$P120/1000),(1/SUMIFS('abrasion emissions'!$M$7:$M$34,'abrasion emissions'!$I$7:$I$34,"PM 10",'abrasion emissions'!$J$7:$J$34,"motorway",'abrasion emissions'!$K$7:$K$34,"Tyre",'abrasion emissions'!$L$7:$L$34,"c")))))/1000000</f>
        <v>3.7661433554494425E-6</v>
      </c>
      <c r="CQ120" s="7">
        <f>((SUMIFS('abrasion emissions'!$M$7:$M$34,'abrasion emissions'!$I$7:$I$34,"PM 2.5",'abrasion emissions'!$J$7:$J$34,"urban",'abrasion emissions'!$K$7:$K$34,"Brake",'abrasion emissions'!$L$7:$L$34,"b")*POWER(('vehicles specifications'!$Q120/1000),(1/SUMIFS('abrasion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specifications'!$P120/1000),(1/SUMIFS('abrasion emissions'!$M$7:$M$34,'abrasion emissions'!$I$7:$I$34,"PM 10",'abrasion emissions'!$J$7:$J$34,"urban",'abrasion emissions'!$K$7:$K$34,"Brake",'abrasion emissions'!$L$7:$L$34,"c")))))/1000000</f>
        <v>5.363314896447151E-6</v>
      </c>
      <c r="CR120" s="7">
        <f>((SUMIFS('abrasion emissions'!$M$7:$M$34,'abrasion emissions'!$I$7:$I$34,"PM 2.5",'abrasion emissions'!$J$7:$J$34,"rural",'abrasion emissions'!$K$7:$K$34,"Brake",'abrasion emissions'!$L$7:$L$34,"b")*POWER(('vehicles specifications'!$Q120/1000),(1/SUMIFS('abrasion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specifications'!$P120/1000),(1/SUMIFS('abrasion emissions'!$M$7:$M$34,'abrasion emissions'!$I$7:$I$34,"PM 10",'abrasion emissions'!$J$7:$J$34,"rural",'abrasion emissions'!$K$7:$K$34,"Brake",'abrasion emissions'!$L$7:$L$34,"c")))))/1000000</f>
        <v>1.6845507492488338E-6</v>
      </c>
      <c r="CS120" s="7">
        <f>((SUMIFS('abrasion emissions'!$M$7:$M$34,'abrasion emissions'!$I$7:$I$34,"PM 2.5",'abrasion emissions'!$J$7:$J$34,"motorway",'abrasion emissions'!$K$7:$K$34,"Brake",'abrasion emissions'!$L$7:$L$34,"b")*POWER(('vehicles specifications'!$Q120/1000),(1/SUMIFS('abrasion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specifications'!$P120/1000),(1/SUMIFS('abrasion emissions'!$M$7:$M$34,'abrasion emissions'!$I$7:$I$34,"PM 10",'abrasion emissions'!$J$7:$J$34,"motorway",'abrasion emissions'!$K$7:$K$34,"Brake",'abrasion emissions'!$L$7:$L$34,"c")))))/1000000</f>
        <v>3.0678676285680688E-7</v>
      </c>
      <c r="CT120" s="7">
        <f>((SUMIFS('abrasion emissions'!$M$7:$M$38,'abrasion emissions'!$I$7:$I$38,"PM 2.5",'abrasion emissions'!$K$7:$K$38,"Re-susp.",'abrasion emissions'!$L$7:$L$38,"b")*POWER(('vehicles specifications'!$Q120/1000),(1/SUMIFS('abrasion emissions'!$M$7:$M$38,'abrasion emissions'!$I$7:$I$38,"PM 2.5",'abrasion emissions'!$K$7:$K$38,"Re-susp.",'abrasion emissions'!$L$7:$L$38,"c"))))+
(SUMIFS('abrasion emissions'!$M$7:$M$38,'abrasion emissions'!$I$7:$I$38,"PM 10",'abrasion emissions'!$K$7:$K$38,"Re-susp.",'abrasion emissions'!$L$7:$L$38,"b")*POWER(('vehicles specifications'!$Q120/1000),(1/SUMIFS('abrasion emissions'!$M$7:$M$38,'abrasion emissions'!$I$7:$I$38,"PM 10",'abrasion emissions'!$K$7:$K$38,"Re-susp.",'abrasion emissions'!$L$7:$L$38,"c")))))/1000000</f>
        <v>3.2012505702254139E-6</v>
      </c>
      <c r="CU120" s="7">
        <f>((SUMIFS('abrasion emissions'!$M$7:$M$38,'abrasion emissions'!$I$7:$I$38,"PM 2.5",'abrasion emissions'!$K$7:$K$38,"Road",'abrasion emissions'!$L$7:$L$38,"b")*POWER(('vehicles specifications'!$Q120/1000),(1/SUMIFS('abrasion emissions'!$M$7:$M$38,'abrasion emissions'!$I$7:$I$38,"PM 2.5",'abrasion emissions'!$K$7:$K$38,"Road",'abrasion emissions'!$L$7:$L$38,"c"))))+
(SUMIFS('abrasion emissions'!$M$7:$M$38,'abrasion emissions'!$I$7:$I$38,"PM 10",'abrasion emissions'!$K$7:$K$38,"Road",'abrasion emissions'!$L$7:$L$38,"b")*POWER(('vehicles specifications'!$Q120/1000),(1/SUMIFS('abrasion emissions'!$M$7:$M$38,'abrasion emissions'!$I$7:$I$38,"PM 10",'abrasion emissions'!$K$7:$K$38,"Road",'abrasion emissions'!$L$7:$L$38,"c")))))/1000000+CT120</f>
        <v>6.279348553390259E-6</v>
      </c>
      <c r="CV120" s="7">
        <f>(CK120*CN120)+(CL120*CO120)+(CM120*CP120)</f>
        <v>4.5650299796219703E-6</v>
      </c>
      <c r="CW120" s="7">
        <f>(CK120*CQ120)+(CL120*CR120)+(CM120*CS120)</f>
        <v>2.4270352948224213E-6</v>
      </c>
    </row>
    <row r="121">
      <c r="A121" t="str">
        <f>B121&amp;" - "&amp;D121&amp;" - "&amp;IF(I121&lt;&gt;"",I121&amp;" - "&amp;E121,E121)</f>
        <v>Motorbike, battery electric, &lt;4kW - 2040 - NMC - CH</v>
      </c>
      <c r="B121" t="inlineStr">
        <is>
          <t>Motorbike, battery electric, &lt;4kW</t>
        </is>
      </c>
      <c r="D121" s="18" t="n">
        <v>2040</v>
      </c>
      <c r="E121" t="inlineStr">
        <is>
          <t>CH</t>
        </is>
      </c>
      <c r="F121" t="inlineStr">
        <is>
          <t>None</t>
        </is>
      </c>
      <c r="G121" t="inlineStr">
        <is>
          <t>vkm</t>
        </is>
      </c>
      <c r="H121" t="inlineStr">
        <is>
          <t>BEV</t>
        </is>
      </c>
      <c r="I121" t="inlineStr">
        <is>
          <t>NMC</t>
        </is>
      </c>
      <c r="J121" t="n">
        <v>25000</v>
      </c>
      <c r="K121" t="n">
        <v>1776</v>
      </c>
      <c r="L121" s="2">
        <f>J121/K121</f>
        <v>14.076576576576576</v>
      </c>
      <c r="M121" t="n">
        <v>1.1</v>
      </c>
      <c r="N121" t="n">
        <v>75</v>
      </c>
      <c r="O121" t="n">
        <v>6</v>
      </c>
      <c r="P121" s="2">
        <f>SUM(U121,V121,W121,AC121,AF121,AH121)</f>
        <v>76.974999999999994</v>
      </c>
      <c r="Q121" s="2">
        <f>P121+(M121*N121)+O121</f>
        <v>165.47499999999999</v>
      </c>
      <c r="R121" t="n">
        <v>2.5</v>
      </c>
      <c r="S121" s="2" t="n">
        <v>53</v>
      </c>
      <c r="T121" s="1" t="n">
        <v>0.05</v>
      </c>
      <c r="U121" s="2">
        <f>S121*(1-T121)</f>
        <v>50.349999999999994</v>
      </c>
      <c r="V121" s="2" t="n">
        <v>4.5</v>
      </c>
      <c r="W121" s="2" t="n">
        <v>7.5</v>
      </c>
      <c r="X121" s="3" t="n">
        <v>4.5</v>
      </c>
      <c r="Y121" s="1" t="n">
        <v>0.8</v>
      </c>
      <c r="Z121" s="3">
        <f>Y121*X121</f>
        <v>3.6</v>
      </c>
      <c r="AA121" s="3">
        <f>IF(I121&lt;&gt;"",X121/INDEX('energy battery'!$B$3:$D$6,MATCH('vehicles specifications'!$D121,'energy battery'!$A$3:$A$6,0),MATCH('vehicles specifications'!$I121,'energy battery'!$B$2:$D$2,0)),"")</f>
        <v>11.25</v>
      </c>
      <c r="AB121" s="3">
        <f>IF(AA121&lt;&gt;"",0.3*AA121,"")</f>
        <v>3.375</v>
      </c>
      <c r="AC121" s="3">
        <f>IF(AA121&lt;&gt;"",AB121+AA121,"")</f>
        <v>14.625</v>
      </c>
      <c r="AD121" s="3" t="n">
        <v>0.25</v>
      </c>
      <c r="AE121" s="3" t="n">
        <v>0</v>
      </c>
      <c r="AF121">
        <f>AE121*'fuels and tailpipe emissions'!$B$3</f>
        <v>0</v>
      </c>
      <c r="AG121" t="n">
        <v>0</v>
      </c>
      <c r="AH121" s="3" t="n">
        <v>0</v>
      </c>
      <c r="AI121" s="3" t="n">
        <v>3</v>
      </c>
      <c r="AJ121" s="3" t="n">
        <v>1</v>
      </c>
      <c r="AK121">
        <f>J121/25000</f>
        <v>1</v>
      </c>
      <c r="AL121">
        <f>0.000537/1000*Q121</f>
        <v>8.8860074999999998E-5</v>
      </c>
      <c r="AM121" t="n">
        <v>0.00129</v>
      </c>
      <c r="AN121" s="2">
        <f>U121</f>
        <v>50.349999999999994</v>
      </c>
      <c r="AO121" s="2">
        <f>SUM(V121:W121)</f>
        <v>12</v>
      </c>
      <c r="AP121" s="2">
        <f>AC121</f>
        <v>14.625</v>
      </c>
      <c r="AQ121" s="6" t="inlineStr"/>
      <c r="AR121" s="20" t="n"/>
      <c r="AS121" s="6" t="n">
        <v>0.121</v>
      </c>
      <c r="AT121" s="2">
        <f>SUM(Z121,AG121)/(SUM(AQ121,AS121)/3.6)</f>
        <v>107.10743801652892</v>
      </c>
      <c r="AU121" s="5" t="n">
        <v>0</v>
      </c>
      <c r="AV121" s="5" t="n">
        <v>0</v>
      </c>
      <c r="AW121" s="7" t="n">
        <v>0</v>
      </c>
      <c r="AX121" s="7" t="n">
        <v>0</v>
      </c>
      <c r="AY121" s="7" t="n">
        <v>0</v>
      </c>
      <c r="AZ121" s="7" t="n">
        <v>0</v>
      </c>
      <c r="BA121" s="7" t="n">
        <v>0</v>
      </c>
      <c r="BB121" s="7" t="n">
        <v>0</v>
      </c>
      <c r="BC121" s="7" t="n">
        <v>0</v>
      </c>
      <c r="BD121" s="7" t="n">
        <v>0</v>
      </c>
      <c r="BE121" s="7" t="n">
        <v>0</v>
      </c>
      <c r="BF121" s="7" t="n">
        <v>0</v>
      </c>
      <c r="BG121" s="7" t="n">
        <v>0</v>
      </c>
      <c r="BH121" s="7" t="n">
        <v>0</v>
      </c>
      <c r="BI121" s="7" t="n">
        <v>0</v>
      </c>
      <c r="BJ121" s="7" t="n">
        <v>0</v>
      </c>
      <c r="BK121" s="7" t="n">
        <v>0</v>
      </c>
      <c r="BL121" s="7" t="n">
        <v>0</v>
      </c>
      <c r="BM121" s="7" t="n">
        <v>0</v>
      </c>
      <c r="BN121" s="7" t="n">
        <v>0</v>
      </c>
      <c r="BO121" s="7" t="n">
        <v>0</v>
      </c>
      <c r="BP121" s="7" t="n">
        <v>0</v>
      </c>
      <c r="BQ121" s="7" t="n">
        <v>0</v>
      </c>
      <c r="BR121" s="7" t="n">
        <v>0</v>
      </c>
      <c r="BS121" s="7" t="n">
        <v>0</v>
      </c>
      <c r="BT121" s="7" t="n">
        <v>0</v>
      </c>
      <c r="BU121" s="7" t="n">
        <v>0</v>
      </c>
      <c r="BV121" s="7" t="n">
        <v>0</v>
      </c>
      <c r="BW121" s="7" t="n">
        <v>0</v>
      </c>
      <c r="BX121" s="7" t="n">
        <v>0</v>
      </c>
      <c r="BY121" s="7" t="n">
        <v>0</v>
      </c>
      <c r="BZ121" s="7" t="n">
        <v>0</v>
      </c>
      <c r="CA121" s="7" t="n">
        <v>0</v>
      </c>
      <c r="CB121" s="7" t="n">
        <v>0</v>
      </c>
      <c r="CC121" s="7" t="n">
        <v>0</v>
      </c>
      <c r="CD121" s="7" t="n">
        <v>0</v>
      </c>
      <c r="CE121" s="7" t="n">
        <v>0</v>
      </c>
      <c r="CF121" s="7" t="n">
        <v>0</v>
      </c>
      <c r="CG121" s="7" t="n">
        <v>0</v>
      </c>
      <c r="CH121" s="7" t="n">
        <v>0</v>
      </c>
      <c r="CI121" s="7" t="n">
        <v>0</v>
      </c>
      <c r="CJ121" s="7" t="n">
        <v>0</v>
      </c>
      <c r="CK121" s="38">
        <f>VLOOKUP($B121,'abrasion emissions'!$O$7:$R$36,2,FALSE)</f>
        <v>0.33</v>
      </c>
      <c r="CL121" s="38">
        <f>VLOOKUP($B121,'abrasion emissions'!$O$7:$R$36,3,FALSE)</f>
        <v>0.33</v>
      </c>
      <c r="CM121" s="38">
        <f>VLOOKUP($B121,'abrasion emissions'!$O$7:$R$36,4,FALSE)</f>
        <v>0.33</v>
      </c>
      <c r="CN121" s="7">
        <f>((SUMIFS('abrasion emissions'!$M$7:$M$34,'abrasion emissions'!$I$7:$I$34,"PM 2.5",'abrasion emissions'!$J$7:$J$34,"urban",'abrasion emissions'!$K$7:$K$34,"Tyre",'abrasion emissions'!$L$7:$L$34,"b")*POWER(('vehicles specifications'!$Q121/1000),(1/SUMIFS('abrasion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specifications'!$P121/1000),(1/SUMIFS('abrasion emissions'!$M$7:$M$34,'abrasion emissions'!$I$7:$I$34,"PM 10",'abrasion emissions'!$J$7:$J$34,"urban",'abrasion emissions'!$K$7:$K$34,"Tyre",'abrasion emissions'!$L$7:$L$34,"c")))))/1000000</f>
        <v>5.6529673610133226E-6</v>
      </c>
      <c r="CO121" s="7">
        <f>((SUMIFS('abrasion emissions'!$M$7:$M$34,'abrasion emissions'!$I$7:$I$34,"PM 2.5",'abrasion emissions'!$J$7:$J$34,"rural",'abrasion emissions'!$K$7:$K$34,"Tyre",'abrasion emissions'!$L$7:$L$34,"b")*POWER(('vehicles specifications'!$Q121/1000),(1/SUMIFS('abrasion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specifications'!$P121/1000),(1/SUMIFS('abrasion emissions'!$M$7:$M$34,'abrasion emissions'!$I$7:$I$34,"PM 10",'abrasion emissions'!$J$7:$J$34,"rural",'abrasion emissions'!$K$7:$K$34,"Tyre",'abrasion emissions'!$L$7:$L$34,"c")))))/1000000</f>
        <v>4.4032734973734583E-6</v>
      </c>
      <c r="CP121" s="7">
        <f>((SUMIFS('abrasion emissions'!$M$7:$M$34,'abrasion emissions'!$I$7:$I$34,"PM 2.5",'abrasion emissions'!$J$7:$J$34,"motorway",'abrasion emissions'!$K$7:$K$34,"Tyre",'abrasion emissions'!$L$7:$L$34,"b")*POWER(('vehicles specifications'!$Q121/1000),(1/SUMIFS('abrasion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specifications'!$P121/1000),(1/SUMIFS('abrasion emissions'!$M$7:$M$34,'abrasion emissions'!$I$7:$I$34,"PM 10",'abrasion emissions'!$J$7:$J$34,"motorway",'abrasion emissions'!$K$7:$K$34,"Tyre",'abrasion emissions'!$L$7:$L$34,"c")))))/1000000</f>
        <v>3.7620291946392282E-6</v>
      </c>
      <c r="CQ121" s="7">
        <f>((SUMIFS('abrasion emissions'!$M$7:$M$34,'abrasion emissions'!$I$7:$I$34,"PM 2.5",'abrasion emissions'!$J$7:$J$34,"urban",'abrasion emissions'!$K$7:$K$34,"Brake",'abrasion emissions'!$L$7:$L$34,"b")*POWER(('vehicles specifications'!$Q121/1000),(1/SUMIFS('abrasion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specifications'!$P121/1000),(1/SUMIFS('abrasion emissions'!$M$7:$M$34,'abrasion emissions'!$I$7:$I$34,"PM 10",'abrasion emissions'!$J$7:$J$34,"urban",'abrasion emissions'!$K$7:$K$34,"Brake",'abrasion emissions'!$L$7:$L$34,"c")))))/1000000</f>
        <v>5.3569771884283161E-6</v>
      </c>
      <c r="CR121" s="7">
        <f>((SUMIFS('abrasion emissions'!$M$7:$M$34,'abrasion emissions'!$I$7:$I$34,"PM 2.5",'abrasion emissions'!$J$7:$J$34,"rural",'abrasion emissions'!$K$7:$K$34,"Brake",'abrasion emissions'!$L$7:$L$34,"b")*POWER(('vehicles specifications'!$Q121/1000),(1/SUMIFS('abrasion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specifications'!$P121/1000),(1/SUMIFS('abrasion emissions'!$M$7:$M$34,'abrasion emissions'!$I$7:$I$34,"PM 10",'abrasion emissions'!$J$7:$J$34,"rural",'abrasion emissions'!$K$7:$K$34,"Brake",'abrasion emissions'!$L$7:$L$34,"c")))))/1000000</f>
        <v>1.6820523805501958E-6</v>
      </c>
      <c r="CS121" s="7">
        <f>((SUMIFS('abrasion emissions'!$M$7:$M$34,'abrasion emissions'!$I$7:$I$34,"PM 2.5",'abrasion emissions'!$J$7:$J$34,"motorway",'abrasion emissions'!$K$7:$K$34,"Brake",'abrasion emissions'!$L$7:$L$34,"b")*POWER(('vehicles specifications'!$Q121/1000),(1/SUMIFS('abrasion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specifications'!$P121/1000),(1/SUMIFS('abrasion emissions'!$M$7:$M$34,'abrasion emissions'!$I$7:$I$34,"PM 10",'abrasion emissions'!$J$7:$J$34,"motorway",'abrasion emissions'!$K$7:$K$34,"Brake",'abrasion emissions'!$L$7:$L$34,"c")))))/1000000</f>
        <v>3.062677106110383E-7</v>
      </c>
      <c r="CT121" s="7">
        <f>((SUMIFS('abrasion emissions'!$M$7:$M$38,'abrasion emissions'!$I$7:$I$38,"PM 2.5",'abrasion emissions'!$K$7:$K$38,"Re-susp.",'abrasion emissions'!$L$7:$L$38,"b")*POWER(('vehicles specifications'!$Q121/1000),(1/SUMIFS('abrasion emissions'!$M$7:$M$38,'abrasion emissions'!$I$7:$I$38,"PM 2.5",'abrasion emissions'!$K$7:$K$38,"Re-susp.",'abrasion emissions'!$L$7:$L$38,"c"))))+
(SUMIFS('abrasion emissions'!$M$7:$M$38,'abrasion emissions'!$I$7:$I$38,"PM 10",'abrasion emissions'!$K$7:$K$38,"Re-susp.",'abrasion emissions'!$L$7:$L$38,"b")*POWER(('vehicles specifications'!$Q121/1000),(1/SUMIFS('abrasion emissions'!$M$7:$M$38,'abrasion emissions'!$I$7:$I$38,"PM 10",'abrasion emissions'!$K$7:$K$38,"Re-susp.",'abrasion emissions'!$L$7:$L$38,"c")))))/1000000</f>
        <v>3.1959543400666284E-6</v>
      </c>
      <c r="CU121" s="7">
        <f>((SUMIFS('abrasion emissions'!$M$7:$M$38,'abrasion emissions'!$I$7:$I$38,"PM 2.5",'abrasion emissions'!$K$7:$K$38,"Road",'abrasion emissions'!$L$7:$L$38,"b")*POWER(('vehicles specifications'!$Q121/1000),(1/SUMIFS('abrasion emissions'!$M$7:$M$38,'abrasion emissions'!$I$7:$I$38,"PM 2.5",'abrasion emissions'!$K$7:$K$38,"Road",'abrasion emissions'!$L$7:$L$38,"c"))))+
(SUMIFS('abrasion emissions'!$M$7:$M$38,'abrasion emissions'!$I$7:$I$38,"PM 10",'abrasion emissions'!$K$7:$K$38,"Road",'abrasion emissions'!$L$7:$L$38,"b")*POWER(('vehicles specifications'!$Q121/1000),(1/SUMIFS('abrasion emissions'!$M$7:$M$38,'abrasion emissions'!$I$7:$I$38,"PM 10",'abrasion emissions'!$K$7:$K$38,"Road",'abrasion emissions'!$L$7:$L$38,"c")))))/1000000+CT121</f>
        <v>6.2703170110420856E-6</v>
      </c>
      <c r="CV121" s="7">
        <f>(CK121*CN121)+(CL121*CO121)+(CM121*CP121)</f>
        <v>4.5600291174985831E-6</v>
      </c>
      <c r="CW121" s="7">
        <f>(CK121*CQ121)+(CL121*CR121)+(CM121*CS121)</f>
        <v>2.4239481022645517E-6</v>
      </c>
    </row>
    <row r="122">
      <c r="A122" t="str">
        <f>B122&amp;" - "&amp;D122&amp;" - "&amp;IF(I122&lt;&gt;"",I122&amp;" - "&amp;E122,E122)</f>
        <v>Motorbike, battery electric, &lt;4kW - 2050 - NMC - CH</v>
      </c>
      <c r="B122" t="inlineStr">
        <is>
          <t>Motorbike, battery electric, &lt;4kW</t>
        </is>
      </c>
      <c r="D122" s="18" t="n">
        <v>2050</v>
      </c>
      <c r="E122" t="inlineStr">
        <is>
          <t>CH</t>
        </is>
      </c>
      <c r="F122" t="inlineStr">
        <is>
          <t>None</t>
        </is>
      </c>
      <c r="G122" t="inlineStr">
        <is>
          <t>vkm</t>
        </is>
      </c>
      <c r="H122" t="inlineStr">
        <is>
          <t>BEV</t>
        </is>
      </c>
      <c r="I122" t="inlineStr">
        <is>
          <t>NMC</t>
        </is>
      </c>
      <c r="J122" t="n">
        <v>25000</v>
      </c>
      <c r="K122" t="n">
        <v>1776</v>
      </c>
      <c r="L122" s="2">
        <f>J122/K122</f>
        <v>14.076576576576576</v>
      </c>
      <c r="M122" t="n">
        <v>1.1</v>
      </c>
      <c r="N122" t="n">
        <v>75</v>
      </c>
      <c r="O122" t="n">
        <v>6</v>
      </c>
      <c r="P122" s="2">
        <f>SUM(U122,V122,W122,AC122,AF122,AH122)</f>
        <v>76.89</v>
      </c>
      <c r="Q122" s="2">
        <f>P122+(M122*N122)+O122</f>
        <v>165.39</v>
      </c>
      <c r="R122" t="n">
        <v>2.5</v>
      </c>
      <c r="S122" s="2" t="n">
        <v>53</v>
      </c>
      <c r="T122" s="1" t="n">
        <v>0.07000000000000001</v>
      </c>
      <c r="U122" s="2">
        <f>S122*(1-T122)</f>
        <v>49.29</v>
      </c>
      <c r="V122" s="2" t="n">
        <v>4.5</v>
      </c>
      <c r="W122" s="2" t="n">
        <v>7.5</v>
      </c>
      <c r="X122" s="3" t="n">
        <v>6</v>
      </c>
      <c r="Y122" s="1" t="n">
        <v>0.8</v>
      </c>
      <c r="Z122" s="3">
        <f>Y122*X122</f>
        <v>4.8000000000000007</v>
      </c>
      <c r="AA122" s="3">
        <f>IF(I122&lt;&gt;"",X122/INDEX('energy battery'!$B$3:$D$6,MATCH('vehicles specifications'!$D122,'energy battery'!$A$3:$A$6,0),MATCH('vehicles specifications'!$I122,'energy battery'!$B$2:$D$2,0)),"")</f>
        <v>12</v>
      </c>
      <c r="AB122" s="3">
        <f>IF(AA122&lt;&gt;"",0.3*AA122,"")</f>
        <v>3.5999999999999996</v>
      </c>
      <c r="AC122" s="3">
        <f>IF(AA122&lt;&gt;"",AB122+AA122,"")</f>
        <v>15.6</v>
      </c>
      <c r="AD122" s="3" t="n">
        <v>0</v>
      </c>
      <c r="AE122" s="3" t="n">
        <v>0</v>
      </c>
      <c r="AF122">
        <f>AE122*'fuels and tailpipe emissions'!$B$3</f>
        <v>0</v>
      </c>
      <c r="AG122" t="n">
        <v>0</v>
      </c>
      <c r="AH122" s="3" t="n">
        <v>0</v>
      </c>
      <c r="AI122" s="3" t="n">
        <v>3</v>
      </c>
      <c r="AJ122" s="3" t="n">
        <v>1</v>
      </c>
      <c r="AK122">
        <f>J122/25000</f>
        <v>1</v>
      </c>
      <c r="AL122">
        <f>0.000537/1000*Q122</f>
        <v>8.8814429999999997E-5</v>
      </c>
      <c r="AM122" t="n">
        <v>0.00129</v>
      </c>
      <c r="AN122" s="2">
        <f>U122</f>
        <v>49.29</v>
      </c>
      <c r="AO122" s="2">
        <f>SUM(V122:W122)</f>
        <v>12</v>
      </c>
      <c r="AP122" s="2">
        <f>AC122</f>
        <v>15.6</v>
      </c>
      <c r="AQ122" s="6" t="inlineStr"/>
      <c r="AR122" s="20" t="n"/>
      <c r="AS122" s="6" t="n">
        <v>0.121</v>
      </c>
      <c r="AT122" s="2">
        <f>SUM(Z122,AG122)/(SUM(AQ122,AS122)/3.6)</f>
        <v>142.80991735537191</v>
      </c>
      <c r="AU122" s="5" t="n">
        <v>0</v>
      </c>
      <c r="AV122" s="5" t="n">
        <v>0</v>
      </c>
      <c r="AW122" s="7" t="n">
        <v>0</v>
      </c>
      <c r="AX122" s="7" t="n">
        <v>0</v>
      </c>
      <c r="AY122" s="7" t="n">
        <v>0</v>
      </c>
      <c r="AZ122" s="7" t="n">
        <v>0</v>
      </c>
      <c r="BA122" s="7" t="n">
        <v>0</v>
      </c>
      <c r="BB122" s="7" t="n">
        <v>0</v>
      </c>
      <c r="BC122" s="7" t="n">
        <v>0</v>
      </c>
      <c r="BD122" s="7" t="n">
        <v>0</v>
      </c>
      <c r="BE122" s="7" t="n">
        <v>0</v>
      </c>
      <c r="BF122" s="7" t="n">
        <v>0</v>
      </c>
      <c r="BG122" s="7" t="n">
        <v>0</v>
      </c>
      <c r="BH122" s="7" t="n">
        <v>0</v>
      </c>
      <c r="BI122" s="7" t="n">
        <v>0</v>
      </c>
      <c r="BJ122" s="7" t="n">
        <v>0</v>
      </c>
      <c r="BK122" s="7" t="n">
        <v>0</v>
      </c>
      <c r="BL122" s="7" t="n">
        <v>0</v>
      </c>
      <c r="BM122" s="7" t="n">
        <v>0</v>
      </c>
      <c r="BN122" s="7" t="n">
        <v>0</v>
      </c>
      <c r="BO122" s="7" t="n">
        <v>0</v>
      </c>
      <c r="BP122" s="7" t="n">
        <v>0</v>
      </c>
      <c r="BQ122" s="7" t="n">
        <v>0</v>
      </c>
      <c r="BR122" s="7" t="n">
        <v>0</v>
      </c>
      <c r="BS122" s="7" t="n">
        <v>0</v>
      </c>
      <c r="BT122" s="7" t="n">
        <v>0</v>
      </c>
      <c r="BU122" s="7" t="n">
        <v>0</v>
      </c>
      <c r="BV122" s="7" t="n">
        <v>0</v>
      </c>
      <c r="BW122" s="7" t="n">
        <v>0</v>
      </c>
      <c r="BX122" s="7" t="n">
        <v>0</v>
      </c>
      <c r="BY122" s="7" t="n">
        <v>0</v>
      </c>
      <c r="BZ122" s="7" t="n">
        <v>0</v>
      </c>
      <c r="CA122" s="7" t="n">
        <v>0</v>
      </c>
      <c r="CB122" s="7" t="n">
        <v>0</v>
      </c>
      <c r="CC122" s="7" t="n">
        <v>0</v>
      </c>
      <c r="CD122" s="7" t="n">
        <v>0</v>
      </c>
      <c r="CE122" s="7" t="n">
        <v>0</v>
      </c>
      <c r="CF122" s="7" t="n">
        <v>0</v>
      </c>
      <c r="CG122" s="7" t="n">
        <v>0</v>
      </c>
      <c r="CH122" s="7" t="n">
        <v>0</v>
      </c>
      <c r="CI122" s="7" t="n">
        <v>0</v>
      </c>
      <c r="CJ122" s="7" t="n">
        <v>0</v>
      </c>
      <c r="CK122" s="38">
        <f>VLOOKUP($B122,'abrasion emissions'!$O$7:$R$36,2,FALSE)</f>
        <v>0.33</v>
      </c>
      <c r="CL122" s="38">
        <f>VLOOKUP($B122,'abrasion emissions'!$O$7:$R$36,3,FALSE)</f>
        <v>0.33</v>
      </c>
      <c r="CM122" s="38">
        <f>VLOOKUP($B122,'abrasion emissions'!$O$7:$R$36,4,FALSE)</f>
        <v>0.33</v>
      </c>
      <c r="CN122" s="7">
        <f>((SUMIFS('abrasion emissions'!$M$7:$M$34,'abrasion emissions'!$I$7:$I$34,"PM 2.5",'abrasion emissions'!$J$7:$J$34,"urban",'abrasion emissions'!$K$7:$K$34,"Tyre",'abrasion emissions'!$L$7:$L$34,"b")*POWER(('vehicles specifications'!$Q122/1000),(1/SUMIFS('abrasion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specifications'!$P122/1000),(1/SUMIFS('abrasion emissions'!$M$7:$M$34,'abrasion emissions'!$I$7:$I$34,"PM 10",'abrasion emissions'!$J$7:$J$34,"urban",'abrasion emissions'!$K$7:$K$34,"Tyre",'abrasion emissions'!$L$7:$L$34,"c")))))/1000000</f>
        <v>5.6512160332706273E-6</v>
      </c>
      <c r="CO122" s="7">
        <f>((SUMIFS('abrasion emissions'!$M$7:$M$34,'abrasion emissions'!$I$7:$I$34,"PM 2.5",'abrasion emissions'!$J$7:$J$34,"rural",'abrasion emissions'!$K$7:$K$34,"Tyre",'abrasion emissions'!$L$7:$L$34,"b")*POWER(('vehicles specifications'!$Q122/1000),(1/SUMIFS('abrasion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specifications'!$P122/1000),(1/SUMIFS('abrasion emissions'!$M$7:$M$34,'abrasion emissions'!$I$7:$I$34,"PM 10",'abrasion emissions'!$J$7:$J$34,"rural",'abrasion emissions'!$K$7:$K$34,"Tyre",'abrasion emissions'!$L$7:$L$34,"c")))))/1000000</f>
        <v>4.4019108330439076E-6</v>
      </c>
      <c r="CP122" s="7">
        <f>((SUMIFS('abrasion emissions'!$M$7:$M$34,'abrasion emissions'!$I$7:$I$34,"PM 2.5",'abrasion emissions'!$J$7:$J$34,"motorway",'abrasion emissions'!$K$7:$K$34,"Tyre",'abrasion emissions'!$L$7:$L$34,"b")*POWER(('vehicles specifications'!$Q122/1000),(1/SUMIFS('abrasion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specifications'!$P122/1000),(1/SUMIFS('abrasion emissions'!$M$7:$M$34,'abrasion emissions'!$I$7:$I$34,"PM 10",'abrasion emissions'!$J$7:$J$34,"motorway",'abrasion emissions'!$K$7:$K$34,"Tyre",'abrasion emissions'!$L$7:$L$34,"c")))))/1000000</f>
        <v>3.760868737027827E-6</v>
      </c>
      <c r="CQ122" s="7">
        <f>((SUMIFS('abrasion emissions'!$M$7:$M$34,'abrasion emissions'!$I$7:$I$34,"PM 2.5",'abrasion emissions'!$J$7:$J$34,"urban",'abrasion emissions'!$K$7:$K$34,"Brake",'abrasion emissions'!$L$7:$L$34,"b")*POWER(('vehicles specifications'!$Q122/1000),(1/SUMIFS('abrasion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specifications'!$P122/1000),(1/SUMIFS('abrasion emissions'!$M$7:$M$34,'abrasion emissions'!$I$7:$I$34,"PM 10",'abrasion emissions'!$J$7:$J$34,"urban",'abrasion emissions'!$K$7:$K$34,"Brake",'abrasion emissions'!$L$7:$L$34,"c")))))/1000000</f>
        <v>5.3551900351475154E-6</v>
      </c>
      <c r="CR122" s="7">
        <f>((SUMIFS('abrasion emissions'!$M$7:$M$34,'abrasion emissions'!$I$7:$I$34,"PM 2.5",'abrasion emissions'!$J$7:$J$34,"rural",'abrasion emissions'!$K$7:$K$34,"Brake",'abrasion emissions'!$L$7:$L$34,"b")*POWER(('vehicles specifications'!$Q122/1000),(1/SUMIFS('abrasion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specifications'!$P122/1000),(1/SUMIFS('abrasion emissions'!$M$7:$M$34,'abrasion emissions'!$I$7:$I$34,"PM 10",'abrasion emissions'!$J$7:$J$34,"rural",'abrasion emissions'!$K$7:$K$34,"Brake",'abrasion emissions'!$L$7:$L$34,"c")))))/1000000</f>
        <v>1.6813480390255736E-6</v>
      </c>
      <c r="CS122" s="7">
        <f>((SUMIFS('abrasion emissions'!$M$7:$M$34,'abrasion emissions'!$I$7:$I$34,"PM 2.5",'abrasion emissions'!$J$7:$J$34,"motorway",'abrasion emissions'!$K$7:$K$34,"Brake",'abrasion emissions'!$L$7:$L$34,"b")*POWER(('vehicles specifications'!$Q122/1000),(1/SUMIFS('abrasion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specifications'!$P122/1000),(1/SUMIFS('abrasion emissions'!$M$7:$M$34,'abrasion emissions'!$I$7:$I$34,"PM 10",'abrasion emissions'!$J$7:$J$34,"motorway",'abrasion emissions'!$K$7:$K$34,"Brake",'abrasion emissions'!$L$7:$L$34,"c")))))/1000000</f>
        <v>3.0612140427140868E-7</v>
      </c>
      <c r="CT122" s="7">
        <f>((SUMIFS('abrasion emissions'!$M$7:$M$38,'abrasion emissions'!$I$7:$I$38,"PM 2.5",'abrasion emissions'!$K$7:$K$38,"Re-susp.",'abrasion emissions'!$L$7:$L$38,"b")*POWER(('vehicles specifications'!$Q122/1000),(1/SUMIFS('abrasion emissions'!$M$7:$M$38,'abrasion emissions'!$I$7:$I$38,"PM 2.5",'abrasion emissions'!$K$7:$K$38,"Re-susp.",'abrasion emissions'!$L$7:$L$38,"c"))))+
(SUMIFS('abrasion emissions'!$M$7:$M$38,'abrasion emissions'!$I$7:$I$38,"PM 10",'abrasion emissions'!$K$7:$K$38,"Re-susp.",'abrasion emissions'!$L$7:$L$38,"b")*POWER(('vehicles specifications'!$Q122/1000),(1/SUMIFS('abrasion emissions'!$M$7:$M$38,'abrasion emissions'!$I$7:$I$38,"PM 10",'abrasion emissions'!$K$7:$K$38,"Re-susp.",'abrasion emissions'!$L$7:$L$38,"c")))))/1000000</f>
        <v>3.194461873679645E-6</v>
      </c>
      <c r="CU122" s="7">
        <f>((SUMIFS('abrasion emissions'!$M$7:$M$38,'abrasion emissions'!$I$7:$I$38,"PM 2.5",'abrasion emissions'!$K$7:$K$38,"Road",'abrasion emissions'!$L$7:$L$38,"b")*POWER(('vehicles specifications'!$Q122/1000),(1/SUMIFS('abrasion emissions'!$M$7:$M$38,'abrasion emissions'!$I$7:$I$38,"PM 2.5",'abrasion emissions'!$K$7:$K$38,"Road",'abrasion emissions'!$L$7:$L$38,"c"))))+
(SUMIFS('abrasion emissions'!$M$7:$M$38,'abrasion emissions'!$I$7:$I$38,"PM 10",'abrasion emissions'!$K$7:$K$38,"Road",'abrasion emissions'!$L$7:$L$38,"b")*POWER(('vehicles specifications'!$Q122/1000),(1/SUMIFS('abrasion emissions'!$M$7:$M$38,'abrasion emissions'!$I$7:$I$38,"PM 10",'abrasion emissions'!$K$7:$K$38,"Road",'abrasion emissions'!$L$7:$L$38,"c")))))/1000000+CT122</f>
        <v>6.267771643595028E-6</v>
      </c>
      <c r="CV122" s="7">
        <f>(CK122*CN122)+(CL122*CO122)+(CM122*CP122)</f>
        <v>4.5586185491029798E-6</v>
      </c>
      <c r="CW122" s="7">
        <f>(CK122*CQ122)+(CL122*CR122)+(CM122*CS122)</f>
        <v>2.4230776278866842E-6</v>
      </c>
    </row>
    <row r="123">
      <c r="A123" t="str">
        <f>B123&amp;" - "&amp;D123&amp;" - "&amp;IF(I123&lt;&gt;"",I123&amp;" - "&amp;E123,E123)</f>
        <v>Motorbike, battery electric, 4-11kW - 2020 - NMC - CH</v>
      </c>
      <c r="B123" t="inlineStr">
        <is>
          <t>Motorbike, battery electric, 4-11kW</t>
        </is>
      </c>
      <c r="D123" s="18" t="n">
        <v>2020</v>
      </c>
      <c r="E123" t="inlineStr">
        <is>
          <t>CH</t>
        </is>
      </c>
      <c r="F123" t="inlineStr">
        <is>
          <t>None</t>
        </is>
      </c>
      <c r="G123" t="inlineStr">
        <is>
          <t>vkm</t>
        </is>
      </c>
      <c r="H123" t="inlineStr">
        <is>
          <t>BEV</t>
        </is>
      </c>
      <c r="I123" t="inlineStr">
        <is>
          <t>NMC</t>
        </is>
      </c>
      <c r="J123" t="n">
        <v>25000</v>
      </c>
      <c r="K123" t="n">
        <v>1776</v>
      </c>
      <c r="L123" s="2">
        <f>J123/K123</f>
        <v>14.076576576576576</v>
      </c>
      <c r="M123" t="n">
        <v>1.1</v>
      </c>
      <c r="N123" t="n">
        <v>75</v>
      </c>
      <c r="O123" t="n">
        <v>6</v>
      </c>
      <c r="P123" s="2">
        <f>SUM(U123,V123,W123,AC123,AF123,AH123)</f>
        <v>117.00074044049273</v>
      </c>
      <c r="Q123" s="2">
        <f>P123+(M123*N123)+O123</f>
        <v>205.50074044049273</v>
      </c>
      <c r="R123" t="n">
        <v>4.7</v>
      </c>
      <c r="S123" s="2" t="n">
        <v>65.43382696032849</v>
      </c>
      <c r="T123" s="1" t="n">
        <v>0</v>
      </c>
      <c r="U123" s="2">
        <f>S123*(1-T123)</f>
        <v>65.433826960328489</v>
      </c>
      <c r="V123" s="2">
        <f>S123*0.2</f>
        <v>13.086765392065699</v>
      </c>
      <c r="W123" s="2">
        <f>U123*0.3</f>
        <v>19.630148088098547</v>
      </c>
      <c r="X123" s="3" t="n">
        <v>2.9</v>
      </c>
      <c r="Y123" s="1" t="n">
        <v>0.8</v>
      </c>
      <c r="Z123" s="3">
        <f>Y123*X123</f>
        <v>2.3199999999999998</v>
      </c>
      <c r="AA123" s="3">
        <f>IF(I123&lt;&gt;"",X123/INDEX('energy battery'!$B$3:$D$6,MATCH('vehicles specifications'!$D123,'energy battery'!$A$3:$A$6,0),MATCH('vehicles specifications'!$I123,'energy battery'!$B$2:$D$2,0)),"")</f>
        <v>14.499999999999998</v>
      </c>
      <c r="AB123" s="3">
        <f>IF(AA123&lt;&gt;"",0.3*AA123,"")</f>
        <v>4.3499999999999996</v>
      </c>
      <c r="AC123" s="3">
        <f>IF(AA123&lt;&gt;"",AB123+AA123,"")</f>
        <v>18.849999999999998</v>
      </c>
      <c r="AD123" s="3" t="n">
        <v>1</v>
      </c>
      <c r="AE123" s="3" t="n">
        <v>0</v>
      </c>
      <c r="AF123">
        <f>AE123*'fuels and tailpipe emissions'!$B$3</f>
        <v>0</v>
      </c>
      <c r="AG123" t="n">
        <v>0</v>
      </c>
      <c r="AH123" s="3" t="n">
        <v>0</v>
      </c>
      <c r="AI123" s="3" t="n">
        <v>3</v>
      </c>
      <c r="AJ123" s="3" t="n">
        <v>1</v>
      </c>
      <c r="AK123">
        <f>J123/25000</f>
        <v>1</v>
      </c>
      <c r="AL123">
        <f>0.000537/1000*Q123</f>
        <v>1.103538976165446E-4</v>
      </c>
      <c r="AM123" t="n">
        <v>0.00129</v>
      </c>
      <c r="AN123" s="2">
        <f>U123</f>
        <v>65.433826960328489</v>
      </c>
      <c r="AO123" s="2">
        <f>SUM(V123:W123)</f>
        <v>32.716913480164244</v>
      </c>
      <c r="AP123" s="2">
        <f>AC123</f>
        <v>18.849999999999998</v>
      </c>
      <c r="AQ123" s="6" t="inlineStr"/>
      <c r="AR123" s="20" t="n"/>
      <c r="AS123" s="6" t="n">
        <v>0.182</v>
      </c>
      <c r="AT123" s="2">
        <f>SUM(Z123,AG123)/(SUM(AQ123,AS123)/3.6)</f>
        <v>45.890109890109891</v>
      </c>
      <c r="AU123" s="5" t="n">
        <v>0</v>
      </c>
      <c r="AV123" s="5" t="n">
        <v>0</v>
      </c>
      <c r="AW123" s="7" t="n">
        <v>0</v>
      </c>
      <c r="AX123" s="7" t="n">
        <v>0</v>
      </c>
      <c r="AY123" s="7" t="n">
        <v>0</v>
      </c>
      <c r="AZ123" s="7" t="n">
        <v>0</v>
      </c>
      <c r="BA123" s="7" t="n">
        <v>0</v>
      </c>
      <c r="BB123" s="7" t="n">
        <v>0</v>
      </c>
      <c r="BC123" s="7" t="n">
        <v>0</v>
      </c>
      <c r="BD123" s="7" t="n">
        <v>0</v>
      </c>
      <c r="BE123" s="7" t="n">
        <v>0</v>
      </c>
      <c r="BF123" s="7" t="n">
        <v>0</v>
      </c>
      <c r="BG123" s="7" t="n">
        <v>0</v>
      </c>
      <c r="BH123" s="7" t="n">
        <v>0</v>
      </c>
      <c r="BI123" s="7" t="n">
        <v>0</v>
      </c>
      <c r="BJ123" s="7" t="n">
        <v>0</v>
      </c>
      <c r="BK123" s="7" t="n">
        <v>0</v>
      </c>
      <c r="BL123" s="7" t="n">
        <v>0</v>
      </c>
      <c r="BM123" s="7" t="n">
        <v>0</v>
      </c>
      <c r="BN123" s="7" t="n">
        <v>0</v>
      </c>
      <c r="BO123" s="7" t="n">
        <v>0</v>
      </c>
      <c r="BP123" s="7" t="n">
        <v>0</v>
      </c>
      <c r="BQ123" s="7" t="n">
        <v>0</v>
      </c>
      <c r="BR123" s="7" t="n">
        <v>0</v>
      </c>
      <c r="BS123" s="7" t="n">
        <v>0</v>
      </c>
      <c r="BT123" s="7" t="n">
        <v>0</v>
      </c>
      <c r="BU123" s="7" t="n">
        <v>0</v>
      </c>
      <c r="BV123" s="7" t="n">
        <v>0</v>
      </c>
      <c r="BW123" s="7" t="n">
        <v>0</v>
      </c>
      <c r="BX123" s="7" t="n">
        <v>0</v>
      </c>
      <c r="BY123" s="7" t="n">
        <v>0</v>
      </c>
      <c r="BZ123" s="7" t="n">
        <v>0</v>
      </c>
      <c r="CA123" s="7" t="n">
        <v>0</v>
      </c>
      <c r="CB123" s="7" t="n">
        <v>0</v>
      </c>
      <c r="CC123" s="7" t="n">
        <v>0</v>
      </c>
      <c r="CD123" s="7" t="n">
        <v>0</v>
      </c>
      <c r="CE123" s="7" t="n">
        <v>0</v>
      </c>
      <c r="CF123" s="7" t="n">
        <v>0</v>
      </c>
      <c r="CG123" s="7" t="n">
        <v>0</v>
      </c>
      <c r="CH123" s="7" t="n">
        <v>0</v>
      </c>
      <c r="CI123" s="7" t="n">
        <v>0</v>
      </c>
      <c r="CJ123" s="7" t="n">
        <v>0</v>
      </c>
      <c r="CK123" s="38">
        <f>VLOOKUP($B123,'abrasion emissions'!$O$7:$R$36,2,FALSE)</f>
        <v>0.33</v>
      </c>
      <c r="CL123" s="38">
        <f>VLOOKUP($B123,'abrasion emissions'!$O$7:$R$36,3,FALSE)</f>
        <v>0.33</v>
      </c>
      <c r="CM123" s="38">
        <f>VLOOKUP($B123,'abrasion emissions'!$O$7:$R$36,4,FALSE)</f>
        <v>0.33</v>
      </c>
      <c r="CN123" s="7">
        <f>((SUMIFS('abrasion emissions'!$M$7:$M$34,'abrasion emissions'!$I$7:$I$34,"PM 2.5",'abrasion emissions'!$J$7:$J$34,"urban",'abrasion emissions'!$K$7:$K$34,"Tyre",'abrasion emissions'!$L$7:$L$34,"b")*POWER(('vehicles specifications'!$Q123/1000),(1/SUMIFS('abrasion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specifications'!$P123/1000),(1/SUMIFS('abrasion emissions'!$M$7:$M$34,'abrasion emissions'!$I$7:$I$34,"PM 10",'abrasion emissions'!$J$7:$J$34,"urban",'abrasion emissions'!$K$7:$K$34,"Tyre",'abrasion emissions'!$L$7:$L$34,"c")))))/1000000</f>
        <v>6.4032058944577471E-6</v>
      </c>
      <c r="CO123" s="7">
        <f>((SUMIFS('abrasion emissions'!$M$7:$M$34,'abrasion emissions'!$I$7:$I$34,"PM 2.5",'abrasion emissions'!$J$7:$J$34,"rural",'abrasion emissions'!$K$7:$K$34,"Tyre",'abrasion emissions'!$L$7:$L$34,"b")*POWER(('vehicles specifications'!$Q123/1000),(1/SUMIFS('abrasion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specifications'!$P123/1000),(1/SUMIFS('abrasion emissions'!$M$7:$M$34,'abrasion emissions'!$I$7:$I$34,"PM 10",'abrasion emissions'!$J$7:$J$34,"rural",'abrasion emissions'!$K$7:$K$34,"Tyre",'abrasion emissions'!$L$7:$L$34,"c")))))/1000000</f>
        <v>4.9870687432281838E-6</v>
      </c>
      <c r="CP123" s="7">
        <f>((SUMIFS('abrasion emissions'!$M$7:$M$34,'abrasion emissions'!$I$7:$I$34,"PM 2.5",'abrasion emissions'!$J$7:$J$34,"motorway",'abrasion emissions'!$K$7:$K$34,"Tyre",'abrasion emissions'!$L$7:$L$34,"b")*POWER(('vehicles specifications'!$Q123/1000),(1/SUMIFS('abrasion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specifications'!$P123/1000),(1/SUMIFS('abrasion emissions'!$M$7:$M$34,'abrasion emissions'!$I$7:$I$34,"PM 10",'abrasion emissions'!$J$7:$J$34,"motorway",'abrasion emissions'!$K$7:$K$34,"Tyre",'abrasion emissions'!$L$7:$L$34,"c")))))/1000000</f>
        <v>4.2593287971455628E-6</v>
      </c>
      <c r="CQ123" s="7">
        <f>((SUMIFS('abrasion emissions'!$M$7:$M$34,'abrasion emissions'!$I$7:$I$34,"PM 2.5",'abrasion emissions'!$J$7:$J$34,"urban",'abrasion emissions'!$K$7:$K$34,"Brake",'abrasion emissions'!$L$7:$L$34,"b")*POWER(('vehicles specifications'!$Q123/1000),(1/SUMIFS('abrasion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specifications'!$P123/1000),(1/SUMIFS('abrasion emissions'!$M$7:$M$34,'abrasion emissions'!$I$7:$I$34,"PM 10",'abrasion emissions'!$J$7:$J$34,"urban",'abrasion emissions'!$K$7:$K$34,"Brake",'abrasion emissions'!$L$7:$L$34,"c")))))/1000000</f>
        <v>6.1409243643120408E-6</v>
      </c>
      <c r="CR123" s="7">
        <f>((SUMIFS('abrasion emissions'!$M$7:$M$34,'abrasion emissions'!$I$7:$I$34,"PM 2.5",'abrasion emissions'!$J$7:$J$34,"rural",'abrasion emissions'!$K$7:$K$34,"Brake",'abrasion emissions'!$L$7:$L$34,"b")*POWER(('vehicles specifications'!$Q123/1000),(1/SUMIFS('abrasion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specifications'!$P123/1000),(1/SUMIFS('abrasion emissions'!$M$7:$M$34,'abrasion emissions'!$I$7:$I$34,"PM 10",'abrasion emissions'!$J$7:$J$34,"rural",'abrasion emissions'!$K$7:$K$34,"Brake",'abrasion emissions'!$L$7:$L$34,"c")))))/1000000</f>
        <v>1.9976599220836484E-6</v>
      </c>
      <c r="CS123" s="7">
        <f>((SUMIFS('abrasion emissions'!$M$7:$M$34,'abrasion emissions'!$I$7:$I$34,"PM 2.5",'abrasion emissions'!$J$7:$J$34,"motorway",'abrasion emissions'!$K$7:$K$34,"Brake",'abrasion emissions'!$L$7:$L$34,"b")*POWER(('vehicles specifications'!$Q123/1000),(1/SUMIFS('abrasion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specifications'!$P123/1000),(1/SUMIFS('abrasion emissions'!$M$7:$M$34,'abrasion emissions'!$I$7:$I$34,"PM 10",'abrasion emissions'!$J$7:$J$34,"motorway",'abrasion emissions'!$K$7:$K$34,"Brake",'abrasion emissions'!$L$7:$L$34,"c")))))/1000000</f>
        <v>3.7285634134669242E-7</v>
      </c>
      <c r="CT123" s="7">
        <f>((SUMIFS('abrasion emissions'!$M$7:$M$38,'abrasion emissions'!$I$7:$I$38,"PM 2.5",'abrasion emissions'!$K$7:$K$38,"Re-susp.",'abrasion emissions'!$L$7:$L$38,"b")*POWER(('vehicles specifications'!$Q123/1000),(1/SUMIFS('abrasion emissions'!$M$7:$M$38,'abrasion emissions'!$I$7:$I$38,"PM 2.5",'abrasion emissions'!$K$7:$K$38,"Re-susp.",'abrasion emissions'!$L$7:$L$38,"c"))))+
(SUMIFS('abrasion emissions'!$M$7:$M$38,'abrasion emissions'!$I$7:$I$38,"PM 10",'abrasion emissions'!$K$7:$K$38,"Re-susp.",'abrasion emissions'!$L$7:$L$38,"b")*POWER(('vehicles specifications'!$Q123/1000),(1/SUMIFS('abrasion emissions'!$M$7:$M$38,'abrasion emissions'!$I$7:$I$38,"PM 10",'abrasion emissions'!$K$7:$K$38,"Re-susp.",'abrasion emissions'!$L$7:$L$38,"c")))))/1000000</f>
        <v>3.8916049665569578E-6</v>
      </c>
      <c r="CU123" s="7">
        <f>((SUMIFS('abrasion emissions'!$M$7:$M$38,'abrasion emissions'!$I$7:$I$38,"PM 2.5",'abrasion emissions'!$K$7:$K$38,"Road",'abrasion emissions'!$L$7:$L$38,"b")*POWER(('vehicles specifications'!$Q123/1000),(1/SUMIFS('abrasion emissions'!$M$7:$M$38,'abrasion emissions'!$I$7:$I$38,"PM 2.5",'abrasion emissions'!$K$7:$K$38,"Road",'abrasion emissions'!$L$7:$L$38,"c"))))+
(SUMIFS('abrasion emissions'!$M$7:$M$38,'abrasion emissions'!$I$7:$I$38,"PM 10",'abrasion emissions'!$K$7:$K$38,"Road",'abrasion emissions'!$L$7:$L$38,"b")*POWER(('vehicles specifications'!$Q123/1000),(1/SUMIFS('abrasion emissions'!$M$7:$M$38,'abrasion emissions'!$I$7:$I$38,"PM 10",'abrasion emissions'!$K$7:$K$38,"Road",'abrasion emissions'!$L$7:$L$38,"c")))))/1000000+CT123</f>
        <v>7.4436279381371631E-6</v>
      </c>
      <c r="CV123" s="7">
        <f>(CK123*CN123)+(CL123*CO123)+(CM123*CP123)</f>
        <v>5.1643691334943926E-6</v>
      </c>
      <c r="CW123" s="7">
        <f>(CK123*CQ123)+(CL123*CR123)+(CM123*CS123)</f>
        <v>2.8087754071549858E-6</v>
      </c>
    </row>
    <row r="124">
      <c r="A124" t="str">
        <f>B124&amp;" - "&amp;D124&amp;" - "&amp;IF(I124&lt;&gt;"",I124&amp;" - "&amp;E124,E124)</f>
        <v>Motorbike, battery electric, 4-11kW - 2030 - NMC - CH</v>
      </c>
      <c r="B124" t="inlineStr">
        <is>
          <t>Motorbike, battery electric, 4-11kW</t>
        </is>
      </c>
      <c r="D124" s="18" t="n">
        <v>2030</v>
      </c>
      <c r="E124" t="inlineStr">
        <is>
          <t>CH</t>
        </is>
      </c>
      <c r="F124" t="inlineStr">
        <is>
          <t>None</t>
        </is>
      </c>
      <c r="G124" t="inlineStr">
        <is>
          <t>vkm</t>
        </is>
      </c>
      <c r="H124" t="inlineStr">
        <is>
          <t>BEV</t>
        </is>
      </c>
      <c r="I124" t="inlineStr">
        <is>
          <t>NMC</t>
        </is>
      </c>
      <c r="J124" t="n">
        <v>25000</v>
      </c>
      <c r="K124" t="n">
        <v>1776</v>
      </c>
      <c r="L124" s="2">
        <f>J124/K124</f>
        <v>14.076576576576576</v>
      </c>
      <c r="M124" t="n">
        <v>1.1</v>
      </c>
      <c r="N124" t="n">
        <v>75</v>
      </c>
      <c r="O124" t="n">
        <v>6</v>
      </c>
      <c r="P124" s="2">
        <f>SUM(U124,V124,W124,AC124,AF124,AH124)</f>
        <v>117.26548785570658</v>
      </c>
      <c r="Q124" s="2">
        <f>P124+(M124*N124)+O124</f>
        <v>205.76548785570657</v>
      </c>
      <c r="R124" t="n">
        <v>4.7</v>
      </c>
      <c r="S124" s="2" t="n">
        <v>65.43382696032849</v>
      </c>
      <c r="T124" s="1" t="n">
        <v>0.03</v>
      </c>
      <c r="U124" s="2">
        <f>S124*(1-T124)</f>
        <v>63.470812151518629</v>
      </c>
      <c r="V124" s="2">
        <f>S124*0.2</f>
        <v>13.086765392065699</v>
      </c>
      <c r="W124" s="2">
        <f>U124*0.3</f>
        <v>19.041243645455587</v>
      </c>
      <c r="X124" s="3" t="n">
        <v>5</v>
      </c>
      <c r="Y124" s="1" t="n">
        <v>0.8</v>
      </c>
      <c r="Z124" s="3">
        <f>Y124*X124</f>
        <v>4</v>
      </c>
      <c r="AA124" s="3">
        <f>IF(I124&lt;&gt;"",X124/INDEX('energy battery'!$B$3:$D$6,MATCH('vehicles specifications'!$D124,'energy battery'!$A$3:$A$6,0),MATCH('vehicles specifications'!$I124,'energy battery'!$B$2:$D$2,0)),"")</f>
        <v>16.666666666666668</v>
      </c>
      <c r="AB124" s="3">
        <f>IF(AA124&lt;&gt;"",0.3*AA124,"")</f>
        <v>5</v>
      </c>
      <c r="AC124" s="3">
        <f>IF(AA124&lt;&gt;"",AB124+AA124,"")</f>
        <v>21.666666666666668</v>
      </c>
      <c r="AD124" s="3" t="n">
        <v>0.5</v>
      </c>
      <c r="AE124" s="3" t="n">
        <v>0</v>
      </c>
      <c r="AF124">
        <f>AE124*'fuels and tailpipe emissions'!$B$3</f>
        <v>0</v>
      </c>
      <c r="AG124" t="n">
        <v>0</v>
      </c>
      <c r="AH124" s="3" t="n">
        <v>0</v>
      </c>
      <c r="AI124" s="3" t="n">
        <v>3</v>
      </c>
      <c r="AJ124" s="3" t="n">
        <v>1</v>
      </c>
      <c r="AK124">
        <f>J124/25000</f>
        <v>1</v>
      </c>
      <c r="AL124">
        <f>0.000537/1000*Q124</f>
        <v>1.1049606697851443E-4</v>
      </c>
      <c r="AM124" t="n">
        <v>0.00129</v>
      </c>
      <c r="AN124" s="2">
        <f>U124</f>
        <v>63.470812151518629</v>
      </c>
      <c r="AO124" s="2">
        <f>SUM(V124:W124)</f>
        <v>32.128009037521288</v>
      </c>
      <c r="AP124" s="2">
        <f>AC124</f>
        <v>21.666666666666668</v>
      </c>
      <c r="AQ124" s="6" t="inlineStr"/>
      <c r="AR124" s="20" t="n"/>
      <c r="AS124" s="6" t="n">
        <v>0.182</v>
      </c>
      <c r="AT124" s="2">
        <f>SUM(Z124,AG124)/(SUM(AQ124,AS124)/3.6)</f>
        <v>79.120879120879124</v>
      </c>
      <c r="AU124" s="5" t="n">
        <v>0</v>
      </c>
      <c r="AV124" s="5" t="n">
        <v>0</v>
      </c>
      <c r="AW124" s="7" t="n">
        <v>0</v>
      </c>
      <c r="AX124" s="7" t="n">
        <v>0</v>
      </c>
      <c r="AY124" s="7" t="n">
        <v>0</v>
      </c>
      <c r="AZ124" s="7" t="n">
        <v>0</v>
      </c>
      <c r="BA124" s="7" t="n">
        <v>0</v>
      </c>
      <c r="BB124" s="7" t="n">
        <v>0</v>
      </c>
      <c r="BC124" s="7" t="n">
        <v>0</v>
      </c>
      <c r="BD124" s="7" t="n">
        <v>0</v>
      </c>
      <c r="BE124" s="7" t="n">
        <v>0</v>
      </c>
      <c r="BF124" s="7" t="n">
        <v>0</v>
      </c>
      <c r="BG124" s="7" t="n">
        <v>0</v>
      </c>
      <c r="BH124" s="7" t="n">
        <v>0</v>
      </c>
      <c r="BI124" s="7" t="n">
        <v>0</v>
      </c>
      <c r="BJ124" s="7" t="n">
        <v>0</v>
      </c>
      <c r="BK124" s="7" t="n">
        <v>0</v>
      </c>
      <c r="BL124" s="7" t="n">
        <v>0</v>
      </c>
      <c r="BM124" s="7" t="n">
        <v>0</v>
      </c>
      <c r="BN124" s="7" t="n">
        <v>0</v>
      </c>
      <c r="BO124" s="7" t="n">
        <v>0</v>
      </c>
      <c r="BP124" s="7" t="n">
        <v>0</v>
      </c>
      <c r="BQ124" s="7" t="n">
        <v>0</v>
      </c>
      <c r="BR124" s="7" t="n">
        <v>0</v>
      </c>
      <c r="BS124" s="7" t="n">
        <v>0</v>
      </c>
      <c r="BT124" s="7" t="n">
        <v>0</v>
      </c>
      <c r="BU124" s="7" t="n">
        <v>0</v>
      </c>
      <c r="BV124" s="7" t="n">
        <v>0</v>
      </c>
      <c r="BW124" s="7" t="n">
        <v>0</v>
      </c>
      <c r="BX124" s="7" t="n">
        <v>0</v>
      </c>
      <c r="BY124" s="7" t="n">
        <v>0</v>
      </c>
      <c r="BZ124" s="7" t="n">
        <v>0</v>
      </c>
      <c r="CA124" s="7" t="n">
        <v>0</v>
      </c>
      <c r="CB124" s="7" t="n">
        <v>0</v>
      </c>
      <c r="CC124" s="7" t="n">
        <v>0</v>
      </c>
      <c r="CD124" s="7" t="n">
        <v>0</v>
      </c>
      <c r="CE124" s="7" t="n">
        <v>0</v>
      </c>
      <c r="CF124" s="7" t="n">
        <v>0</v>
      </c>
      <c r="CG124" s="7" t="n">
        <v>0</v>
      </c>
      <c r="CH124" s="7" t="n">
        <v>0</v>
      </c>
      <c r="CI124" s="7" t="n">
        <v>0</v>
      </c>
      <c r="CJ124" s="7" t="n">
        <v>0</v>
      </c>
      <c r="CK124" s="38">
        <f>VLOOKUP($B124,'abrasion emissions'!$O$7:$R$36,2,FALSE)</f>
        <v>0.33</v>
      </c>
      <c r="CL124" s="38">
        <f>VLOOKUP($B124,'abrasion emissions'!$O$7:$R$36,3,FALSE)</f>
        <v>0.33</v>
      </c>
      <c r="CM124" s="38">
        <f>VLOOKUP($B124,'abrasion emissions'!$O$7:$R$36,4,FALSE)</f>
        <v>0.33</v>
      </c>
      <c r="CN124" s="7">
        <f>((SUMIFS('abrasion emissions'!$M$7:$M$34,'abrasion emissions'!$I$7:$I$34,"PM 2.5",'abrasion emissions'!$J$7:$J$34,"urban",'abrasion emissions'!$K$7:$K$34,"Tyre",'abrasion emissions'!$L$7:$L$34,"b")*POWER(('vehicles specifications'!$Q124/1000),(1/SUMIFS('abrasion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specifications'!$P124/1000),(1/SUMIFS('abrasion emissions'!$M$7:$M$34,'abrasion emissions'!$I$7:$I$34,"PM 10",'abrasion emissions'!$J$7:$J$34,"urban",'abrasion emissions'!$K$7:$K$34,"Tyre",'abrasion emissions'!$L$7:$L$34,"c")))))/1000000</f>
        <v>6.4077570646184653E-6</v>
      </c>
      <c r="CO124" s="7">
        <f>((SUMIFS('abrasion emissions'!$M$7:$M$34,'abrasion emissions'!$I$7:$I$34,"PM 2.5",'abrasion emissions'!$J$7:$J$34,"rural",'abrasion emissions'!$K$7:$K$34,"Tyre",'abrasion emissions'!$L$7:$L$34,"b")*POWER(('vehicles specifications'!$Q124/1000),(1/SUMIFS('abrasion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specifications'!$P124/1000),(1/SUMIFS('abrasion emissions'!$M$7:$M$34,'abrasion emissions'!$I$7:$I$34,"PM 10",'abrasion emissions'!$J$7:$J$34,"rural",'abrasion emissions'!$K$7:$K$34,"Tyre",'abrasion emissions'!$L$7:$L$34,"c")))))/1000000</f>
        <v>4.9906104980945508E-6</v>
      </c>
      <c r="CP124" s="7">
        <f>((SUMIFS('abrasion emissions'!$M$7:$M$34,'abrasion emissions'!$I$7:$I$34,"PM 2.5",'abrasion emissions'!$J$7:$J$34,"motorway",'abrasion emissions'!$K$7:$K$34,"Tyre",'abrasion emissions'!$L$7:$L$34,"b")*POWER(('vehicles specifications'!$Q124/1000),(1/SUMIFS('abrasion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specifications'!$P124/1000),(1/SUMIFS('abrasion emissions'!$M$7:$M$34,'abrasion emissions'!$I$7:$I$34,"PM 10",'abrasion emissions'!$J$7:$J$34,"motorway",'abrasion emissions'!$K$7:$K$34,"Tyre",'abrasion emissions'!$L$7:$L$34,"c")))))/1000000</f>
        <v>4.2623465036546672E-6</v>
      </c>
      <c r="CQ124" s="7">
        <f>((SUMIFS('abrasion emissions'!$M$7:$M$34,'abrasion emissions'!$I$7:$I$34,"PM 2.5",'abrasion emissions'!$J$7:$J$34,"urban",'abrasion emissions'!$K$7:$K$34,"Brake",'abrasion emissions'!$L$7:$L$34,"b")*POWER(('vehicles specifications'!$Q124/1000),(1/SUMIFS('abrasion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specifications'!$P124/1000),(1/SUMIFS('abrasion emissions'!$M$7:$M$34,'abrasion emissions'!$I$7:$I$34,"PM 10",'abrasion emissions'!$J$7:$J$34,"urban",'abrasion emissions'!$K$7:$K$34,"Brake",'abrasion emissions'!$L$7:$L$34,"c")))))/1000000</f>
        <v>6.1457827649448985E-6</v>
      </c>
      <c r="CR124" s="7">
        <f>((SUMIFS('abrasion emissions'!$M$7:$M$34,'abrasion emissions'!$I$7:$I$34,"PM 2.5",'abrasion emissions'!$J$7:$J$34,"rural",'abrasion emissions'!$K$7:$K$34,"Brake",'abrasion emissions'!$L$7:$L$34,"b")*POWER(('vehicles specifications'!$Q124/1000),(1/SUMIFS('abrasion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specifications'!$P124/1000),(1/SUMIFS('abrasion emissions'!$M$7:$M$34,'abrasion emissions'!$I$7:$I$34,"PM 10",'abrasion emissions'!$J$7:$J$34,"rural",'abrasion emissions'!$K$7:$K$34,"Brake",'abrasion emissions'!$L$7:$L$34,"c")))))/1000000</f>
        <v>1.9996548522128435E-6</v>
      </c>
      <c r="CS124" s="7">
        <f>((SUMIFS('abrasion emissions'!$M$7:$M$34,'abrasion emissions'!$I$7:$I$34,"PM 2.5",'abrasion emissions'!$J$7:$J$34,"motorway",'abrasion emissions'!$K$7:$K$34,"Brake",'abrasion emissions'!$L$7:$L$34,"b")*POWER(('vehicles specifications'!$Q124/1000),(1/SUMIFS('abrasion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specifications'!$P124/1000),(1/SUMIFS('abrasion emissions'!$M$7:$M$34,'abrasion emissions'!$I$7:$I$34,"PM 10",'abrasion emissions'!$J$7:$J$34,"motorway",'abrasion emissions'!$K$7:$K$34,"Brake",'abrasion emissions'!$L$7:$L$34,"c")))))/1000000</f>
        <v>3.7328332344647303E-7</v>
      </c>
      <c r="CT124" s="7">
        <f>((SUMIFS('abrasion emissions'!$M$7:$M$38,'abrasion emissions'!$I$7:$I$38,"PM 2.5",'abrasion emissions'!$K$7:$K$38,"Re-susp.",'abrasion emissions'!$L$7:$L$38,"b")*POWER(('vehicles specifications'!$Q124/1000),(1/SUMIFS('abrasion emissions'!$M$7:$M$38,'abrasion emissions'!$I$7:$I$38,"PM 2.5",'abrasion emissions'!$K$7:$K$38,"Re-susp.",'abrasion emissions'!$L$7:$L$38,"c"))))+
(SUMIFS('abrasion emissions'!$M$7:$M$38,'abrasion emissions'!$I$7:$I$38,"PM 10",'abrasion emissions'!$K$7:$K$38,"Re-susp.",'abrasion emissions'!$L$7:$L$38,"b")*POWER(('vehicles specifications'!$Q124/1000),(1/SUMIFS('abrasion emissions'!$M$7:$M$38,'abrasion emissions'!$I$7:$I$38,"PM 10",'abrasion emissions'!$K$7:$K$38,"Re-susp.",'abrasion emissions'!$L$7:$L$38,"c")))))/1000000</f>
        <v>3.8961624907284815E-6</v>
      </c>
      <c r="CU124" s="7">
        <f>((SUMIFS('abrasion emissions'!$M$7:$M$38,'abrasion emissions'!$I$7:$I$38,"PM 2.5",'abrasion emissions'!$K$7:$K$38,"Road",'abrasion emissions'!$L$7:$L$38,"b")*POWER(('vehicles specifications'!$Q124/1000),(1/SUMIFS('abrasion emissions'!$M$7:$M$38,'abrasion emissions'!$I$7:$I$38,"PM 2.5",'abrasion emissions'!$K$7:$K$38,"Road",'abrasion emissions'!$L$7:$L$38,"c"))))+
(SUMIFS('abrasion emissions'!$M$7:$M$38,'abrasion emissions'!$I$7:$I$38,"PM 10",'abrasion emissions'!$K$7:$K$38,"Road",'abrasion emissions'!$L$7:$L$38,"b")*POWER(('vehicles specifications'!$Q124/1000),(1/SUMIFS('abrasion emissions'!$M$7:$M$38,'abrasion emissions'!$I$7:$I$38,"PM 10",'abrasion emissions'!$K$7:$K$38,"Road",'abrasion emissions'!$L$7:$L$38,"c")))))/1000000+CT124</f>
        <v>7.451235531118589E-6</v>
      </c>
      <c r="CV124" s="7">
        <f>(CK124*CN124)+(CL124*CO124)+(CM124*CP124)</f>
        <v>5.1680356419013357E-6</v>
      </c>
      <c r="CW124" s="7">
        <f>(CK124*CQ124)+(CL124*CR124)+(CM124*CS124)</f>
        <v>2.8111779103993913E-6</v>
      </c>
    </row>
    <row r="125">
      <c r="A125" t="str">
        <f>B125&amp;" - "&amp;D125&amp;" - "&amp;IF(I125&lt;&gt;"",I125&amp;" - "&amp;E125,E125)</f>
        <v>Motorbike, battery electric, 4-11kW - 2040 - NMC - CH</v>
      </c>
      <c r="B125" t="inlineStr">
        <is>
          <t>Motorbike, battery electric, 4-11kW</t>
        </is>
      </c>
      <c r="D125" s="18" t="n">
        <v>2040</v>
      </c>
      <c r="E125" t="inlineStr">
        <is>
          <t>CH</t>
        </is>
      </c>
      <c r="F125" t="inlineStr">
        <is>
          <t>None</t>
        </is>
      </c>
      <c r="G125" t="inlineStr">
        <is>
          <t>vkm</t>
        </is>
      </c>
      <c r="H125" t="inlineStr">
        <is>
          <t>BEV</t>
        </is>
      </c>
      <c r="I125" t="inlineStr">
        <is>
          <t>NMC</t>
        </is>
      </c>
      <c r="J125" t="n">
        <v>25000</v>
      </c>
      <c r="K125" t="n">
        <v>1776</v>
      </c>
      <c r="L125" s="2">
        <f>J125/K125</f>
        <v>14.076576576576576</v>
      </c>
      <c r="M125" t="n">
        <v>1.1</v>
      </c>
      <c r="N125" t="n">
        <v>75</v>
      </c>
      <c r="O125" t="n">
        <v>6</v>
      </c>
      <c r="P125" s="2">
        <f>SUM(U125,V125,W125,AC125,AF125,AH125)</f>
        <v>116.64754168807137</v>
      </c>
      <c r="Q125" s="2">
        <f>P125+(M125*N125)+O125</f>
        <v>205.14754168807139</v>
      </c>
      <c r="R125" t="n">
        <v>4.7</v>
      </c>
      <c r="S125" s="2" t="n">
        <v>65.43382696032849</v>
      </c>
      <c r="T125" s="1" t="n">
        <v>0.05</v>
      </c>
      <c r="U125" s="2">
        <f>S125*(1-T125)</f>
        <v>62.162135612312063</v>
      </c>
      <c r="V125" s="2">
        <f>S125*0.2</f>
        <v>13.086765392065699</v>
      </c>
      <c r="W125" s="2">
        <f>U125*0.3</f>
        <v>18.648640683693618</v>
      </c>
      <c r="X125" s="3" t="n">
        <v>7</v>
      </c>
      <c r="Y125" s="1" t="n">
        <v>0.8</v>
      </c>
      <c r="Z125" s="3">
        <f>Y125*X125</f>
        <v>5.6000000000000005</v>
      </c>
      <c r="AA125" s="3">
        <f>IF(I125&lt;&gt;"",X125/INDEX('energy battery'!$B$3:$D$6,MATCH('vehicles specifications'!$D125,'energy battery'!$A$3:$A$6,0),MATCH('vehicles specifications'!$I125,'energy battery'!$B$2:$D$2,0)),"")</f>
        <v>17.5</v>
      </c>
      <c r="AB125" s="3">
        <f>IF(AA125&lt;&gt;"",0.3*AA125,"")</f>
        <v>5.25</v>
      </c>
      <c r="AC125" s="3">
        <f>IF(AA125&lt;&gt;"",AB125+AA125,"")</f>
        <v>22.75</v>
      </c>
      <c r="AD125" s="3" t="n">
        <v>0.25</v>
      </c>
      <c r="AE125" s="3" t="n">
        <v>0</v>
      </c>
      <c r="AF125">
        <f>AE125*'fuels and tailpipe emissions'!$B$3</f>
        <v>0</v>
      </c>
      <c r="AG125" t="n">
        <v>0</v>
      </c>
      <c r="AH125" s="3" t="n">
        <v>0</v>
      </c>
      <c r="AI125" s="3" t="n">
        <v>3</v>
      </c>
      <c r="AJ125" s="3" t="n">
        <v>1</v>
      </c>
      <c r="AK125">
        <f>J125/25000</f>
        <v>1</v>
      </c>
      <c r="AL125">
        <f>0.000537/1000*Q125</f>
        <v>1.1016422988649433E-4</v>
      </c>
      <c r="AM125" t="n">
        <v>0.00129</v>
      </c>
      <c r="AN125" s="2">
        <f>U125</f>
        <v>62.162135612312063</v>
      </c>
      <c r="AO125" s="2">
        <f>SUM(V125:W125)</f>
        <v>31.735406075759315</v>
      </c>
      <c r="AP125" s="2">
        <f>AC125</f>
        <v>22.75</v>
      </c>
      <c r="AQ125" s="6" t="inlineStr"/>
      <c r="AR125" s="20" t="n"/>
      <c r="AS125" s="6" t="n">
        <v>0.182</v>
      </c>
      <c r="AT125" s="2">
        <f>SUM(Z125,AG125)/(SUM(AQ125,AS125)/3.6)</f>
        <v>110.76923076923079</v>
      </c>
      <c r="AU125" s="5" t="n">
        <v>0</v>
      </c>
      <c r="AV125" s="5" t="n">
        <v>0</v>
      </c>
      <c r="AW125" s="7" t="n">
        <v>0</v>
      </c>
      <c r="AX125" s="7" t="n">
        <v>0</v>
      </c>
      <c r="AY125" s="7" t="n">
        <v>0</v>
      </c>
      <c r="AZ125" s="7" t="n">
        <v>0</v>
      </c>
      <c r="BA125" s="7" t="n">
        <v>0</v>
      </c>
      <c r="BB125" s="7" t="n">
        <v>0</v>
      </c>
      <c r="BC125" s="7" t="n">
        <v>0</v>
      </c>
      <c r="BD125" s="7" t="n">
        <v>0</v>
      </c>
      <c r="BE125" s="7" t="n">
        <v>0</v>
      </c>
      <c r="BF125" s="7" t="n">
        <v>0</v>
      </c>
      <c r="BG125" s="7" t="n">
        <v>0</v>
      </c>
      <c r="BH125" s="7" t="n">
        <v>0</v>
      </c>
      <c r="BI125" s="7" t="n">
        <v>0</v>
      </c>
      <c r="BJ125" s="7" t="n">
        <v>0</v>
      </c>
      <c r="BK125" s="7" t="n">
        <v>0</v>
      </c>
      <c r="BL125" s="7" t="n">
        <v>0</v>
      </c>
      <c r="BM125" s="7" t="n">
        <v>0</v>
      </c>
      <c r="BN125" s="7" t="n">
        <v>0</v>
      </c>
      <c r="BO125" s="7" t="n">
        <v>0</v>
      </c>
      <c r="BP125" s="7" t="n">
        <v>0</v>
      </c>
      <c r="BQ125" s="7" t="n">
        <v>0</v>
      </c>
      <c r="BR125" s="7" t="n">
        <v>0</v>
      </c>
      <c r="BS125" s="7" t="n">
        <v>0</v>
      </c>
      <c r="BT125" s="7" t="n">
        <v>0</v>
      </c>
      <c r="BU125" s="7" t="n">
        <v>0</v>
      </c>
      <c r="BV125" s="7" t="n">
        <v>0</v>
      </c>
      <c r="BW125" s="7" t="n">
        <v>0</v>
      </c>
      <c r="BX125" s="7" t="n">
        <v>0</v>
      </c>
      <c r="BY125" s="7" t="n">
        <v>0</v>
      </c>
      <c r="BZ125" s="7" t="n">
        <v>0</v>
      </c>
      <c r="CA125" s="7" t="n">
        <v>0</v>
      </c>
      <c r="CB125" s="7" t="n">
        <v>0</v>
      </c>
      <c r="CC125" s="7" t="n">
        <v>0</v>
      </c>
      <c r="CD125" s="7" t="n">
        <v>0</v>
      </c>
      <c r="CE125" s="7" t="n">
        <v>0</v>
      </c>
      <c r="CF125" s="7" t="n">
        <v>0</v>
      </c>
      <c r="CG125" s="7" t="n">
        <v>0</v>
      </c>
      <c r="CH125" s="7" t="n">
        <v>0</v>
      </c>
      <c r="CI125" s="7" t="n">
        <v>0</v>
      </c>
      <c r="CJ125" s="7" t="n">
        <v>0</v>
      </c>
      <c r="CK125" s="38">
        <f>VLOOKUP($B125,'abrasion emissions'!$O$7:$R$36,2,FALSE)</f>
        <v>0.33</v>
      </c>
      <c r="CL125" s="38">
        <f>VLOOKUP($B125,'abrasion emissions'!$O$7:$R$36,3,FALSE)</f>
        <v>0.33</v>
      </c>
      <c r="CM125" s="38">
        <f>VLOOKUP($B125,'abrasion emissions'!$O$7:$R$36,4,FALSE)</f>
        <v>0.33</v>
      </c>
      <c r="CN125" s="7">
        <f>((SUMIFS('abrasion emissions'!$M$7:$M$34,'abrasion emissions'!$I$7:$I$34,"PM 2.5",'abrasion emissions'!$J$7:$J$34,"urban",'abrasion emissions'!$K$7:$K$34,"Tyre",'abrasion emissions'!$L$7:$L$34,"b")*POWER(('vehicles specifications'!$Q125/1000),(1/SUMIFS('abrasion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specifications'!$P125/1000),(1/SUMIFS('abrasion emissions'!$M$7:$M$34,'abrasion emissions'!$I$7:$I$34,"PM 10",'abrasion emissions'!$J$7:$J$34,"urban",'abrasion emissions'!$K$7:$K$34,"Tyre",'abrasion emissions'!$L$7:$L$34,"c")))))/1000000</f>
        <v>6.3971271017223438E-6</v>
      </c>
      <c r="CO125" s="7">
        <f>((SUMIFS('abrasion emissions'!$M$7:$M$34,'abrasion emissions'!$I$7:$I$34,"PM 2.5",'abrasion emissions'!$J$7:$J$34,"rural",'abrasion emissions'!$K$7:$K$34,"Tyre",'abrasion emissions'!$L$7:$L$34,"b")*POWER(('vehicles specifications'!$Q125/1000),(1/SUMIFS('abrasion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specifications'!$P125/1000),(1/SUMIFS('abrasion emissions'!$M$7:$M$34,'abrasion emissions'!$I$7:$I$34,"PM 10",'abrasion emissions'!$J$7:$J$34,"rural",'abrasion emissions'!$K$7:$K$34,"Tyre",'abrasion emissions'!$L$7:$L$34,"c")))))/1000000</f>
        <v>4.9823381854988199E-6</v>
      </c>
      <c r="CP125" s="7">
        <f>((SUMIFS('abrasion emissions'!$M$7:$M$34,'abrasion emissions'!$I$7:$I$34,"PM 2.5",'abrasion emissions'!$J$7:$J$34,"motorway",'abrasion emissions'!$K$7:$K$34,"Tyre",'abrasion emissions'!$L$7:$L$34,"b")*POWER(('vehicles specifications'!$Q125/1000),(1/SUMIFS('abrasion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specifications'!$P125/1000),(1/SUMIFS('abrasion emissions'!$M$7:$M$34,'abrasion emissions'!$I$7:$I$34,"PM 10",'abrasion emissions'!$J$7:$J$34,"motorway",'abrasion emissions'!$K$7:$K$34,"Tyre",'abrasion emissions'!$L$7:$L$34,"c")))))/1000000</f>
        <v>4.2552981978569041E-6</v>
      </c>
      <c r="CQ125" s="7">
        <f>((SUMIFS('abrasion emissions'!$M$7:$M$34,'abrasion emissions'!$I$7:$I$34,"PM 2.5",'abrasion emissions'!$J$7:$J$34,"urban",'abrasion emissions'!$K$7:$K$34,"Brake",'abrasion emissions'!$L$7:$L$34,"b")*POWER(('vehicles specifications'!$Q125/1000),(1/SUMIFS('abrasion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specifications'!$P125/1000),(1/SUMIFS('abrasion emissions'!$M$7:$M$34,'abrasion emissions'!$I$7:$I$34,"PM 10",'abrasion emissions'!$J$7:$J$34,"urban",'abrasion emissions'!$K$7:$K$34,"Brake",'abrasion emissions'!$L$7:$L$34,"c")))))/1000000</f>
        <v>6.1344370045756962E-6</v>
      </c>
      <c r="CR125" s="7">
        <f>((SUMIFS('abrasion emissions'!$M$7:$M$34,'abrasion emissions'!$I$7:$I$34,"PM 2.5",'abrasion emissions'!$J$7:$J$34,"rural",'abrasion emissions'!$K$7:$K$34,"Brake",'abrasion emissions'!$L$7:$L$34,"b")*POWER(('vehicles specifications'!$Q125/1000),(1/SUMIFS('abrasion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specifications'!$P125/1000),(1/SUMIFS('abrasion emissions'!$M$7:$M$34,'abrasion emissions'!$I$7:$I$34,"PM 10",'abrasion emissions'!$J$7:$J$34,"rural",'abrasion emissions'!$K$7:$K$34,"Brake",'abrasion emissions'!$L$7:$L$34,"c")))))/1000000</f>
        <v>1.9949968285058141E-6</v>
      </c>
      <c r="CS125" s="7">
        <f>((SUMIFS('abrasion emissions'!$M$7:$M$34,'abrasion emissions'!$I$7:$I$34,"PM 2.5",'abrasion emissions'!$J$7:$J$34,"motorway",'abrasion emissions'!$K$7:$K$34,"Brake",'abrasion emissions'!$L$7:$L$34,"b")*POWER(('vehicles specifications'!$Q125/1000),(1/SUMIFS('abrasion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specifications'!$P125/1000),(1/SUMIFS('abrasion emissions'!$M$7:$M$34,'abrasion emissions'!$I$7:$I$34,"PM 10",'abrasion emissions'!$J$7:$J$34,"motorway",'abrasion emissions'!$K$7:$K$34,"Brake",'abrasion emissions'!$L$7:$L$34,"c")))))/1000000</f>
        <v>3.7228646124235908E-7</v>
      </c>
      <c r="CT125" s="7">
        <f>((SUMIFS('abrasion emissions'!$M$7:$M$38,'abrasion emissions'!$I$7:$I$38,"PM 2.5",'abrasion emissions'!$K$7:$K$38,"Re-susp.",'abrasion emissions'!$L$7:$L$38,"b")*POWER(('vehicles specifications'!$Q125/1000),(1/SUMIFS('abrasion emissions'!$M$7:$M$38,'abrasion emissions'!$I$7:$I$38,"PM 2.5",'abrasion emissions'!$K$7:$K$38,"Re-susp.",'abrasion emissions'!$L$7:$L$38,"c"))))+
(SUMIFS('abrasion emissions'!$M$7:$M$38,'abrasion emissions'!$I$7:$I$38,"PM 10",'abrasion emissions'!$K$7:$K$38,"Re-susp.",'abrasion emissions'!$L$7:$L$38,"b")*POWER(('vehicles specifications'!$Q125/1000),(1/SUMIFS('abrasion emissions'!$M$7:$M$38,'abrasion emissions'!$I$7:$I$38,"PM 10",'abrasion emissions'!$K$7:$K$38,"Re-susp.",'abrasion emissions'!$L$7:$L$38,"c")))))/1000000</f>
        <v>3.8855239556511092E-6</v>
      </c>
      <c r="CU125" s="7">
        <f>((SUMIFS('abrasion emissions'!$M$7:$M$38,'abrasion emissions'!$I$7:$I$38,"PM 2.5",'abrasion emissions'!$K$7:$K$38,"Road",'abrasion emissions'!$L$7:$L$38,"b")*POWER(('vehicles specifications'!$Q125/1000),(1/SUMIFS('abrasion emissions'!$M$7:$M$38,'abrasion emissions'!$I$7:$I$38,"PM 2.5",'abrasion emissions'!$K$7:$K$38,"Road",'abrasion emissions'!$L$7:$L$38,"c"))))+
(SUMIFS('abrasion emissions'!$M$7:$M$38,'abrasion emissions'!$I$7:$I$38,"PM 10",'abrasion emissions'!$K$7:$K$38,"Road",'abrasion emissions'!$L$7:$L$38,"b")*POWER(('vehicles specifications'!$Q125/1000),(1/SUMIFS('abrasion emissions'!$M$7:$M$38,'abrasion emissions'!$I$7:$I$38,"PM 10",'abrasion emissions'!$K$7:$K$38,"Road",'abrasion emissions'!$L$7:$L$38,"c")))))/1000000+CT125</f>
        <v>7.4334757992131559E-6</v>
      </c>
      <c r="CV125" s="7">
        <f>(CK125*CN125)+(CL125*CO125)+(CM125*CP125)</f>
        <v>5.1594719500757633E-6</v>
      </c>
      <c r="CW125" s="7">
        <f>(CK125*CQ125)+(CL125*CR125)+(CM125*CS125)</f>
        <v>2.805567697126877E-6</v>
      </c>
    </row>
    <row r="126">
      <c r="A126" t="str">
        <f>B126&amp;" - "&amp;D126&amp;" - "&amp;IF(I126&lt;&gt;"",I126&amp;" - "&amp;E126,E126)</f>
        <v>Motorbike, battery electric, 4-11kW - 2050 - NMC - CH</v>
      </c>
      <c r="B126" t="inlineStr">
        <is>
          <t>Motorbike, battery electric, 4-11kW</t>
        </is>
      </c>
      <c r="D126" s="18" t="n">
        <v>2050</v>
      </c>
      <c r="E126" t="inlineStr">
        <is>
          <t>CH</t>
        </is>
      </c>
      <c r="F126" t="inlineStr">
        <is>
          <t>None</t>
        </is>
      </c>
      <c r="G126" t="inlineStr">
        <is>
          <t>vkm</t>
        </is>
      </c>
      <c r="H126" t="inlineStr">
        <is>
          <t>BEV</t>
        </is>
      </c>
      <c r="I126" t="inlineStr">
        <is>
          <t>NMC</t>
        </is>
      </c>
      <c r="J126" t="n">
        <v>25000</v>
      </c>
      <c r="K126" t="n">
        <v>1776</v>
      </c>
      <c r="L126" s="2">
        <f>J126/K126</f>
        <v>14.076576576576576</v>
      </c>
      <c r="M126" t="n">
        <v>1.1</v>
      </c>
      <c r="N126" t="n">
        <v>75</v>
      </c>
      <c r="O126" t="n">
        <v>6</v>
      </c>
      <c r="P126" s="2">
        <f>SUM(U126,V126,W126,AC126,AF126,AH126)</f>
        <v>116.89626218710283</v>
      </c>
      <c r="Q126" s="2">
        <f>P126+(M126*N126)+O126</f>
        <v>205.39626218710282</v>
      </c>
      <c r="R126" t="n">
        <v>4.7</v>
      </c>
      <c r="S126" s="2" t="n">
        <v>65.43382696032849</v>
      </c>
      <c r="T126" s="1" t="n">
        <v>0.07000000000000001</v>
      </c>
      <c r="U126" s="2">
        <f>S126*(1-T126)</f>
        <v>60.853459073105491</v>
      </c>
      <c r="V126" s="2">
        <f>S126*0.2</f>
        <v>13.086765392065699</v>
      </c>
      <c r="W126" s="2">
        <f>U126*0.3</f>
        <v>18.256037721931648</v>
      </c>
      <c r="X126" s="3" t="n">
        <v>9.5</v>
      </c>
      <c r="Y126" s="1" t="n">
        <v>0.8</v>
      </c>
      <c r="Z126" s="3">
        <f>Y126*X126</f>
        <v>7.6000000000000005</v>
      </c>
      <c r="AA126" s="3">
        <f>IF(I126&lt;&gt;"",X126/INDEX('energy battery'!$B$3:$D$6,MATCH('vehicles specifications'!$D126,'energy battery'!$A$3:$A$6,0),MATCH('vehicles specifications'!$I126,'energy battery'!$B$2:$D$2,0)),"")</f>
        <v>19</v>
      </c>
      <c r="AB126" s="3">
        <f>IF(AA126&lt;&gt;"",0.3*AA126,"")</f>
        <v>5.7</v>
      </c>
      <c r="AC126" s="3">
        <f>IF(AA126&lt;&gt;"",AB126+AA126,"")</f>
        <v>24.7</v>
      </c>
      <c r="AD126" s="3" t="n">
        <v>0</v>
      </c>
      <c r="AE126" s="3" t="n">
        <v>0</v>
      </c>
      <c r="AF126">
        <f>AE126*'fuels and tailpipe emissions'!$B$3</f>
        <v>0</v>
      </c>
      <c r="AG126" t="n">
        <v>0</v>
      </c>
      <c r="AH126" s="3" t="n">
        <v>0</v>
      </c>
      <c r="AI126" s="3" t="n">
        <v>3</v>
      </c>
      <c r="AJ126" s="3" t="n">
        <v>1</v>
      </c>
      <c r="AK126">
        <f>J126/25000</f>
        <v>1</v>
      </c>
      <c r="AL126">
        <f>0.000537/1000*Q126</f>
        <v>1.1029779279447421E-4</v>
      </c>
      <c r="AM126" t="n">
        <v>0.00129</v>
      </c>
      <c r="AN126" s="2">
        <f>U126</f>
        <v>60.853459073105491</v>
      </c>
      <c r="AO126" s="2">
        <f>SUM(V126:W126)</f>
        <v>31.342803113997348</v>
      </c>
      <c r="AP126" s="2">
        <f>AC126</f>
        <v>24.7</v>
      </c>
      <c r="AQ126" s="6" t="inlineStr"/>
      <c r="AR126" s="20" t="n"/>
      <c r="AS126" s="6" t="n">
        <v>0.182</v>
      </c>
      <c r="AT126" s="2">
        <f>SUM(Z126,AG126)/(SUM(AQ126,AS126)/3.6)</f>
        <v>150.32967032967034</v>
      </c>
      <c r="AU126" s="5" t="n">
        <v>0</v>
      </c>
      <c r="AV126" s="5" t="n">
        <v>0</v>
      </c>
      <c r="AW126" s="7" t="n">
        <v>0</v>
      </c>
      <c r="AX126" s="7" t="n">
        <v>0</v>
      </c>
      <c r="AY126" s="7" t="n">
        <v>0</v>
      </c>
      <c r="AZ126" s="7" t="n">
        <v>0</v>
      </c>
      <c r="BA126" s="7" t="n">
        <v>0</v>
      </c>
      <c r="BB126" s="7" t="n">
        <v>0</v>
      </c>
      <c r="BC126" s="7" t="n">
        <v>0</v>
      </c>
      <c r="BD126" s="7" t="n">
        <v>0</v>
      </c>
      <c r="BE126" s="7" t="n">
        <v>0</v>
      </c>
      <c r="BF126" s="7" t="n">
        <v>0</v>
      </c>
      <c r="BG126" s="7" t="n">
        <v>0</v>
      </c>
      <c r="BH126" s="7" t="n">
        <v>0</v>
      </c>
      <c r="BI126" s="7" t="n">
        <v>0</v>
      </c>
      <c r="BJ126" s="7" t="n">
        <v>0</v>
      </c>
      <c r="BK126" s="7" t="n">
        <v>0</v>
      </c>
      <c r="BL126" s="7" t="n">
        <v>0</v>
      </c>
      <c r="BM126" s="7" t="n">
        <v>0</v>
      </c>
      <c r="BN126" s="7" t="n">
        <v>0</v>
      </c>
      <c r="BO126" s="7" t="n">
        <v>0</v>
      </c>
      <c r="BP126" s="7" t="n">
        <v>0</v>
      </c>
      <c r="BQ126" s="7" t="n">
        <v>0</v>
      </c>
      <c r="BR126" s="7" t="n">
        <v>0</v>
      </c>
      <c r="BS126" s="7" t="n">
        <v>0</v>
      </c>
      <c r="BT126" s="7" t="n">
        <v>0</v>
      </c>
      <c r="BU126" s="7" t="n">
        <v>0</v>
      </c>
      <c r="BV126" s="7" t="n">
        <v>0</v>
      </c>
      <c r="BW126" s="7" t="n">
        <v>0</v>
      </c>
      <c r="BX126" s="7" t="n">
        <v>0</v>
      </c>
      <c r="BY126" s="7" t="n">
        <v>0</v>
      </c>
      <c r="BZ126" s="7" t="n">
        <v>0</v>
      </c>
      <c r="CA126" s="7" t="n">
        <v>0</v>
      </c>
      <c r="CB126" s="7" t="n">
        <v>0</v>
      </c>
      <c r="CC126" s="7" t="n">
        <v>0</v>
      </c>
      <c r="CD126" s="7" t="n">
        <v>0</v>
      </c>
      <c r="CE126" s="7" t="n">
        <v>0</v>
      </c>
      <c r="CF126" s="7" t="n">
        <v>0</v>
      </c>
      <c r="CG126" s="7" t="n">
        <v>0</v>
      </c>
      <c r="CH126" s="7" t="n">
        <v>0</v>
      </c>
      <c r="CI126" s="7" t="n">
        <v>0</v>
      </c>
      <c r="CJ126" s="7" t="n">
        <v>0</v>
      </c>
      <c r="CK126" s="38">
        <f>VLOOKUP($B126,'abrasion emissions'!$O$7:$R$36,2,FALSE)</f>
        <v>0.33</v>
      </c>
      <c r="CL126" s="38">
        <f>VLOOKUP($B126,'abrasion emissions'!$O$7:$R$36,3,FALSE)</f>
        <v>0.33</v>
      </c>
      <c r="CM126" s="38">
        <f>VLOOKUP($B126,'abrasion emissions'!$O$7:$R$36,4,FALSE)</f>
        <v>0.33</v>
      </c>
      <c r="CN126" s="7">
        <f>((SUMIFS('abrasion emissions'!$M$7:$M$34,'abrasion emissions'!$I$7:$I$34,"PM 2.5",'abrasion emissions'!$J$7:$J$34,"urban",'abrasion emissions'!$K$7:$K$34,"Tyre",'abrasion emissions'!$L$7:$L$34,"b")*POWER(('vehicles specifications'!$Q126/1000),(1/SUMIFS('abrasion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specifications'!$P126/1000),(1/SUMIFS('abrasion emissions'!$M$7:$M$34,'abrasion emissions'!$I$7:$I$34,"PM 10",'abrasion emissions'!$J$7:$J$34,"urban",'abrasion emissions'!$K$7:$K$34,"Tyre",'abrasion emissions'!$L$7:$L$34,"c")))))/1000000</f>
        <v>6.4014085973713807E-6</v>
      </c>
      <c r="CO126" s="7">
        <f>((SUMIFS('abrasion emissions'!$M$7:$M$34,'abrasion emissions'!$I$7:$I$34,"PM 2.5",'abrasion emissions'!$J$7:$J$34,"rural",'abrasion emissions'!$K$7:$K$34,"Tyre",'abrasion emissions'!$L$7:$L$34,"b")*POWER(('vehicles specifications'!$Q126/1000),(1/SUMIFS('abrasion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specifications'!$P126/1000),(1/SUMIFS('abrasion emissions'!$M$7:$M$34,'abrasion emissions'!$I$7:$I$34,"PM 10",'abrasion emissions'!$J$7:$J$34,"rural",'abrasion emissions'!$K$7:$K$34,"Tyre",'abrasion emissions'!$L$7:$L$34,"c")))))/1000000</f>
        <v>4.9856700739084942E-6</v>
      </c>
      <c r="CP126" s="7">
        <f>((SUMIFS('abrasion emissions'!$M$7:$M$34,'abrasion emissions'!$I$7:$I$34,"PM 2.5",'abrasion emissions'!$J$7:$J$34,"motorway",'abrasion emissions'!$K$7:$K$34,"Tyre",'abrasion emissions'!$L$7:$L$34,"b")*POWER(('vehicles specifications'!$Q126/1000),(1/SUMIFS('abrasion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specifications'!$P126/1000),(1/SUMIFS('abrasion emissions'!$M$7:$M$34,'abrasion emissions'!$I$7:$I$34,"PM 10",'abrasion emissions'!$J$7:$J$34,"motorway",'abrasion emissions'!$K$7:$K$34,"Tyre",'abrasion emissions'!$L$7:$L$34,"c")))))/1000000</f>
        <v>4.2581370810117798E-6</v>
      </c>
      <c r="CQ126" s="7">
        <f>((SUMIFS('abrasion emissions'!$M$7:$M$34,'abrasion emissions'!$I$7:$I$34,"PM 2.5",'abrasion emissions'!$J$7:$J$34,"urban",'abrasion emissions'!$K$7:$K$34,"Brake",'abrasion emissions'!$L$7:$L$34,"b")*POWER(('vehicles specifications'!$Q126/1000),(1/SUMIFS('abrasion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specifications'!$P126/1000),(1/SUMIFS('abrasion emissions'!$M$7:$M$34,'abrasion emissions'!$I$7:$I$34,"PM 10",'abrasion emissions'!$J$7:$J$34,"urban",'abrasion emissions'!$K$7:$K$34,"Brake",'abrasion emissions'!$L$7:$L$34,"c")))))/1000000</f>
        <v>6.1390060546103967E-6</v>
      </c>
      <c r="CR126" s="7">
        <f>((SUMIFS('abrasion emissions'!$M$7:$M$34,'abrasion emissions'!$I$7:$I$34,"PM 2.5",'abrasion emissions'!$J$7:$J$34,"rural",'abrasion emissions'!$K$7:$K$34,"Brake",'abrasion emissions'!$L$7:$L$34,"b")*POWER(('vehicles specifications'!$Q126/1000),(1/SUMIFS('abrasion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specifications'!$P126/1000),(1/SUMIFS('abrasion emissions'!$M$7:$M$34,'abrasion emissions'!$I$7:$I$34,"PM 10",'abrasion emissions'!$J$7:$J$34,"rural",'abrasion emissions'!$K$7:$K$34,"Brake",'abrasion emissions'!$L$7:$L$34,"c")))))/1000000</f>
        <v>1.9968723616785491E-6</v>
      </c>
      <c r="CS126" s="7">
        <f>((SUMIFS('abrasion emissions'!$M$7:$M$34,'abrasion emissions'!$I$7:$I$34,"PM 2.5",'abrasion emissions'!$J$7:$J$34,"motorway",'abrasion emissions'!$K$7:$K$34,"Brake",'abrasion emissions'!$L$7:$L$34,"b")*POWER(('vehicles specifications'!$Q126/1000),(1/SUMIFS('abrasion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specifications'!$P126/1000),(1/SUMIFS('abrasion emissions'!$M$7:$M$34,'abrasion emissions'!$I$7:$I$34,"PM 10",'abrasion emissions'!$J$7:$J$34,"motorway",'abrasion emissions'!$K$7:$K$34,"Brake",'abrasion emissions'!$L$7:$L$34,"c")))))/1000000</f>
        <v>3.7268779662713471E-7</v>
      </c>
      <c r="CT126" s="7">
        <f>((SUMIFS('abrasion emissions'!$M$7:$M$38,'abrasion emissions'!$I$7:$I$38,"PM 2.5",'abrasion emissions'!$K$7:$K$38,"Re-susp.",'abrasion emissions'!$L$7:$L$38,"b")*POWER(('vehicles specifications'!$Q126/1000),(1/SUMIFS('abrasion emissions'!$M$7:$M$38,'abrasion emissions'!$I$7:$I$38,"PM 2.5",'abrasion emissions'!$K$7:$K$38,"Re-susp.",'abrasion emissions'!$L$7:$L$38,"c"))))+
(SUMIFS('abrasion emissions'!$M$7:$M$38,'abrasion emissions'!$I$7:$I$38,"PM 10",'abrasion emissions'!$K$7:$K$38,"Re-susp.",'abrasion emissions'!$L$7:$L$38,"b")*POWER(('vehicles specifications'!$Q126/1000),(1/SUMIFS('abrasion emissions'!$M$7:$M$38,'abrasion emissions'!$I$7:$I$38,"PM 10",'abrasion emissions'!$K$7:$K$38,"Re-susp.",'abrasion emissions'!$L$7:$L$38,"c")))))/1000000</f>
        <v>3.8898062670544316E-6</v>
      </c>
      <c r="CU126" s="7">
        <f>((SUMIFS('abrasion emissions'!$M$7:$M$38,'abrasion emissions'!$I$7:$I$38,"PM 2.5",'abrasion emissions'!$K$7:$K$38,"Road",'abrasion emissions'!$L$7:$L$38,"b")*POWER(('vehicles specifications'!$Q126/1000),(1/SUMIFS('abrasion emissions'!$M$7:$M$38,'abrasion emissions'!$I$7:$I$38,"PM 2.5",'abrasion emissions'!$K$7:$K$38,"Road",'abrasion emissions'!$L$7:$L$38,"c"))))+
(SUMIFS('abrasion emissions'!$M$7:$M$38,'abrasion emissions'!$I$7:$I$38,"PM 10",'abrasion emissions'!$K$7:$K$38,"Road",'abrasion emissions'!$L$7:$L$38,"b")*POWER(('vehicles specifications'!$Q126/1000),(1/SUMIFS('abrasion emissions'!$M$7:$M$38,'abrasion emissions'!$I$7:$I$38,"PM 10",'abrasion emissions'!$K$7:$K$38,"Road",'abrasion emissions'!$L$7:$L$38,"c")))))/1000000+CT126</f>
        <v>7.4406252182883539E-6</v>
      </c>
      <c r="CV126" s="7">
        <f>(CK126*CN126)+(CL126*CO126)+(CM126*CP126)</f>
        <v>5.1629211982562471E-6</v>
      </c>
      <c r="CW126" s="7">
        <f>(CK126*CQ126)+(CL126*CR126)+(CM126*CS126)</f>
        <v>2.8078268502623069E-6</v>
      </c>
    </row>
    <row r="127">
      <c r="A127" t="str">
        <f>B127&amp;" - "&amp;D127&amp;" - "&amp;IF(I127&lt;&gt;"",I127&amp;" - "&amp;E127,E127)</f>
        <v>Motorbike, battery electric, 11-35kW - 2020 - NMC - CH</v>
      </c>
      <c r="B127" t="inlineStr">
        <is>
          <t>Motorbike, battery electric, 11-35kW</t>
        </is>
      </c>
      <c r="D127" s="18" t="n">
        <v>2020</v>
      </c>
      <c r="E127" t="inlineStr">
        <is>
          <t>CH</t>
        </is>
      </c>
      <c r="F127" t="inlineStr">
        <is>
          <t>None</t>
        </is>
      </c>
      <c r="G127" t="inlineStr">
        <is>
          <t>vkm</t>
        </is>
      </c>
      <c r="H127" t="inlineStr">
        <is>
          <t>BEV</t>
        </is>
      </c>
      <c r="I127" t="inlineStr">
        <is>
          <t>NMC</t>
        </is>
      </c>
      <c r="J127" t="n">
        <v>38500</v>
      </c>
      <c r="K127" t="n">
        <v>2405</v>
      </c>
      <c r="L127" s="2">
        <f>J127/K127</f>
        <v>16.008316008316008</v>
      </c>
      <c r="M127" t="n">
        <v>1.1</v>
      </c>
      <c r="N127" t="n">
        <v>75</v>
      </c>
      <c r="O127" t="n">
        <v>6</v>
      </c>
      <c r="P127" s="2">
        <f>SUM(U127,V127,W127,AC127,AF127,AH127)</f>
        <v>165.64999999999998</v>
      </c>
      <c r="Q127" s="2">
        <f>P127+(M127*N127)+O127</f>
        <v>254.14999999999998</v>
      </c>
      <c r="R127" t="n">
        <v>14</v>
      </c>
      <c r="S127" s="2" t="n">
        <v>81</v>
      </c>
      <c r="T127" s="1" t="n">
        <v>0</v>
      </c>
      <c r="U127" s="2">
        <f>S127*(1-T127)</f>
        <v>81</v>
      </c>
      <c r="V127" s="2" t="n">
        <v>13</v>
      </c>
      <c r="W127" s="2" t="n">
        <v>19</v>
      </c>
      <c r="X127" s="3" t="n">
        <v>8.1</v>
      </c>
      <c r="Y127" s="1" t="n">
        <v>0.8</v>
      </c>
      <c r="Z127" s="3">
        <f>Y127*X127</f>
        <v>6.48</v>
      </c>
      <c r="AA127" s="3">
        <f>IF(I127&lt;&gt;"",X127/INDEX('energy battery'!$B$3:$D$6,MATCH('vehicles specifications'!$D127,'energy battery'!$A$3:$A$6,0),MATCH('vehicles specifications'!$I127,'energy battery'!$B$2:$D$2,0)),"")</f>
        <v>40.499999999999993</v>
      </c>
      <c r="AB127" s="3">
        <f>IF(AA127&lt;&gt;"",0.3*AA127,"")</f>
        <v>12.149999999999997</v>
      </c>
      <c r="AC127" s="3">
        <f>IF(AA127&lt;&gt;"",AB127+AA127,"")</f>
        <v>52.649999999999991</v>
      </c>
      <c r="AD127" s="3" t="n">
        <v>1</v>
      </c>
      <c r="AE127" s="3" t="n">
        <v>0</v>
      </c>
      <c r="AF127">
        <f>AE127*'fuels and tailpipe emissions'!$B$3</f>
        <v>0</v>
      </c>
      <c r="AG127" t="n">
        <v>0</v>
      </c>
      <c r="AH127" s="3" t="n">
        <v>0</v>
      </c>
      <c r="AI127" s="3" t="n">
        <v>5</v>
      </c>
      <c r="AJ127" s="3" t="n">
        <v>1</v>
      </c>
      <c r="AK127">
        <f>J127/25000</f>
        <v>1.54</v>
      </c>
      <c r="AL127">
        <f>0.000537/1000*Q127</f>
        <v>1.3647854999999999E-4</v>
      </c>
      <c r="AM127" t="n">
        <v>0.00129</v>
      </c>
      <c r="AN127" s="2">
        <f>U127</f>
        <v>81</v>
      </c>
      <c r="AO127" s="2">
        <f>SUM(V127:W127)</f>
        <v>32</v>
      </c>
      <c r="AP127" s="2">
        <f>AC127</f>
        <v>52.649999999999991</v>
      </c>
      <c r="AQ127" s="6" t="inlineStr"/>
      <c r="AR127" s="20" t="n"/>
      <c r="AS127" s="6" t="n">
        <v>0.2463557991373035</v>
      </c>
      <c r="AT127" s="2">
        <f>SUM(Z127,AG127)/(SUM(AQ127,AS127)/3.6)</f>
        <v>94.692311208791224</v>
      </c>
      <c r="AU127" s="5" t="n">
        <v>0</v>
      </c>
      <c r="AV127" s="5" t="n">
        <v>0</v>
      </c>
      <c r="AW127" s="7" t="n">
        <v>0</v>
      </c>
      <c r="AX127" s="7" t="n">
        <v>0</v>
      </c>
      <c r="AY127" s="7" t="n">
        <v>0</v>
      </c>
      <c r="AZ127" s="7" t="n">
        <v>0</v>
      </c>
      <c r="BA127" s="7" t="n">
        <v>0</v>
      </c>
      <c r="BB127" s="7" t="n">
        <v>0</v>
      </c>
      <c r="BC127" s="7" t="n">
        <v>0</v>
      </c>
      <c r="BD127" s="7" t="n">
        <v>0</v>
      </c>
      <c r="BE127" s="7" t="n">
        <v>0</v>
      </c>
      <c r="BF127" s="7" t="n">
        <v>0</v>
      </c>
      <c r="BG127" s="7" t="n">
        <v>0</v>
      </c>
      <c r="BH127" s="7" t="n">
        <v>0</v>
      </c>
      <c r="BI127" s="7" t="n">
        <v>0</v>
      </c>
      <c r="BJ127" s="7" t="n">
        <v>0</v>
      </c>
      <c r="BK127" s="7" t="n">
        <v>0</v>
      </c>
      <c r="BL127" s="7" t="n">
        <v>0</v>
      </c>
      <c r="BM127" s="7" t="n">
        <v>0</v>
      </c>
      <c r="BN127" s="7" t="n">
        <v>0</v>
      </c>
      <c r="BO127" s="7" t="n">
        <v>0</v>
      </c>
      <c r="BP127" s="7" t="n">
        <v>0</v>
      </c>
      <c r="BQ127" s="7" t="n">
        <v>0</v>
      </c>
      <c r="BR127" s="7" t="n">
        <v>0</v>
      </c>
      <c r="BS127" s="7" t="n">
        <v>0</v>
      </c>
      <c r="BT127" s="7" t="n">
        <v>0</v>
      </c>
      <c r="BU127" s="7" t="n">
        <v>0</v>
      </c>
      <c r="BV127" s="7" t="n">
        <v>0</v>
      </c>
      <c r="BW127" s="7" t="n">
        <v>0</v>
      </c>
      <c r="BX127" s="7" t="n">
        <v>0</v>
      </c>
      <c r="BY127" s="7" t="n">
        <v>0</v>
      </c>
      <c r="BZ127" s="7" t="n">
        <v>0</v>
      </c>
      <c r="CA127" s="7" t="n">
        <v>0</v>
      </c>
      <c r="CB127" s="7" t="n">
        <v>0</v>
      </c>
      <c r="CC127" s="7" t="n">
        <v>0</v>
      </c>
      <c r="CD127" s="7" t="n">
        <v>0</v>
      </c>
      <c r="CE127" s="7" t="n">
        <v>0</v>
      </c>
      <c r="CF127" s="7" t="n">
        <v>0</v>
      </c>
      <c r="CG127" s="7" t="n">
        <v>0</v>
      </c>
      <c r="CH127" s="7" t="n">
        <v>0</v>
      </c>
      <c r="CI127" s="7" t="n">
        <v>0</v>
      </c>
      <c r="CJ127" s="7" t="n">
        <v>0</v>
      </c>
      <c r="CK127" s="38">
        <f>VLOOKUP($B127,'abrasion emissions'!$O$7:$R$36,2,FALSE)</f>
        <v>0.33</v>
      </c>
      <c r="CL127" s="38">
        <f>VLOOKUP($B127,'abrasion emissions'!$O$7:$R$36,3,FALSE)</f>
        <v>0.33</v>
      </c>
      <c r="CM127" s="38">
        <f>VLOOKUP($B127,'abrasion emissions'!$O$7:$R$36,4,FALSE)</f>
        <v>0.33</v>
      </c>
      <c r="CN127" s="7">
        <f>((SUMIFS('abrasion emissions'!$M$7:$M$34,'abrasion emissions'!$I$7:$I$34,"PM 2.5",'abrasion emissions'!$J$7:$J$34,"urban",'abrasion emissions'!$K$7:$K$34,"Tyre",'abrasion emissions'!$L$7:$L$34,"b")*POWER(('vehicles specifications'!$Q127/1000),(1/SUMIFS('abrasion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specifications'!$P127/1000),(1/SUMIFS('abrasion emissions'!$M$7:$M$34,'abrasion emissions'!$I$7:$I$34,"PM 10",'abrasion emissions'!$J$7:$J$34,"urban",'abrasion emissions'!$K$7:$K$34,"Tyre",'abrasion emissions'!$L$7:$L$34,"c")))))/1000000</f>
        <v>7.1744727596507793E-6</v>
      </c>
      <c r="CO127" s="7">
        <f>((SUMIFS('abrasion emissions'!$M$7:$M$34,'abrasion emissions'!$I$7:$I$34,"PM 2.5",'abrasion emissions'!$J$7:$J$34,"rural",'abrasion emissions'!$K$7:$K$34,"Tyre",'abrasion emissions'!$L$7:$L$34,"b")*POWER(('vehicles specifications'!$Q127/1000),(1/SUMIFS('abrasion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specifications'!$P127/1000),(1/SUMIFS('abrasion emissions'!$M$7:$M$34,'abrasion emissions'!$I$7:$I$34,"PM 10",'abrasion emissions'!$J$7:$J$34,"rural",'abrasion emissions'!$K$7:$K$34,"Tyre",'abrasion emissions'!$L$7:$L$34,"c")))))/1000000</f>
        <v>5.5873105174768598E-6</v>
      </c>
      <c r="CP127" s="7">
        <f>((SUMIFS('abrasion emissions'!$M$7:$M$34,'abrasion emissions'!$I$7:$I$34,"PM 2.5",'abrasion emissions'!$J$7:$J$34,"motorway",'abrasion emissions'!$K$7:$K$34,"Tyre",'abrasion emissions'!$L$7:$L$34,"b")*POWER(('vehicles specifications'!$Q127/1000),(1/SUMIFS('abrasion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specifications'!$P127/1000),(1/SUMIFS('abrasion emissions'!$M$7:$M$34,'abrasion emissions'!$I$7:$I$34,"PM 10",'abrasion emissions'!$J$7:$J$34,"motorway",'abrasion emissions'!$K$7:$K$34,"Tyre",'abrasion emissions'!$L$7:$L$34,"c")))))/1000000</f>
        <v>4.7708477103774614E-6</v>
      </c>
      <c r="CQ127" s="7">
        <f>((SUMIFS('abrasion emissions'!$M$7:$M$34,'abrasion emissions'!$I$7:$I$34,"PM 2.5",'abrasion emissions'!$J$7:$J$34,"urban",'abrasion emissions'!$K$7:$K$34,"Brake",'abrasion emissions'!$L$7:$L$34,"b")*POWER(('vehicles specifications'!$Q127/1000),(1/SUMIFS('abrasion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specifications'!$P127/1000),(1/SUMIFS('abrasion emissions'!$M$7:$M$34,'abrasion emissions'!$I$7:$I$34,"PM 10",'abrasion emissions'!$J$7:$J$34,"urban",'abrasion emissions'!$K$7:$K$34,"Brake",'abrasion emissions'!$L$7:$L$34,"c")))))/1000000</f>
        <v>6.9795306998355551E-6</v>
      </c>
      <c r="CR127" s="7">
        <f>((SUMIFS('abrasion emissions'!$M$7:$M$34,'abrasion emissions'!$I$7:$I$34,"PM 2.5",'abrasion emissions'!$J$7:$J$34,"rural",'abrasion emissions'!$K$7:$K$34,"Brake",'abrasion emissions'!$L$7:$L$34,"b")*POWER(('vehicles specifications'!$Q127/1000),(1/SUMIFS('abrasion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specifications'!$P127/1000),(1/SUMIFS('abrasion emissions'!$M$7:$M$34,'abrasion emissions'!$I$7:$I$34,"PM 10",'abrasion emissions'!$J$7:$J$34,"rural",'abrasion emissions'!$K$7:$K$34,"Brake",'abrasion emissions'!$L$7:$L$34,"c")))))/1000000</f>
        <v>2.3484520788296964E-6</v>
      </c>
      <c r="CS127" s="7">
        <f>((SUMIFS('abrasion emissions'!$M$7:$M$34,'abrasion emissions'!$I$7:$I$34,"PM 2.5",'abrasion emissions'!$J$7:$J$34,"motorway",'abrasion emissions'!$K$7:$K$34,"Brake",'abrasion emissions'!$L$7:$L$34,"b")*POWER(('vehicles specifications'!$Q127/1000),(1/SUMIFS('abrasion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specifications'!$P127/1000),(1/SUMIFS('abrasion emissions'!$M$7:$M$34,'abrasion emissions'!$I$7:$I$34,"PM 10",'abrasion emissions'!$J$7:$J$34,"motorway",'abrasion emissions'!$K$7:$K$34,"Brake",'abrasion emissions'!$L$7:$L$34,"c")))))/1000000</f>
        <v>4.4897150341750749E-7</v>
      </c>
      <c r="CT127" s="7">
        <f>((SUMIFS('abrasion emissions'!$M$7:$M$38,'abrasion emissions'!$I$7:$I$38,"PM 2.5",'abrasion emissions'!$K$7:$K$38,"Re-susp.",'abrasion emissions'!$L$7:$L$38,"b")*POWER(('vehicles specifications'!$Q127/1000),(1/SUMIFS('abrasion emissions'!$M$7:$M$38,'abrasion emissions'!$I$7:$I$38,"PM 2.5",'abrasion emissions'!$K$7:$K$38,"Re-susp.",'abrasion emissions'!$L$7:$L$38,"c"))))+
(SUMIFS('abrasion emissions'!$M$7:$M$38,'abrasion emissions'!$I$7:$I$38,"PM 10",'abrasion emissions'!$K$7:$K$38,"Re-susp.",'abrasion emissions'!$L$7:$L$38,"b")*POWER(('vehicles specifications'!$Q127/1000),(1/SUMIFS('abrasion emissions'!$M$7:$M$38,'abrasion emissions'!$I$7:$I$38,"PM 10",'abrasion emissions'!$K$7:$K$38,"Re-susp.",'abrasion emissions'!$L$7:$L$38,"c")))))/1000000</f>
        <v>4.7208117109762081E-6</v>
      </c>
      <c r="CU127" s="7">
        <f>((SUMIFS('abrasion emissions'!$M$7:$M$38,'abrasion emissions'!$I$7:$I$38,"PM 2.5",'abrasion emissions'!$K$7:$K$38,"Road",'abrasion emissions'!$L$7:$L$38,"b")*POWER(('vehicles specifications'!$Q127/1000),(1/SUMIFS('abrasion emissions'!$M$7:$M$38,'abrasion emissions'!$I$7:$I$38,"PM 2.5",'abrasion emissions'!$K$7:$K$38,"Road",'abrasion emissions'!$L$7:$L$38,"c"))))+
(SUMIFS('abrasion emissions'!$M$7:$M$38,'abrasion emissions'!$I$7:$I$38,"PM 10",'abrasion emissions'!$K$7:$K$38,"Road",'abrasion emissions'!$L$7:$L$38,"b")*POWER(('vehicles specifications'!$Q127/1000),(1/SUMIFS('abrasion emissions'!$M$7:$M$38,'abrasion emissions'!$I$7:$I$38,"PM 10",'abrasion emissions'!$K$7:$K$38,"Road",'abrasion emissions'!$L$7:$L$38,"c")))))/1000000+CT127</f>
        <v>8.8133578199366445E-6</v>
      </c>
      <c r="CV127" s="7">
        <f>(CK127*CN127)+(CL127*CO127)+(CM127*CP127)</f>
        <v>5.7857682258766833E-6</v>
      </c>
      <c r="CW127" s="7">
        <f>(CK127*CQ127)+(CL127*CR127)+(CM127*CS127)</f>
        <v>3.2263949130873107E-6</v>
      </c>
    </row>
    <row r="128">
      <c r="A128" t="str">
        <f>B128&amp;" - "&amp;D128&amp;" - "&amp;IF(I128&lt;&gt;"",I128&amp;" - "&amp;E128,E128)</f>
        <v>Motorbike, battery electric, 11-35kW - 2030 - NMC - CH</v>
      </c>
      <c r="B128" t="inlineStr">
        <is>
          <t>Motorbike, battery electric, 11-35kW</t>
        </is>
      </c>
      <c r="D128" s="18" t="n">
        <v>2030</v>
      </c>
      <c r="E128" t="inlineStr">
        <is>
          <t>CH</t>
        </is>
      </c>
      <c r="F128" t="inlineStr">
        <is>
          <t>None</t>
        </is>
      </c>
      <c r="G128" t="inlineStr">
        <is>
          <t>vkm</t>
        </is>
      </c>
      <c r="H128" t="inlineStr">
        <is>
          <t>BEV</t>
        </is>
      </c>
      <c r="I128" t="inlineStr">
        <is>
          <t>NMC</t>
        </is>
      </c>
      <c r="J128" t="n">
        <v>38500</v>
      </c>
      <c r="K128" t="n">
        <v>2405</v>
      </c>
      <c r="L128" s="2">
        <f>J128/K128</f>
        <v>16.008316008316008</v>
      </c>
      <c r="M128" t="n">
        <v>1.1</v>
      </c>
      <c r="N128" t="n">
        <v>75</v>
      </c>
      <c r="O128" t="n">
        <v>6</v>
      </c>
      <c r="P128" s="2">
        <f>SUM(U128,V128,W128,AC128,AF128,AH128)</f>
        <v>166.03666666666666</v>
      </c>
      <c r="Q128" s="2">
        <f>P128+(M128*N128)+O128</f>
        <v>254.53666666666666</v>
      </c>
      <c r="R128" t="n">
        <v>14</v>
      </c>
      <c r="S128" s="2" t="n">
        <v>81</v>
      </c>
      <c r="T128" s="1" t="n">
        <v>0.03</v>
      </c>
      <c r="U128" s="2">
        <f>S128*(1-T128)</f>
        <v>78.569999999999993</v>
      </c>
      <c r="V128" s="2" t="n">
        <v>13</v>
      </c>
      <c r="W128" s="2" t="n">
        <v>19</v>
      </c>
      <c r="X128" s="3" t="n">
        <v>12.8</v>
      </c>
      <c r="Y128" s="1" t="n">
        <v>0.8</v>
      </c>
      <c r="Z128" s="3">
        <f>Y128*X128</f>
        <v>10.240000000000002</v>
      </c>
      <c r="AA128" s="3">
        <f>IF(I128&lt;&gt;"",X128/INDEX('energy battery'!$B$3:$D$6,MATCH('vehicles specifications'!$D128,'energy battery'!$A$3:$A$6,0),MATCH('vehicles specifications'!$I128,'energy battery'!$B$2:$D$2,0)),"")</f>
        <v>42.666666666666671</v>
      </c>
      <c r="AB128" s="3">
        <f>IF(AA128&lt;&gt;"",0.3*AA128,"")</f>
        <v>12.8</v>
      </c>
      <c r="AC128" s="3">
        <f>IF(AA128&lt;&gt;"",AB128+AA128,"")</f>
        <v>55.466666666666669</v>
      </c>
      <c r="AD128" s="3" t="n">
        <v>0.5</v>
      </c>
      <c r="AE128" s="3" t="n">
        <v>0</v>
      </c>
      <c r="AF128">
        <f>AE128*'fuels and tailpipe emissions'!$B$3</f>
        <v>0</v>
      </c>
      <c r="AG128" t="n">
        <v>0</v>
      </c>
      <c r="AH128" s="3" t="n">
        <v>0</v>
      </c>
      <c r="AI128" s="3" t="n">
        <v>5</v>
      </c>
      <c r="AJ128" s="3" t="n">
        <v>1</v>
      </c>
      <c r="AK128">
        <f>J128/25000</f>
        <v>1.54</v>
      </c>
      <c r="AL128">
        <f>0.000537/1000*Q128</f>
        <v>1.3668618999999998E-4</v>
      </c>
      <c r="AM128" t="n">
        <v>0.00129</v>
      </c>
      <c r="AN128" s="2">
        <f>U128</f>
        <v>78.569999999999993</v>
      </c>
      <c r="AO128" s="2">
        <f>SUM(V128:W128)</f>
        <v>32</v>
      </c>
      <c r="AP128" s="2">
        <f>AC128</f>
        <v>55.466666666666669</v>
      </c>
      <c r="AQ128" s="6" t="inlineStr"/>
      <c r="AR128" s="20" t="n"/>
      <c r="AS128" s="6" t="n">
        <v>0.2463557991373035</v>
      </c>
      <c r="AT128" s="2">
        <f>SUM(Z128,AG128)/(SUM(AQ128,AS128)/3.6)</f>
        <v>149.63723252747255</v>
      </c>
      <c r="AU128" s="5" t="n">
        <v>0</v>
      </c>
      <c r="AV128" s="5" t="n">
        <v>0</v>
      </c>
      <c r="AW128" s="7" t="n">
        <v>0</v>
      </c>
      <c r="AX128" s="7" t="n">
        <v>0</v>
      </c>
      <c r="AY128" s="7" t="n">
        <v>0</v>
      </c>
      <c r="AZ128" s="7" t="n">
        <v>0</v>
      </c>
      <c r="BA128" s="7" t="n">
        <v>0</v>
      </c>
      <c r="BB128" s="7" t="n">
        <v>0</v>
      </c>
      <c r="BC128" s="7" t="n">
        <v>0</v>
      </c>
      <c r="BD128" s="7" t="n">
        <v>0</v>
      </c>
      <c r="BE128" s="7" t="n">
        <v>0</v>
      </c>
      <c r="BF128" s="7" t="n">
        <v>0</v>
      </c>
      <c r="BG128" s="7" t="n">
        <v>0</v>
      </c>
      <c r="BH128" s="7" t="n">
        <v>0</v>
      </c>
      <c r="BI128" s="7" t="n">
        <v>0</v>
      </c>
      <c r="BJ128" s="7" t="n">
        <v>0</v>
      </c>
      <c r="BK128" s="7" t="n">
        <v>0</v>
      </c>
      <c r="BL128" s="7" t="n">
        <v>0</v>
      </c>
      <c r="BM128" s="7" t="n">
        <v>0</v>
      </c>
      <c r="BN128" s="7" t="n">
        <v>0</v>
      </c>
      <c r="BO128" s="7" t="n">
        <v>0</v>
      </c>
      <c r="BP128" s="7" t="n">
        <v>0</v>
      </c>
      <c r="BQ128" s="7" t="n">
        <v>0</v>
      </c>
      <c r="BR128" s="7" t="n">
        <v>0</v>
      </c>
      <c r="BS128" s="7" t="n">
        <v>0</v>
      </c>
      <c r="BT128" s="7" t="n">
        <v>0</v>
      </c>
      <c r="BU128" s="7" t="n">
        <v>0</v>
      </c>
      <c r="BV128" s="7" t="n">
        <v>0</v>
      </c>
      <c r="BW128" s="7" t="n">
        <v>0</v>
      </c>
      <c r="BX128" s="7" t="n">
        <v>0</v>
      </c>
      <c r="BY128" s="7" t="n">
        <v>0</v>
      </c>
      <c r="BZ128" s="7" t="n">
        <v>0</v>
      </c>
      <c r="CA128" s="7" t="n">
        <v>0</v>
      </c>
      <c r="CB128" s="7" t="n">
        <v>0</v>
      </c>
      <c r="CC128" s="7" t="n">
        <v>0</v>
      </c>
      <c r="CD128" s="7" t="n">
        <v>0</v>
      </c>
      <c r="CE128" s="7" t="n">
        <v>0</v>
      </c>
      <c r="CF128" s="7" t="n">
        <v>0</v>
      </c>
      <c r="CG128" s="7" t="n">
        <v>0</v>
      </c>
      <c r="CH128" s="7" t="n">
        <v>0</v>
      </c>
      <c r="CI128" s="7" t="n">
        <v>0</v>
      </c>
      <c r="CJ128" s="7" t="n">
        <v>0</v>
      </c>
      <c r="CK128" s="38">
        <f>VLOOKUP($B128,'abrasion emissions'!$O$7:$R$36,2,FALSE)</f>
        <v>0.33</v>
      </c>
      <c r="CL128" s="38">
        <f>VLOOKUP($B128,'abrasion emissions'!$O$7:$R$36,3,FALSE)</f>
        <v>0.33</v>
      </c>
      <c r="CM128" s="38">
        <f>VLOOKUP($B128,'abrasion emissions'!$O$7:$R$36,4,FALSE)</f>
        <v>0.33</v>
      </c>
      <c r="CN128" s="7">
        <f>((SUMIFS('abrasion emissions'!$M$7:$M$34,'abrasion emissions'!$I$7:$I$34,"PM 2.5",'abrasion emissions'!$J$7:$J$34,"urban",'abrasion emissions'!$K$7:$K$34,"Tyre",'abrasion emissions'!$L$7:$L$34,"b")*POWER(('vehicles specifications'!$Q128/1000),(1/SUMIFS('abrasion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specifications'!$P128/1000),(1/SUMIFS('abrasion emissions'!$M$7:$M$34,'abrasion emissions'!$I$7:$I$34,"PM 10",'abrasion emissions'!$J$7:$J$34,"urban",'abrasion emissions'!$K$7:$K$34,"Tyre",'abrasion emissions'!$L$7:$L$34,"c")))))/1000000</f>
        <v>7.1801535228005072E-6</v>
      </c>
      <c r="CO128" s="7">
        <f>((SUMIFS('abrasion emissions'!$M$7:$M$34,'abrasion emissions'!$I$7:$I$34,"PM 2.5",'abrasion emissions'!$J$7:$J$34,"rural",'abrasion emissions'!$K$7:$K$34,"Tyre",'abrasion emissions'!$L$7:$L$34,"b")*POWER(('vehicles specifications'!$Q128/1000),(1/SUMIFS('abrasion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specifications'!$P128/1000),(1/SUMIFS('abrasion emissions'!$M$7:$M$34,'abrasion emissions'!$I$7:$I$34,"PM 10",'abrasion emissions'!$J$7:$J$34,"rural",'abrasion emissions'!$K$7:$K$34,"Tyre",'abrasion emissions'!$L$7:$L$34,"c")))))/1000000</f>
        <v>5.5917318312942094E-6</v>
      </c>
      <c r="CP128" s="7">
        <f>((SUMIFS('abrasion emissions'!$M$7:$M$34,'abrasion emissions'!$I$7:$I$34,"PM 2.5",'abrasion emissions'!$J$7:$J$34,"motorway",'abrasion emissions'!$K$7:$K$34,"Tyre",'abrasion emissions'!$L$7:$L$34,"b")*POWER(('vehicles specifications'!$Q128/1000),(1/SUMIFS('abrasion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specifications'!$P128/1000),(1/SUMIFS('abrasion emissions'!$M$7:$M$34,'abrasion emissions'!$I$7:$I$34,"PM 10",'abrasion emissions'!$J$7:$J$34,"motorway",'abrasion emissions'!$K$7:$K$34,"Tyre",'abrasion emissions'!$L$7:$L$34,"c")))))/1000000</f>
        <v>4.7746160925158934E-6</v>
      </c>
      <c r="CQ128" s="7">
        <f>((SUMIFS('abrasion emissions'!$M$7:$M$34,'abrasion emissions'!$I$7:$I$34,"PM 2.5",'abrasion emissions'!$J$7:$J$34,"urban",'abrasion emissions'!$K$7:$K$34,"Brake",'abrasion emissions'!$L$7:$L$34,"b")*POWER(('vehicles specifications'!$Q128/1000),(1/SUMIFS('abrasion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specifications'!$P128/1000),(1/SUMIFS('abrasion emissions'!$M$7:$M$34,'abrasion emissions'!$I$7:$I$34,"PM 10",'abrasion emissions'!$J$7:$J$34,"urban",'abrasion emissions'!$K$7:$K$34,"Brake",'abrasion emissions'!$L$7:$L$34,"c")))))/1000000</f>
        <v>6.9858143570140925E-6</v>
      </c>
      <c r="CR128" s="7">
        <f>((SUMIFS('abrasion emissions'!$M$7:$M$34,'abrasion emissions'!$I$7:$I$34,"PM 2.5",'abrasion emissions'!$J$7:$J$34,"rural",'abrasion emissions'!$K$7:$K$34,"Brake",'abrasion emissions'!$L$7:$L$34,"b")*POWER(('vehicles specifications'!$Q128/1000),(1/SUMIFS('abrasion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specifications'!$P128/1000),(1/SUMIFS('abrasion emissions'!$M$7:$M$34,'abrasion emissions'!$I$7:$I$34,"PM 10",'abrasion emissions'!$J$7:$J$34,"rural",'abrasion emissions'!$K$7:$K$34,"Brake",'abrasion emissions'!$L$7:$L$34,"c")))))/1000000</f>
        <v>2.3511274593329272E-6</v>
      </c>
      <c r="CS128" s="7">
        <f>((SUMIFS('abrasion emissions'!$M$7:$M$34,'abrasion emissions'!$I$7:$I$34,"PM 2.5",'abrasion emissions'!$J$7:$J$34,"motorway",'abrasion emissions'!$K$7:$K$34,"Brake",'abrasion emissions'!$L$7:$L$34,"b")*POWER(('vehicles specifications'!$Q128/1000),(1/SUMIFS('abrasion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specifications'!$P128/1000),(1/SUMIFS('abrasion emissions'!$M$7:$M$34,'abrasion emissions'!$I$7:$I$34,"PM 10",'abrasion emissions'!$J$7:$J$34,"motorway",'abrasion emissions'!$K$7:$K$34,"Brake",'abrasion emissions'!$L$7:$L$34,"c")))))/1000000</f>
        <v>4.4955955462242896E-7</v>
      </c>
      <c r="CT128" s="7">
        <f>((SUMIFS('abrasion emissions'!$M$7:$M$38,'abrasion emissions'!$I$7:$I$38,"PM 2.5",'abrasion emissions'!$K$7:$K$38,"Re-susp.",'abrasion emissions'!$L$7:$L$38,"b")*POWER(('vehicles specifications'!$Q128/1000),(1/SUMIFS('abrasion emissions'!$M$7:$M$38,'abrasion emissions'!$I$7:$I$38,"PM 2.5",'abrasion emissions'!$K$7:$K$38,"Re-susp.",'abrasion emissions'!$L$7:$L$38,"c"))))+
(SUMIFS('abrasion emissions'!$M$7:$M$38,'abrasion emissions'!$I$7:$I$38,"PM 10",'abrasion emissions'!$K$7:$K$38,"Re-susp.",'abrasion emissions'!$L$7:$L$38,"b")*POWER(('vehicles specifications'!$Q128/1000),(1/SUMIFS('abrasion emissions'!$M$7:$M$38,'abrasion emissions'!$I$7:$I$38,"PM 10",'abrasion emissions'!$K$7:$K$38,"Re-susp.",'abrasion emissions'!$L$7:$L$38,"c")))))/1000000</f>
        <v>4.7273406196870027E-6</v>
      </c>
      <c r="CU128" s="7">
        <f>((SUMIFS('abrasion emissions'!$M$7:$M$38,'abrasion emissions'!$I$7:$I$38,"PM 2.5",'abrasion emissions'!$K$7:$K$38,"Road",'abrasion emissions'!$L$7:$L$38,"b")*POWER(('vehicles specifications'!$Q128/1000),(1/SUMIFS('abrasion emissions'!$M$7:$M$38,'abrasion emissions'!$I$7:$I$38,"PM 2.5",'abrasion emissions'!$K$7:$K$38,"Road",'abrasion emissions'!$L$7:$L$38,"c"))))+
(SUMIFS('abrasion emissions'!$M$7:$M$38,'abrasion emissions'!$I$7:$I$38,"PM 10",'abrasion emissions'!$K$7:$K$38,"Road",'abrasion emissions'!$L$7:$L$38,"b")*POWER(('vehicles specifications'!$Q128/1000),(1/SUMIFS('abrasion emissions'!$M$7:$M$38,'abrasion emissions'!$I$7:$I$38,"PM 10",'abrasion emissions'!$K$7:$K$38,"Road",'abrasion emissions'!$L$7:$L$38,"c")))))/1000000+CT128</f>
        <v>8.8240366405718536E-6</v>
      </c>
      <c r="CV128" s="7">
        <f>(CK128*CN128)+(CL128*CO128)+(CM128*CP128)</f>
        <v>5.7903454773815019E-6</v>
      </c>
      <c r="CW128" s="7">
        <f>(CK128*CQ128)+(CL128*CR128)+(CM128*CS128)</f>
        <v>3.2295454524199181E-6</v>
      </c>
    </row>
    <row r="129">
      <c r="A129" t="str">
        <f>B129&amp;" - "&amp;D129&amp;" - "&amp;IF(I129&lt;&gt;"",I129&amp;" - "&amp;E129,E129)</f>
        <v>Motorbike, battery electric, 11-35kW - 2040 - NMC - CH</v>
      </c>
      <c r="B129" t="inlineStr">
        <is>
          <t>Motorbike, battery electric, 11-35kW</t>
        </is>
      </c>
      <c r="D129" s="18" t="n">
        <v>2040</v>
      </c>
      <c r="E129" t="inlineStr">
        <is>
          <t>CH</t>
        </is>
      </c>
      <c r="F129" t="inlineStr">
        <is>
          <t>None</t>
        </is>
      </c>
      <c r="G129" t="inlineStr">
        <is>
          <t>vkm</t>
        </is>
      </c>
      <c r="H129" t="inlineStr">
        <is>
          <t>BEV</t>
        </is>
      </c>
      <c r="I129" t="inlineStr">
        <is>
          <t>NMC</t>
        </is>
      </c>
      <c r="J129" t="n">
        <v>38500</v>
      </c>
      <c r="K129" t="n">
        <v>2405</v>
      </c>
      <c r="L129" s="2">
        <f>J129/K129</f>
        <v>16.008316008316008</v>
      </c>
      <c r="M129" t="n">
        <v>1.1</v>
      </c>
      <c r="N129" t="n">
        <v>75</v>
      </c>
      <c r="O129" t="n">
        <v>6</v>
      </c>
      <c r="P129" s="2">
        <f>SUM(U129,V129,W129,AC129,AF129,AH129)</f>
        <v>166.8</v>
      </c>
      <c r="Q129" s="2">
        <f>P129+(M129*N129)+O129</f>
        <v>255.3</v>
      </c>
      <c r="R129" t="n">
        <v>14</v>
      </c>
      <c r="S129" s="2" t="n">
        <v>81</v>
      </c>
      <c r="T129" s="1" t="n">
        <v>0.05</v>
      </c>
      <c r="U129" s="2">
        <f>S129*(1-T129)</f>
        <v>76.95</v>
      </c>
      <c r="V129" s="2" t="n">
        <v>13</v>
      </c>
      <c r="W129" s="2" t="n">
        <v>19</v>
      </c>
      <c r="X129" s="3" t="n">
        <v>17.8</v>
      </c>
      <c r="Y129" s="1" t="n">
        <v>0.8</v>
      </c>
      <c r="Z129" s="3">
        <f>Y129*X129</f>
        <v>14.240000000000002</v>
      </c>
      <c r="AA129" s="3">
        <f>IF(I129&lt;&gt;"",X129/INDEX('energy battery'!$B$3:$D$6,MATCH('vehicles specifications'!$D129,'energy battery'!$A$3:$A$6,0),MATCH('vehicles specifications'!$I129,'energy battery'!$B$2:$D$2,0)),"")</f>
        <v>44.5</v>
      </c>
      <c r="AB129" s="3">
        <f>IF(AA129&lt;&gt;"",0.3*AA129,"")</f>
        <v>13.35</v>
      </c>
      <c r="AC129" s="3">
        <f>IF(AA129&lt;&gt;"",AB129+AA129,"")</f>
        <v>57.85</v>
      </c>
      <c r="AD129" s="3" t="n">
        <v>0.25</v>
      </c>
      <c r="AE129" s="3" t="n">
        <v>0</v>
      </c>
      <c r="AF129">
        <f>AE129*'fuels and tailpipe emissions'!$B$3</f>
        <v>0</v>
      </c>
      <c r="AG129" t="n">
        <v>0</v>
      </c>
      <c r="AH129" s="3" t="n">
        <v>0</v>
      </c>
      <c r="AI129" s="3" t="n">
        <v>5</v>
      </c>
      <c r="AJ129" s="3" t="n">
        <v>1</v>
      </c>
      <c r="AK129">
        <f>J129/25000</f>
        <v>1.54</v>
      </c>
      <c r="AL129">
        <f>0.000537/1000*Q129</f>
        <v>1.370961E-4</v>
      </c>
      <c r="AM129" t="n">
        <v>0.00129</v>
      </c>
      <c r="AN129" s="2">
        <f>U129</f>
        <v>76.95</v>
      </c>
      <c r="AO129" s="2">
        <f>SUM(V129:W129)</f>
        <v>32</v>
      </c>
      <c r="AP129" s="2">
        <f>AC129</f>
        <v>57.85</v>
      </c>
      <c r="AQ129" s="6" t="inlineStr"/>
      <c r="AR129" s="20" t="n"/>
      <c r="AS129" s="6" t="n">
        <v>0.2463557991373035</v>
      </c>
      <c r="AT129" s="2">
        <f>SUM(Z129,AG129)/(SUM(AQ129,AS129)/3.6)</f>
        <v>208.08927648351653</v>
      </c>
      <c r="AU129" s="5" t="n">
        <v>0</v>
      </c>
      <c r="AV129" s="5" t="n">
        <v>0</v>
      </c>
      <c r="AW129" s="7" t="n">
        <v>0</v>
      </c>
      <c r="AX129" s="7" t="n">
        <v>0</v>
      </c>
      <c r="AY129" s="7" t="n">
        <v>0</v>
      </c>
      <c r="AZ129" s="7" t="n">
        <v>0</v>
      </c>
      <c r="BA129" s="7" t="n">
        <v>0</v>
      </c>
      <c r="BB129" s="7" t="n">
        <v>0</v>
      </c>
      <c r="BC129" s="7" t="n">
        <v>0</v>
      </c>
      <c r="BD129" s="7" t="n">
        <v>0</v>
      </c>
      <c r="BE129" s="7" t="n">
        <v>0</v>
      </c>
      <c r="BF129" s="7" t="n">
        <v>0</v>
      </c>
      <c r="BG129" s="7" t="n">
        <v>0</v>
      </c>
      <c r="BH129" s="7" t="n">
        <v>0</v>
      </c>
      <c r="BI129" s="7" t="n">
        <v>0</v>
      </c>
      <c r="BJ129" s="7" t="n">
        <v>0</v>
      </c>
      <c r="BK129" s="7" t="n">
        <v>0</v>
      </c>
      <c r="BL129" s="7" t="n">
        <v>0</v>
      </c>
      <c r="BM129" s="7" t="n">
        <v>0</v>
      </c>
      <c r="BN129" s="7" t="n">
        <v>0</v>
      </c>
      <c r="BO129" s="7" t="n">
        <v>0</v>
      </c>
      <c r="BP129" s="7" t="n">
        <v>0</v>
      </c>
      <c r="BQ129" s="7" t="n">
        <v>0</v>
      </c>
      <c r="BR129" s="7" t="n">
        <v>0</v>
      </c>
      <c r="BS129" s="7" t="n">
        <v>0</v>
      </c>
      <c r="BT129" s="7" t="n">
        <v>0</v>
      </c>
      <c r="BU129" s="7" t="n">
        <v>0</v>
      </c>
      <c r="BV129" s="7" t="n">
        <v>0</v>
      </c>
      <c r="BW129" s="7" t="n">
        <v>0</v>
      </c>
      <c r="BX129" s="7" t="n">
        <v>0</v>
      </c>
      <c r="BY129" s="7" t="n">
        <v>0</v>
      </c>
      <c r="BZ129" s="7" t="n">
        <v>0</v>
      </c>
      <c r="CA129" s="7" t="n">
        <v>0</v>
      </c>
      <c r="CB129" s="7" t="n">
        <v>0</v>
      </c>
      <c r="CC129" s="7" t="n">
        <v>0</v>
      </c>
      <c r="CD129" s="7" t="n">
        <v>0</v>
      </c>
      <c r="CE129" s="7" t="n">
        <v>0</v>
      </c>
      <c r="CF129" s="7" t="n">
        <v>0</v>
      </c>
      <c r="CG129" s="7" t="n">
        <v>0</v>
      </c>
      <c r="CH129" s="7" t="n">
        <v>0</v>
      </c>
      <c r="CI129" s="7" t="n">
        <v>0</v>
      </c>
      <c r="CJ129" s="7" t="n">
        <v>0</v>
      </c>
      <c r="CK129" s="38">
        <f>VLOOKUP($B129,'abrasion emissions'!$O$7:$R$36,2,FALSE)</f>
        <v>0.33</v>
      </c>
      <c r="CL129" s="38">
        <f>VLOOKUP($B129,'abrasion emissions'!$O$7:$R$36,3,FALSE)</f>
        <v>0.33</v>
      </c>
      <c r="CM129" s="38">
        <f>VLOOKUP($B129,'abrasion emissions'!$O$7:$R$36,4,FALSE)</f>
        <v>0.33</v>
      </c>
      <c r="CN129" s="7">
        <f>((SUMIFS('abrasion emissions'!$M$7:$M$34,'abrasion emissions'!$I$7:$I$34,"PM 2.5",'abrasion emissions'!$J$7:$J$34,"urban",'abrasion emissions'!$K$7:$K$34,"Tyre",'abrasion emissions'!$L$7:$L$34,"b")*POWER(('vehicles specifications'!$Q129/1000),(1/SUMIFS('abrasion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specifications'!$P129/1000),(1/SUMIFS('abrasion emissions'!$M$7:$M$34,'abrasion emissions'!$I$7:$I$34,"PM 10",'abrasion emissions'!$J$7:$J$34,"urban",'abrasion emissions'!$K$7:$K$34,"Tyre",'abrasion emissions'!$L$7:$L$34,"c")))))/1000000</f>
        <v>7.191350224974304E-6</v>
      </c>
      <c r="CO129" s="7">
        <f>((SUMIFS('abrasion emissions'!$M$7:$M$34,'abrasion emissions'!$I$7:$I$34,"PM 2.5",'abrasion emissions'!$J$7:$J$34,"rural",'abrasion emissions'!$K$7:$K$34,"Tyre",'abrasion emissions'!$L$7:$L$34,"b")*POWER(('vehicles specifications'!$Q129/1000),(1/SUMIFS('abrasion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specifications'!$P129/1000),(1/SUMIFS('abrasion emissions'!$M$7:$M$34,'abrasion emissions'!$I$7:$I$34,"PM 10",'abrasion emissions'!$J$7:$J$34,"rural",'abrasion emissions'!$K$7:$K$34,"Tyre",'abrasion emissions'!$L$7:$L$34,"c")))))/1000000</f>
        <v>5.6004461857878812E-6</v>
      </c>
      <c r="CP129" s="7">
        <f>((SUMIFS('abrasion emissions'!$M$7:$M$34,'abrasion emissions'!$I$7:$I$34,"PM 2.5",'abrasion emissions'!$J$7:$J$34,"motorway",'abrasion emissions'!$K$7:$K$34,"Tyre",'abrasion emissions'!$L$7:$L$34,"b")*POWER(('vehicles specifications'!$Q129/1000),(1/SUMIFS('abrasion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specifications'!$P129/1000),(1/SUMIFS('abrasion emissions'!$M$7:$M$34,'abrasion emissions'!$I$7:$I$34,"PM 10",'abrasion emissions'!$J$7:$J$34,"motorway",'abrasion emissions'!$K$7:$K$34,"Tyre",'abrasion emissions'!$L$7:$L$34,"c")))))/1000000</f>
        <v>4.7820435488367323E-6</v>
      </c>
      <c r="CQ129" s="7">
        <f>((SUMIFS('abrasion emissions'!$M$7:$M$34,'abrasion emissions'!$I$7:$I$34,"PM 2.5",'abrasion emissions'!$J$7:$J$34,"urban",'abrasion emissions'!$K$7:$K$34,"Brake",'abrasion emissions'!$L$7:$L$34,"b")*POWER(('vehicles specifications'!$Q129/1000),(1/SUMIFS('abrasion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specifications'!$P129/1000),(1/SUMIFS('abrasion emissions'!$M$7:$M$34,'abrasion emissions'!$I$7:$I$34,"PM 10",'abrasion emissions'!$J$7:$J$34,"urban",'abrasion emissions'!$K$7:$K$34,"Brake",'abrasion emissions'!$L$7:$L$34,"c")))))/1000000</f>
        <v>6.9982036556431788E-6</v>
      </c>
      <c r="CR129" s="7">
        <f>((SUMIFS('abrasion emissions'!$M$7:$M$34,'abrasion emissions'!$I$7:$I$34,"PM 2.5",'abrasion emissions'!$J$7:$J$34,"rural",'abrasion emissions'!$K$7:$K$34,"Brake",'abrasion emissions'!$L$7:$L$34,"b")*POWER(('vehicles specifications'!$Q129/1000),(1/SUMIFS('abrasion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specifications'!$P129/1000),(1/SUMIFS('abrasion emissions'!$M$7:$M$34,'abrasion emissions'!$I$7:$I$34,"PM 10",'abrasion emissions'!$J$7:$J$34,"rural",'abrasion emissions'!$K$7:$K$34,"Brake",'abrasion emissions'!$L$7:$L$34,"c")))))/1000000</f>
        <v>2.3564043884212742E-6</v>
      </c>
      <c r="CS129" s="7">
        <f>((SUMIFS('abrasion emissions'!$M$7:$M$34,'abrasion emissions'!$I$7:$I$34,"PM 2.5",'abrasion emissions'!$J$7:$J$34,"motorway",'abrasion emissions'!$K$7:$K$34,"Brake",'abrasion emissions'!$L$7:$L$34,"b")*POWER(('vehicles specifications'!$Q129/1000),(1/SUMIFS('abrasion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specifications'!$P129/1000),(1/SUMIFS('abrasion emissions'!$M$7:$M$34,'abrasion emissions'!$I$7:$I$34,"PM 10",'abrasion emissions'!$J$7:$J$34,"motorway",'abrasion emissions'!$K$7:$K$34,"Brake",'abrasion emissions'!$L$7:$L$34,"c")))))/1000000</f>
        <v>4.5071974549913653E-7</v>
      </c>
      <c r="CT129" s="7">
        <f>((SUMIFS('abrasion emissions'!$M$7:$M$38,'abrasion emissions'!$I$7:$I$38,"PM 2.5",'abrasion emissions'!$K$7:$K$38,"Re-susp.",'abrasion emissions'!$L$7:$L$38,"b")*POWER(('vehicles specifications'!$Q129/1000),(1/SUMIFS('abrasion emissions'!$M$7:$M$38,'abrasion emissions'!$I$7:$I$38,"PM 2.5",'abrasion emissions'!$K$7:$K$38,"Re-susp.",'abrasion emissions'!$L$7:$L$38,"c"))))+
(SUMIFS('abrasion emissions'!$M$7:$M$38,'abrasion emissions'!$I$7:$I$38,"PM 10",'abrasion emissions'!$K$7:$K$38,"Re-susp.",'abrasion emissions'!$L$7:$L$38,"b")*POWER(('vehicles specifications'!$Q129/1000),(1/SUMIFS('abrasion emissions'!$M$7:$M$38,'abrasion emissions'!$I$7:$I$38,"PM 10",'abrasion emissions'!$K$7:$K$38,"Re-susp.",'abrasion emissions'!$L$7:$L$38,"c")))))/1000000</f>
        <v>4.7402269406922841E-6</v>
      </c>
      <c r="CU129" s="7">
        <f>((SUMIFS('abrasion emissions'!$M$7:$M$38,'abrasion emissions'!$I$7:$I$38,"PM 2.5",'abrasion emissions'!$K$7:$K$38,"Road",'abrasion emissions'!$L$7:$L$38,"b")*POWER(('vehicles specifications'!$Q129/1000),(1/SUMIFS('abrasion emissions'!$M$7:$M$38,'abrasion emissions'!$I$7:$I$38,"PM 2.5",'abrasion emissions'!$K$7:$K$38,"Road",'abrasion emissions'!$L$7:$L$38,"c"))))+
(SUMIFS('abrasion emissions'!$M$7:$M$38,'abrasion emissions'!$I$7:$I$38,"PM 10",'abrasion emissions'!$K$7:$K$38,"Road",'abrasion emissions'!$L$7:$L$38,"b")*POWER(('vehicles specifications'!$Q129/1000),(1/SUMIFS('abrasion emissions'!$M$7:$M$38,'abrasion emissions'!$I$7:$I$38,"PM 10",'abrasion emissions'!$K$7:$K$38,"Road",'abrasion emissions'!$L$7:$L$38,"c")))))/1000000+CT129</f>
        <v>8.845109296756298E-6</v>
      </c>
      <c r="CV129" s="7">
        <f>(CK129*CN129)+(CL129*CO129)+(CM129*CP129)</f>
        <v>5.7993671866676433E-6</v>
      </c>
      <c r="CW129" s="7">
        <f>(CK129*CQ129)+(CL129*CR129)+(CM129*CS129)</f>
        <v>3.2357581705559849E-6</v>
      </c>
    </row>
    <row r="130">
      <c r="A130" t="str">
        <f>B130&amp;" - "&amp;D130&amp;" - "&amp;IF(I130&lt;&gt;"",I130&amp;" - "&amp;E130,E130)</f>
        <v>Motorbike, battery electric, 11-35kW - 2050 - NMC - CH</v>
      </c>
      <c r="B130" t="inlineStr">
        <is>
          <t>Motorbike, battery electric, 11-35kW</t>
        </is>
      </c>
      <c r="D130" s="18" t="n">
        <v>2050</v>
      </c>
      <c r="E130" t="inlineStr">
        <is>
          <t>CH</t>
        </is>
      </c>
      <c r="F130" t="inlineStr">
        <is>
          <t>None</t>
        </is>
      </c>
      <c r="G130" t="inlineStr">
        <is>
          <t>vkm</t>
        </is>
      </c>
      <c r="H130" t="inlineStr">
        <is>
          <t>BEV</t>
        </is>
      </c>
      <c r="I130" t="inlineStr">
        <is>
          <t>NMC</t>
        </is>
      </c>
      <c r="J130" t="n">
        <v>38500</v>
      </c>
      <c r="K130" t="n">
        <v>2405</v>
      </c>
      <c r="L130" s="2">
        <f>J130/K130</f>
        <v>16.008316008316008</v>
      </c>
      <c r="M130" t="n">
        <v>1.1</v>
      </c>
      <c r="N130" t="n">
        <v>75</v>
      </c>
      <c r="O130" t="n">
        <v>6</v>
      </c>
      <c r="P130" s="2">
        <f>SUM(U130,V130,W130,AC130,AF130,AH130)</f>
        <v>166.61</v>
      </c>
      <c r="Q130" s="2">
        <f>P130+(M130*N130)+O130</f>
        <v>255.11</v>
      </c>
      <c r="R130" t="n">
        <v>14</v>
      </c>
      <c r="S130" s="2" t="n">
        <v>81</v>
      </c>
      <c r="T130" s="1" t="n">
        <v>0.07000000000000001</v>
      </c>
      <c r="U130" s="2">
        <f>S130*(1-T130)</f>
        <v>75.33</v>
      </c>
      <c r="V130" s="2" t="n">
        <v>13</v>
      </c>
      <c r="W130" s="2" t="n">
        <v>19</v>
      </c>
      <c r="X130" s="3" t="n">
        <v>22.8</v>
      </c>
      <c r="Y130" s="1" t="n">
        <v>0.8</v>
      </c>
      <c r="Z130" s="3">
        <f>Y130*X130</f>
        <v>18.240000000000002</v>
      </c>
      <c r="AA130" s="3">
        <f>IF(I130&lt;&gt;"",X130/INDEX('energy battery'!$B$3:$D$6,MATCH('vehicles specifications'!$D130,'energy battery'!$A$3:$A$6,0),MATCH('vehicles specifications'!$I130,'energy battery'!$B$2:$D$2,0)),"")</f>
        <v>45.6</v>
      </c>
      <c r="AB130" s="3">
        <f>IF(AA130&lt;&gt;"",0.3*AA130,"")</f>
        <v>13.68</v>
      </c>
      <c r="AC130" s="3">
        <f>IF(AA130&lt;&gt;"",AB130+AA130,"")</f>
        <v>59.28</v>
      </c>
      <c r="AD130" s="3" t="n">
        <v>0</v>
      </c>
      <c r="AE130" s="3" t="n">
        <v>0</v>
      </c>
      <c r="AF130">
        <f>AE130*'fuels and tailpipe emissions'!$B$3</f>
        <v>0</v>
      </c>
      <c r="AG130" t="n">
        <v>0</v>
      </c>
      <c r="AH130" s="3" t="n">
        <v>0</v>
      </c>
      <c r="AI130" s="3" t="n">
        <v>5</v>
      </c>
      <c r="AJ130" s="3" t="n">
        <v>1</v>
      </c>
      <c r="AK130">
        <f>J130/25000</f>
        <v>1.54</v>
      </c>
      <c r="AL130">
        <f>0.000537/1000*Q130</f>
        <v>1.3699407E-4</v>
      </c>
      <c r="AM130" t="n">
        <v>0.00129</v>
      </c>
      <c r="AN130" s="2">
        <f>U130</f>
        <v>75.33</v>
      </c>
      <c r="AO130" s="2">
        <f>SUM(V130:W130)</f>
        <v>32</v>
      </c>
      <c r="AP130" s="2">
        <f>AC130</f>
        <v>59.28</v>
      </c>
      <c r="AQ130" s="6" t="inlineStr"/>
      <c r="AR130" s="20" t="n"/>
      <c r="AS130" s="6" t="n">
        <v>0.2463557991373035</v>
      </c>
      <c r="AT130" s="2">
        <f>SUM(Z130,AG130)/(SUM(AQ130,AS130)/3.6)</f>
        <v>266.54132043956048</v>
      </c>
      <c r="AU130" s="5" t="n">
        <v>0</v>
      </c>
      <c r="AV130" s="5" t="n">
        <v>0</v>
      </c>
      <c r="AW130" s="7" t="n">
        <v>0</v>
      </c>
      <c r="AX130" s="7" t="n">
        <v>0</v>
      </c>
      <c r="AY130" s="7" t="n">
        <v>0</v>
      </c>
      <c r="AZ130" s="7" t="n">
        <v>0</v>
      </c>
      <c r="BA130" s="7" t="n">
        <v>0</v>
      </c>
      <c r="BB130" s="7" t="n">
        <v>0</v>
      </c>
      <c r="BC130" s="7" t="n">
        <v>0</v>
      </c>
      <c r="BD130" s="7" t="n">
        <v>0</v>
      </c>
      <c r="BE130" s="7" t="n">
        <v>0</v>
      </c>
      <c r="BF130" s="7" t="n">
        <v>0</v>
      </c>
      <c r="BG130" s="7" t="n">
        <v>0</v>
      </c>
      <c r="BH130" s="7" t="n">
        <v>0</v>
      </c>
      <c r="BI130" s="7" t="n">
        <v>0</v>
      </c>
      <c r="BJ130" s="7" t="n">
        <v>0</v>
      </c>
      <c r="BK130" s="7" t="n">
        <v>0</v>
      </c>
      <c r="BL130" s="7" t="n">
        <v>0</v>
      </c>
      <c r="BM130" s="7" t="n">
        <v>0</v>
      </c>
      <c r="BN130" s="7" t="n">
        <v>0</v>
      </c>
      <c r="BO130" s="7" t="n">
        <v>0</v>
      </c>
      <c r="BP130" s="7" t="n">
        <v>0</v>
      </c>
      <c r="BQ130" s="7" t="n">
        <v>0</v>
      </c>
      <c r="BR130" s="7" t="n">
        <v>0</v>
      </c>
      <c r="BS130" s="7" t="n">
        <v>0</v>
      </c>
      <c r="BT130" s="7" t="n">
        <v>0</v>
      </c>
      <c r="BU130" s="7" t="n">
        <v>0</v>
      </c>
      <c r="BV130" s="7" t="n">
        <v>0</v>
      </c>
      <c r="BW130" s="7" t="n">
        <v>0</v>
      </c>
      <c r="BX130" s="7" t="n">
        <v>0</v>
      </c>
      <c r="BY130" s="7" t="n">
        <v>0</v>
      </c>
      <c r="BZ130" s="7" t="n">
        <v>0</v>
      </c>
      <c r="CA130" s="7" t="n">
        <v>0</v>
      </c>
      <c r="CB130" s="7" t="n">
        <v>0</v>
      </c>
      <c r="CC130" s="7" t="n">
        <v>0</v>
      </c>
      <c r="CD130" s="7" t="n">
        <v>0</v>
      </c>
      <c r="CE130" s="7" t="n">
        <v>0</v>
      </c>
      <c r="CF130" s="7" t="n">
        <v>0</v>
      </c>
      <c r="CG130" s="7" t="n">
        <v>0</v>
      </c>
      <c r="CH130" s="7" t="n">
        <v>0</v>
      </c>
      <c r="CI130" s="7" t="n">
        <v>0</v>
      </c>
      <c r="CJ130" s="7" t="n">
        <v>0</v>
      </c>
      <c r="CK130" s="38">
        <f>VLOOKUP($B130,'abrasion emissions'!$O$7:$R$36,2,FALSE)</f>
        <v>0.33</v>
      </c>
      <c r="CL130" s="38">
        <f>VLOOKUP($B130,'abrasion emissions'!$O$7:$R$36,3,FALSE)</f>
        <v>0.33</v>
      </c>
      <c r="CM130" s="38">
        <f>VLOOKUP($B130,'abrasion emissions'!$O$7:$R$36,4,FALSE)</f>
        <v>0.33</v>
      </c>
      <c r="CN130" s="7">
        <f>((SUMIFS('abrasion emissions'!$M$7:$M$34,'abrasion emissions'!$I$7:$I$34,"PM 2.5",'abrasion emissions'!$J$7:$J$34,"urban",'abrasion emissions'!$K$7:$K$34,"Tyre",'abrasion emissions'!$L$7:$L$34,"b")*POWER(('vehicles specifications'!$Q130/1000),(1/SUMIFS('abrasion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specifications'!$P130/1000),(1/SUMIFS('abrasion emissions'!$M$7:$M$34,'abrasion emissions'!$I$7:$I$34,"PM 10",'abrasion emissions'!$J$7:$J$34,"urban",'abrasion emissions'!$K$7:$K$34,"Tyre",'abrasion emissions'!$L$7:$L$34,"c")))))/1000000</f>
        <v>7.1885654894377667E-6</v>
      </c>
      <c r="CO130" s="7">
        <f>((SUMIFS('abrasion emissions'!$M$7:$M$34,'abrasion emissions'!$I$7:$I$34,"PM 2.5",'abrasion emissions'!$J$7:$J$34,"rural",'abrasion emissions'!$K$7:$K$34,"Tyre",'abrasion emissions'!$L$7:$L$34,"b")*POWER(('vehicles specifications'!$Q130/1000),(1/SUMIFS('abrasion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specifications'!$P130/1000),(1/SUMIFS('abrasion emissions'!$M$7:$M$34,'abrasion emissions'!$I$7:$I$34,"PM 10",'abrasion emissions'!$J$7:$J$34,"rural",'abrasion emissions'!$K$7:$K$34,"Tyre",'abrasion emissions'!$L$7:$L$34,"c")))))/1000000</f>
        <v>5.5982788346864884E-6</v>
      </c>
      <c r="CP130" s="7">
        <f>((SUMIFS('abrasion emissions'!$M$7:$M$34,'abrasion emissions'!$I$7:$I$34,"PM 2.5",'abrasion emissions'!$J$7:$J$34,"motorway",'abrasion emissions'!$K$7:$K$34,"Tyre",'abrasion emissions'!$L$7:$L$34,"b")*POWER(('vehicles specifications'!$Q130/1000),(1/SUMIFS('abrasion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specifications'!$P130/1000),(1/SUMIFS('abrasion emissions'!$M$7:$M$34,'abrasion emissions'!$I$7:$I$34,"PM 10",'abrasion emissions'!$J$7:$J$34,"motorway",'abrasion emissions'!$K$7:$K$34,"Tyre",'abrasion emissions'!$L$7:$L$34,"c")))))/1000000</f>
        <v>4.7801962600443701E-6</v>
      </c>
      <c r="CQ130" s="7">
        <f>((SUMIFS('abrasion emissions'!$M$7:$M$34,'abrasion emissions'!$I$7:$I$34,"PM 2.5",'abrasion emissions'!$J$7:$J$34,"urban",'abrasion emissions'!$K$7:$K$34,"Brake",'abrasion emissions'!$L$7:$L$34,"b")*POWER(('vehicles specifications'!$Q130/1000),(1/SUMIFS('abrasion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specifications'!$P130/1000),(1/SUMIFS('abrasion emissions'!$M$7:$M$34,'abrasion emissions'!$I$7:$I$34,"PM 10",'abrasion emissions'!$J$7:$J$34,"urban",'abrasion emissions'!$K$7:$K$34,"Brake",'abrasion emissions'!$L$7:$L$34,"c")))))/1000000</f>
        <v>6.9951217764317907E-6</v>
      </c>
      <c r="CR130" s="7">
        <f>((SUMIFS('abrasion emissions'!$M$7:$M$34,'abrasion emissions'!$I$7:$I$34,"PM 2.5",'abrasion emissions'!$J$7:$J$34,"rural",'abrasion emissions'!$K$7:$K$34,"Brake",'abrasion emissions'!$L$7:$L$34,"b")*POWER(('vehicles specifications'!$Q130/1000),(1/SUMIFS('abrasion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specifications'!$P130/1000),(1/SUMIFS('abrasion emissions'!$M$7:$M$34,'abrasion emissions'!$I$7:$I$34,"PM 10",'abrasion emissions'!$J$7:$J$34,"rural",'abrasion emissions'!$K$7:$K$34,"Brake",'abrasion emissions'!$L$7:$L$34,"c")))))/1000000</f>
        <v>2.3550914917354701E-6</v>
      </c>
      <c r="CS130" s="7">
        <f>((SUMIFS('abrasion emissions'!$M$7:$M$34,'abrasion emissions'!$I$7:$I$34,"PM 2.5",'abrasion emissions'!$J$7:$J$34,"motorway",'abrasion emissions'!$K$7:$K$34,"Brake",'abrasion emissions'!$L$7:$L$34,"b")*POWER(('vehicles specifications'!$Q130/1000),(1/SUMIFS('abrasion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specifications'!$P130/1000),(1/SUMIFS('abrasion emissions'!$M$7:$M$34,'abrasion emissions'!$I$7:$I$34,"PM 10",'abrasion emissions'!$J$7:$J$34,"motorway",'abrasion emissions'!$K$7:$K$34,"Brake",'abrasion emissions'!$L$7:$L$34,"c")))))/1000000</f>
        <v>4.5043105147652871E-7</v>
      </c>
      <c r="CT130" s="7">
        <f>((SUMIFS('abrasion emissions'!$M$7:$M$38,'abrasion emissions'!$I$7:$I$38,"PM 2.5",'abrasion emissions'!$K$7:$K$38,"Re-susp.",'abrasion emissions'!$L$7:$L$38,"b")*POWER(('vehicles specifications'!$Q130/1000),(1/SUMIFS('abrasion emissions'!$M$7:$M$38,'abrasion emissions'!$I$7:$I$38,"PM 2.5",'abrasion emissions'!$K$7:$K$38,"Re-susp.",'abrasion emissions'!$L$7:$L$38,"c"))))+
(SUMIFS('abrasion emissions'!$M$7:$M$38,'abrasion emissions'!$I$7:$I$38,"PM 10",'abrasion emissions'!$K$7:$K$38,"Re-susp.",'abrasion emissions'!$L$7:$L$38,"b")*POWER(('vehicles specifications'!$Q130/1000),(1/SUMIFS('abrasion emissions'!$M$7:$M$38,'abrasion emissions'!$I$7:$I$38,"PM 10",'abrasion emissions'!$K$7:$K$38,"Re-susp.",'abrasion emissions'!$L$7:$L$38,"c")))))/1000000</f>
        <v>4.7370197562953144E-6</v>
      </c>
      <c r="CU130" s="7">
        <f>((SUMIFS('abrasion emissions'!$M$7:$M$38,'abrasion emissions'!$I$7:$I$38,"PM 2.5",'abrasion emissions'!$K$7:$K$38,"Road",'abrasion emissions'!$L$7:$L$38,"b")*POWER(('vehicles specifications'!$Q130/1000),(1/SUMIFS('abrasion emissions'!$M$7:$M$38,'abrasion emissions'!$I$7:$I$38,"PM 2.5",'abrasion emissions'!$K$7:$K$38,"Road",'abrasion emissions'!$L$7:$L$38,"c"))))+
(SUMIFS('abrasion emissions'!$M$7:$M$38,'abrasion emissions'!$I$7:$I$38,"PM 10",'abrasion emissions'!$K$7:$K$38,"Road",'abrasion emissions'!$L$7:$L$38,"b")*POWER(('vehicles specifications'!$Q130/1000),(1/SUMIFS('abrasion emissions'!$M$7:$M$38,'abrasion emissions'!$I$7:$I$38,"PM 10",'abrasion emissions'!$K$7:$K$38,"Road",'abrasion emissions'!$L$7:$L$38,"c")))))/1000000+CT130</f>
        <v>8.8398652291641006E-6</v>
      </c>
      <c r="CV130" s="7">
        <f>(CK130*CN130)+(CL130*CO130)+(CM130*CP130)</f>
        <v>5.7971233927756468E-6</v>
      </c>
      <c r="CW130" s="7">
        <f>(CK130*CQ130)+(CL130*CR130)+(CM130*CS130)</f>
        <v>3.2342126254824507E-6</v>
      </c>
    </row>
    <row r="131">
      <c r="A131" t="str">
        <f>B131&amp;" - "&amp;D131&amp;" - "&amp;IF(I131&lt;&gt;"",I131&amp;" - "&amp;E131,E131)</f>
        <v>Motorbike, battery electric, &gt;35kW - 2020 - NMC - CH</v>
      </c>
      <c r="B131" t="inlineStr">
        <is>
          <t>Motorbike, battery electric, &gt;35kW</t>
        </is>
      </c>
      <c r="D131" s="18" t="n">
        <v>2020</v>
      </c>
      <c r="E131" t="inlineStr">
        <is>
          <t>CH</t>
        </is>
      </c>
      <c r="F131" t="inlineStr">
        <is>
          <t>None</t>
        </is>
      </c>
      <c r="G131" t="inlineStr">
        <is>
          <t>vkm</t>
        </is>
      </c>
      <c r="H131" t="inlineStr">
        <is>
          <t>BEV</t>
        </is>
      </c>
      <c r="I131" t="inlineStr">
        <is>
          <t>NMC</t>
        </is>
      </c>
      <c r="J131" t="n">
        <v>40500</v>
      </c>
      <c r="K131" t="n">
        <v>2896</v>
      </c>
      <c r="L131" s="2">
        <f>J131/K131</f>
        <v>13.984806629834255</v>
      </c>
      <c r="M131" t="n">
        <v>1.1</v>
      </c>
      <c r="N131" t="n">
        <v>75</v>
      </c>
      <c r="O131" t="n">
        <v>6</v>
      </c>
      <c r="P131" s="2">
        <f>SUM(U131,V131,W131,AC131,AF131,AH131)</f>
        <v>254.89</v>
      </c>
      <c r="Q131" s="2">
        <f>P131+(M131*N131)+O131</f>
        <v>343.39</v>
      </c>
      <c r="R131" t="n">
        <v>49</v>
      </c>
      <c r="S131" s="2" t="n">
        <v>111</v>
      </c>
      <c r="T131" s="1" t="n">
        <v>0</v>
      </c>
      <c r="U131" s="2">
        <f>S131*(1-T131)</f>
        <v>111</v>
      </c>
      <c r="V131" s="2" t="n">
        <v>13.74</v>
      </c>
      <c r="W131" s="2" t="n">
        <v>22.9</v>
      </c>
      <c r="X131" s="3" t="n">
        <v>16.5</v>
      </c>
      <c r="Y131" s="1" t="n">
        <v>0.8</v>
      </c>
      <c r="Z131" s="3">
        <f>Y131*X131</f>
        <v>13.200000000000001</v>
      </c>
      <c r="AA131" s="3">
        <f>IF(I131&lt;&gt;"",X131/INDEX('energy battery'!$B$3:$D$6,MATCH('vehicles specifications'!$D131,'energy battery'!$A$3:$A$6,0),MATCH('vehicles specifications'!$I131,'energy battery'!$B$2:$D$2,0)),"")</f>
        <v>82.5</v>
      </c>
      <c r="AB131" s="3">
        <f>IF(AA131&lt;&gt;"",0.3*AA131,"")</f>
        <v>24.75</v>
      </c>
      <c r="AC131" s="3">
        <f>IF(AA131&lt;&gt;"",AB131+AA131,"")</f>
        <v>107.25</v>
      </c>
      <c r="AD131" s="3" t="n">
        <v>1</v>
      </c>
      <c r="AE131" s="3" t="n">
        <v>0</v>
      </c>
      <c r="AF131">
        <f>AE131*'fuels and tailpipe emissions'!$B$3</f>
        <v>0</v>
      </c>
      <c r="AG131" t="n">
        <v>0</v>
      </c>
      <c r="AH131" s="3" t="n">
        <v>0</v>
      </c>
      <c r="AI131" s="3" t="n">
        <v>5</v>
      </c>
      <c r="AJ131" s="3" t="n">
        <v>1</v>
      </c>
      <c r="AK131">
        <f>J131/25000</f>
        <v>1.62</v>
      </c>
      <c r="AL131">
        <f>0.000537/1000*Q131</f>
        <v>1.8440043E-4</v>
      </c>
      <c r="AM131" t="n">
        <v>0.00129</v>
      </c>
      <c r="AN131" s="2">
        <f>U131</f>
        <v>111</v>
      </c>
      <c r="AO131" s="2">
        <f>SUM(V131:W131)</f>
        <v>36.64</v>
      </c>
      <c r="AP131" s="2">
        <f>AC131</f>
        <v>107.25</v>
      </c>
      <c r="AQ131" s="6" t="inlineStr"/>
      <c r="AR131" s="20" t="n"/>
      <c r="AS131" s="6" t="n">
        <v>0.2747318210135786</v>
      </c>
      <c r="AT131" s="2">
        <f>SUM(Z131,AG131)/(SUM(AQ131,AS131)/3.6)</f>
        <v>172.96867841767528</v>
      </c>
      <c r="AU131" s="5" t="n">
        <v>0</v>
      </c>
      <c r="AV131" s="5" t="n">
        <v>0</v>
      </c>
      <c r="AW131" s="7" t="n">
        <v>0</v>
      </c>
      <c r="AX131" s="7" t="n">
        <v>0</v>
      </c>
      <c r="AY131" s="7" t="n">
        <v>0</v>
      </c>
      <c r="AZ131" s="7" t="n">
        <v>0</v>
      </c>
      <c r="BA131" s="7" t="n">
        <v>0</v>
      </c>
      <c r="BB131" s="7" t="n">
        <v>0</v>
      </c>
      <c r="BC131" s="7" t="n">
        <v>0</v>
      </c>
      <c r="BD131" s="7" t="n">
        <v>0</v>
      </c>
      <c r="BE131" s="7" t="n">
        <v>0</v>
      </c>
      <c r="BF131" s="7" t="n">
        <v>0</v>
      </c>
      <c r="BG131" s="7" t="n">
        <v>0</v>
      </c>
      <c r="BH131" s="7" t="n">
        <v>0</v>
      </c>
      <c r="BI131" s="7" t="n">
        <v>0</v>
      </c>
      <c r="BJ131" s="7" t="n">
        <v>0</v>
      </c>
      <c r="BK131" s="7" t="n">
        <v>0</v>
      </c>
      <c r="BL131" s="7" t="n">
        <v>0</v>
      </c>
      <c r="BM131" s="7" t="n">
        <v>0</v>
      </c>
      <c r="BN131" s="7" t="n">
        <v>0</v>
      </c>
      <c r="BO131" s="7" t="n">
        <v>0</v>
      </c>
      <c r="BP131" s="7" t="n">
        <v>0</v>
      </c>
      <c r="BQ131" s="7" t="n">
        <v>0</v>
      </c>
      <c r="BR131" s="7" t="n">
        <v>0</v>
      </c>
      <c r="BS131" s="7" t="n">
        <v>0</v>
      </c>
      <c r="BT131" s="7" t="n">
        <v>0</v>
      </c>
      <c r="BU131" s="7" t="n">
        <v>0</v>
      </c>
      <c r="BV131" s="7" t="n">
        <v>0</v>
      </c>
      <c r="BW131" s="7" t="n">
        <v>0</v>
      </c>
      <c r="BX131" s="7" t="n">
        <v>0</v>
      </c>
      <c r="BY131" s="7" t="n">
        <v>0</v>
      </c>
      <c r="BZ131" s="7" t="n">
        <v>0</v>
      </c>
      <c r="CA131" s="7" t="n">
        <v>0</v>
      </c>
      <c r="CB131" s="7" t="n">
        <v>0</v>
      </c>
      <c r="CC131" s="7" t="n">
        <v>0</v>
      </c>
      <c r="CD131" s="7" t="n">
        <v>0</v>
      </c>
      <c r="CE131" s="7" t="n">
        <v>0</v>
      </c>
      <c r="CF131" s="7" t="n">
        <v>0</v>
      </c>
      <c r="CG131" s="7" t="n">
        <v>0</v>
      </c>
      <c r="CH131" s="7" t="n">
        <v>0</v>
      </c>
      <c r="CI131" s="7" t="n">
        <v>0</v>
      </c>
      <c r="CJ131" s="7" t="n">
        <v>0</v>
      </c>
      <c r="CK131" s="38">
        <f>VLOOKUP($B131,'abrasion emissions'!$O$7:$R$36,2,FALSE)</f>
        <v>0.33</v>
      </c>
      <c r="CL131" s="38">
        <f>VLOOKUP($B131,'abrasion emissions'!$O$7:$R$36,3,FALSE)</f>
        <v>0.33</v>
      </c>
      <c r="CM131" s="38">
        <f>VLOOKUP($B131,'abrasion emissions'!$O$7:$R$36,4,FALSE)</f>
        <v>0.33</v>
      </c>
      <c r="CN131" s="7">
        <f>((SUMIFS('abrasion emissions'!$M$7:$M$34,'abrasion emissions'!$I$7:$I$34,"PM 2.5",'abrasion emissions'!$J$7:$J$34,"urban",'abrasion emissions'!$K$7:$K$34,"Tyre",'abrasion emissions'!$L$7:$L$34,"b")*POWER(('vehicles specifications'!$Q131/1000),(1/SUMIFS('abrasion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specifications'!$P131/1000),(1/SUMIFS('abrasion emissions'!$M$7:$M$34,'abrasion emissions'!$I$7:$I$34,"PM 10",'abrasion emissions'!$J$7:$J$34,"urban",'abrasion emissions'!$K$7:$K$34,"Tyre",'abrasion emissions'!$L$7:$L$34,"c")))))/1000000</f>
        <v>8.3533343707148603E-6</v>
      </c>
      <c r="CO131" s="7">
        <f>((SUMIFS('abrasion emissions'!$M$7:$M$34,'abrasion emissions'!$I$7:$I$34,"PM 2.5",'abrasion emissions'!$J$7:$J$34,"rural",'abrasion emissions'!$K$7:$K$34,"Tyre",'abrasion emissions'!$L$7:$L$34,"b")*POWER(('vehicles specifications'!$Q131/1000),(1/SUMIFS('abrasion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specifications'!$P131/1000),(1/SUMIFS('abrasion emissions'!$M$7:$M$34,'abrasion emissions'!$I$7:$I$34,"PM 10",'abrasion emissions'!$J$7:$J$34,"rural",'abrasion emissions'!$K$7:$K$34,"Tyre",'abrasion emissions'!$L$7:$L$34,"c")))))/1000000</f>
        <v>6.5048674378619616E-6</v>
      </c>
      <c r="CP131" s="7">
        <f>((SUMIFS('abrasion emissions'!$M$7:$M$34,'abrasion emissions'!$I$7:$I$34,"PM 2.5",'abrasion emissions'!$J$7:$J$34,"motorway",'abrasion emissions'!$K$7:$K$34,"Tyre",'abrasion emissions'!$L$7:$L$34,"b")*POWER(('vehicles specifications'!$Q131/1000),(1/SUMIFS('abrasion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specifications'!$P131/1000),(1/SUMIFS('abrasion emissions'!$M$7:$M$34,'abrasion emissions'!$I$7:$I$34,"PM 10",'abrasion emissions'!$J$7:$J$34,"motorway",'abrasion emissions'!$K$7:$K$34,"Tyre",'abrasion emissions'!$L$7:$L$34,"c")))))/1000000</f>
        <v>5.5530369300475541E-6</v>
      </c>
      <c r="CQ131" s="7">
        <f>((SUMIFS('abrasion emissions'!$M$7:$M$34,'abrasion emissions'!$I$7:$I$34,"PM 2.5",'abrasion emissions'!$J$7:$J$34,"urban",'abrasion emissions'!$K$7:$K$34,"Brake",'abrasion emissions'!$L$7:$L$34,"b")*POWER(('vehicles specifications'!$Q131/1000),(1/SUMIFS('abrasion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specifications'!$P131/1000),(1/SUMIFS('abrasion emissions'!$M$7:$M$34,'abrasion emissions'!$I$7:$I$34,"PM 10",'abrasion emissions'!$J$7:$J$34,"urban",'abrasion emissions'!$K$7:$K$34,"Brake",'abrasion emissions'!$L$7:$L$34,"c")))))/1000000</f>
        <v>8.3126727906467764E-6</v>
      </c>
      <c r="CR131" s="7">
        <f>((SUMIFS('abrasion emissions'!$M$7:$M$34,'abrasion emissions'!$I$7:$I$34,"PM 2.5",'abrasion emissions'!$J$7:$J$34,"rural",'abrasion emissions'!$K$7:$K$34,"Brake",'abrasion emissions'!$L$7:$L$34,"b")*POWER(('vehicles specifications'!$Q131/1000),(1/SUMIFS('abrasion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specifications'!$P131/1000),(1/SUMIFS('abrasion emissions'!$M$7:$M$34,'abrasion emissions'!$I$7:$I$34,"PM 10",'abrasion emissions'!$J$7:$J$34,"rural",'abrasion emissions'!$K$7:$K$34,"Brake",'abrasion emissions'!$L$7:$L$34,"c")))))/1000000</f>
        <v>2.9302863492853807E-6</v>
      </c>
      <c r="CS131" s="7">
        <f>((SUMIFS('abrasion emissions'!$M$7:$M$34,'abrasion emissions'!$I$7:$I$34,"PM 2.5",'abrasion emissions'!$J$7:$J$34,"motorway",'abrasion emissions'!$K$7:$K$34,"Brake",'abrasion emissions'!$L$7:$L$34,"b")*POWER(('vehicles specifications'!$Q131/1000),(1/SUMIFS('abrasion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specifications'!$P131/1000),(1/SUMIFS('abrasion emissions'!$M$7:$M$34,'abrasion emissions'!$I$7:$I$34,"PM 10",'abrasion emissions'!$J$7:$J$34,"motorway",'abrasion emissions'!$K$7:$K$34,"Brake",'abrasion emissions'!$L$7:$L$34,"c")))))/1000000</f>
        <v>5.7922232782487127E-7</v>
      </c>
      <c r="CT131" s="7">
        <f>((SUMIFS('abrasion emissions'!$M$7:$M$38,'abrasion emissions'!$I$7:$I$38,"PM 2.5",'abrasion emissions'!$K$7:$K$38,"Re-susp.",'abrasion emissions'!$L$7:$L$38,"b")*POWER(('vehicles specifications'!$Q131/1000),(1/SUMIFS('abrasion emissions'!$M$7:$M$38,'abrasion emissions'!$I$7:$I$38,"PM 2.5",'abrasion emissions'!$K$7:$K$38,"Re-susp.",'abrasion emissions'!$L$7:$L$38,"c"))))+
(SUMIFS('abrasion emissions'!$M$7:$M$38,'abrasion emissions'!$I$7:$I$38,"PM 10",'abrasion emissions'!$K$7:$K$38,"Re-susp.",'abrasion emissions'!$L$7:$L$38,"b")*POWER(('vehicles specifications'!$Q131/1000),(1/SUMIFS('abrasion emissions'!$M$7:$M$38,'abrasion emissions'!$I$7:$I$38,"PM 10",'abrasion emissions'!$K$7:$K$38,"Re-susp.",'abrasion emissions'!$L$7:$L$38,"c")))))/1000000</f>
        <v>6.2062978623264163E-6</v>
      </c>
      <c r="CU131" s="7">
        <f>((SUMIFS('abrasion emissions'!$M$7:$M$38,'abrasion emissions'!$I$7:$I$38,"PM 2.5",'abrasion emissions'!$K$7:$K$38,"Road",'abrasion emissions'!$L$7:$L$38,"b")*POWER(('vehicles specifications'!$Q131/1000),(1/SUMIFS('abrasion emissions'!$M$7:$M$38,'abrasion emissions'!$I$7:$I$38,"PM 2.5",'abrasion emissions'!$K$7:$K$38,"Road",'abrasion emissions'!$L$7:$L$38,"c"))))+
(SUMIFS('abrasion emissions'!$M$7:$M$38,'abrasion emissions'!$I$7:$I$38,"PM 10",'abrasion emissions'!$K$7:$K$38,"Road",'abrasion emissions'!$L$7:$L$38,"b")*POWER(('vehicles specifications'!$Q131/1000),(1/SUMIFS('abrasion emissions'!$M$7:$M$38,'abrasion emissions'!$I$7:$I$38,"PM 10",'abrasion emissions'!$K$7:$K$38,"Road",'abrasion emissions'!$L$7:$L$38,"c")))))/1000000+CT131</f>
        <v>1.1208085716166707E-5</v>
      </c>
      <c r="CV131" s="7">
        <f>(CK131*CN131)+(CL131*CO131)+(CM131*CP131)</f>
        <v>6.7357087837460445E-6</v>
      </c>
      <c r="CW131" s="7">
        <f>(CK131*CQ131)+(CL131*CR131)+(CM131*CS131)</f>
        <v>3.9013198843598195E-6</v>
      </c>
    </row>
    <row r="132">
      <c r="A132" t="str">
        <f>B132&amp;" - "&amp;D132&amp;" - "&amp;IF(I132&lt;&gt;"",I132&amp;" - "&amp;E132,E132)</f>
        <v>Motorbike, battery electric, &gt;35kW - 2030 - NMC - CH</v>
      </c>
      <c r="B132" t="inlineStr">
        <is>
          <t>Motorbike, battery electric, &gt;35kW</t>
        </is>
      </c>
      <c r="D132" s="18" t="n">
        <v>2030</v>
      </c>
      <c r="E132" t="inlineStr">
        <is>
          <t>CH</t>
        </is>
      </c>
      <c r="F132" t="inlineStr">
        <is>
          <t>None</t>
        </is>
      </c>
      <c r="G132" t="inlineStr">
        <is>
          <t>vkm</t>
        </is>
      </c>
      <c r="H132" t="inlineStr">
        <is>
          <t>BEV</t>
        </is>
      </c>
      <c r="I132" t="inlineStr">
        <is>
          <t>NMC</t>
        </is>
      </c>
      <c r="J132" t="n">
        <v>40500</v>
      </c>
      <c r="K132" t="n">
        <v>2896</v>
      </c>
      <c r="L132" s="2">
        <f>J132/K132</f>
        <v>13.984806629834255</v>
      </c>
      <c r="M132" t="n">
        <v>1.1</v>
      </c>
      <c r="N132" t="n">
        <v>75</v>
      </c>
      <c r="O132" t="n">
        <v>6</v>
      </c>
      <c r="P132" s="2">
        <f>SUM(U132,V132,W132,AC132,AF132,AH132)</f>
        <v>255.24333333333334</v>
      </c>
      <c r="Q132" s="2">
        <f>P132+(M132*N132)+O132</f>
        <v>343.74333333333334</v>
      </c>
      <c r="R132" t="n">
        <v>49</v>
      </c>
      <c r="S132" s="2" t="n">
        <v>111</v>
      </c>
      <c r="T132" s="1" t="n">
        <v>0.03</v>
      </c>
      <c r="U132" s="2">
        <f>S132*(1-T132)</f>
        <v>107.67</v>
      </c>
      <c r="V132" s="2" t="n">
        <v>13.74</v>
      </c>
      <c r="W132" s="2" t="n">
        <v>22.9</v>
      </c>
      <c r="X132" s="3" t="n">
        <v>25.6</v>
      </c>
      <c r="Y132" s="1" t="n">
        <v>0.8</v>
      </c>
      <c r="Z132" s="3">
        <f>Y132*X132</f>
        <v>20.480000000000004</v>
      </c>
      <c r="AA132" s="3">
        <f>IF(I132&lt;&gt;"",X132/INDEX('energy battery'!$B$3:$D$6,MATCH('vehicles specifications'!$D132,'energy battery'!$A$3:$A$6,0),MATCH('vehicles specifications'!$I132,'energy battery'!$B$2:$D$2,0)),"")</f>
        <v>85.333333333333343</v>
      </c>
      <c r="AB132" s="3">
        <f>IF(AA132&lt;&gt;"",0.3*AA132,"")</f>
        <v>25.6</v>
      </c>
      <c r="AC132" s="3">
        <f>IF(AA132&lt;&gt;"",AB132+AA132,"")</f>
        <v>110.93333333333334</v>
      </c>
      <c r="AD132" s="3" t="n">
        <v>0.5</v>
      </c>
      <c r="AE132" s="3" t="n">
        <v>0</v>
      </c>
      <c r="AF132">
        <f>AE132*'fuels and tailpipe emissions'!$B$3</f>
        <v>0</v>
      </c>
      <c r="AG132" t="n">
        <v>0</v>
      </c>
      <c r="AH132" s="3" t="n">
        <v>0</v>
      </c>
      <c r="AI132" s="3" t="n">
        <v>5</v>
      </c>
      <c r="AJ132" s="3" t="n">
        <v>1</v>
      </c>
      <c r="AK132">
        <f>J132/25000</f>
        <v>1.62</v>
      </c>
      <c r="AL132">
        <f>0.000537/1000*Q132</f>
        <v>1.8459017000000002E-4</v>
      </c>
      <c r="AM132" t="n">
        <v>0.00129</v>
      </c>
      <c r="AN132" s="2">
        <f>U132</f>
        <v>107.67</v>
      </c>
      <c r="AO132" s="2">
        <f>SUM(V132:W132)</f>
        <v>36.64</v>
      </c>
      <c r="AP132" s="2">
        <f>AC132</f>
        <v>110.93333333333334</v>
      </c>
      <c r="AQ132" s="6" t="inlineStr"/>
      <c r="AR132" s="20" t="n"/>
      <c r="AS132" s="6" t="n">
        <v>0.2747318210135786</v>
      </c>
      <c r="AT132" s="2">
        <f>SUM(Z132,AG132)/(SUM(AQ132,AS132)/3.6)</f>
        <v>268.363525302575</v>
      </c>
      <c r="AU132" s="5" t="n">
        <v>0</v>
      </c>
      <c r="AV132" s="5" t="n">
        <v>0</v>
      </c>
      <c r="AW132" s="7" t="n">
        <v>0</v>
      </c>
      <c r="AX132" s="7" t="n">
        <v>0</v>
      </c>
      <c r="AY132" s="7" t="n">
        <v>0</v>
      </c>
      <c r="AZ132" s="7" t="n">
        <v>0</v>
      </c>
      <c r="BA132" s="7" t="n">
        <v>0</v>
      </c>
      <c r="BB132" s="7" t="n">
        <v>0</v>
      </c>
      <c r="BC132" s="7" t="n">
        <v>0</v>
      </c>
      <c r="BD132" s="7" t="n">
        <v>0</v>
      </c>
      <c r="BE132" s="7" t="n">
        <v>0</v>
      </c>
      <c r="BF132" s="7" t="n">
        <v>0</v>
      </c>
      <c r="BG132" s="7" t="n">
        <v>0</v>
      </c>
      <c r="BH132" s="7" t="n">
        <v>0</v>
      </c>
      <c r="BI132" s="7" t="n">
        <v>0</v>
      </c>
      <c r="BJ132" s="7" t="n">
        <v>0</v>
      </c>
      <c r="BK132" s="7" t="n">
        <v>0</v>
      </c>
      <c r="BL132" s="7" t="n">
        <v>0</v>
      </c>
      <c r="BM132" s="7" t="n">
        <v>0</v>
      </c>
      <c r="BN132" s="7" t="n">
        <v>0</v>
      </c>
      <c r="BO132" s="7" t="n">
        <v>0</v>
      </c>
      <c r="BP132" s="7" t="n">
        <v>0</v>
      </c>
      <c r="BQ132" s="7" t="n">
        <v>0</v>
      </c>
      <c r="BR132" s="7" t="n">
        <v>0</v>
      </c>
      <c r="BS132" s="7" t="n">
        <v>0</v>
      </c>
      <c r="BT132" s="7" t="n">
        <v>0</v>
      </c>
      <c r="BU132" s="7" t="n">
        <v>0</v>
      </c>
      <c r="BV132" s="7" t="n">
        <v>0</v>
      </c>
      <c r="BW132" s="7" t="n">
        <v>0</v>
      </c>
      <c r="BX132" s="7" t="n">
        <v>0</v>
      </c>
      <c r="BY132" s="7" t="n">
        <v>0</v>
      </c>
      <c r="BZ132" s="7" t="n">
        <v>0</v>
      </c>
      <c r="CA132" s="7" t="n">
        <v>0</v>
      </c>
      <c r="CB132" s="7" t="n">
        <v>0</v>
      </c>
      <c r="CC132" s="7" t="n">
        <v>0</v>
      </c>
      <c r="CD132" s="7" t="n">
        <v>0</v>
      </c>
      <c r="CE132" s="7" t="n">
        <v>0</v>
      </c>
      <c r="CF132" s="7" t="n">
        <v>0</v>
      </c>
      <c r="CG132" s="7" t="n">
        <v>0</v>
      </c>
      <c r="CH132" s="7" t="n">
        <v>0</v>
      </c>
      <c r="CI132" s="7" t="n">
        <v>0</v>
      </c>
      <c r="CJ132" s="7" t="n">
        <v>0</v>
      </c>
      <c r="CK132" s="38">
        <f>VLOOKUP($B132,'abrasion emissions'!$O$7:$R$36,2,FALSE)</f>
        <v>0.33</v>
      </c>
      <c r="CL132" s="38">
        <f>VLOOKUP($B132,'abrasion emissions'!$O$7:$R$36,3,FALSE)</f>
        <v>0.33</v>
      </c>
      <c r="CM132" s="38">
        <f>VLOOKUP($B132,'abrasion emissions'!$O$7:$R$36,4,FALSE)</f>
        <v>0.33</v>
      </c>
      <c r="CN132" s="7">
        <f>((SUMIFS('abrasion emissions'!$M$7:$M$34,'abrasion emissions'!$I$7:$I$34,"PM 2.5",'abrasion emissions'!$J$7:$J$34,"urban",'abrasion emissions'!$K$7:$K$34,"Tyre",'abrasion emissions'!$L$7:$L$34,"b")*POWER(('vehicles specifications'!$Q132/1000),(1/SUMIFS('abrasion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specifications'!$P132/1000),(1/SUMIFS('abrasion emissions'!$M$7:$M$34,'abrasion emissions'!$I$7:$I$34,"PM 10",'abrasion emissions'!$J$7:$J$34,"urban",'abrasion emissions'!$K$7:$K$34,"Tyre",'abrasion emissions'!$L$7:$L$34,"c")))))/1000000</f>
        <v>8.3575672523710229E-6</v>
      </c>
      <c r="CO132" s="7">
        <f>((SUMIFS('abrasion emissions'!$M$7:$M$34,'abrasion emissions'!$I$7:$I$34,"PM 2.5",'abrasion emissions'!$J$7:$J$34,"rural",'abrasion emissions'!$K$7:$K$34,"Tyre",'abrasion emissions'!$L$7:$L$34,"b")*POWER(('vehicles specifications'!$Q132/1000),(1/SUMIFS('abrasion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specifications'!$P132/1000),(1/SUMIFS('abrasion emissions'!$M$7:$M$34,'abrasion emissions'!$I$7:$I$34,"PM 10",'abrasion emissions'!$J$7:$J$34,"rural",'abrasion emissions'!$K$7:$K$34,"Tyre",'abrasion emissions'!$L$7:$L$34,"c")))))/1000000</f>
        <v>6.508162228927543E-6</v>
      </c>
      <c r="CP132" s="7">
        <f>((SUMIFS('abrasion emissions'!$M$7:$M$34,'abrasion emissions'!$I$7:$I$34,"PM 2.5",'abrasion emissions'!$J$7:$J$34,"motorway",'abrasion emissions'!$K$7:$K$34,"Tyre",'abrasion emissions'!$L$7:$L$34,"b")*POWER(('vehicles specifications'!$Q132/1000),(1/SUMIFS('abrasion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specifications'!$P132/1000),(1/SUMIFS('abrasion emissions'!$M$7:$M$34,'abrasion emissions'!$I$7:$I$34,"PM 10",'abrasion emissions'!$J$7:$J$34,"motorway",'abrasion emissions'!$K$7:$K$34,"Tyre",'abrasion emissions'!$L$7:$L$34,"c")))))/1000000</f>
        <v>5.5558460494856411E-6</v>
      </c>
      <c r="CQ132" s="7">
        <f>((SUMIFS('abrasion emissions'!$M$7:$M$34,'abrasion emissions'!$I$7:$I$34,"PM 2.5",'abrasion emissions'!$J$7:$J$34,"urban",'abrasion emissions'!$K$7:$K$34,"Brake",'abrasion emissions'!$L$7:$L$34,"b")*POWER(('vehicles specifications'!$Q132/1000),(1/SUMIFS('abrasion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specifications'!$P132/1000),(1/SUMIFS('abrasion emissions'!$M$7:$M$34,'abrasion emissions'!$I$7:$I$34,"PM 10",'abrasion emissions'!$J$7:$J$34,"urban",'abrasion emissions'!$K$7:$K$34,"Brake",'abrasion emissions'!$L$7:$L$34,"c")))))/1000000</f>
        <v>8.317557876822241E-6</v>
      </c>
      <c r="CR132" s="7">
        <f>((SUMIFS('abrasion emissions'!$M$7:$M$34,'abrasion emissions'!$I$7:$I$34,"PM 2.5",'abrasion emissions'!$J$7:$J$34,"rural",'abrasion emissions'!$K$7:$K$34,"Brake",'abrasion emissions'!$L$7:$L$34,"b")*POWER(('vehicles specifications'!$Q132/1000),(1/SUMIFS('abrasion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specifications'!$P132/1000),(1/SUMIFS('abrasion emissions'!$M$7:$M$34,'abrasion emissions'!$I$7:$I$34,"PM 10",'abrasion emissions'!$J$7:$J$34,"rural",'abrasion emissions'!$K$7:$K$34,"Brake",'abrasion emissions'!$L$7:$L$34,"c")))))/1000000</f>
        <v>2.9324683737046851E-6</v>
      </c>
      <c r="CS132" s="7">
        <f>((SUMIFS('abrasion emissions'!$M$7:$M$34,'abrasion emissions'!$I$7:$I$34,"PM 2.5",'abrasion emissions'!$J$7:$J$34,"motorway",'abrasion emissions'!$K$7:$K$34,"Brake",'abrasion emissions'!$L$7:$L$34,"b")*POWER(('vehicles specifications'!$Q132/1000),(1/SUMIFS('abrasion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specifications'!$P132/1000),(1/SUMIFS('abrasion emissions'!$M$7:$M$34,'abrasion emissions'!$I$7:$I$34,"PM 10",'abrasion emissions'!$J$7:$J$34,"motorway",'abrasion emissions'!$K$7:$K$34,"Brake",'abrasion emissions'!$L$7:$L$34,"c")))))/1000000</f>
        <v>5.7971913075322212E-7</v>
      </c>
      <c r="CT132" s="7">
        <f>((SUMIFS('abrasion emissions'!$M$7:$M$38,'abrasion emissions'!$I$7:$I$38,"PM 2.5",'abrasion emissions'!$K$7:$K$38,"Re-susp.",'abrasion emissions'!$L$7:$L$38,"b")*POWER(('vehicles specifications'!$Q132/1000),(1/SUMIFS('abrasion emissions'!$M$7:$M$38,'abrasion emissions'!$I$7:$I$38,"PM 2.5",'abrasion emissions'!$K$7:$K$38,"Re-susp.",'abrasion emissions'!$L$7:$L$38,"c"))))+
(SUMIFS('abrasion emissions'!$M$7:$M$38,'abrasion emissions'!$I$7:$I$38,"PM 10",'abrasion emissions'!$K$7:$K$38,"Re-susp.",'abrasion emissions'!$L$7:$L$38,"b")*POWER(('vehicles specifications'!$Q132/1000),(1/SUMIFS('abrasion emissions'!$M$7:$M$38,'abrasion emissions'!$I$7:$I$38,"PM 10",'abrasion emissions'!$K$7:$K$38,"Re-susp.",'abrasion emissions'!$L$7:$L$38,"c")))))/1000000</f>
        <v>6.2121030543728906E-6</v>
      </c>
      <c r="CU132" s="7">
        <f>((SUMIFS('abrasion emissions'!$M$7:$M$38,'abrasion emissions'!$I$7:$I$38,"PM 2.5",'abrasion emissions'!$K$7:$K$38,"Road",'abrasion emissions'!$L$7:$L$38,"b")*POWER(('vehicles specifications'!$Q132/1000),(1/SUMIFS('abrasion emissions'!$M$7:$M$38,'abrasion emissions'!$I$7:$I$38,"PM 2.5",'abrasion emissions'!$K$7:$K$38,"Road",'abrasion emissions'!$L$7:$L$38,"c"))))+
(SUMIFS('abrasion emissions'!$M$7:$M$38,'abrasion emissions'!$I$7:$I$38,"PM 10",'abrasion emissions'!$K$7:$K$38,"Road",'abrasion emissions'!$L$7:$L$38,"b")*POWER(('vehicles specifications'!$Q132/1000),(1/SUMIFS('abrasion emissions'!$M$7:$M$38,'abrasion emissions'!$I$7:$I$38,"PM 10",'abrasion emissions'!$K$7:$K$38,"Road",'abrasion emissions'!$L$7:$L$38,"c")))))/1000000+CT132</f>
        <v>1.1217321401111864E-5</v>
      </c>
      <c r="CV132" s="7">
        <f>(CK132*CN132)+(CL132*CO132)+(CM132*CP132)</f>
        <v>6.7391199251587888E-6</v>
      </c>
      <c r="CW132" s="7">
        <f>(CK132*CQ132)+(CL132*CR132)+(CM132*CS132)</f>
        <v>3.9038159758224493E-6</v>
      </c>
    </row>
    <row r="133">
      <c r="A133" t="str">
        <f>B133&amp;" - "&amp;D133&amp;" - "&amp;IF(I133&lt;&gt;"",I133&amp;" - "&amp;E133,E133)</f>
        <v>Motorbike, battery electric, &gt;35kW - 2040 - NMC - CH</v>
      </c>
      <c r="B133" t="inlineStr">
        <is>
          <t>Motorbike, battery electric, &gt;35kW</t>
        </is>
      </c>
      <c r="D133" s="18" t="n">
        <v>2040</v>
      </c>
      <c r="E133" t="inlineStr">
        <is>
          <t>CH</t>
        </is>
      </c>
      <c r="F133" t="inlineStr">
        <is>
          <t>None</t>
        </is>
      </c>
      <c r="G133" t="inlineStr">
        <is>
          <t>vkm</t>
        </is>
      </c>
      <c r="H133" t="inlineStr">
        <is>
          <t>BEV</t>
        </is>
      </c>
      <c r="I133" t="inlineStr">
        <is>
          <t>NMC</t>
        </is>
      </c>
      <c r="J133" t="n">
        <v>40500</v>
      </c>
      <c r="K133" t="n">
        <v>2896</v>
      </c>
      <c r="L133" s="2">
        <f>J133/K133</f>
        <v>13.984806629834255</v>
      </c>
      <c r="M133" t="n">
        <v>1.1</v>
      </c>
      <c r="N133" t="n">
        <v>75</v>
      </c>
      <c r="O133" t="n">
        <v>6</v>
      </c>
      <c r="P133" s="2">
        <f>SUM(U133,V133,W133,AC133,AF133,AH133)</f>
        <v>255.83999999999997</v>
      </c>
      <c r="Q133" s="2">
        <f>P133+(M133*N133)+O133</f>
        <v>344.34</v>
      </c>
      <c r="R133" t="n">
        <v>49</v>
      </c>
      <c r="S133" s="2" t="n">
        <v>111</v>
      </c>
      <c r="T133" s="1" t="n">
        <v>0.05</v>
      </c>
      <c r="U133" s="2">
        <f>S133*(1-T133)</f>
        <v>105.44999999999999</v>
      </c>
      <c r="V133" s="2" t="n">
        <v>13.74</v>
      </c>
      <c r="W133" s="2" t="n">
        <v>22.9</v>
      </c>
      <c r="X133" s="3" t="n">
        <v>35</v>
      </c>
      <c r="Y133" s="1" t="n">
        <v>0.8</v>
      </c>
      <c r="Z133" s="3">
        <f>Y133*X133</f>
        <v>28</v>
      </c>
      <c r="AA133" s="3">
        <f>IF(I133&lt;&gt;"",X133/INDEX('energy battery'!$B$3:$D$6,MATCH('vehicles specifications'!$D133,'energy battery'!$A$3:$A$6,0),MATCH('vehicles specifications'!$I133,'energy battery'!$B$2:$D$2,0)),"")</f>
        <v>87.5</v>
      </c>
      <c r="AB133" s="3">
        <f>IF(AA133&lt;&gt;"",0.3*AA133,"")</f>
        <v>26.25</v>
      </c>
      <c r="AC133" s="3">
        <f>IF(AA133&lt;&gt;"",AB133+AA133,"")</f>
        <v>113.75</v>
      </c>
      <c r="AD133" s="3" t="n">
        <v>0.25</v>
      </c>
      <c r="AE133" s="3" t="n">
        <v>0</v>
      </c>
      <c r="AF133">
        <f>AE133*'fuels and tailpipe emissions'!$B$3</f>
        <v>0</v>
      </c>
      <c r="AG133" t="n">
        <v>0</v>
      </c>
      <c r="AH133" s="3" t="n">
        <v>0</v>
      </c>
      <c r="AI133" s="3" t="n">
        <v>5</v>
      </c>
      <c r="AJ133" s="3" t="n">
        <v>1</v>
      </c>
      <c r="AK133">
        <f>J133/25000</f>
        <v>1.62</v>
      </c>
      <c r="AL133">
        <f>0.000537/1000*Q133</f>
        <v>1.8491057999999998E-4</v>
      </c>
      <c r="AM133" t="n">
        <v>0.00129</v>
      </c>
      <c r="AN133" s="2">
        <f>U133</f>
        <v>105.44999999999999</v>
      </c>
      <c r="AO133" s="2">
        <f>SUM(V133:W133)</f>
        <v>36.64</v>
      </c>
      <c r="AP133" s="2">
        <f>AC133</f>
        <v>113.75</v>
      </c>
      <c r="AQ133" s="6" t="inlineStr"/>
      <c r="AR133" s="20" t="n"/>
      <c r="AS133" s="6" t="n">
        <v>0.2747318210135786</v>
      </c>
      <c r="AT133" s="2">
        <f>SUM(Z133,AG133)/(SUM(AQ133,AS133)/3.6)</f>
        <v>366.90325724961417</v>
      </c>
      <c r="AU133" s="5" t="n">
        <v>0</v>
      </c>
      <c r="AV133" s="5" t="n">
        <v>0</v>
      </c>
      <c r="AW133" s="7" t="n">
        <v>0</v>
      </c>
      <c r="AX133" s="7" t="n">
        <v>0</v>
      </c>
      <c r="AY133" s="7" t="n">
        <v>0</v>
      </c>
      <c r="AZ133" s="7" t="n">
        <v>0</v>
      </c>
      <c r="BA133" s="7" t="n">
        <v>0</v>
      </c>
      <c r="BB133" s="7" t="n">
        <v>0</v>
      </c>
      <c r="BC133" s="7" t="n">
        <v>0</v>
      </c>
      <c r="BD133" s="7" t="n">
        <v>0</v>
      </c>
      <c r="BE133" s="7" t="n">
        <v>0</v>
      </c>
      <c r="BF133" s="7" t="n">
        <v>0</v>
      </c>
      <c r="BG133" s="7" t="n">
        <v>0</v>
      </c>
      <c r="BH133" s="7" t="n">
        <v>0</v>
      </c>
      <c r="BI133" s="7" t="n">
        <v>0</v>
      </c>
      <c r="BJ133" s="7" t="n">
        <v>0</v>
      </c>
      <c r="BK133" s="7" t="n">
        <v>0</v>
      </c>
      <c r="BL133" s="7" t="n">
        <v>0</v>
      </c>
      <c r="BM133" s="7" t="n">
        <v>0</v>
      </c>
      <c r="BN133" s="7" t="n">
        <v>0</v>
      </c>
      <c r="BO133" s="7" t="n">
        <v>0</v>
      </c>
      <c r="BP133" s="7" t="n">
        <v>0</v>
      </c>
      <c r="BQ133" s="7" t="n">
        <v>0</v>
      </c>
      <c r="BR133" s="7" t="n">
        <v>0</v>
      </c>
      <c r="BS133" s="7" t="n">
        <v>0</v>
      </c>
      <c r="BT133" s="7" t="n">
        <v>0</v>
      </c>
      <c r="BU133" s="7" t="n">
        <v>0</v>
      </c>
      <c r="BV133" s="7" t="n">
        <v>0</v>
      </c>
      <c r="BW133" s="7" t="n">
        <v>0</v>
      </c>
      <c r="BX133" s="7" t="n">
        <v>0</v>
      </c>
      <c r="BY133" s="7" t="n">
        <v>0</v>
      </c>
      <c r="BZ133" s="7" t="n">
        <v>0</v>
      </c>
      <c r="CA133" s="7" t="n">
        <v>0</v>
      </c>
      <c r="CB133" s="7" t="n">
        <v>0</v>
      </c>
      <c r="CC133" s="7" t="n">
        <v>0</v>
      </c>
      <c r="CD133" s="7" t="n">
        <v>0</v>
      </c>
      <c r="CE133" s="7" t="n">
        <v>0</v>
      </c>
      <c r="CF133" s="7" t="n">
        <v>0</v>
      </c>
      <c r="CG133" s="7" t="n">
        <v>0</v>
      </c>
      <c r="CH133" s="7" t="n">
        <v>0</v>
      </c>
      <c r="CI133" s="7" t="n">
        <v>0</v>
      </c>
      <c r="CJ133" s="7" t="n">
        <v>0</v>
      </c>
      <c r="CK133" s="38">
        <f>VLOOKUP($B133,'abrasion emissions'!$O$7:$R$36,2,FALSE)</f>
        <v>0.33</v>
      </c>
      <c r="CL133" s="38">
        <f>VLOOKUP($B133,'abrasion emissions'!$O$7:$R$36,3,FALSE)</f>
        <v>0.33</v>
      </c>
      <c r="CM133" s="38">
        <f>VLOOKUP($B133,'abrasion emissions'!$O$7:$R$36,4,FALSE)</f>
        <v>0.33</v>
      </c>
      <c r="CN133" s="7">
        <f>((SUMIFS('abrasion emissions'!$M$7:$M$34,'abrasion emissions'!$I$7:$I$34,"PM 2.5",'abrasion emissions'!$J$7:$J$34,"urban",'abrasion emissions'!$K$7:$K$34,"Tyre",'abrasion emissions'!$L$7:$L$34,"b")*POWER(('vehicles specifications'!$Q133/1000),(1/SUMIFS('abrasion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specifications'!$P133/1000),(1/SUMIFS('abrasion emissions'!$M$7:$M$34,'abrasion emissions'!$I$7:$I$34,"PM 10",'abrasion emissions'!$J$7:$J$34,"urban",'abrasion emissions'!$K$7:$K$34,"Tyre",'abrasion emissions'!$L$7:$L$34,"c")))))/1000000</f>
        <v>8.3647087719422702E-6</v>
      </c>
      <c r="CO133" s="7">
        <f>((SUMIFS('abrasion emissions'!$M$7:$M$34,'abrasion emissions'!$I$7:$I$34,"PM 2.5",'abrasion emissions'!$J$7:$J$34,"rural",'abrasion emissions'!$K$7:$K$34,"Tyre",'abrasion emissions'!$L$7:$L$34,"b")*POWER(('vehicles specifications'!$Q133/1000),(1/SUMIFS('abrasion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specifications'!$P133/1000),(1/SUMIFS('abrasion emissions'!$M$7:$M$34,'abrasion emissions'!$I$7:$I$34,"PM 10",'abrasion emissions'!$J$7:$J$34,"rural",'abrasion emissions'!$K$7:$K$34,"Tyre",'abrasion emissions'!$L$7:$L$34,"c")))))/1000000</f>
        <v>6.5137210482321566E-6</v>
      </c>
      <c r="CP133" s="7">
        <f>((SUMIFS('abrasion emissions'!$M$7:$M$34,'abrasion emissions'!$I$7:$I$34,"PM 2.5",'abrasion emissions'!$J$7:$J$34,"motorway",'abrasion emissions'!$K$7:$K$34,"Tyre",'abrasion emissions'!$L$7:$L$34,"b")*POWER(('vehicles specifications'!$Q133/1000),(1/SUMIFS('abrasion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specifications'!$P133/1000),(1/SUMIFS('abrasion emissions'!$M$7:$M$34,'abrasion emissions'!$I$7:$I$34,"PM 10",'abrasion emissions'!$J$7:$J$34,"motorway",'abrasion emissions'!$K$7:$K$34,"Tyre",'abrasion emissions'!$L$7:$L$34,"c")))))/1000000</f>
        <v>5.5605854716209964E-6</v>
      </c>
      <c r="CQ133" s="7">
        <f>((SUMIFS('abrasion emissions'!$M$7:$M$34,'abrasion emissions'!$I$7:$I$34,"PM 2.5",'abrasion emissions'!$J$7:$J$34,"urban",'abrasion emissions'!$K$7:$K$34,"Brake",'abrasion emissions'!$L$7:$L$34,"b")*POWER(('vehicles specifications'!$Q133/1000),(1/SUMIFS('abrasion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specifications'!$P133/1000),(1/SUMIFS('abrasion emissions'!$M$7:$M$34,'abrasion emissions'!$I$7:$I$34,"PM 10",'abrasion emissions'!$J$7:$J$34,"urban",'abrasion emissions'!$K$7:$K$34,"Brake",'abrasion emissions'!$L$7:$L$34,"c")))))/1000000</f>
        <v>8.3258012529903491E-6</v>
      </c>
      <c r="CR133" s="7">
        <f>((SUMIFS('abrasion emissions'!$M$7:$M$34,'abrasion emissions'!$I$7:$I$34,"PM 2.5",'abrasion emissions'!$J$7:$J$34,"rural",'abrasion emissions'!$K$7:$K$34,"Brake",'abrasion emissions'!$L$7:$L$34,"b")*POWER(('vehicles specifications'!$Q133/1000),(1/SUMIFS('abrasion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specifications'!$P133/1000),(1/SUMIFS('abrasion emissions'!$M$7:$M$34,'abrasion emissions'!$I$7:$I$34,"PM 10",'abrasion emissions'!$J$7:$J$34,"rural",'abrasion emissions'!$K$7:$K$34,"Brake",'abrasion emissions'!$L$7:$L$34,"c")))))/1000000</f>
        <v>2.9361512365260452E-6</v>
      </c>
      <c r="CS133" s="7">
        <f>((SUMIFS('abrasion emissions'!$M$7:$M$34,'abrasion emissions'!$I$7:$I$34,"PM 2.5",'abrasion emissions'!$J$7:$J$34,"motorway",'abrasion emissions'!$K$7:$K$34,"Brake",'abrasion emissions'!$L$7:$L$34,"b")*POWER(('vehicles specifications'!$Q133/1000),(1/SUMIFS('abrasion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specifications'!$P133/1000),(1/SUMIFS('abrasion emissions'!$M$7:$M$34,'abrasion emissions'!$I$7:$I$34,"PM 10",'abrasion emissions'!$J$7:$J$34,"motorway",'abrasion emissions'!$K$7:$K$34,"Brake",'abrasion emissions'!$L$7:$L$34,"c")))))/1000000</f>
        <v>5.8055777633290315E-7</v>
      </c>
      <c r="CT133" s="7">
        <f>((SUMIFS('abrasion emissions'!$M$7:$M$38,'abrasion emissions'!$I$7:$I$38,"PM 2.5",'abrasion emissions'!$K$7:$K$38,"Re-susp.",'abrasion emissions'!$L$7:$L$38,"b")*POWER(('vehicles specifications'!$Q133/1000),(1/SUMIFS('abrasion emissions'!$M$7:$M$38,'abrasion emissions'!$I$7:$I$38,"PM 2.5",'abrasion emissions'!$K$7:$K$38,"Re-susp.",'abrasion emissions'!$L$7:$L$38,"c"))))+
(SUMIFS('abrasion emissions'!$M$7:$M$38,'abrasion emissions'!$I$7:$I$38,"PM 10",'abrasion emissions'!$K$7:$K$38,"Re-susp.",'abrasion emissions'!$L$7:$L$38,"b")*POWER(('vehicles specifications'!$Q133/1000),(1/SUMIFS('abrasion emissions'!$M$7:$M$38,'abrasion emissions'!$I$7:$I$38,"PM 10",'abrasion emissions'!$K$7:$K$38,"Re-susp.",'abrasion emissions'!$L$7:$L$38,"c")))))/1000000</f>
        <v>6.2219049305820594E-6</v>
      </c>
      <c r="CU133" s="7">
        <f>((SUMIFS('abrasion emissions'!$M$7:$M$38,'abrasion emissions'!$I$7:$I$38,"PM 2.5",'abrasion emissions'!$K$7:$K$38,"Road",'abrasion emissions'!$L$7:$L$38,"b")*POWER(('vehicles specifications'!$Q133/1000),(1/SUMIFS('abrasion emissions'!$M$7:$M$38,'abrasion emissions'!$I$7:$I$38,"PM 2.5",'abrasion emissions'!$K$7:$K$38,"Road",'abrasion emissions'!$L$7:$L$38,"c"))))+
(SUMIFS('abrasion emissions'!$M$7:$M$38,'abrasion emissions'!$I$7:$I$38,"PM 10",'abrasion emissions'!$K$7:$K$38,"Road",'abrasion emissions'!$L$7:$L$38,"b")*POWER(('vehicles specifications'!$Q133/1000),(1/SUMIFS('abrasion emissions'!$M$7:$M$38,'abrasion emissions'!$I$7:$I$38,"PM 10",'abrasion emissions'!$K$7:$K$38,"Road",'abrasion emissions'!$L$7:$L$38,"c")))))/1000000+CT133</f>
        <v>1.1232913612431524E-5</v>
      </c>
      <c r="CV133" s="7">
        <f>(CK133*CN133)+(CL133*CO133)+(CM133*CP133)</f>
        <v>6.7448750462924897E-6</v>
      </c>
      <c r="CW133" s="7">
        <f>(CK133*CQ133)+(CL133*CR133)+(CM133*CS133)</f>
        <v>3.908028387730268E-6</v>
      </c>
    </row>
    <row r="134">
      <c r="A134" t="str">
        <f>B134&amp;" - "&amp;D134&amp;" - "&amp;IF(I134&lt;&gt;"",I134&amp;" - "&amp;E134,E134)</f>
        <v>Motorbike, battery electric, &gt;35kW - 2050 - NMC - CH</v>
      </c>
      <c r="B134" t="inlineStr">
        <is>
          <t>Motorbike, battery electric, &gt;35kW</t>
        </is>
      </c>
      <c r="D134" s="18" t="n">
        <v>2050</v>
      </c>
      <c r="E134" t="inlineStr">
        <is>
          <t>CH</t>
        </is>
      </c>
      <c r="F134" t="inlineStr">
        <is>
          <t>None</t>
        </is>
      </c>
      <c r="G134" t="inlineStr">
        <is>
          <t>vkm</t>
        </is>
      </c>
      <c r="H134" t="inlineStr">
        <is>
          <t>BEV</t>
        </is>
      </c>
      <c r="I134" t="inlineStr">
        <is>
          <t>NMC</t>
        </is>
      </c>
      <c r="J134" t="n">
        <v>40500</v>
      </c>
      <c r="K134" t="n">
        <v>2896</v>
      </c>
      <c r="L134" s="2">
        <f>J134/K134</f>
        <v>13.984806629834255</v>
      </c>
      <c r="M134" t="n">
        <v>1.1</v>
      </c>
      <c r="N134" t="n">
        <v>75</v>
      </c>
      <c r="O134" t="n">
        <v>6</v>
      </c>
      <c r="P134" s="2">
        <f>SUM(U134,V134,W134,AC134,AF134,AH134)</f>
        <v>255.57</v>
      </c>
      <c r="Q134" s="2">
        <f>P134+(M134*N134)+O134</f>
        <v>344.07</v>
      </c>
      <c r="R134" t="n">
        <v>49</v>
      </c>
      <c r="S134" s="2" t="n">
        <v>111</v>
      </c>
      <c r="T134" s="1" t="n">
        <v>0.07000000000000001</v>
      </c>
      <c r="U134" s="2">
        <f>S134*(1-T134)</f>
        <v>103.22999999999999</v>
      </c>
      <c r="V134" s="2" t="n">
        <v>13.74</v>
      </c>
      <c r="W134" s="2" t="n">
        <v>22.9</v>
      </c>
      <c r="X134" s="3" t="n">
        <v>44.5</v>
      </c>
      <c r="Y134" s="1" t="n">
        <v>0.8</v>
      </c>
      <c r="Z134" s="3">
        <f>Y134*X134</f>
        <v>35.6</v>
      </c>
      <c r="AA134" s="3">
        <f>IF(I134&lt;&gt;"",X134/INDEX('energy battery'!$B$3:$D$6,MATCH('vehicles specifications'!$D134,'energy battery'!$A$3:$A$6,0),MATCH('vehicles specifications'!$I134,'energy battery'!$B$2:$D$2,0)),"")</f>
        <v>89</v>
      </c>
      <c r="AB134" s="3">
        <f>IF(AA134&lt;&gt;"",0.3*AA134,"")</f>
        <v>26.7</v>
      </c>
      <c r="AC134" s="3">
        <f>IF(AA134&lt;&gt;"",AB134+AA134,"")</f>
        <v>115.7</v>
      </c>
      <c r="AD134" s="3" t="n">
        <v>0</v>
      </c>
      <c r="AE134" s="3" t="n">
        <v>0</v>
      </c>
      <c r="AF134">
        <f>AE134*'fuels and tailpipe emissions'!$B$3</f>
        <v>0</v>
      </c>
      <c r="AG134" t="n">
        <v>0</v>
      </c>
      <c r="AH134" s="3" t="n">
        <v>0</v>
      </c>
      <c r="AI134" s="3" t="n">
        <v>5</v>
      </c>
      <c r="AJ134" s="3" t="n">
        <v>1</v>
      </c>
      <c r="AK134">
        <f>J134/25000</f>
        <v>1.62</v>
      </c>
      <c r="AL134">
        <f>0.000537/1000*Q134</f>
        <v>1.8476559000000001E-4</v>
      </c>
      <c r="AM134" t="n">
        <v>0.00129</v>
      </c>
      <c r="AN134" s="2">
        <f>U134</f>
        <v>103.22999999999999</v>
      </c>
      <c r="AO134" s="2">
        <f>SUM(V134:W134)</f>
        <v>36.64</v>
      </c>
      <c r="AP134" s="2">
        <f>AC134</f>
        <v>115.7</v>
      </c>
      <c r="AQ134" s="6" t="inlineStr"/>
      <c r="AR134" s="20" t="n"/>
      <c r="AS134" s="6" t="n">
        <v>0.2747318210135786</v>
      </c>
      <c r="AT134" s="2">
        <f>SUM(Z134,AG134)/(SUM(AQ134,AS134)/3.6)</f>
        <v>466.49128421736663</v>
      </c>
      <c r="AU134" s="5" t="n">
        <v>0</v>
      </c>
      <c r="AV134" s="5" t="n">
        <v>0</v>
      </c>
      <c r="AW134" s="7" t="n">
        <v>0</v>
      </c>
      <c r="AX134" s="7" t="n">
        <v>0</v>
      </c>
      <c r="AY134" s="7" t="n">
        <v>0</v>
      </c>
      <c r="AZ134" s="7" t="n">
        <v>0</v>
      </c>
      <c r="BA134" s="7" t="n">
        <v>0</v>
      </c>
      <c r="BB134" s="7" t="n">
        <v>0</v>
      </c>
      <c r="BC134" s="7" t="n">
        <v>0</v>
      </c>
      <c r="BD134" s="7" t="n">
        <v>0</v>
      </c>
      <c r="BE134" s="7" t="n">
        <v>0</v>
      </c>
      <c r="BF134" s="7" t="n">
        <v>0</v>
      </c>
      <c r="BG134" s="7" t="n">
        <v>0</v>
      </c>
      <c r="BH134" s="7" t="n">
        <v>0</v>
      </c>
      <c r="BI134" s="7" t="n">
        <v>0</v>
      </c>
      <c r="BJ134" s="7" t="n">
        <v>0</v>
      </c>
      <c r="BK134" s="7" t="n">
        <v>0</v>
      </c>
      <c r="BL134" s="7" t="n">
        <v>0</v>
      </c>
      <c r="BM134" s="7" t="n">
        <v>0</v>
      </c>
      <c r="BN134" s="7" t="n">
        <v>0</v>
      </c>
      <c r="BO134" s="7" t="n">
        <v>0</v>
      </c>
      <c r="BP134" s="7" t="n">
        <v>0</v>
      </c>
      <c r="BQ134" s="7" t="n">
        <v>0</v>
      </c>
      <c r="BR134" s="7" t="n">
        <v>0</v>
      </c>
      <c r="BS134" s="7" t="n">
        <v>0</v>
      </c>
      <c r="BT134" s="7" t="n">
        <v>0</v>
      </c>
      <c r="BU134" s="7" t="n">
        <v>0</v>
      </c>
      <c r="BV134" s="7" t="n">
        <v>0</v>
      </c>
      <c r="BW134" s="7" t="n">
        <v>0</v>
      </c>
      <c r="BX134" s="7" t="n">
        <v>0</v>
      </c>
      <c r="BY134" s="7" t="n">
        <v>0</v>
      </c>
      <c r="BZ134" s="7" t="n">
        <v>0</v>
      </c>
      <c r="CA134" s="7" t="n">
        <v>0</v>
      </c>
      <c r="CB134" s="7" t="n">
        <v>0</v>
      </c>
      <c r="CC134" s="7" t="n">
        <v>0</v>
      </c>
      <c r="CD134" s="7" t="n">
        <v>0</v>
      </c>
      <c r="CE134" s="7" t="n">
        <v>0</v>
      </c>
      <c r="CF134" s="7" t="n">
        <v>0</v>
      </c>
      <c r="CG134" s="7" t="n">
        <v>0</v>
      </c>
      <c r="CH134" s="7" t="n">
        <v>0</v>
      </c>
      <c r="CI134" s="7" t="n">
        <v>0</v>
      </c>
      <c r="CJ134" s="7" t="n">
        <v>0</v>
      </c>
      <c r="CK134" s="38">
        <f>VLOOKUP($B134,'abrasion emissions'!$O$7:$R$36,2,FALSE)</f>
        <v>0.33</v>
      </c>
      <c r="CL134" s="38">
        <f>VLOOKUP($B134,'abrasion emissions'!$O$7:$R$36,3,FALSE)</f>
        <v>0.33</v>
      </c>
      <c r="CM134" s="38">
        <f>VLOOKUP($B134,'abrasion emissions'!$O$7:$R$36,4,FALSE)</f>
        <v>0.33</v>
      </c>
      <c r="CN134" s="7">
        <f>((SUMIFS('abrasion emissions'!$M$7:$M$34,'abrasion emissions'!$I$7:$I$34,"PM 2.5",'abrasion emissions'!$J$7:$J$34,"urban",'abrasion emissions'!$K$7:$K$34,"Tyre",'abrasion emissions'!$L$7:$L$34,"b")*POWER(('vehicles specifications'!$Q134/1000),(1/SUMIFS('abrasion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specifications'!$P134/1000),(1/SUMIFS('abrasion emissions'!$M$7:$M$34,'abrasion emissions'!$I$7:$I$34,"PM 10",'abrasion emissions'!$J$7:$J$34,"urban",'abrasion emissions'!$K$7:$K$34,"Tyre",'abrasion emissions'!$L$7:$L$34,"c")))))/1000000</f>
        <v>8.361478138525177E-6</v>
      </c>
      <c r="CO134" s="7">
        <f>((SUMIFS('abrasion emissions'!$M$7:$M$34,'abrasion emissions'!$I$7:$I$34,"PM 2.5",'abrasion emissions'!$J$7:$J$34,"rural",'abrasion emissions'!$K$7:$K$34,"Tyre",'abrasion emissions'!$L$7:$L$34,"b")*POWER(('vehicles specifications'!$Q134/1000),(1/SUMIFS('abrasion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specifications'!$P134/1000),(1/SUMIFS('abrasion emissions'!$M$7:$M$34,'abrasion emissions'!$I$7:$I$34,"PM 10",'abrasion emissions'!$J$7:$J$34,"rural",'abrasion emissions'!$K$7:$K$34,"Tyre",'abrasion emissions'!$L$7:$L$34,"c")))))/1000000</f>
        <v>6.511206385955267E-6</v>
      </c>
      <c r="CP134" s="7">
        <f>((SUMIFS('abrasion emissions'!$M$7:$M$34,'abrasion emissions'!$I$7:$I$34,"PM 2.5",'abrasion emissions'!$J$7:$J$34,"motorway",'abrasion emissions'!$K$7:$K$34,"Tyre",'abrasion emissions'!$L$7:$L$34,"b")*POWER(('vehicles specifications'!$Q134/1000),(1/SUMIFS('abrasion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specifications'!$P134/1000),(1/SUMIFS('abrasion emissions'!$M$7:$M$34,'abrasion emissions'!$I$7:$I$34,"PM 10",'abrasion emissions'!$J$7:$J$34,"motorway",'abrasion emissions'!$K$7:$K$34,"Tyre",'abrasion emissions'!$L$7:$L$34,"c")))))/1000000</f>
        <v>5.5584414820048682E-6</v>
      </c>
      <c r="CQ134" s="7">
        <f>((SUMIFS('abrasion emissions'!$M$7:$M$34,'abrasion emissions'!$I$7:$I$34,"PM 2.5",'abrasion emissions'!$J$7:$J$34,"urban",'abrasion emissions'!$K$7:$K$34,"Brake",'abrasion emissions'!$L$7:$L$34,"b")*POWER(('vehicles specifications'!$Q134/1000),(1/SUMIFS('abrasion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specifications'!$P134/1000),(1/SUMIFS('abrasion emissions'!$M$7:$M$34,'abrasion emissions'!$I$7:$I$34,"PM 10",'abrasion emissions'!$J$7:$J$34,"urban",'abrasion emissions'!$K$7:$K$34,"Brake",'abrasion emissions'!$L$7:$L$34,"c")))))/1000000</f>
        <v>8.322071937671175E-6</v>
      </c>
      <c r="CR134" s="7">
        <f>((SUMIFS('abrasion emissions'!$M$7:$M$34,'abrasion emissions'!$I$7:$I$34,"PM 2.5",'abrasion emissions'!$J$7:$J$34,"rural",'abrasion emissions'!$K$7:$K$34,"Brake",'abrasion emissions'!$L$7:$L$34,"b")*POWER(('vehicles specifications'!$Q134/1000),(1/SUMIFS('abrasion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specifications'!$P134/1000),(1/SUMIFS('abrasion emissions'!$M$7:$M$34,'abrasion emissions'!$I$7:$I$34,"PM 10",'abrasion emissions'!$J$7:$J$34,"rural",'abrasion emissions'!$K$7:$K$34,"Brake",'abrasion emissions'!$L$7:$L$34,"c")))))/1000000</f>
        <v>2.9344849813632658E-6</v>
      </c>
      <c r="CS134" s="7">
        <f>((SUMIFS('abrasion emissions'!$M$7:$M$34,'abrasion emissions'!$I$7:$I$34,"PM 2.5",'abrasion emissions'!$J$7:$J$34,"motorway",'abrasion emissions'!$K$7:$K$34,"Brake",'abrasion emissions'!$L$7:$L$34,"b")*POWER(('vehicles specifications'!$Q134/1000),(1/SUMIFS('abrasion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specifications'!$P134/1000),(1/SUMIFS('abrasion emissions'!$M$7:$M$34,'abrasion emissions'!$I$7:$I$34,"PM 10",'abrasion emissions'!$J$7:$J$34,"motorway",'abrasion emissions'!$K$7:$K$34,"Brake",'abrasion emissions'!$L$7:$L$34,"c")))))/1000000</f>
        <v>5.8017832338893731E-7</v>
      </c>
      <c r="CT134" s="7">
        <f>((SUMIFS('abrasion emissions'!$M$7:$M$38,'abrasion emissions'!$I$7:$I$38,"PM 2.5",'abrasion emissions'!$K$7:$K$38,"Re-susp.",'abrasion emissions'!$L$7:$L$38,"b")*POWER(('vehicles specifications'!$Q134/1000),(1/SUMIFS('abrasion emissions'!$M$7:$M$38,'abrasion emissions'!$I$7:$I$38,"PM 2.5",'abrasion emissions'!$K$7:$K$38,"Re-susp.",'abrasion emissions'!$L$7:$L$38,"c"))))+
(SUMIFS('abrasion emissions'!$M$7:$M$38,'abrasion emissions'!$I$7:$I$38,"PM 10",'abrasion emissions'!$K$7:$K$38,"Re-susp.",'abrasion emissions'!$L$7:$L$38,"b")*POWER(('vehicles specifications'!$Q134/1000),(1/SUMIFS('abrasion emissions'!$M$7:$M$38,'abrasion emissions'!$I$7:$I$38,"PM 10",'abrasion emissions'!$K$7:$K$38,"Re-susp.",'abrasion emissions'!$L$7:$L$38,"c")))))/1000000</f>
        <v>6.2174696361250049E-6</v>
      </c>
      <c r="CU134" s="7">
        <f>((SUMIFS('abrasion emissions'!$M$7:$M$38,'abrasion emissions'!$I$7:$I$38,"PM 2.5",'abrasion emissions'!$K$7:$K$38,"Road",'abrasion emissions'!$L$7:$L$38,"b")*POWER(('vehicles specifications'!$Q134/1000),(1/SUMIFS('abrasion emissions'!$M$7:$M$38,'abrasion emissions'!$I$7:$I$38,"PM 2.5",'abrasion emissions'!$K$7:$K$38,"Road",'abrasion emissions'!$L$7:$L$38,"c"))))+
(SUMIFS('abrasion emissions'!$M$7:$M$38,'abrasion emissions'!$I$7:$I$38,"PM 10",'abrasion emissions'!$K$7:$K$38,"Road",'abrasion emissions'!$L$7:$L$38,"b")*POWER(('vehicles specifications'!$Q134/1000),(1/SUMIFS('abrasion emissions'!$M$7:$M$38,'abrasion emissions'!$I$7:$I$38,"PM 10",'abrasion emissions'!$K$7:$K$38,"Road",'abrasion emissions'!$L$7:$L$38,"c")))))/1000000+CT134</f>
        <v>1.1225858525097952E-5</v>
      </c>
      <c r="CV134" s="7">
        <f>(CK134*CN134)+(CL134*CO134)+(CM134*CP134)</f>
        <v>6.7422715821401537E-6</v>
      </c>
      <c r="CW134" s="7">
        <f>(CK134*CQ134)+(CL134*CR134)+(CM134*CS134)</f>
        <v>3.9061226299997144E-6</v>
      </c>
    </row>
    <row r="135">
      <c r="A135" t="str">
        <f>B135&amp;" - "&amp;D135&amp;" - "&amp;IF(I135&lt;&gt;"",I135&amp;" - "&amp;E135,E135)</f>
        <v>Motorbike, battery electric, &lt;4kW - 2020 - LFP - CH</v>
      </c>
      <c r="B135" t="inlineStr">
        <is>
          <t>Motorbike, battery electric, &lt;4kW</t>
        </is>
      </c>
      <c r="D135" s="18" t="n">
        <v>2020</v>
      </c>
      <c r="E135" t="inlineStr">
        <is>
          <t>CH</t>
        </is>
      </c>
      <c r="F135" t="inlineStr">
        <is>
          <t>None</t>
        </is>
      </c>
      <c r="G135" t="inlineStr">
        <is>
          <t>vkm</t>
        </is>
      </c>
      <c r="H135" t="inlineStr">
        <is>
          <t>BEV</t>
        </is>
      </c>
      <c r="I135" t="inlineStr">
        <is>
          <t>LFP</t>
        </is>
      </c>
      <c r="J135" t="n">
        <v>25000</v>
      </c>
      <c r="K135" t="n">
        <v>1776</v>
      </c>
      <c r="L135" s="2">
        <f>J135/K135</f>
        <v>14.076576576576576</v>
      </c>
      <c r="M135" t="n">
        <v>1.1</v>
      </c>
      <c r="N135" t="n">
        <v>75</v>
      </c>
      <c r="O135" t="n">
        <v>6</v>
      </c>
      <c r="P135" s="2">
        <f>SUM(U135,V135,W135,AC135,AF135,AH135)</f>
        <v>79.400000000000006</v>
      </c>
      <c r="Q135" s="2">
        <f>P135+(M135*N135)+O135</f>
        <v>167.9</v>
      </c>
      <c r="R135" t="n">
        <v>2.5</v>
      </c>
      <c r="S135" s="2" t="n">
        <v>53</v>
      </c>
      <c r="T135" s="1" t="n">
        <v>0</v>
      </c>
      <c r="U135" s="2">
        <f>S135*(1-T135)</f>
        <v>53</v>
      </c>
      <c r="V135" s="2" t="n">
        <v>4.5</v>
      </c>
      <c r="W135" s="2" t="n">
        <v>7.5</v>
      </c>
      <c r="X135" s="3" t="n">
        <v>1.8</v>
      </c>
      <c r="Y135" s="1" t="n">
        <v>0.8</v>
      </c>
      <c r="Z135" s="3">
        <f>Y135*X135</f>
        <v>1.4400000000000002</v>
      </c>
      <c r="AA135" s="3">
        <f>IF(I135&lt;&gt;"",X135/INDEX('energy battery'!$B$3:$D$6,MATCH('vehicles specifications'!$D135,'energy battery'!$A$3:$A$6,0),MATCH('vehicles specifications'!$I135,'energy battery'!$B$2:$D$2,0)),"")</f>
        <v>12</v>
      </c>
      <c r="AB135" s="3">
        <f>IF(AA135&lt;&gt;"",0.2*AA135,"")</f>
        <v>2.4000000000000004</v>
      </c>
      <c r="AC135" s="3">
        <f>IF(AA135&lt;&gt;"",AB135+AA135,"")</f>
        <v>14.4</v>
      </c>
      <c r="AD135" s="3" t="n">
        <v>1</v>
      </c>
      <c r="AE135" s="3" t="n">
        <v>0</v>
      </c>
      <c r="AF135">
        <f>AE135*'fuels and tailpipe emissions'!$B$3</f>
        <v>0</v>
      </c>
      <c r="AG135" t="n">
        <v>0</v>
      </c>
      <c r="AH135" s="3" t="n">
        <v>0</v>
      </c>
      <c r="AI135" s="3" t="n">
        <v>3</v>
      </c>
      <c r="AJ135" s="3" t="n">
        <v>1</v>
      </c>
      <c r="AK135">
        <f>J135/25000</f>
        <v>1</v>
      </c>
      <c r="AL135">
        <f>0.000537/1000*Q135</f>
        <v>9.0162300000000002E-5</v>
      </c>
      <c r="AM135" t="n">
        <v>0.00129</v>
      </c>
      <c r="AN135" s="2">
        <f>U135</f>
        <v>53</v>
      </c>
      <c r="AO135" s="2">
        <f>SUM(V135:W135)</f>
        <v>12</v>
      </c>
      <c r="AP135" s="2">
        <f>AC135</f>
        <v>14.4</v>
      </c>
      <c r="AQ135" s="6" t="inlineStr"/>
      <c r="AR135" s="20" t="n"/>
      <c r="AS135" s="6" t="n">
        <v>0.121</v>
      </c>
      <c r="AT135" s="2">
        <f>SUM(Z135,AG135)/(SUM(AQ135,AS135)/3.6)</f>
        <v>42.842975206611577</v>
      </c>
      <c r="AU135" s="5" t="n">
        <v>0</v>
      </c>
      <c r="AV135" s="5" t="n">
        <v>0</v>
      </c>
      <c r="AW135" s="7" t="n">
        <v>0</v>
      </c>
      <c r="AX135" s="7" t="n">
        <v>0</v>
      </c>
      <c r="AY135" s="7" t="n">
        <v>0</v>
      </c>
      <c r="AZ135" s="7" t="n">
        <v>0</v>
      </c>
      <c r="BA135" s="7" t="n">
        <v>0</v>
      </c>
      <c r="BB135" s="7" t="n">
        <v>0</v>
      </c>
      <c r="BC135" s="7" t="n">
        <v>0</v>
      </c>
      <c r="BD135" s="7" t="n">
        <v>0</v>
      </c>
      <c r="BE135" s="7" t="n">
        <v>0</v>
      </c>
      <c r="BF135" s="7" t="n">
        <v>0</v>
      </c>
      <c r="BG135" s="7" t="n">
        <v>0</v>
      </c>
      <c r="BH135" s="7" t="n">
        <v>0</v>
      </c>
      <c r="BI135" s="7" t="n">
        <v>0</v>
      </c>
      <c r="BJ135" s="7" t="n">
        <v>0</v>
      </c>
      <c r="BK135" s="7" t="n">
        <v>0</v>
      </c>
      <c r="BL135" s="7" t="n">
        <v>0</v>
      </c>
      <c r="BM135" s="7" t="n">
        <v>0</v>
      </c>
      <c r="BN135" s="7" t="n">
        <v>0</v>
      </c>
      <c r="BO135" s="7" t="n">
        <v>0</v>
      </c>
      <c r="BP135" s="7" t="n">
        <v>0</v>
      </c>
      <c r="BQ135" s="7" t="n">
        <v>0</v>
      </c>
      <c r="BR135" s="7" t="n">
        <v>0</v>
      </c>
      <c r="BS135" s="7" t="n">
        <v>0</v>
      </c>
      <c r="BT135" s="7" t="n">
        <v>0</v>
      </c>
      <c r="BU135" s="7" t="n">
        <v>0</v>
      </c>
      <c r="BV135" s="7" t="n">
        <v>0</v>
      </c>
      <c r="BW135" s="7" t="n">
        <v>0</v>
      </c>
      <c r="BX135" s="7" t="n">
        <v>0</v>
      </c>
      <c r="BY135" s="7" t="n">
        <v>0</v>
      </c>
      <c r="BZ135" s="7" t="n">
        <v>0</v>
      </c>
      <c r="CA135" s="7" t="n">
        <v>0</v>
      </c>
      <c r="CB135" s="7" t="n">
        <v>0</v>
      </c>
      <c r="CC135" s="7" t="n">
        <v>0</v>
      </c>
      <c r="CD135" s="7" t="n">
        <v>0</v>
      </c>
      <c r="CE135" s="7" t="n">
        <v>0</v>
      </c>
      <c r="CF135" s="7" t="n">
        <v>0</v>
      </c>
      <c r="CG135" s="7" t="n">
        <v>0</v>
      </c>
      <c r="CH135" s="7" t="n">
        <v>0</v>
      </c>
      <c r="CI135" s="7" t="n">
        <v>0</v>
      </c>
      <c r="CJ135" s="7" t="n">
        <v>0</v>
      </c>
      <c r="CK135" s="38">
        <f>VLOOKUP($B135,'abrasion emissions'!$O$7:$R$36,2,FALSE)</f>
        <v>0.33</v>
      </c>
      <c r="CL135" s="38">
        <f>VLOOKUP($B135,'abrasion emissions'!$O$7:$R$36,3,FALSE)</f>
        <v>0.33</v>
      </c>
      <c r="CM135" s="38">
        <f>VLOOKUP($B135,'abrasion emissions'!$O$7:$R$36,4,FALSE)</f>
        <v>0.33</v>
      </c>
      <c r="CN135" s="7">
        <f>((SUMIFS('abrasion emissions'!$M$7:$M$34,'abrasion emissions'!$I$7:$I$34,"PM 2.5",'abrasion emissions'!$J$7:$J$34,"urban",'abrasion emissions'!$K$7:$K$34,"Tyre",'abrasion emissions'!$L$7:$L$34,"b")*POWER(('vehicles specifications'!$Q135/1000),(1/SUMIFS('abrasion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specifications'!$P135/1000),(1/SUMIFS('abrasion emissions'!$M$7:$M$34,'abrasion emissions'!$I$7:$I$34,"PM 10",'abrasion emissions'!$J$7:$J$34,"urban",'abrasion emissions'!$K$7:$K$34,"Tyre",'abrasion emissions'!$L$7:$L$34,"c")))))/1000000</f>
        <v>5.7025936520591124E-6</v>
      </c>
      <c r="CO135" s="7">
        <f>((SUMIFS('abrasion emissions'!$M$7:$M$34,'abrasion emissions'!$I$7:$I$34,"PM 2.5",'abrasion emissions'!$J$7:$J$34,"rural",'abrasion emissions'!$K$7:$K$34,"Tyre",'abrasion emissions'!$L$7:$L$34,"b")*POWER(('vehicles specifications'!$Q135/1000),(1/SUMIFS('abrasion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specifications'!$P135/1000),(1/SUMIFS('abrasion emissions'!$M$7:$M$34,'abrasion emissions'!$I$7:$I$34,"PM 10",'abrasion emissions'!$J$7:$J$34,"rural",'abrasion emissions'!$K$7:$K$34,"Tyre",'abrasion emissions'!$L$7:$L$34,"c")))))/1000000</f>
        <v>4.4418867513296607E-6</v>
      </c>
      <c r="CP135" s="7">
        <f>((SUMIFS('abrasion emissions'!$M$7:$M$34,'abrasion emissions'!$I$7:$I$34,"PM 2.5",'abrasion emissions'!$J$7:$J$34,"motorway",'abrasion emissions'!$K$7:$K$34,"Tyre",'abrasion emissions'!$L$7:$L$34,"b")*POWER(('vehicles specifications'!$Q135/1000),(1/SUMIFS('abrasion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specifications'!$P135/1000),(1/SUMIFS('abrasion emissions'!$M$7:$M$34,'abrasion emissions'!$I$7:$I$34,"PM 10",'abrasion emissions'!$J$7:$J$34,"motorway",'abrasion emissions'!$K$7:$K$34,"Tyre",'abrasion emissions'!$L$7:$L$34,"c")))))/1000000</f>
        <v>3.7949132981751381E-6</v>
      </c>
      <c r="CQ135" s="7">
        <f>((SUMIFS('abrasion emissions'!$M$7:$M$34,'abrasion emissions'!$I$7:$I$34,"PM 2.5",'abrasion emissions'!$J$7:$J$34,"urban",'abrasion emissions'!$K$7:$K$34,"Brake",'abrasion emissions'!$L$7:$L$34,"b")*POWER(('vehicles specifications'!$Q135/1000),(1/SUMIFS('abrasion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specifications'!$P135/1000),(1/SUMIFS('abrasion emissions'!$M$7:$M$34,'abrasion emissions'!$I$7:$I$34,"PM 10",'abrasion emissions'!$J$7:$J$34,"urban",'abrasion emissions'!$K$7:$K$34,"Brake",'abrasion emissions'!$L$7:$L$34,"c")))))/1000000</f>
        <v>5.4077087418588535E-6</v>
      </c>
      <c r="CR135" s="7">
        <f>((SUMIFS('abrasion emissions'!$M$7:$M$34,'abrasion emissions'!$I$7:$I$34,"PM 2.5",'abrasion emissions'!$J$7:$J$34,"rural",'abrasion emissions'!$K$7:$K$34,"Brake",'abrasion emissions'!$L$7:$L$34,"b")*POWER(('vehicles specifications'!$Q135/1000),(1/SUMIFS('abrasion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specifications'!$P135/1000),(1/SUMIFS('abrasion emissions'!$M$7:$M$34,'abrasion emissions'!$I$7:$I$34,"PM 10",'abrasion emissions'!$J$7:$J$34,"rural",'abrasion emissions'!$K$7:$K$34,"Brake",'abrasion emissions'!$L$7:$L$34,"c")))))/1000000</f>
        <v>1.7020768541773978E-6</v>
      </c>
      <c r="CS135" s="7">
        <f>((SUMIFS('abrasion emissions'!$M$7:$M$34,'abrasion emissions'!$I$7:$I$34,"PM 2.5",'abrasion emissions'!$J$7:$J$34,"motorway",'abrasion emissions'!$K$7:$K$34,"Brake",'abrasion emissions'!$L$7:$L$34,"b")*POWER(('vehicles specifications'!$Q135/1000),(1/SUMIFS('abrasion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specifications'!$P135/1000),(1/SUMIFS('abrasion emissions'!$M$7:$M$34,'abrasion emissions'!$I$7:$I$34,"PM 10",'abrasion emissions'!$J$7:$J$34,"motorway",'abrasion emissions'!$K$7:$K$34,"Brake",'abrasion emissions'!$L$7:$L$34,"c")))))/1000000</f>
        <v>3.1043181686864153E-7</v>
      </c>
      <c r="CT135" s="7">
        <f>((SUMIFS('abrasion emissions'!$M$7:$M$38,'abrasion emissions'!$I$7:$I$38,"PM 2.5",'abrasion emissions'!$K$7:$K$38,"Re-susp.",'abrasion emissions'!$L$7:$L$38,"b")*POWER(('vehicles specifications'!$Q135/1000),(1/SUMIFS('abrasion emissions'!$M$7:$M$38,'abrasion emissions'!$I$7:$I$38,"PM 2.5",'abrasion emissions'!$K$7:$K$38,"Re-susp.",'abrasion emissions'!$L$7:$L$38,"c"))))+
(SUMIFS('abrasion emissions'!$M$7:$M$38,'abrasion emissions'!$I$7:$I$38,"PM 10",'abrasion emissions'!$K$7:$K$38,"Re-susp.",'abrasion emissions'!$L$7:$L$38,"b")*POWER(('vehicles specifications'!$Q135/1000),(1/SUMIFS('abrasion emissions'!$M$7:$M$38,'abrasion emissions'!$I$7:$I$38,"PM 10",'abrasion emissions'!$K$7:$K$38,"Re-susp.",'abrasion emissions'!$L$7:$L$38,"c")))))/1000000</f>
        <v>3.2385043213678066E-6</v>
      </c>
      <c r="CU135" s="7">
        <f>((SUMIFS('abrasion emissions'!$M$7:$M$38,'abrasion emissions'!$I$7:$I$38,"PM 2.5",'abrasion emissions'!$K$7:$K$38,"Road",'abrasion emissions'!$L$7:$L$38,"b")*POWER(('vehicles specifications'!$Q135/1000),(1/SUMIFS('abrasion emissions'!$M$7:$M$38,'abrasion emissions'!$I$7:$I$38,"PM 2.5",'abrasion emissions'!$K$7:$K$38,"Road",'abrasion emissions'!$L$7:$L$38,"c"))))+
(SUMIFS('abrasion emissions'!$M$7:$M$38,'abrasion emissions'!$I$7:$I$38,"PM 10",'abrasion emissions'!$K$7:$K$38,"Road",'abrasion emissions'!$L$7:$L$38,"b")*POWER(('vehicles specifications'!$Q135/1000),(1/SUMIFS('abrasion emissions'!$M$7:$M$38,'abrasion emissions'!$I$7:$I$38,"PM 10",'abrasion emissions'!$K$7:$K$38,"Road",'abrasion emissions'!$L$7:$L$38,"c")))))/1000000+CT135</f>
        <v>6.3428301799505996E-6</v>
      </c>
      <c r="CV135" s="7">
        <f>(CK135*CN135)+(CL135*CO135)+(CM135*CP135)</f>
        <v>4.5999999215160904E-6</v>
      </c>
      <c r="CW135" s="7">
        <f>(CK135*CQ135)+(CL135*CR135)+(CM135*CS135)</f>
        <v>2.448671746258615E-6</v>
      </c>
    </row>
    <row r="136">
      <c r="A136" t="str">
        <f>B136&amp;" - "&amp;D136&amp;" - "&amp;IF(I136&lt;&gt;"",I136&amp;" - "&amp;E136,E136)</f>
        <v>Motorbike, battery electric, &lt;4kW - 2030 - LFP - CH</v>
      </c>
      <c r="B136" t="inlineStr">
        <is>
          <t>Motorbike, battery electric, &lt;4kW</t>
        </is>
      </c>
      <c r="D136" s="18" t="n">
        <v>2030</v>
      </c>
      <c r="E136" t="inlineStr">
        <is>
          <t>CH</t>
        </is>
      </c>
      <c r="F136" t="inlineStr">
        <is>
          <t>None</t>
        </is>
      </c>
      <c r="G136" t="inlineStr">
        <is>
          <t>vkm</t>
        </is>
      </c>
      <c r="H136" t="inlineStr">
        <is>
          <t>BEV</t>
        </is>
      </c>
      <c r="I136" t="inlineStr">
        <is>
          <t>LFP</t>
        </is>
      </c>
      <c r="J136" t="n">
        <v>25000</v>
      </c>
      <c r="K136" t="n">
        <v>1776</v>
      </c>
      <c r="L136" s="2">
        <f>J136/K136</f>
        <v>14.076576576576576</v>
      </c>
      <c r="M136" t="n">
        <v>1.1</v>
      </c>
      <c r="N136" t="n">
        <v>75</v>
      </c>
      <c r="O136" t="n">
        <v>6</v>
      </c>
      <c r="P136" s="2">
        <f>SUM(U136,V136,W136,AC136,AF136,AH136)</f>
        <v>84.743333333333339</v>
      </c>
      <c r="Q136" s="2">
        <f>P136+(M136*N136)+O136</f>
        <v>173.24333333333334</v>
      </c>
      <c r="R136" t="n">
        <v>2.5</v>
      </c>
      <c r="S136" s="2" t="n">
        <v>53</v>
      </c>
      <c r="T136" s="1" t="n">
        <v>0.03</v>
      </c>
      <c r="U136" s="2">
        <f>S136*(1-T136)</f>
        <v>51.41</v>
      </c>
      <c r="V136" s="2" t="n">
        <v>4.5</v>
      </c>
      <c r="W136" s="2" t="n">
        <v>7.5</v>
      </c>
      <c r="X136" s="3" t="n">
        <v>3.2</v>
      </c>
      <c r="Y136" s="1" t="n">
        <v>0.8</v>
      </c>
      <c r="Z136" s="3">
        <f>Y136*X136</f>
        <v>2.5600000000000005</v>
      </c>
      <c r="AA136" s="3">
        <f>IF(I136&lt;&gt;"",X136/INDEX('energy battery'!$B$3:$D$6,MATCH('vehicles specifications'!$D136,'energy battery'!$A$3:$A$6,0),MATCH('vehicles specifications'!$I136,'energy battery'!$B$2:$D$2,0)),"")</f>
        <v>17.777777777777779</v>
      </c>
      <c r="AB136" s="3">
        <f>IF(AA136&lt;&gt;"",0.2*AA136,"")</f>
        <v>3.5555555555555558</v>
      </c>
      <c r="AC136" s="3">
        <f>IF(AA136&lt;&gt;"",AB136+AA136,"")</f>
        <v>21.333333333333336</v>
      </c>
      <c r="AD136" s="3" t="n">
        <v>0.5</v>
      </c>
      <c r="AE136" s="3" t="n">
        <v>0</v>
      </c>
      <c r="AF136">
        <f>AE136*'fuels and tailpipe emissions'!$B$3</f>
        <v>0</v>
      </c>
      <c r="AG136" t="n">
        <v>0</v>
      </c>
      <c r="AH136" s="3" t="n">
        <v>0</v>
      </c>
      <c r="AI136" s="3" t="n">
        <v>3</v>
      </c>
      <c r="AJ136" s="3" t="n">
        <v>1</v>
      </c>
      <c r="AK136">
        <f>J136/25000</f>
        <v>1</v>
      </c>
      <c r="AL136">
        <f>0.000537/1000*Q136</f>
        <v>9.3031670000000004E-5</v>
      </c>
      <c r="AM136" t="n">
        <v>0.00129</v>
      </c>
      <c r="AN136" s="2">
        <f>U136</f>
        <v>51.41</v>
      </c>
      <c r="AO136" s="2">
        <f>SUM(V136:W136)</f>
        <v>12</v>
      </c>
      <c r="AP136" s="2">
        <f>AC136</f>
        <v>21.333333333333336</v>
      </c>
      <c r="AQ136" s="6" t="inlineStr"/>
      <c r="AR136" s="20" t="n"/>
      <c r="AS136" s="6" t="n">
        <v>0.121</v>
      </c>
      <c r="AT136" s="2">
        <f>SUM(Z136,AG136)/(SUM(AQ136,AS136)/3.6)</f>
        <v>76.165289256198363</v>
      </c>
      <c r="AU136" s="5" t="n">
        <v>0</v>
      </c>
      <c r="AV136" s="5" t="n">
        <v>0</v>
      </c>
      <c r="AW136" s="7" t="n">
        <v>0</v>
      </c>
      <c r="AX136" s="7" t="n">
        <v>0</v>
      </c>
      <c r="AY136" s="7" t="n">
        <v>0</v>
      </c>
      <c r="AZ136" s="7" t="n">
        <v>0</v>
      </c>
      <c r="BA136" s="7" t="n">
        <v>0</v>
      </c>
      <c r="BB136" s="7" t="n">
        <v>0</v>
      </c>
      <c r="BC136" s="7" t="n">
        <v>0</v>
      </c>
      <c r="BD136" s="7" t="n">
        <v>0</v>
      </c>
      <c r="BE136" s="7" t="n">
        <v>0</v>
      </c>
      <c r="BF136" s="7" t="n">
        <v>0</v>
      </c>
      <c r="BG136" s="7" t="n">
        <v>0</v>
      </c>
      <c r="BH136" s="7" t="n">
        <v>0</v>
      </c>
      <c r="BI136" s="7" t="n">
        <v>0</v>
      </c>
      <c r="BJ136" s="7" t="n">
        <v>0</v>
      </c>
      <c r="BK136" s="7" t="n">
        <v>0</v>
      </c>
      <c r="BL136" s="7" t="n">
        <v>0</v>
      </c>
      <c r="BM136" s="7" t="n">
        <v>0</v>
      </c>
      <c r="BN136" s="7" t="n">
        <v>0</v>
      </c>
      <c r="BO136" s="7" t="n">
        <v>0</v>
      </c>
      <c r="BP136" s="7" t="n">
        <v>0</v>
      </c>
      <c r="BQ136" s="7" t="n">
        <v>0</v>
      </c>
      <c r="BR136" s="7" t="n">
        <v>0</v>
      </c>
      <c r="BS136" s="7" t="n">
        <v>0</v>
      </c>
      <c r="BT136" s="7" t="n">
        <v>0</v>
      </c>
      <c r="BU136" s="7" t="n">
        <v>0</v>
      </c>
      <c r="BV136" s="7" t="n">
        <v>0</v>
      </c>
      <c r="BW136" s="7" t="n">
        <v>0</v>
      </c>
      <c r="BX136" s="7" t="n">
        <v>0</v>
      </c>
      <c r="BY136" s="7" t="n">
        <v>0</v>
      </c>
      <c r="BZ136" s="7" t="n">
        <v>0</v>
      </c>
      <c r="CA136" s="7" t="n">
        <v>0</v>
      </c>
      <c r="CB136" s="7" t="n">
        <v>0</v>
      </c>
      <c r="CC136" s="7" t="n">
        <v>0</v>
      </c>
      <c r="CD136" s="7" t="n">
        <v>0</v>
      </c>
      <c r="CE136" s="7" t="n">
        <v>0</v>
      </c>
      <c r="CF136" s="7" t="n">
        <v>0</v>
      </c>
      <c r="CG136" s="7" t="n">
        <v>0</v>
      </c>
      <c r="CH136" s="7" t="n">
        <v>0</v>
      </c>
      <c r="CI136" s="7" t="n">
        <v>0</v>
      </c>
      <c r="CJ136" s="7" t="n">
        <v>0</v>
      </c>
      <c r="CK136" s="38">
        <f>VLOOKUP($B136,'abrasion emissions'!$O$7:$R$36,2,FALSE)</f>
        <v>0.33</v>
      </c>
      <c r="CL136" s="38">
        <f>VLOOKUP($B136,'abrasion emissions'!$O$7:$R$36,3,FALSE)</f>
        <v>0.33</v>
      </c>
      <c r="CM136" s="38">
        <f>VLOOKUP($B136,'abrasion emissions'!$O$7:$R$36,4,FALSE)</f>
        <v>0.33</v>
      </c>
      <c r="CN136" s="7">
        <f>((SUMIFS('abrasion emissions'!$M$7:$M$34,'abrasion emissions'!$I$7:$I$34,"PM 2.5",'abrasion emissions'!$J$7:$J$34,"urban",'abrasion emissions'!$K$7:$K$34,"Tyre",'abrasion emissions'!$L$7:$L$34,"b")*POWER(('vehicles specifications'!$Q136/1000),(1/SUMIFS('abrasion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specifications'!$P136/1000),(1/SUMIFS('abrasion emissions'!$M$7:$M$34,'abrasion emissions'!$I$7:$I$34,"PM 10",'abrasion emissions'!$J$7:$J$34,"urban",'abrasion emissions'!$K$7:$K$34,"Tyre",'abrasion emissions'!$L$7:$L$34,"c")))))/1000000</f>
        <v>5.8097336083056395E-6</v>
      </c>
      <c r="CO136" s="7">
        <f>((SUMIFS('abrasion emissions'!$M$7:$M$34,'abrasion emissions'!$I$7:$I$34,"PM 2.5",'abrasion emissions'!$J$7:$J$34,"rural",'abrasion emissions'!$K$7:$K$34,"Tyre",'abrasion emissions'!$L$7:$L$34,"b")*POWER(('vehicles specifications'!$Q136/1000),(1/SUMIFS('abrasion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specifications'!$P136/1000),(1/SUMIFS('abrasion emissions'!$M$7:$M$34,'abrasion emissions'!$I$7:$I$34,"PM 10",'abrasion emissions'!$J$7:$J$34,"rural",'abrasion emissions'!$K$7:$K$34,"Tyre",'abrasion emissions'!$L$7:$L$34,"c")))))/1000000</f>
        <v>4.5252520402428225E-6</v>
      </c>
      <c r="CP136" s="7">
        <f>((SUMIFS('abrasion emissions'!$M$7:$M$34,'abrasion emissions'!$I$7:$I$34,"PM 2.5",'abrasion emissions'!$J$7:$J$34,"motorway",'abrasion emissions'!$K$7:$K$34,"Tyre",'abrasion emissions'!$L$7:$L$34,"b")*POWER(('vehicles specifications'!$Q136/1000),(1/SUMIFS('abrasion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specifications'!$P136/1000),(1/SUMIFS('abrasion emissions'!$M$7:$M$34,'abrasion emissions'!$I$7:$I$34,"PM 10",'abrasion emissions'!$J$7:$J$34,"motorway",'abrasion emissions'!$K$7:$K$34,"Tyre",'abrasion emissions'!$L$7:$L$34,"c")))))/1000000</f>
        <v>3.8659139009466522E-6</v>
      </c>
      <c r="CQ136" s="7">
        <f>((SUMIFS('abrasion emissions'!$M$7:$M$34,'abrasion emissions'!$I$7:$I$34,"PM 2.5",'abrasion emissions'!$J$7:$J$34,"urban",'abrasion emissions'!$K$7:$K$34,"Brake",'abrasion emissions'!$L$7:$L$34,"b")*POWER(('vehicles specifications'!$Q136/1000),(1/SUMIFS('abrasion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specifications'!$P136/1000),(1/SUMIFS('abrasion emissions'!$M$7:$M$34,'abrasion emissions'!$I$7:$I$34,"PM 10",'abrasion emissions'!$J$7:$J$34,"urban",'abrasion emissions'!$K$7:$K$34,"Brake",'abrasion emissions'!$L$7:$L$34,"c")))))/1000000</f>
        <v>5.5178165273895448E-6</v>
      </c>
      <c r="CR136" s="7">
        <f>((SUMIFS('abrasion emissions'!$M$7:$M$34,'abrasion emissions'!$I$7:$I$34,"PM 2.5",'abrasion emissions'!$J$7:$J$34,"rural",'abrasion emissions'!$K$7:$K$34,"Brake",'abrasion emissions'!$L$7:$L$34,"b")*POWER(('vehicles specifications'!$Q136/1000),(1/SUMIFS('abrasion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specifications'!$P136/1000),(1/SUMIFS('abrasion emissions'!$M$7:$M$34,'abrasion emissions'!$I$7:$I$34,"PM 10",'abrasion emissions'!$J$7:$J$34,"rural",'abrasion emissions'!$K$7:$K$34,"Brake",'abrasion emissions'!$L$7:$L$34,"c")))))/1000000</f>
        <v>1.745737634291046E-6</v>
      </c>
      <c r="CS136" s="7">
        <f>((SUMIFS('abrasion emissions'!$M$7:$M$34,'abrasion emissions'!$I$7:$I$34,"PM 2.5",'abrasion emissions'!$J$7:$J$34,"motorway",'abrasion emissions'!$K$7:$K$34,"Brake",'abrasion emissions'!$L$7:$L$34,"b")*POWER(('vehicles specifications'!$Q136/1000),(1/SUMIFS('abrasion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specifications'!$P136/1000),(1/SUMIFS('abrasion emissions'!$M$7:$M$34,'abrasion emissions'!$I$7:$I$34,"PM 10",'abrasion emissions'!$J$7:$J$34,"motorway",'abrasion emissions'!$K$7:$K$34,"Brake",'abrasion emissions'!$L$7:$L$34,"c")))))/1000000</f>
        <v>3.1954144293211566E-7</v>
      </c>
      <c r="CT136" s="7">
        <f>((SUMIFS('abrasion emissions'!$M$7:$M$38,'abrasion emissions'!$I$7:$I$38,"PM 2.5",'abrasion emissions'!$K$7:$K$38,"Re-susp.",'abrasion emissions'!$L$7:$L$38,"b")*POWER(('vehicles specifications'!$Q136/1000),(1/SUMIFS('abrasion emissions'!$M$7:$M$38,'abrasion emissions'!$I$7:$I$38,"PM 2.5",'abrasion emissions'!$K$7:$K$38,"Re-susp.",'abrasion emissions'!$L$7:$L$38,"c"))))+
(SUMIFS('abrasion emissions'!$M$7:$M$38,'abrasion emissions'!$I$7:$I$38,"PM 10",'abrasion emissions'!$K$7:$K$38,"Re-susp.",'abrasion emissions'!$L$7:$L$38,"b")*POWER(('vehicles specifications'!$Q136/1000),(1/SUMIFS('abrasion emissions'!$M$7:$M$38,'abrasion emissions'!$I$7:$I$38,"PM 10",'abrasion emissions'!$K$7:$K$38,"Re-susp.",'abrasion emissions'!$L$7:$L$38,"c")))))/1000000</f>
        <v>3.3320646713766223E-6</v>
      </c>
      <c r="CU136" s="7">
        <f>((SUMIFS('abrasion emissions'!$M$7:$M$38,'abrasion emissions'!$I$7:$I$38,"PM 2.5",'abrasion emissions'!$K$7:$K$38,"Road",'abrasion emissions'!$L$7:$L$38,"b")*POWER(('vehicles specifications'!$Q136/1000),(1/SUMIFS('abrasion emissions'!$M$7:$M$38,'abrasion emissions'!$I$7:$I$38,"PM 2.5",'abrasion emissions'!$K$7:$K$38,"Road",'abrasion emissions'!$L$7:$L$38,"c"))))+
(SUMIFS('abrasion emissions'!$M$7:$M$38,'abrasion emissions'!$I$7:$I$38,"PM 10",'abrasion emissions'!$K$7:$K$38,"Road",'abrasion emissions'!$L$7:$L$38,"b")*POWER(('vehicles specifications'!$Q136/1000),(1/SUMIFS('abrasion emissions'!$M$7:$M$38,'abrasion emissions'!$I$7:$I$38,"PM 10",'abrasion emissions'!$K$7:$K$38,"Road",'abrasion emissions'!$L$7:$L$38,"c")))))/1000000+CT136</f>
        <v>6.501908451097096E-6</v>
      </c>
      <c r="CV136" s="7">
        <f>(CK136*CN136)+(CL136*CO136)+(CM136*CP136)</f>
        <v>4.686296851333388E-6</v>
      </c>
      <c r="CW136" s="7">
        <f>(CK136*CQ136)+(CL136*CR136)+(CM136*CS136)</f>
        <v>2.5024215495221934E-6</v>
      </c>
    </row>
    <row r="137">
      <c r="A137" t="str">
        <f>B137&amp;" - "&amp;D137&amp;" - "&amp;IF(I137&lt;&gt;"",I137&amp;" - "&amp;E137,E137)</f>
        <v>Motorbike, battery electric, &lt;4kW - 2040 - LFP - CH</v>
      </c>
      <c r="B137" t="inlineStr">
        <is>
          <t>Motorbike, battery electric, &lt;4kW</t>
        </is>
      </c>
      <c r="D137" s="18" t="n">
        <v>2040</v>
      </c>
      <c r="E137" t="inlineStr">
        <is>
          <t>CH</t>
        </is>
      </c>
      <c r="F137" t="inlineStr">
        <is>
          <t>None</t>
        </is>
      </c>
      <c r="G137" t="inlineStr">
        <is>
          <t>vkm</t>
        </is>
      </c>
      <c r="H137" t="inlineStr">
        <is>
          <t>BEV</t>
        </is>
      </c>
      <c r="I137" t="inlineStr">
        <is>
          <t>LFP</t>
        </is>
      </c>
      <c r="J137" t="n">
        <v>25000</v>
      </c>
      <c r="K137" t="n">
        <v>1776</v>
      </c>
      <c r="L137" s="2">
        <f>J137/K137</f>
        <v>14.076576576576576</v>
      </c>
      <c r="M137" t="n">
        <v>1.1</v>
      </c>
      <c r="N137" t="n">
        <v>75</v>
      </c>
      <c r="O137" t="n">
        <v>6</v>
      </c>
      <c r="P137" s="2">
        <f>SUM(U137,V137,W137,AC137,AF137,AH137)</f>
        <v>92.35</v>
      </c>
      <c r="Q137" s="2">
        <f>P137+(M137*N137)+O137</f>
        <v>180.85</v>
      </c>
      <c r="R137" t="n">
        <v>2.5</v>
      </c>
      <c r="S137" s="2" t="n">
        <v>53</v>
      </c>
      <c r="T137" s="1" t="n">
        <v>0.05</v>
      </c>
      <c r="U137" s="2">
        <f>S137*(1-T137)</f>
        <v>50.349999999999994</v>
      </c>
      <c r="V137" s="2" t="n">
        <v>4.5</v>
      </c>
      <c r="W137" s="2" t="n">
        <v>7.5</v>
      </c>
      <c r="X137" s="3" t="n">
        <v>4.5</v>
      </c>
      <c r="Y137" s="1" t="n">
        <v>0.8</v>
      </c>
      <c r="Z137" s="3">
        <f>Y137*X137</f>
        <v>3.6</v>
      </c>
      <c r="AA137" s="3">
        <f>IF(I137&lt;&gt;"",X137/INDEX('energy battery'!$B$3:$D$6,MATCH('vehicles specifications'!$D137,'energy battery'!$A$3:$A$6,0),MATCH('vehicles specifications'!$I137,'energy battery'!$B$2:$D$2,0)),"")</f>
        <v>25</v>
      </c>
      <c r="AB137" s="3">
        <f>IF(AA137&lt;&gt;"",0.2*AA137,"")</f>
        <v>5</v>
      </c>
      <c r="AC137" s="3">
        <f>IF(AA137&lt;&gt;"",AB137+AA137,"")</f>
        <v>30</v>
      </c>
      <c r="AD137" s="3" t="n">
        <v>0.25</v>
      </c>
      <c r="AE137" s="3" t="n">
        <v>0</v>
      </c>
      <c r="AF137">
        <f>AE137*'fuels and tailpipe emissions'!$B$3</f>
        <v>0</v>
      </c>
      <c r="AG137" t="n">
        <v>0</v>
      </c>
      <c r="AH137" s="3" t="n">
        <v>0</v>
      </c>
      <c r="AI137" s="3" t="n">
        <v>3</v>
      </c>
      <c r="AJ137" s="3" t="n">
        <v>1</v>
      </c>
      <c r="AK137">
        <f>J137/25000</f>
        <v>1</v>
      </c>
      <c r="AL137">
        <f>0.000537/1000*Q137</f>
        <v>9.7116450000000001E-5</v>
      </c>
      <c r="AM137" t="n">
        <v>0.00129</v>
      </c>
      <c r="AN137" s="2">
        <f>U137</f>
        <v>50.349999999999994</v>
      </c>
      <c r="AO137" s="2">
        <f>SUM(V137:W137)</f>
        <v>12</v>
      </c>
      <c r="AP137" s="2">
        <f>AC137</f>
        <v>30</v>
      </c>
      <c r="AQ137" s="6" t="inlineStr"/>
      <c r="AR137" s="20" t="n"/>
      <c r="AS137" s="6" t="n">
        <v>0.121</v>
      </c>
      <c r="AT137" s="2">
        <f>SUM(Z137,AG137)/(SUM(AQ137,AS137)/3.6)</f>
        <v>107.10743801652892</v>
      </c>
      <c r="AU137" s="5" t="n">
        <v>0</v>
      </c>
      <c r="AV137" s="5" t="n">
        <v>0</v>
      </c>
      <c r="AW137" s="7" t="n">
        <v>0</v>
      </c>
      <c r="AX137" s="7" t="n">
        <v>0</v>
      </c>
      <c r="AY137" s="7" t="n">
        <v>0</v>
      </c>
      <c r="AZ137" s="7" t="n">
        <v>0</v>
      </c>
      <c r="BA137" s="7" t="n">
        <v>0</v>
      </c>
      <c r="BB137" s="7" t="n">
        <v>0</v>
      </c>
      <c r="BC137" s="7" t="n">
        <v>0</v>
      </c>
      <c r="BD137" s="7" t="n">
        <v>0</v>
      </c>
      <c r="BE137" s="7" t="n">
        <v>0</v>
      </c>
      <c r="BF137" s="7" t="n">
        <v>0</v>
      </c>
      <c r="BG137" s="7" t="n">
        <v>0</v>
      </c>
      <c r="BH137" s="7" t="n">
        <v>0</v>
      </c>
      <c r="BI137" s="7" t="n">
        <v>0</v>
      </c>
      <c r="BJ137" s="7" t="n">
        <v>0</v>
      </c>
      <c r="BK137" s="7" t="n">
        <v>0</v>
      </c>
      <c r="BL137" s="7" t="n">
        <v>0</v>
      </c>
      <c r="BM137" s="7" t="n">
        <v>0</v>
      </c>
      <c r="BN137" s="7" t="n">
        <v>0</v>
      </c>
      <c r="BO137" s="7" t="n">
        <v>0</v>
      </c>
      <c r="BP137" s="7" t="n">
        <v>0</v>
      </c>
      <c r="BQ137" s="7" t="n">
        <v>0</v>
      </c>
      <c r="BR137" s="7" t="n">
        <v>0</v>
      </c>
      <c r="BS137" s="7" t="n">
        <v>0</v>
      </c>
      <c r="BT137" s="7" t="n">
        <v>0</v>
      </c>
      <c r="BU137" s="7" t="n">
        <v>0</v>
      </c>
      <c r="BV137" s="7" t="n">
        <v>0</v>
      </c>
      <c r="BW137" s="7" t="n">
        <v>0</v>
      </c>
      <c r="BX137" s="7" t="n">
        <v>0</v>
      </c>
      <c r="BY137" s="7" t="n">
        <v>0</v>
      </c>
      <c r="BZ137" s="7" t="n">
        <v>0</v>
      </c>
      <c r="CA137" s="7" t="n">
        <v>0</v>
      </c>
      <c r="CB137" s="7" t="n">
        <v>0</v>
      </c>
      <c r="CC137" s="7" t="n">
        <v>0</v>
      </c>
      <c r="CD137" s="7" t="n">
        <v>0</v>
      </c>
      <c r="CE137" s="7" t="n">
        <v>0</v>
      </c>
      <c r="CF137" s="7" t="n">
        <v>0</v>
      </c>
      <c r="CG137" s="7" t="n">
        <v>0</v>
      </c>
      <c r="CH137" s="7" t="n">
        <v>0</v>
      </c>
      <c r="CI137" s="7" t="n">
        <v>0</v>
      </c>
      <c r="CJ137" s="7" t="n">
        <v>0</v>
      </c>
      <c r="CK137" s="38">
        <f>VLOOKUP($B137,'abrasion emissions'!$O$7:$R$36,2,FALSE)</f>
        <v>0.33</v>
      </c>
      <c r="CL137" s="38">
        <f>VLOOKUP($B137,'abrasion emissions'!$O$7:$R$36,3,FALSE)</f>
        <v>0.33</v>
      </c>
      <c r="CM137" s="38">
        <f>VLOOKUP($B137,'abrasion emissions'!$O$7:$R$36,4,FALSE)</f>
        <v>0.33</v>
      </c>
      <c r="CN137" s="7">
        <f>((SUMIFS('abrasion emissions'!$M$7:$M$34,'abrasion emissions'!$I$7:$I$34,"PM 2.5",'abrasion emissions'!$J$7:$J$34,"urban",'abrasion emissions'!$K$7:$K$34,"Tyre",'abrasion emissions'!$L$7:$L$34,"b")*POWER(('vehicles specifications'!$Q137/1000),(1/SUMIFS('abrasion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specifications'!$P137/1000),(1/SUMIFS('abrasion emissions'!$M$7:$M$34,'abrasion emissions'!$I$7:$I$34,"PM 10",'abrasion emissions'!$J$7:$J$34,"urban",'abrasion emissions'!$K$7:$K$34,"Tyre",'abrasion emissions'!$L$7:$L$34,"c")))))/1000000</f>
        <v>5.9574195812082842E-6</v>
      </c>
      <c r="CO137" s="7">
        <f>((SUMIFS('abrasion emissions'!$M$7:$M$34,'abrasion emissions'!$I$7:$I$34,"PM 2.5",'abrasion emissions'!$J$7:$J$34,"rural",'abrasion emissions'!$K$7:$K$34,"Tyre",'abrasion emissions'!$L$7:$L$34,"b")*POWER(('vehicles specifications'!$Q137/1000),(1/SUMIFS('abrasion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specifications'!$P137/1000),(1/SUMIFS('abrasion emissions'!$M$7:$M$34,'abrasion emissions'!$I$7:$I$34,"PM 10",'abrasion emissions'!$J$7:$J$34,"rural",'abrasion emissions'!$K$7:$K$34,"Tyre",'abrasion emissions'!$L$7:$L$34,"c")))))/1000000</f>
        <v>4.6401697834593504E-6</v>
      </c>
      <c r="CP137" s="7">
        <f>((SUMIFS('abrasion emissions'!$M$7:$M$34,'abrasion emissions'!$I$7:$I$34,"PM 2.5",'abrasion emissions'!$J$7:$J$34,"motorway",'abrasion emissions'!$K$7:$K$34,"Tyre",'abrasion emissions'!$L$7:$L$34,"b")*POWER(('vehicles specifications'!$Q137/1000),(1/SUMIFS('abrasion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specifications'!$P137/1000),(1/SUMIFS('abrasion emissions'!$M$7:$M$34,'abrasion emissions'!$I$7:$I$34,"PM 10",'abrasion emissions'!$J$7:$J$34,"motorway",'abrasion emissions'!$K$7:$K$34,"Tyre",'abrasion emissions'!$L$7:$L$34,"c")))))/1000000</f>
        <v>3.9637964538198023E-6</v>
      </c>
      <c r="CQ137" s="7">
        <f>((SUMIFS('abrasion emissions'!$M$7:$M$34,'abrasion emissions'!$I$7:$I$34,"PM 2.5",'abrasion emissions'!$J$7:$J$34,"urban",'abrasion emissions'!$K$7:$K$34,"Brake",'abrasion emissions'!$L$7:$L$34,"b")*POWER(('vehicles specifications'!$Q137/1000),(1/SUMIFS('abrasion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specifications'!$P137/1000),(1/SUMIFS('abrasion emissions'!$M$7:$M$34,'abrasion emissions'!$I$7:$I$34,"PM 10",'abrasion emissions'!$J$7:$J$34,"urban",'abrasion emissions'!$K$7:$K$34,"Brake",'abrasion emissions'!$L$7:$L$34,"c")))))/1000000</f>
        <v>5.6708487482463013E-6</v>
      </c>
      <c r="CR137" s="7">
        <f>((SUMIFS('abrasion emissions'!$M$7:$M$34,'abrasion emissions'!$I$7:$I$34,"PM 2.5",'abrasion emissions'!$J$7:$J$34,"rural",'abrasion emissions'!$K$7:$K$34,"Brake",'abrasion emissions'!$L$7:$L$34,"b")*POWER(('vehicles specifications'!$Q137/1000),(1/SUMIFS('abrasion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specifications'!$P137/1000),(1/SUMIFS('abrasion emissions'!$M$7:$M$34,'abrasion emissions'!$I$7:$I$34,"PM 10",'abrasion emissions'!$J$7:$J$34,"rural",'abrasion emissions'!$K$7:$K$34,"Brake",'abrasion emissions'!$L$7:$L$34,"c")))))/1000000</f>
        <v>1.8068612113100043E-6</v>
      </c>
      <c r="CS137" s="7">
        <f>((SUMIFS('abrasion emissions'!$M$7:$M$34,'abrasion emissions'!$I$7:$I$34,"PM 2.5",'abrasion emissions'!$J$7:$J$34,"motorway",'abrasion emissions'!$K$7:$K$34,"Brake",'abrasion emissions'!$L$7:$L$34,"b")*POWER(('vehicles specifications'!$Q137/1000),(1/SUMIFS('abrasion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specifications'!$P137/1000),(1/SUMIFS('abrasion emissions'!$M$7:$M$34,'abrasion emissions'!$I$7:$I$34,"PM 10",'abrasion emissions'!$J$7:$J$34,"motorway",'abrasion emissions'!$K$7:$K$34,"Brake",'abrasion emissions'!$L$7:$L$34,"c")))))/1000000</f>
        <v>3.3236223179779343E-7</v>
      </c>
      <c r="CT137" s="7">
        <f>((SUMIFS('abrasion emissions'!$M$7:$M$38,'abrasion emissions'!$I$7:$I$38,"PM 2.5",'abrasion emissions'!$K$7:$K$38,"Re-susp.",'abrasion emissions'!$L$7:$L$38,"b")*POWER(('vehicles specifications'!$Q137/1000),(1/SUMIFS('abrasion emissions'!$M$7:$M$38,'abrasion emissions'!$I$7:$I$38,"PM 2.5",'abrasion emissions'!$K$7:$K$38,"Re-susp.",'abrasion emissions'!$L$7:$L$38,"c"))))+
(SUMIFS('abrasion emissions'!$M$7:$M$38,'abrasion emissions'!$I$7:$I$38,"PM 10",'abrasion emissions'!$K$7:$K$38,"Re-susp.",'abrasion emissions'!$L$7:$L$38,"b")*POWER(('vehicles specifications'!$Q137/1000),(1/SUMIFS('abrasion emissions'!$M$7:$M$38,'abrasion emissions'!$I$7:$I$38,"PM 10",'abrasion emissions'!$K$7:$K$38,"Re-susp.",'abrasion emissions'!$L$7:$L$38,"c")))))/1000000</f>
        <v>3.4648054987019045E-6</v>
      </c>
      <c r="CU137" s="7">
        <f>((SUMIFS('abrasion emissions'!$M$7:$M$38,'abrasion emissions'!$I$7:$I$38,"PM 2.5",'abrasion emissions'!$K$7:$K$38,"Road",'abrasion emissions'!$L$7:$L$38,"b")*POWER(('vehicles specifications'!$Q137/1000),(1/SUMIFS('abrasion emissions'!$M$7:$M$38,'abrasion emissions'!$I$7:$I$38,"PM 2.5",'abrasion emissions'!$K$7:$K$38,"Road",'abrasion emissions'!$L$7:$L$38,"c"))))+
(SUMIFS('abrasion emissions'!$M$7:$M$38,'abrasion emissions'!$I$7:$I$38,"PM 10",'abrasion emissions'!$K$7:$K$38,"Road",'abrasion emissions'!$L$7:$L$38,"b")*POWER(('vehicles specifications'!$Q137/1000),(1/SUMIFS('abrasion emissions'!$M$7:$M$38,'abrasion emissions'!$I$7:$I$38,"PM 10",'abrasion emissions'!$K$7:$K$38,"Road",'abrasion emissions'!$L$7:$L$38,"c")))))/1000000+CT137</f>
        <v>6.7267696246259231E-6</v>
      </c>
      <c r="CV137" s="7">
        <f>(CK137*CN137)+(CL137*CO137)+(CM137*CP137)</f>
        <v>4.8052573201008543E-6</v>
      </c>
      <c r="CW137" s="7">
        <f>(CK137*CQ137)+(CL137*CR137)+(CM137*CS137)</f>
        <v>2.5773238231468531E-6</v>
      </c>
    </row>
    <row r="138">
      <c r="A138" t="str">
        <f>B138&amp;" - "&amp;D138&amp;" - "&amp;IF(I138&lt;&gt;"",I138&amp;" - "&amp;E138,E138)</f>
        <v>Motorbike, battery electric, &lt;4kW - 2050 - LFP - CH</v>
      </c>
      <c r="B138" t="inlineStr">
        <is>
          <t>Motorbike, battery electric, &lt;4kW</t>
        </is>
      </c>
      <c r="D138" s="18" t="n">
        <v>2050</v>
      </c>
      <c r="E138" t="inlineStr">
        <is>
          <t>CH</t>
        </is>
      </c>
      <c r="F138" t="inlineStr">
        <is>
          <t>None</t>
        </is>
      </c>
      <c r="G138" t="inlineStr">
        <is>
          <t>vkm</t>
        </is>
      </c>
      <c r="H138" t="inlineStr">
        <is>
          <t>BEV</t>
        </is>
      </c>
      <c r="I138" t="inlineStr">
        <is>
          <t>LFP</t>
        </is>
      </c>
      <c r="J138" t="n">
        <v>25000</v>
      </c>
      <c r="K138" t="n">
        <v>1776</v>
      </c>
      <c r="L138" s="2">
        <f>J138/K138</f>
        <v>14.076576576576576</v>
      </c>
      <c r="M138" t="n">
        <v>1.1</v>
      </c>
      <c r="N138" t="n">
        <v>75</v>
      </c>
      <c r="O138" t="n">
        <v>6</v>
      </c>
      <c r="P138" s="2">
        <f>SUM(U138,V138,W138,AC138,AF138,AH138)</f>
        <v>97.289999999999992</v>
      </c>
      <c r="Q138" s="2">
        <f>P138+(M138*N138)+O138</f>
        <v>185.79</v>
      </c>
      <c r="R138" t="n">
        <v>2.5</v>
      </c>
      <c r="S138" s="2" t="n">
        <v>53</v>
      </c>
      <c r="T138" s="1" t="n">
        <v>0.07000000000000001</v>
      </c>
      <c r="U138" s="2">
        <f>S138*(1-T138)</f>
        <v>49.29</v>
      </c>
      <c r="V138" s="2" t="n">
        <v>4.5</v>
      </c>
      <c r="W138" s="2" t="n">
        <v>7.5</v>
      </c>
      <c r="X138" s="3" t="n">
        <v>6</v>
      </c>
      <c r="Y138" s="1" t="n">
        <v>0.8</v>
      </c>
      <c r="Z138" s="3">
        <f>Y138*X138</f>
        <v>4.8000000000000007</v>
      </c>
      <c r="AA138" s="3">
        <f>IF(I138&lt;&gt;"",X138/INDEX('energy battery'!$B$3:$D$6,MATCH('vehicles specifications'!$D138,'energy battery'!$A$3:$A$6,0),MATCH('vehicles specifications'!$I138,'energy battery'!$B$2:$D$2,0)),"")</f>
        <v>30</v>
      </c>
      <c r="AB138" s="3">
        <f>IF(AA138&lt;&gt;"",0.2*AA138,"")</f>
        <v>6</v>
      </c>
      <c r="AC138" s="3">
        <f>IF(AA138&lt;&gt;"",AB138+AA138,"")</f>
        <v>36</v>
      </c>
      <c r="AD138" s="3" t="n">
        <v>0</v>
      </c>
      <c r="AE138" s="3" t="n">
        <v>0</v>
      </c>
      <c r="AF138">
        <f>AE138*'fuels and tailpipe emissions'!$B$3</f>
        <v>0</v>
      </c>
      <c r="AG138" t="n">
        <v>0</v>
      </c>
      <c r="AH138" s="3" t="n">
        <v>0</v>
      </c>
      <c r="AI138" s="3" t="n">
        <v>3</v>
      </c>
      <c r="AJ138" s="3" t="n">
        <v>1</v>
      </c>
      <c r="AK138">
        <f>J138/25000</f>
        <v>1</v>
      </c>
      <c r="AL138">
        <f>0.000537/1000*Q138</f>
        <v>9.9769230000000002E-5</v>
      </c>
      <c r="AM138" t="n">
        <v>0.00129</v>
      </c>
      <c r="AN138" s="2">
        <f>U138</f>
        <v>49.29</v>
      </c>
      <c r="AO138" s="2">
        <f>SUM(V138:W138)</f>
        <v>12</v>
      </c>
      <c r="AP138" s="2">
        <f>AC138</f>
        <v>36</v>
      </c>
      <c r="AQ138" s="6" t="inlineStr"/>
      <c r="AR138" s="20" t="n"/>
      <c r="AS138" s="6" t="n">
        <v>0.121</v>
      </c>
      <c r="AT138" s="2">
        <f>SUM(Z138,AG138)/(SUM(AQ138,AS138)/3.6)</f>
        <v>142.80991735537191</v>
      </c>
      <c r="AU138" s="5" t="n">
        <v>0</v>
      </c>
      <c r="AV138" s="5" t="n">
        <v>0</v>
      </c>
      <c r="AW138" s="7" t="n">
        <v>0</v>
      </c>
      <c r="AX138" s="7" t="n">
        <v>0</v>
      </c>
      <c r="AY138" s="7" t="n">
        <v>0</v>
      </c>
      <c r="AZ138" s="7" t="n">
        <v>0</v>
      </c>
      <c r="BA138" s="7" t="n">
        <v>0</v>
      </c>
      <c r="BB138" s="7" t="n">
        <v>0</v>
      </c>
      <c r="BC138" s="7" t="n">
        <v>0</v>
      </c>
      <c r="BD138" s="7" t="n">
        <v>0</v>
      </c>
      <c r="BE138" s="7" t="n">
        <v>0</v>
      </c>
      <c r="BF138" s="7" t="n">
        <v>0</v>
      </c>
      <c r="BG138" s="7" t="n">
        <v>0</v>
      </c>
      <c r="BH138" s="7" t="n">
        <v>0</v>
      </c>
      <c r="BI138" s="7" t="n">
        <v>0</v>
      </c>
      <c r="BJ138" s="7" t="n">
        <v>0</v>
      </c>
      <c r="BK138" s="7" t="n">
        <v>0</v>
      </c>
      <c r="BL138" s="7" t="n">
        <v>0</v>
      </c>
      <c r="BM138" s="7" t="n">
        <v>0</v>
      </c>
      <c r="BN138" s="7" t="n">
        <v>0</v>
      </c>
      <c r="BO138" s="7" t="n">
        <v>0</v>
      </c>
      <c r="BP138" s="7" t="n">
        <v>0</v>
      </c>
      <c r="BQ138" s="7" t="n">
        <v>0</v>
      </c>
      <c r="BR138" s="7" t="n">
        <v>0</v>
      </c>
      <c r="BS138" s="7" t="n">
        <v>0</v>
      </c>
      <c r="BT138" s="7" t="n">
        <v>0</v>
      </c>
      <c r="BU138" s="7" t="n">
        <v>0</v>
      </c>
      <c r="BV138" s="7" t="n">
        <v>0</v>
      </c>
      <c r="BW138" s="7" t="n">
        <v>0</v>
      </c>
      <c r="BX138" s="7" t="n">
        <v>0</v>
      </c>
      <c r="BY138" s="7" t="n">
        <v>0</v>
      </c>
      <c r="BZ138" s="7" t="n">
        <v>0</v>
      </c>
      <c r="CA138" s="7" t="n">
        <v>0</v>
      </c>
      <c r="CB138" s="7" t="n">
        <v>0</v>
      </c>
      <c r="CC138" s="7" t="n">
        <v>0</v>
      </c>
      <c r="CD138" s="7" t="n">
        <v>0</v>
      </c>
      <c r="CE138" s="7" t="n">
        <v>0</v>
      </c>
      <c r="CF138" s="7" t="n">
        <v>0</v>
      </c>
      <c r="CG138" s="7" t="n">
        <v>0</v>
      </c>
      <c r="CH138" s="7" t="n">
        <v>0</v>
      </c>
      <c r="CI138" s="7" t="n">
        <v>0</v>
      </c>
      <c r="CJ138" s="7" t="n">
        <v>0</v>
      </c>
      <c r="CK138" s="38">
        <f>VLOOKUP($B138,'abrasion emissions'!$O$7:$R$36,2,FALSE)</f>
        <v>0.33</v>
      </c>
      <c r="CL138" s="38">
        <f>VLOOKUP($B138,'abrasion emissions'!$O$7:$R$36,3,FALSE)</f>
        <v>0.33</v>
      </c>
      <c r="CM138" s="38">
        <f>VLOOKUP($B138,'abrasion emissions'!$O$7:$R$36,4,FALSE)</f>
        <v>0.33</v>
      </c>
      <c r="CN138" s="7">
        <f>((SUMIFS('abrasion emissions'!$M$7:$M$34,'abrasion emissions'!$I$7:$I$34,"PM 2.5",'abrasion emissions'!$J$7:$J$34,"urban",'abrasion emissions'!$K$7:$K$34,"Tyre",'abrasion emissions'!$L$7:$L$34,"b")*POWER(('vehicles specifications'!$Q138/1000),(1/SUMIFS('abrasion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specifications'!$P138/1000),(1/SUMIFS('abrasion emissions'!$M$7:$M$34,'abrasion emissions'!$I$7:$I$34,"PM 10",'abrasion emissions'!$J$7:$J$34,"urban",'abrasion emissions'!$K$7:$K$34,"Tyre",'abrasion emissions'!$L$7:$L$34,"c")))))/1000000</f>
        <v>6.0505466079773991E-6</v>
      </c>
      <c r="CO138" s="7">
        <f>((SUMIFS('abrasion emissions'!$M$7:$M$34,'abrasion emissions'!$I$7:$I$34,"PM 2.5",'abrasion emissions'!$J$7:$J$34,"rural",'abrasion emissions'!$K$7:$K$34,"Tyre",'abrasion emissions'!$L$7:$L$34,"b")*POWER(('vehicles specifications'!$Q138/1000),(1/SUMIFS('abrasion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specifications'!$P138/1000),(1/SUMIFS('abrasion emissions'!$M$7:$M$34,'abrasion emissions'!$I$7:$I$34,"PM 10",'abrasion emissions'!$J$7:$J$34,"rural",'abrasion emissions'!$K$7:$K$34,"Tyre",'abrasion emissions'!$L$7:$L$34,"c")))))/1000000</f>
        <v>4.7126360566832226E-6</v>
      </c>
      <c r="CP138" s="7">
        <f>((SUMIFS('abrasion emissions'!$M$7:$M$34,'abrasion emissions'!$I$7:$I$34,"PM 2.5",'abrasion emissions'!$J$7:$J$34,"motorway",'abrasion emissions'!$K$7:$K$34,"Tyre",'abrasion emissions'!$L$7:$L$34,"b")*POWER(('vehicles specifications'!$Q138/1000),(1/SUMIFS('abrasion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specifications'!$P138/1000),(1/SUMIFS('abrasion emissions'!$M$7:$M$34,'abrasion emissions'!$I$7:$I$34,"PM 10",'abrasion emissions'!$J$7:$J$34,"motorway",'abrasion emissions'!$K$7:$K$34,"Tyre",'abrasion emissions'!$L$7:$L$34,"c")))))/1000000</f>
        <v>4.0255256387059222E-6</v>
      </c>
      <c r="CQ138" s="7">
        <f>((SUMIFS('abrasion emissions'!$M$7:$M$34,'abrasion emissions'!$I$7:$I$34,"PM 2.5",'abrasion emissions'!$J$7:$J$34,"urban",'abrasion emissions'!$K$7:$K$34,"Brake",'abrasion emissions'!$L$7:$L$34,"b")*POWER(('vehicles specifications'!$Q138/1000),(1/SUMIFS('abrasion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specifications'!$P138/1000),(1/SUMIFS('abrasion emissions'!$M$7:$M$34,'abrasion emissions'!$I$7:$I$34,"PM 10",'abrasion emissions'!$J$7:$J$34,"urban",'abrasion emissions'!$K$7:$K$34,"Brake",'abrasion emissions'!$L$7:$L$34,"c")))))/1000000</f>
        <v>5.7680648060857489E-6</v>
      </c>
      <c r="CR138" s="7">
        <f>((SUMIFS('abrasion emissions'!$M$7:$M$34,'abrasion emissions'!$I$7:$I$34,"PM 2.5",'abrasion emissions'!$J$7:$J$34,"rural",'abrasion emissions'!$K$7:$K$34,"Brake",'abrasion emissions'!$L$7:$L$34,"b")*POWER(('vehicles specifications'!$Q138/1000),(1/SUMIFS('abrasion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specifications'!$P138/1000),(1/SUMIFS('abrasion emissions'!$M$7:$M$34,'abrasion emissions'!$I$7:$I$34,"PM 10",'abrasion emissions'!$J$7:$J$34,"rural",'abrasion emissions'!$K$7:$K$34,"Brake",'abrasion emissions'!$L$7:$L$34,"c")))))/1000000</f>
        <v>1.8459504100416464E-6</v>
      </c>
      <c r="CS138" s="7">
        <f>((SUMIFS('abrasion emissions'!$M$7:$M$34,'abrasion emissions'!$I$7:$I$34,"PM 2.5",'abrasion emissions'!$J$7:$J$34,"motorway",'abrasion emissions'!$K$7:$K$34,"Brake",'abrasion emissions'!$L$7:$L$34,"b")*POWER(('vehicles specifications'!$Q138/1000),(1/SUMIFS('abrasion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specifications'!$P138/1000),(1/SUMIFS('abrasion emissions'!$M$7:$M$34,'abrasion emissions'!$I$7:$I$34,"PM 10",'abrasion emissions'!$J$7:$J$34,"motorway",'abrasion emissions'!$K$7:$K$34,"Brake",'abrasion emissions'!$L$7:$L$34,"c")))))/1000000</f>
        <v>3.4060118791579131E-7</v>
      </c>
      <c r="CT138" s="7">
        <f>((SUMIFS('abrasion emissions'!$M$7:$M$38,'abrasion emissions'!$I$7:$I$38,"PM 2.5",'abrasion emissions'!$K$7:$K$38,"Re-susp.",'abrasion emissions'!$L$7:$L$38,"b")*POWER(('vehicles specifications'!$Q138/1000),(1/SUMIFS('abrasion emissions'!$M$7:$M$38,'abrasion emissions'!$I$7:$I$38,"PM 2.5",'abrasion emissions'!$K$7:$K$38,"Re-susp.",'abrasion emissions'!$L$7:$L$38,"c"))))+
(SUMIFS('abrasion emissions'!$M$7:$M$38,'abrasion emissions'!$I$7:$I$38,"PM 10",'abrasion emissions'!$K$7:$K$38,"Re-susp.",'abrasion emissions'!$L$7:$L$38,"b")*POWER(('vehicles specifications'!$Q138/1000),(1/SUMIFS('abrasion emissions'!$M$7:$M$38,'abrasion emissions'!$I$7:$I$38,"PM 10",'abrasion emissions'!$K$7:$K$38,"Re-susp.",'abrasion emissions'!$L$7:$L$38,"c")))))/1000000</f>
        <v>3.5507385707742335E-6</v>
      </c>
      <c r="CU138" s="7">
        <f>((SUMIFS('abrasion emissions'!$M$7:$M$38,'abrasion emissions'!$I$7:$I$38,"PM 2.5",'abrasion emissions'!$K$7:$K$38,"Road",'abrasion emissions'!$L$7:$L$38,"b")*POWER(('vehicles specifications'!$Q138/1000),(1/SUMIFS('abrasion emissions'!$M$7:$M$38,'abrasion emissions'!$I$7:$I$38,"PM 2.5",'abrasion emissions'!$K$7:$K$38,"Road",'abrasion emissions'!$L$7:$L$38,"c"))))+
(SUMIFS('abrasion emissions'!$M$7:$M$38,'abrasion emissions'!$I$7:$I$38,"PM 10",'abrasion emissions'!$K$7:$K$38,"Road",'abrasion emissions'!$L$7:$L$38,"b")*POWER(('vehicles specifications'!$Q138/1000),(1/SUMIFS('abrasion emissions'!$M$7:$M$38,'abrasion emissions'!$I$7:$I$38,"PM 10",'abrasion emissions'!$K$7:$K$38,"Road",'abrasion emissions'!$L$7:$L$38,"c")))))/1000000+CT138</f>
        <v>6.8718368549638702E-6</v>
      </c>
      <c r="CV138" s="7">
        <f>(CK138*CN138)+(CL138*CO138)+(CM138*CP138)</f>
        <v>4.8802737401109593E-6</v>
      </c>
      <c r="CW138" s="7">
        <f>(CK138*CQ138)+(CL138*CR138)+(CM138*CS138)</f>
        <v>2.6250234133342519E-6</v>
      </c>
    </row>
    <row r="139">
      <c r="A139" t="str">
        <f>B139&amp;" - "&amp;D139&amp;" - "&amp;IF(I139&lt;&gt;"",I139&amp;" - "&amp;E139,E139)</f>
        <v>Motorbike, battery electric, 4-11kW - 2020 - LFP - CH</v>
      </c>
      <c r="B139" t="inlineStr">
        <is>
          <t>Motorbike, battery electric, 4-11kW</t>
        </is>
      </c>
      <c r="D139" s="18" t="n">
        <v>2020</v>
      </c>
      <c r="E139" t="inlineStr">
        <is>
          <t>CH</t>
        </is>
      </c>
      <c r="F139" t="inlineStr">
        <is>
          <t>None</t>
        </is>
      </c>
      <c r="G139" t="inlineStr">
        <is>
          <t>vkm</t>
        </is>
      </c>
      <c r="H139" t="inlineStr">
        <is>
          <t>BEV</t>
        </is>
      </c>
      <c r="I139" t="inlineStr">
        <is>
          <t>LFP</t>
        </is>
      </c>
      <c r="J139" t="n">
        <v>25000</v>
      </c>
      <c r="K139" t="n">
        <v>1776</v>
      </c>
      <c r="L139" s="2">
        <f>J139/K139</f>
        <v>14.076576576576576</v>
      </c>
      <c r="M139" t="n">
        <v>1.1</v>
      </c>
      <c r="N139" t="n">
        <v>75</v>
      </c>
      <c r="O139" t="n">
        <v>6</v>
      </c>
      <c r="P139" s="2">
        <f>SUM(U139,V139,W139,AC139,AF139,AH139)</f>
        <v>121.35074044049274</v>
      </c>
      <c r="Q139" s="2">
        <f>P139+(M139*N139)+O139</f>
        <v>209.85074044049276</v>
      </c>
      <c r="R139" t="n">
        <v>4.7</v>
      </c>
      <c r="S139" s="2" t="n">
        <v>65.43382696032849</v>
      </c>
      <c r="T139" s="1" t="n">
        <v>0</v>
      </c>
      <c r="U139" s="2">
        <f>S139*(1-T139)</f>
        <v>65.433826960328489</v>
      </c>
      <c r="V139" s="2">
        <f>S139*0.2</f>
        <v>13.086765392065699</v>
      </c>
      <c r="W139" s="2">
        <f>U139*0.3</f>
        <v>19.630148088098547</v>
      </c>
      <c r="X139" s="3" t="n">
        <v>2.9</v>
      </c>
      <c r="Y139" s="1" t="n">
        <v>0.8</v>
      </c>
      <c r="Z139" s="3">
        <f>Y139*X139</f>
        <v>2.3199999999999998</v>
      </c>
      <c r="AA139" s="3">
        <f>IF(I139&lt;&gt;"",X139/INDEX('energy battery'!$B$3:$D$6,MATCH('vehicles specifications'!$D139,'energy battery'!$A$3:$A$6,0),MATCH('vehicles specifications'!$I139,'energy battery'!$B$2:$D$2,0)),"")</f>
        <v>19.333333333333332</v>
      </c>
      <c r="AB139" s="3">
        <f>IF(AA139&lt;&gt;"",0.2*AA139,"")</f>
        <v>3.8666666666666667</v>
      </c>
      <c r="AC139" s="3">
        <f>IF(AA139&lt;&gt;"",AB139+AA139,"")</f>
        <v>23.2</v>
      </c>
      <c r="AD139" s="3" t="n">
        <v>1</v>
      </c>
      <c r="AE139" s="3" t="n">
        <v>0</v>
      </c>
      <c r="AF139">
        <f>AE139*'fuels and tailpipe emissions'!$B$3</f>
        <v>0</v>
      </c>
      <c r="AG139" t="n">
        <v>0</v>
      </c>
      <c r="AH139" s="3" t="n">
        <v>0</v>
      </c>
      <c r="AI139" s="3" t="n">
        <v>3</v>
      </c>
      <c r="AJ139" s="3" t="n">
        <v>1</v>
      </c>
      <c r="AK139">
        <f>J139/25000</f>
        <v>1</v>
      </c>
      <c r="AL139">
        <f>0.000537/1000*Q139</f>
        <v>1.1268984761654461E-4</v>
      </c>
      <c r="AM139" t="n">
        <v>0.00129</v>
      </c>
      <c r="AN139" s="2">
        <f>U139</f>
        <v>65.433826960328489</v>
      </c>
      <c r="AO139" s="2">
        <f>SUM(V139:W139)</f>
        <v>32.716913480164244</v>
      </c>
      <c r="AP139" s="2">
        <f>AC139</f>
        <v>23.2</v>
      </c>
      <c r="AQ139" s="6" t="inlineStr"/>
      <c r="AR139" s="20" t="n"/>
      <c r="AS139" s="6" t="n">
        <v>0.182</v>
      </c>
      <c r="AT139" s="2">
        <f>SUM(Z139,AG139)/(SUM(AQ139,AS139)/3.6)</f>
        <v>45.890109890109891</v>
      </c>
      <c r="AU139" s="5" t="n">
        <v>0</v>
      </c>
      <c r="AV139" s="5" t="n">
        <v>0</v>
      </c>
      <c r="AW139" s="7" t="n">
        <v>0</v>
      </c>
      <c r="AX139" s="7" t="n">
        <v>0</v>
      </c>
      <c r="AY139" s="7" t="n">
        <v>0</v>
      </c>
      <c r="AZ139" s="7" t="n">
        <v>0</v>
      </c>
      <c r="BA139" s="7" t="n">
        <v>0</v>
      </c>
      <c r="BB139" s="7" t="n">
        <v>0</v>
      </c>
      <c r="BC139" s="7" t="n">
        <v>0</v>
      </c>
      <c r="BD139" s="7" t="n">
        <v>0</v>
      </c>
      <c r="BE139" s="7" t="n">
        <v>0</v>
      </c>
      <c r="BF139" s="7" t="n">
        <v>0</v>
      </c>
      <c r="BG139" s="7" t="n">
        <v>0</v>
      </c>
      <c r="BH139" s="7" t="n">
        <v>0</v>
      </c>
      <c r="BI139" s="7" t="n">
        <v>0</v>
      </c>
      <c r="BJ139" s="7" t="n">
        <v>0</v>
      </c>
      <c r="BK139" s="7" t="n">
        <v>0</v>
      </c>
      <c r="BL139" s="7" t="n">
        <v>0</v>
      </c>
      <c r="BM139" s="7" t="n">
        <v>0</v>
      </c>
      <c r="BN139" s="7" t="n">
        <v>0</v>
      </c>
      <c r="BO139" s="7" t="n">
        <v>0</v>
      </c>
      <c r="BP139" s="7" t="n">
        <v>0</v>
      </c>
      <c r="BQ139" s="7" t="n">
        <v>0</v>
      </c>
      <c r="BR139" s="7" t="n">
        <v>0</v>
      </c>
      <c r="BS139" s="7" t="n">
        <v>0</v>
      </c>
      <c r="BT139" s="7" t="n">
        <v>0</v>
      </c>
      <c r="BU139" s="7" t="n">
        <v>0</v>
      </c>
      <c r="BV139" s="7" t="n">
        <v>0</v>
      </c>
      <c r="BW139" s="7" t="n">
        <v>0</v>
      </c>
      <c r="BX139" s="7" t="n">
        <v>0</v>
      </c>
      <c r="BY139" s="7" t="n">
        <v>0</v>
      </c>
      <c r="BZ139" s="7" t="n">
        <v>0</v>
      </c>
      <c r="CA139" s="7" t="n">
        <v>0</v>
      </c>
      <c r="CB139" s="7" t="n">
        <v>0</v>
      </c>
      <c r="CC139" s="7" t="n">
        <v>0</v>
      </c>
      <c r="CD139" s="7" t="n">
        <v>0</v>
      </c>
      <c r="CE139" s="7" t="n">
        <v>0</v>
      </c>
      <c r="CF139" s="7" t="n">
        <v>0</v>
      </c>
      <c r="CG139" s="7" t="n">
        <v>0</v>
      </c>
      <c r="CH139" s="7" t="n">
        <v>0</v>
      </c>
      <c r="CI139" s="7" t="n">
        <v>0</v>
      </c>
      <c r="CJ139" s="7" t="n">
        <v>0</v>
      </c>
      <c r="CK139" s="38">
        <f>VLOOKUP($B139,'abrasion emissions'!$O$7:$R$36,2,FALSE)</f>
        <v>0.33</v>
      </c>
      <c r="CL139" s="38">
        <f>VLOOKUP($B139,'abrasion emissions'!$O$7:$R$36,3,FALSE)</f>
        <v>0.33</v>
      </c>
      <c r="CM139" s="38">
        <f>VLOOKUP($B139,'abrasion emissions'!$O$7:$R$36,4,FALSE)</f>
        <v>0.33</v>
      </c>
      <c r="CN139" s="7">
        <f>((SUMIFS('abrasion emissions'!$M$7:$M$34,'abrasion emissions'!$I$7:$I$34,"PM 2.5",'abrasion emissions'!$J$7:$J$34,"urban",'abrasion emissions'!$K$7:$K$34,"Tyre",'abrasion emissions'!$L$7:$L$34,"b")*POWER(('vehicles specifications'!$Q139/1000),(1/SUMIFS('abrasion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specifications'!$P139/1000),(1/SUMIFS('abrasion emissions'!$M$7:$M$34,'abrasion emissions'!$I$7:$I$34,"PM 10",'abrasion emissions'!$J$7:$J$34,"urban",'abrasion emissions'!$K$7:$K$34,"Tyre",'abrasion emissions'!$L$7:$L$34,"c")))))/1000000</f>
        <v>6.4774177570386407E-6</v>
      </c>
      <c r="CO139" s="7">
        <f>((SUMIFS('abrasion emissions'!$M$7:$M$34,'abrasion emissions'!$I$7:$I$34,"PM 2.5",'abrasion emissions'!$J$7:$J$34,"rural",'abrasion emissions'!$K$7:$K$34,"Tyre",'abrasion emissions'!$L$7:$L$34,"b")*POWER(('vehicles specifications'!$Q139/1000),(1/SUMIFS('abrasion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specifications'!$P139/1000),(1/SUMIFS('abrasion emissions'!$M$7:$M$34,'abrasion emissions'!$I$7:$I$34,"PM 10",'abrasion emissions'!$J$7:$J$34,"rural",'abrasion emissions'!$K$7:$K$34,"Tyre",'abrasion emissions'!$L$7:$L$34,"c")))))/1000000</f>
        <v>5.0448213293738686E-6</v>
      </c>
      <c r="CP139" s="7">
        <f>((SUMIFS('abrasion emissions'!$M$7:$M$34,'abrasion emissions'!$I$7:$I$34,"PM 2.5",'abrasion emissions'!$J$7:$J$34,"motorway",'abrasion emissions'!$K$7:$K$34,"Tyre",'abrasion emissions'!$L$7:$L$34,"b")*POWER(('vehicles specifications'!$Q139/1000),(1/SUMIFS('abrasion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specifications'!$P139/1000),(1/SUMIFS('abrasion emissions'!$M$7:$M$34,'abrasion emissions'!$I$7:$I$34,"PM 10",'abrasion emissions'!$J$7:$J$34,"motorway",'abrasion emissions'!$K$7:$K$34,"Tyre",'abrasion emissions'!$L$7:$L$34,"c")))))/1000000</f>
        <v>4.308537037318392E-6</v>
      </c>
      <c r="CQ139" s="7">
        <f>((SUMIFS('abrasion emissions'!$M$7:$M$34,'abrasion emissions'!$I$7:$I$34,"PM 2.5",'abrasion emissions'!$J$7:$J$34,"urban",'abrasion emissions'!$K$7:$K$34,"Brake",'abrasion emissions'!$L$7:$L$34,"b")*POWER(('vehicles specifications'!$Q139/1000),(1/SUMIFS('abrasion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specifications'!$P139/1000),(1/SUMIFS('abrasion emissions'!$M$7:$M$34,'abrasion emissions'!$I$7:$I$34,"PM 10",'abrasion emissions'!$J$7:$J$34,"urban",'abrasion emissions'!$K$7:$K$34,"Brake",'abrasion emissions'!$L$7:$L$34,"c")))))/1000000</f>
        <v>6.2202878341434756E-6</v>
      </c>
      <c r="CR139" s="7">
        <f>((SUMIFS('abrasion emissions'!$M$7:$M$34,'abrasion emissions'!$I$7:$I$34,"PM 2.5",'abrasion emissions'!$J$7:$J$34,"rural",'abrasion emissions'!$K$7:$K$34,"Brake",'abrasion emissions'!$L$7:$L$34,"b")*POWER(('vehicles specifications'!$Q139/1000),(1/SUMIFS('abrasion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specifications'!$P139/1000),(1/SUMIFS('abrasion emissions'!$M$7:$M$34,'abrasion emissions'!$I$7:$I$34,"PM 10",'abrasion emissions'!$J$7:$J$34,"rural",'abrasion emissions'!$K$7:$K$34,"Brake",'abrasion emissions'!$L$7:$L$34,"c")))))/1000000</f>
        <v>2.0303045399135228E-6</v>
      </c>
      <c r="CS139" s="7">
        <f>((SUMIFS('abrasion emissions'!$M$7:$M$34,'abrasion emissions'!$I$7:$I$34,"PM 2.5",'abrasion emissions'!$J$7:$J$34,"motorway",'abrasion emissions'!$K$7:$K$34,"Brake",'abrasion emissions'!$L$7:$L$34,"b")*POWER(('vehicles specifications'!$Q139/1000),(1/SUMIFS('abrasion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specifications'!$P139/1000),(1/SUMIFS('abrasion emissions'!$M$7:$M$34,'abrasion emissions'!$I$7:$I$34,"PM 10",'abrasion emissions'!$J$7:$J$34,"motorway",'abrasion emissions'!$K$7:$K$34,"Brake",'abrasion emissions'!$L$7:$L$34,"c")))))/1000000</f>
        <v>3.7985231514588203E-7</v>
      </c>
      <c r="CT139" s="7">
        <f>((SUMIFS('abrasion emissions'!$M$7:$M$38,'abrasion emissions'!$I$7:$I$38,"PM 2.5",'abrasion emissions'!$K$7:$K$38,"Re-susp.",'abrasion emissions'!$L$7:$L$38,"b")*POWER(('vehicles specifications'!$Q139/1000),(1/SUMIFS('abrasion emissions'!$M$7:$M$38,'abrasion emissions'!$I$7:$I$38,"PM 2.5",'abrasion emissions'!$K$7:$K$38,"Re-susp.",'abrasion emissions'!$L$7:$L$38,"c"))))+
(SUMIFS('abrasion emissions'!$M$7:$M$38,'abrasion emissions'!$I$7:$I$38,"PM 10",'abrasion emissions'!$K$7:$K$38,"Re-susp.",'abrasion emissions'!$L$7:$L$38,"b")*POWER(('vehicles specifications'!$Q139/1000),(1/SUMIFS('abrasion emissions'!$M$7:$M$38,'abrasion emissions'!$I$7:$I$38,"PM 10",'abrasion emissions'!$K$7:$K$38,"Re-susp.",'abrasion emissions'!$L$7:$L$38,"c")))))/1000000</f>
        <v>3.9664214078116821E-6</v>
      </c>
      <c r="CU139" s="7">
        <f>((SUMIFS('abrasion emissions'!$M$7:$M$38,'abrasion emissions'!$I$7:$I$38,"PM 2.5",'abrasion emissions'!$K$7:$K$38,"Road",'abrasion emissions'!$L$7:$L$38,"b")*POWER(('vehicles specifications'!$Q139/1000),(1/SUMIFS('abrasion emissions'!$M$7:$M$38,'abrasion emissions'!$I$7:$I$38,"PM 2.5",'abrasion emissions'!$K$7:$K$38,"Road",'abrasion emissions'!$L$7:$L$38,"c"))))+
(SUMIFS('abrasion emissions'!$M$7:$M$38,'abrasion emissions'!$I$7:$I$38,"PM 10",'abrasion emissions'!$K$7:$K$38,"Road",'abrasion emissions'!$L$7:$L$38,"b")*POWER(('vehicles specifications'!$Q139/1000),(1/SUMIFS('abrasion emissions'!$M$7:$M$38,'abrasion emissions'!$I$7:$I$38,"PM 10",'abrasion emissions'!$K$7:$K$38,"Road",'abrasion emissions'!$L$7:$L$38,"c")))))/1000000+CT139</f>
        <v>7.5683948720314811E-6</v>
      </c>
      <c r="CV139" s="7">
        <f>(CK139*CN139)+(CL139*CO139)+(CM139*CP139)</f>
        <v>5.2241561208311976E-6</v>
      </c>
      <c r="CW139" s="7">
        <f>(CK139*CQ139)+(CL139*CR139)+(CM139*CS139)</f>
        <v>2.8480467474369508E-6</v>
      </c>
    </row>
    <row r="140">
      <c r="A140" t="str">
        <f>B140&amp;" - "&amp;D140&amp;" - "&amp;IF(I140&lt;&gt;"",I140&amp;" - "&amp;E140,E140)</f>
        <v>Motorbike, battery electric, 4-11kW - 2030 - LFP - CH</v>
      </c>
      <c r="B140" t="inlineStr">
        <is>
          <t>Motorbike, battery electric, 4-11kW</t>
        </is>
      </c>
      <c r="D140" s="18" t="n">
        <v>2030</v>
      </c>
      <c r="E140" t="inlineStr">
        <is>
          <t>CH</t>
        </is>
      </c>
      <c r="F140" t="inlineStr">
        <is>
          <t>None</t>
        </is>
      </c>
      <c r="G140" t="inlineStr">
        <is>
          <t>vkm</t>
        </is>
      </c>
      <c r="H140" t="inlineStr">
        <is>
          <t>BEV</t>
        </is>
      </c>
      <c r="I140" t="inlineStr">
        <is>
          <t>LFP</t>
        </is>
      </c>
      <c r="J140" t="n">
        <v>25000</v>
      </c>
      <c r="K140" t="n">
        <v>1776</v>
      </c>
      <c r="L140" s="2">
        <f>J140/K140</f>
        <v>14.076576576576576</v>
      </c>
      <c r="M140" t="n">
        <v>1.1</v>
      </c>
      <c r="N140" t="n">
        <v>75</v>
      </c>
      <c r="O140" t="n">
        <v>6</v>
      </c>
      <c r="P140" s="2">
        <f>SUM(U140,V140,W140,AC140,AF140,AH140)</f>
        <v>128.93215452237325</v>
      </c>
      <c r="Q140" s="2">
        <f>P140+(M140*N140)+O140</f>
        <v>217.43215452237325</v>
      </c>
      <c r="R140" t="n">
        <v>4.7</v>
      </c>
      <c r="S140" s="2" t="n">
        <v>65.43382696032849</v>
      </c>
      <c r="T140" s="1" t="n">
        <v>0.03</v>
      </c>
      <c r="U140" s="2">
        <f>S140*(1-T140)</f>
        <v>63.470812151518629</v>
      </c>
      <c r="V140" s="2">
        <f>S140*0.2</f>
        <v>13.086765392065699</v>
      </c>
      <c r="W140" s="2">
        <f>U140*0.3</f>
        <v>19.041243645455587</v>
      </c>
      <c r="X140" s="3" t="n">
        <v>5</v>
      </c>
      <c r="Y140" s="1" t="n">
        <v>0.8</v>
      </c>
      <c r="Z140" s="3">
        <f>Y140*X140</f>
        <v>4</v>
      </c>
      <c r="AA140" s="3">
        <f>IF(I140&lt;&gt;"",X140/INDEX('energy battery'!$B$3:$D$6,MATCH('vehicles specifications'!$D140,'energy battery'!$A$3:$A$6,0),MATCH('vehicles specifications'!$I140,'energy battery'!$B$2:$D$2,0)),"")</f>
        <v>27.777777777777779</v>
      </c>
      <c r="AB140" s="3">
        <f>IF(AA140&lt;&gt;"",0.2*AA140,"")</f>
        <v>5.5555555555555562</v>
      </c>
      <c r="AC140" s="3">
        <f>IF(AA140&lt;&gt;"",AB140+AA140,"")</f>
        <v>33.333333333333336</v>
      </c>
      <c r="AD140" s="3" t="n">
        <v>0.5</v>
      </c>
      <c r="AE140" s="3" t="n">
        <v>0</v>
      </c>
      <c r="AF140">
        <f>AE140*'fuels and tailpipe emissions'!$B$3</f>
        <v>0</v>
      </c>
      <c r="AG140" t="n">
        <v>0</v>
      </c>
      <c r="AH140" s="3" t="n">
        <v>0</v>
      </c>
      <c r="AI140" s="3" t="n">
        <v>3</v>
      </c>
      <c r="AJ140" s="3" t="n">
        <v>1</v>
      </c>
      <c r="AK140">
        <f>J140/25000</f>
        <v>1</v>
      </c>
      <c r="AL140">
        <f>0.000537/1000*Q140</f>
        <v>1.1676106697851444E-4</v>
      </c>
      <c r="AM140" t="n">
        <v>0.00129</v>
      </c>
      <c r="AN140" s="2">
        <f>U140</f>
        <v>63.470812151518629</v>
      </c>
      <c r="AO140" s="2">
        <f>SUM(V140:W140)</f>
        <v>32.128009037521288</v>
      </c>
      <c r="AP140" s="2">
        <f>AC140</f>
        <v>33.333333333333336</v>
      </c>
      <c r="AQ140" s="6" t="inlineStr"/>
      <c r="AR140" s="20" t="n"/>
      <c r="AS140" s="6" t="n">
        <v>0.182</v>
      </c>
      <c r="AT140" s="2">
        <f>SUM(Z140,AG140)/(SUM(AQ140,AS140)/3.6)</f>
        <v>79.120879120879124</v>
      </c>
      <c r="AU140" s="5" t="n">
        <v>0</v>
      </c>
      <c r="AV140" s="5" t="n">
        <v>0</v>
      </c>
      <c r="AW140" s="7" t="n">
        <v>0</v>
      </c>
      <c r="AX140" s="7" t="n">
        <v>0</v>
      </c>
      <c r="AY140" s="7" t="n">
        <v>0</v>
      </c>
      <c r="AZ140" s="7" t="n">
        <v>0</v>
      </c>
      <c r="BA140" s="7" t="n">
        <v>0</v>
      </c>
      <c r="BB140" s="7" t="n">
        <v>0</v>
      </c>
      <c r="BC140" s="7" t="n">
        <v>0</v>
      </c>
      <c r="BD140" s="7" t="n">
        <v>0</v>
      </c>
      <c r="BE140" s="7" t="n">
        <v>0</v>
      </c>
      <c r="BF140" s="7" t="n">
        <v>0</v>
      </c>
      <c r="BG140" s="7" t="n">
        <v>0</v>
      </c>
      <c r="BH140" s="7" t="n">
        <v>0</v>
      </c>
      <c r="BI140" s="7" t="n">
        <v>0</v>
      </c>
      <c r="BJ140" s="7" t="n">
        <v>0</v>
      </c>
      <c r="BK140" s="7" t="n">
        <v>0</v>
      </c>
      <c r="BL140" s="7" t="n">
        <v>0</v>
      </c>
      <c r="BM140" s="7" t="n">
        <v>0</v>
      </c>
      <c r="BN140" s="7" t="n">
        <v>0</v>
      </c>
      <c r="BO140" s="7" t="n">
        <v>0</v>
      </c>
      <c r="BP140" s="7" t="n">
        <v>0</v>
      </c>
      <c r="BQ140" s="7" t="n">
        <v>0</v>
      </c>
      <c r="BR140" s="7" t="n">
        <v>0</v>
      </c>
      <c r="BS140" s="7" t="n">
        <v>0</v>
      </c>
      <c r="BT140" s="7" t="n">
        <v>0</v>
      </c>
      <c r="BU140" s="7" t="n">
        <v>0</v>
      </c>
      <c r="BV140" s="7" t="n">
        <v>0</v>
      </c>
      <c r="BW140" s="7" t="n">
        <v>0</v>
      </c>
      <c r="BX140" s="7" t="n">
        <v>0</v>
      </c>
      <c r="BY140" s="7" t="n">
        <v>0</v>
      </c>
      <c r="BZ140" s="7" t="n">
        <v>0</v>
      </c>
      <c r="CA140" s="7" t="n">
        <v>0</v>
      </c>
      <c r="CB140" s="7" t="n">
        <v>0</v>
      </c>
      <c r="CC140" s="7" t="n">
        <v>0</v>
      </c>
      <c r="CD140" s="7" t="n">
        <v>0</v>
      </c>
      <c r="CE140" s="7" t="n">
        <v>0</v>
      </c>
      <c r="CF140" s="7" t="n">
        <v>0</v>
      </c>
      <c r="CG140" s="7" t="n">
        <v>0</v>
      </c>
      <c r="CH140" s="7" t="n">
        <v>0</v>
      </c>
      <c r="CI140" s="7" t="n">
        <v>0</v>
      </c>
      <c r="CJ140" s="7" t="n">
        <v>0</v>
      </c>
      <c r="CK140" s="38">
        <f>VLOOKUP($B140,'abrasion emissions'!$O$7:$R$36,2,FALSE)</f>
        <v>0.33</v>
      </c>
      <c r="CL140" s="38">
        <f>VLOOKUP($B140,'abrasion emissions'!$O$7:$R$36,3,FALSE)</f>
        <v>0.33</v>
      </c>
      <c r="CM140" s="38">
        <f>VLOOKUP($B140,'abrasion emissions'!$O$7:$R$36,4,FALSE)</f>
        <v>0.33</v>
      </c>
      <c r="CN140" s="7">
        <f>((SUMIFS('abrasion emissions'!$M$7:$M$34,'abrasion emissions'!$I$7:$I$34,"PM 2.5",'abrasion emissions'!$J$7:$J$34,"urban",'abrasion emissions'!$K$7:$K$34,"Tyre",'abrasion emissions'!$L$7:$L$34,"b")*POWER(('vehicles specifications'!$Q140/1000),(1/SUMIFS('abrasion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specifications'!$P140/1000),(1/SUMIFS('abrasion emissions'!$M$7:$M$34,'abrasion emissions'!$I$7:$I$34,"PM 10",'abrasion emissions'!$J$7:$J$34,"urban",'abrasion emissions'!$K$7:$K$34,"Tyre",'abrasion emissions'!$L$7:$L$34,"c")))))/1000000</f>
        <v>6.6039893543184199E-6</v>
      </c>
      <c r="CO140" s="7">
        <f>((SUMIFS('abrasion emissions'!$M$7:$M$34,'abrasion emissions'!$I$7:$I$34,"PM 2.5",'abrasion emissions'!$J$7:$J$34,"rural",'abrasion emissions'!$K$7:$K$34,"Tyre",'abrasion emissions'!$L$7:$L$34,"b")*POWER(('vehicles specifications'!$Q140/1000),(1/SUMIFS('abrasion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specifications'!$P140/1000),(1/SUMIFS('abrasion emissions'!$M$7:$M$34,'abrasion emissions'!$I$7:$I$34,"PM 10",'abrasion emissions'!$J$7:$J$34,"rural",'abrasion emissions'!$K$7:$K$34,"Tyre",'abrasion emissions'!$L$7:$L$34,"c")))))/1000000</f>
        <v>5.1433225956115394E-6</v>
      </c>
      <c r="CP140" s="7">
        <f>((SUMIFS('abrasion emissions'!$M$7:$M$34,'abrasion emissions'!$I$7:$I$34,"PM 2.5",'abrasion emissions'!$J$7:$J$34,"motorway",'abrasion emissions'!$K$7:$K$34,"Tyre",'abrasion emissions'!$L$7:$L$34,"b")*POWER(('vehicles specifications'!$Q140/1000),(1/SUMIFS('abrasion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specifications'!$P140/1000),(1/SUMIFS('abrasion emissions'!$M$7:$M$34,'abrasion emissions'!$I$7:$I$34,"PM 10",'abrasion emissions'!$J$7:$J$34,"motorway",'abrasion emissions'!$K$7:$K$34,"Tyre",'abrasion emissions'!$L$7:$L$34,"c")))))/1000000</f>
        <v>4.3924695381618995E-6</v>
      </c>
      <c r="CQ140" s="7">
        <f>((SUMIFS('abrasion emissions'!$M$7:$M$34,'abrasion emissions'!$I$7:$I$34,"PM 2.5",'abrasion emissions'!$J$7:$J$34,"urban",'abrasion emissions'!$K$7:$K$34,"Brake",'abrasion emissions'!$L$7:$L$34,"b")*POWER(('vehicles specifications'!$Q140/1000),(1/SUMIFS('abrasion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specifications'!$P140/1000),(1/SUMIFS('abrasion emissions'!$M$7:$M$34,'abrasion emissions'!$I$7:$I$34,"PM 10",'abrasion emissions'!$J$7:$J$34,"urban",'abrasion emissions'!$K$7:$K$34,"Brake",'abrasion emissions'!$L$7:$L$34,"c")))))/1000000</f>
        <v>6.3563305820999226E-6</v>
      </c>
      <c r="CR140" s="7">
        <f>((SUMIFS('abrasion emissions'!$M$7:$M$34,'abrasion emissions'!$I$7:$I$34,"PM 2.5",'abrasion emissions'!$J$7:$J$34,"rural",'abrasion emissions'!$K$7:$K$34,"Brake",'abrasion emissions'!$L$7:$L$34,"b")*POWER(('vehicles specifications'!$Q140/1000),(1/SUMIFS('abrasion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specifications'!$P140/1000),(1/SUMIFS('abrasion emissions'!$M$7:$M$34,'abrasion emissions'!$I$7:$I$34,"PM 10",'abrasion emissions'!$J$7:$J$34,"rural",'abrasion emissions'!$K$7:$K$34,"Brake",'abrasion emissions'!$L$7:$L$34,"c")))))/1000000</f>
        <v>2.0865412550599154E-6</v>
      </c>
      <c r="CS140" s="7">
        <f>((SUMIFS('abrasion emissions'!$M$7:$M$34,'abrasion emissions'!$I$7:$I$34,"PM 2.5",'abrasion emissions'!$J$7:$J$34,"motorway",'abrasion emissions'!$K$7:$K$34,"Brake",'abrasion emissions'!$L$7:$L$34,"b")*POWER(('vehicles specifications'!$Q140/1000),(1/SUMIFS('abrasion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specifications'!$P140/1000),(1/SUMIFS('abrasion emissions'!$M$7:$M$34,'abrasion emissions'!$I$7:$I$34,"PM 10",'abrasion emissions'!$J$7:$J$34,"motorway",'abrasion emissions'!$K$7:$K$34,"Brake",'abrasion emissions'!$L$7:$L$34,"c")))))/1000000</f>
        <v>3.9194813948317098E-7</v>
      </c>
      <c r="CT140" s="7">
        <f>((SUMIFS('abrasion emissions'!$M$7:$M$38,'abrasion emissions'!$I$7:$I$38,"PM 2.5",'abrasion emissions'!$K$7:$K$38,"Re-susp.",'abrasion emissions'!$L$7:$L$38,"b")*POWER(('vehicles specifications'!$Q140/1000),(1/SUMIFS('abrasion emissions'!$M$7:$M$38,'abrasion emissions'!$I$7:$I$38,"PM 2.5",'abrasion emissions'!$K$7:$K$38,"Re-susp.",'abrasion emissions'!$L$7:$L$38,"c"))))+
(SUMIFS('abrasion emissions'!$M$7:$M$38,'abrasion emissions'!$I$7:$I$38,"PM 10",'abrasion emissions'!$K$7:$K$38,"Re-susp.",'abrasion emissions'!$L$7:$L$38,"b")*POWER(('vehicles specifications'!$Q140/1000),(1/SUMIFS('abrasion emissions'!$M$7:$M$38,'abrasion emissions'!$I$7:$I$38,"PM 10",'abrasion emissions'!$K$7:$K$38,"Re-susp.",'abrasion emissions'!$L$7:$L$38,"c")))))/1000000</f>
        <v>4.0964806806100804E-6</v>
      </c>
      <c r="CU140" s="7">
        <f>((SUMIFS('abrasion emissions'!$M$7:$M$38,'abrasion emissions'!$I$7:$I$38,"PM 2.5",'abrasion emissions'!$K$7:$K$38,"Road",'abrasion emissions'!$L$7:$L$38,"b")*POWER(('vehicles specifications'!$Q140/1000),(1/SUMIFS('abrasion emissions'!$M$7:$M$38,'abrasion emissions'!$I$7:$I$38,"PM 2.5",'abrasion emissions'!$K$7:$K$38,"Road",'abrasion emissions'!$L$7:$L$38,"c"))))+
(SUMIFS('abrasion emissions'!$M$7:$M$38,'abrasion emissions'!$I$7:$I$38,"PM 10",'abrasion emissions'!$K$7:$K$38,"Road",'abrasion emissions'!$L$7:$L$38,"b")*POWER(('vehicles specifications'!$Q140/1000),(1/SUMIFS('abrasion emissions'!$M$7:$M$38,'abrasion emissions'!$I$7:$I$38,"PM 10",'abrasion emissions'!$K$7:$K$38,"Road",'abrasion emissions'!$L$7:$L$38,"c")))))/1000000+CT140</f>
        <v>7.7846938815666578E-6</v>
      </c>
      <c r="CV140" s="7">
        <f>(CK140*CN140)+(CL140*CO140)+(CM140*CP140)</f>
        <v>5.3261278910703132E-6</v>
      </c>
      <c r="CW140" s="7">
        <f>(CK140*CQ140)+(CL140*CR140)+(CM140*CS140)</f>
        <v>2.915490592292193E-6</v>
      </c>
    </row>
    <row r="141">
      <c r="A141" t="str">
        <f>B141&amp;" - "&amp;D141&amp;" - "&amp;IF(I141&lt;&gt;"",I141&amp;" - "&amp;E141,E141)</f>
        <v>Motorbike, battery electric, 4-11kW - 2040 - LFP - CH</v>
      </c>
      <c r="B141" t="inlineStr">
        <is>
          <t>Motorbike, battery electric, 4-11kW</t>
        </is>
      </c>
      <c r="D141" s="18" t="n">
        <v>2040</v>
      </c>
      <c r="E141" t="inlineStr">
        <is>
          <t>CH</t>
        </is>
      </c>
      <c r="F141" t="inlineStr">
        <is>
          <t>None</t>
        </is>
      </c>
      <c r="G141" t="inlineStr">
        <is>
          <t>vkm</t>
        </is>
      </c>
      <c r="H141" t="inlineStr">
        <is>
          <t>BEV</t>
        </is>
      </c>
      <c r="I141" t="inlineStr">
        <is>
          <t>LFP</t>
        </is>
      </c>
      <c r="J141" t="n">
        <v>25000</v>
      </c>
      <c r="K141" t="n">
        <v>1776</v>
      </c>
      <c r="L141" s="2">
        <f>J141/K141</f>
        <v>14.076576576576576</v>
      </c>
      <c r="M141" t="n">
        <v>1.1</v>
      </c>
      <c r="N141" t="n">
        <v>75</v>
      </c>
      <c r="O141" t="n">
        <v>6</v>
      </c>
      <c r="P141" s="2">
        <f>SUM(U141,V141,W141,AC141,AF141,AH141)</f>
        <v>140.56420835473804</v>
      </c>
      <c r="Q141" s="2">
        <f>P141+(M141*N141)+O141</f>
        <v>229.06420835473804</v>
      </c>
      <c r="R141" t="n">
        <v>4.7</v>
      </c>
      <c r="S141" s="2" t="n">
        <v>65.43382696032849</v>
      </c>
      <c r="T141" s="1" t="n">
        <v>0.05</v>
      </c>
      <c r="U141" s="2">
        <f>S141*(1-T141)</f>
        <v>62.162135612312063</v>
      </c>
      <c r="V141" s="2">
        <f>S141*0.2</f>
        <v>13.086765392065699</v>
      </c>
      <c r="W141" s="2">
        <f>U141*0.3</f>
        <v>18.648640683693618</v>
      </c>
      <c r="X141" s="3" t="n">
        <v>7</v>
      </c>
      <c r="Y141" s="1" t="n">
        <v>0.8</v>
      </c>
      <c r="Z141" s="3">
        <f>Y141*X141</f>
        <v>5.6000000000000005</v>
      </c>
      <c r="AA141" s="3">
        <f>IF(I141&lt;&gt;"",X141/INDEX('energy battery'!$B$3:$D$6,MATCH('vehicles specifications'!$D141,'energy battery'!$A$3:$A$6,0),MATCH('vehicles specifications'!$I141,'energy battery'!$B$2:$D$2,0)),"")</f>
        <v>38.888888888888893</v>
      </c>
      <c r="AB141" s="3">
        <f>IF(AA141&lt;&gt;"",0.2*AA141,"")</f>
        <v>7.7777777777777786</v>
      </c>
      <c r="AC141" s="3">
        <f>IF(AA141&lt;&gt;"",AB141+AA141,"")</f>
        <v>46.666666666666671</v>
      </c>
      <c r="AD141" s="3" t="n">
        <v>0.25</v>
      </c>
      <c r="AE141" s="3" t="n">
        <v>0</v>
      </c>
      <c r="AF141">
        <f>AE141*'fuels and tailpipe emissions'!$B$3</f>
        <v>0</v>
      </c>
      <c r="AG141" t="n">
        <v>0</v>
      </c>
      <c r="AH141" s="3" t="n">
        <v>0</v>
      </c>
      <c r="AI141" s="3" t="n">
        <v>3</v>
      </c>
      <c r="AJ141" s="3" t="n">
        <v>1</v>
      </c>
      <c r="AK141">
        <f>J141/25000</f>
        <v>1</v>
      </c>
      <c r="AL141">
        <f>0.000537/1000*Q141</f>
        <v>1.2300747988649432E-4</v>
      </c>
      <c r="AM141" t="n">
        <v>0.00129</v>
      </c>
      <c r="AN141" s="2">
        <f>U141</f>
        <v>62.162135612312063</v>
      </c>
      <c r="AO141" s="2">
        <f>SUM(V141:W141)</f>
        <v>31.735406075759315</v>
      </c>
      <c r="AP141" s="2">
        <f>AC141</f>
        <v>46.666666666666671</v>
      </c>
      <c r="AQ141" s="6" t="inlineStr"/>
      <c r="AR141" s="20" t="n"/>
      <c r="AS141" s="6" t="n">
        <v>0.182</v>
      </c>
      <c r="AT141" s="2">
        <f>SUM(Z141,AG141)/(SUM(AQ141,AS141)/3.6)</f>
        <v>110.76923076923079</v>
      </c>
      <c r="AU141" s="5" t="n">
        <v>0</v>
      </c>
      <c r="AV141" s="5" t="n">
        <v>0</v>
      </c>
      <c r="AW141" s="7" t="n">
        <v>0</v>
      </c>
      <c r="AX141" s="7" t="n">
        <v>0</v>
      </c>
      <c r="AY141" s="7" t="n">
        <v>0</v>
      </c>
      <c r="AZ141" s="7" t="n">
        <v>0</v>
      </c>
      <c r="BA141" s="7" t="n">
        <v>0</v>
      </c>
      <c r="BB141" s="7" t="n">
        <v>0</v>
      </c>
      <c r="BC141" s="7" t="n">
        <v>0</v>
      </c>
      <c r="BD141" s="7" t="n">
        <v>0</v>
      </c>
      <c r="BE141" s="7" t="n">
        <v>0</v>
      </c>
      <c r="BF141" s="7" t="n">
        <v>0</v>
      </c>
      <c r="BG141" s="7" t="n">
        <v>0</v>
      </c>
      <c r="BH141" s="7" t="n">
        <v>0</v>
      </c>
      <c r="BI141" s="7" t="n">
        <v>0</v>
      </c>
      <c r="BJ141" s="7" t="n">
        <v>0</v>
      </c>
      <c r="BK141" s="7" t="n">
        <v>0</v>
      </c>
      <c r="BL141" s="7" t="n">
        <v>0</v>
      </c>
      <c r="BM141" s="7" t="n">
        <v>0</v>
      </c>
      <c r="BN141" s="7" t="n">
        <v>0</v>
      </c>
      <c r="BO141" s="7" t="n">
        <v>0</v>
      </c>
      <c r="BP141" s="7" t="n">
        <v>0</v>
      </c>
      <c r="BQ141" s="7" t="n">
        <v>0</v>
      </c>
      <c r="BR141" s="7" t="n">
        <v>0</v>
      </c>
      <c r="BS141" s="7" t="n">
        <v>0</v>
      </c>
      <c r="BT141" s="7" t="n">
        <v>0</v>
      </c>
      <c r="BU141" s="7" t="n">
        <v>0</v>
      </c>
      <c r="BV141" s="7" t="n">
        <v>0</v>
      </c>
      <c r="BW141" s="7" t="n">
        <v>0</v>
      </c>
      <c r="BX141" s="7" t="n">
        <v>0</v>
      </c>
      <c r="BY141" s="7" t="n">
        <v>0</v>
      </c>
      <c r="BZ141" s="7" t="n">
        <v>0</v>
      </c>
      <c r="CA141" s="7" t="n">
        <v>0</v>
      </c>
      <c r="CB141" s="7" t="n">
        <v>0</v>
      </c>
      <c r="CC141" s="7" t="n">
        <v>0</v>
      </c>
      <c r="CD141" s="7" t="n">
        <v>0</v>
      </c>
      <c r="CE141" s="7" t="n">
        <v>0</v>
      </c>
      <c r="CF141" s="7" t="n">
        <v>0</v>
      </c>
      <c r="CG141" s="7" t="n">
        <v>0</v>
      </c>
      <c r="CH141" s="7" t="n">
        <v>0</v>
      </c>
      <c r="CI141" s="7" t="n">
        <v>0</v>
      </c>
      <c r="CJ141" s="7" t="n">
        <v>0</v>
      </c>
      <c r="CK141" s="38">
        <f>VLOOKUP($B141,'abrasion emissions'!$O$7:$R$36,2,FALSE)</f>
        <v>0.33</v>
      </c>
      <c r="CL141" s="38">
        <f>VLOOKUP($B141,'abrasion emissions'!$O$7:$R$36,3,FALSE)</f>
        <v>0.33</v>
      </c>
      <c r="CM141" s="38">
        <f>VLOOKUP($B141,'abrasion emissions'!$O$7:$R$36,4,FALSE)</f>
        <v>0.33</v>
      </c>
      <c r="CN141" s="7">
        <f>((SUMIFS('abrasion emissions'!$M$7:$M$34,'abrasion emissions'!$I$7:$I$34,"PM 2.5",'abrasion emissions'!$J$7:$J$34,"urban",'abrasion emissions'!$K$7:$K$34,"Tyre",'abrasion emissions'!$L$7:$L$34,"b")*POWER(('vehicles specifications'!$Q141/1000),(1/SUMIFS('abrasion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specifications'!$P141/1000),(1/SUMIFS('abrasion emissions'!$M$7:$M$34,'abrasion emissions'!$I$7:$I$34,"PM 10",'abrasion emissions'!$J$7:$J$34,"urban",'abrasion emissions'!$K$7:$K$34,"Tyre",'abrasion emissions'!$L$7:$L$34,"c")))))/1000000</f>
        <v>6.7918793821858196E-6</v>
      </c>
      <c r="CO141" s="7">
        <f>((SUMIFS('abrasion emissions'!$M$7:$M$34,'abrasion emissions'!$I$7:$I$34,"PM 2.5",'abrasion emissions'!$J$7:$J$34,"rural",'abrasion emissions'!$K$7:$K$34,"Tyre",'abrasion emissions'!$L$7:$L$34,"b")*POWER(('vehicles specifications'!$Q141/1000),(1/SUMIFS('abrasion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specifications'!$P141/1000),(1/SUMIFS('abrasion emissions'!$M$7:$M$34,'abrasion emissions'!$I$7:$I$34,"PM 10",'abrasion emissions'!$J$7:$J$34,"rural",'abrasion emissions'!$K$7:$K$34,"Tyre",'abrasion emissions'!$L$7:$L$34,"c")))))/1000000</f>
        <v>5.2895470991237521E-6</v>
      </c>
      <c r="CP141" s="7">
        <f>((SUMIFS('abrasion emissions'!$M$7:$M$34,'abrasion emissions'!$I$7:$I$34,"PM 2.5",'abrasion emissions'!$J$7:$J$34,"motorway",'abrasion emissions'!$K$7:$K$34,"Tyre",'abrasion emissions'!$L$7:$L$34,"b")*POWER(('vehicles specifications'!$Q141/1000),(1/SUMIFS('abrasion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specifications'!$P141/1000),(1/SUMIFS('abrasion emissions'!$M$7:$M$34,'abrasion emissions'!$I$7:$I$34,"PM 10",'abrasion emissions'!$J$7:$J$34,"motorway",'abrasion emissions'!$K$7:$K$34,"Tyre",'abrasion emissions'!$L$7:$L$34,"c")))))/1000000</f>
        <v>4.5170759955076088E-6</v>
      </c>
      <c r="CQ141" s="7">
        <f>((SUMIFS('abrasion emissions'!$M$7:$M$34,'abrasion emissions'!$I$7:$I$34,"PM 2.5",'abrasion emissions'!$J$7:$J$34,"urban",'abrasion emissions'!$K$7:$K$34,"Brake",'abrasion emissions'!$L$7:$L$34,"b")*POWER(('vehicles specifications'!$Q141/1000),(1/SUMIFS('abrasion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specifications'!$P141/1000),(1/SUMIFS('abrasion emissions'!$M$7:$M$34,'abrasion emissions'!$I$7:$I$34,"PM 10",'abrasion emissions'!$J$7:$J$34,"urban",'abrasion emissions'!$K$7:$K$34,"Brake",'abrasion emissions'!$L$7:$L$34,"c")))))/1000000</f>
        <v>6.559817853226958E-6</v>
      </c>
      <c r="CR141" s="7">
        <f>((SUMIFS('abrasion emissions'!$M$7:$M$34,'abrasion emissions'!$I$7:$I$34,"PM 2.5",'abrasion emissions'!$J$7:$J$34,"rural",'abrasion emissions'!$K$7:$K$34,"Brake",'abrasion emissions'!$L$7:$L$34,"b")*POWER(('vehicles specifications'!$Q141/1000),(1/SUMIFS('abrasion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specifications'!$P141/1000),(1/SUMIFS('abrasion emissions'!$M$7:$M$34,'abrasion emissions'!$I$7:$I$34,"PM 10",'abrasion emissions'!$J$7:$J$34,"rural",'abrasion emissions'!$K$7:$K$34,"Brake",'abrasion emissions'!$L$7:$L$34,"c")))))/1000000</f>
        <v>2.1712986159879581E-6</v>
      </c>
      <c r="CS141" s="7">
        <f>((SUMIFS('abrasion emissions'!$M$7:$M$34,'abrasion emissions'!$I$7:$I$34,"PM 2.5",'abrasion emissions'!$J$7:$J$34,"motorway",'abrasion emissions'!$K$7:$K$34,"Brake",'abrasion emissions'!$L$7:$L$34,"b")*POWER(('vehicles specifications'!$Q141/1000),(1/SUMIFS('abrasion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specifications'!$P141/1000),(1/SUMIFS('abrasion emissions'!$M$7:$M$34,'abrasion emissions'!$I$7:$I$34,"PM 10",'abrasion emissions'!$J$7:$J$34,"motorway",'abrasion emissions'!$K$7:$K$34,"Brake",'abrasion emissions'!$L$7:$L$34,"c")))))/1000000</f>
        <v>4.1028017789147639E-7</v>
      </c>
      <c r="CT141" s="7">
        <f>((SUMIFS('abrasion emissions'!$M$7:$M$38,'abrasion emissions'!$I$7:$I$38,"PM 2.5",'abrasion emissions'!$K$7:$K$38,"Re-susp.",'abrasion emissions'!$L$7:$L$38,"b")*POWER(('vehicles specifications'!$Q141/1000),(1/SUMIFS('abrasion emissions'!$M$7:$M$38,'abrasion emissions'!$I$7:$I$38,"PM 2.5",'abrasion emissions'!$K$7:$K$38,"Re-susp.",'abrasion emissions'!$L$7:$L$38,"c"))))+
(SUMIFS('abrasion emissions'!$M$7:$M$38,'abrasion emissions'!$I$7:$I$38,"PM 10",'abrasion emissions'!$K$7:$K$38,"Re-susp.",'abrasion emissions'!$L$7:$L$38,"b")*POWER(('vehicles specifications'!$Q141/1000),(1/SUMIFS('abrasion emissions'!$M$7:$M$38,'abrasion emissions'!$I$7:$I$38,"PM 10",'abrasion emissions'!$K$7:$K$38,"Re-susp.",'abrasion emissions'!$L$7:$L$38,"c")))))/1000000</f>
        <v>4.2952336091898652E-6</v>
      </c>
      <c r="CU141" s="7">
        <f>((SUMIFS('abrasion emissions'!$M$7:$M$38,'abrasion emissions'!$I$7:$I$38,"PM 2.5",'abrasion emissions'!$K$7:$K$38,"Road",'abrasion emissions'!$L$7:$L$38,"b")*POWER(('vehicles specifications'!$Q141/1000),(1/SUMIFS('abrasion emissions'!$M$7:$M$38,'abrasion emissions'!$I$7:$I$38,"PM 2.5",'abrasion emissions'!$K$7:$K$38,"Road",'abrasion emissions'!$L$7:$L$38,"c"))))+
(SUMIFS('abrasion emissions'!$M$7:$M$38,'abrasion emissions'!$I$7:$I$38,"PM 10",'abrasion emissions'!$K$7:$K$38,"Road",'abrasion emissions'!$L$7:$L$38,"b")*POWER(('vehicles specifications'!$Q141/1000),(1/SUMIFS('abrasion emissions'!$M$7:$M$38,'abrasion emissions'!$I$7:$I$38,"PM 10",'abrasion emissions'!$K$7:$K$38,"Road",'abrasion emissions'!$L$7:$L$38,"c")))))/1000000+CT141</f>
        <v>8.1138408813116197E-6</v>
      </c>
      <c r="CV141" s="7">
        <f>(CK141*CN141)+(CL141*CO141)+(CM141*CP141)</f>
        <v>5.4775058173496703E-6</v>
      </c>
      <c r="CW141" s="7">
        <f>(CK141*CQ141)+(CL141*CR141)+(CM141*CS141)</f>
        <v>3.0166608935451095E-6</v>
      </c>
    </row>
    <row r="142">
      <c r="A142" t="str">
        <f>B142&amp;" - "&amp;D142&amp;" - "&amp;IF(I142&lt;&gt;"",I142&amp;" - "&amp;E142,E142)</f>
        <v>Motorbike, battery electric, 4-11kW - 2050 - LFP - CH</v>
      </c>
      <c r="B142" t="inlineStr">
        <is>
          <t>Motorbike, battery electric, 4-11kW</t>
        </is>
      </c>
      <c r="D142" s="18" t="n">
        <v>2050</v>
      </c>
      <c r="E142" t="inlineStr">
        <is>
          <t>CH</t>
        </is>
      </c>
      <c r="F142" t="inlineStr">
        <is>
          <t>None</t>
        </is>
      </c>
      <c r="G142" t="inlineStr">
        <is>
          <t>vkm</t>
        </is>
      </c>
      <c r="H142" t="inlineStr">
        <is>
          <t>BEV</t>
        </is>
      </c>
      <c r="I142" t="inlineStr">
        <is>
          <t>LFP</t>
        </is>
      </c>
      <c r="J142" t="n">
        <v>25000</v>
      </c>
      <c r="K142" t="n">
        <v>1776</v>
      </c>
      <c r="L142" s="2">
        <f>J142/K142</f>
        <v>14.076576576576576</v>
      </c>
      <c r="M142" t="n">
        <v>1.1</v>
      </c>
      <c r="N142" t="n">
        <v>75</v>
      </c>
      <c r="O142" t="n">
        <v>6</v>
      </c>
      <c r="P142" s="2">
        <f>SUM(U142,V142,W142,AC142,AF142,AH142)</f>
        <v>149.19626218710283</v>
      </c>
      <c r="Q142" s="2">
        <f>P142+(M142*N142)+O142</f>
        <v>237.69626218710283</v>
      </c>
      <c r="R142" t="n">
        <v>4.7</v>
      </c>
      <c r="S142" s="2" t="n">
        <v>65.43382696032849</v>
      </c>
      <c r="T142" s="1" t="n">
        <v>0.07000000000000001</v>
      </c>
      <c r="U142" s="2">
        <f>S142*(1-T142)</f>
        <v>60.853459073105491</v>
      </c>
      <c r="V142" s="2">
        <f>S142*0.2</f>
        <v>13.086765392065699</v>
      </c>
      <c r="W142" s="2">
        <f>U142*0.3</f>
        <v>18.256037721931648</v>
      </c>
      <c r="X142" s="3" t="n">
        <v>9.5</v>
      </c>
      <c r="Y142" s="1" t="n">
        <v>0.8</v>
      </c>
      <c r="Z142" s="3">
        <f>Y142*X142</f>
        <v>7.6000000000000005</v>
      </c>
      <c r="AA142" s="3">
        <f>IF(I142&lt;&gt;"",X142/INDEX('energy battery'!$B$3:$D$6,MATCH('vehicles specifications'!$D142,'energy battery'!$A$3:$A$6,0),MATCH('vehicles specifications'!$I142,'energy battery'!$B$2:$D$2,0)),"")</f>
        <v>47.5</v>
      </c>
      <c r="AB142" s="3">
        <f>IF(AA142&lt;&gt;"",0.2*AA142,"")</f>
        <v>9.5</v>
      </c>
      <c r="AC142" s="3">
        <f>IF(AA142&lt;&gt;"",AB142+AA142,"")</f>
        <v>57</v>
      </c>
      <c r="AD142" s="3" t="n">
        <v>0</v>
      </c>
      <c r="AE142" s="3" t="n">
        <v>0</v>
      </c>
      <c r="AF142">
        <f>AE142*'fuels and tailpipe emissions'!$B$3</f>
        <v>0</v>
      </c>
      <c r="AG142" t="n">
        <v>0</v>
      </c>
      <c r="AH142" s="3" t="n">
        <v>0</v>
      </c>
      <c r="AI142" s="3" t="n">
        <v>3</v>
      </c>
      <c r="AJ142" s="3" t="n">
        <v>1</v>
      </c>
      <c r="AK142">
        <f>J142/25000</f>
        <v>1</v>
      </c>
      <c r="AL142">
        <f>0.000537/1000*Q142</f>
        <v>1.2764289279447422E-4</v>
      </c>
      <c r="AM142" t="n">
        <v>0.00129</v>
      </c>
      <c r="AN142" s="2">
        <f>U142</f>
        <v>60.853459073105491</v>
      </c>
      <c r="AO142" s="2">
        <f>SUM(V142:W142)</f>
        <v>31.342803113997348</v>
      </c>
      <c r="AP142" s="2">
        <f>AC142</f>
        <v>57</v>
      </c>
      <c r="AQ142" s="6" t="inlineStr"/>
      <c r="AR142" s="20" t="n"/>
      <c r="AS142" s="6" t="n">
        <v>0.182</v>
      </c>
      <c r="AT142" s="2">
        <f>SUM(Z142,AG142)/(SUM(AQ142,AS142)/3.6)</f>
        <v>150.32967032967034</v>
      </c>
      <c r="AU142" s="5" t="n">
        <v>0</v>
      </c>
      <c r="AV142" s="5" t="n">
        <v>0</v>
      </c>
      <c r="AW142" s="7" t="n">
        <v>0</v>
      </c>
      <c r="AX142" s="7" t="n">
        <v>0</v>
      </c>
      <c r="AY142" s="7" t="n">
        <v>0</v>
      </c>
      <c r="AZ142" s="7" t="n">
        <v>0</v>
      </c>
      <c r="BA142" s="7" t="n">
        <v>0</v>
      </c>
      <c r="BB142" s="7" t="n">
        <v>0</v>
      </c>
      <c r="BC142" s="7" t="n">
        <v>0</v>
      </c>
      <c r="BD142" s="7" t="n">
        <v>0</v>
      </c>
      <c r="BE142" s="7" t="n">
        <v>0</v>
      </c>
      <c r="BF142" s="7" t="n">
        <v>0</v>
      </c>
      <c r="BG142" s="7" t="n">
        <v>0</v>
      </c>
      <c r="BH142" s="7" t="n">
        <v>0</v>
      </c>
      <c r="BI142" s="7" t="n">
        <v>0</v>
      </c>
      <c r="BJ142" s="7" t="n">
        <v>0</v>
      </c>
      <c r="BK142" s="7" t="n">
        <v>0</v>
      </c>
      <c r="BL142" s="7" t="n">
        <v>0</v>
      </c>
      <c r="BM142" s="7" t="n">
        <v>0</v>
      </c>
      <c r="BN142" s="7" t="n">
        <v>0</v>
      </c>
      <c r="BO142" s="7" t="n">
        <v>0</v>
      </c>
      <c r="BP142" s="7" t="n">
        <v>0</v>
      </c>
      <c r="BQ142" s="7" t="n">
        <v>0</v>
      </c>
      <c r="BR142" s="7" t="n">
        <v>0</v>
      </c>
      <c r="BS142" s="7" t="n">
        <v>0</v>
      </c>
      <c r="BT142" s="7" t="n">
        <v>0</v>
      </c>
      <c r="BU142" s="7" t="n">
        <v>0</v>
      </c>
      <c r="BV142" s="7" t="n">
        <v>0</v>
      </c>
      <c r="BW142" s="7" t="n">
        <v>0</v>
      </c>
      <c r="BX142" s="7" t="n">
        <v>0</v>
      </c>
      <c r="BY142" s="7" t="n">
        <v>0</v>
      </c>
      <c r="BZ142" s="7" t="n">
        <v>0</v>
      </c>
      <c r="CA142" s="7" t="n">
        <v>0</v>
      </c>
      <c r="CB142" s="7" t="n">
        <v>0</v>
      </c>
      <c r="CC142" s="7" t="n">
        <v>0</v>
      </c>
      <c r="CD142" s="7" t="n">
        <v>0</v>
      </c>
      <c r="CE142" s="7" t="n">
        <v>0</v>
      </c>
      <c r="CF142" s="7" t="n">
        <v>0</v>
      </c>
      <c r="CG142" s="7" t="n">
        <v>0</v>
      </c>
      <c r="CH142" s="7" t="n">
        <v>0</v>
      </c>
      <c r="CI142" s="7" t="n">
        <v>0</v>
      </c>
      <c r="CJ142" s="7" t="n">
        <v>0</v>
      </c>
      <c r="CK142" s="38">
        <f>VLOOKUP($B142,'abrasion emissions'!$O$7:$R$36,2,FALSE)</f>
        <v>0.33</v>
      </c>
      <c r="CL142" s="38">
        <f>VLOOKUP($B142,'abrasion emissions'!$O$7:$R$36,3,FALSE)</f>
        <v>0.33</v>
      </c>
      <c r="CM142" s="38">
        <f>VLOOKUP($B142,'abrasion emissions'!$O$7:$R$36,4,FALSE)</f>
        <v>0.33</v>
      </c>
      <c r="CN142" s="7">
        <f>((SUMIFS('abrasion emissions'!$M$7:$M$34,'abrasion emissions'!$I$7:$I$34,"PM 2.5",'abrasion emissions'!$J$7:$J$34,"urban",'abrasion emissions'!$K$7:$K$34,"Tyre",'abrasion emissions'!$L$7:$L$34,"b")*POWER(('vehicles specifications'!$Q142/1000),(1/SUMIFS('abrasion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specifications'!$P142/1000),(1/SUMIFS('abrasion emissions'!$M$7:$M$34,'abrasion emissions'!$I$7:$I$34,"PM 10",'abrasion emissions'!$J$7:$J$34,"urban",'abrasion emissions'!$K$7:$K$34,"Tyre",'abrasion emissions'!$L$7:$L$34,"c")))))/1000000</f>
        <v>6.9268044874823312E-6</v>
      </c>
      <c r="CO142" s="7">
        <f>((SUMIFS('abrasion emissions'!$M$7:$M$34,'abrasion emissions'!$I$7:$I$34,"PM 2.5",'abrasion emissions'!$J$7:$J$34,"rural",'abrasion emissions'!$K$7:$K$34,"Tyre",'abrasion emissions'!$L$7:$L$34,"b")*POWER(('vehicles specifications'!$Q142/1000),(1/SUMIFS('abrasion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specifications'!$P142/1000),(1/SUMIFS('abrasion emissions'!$M$7:$M$34,'abrasion emissions'!$I$7:$I$34,"PM 10",'abrasion emissions'!$J$7:$J$34,"rural",'abrasion emissions'!$K$7:$K$34,"Tyre",'abrasion emissions'!$L$7:$L$34,"c")))))/1000000</f>
        <v>5.3945543996167182E-6</v>
      </c>
      <c r="CP142" s="7">
        <f>((SUMIFS('abrasion emissions'!$M$7:$M$34,'abrasion emissions'!$I$7:$I$34,"PM 2.5",'abrasion emissions'!$J$7:$J$34,"motorway",'abrasion emissions'!$K$7:$K$34,"Tyre",'abrasion emissions'!$L$7:$L$34,"b")*POWER(('vehicles specifications'!$Q142/1000),(1/SUMIFS('abrasion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specifications'!$P142/1000),(1/SUMIFS('abrasion emissions'!$M$7:$M$34,'abrasion emissions'!$I$7:$I$34,"PM 10",'abrasion emissions'!$J$7:$J$34,"motorway",'abrasion emissions'!$K$7:$K$34,"Tyre",'abrasion emissions'!$L$7:$L$34,"c")))))/1000000</f>
        <v>4.6065651186316748E-6</v>
      </c>
      <c r="CQ142" s="7">
        <f>((SUMIFS('abrasion emissions'!$M$7:$M$34,'abrasion emissions'!$I$7:$I$34,"PM 2.5",'abrasion emissions'!$J$7:$J$34,"urban",'abrasion emissions'!$K$7:$K$34,"Brake",'abrasion emissions'!$L$7:$L$34,"b")*POWER(('vehicles specifications'!$Q142/1000),(1/SUMIFS('abrasion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specifications'!$P142/1000),(1/SUMIFS('abrasion emissions'!$M$7:$M$34,'abrasion emissions'!$I$7:$I$34,"PM 10",'abrasion emissions'!$J$7:$J$34,"urban",'abrasion emissions'!$K$7:$K$34,"Brake",'abrasion emissions'!$L$7:$L$34,"c")))))/1000000</f>
        <v>6.7070342170745968E-6</v>
      </c>
      <c r="CR142" s="7">
        <f>((SUMIFS('abrasion emissions'!$M$7:$M$34,'abrasion emissions'!$I$7:$I$34,"PM 2.5",'abrasion emissions'!$J$7:$J$34,"rural",'abrasion emissions'!$K$7:$K$34,"Brake",'abrasion emissions'!$L$7:$L$34,"b")*POWER(('vehicles specifications'!$Q142/1000),(1/SUMIFS('abrasion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specifications'!$P142/1000),(1/SUMIFS('abrasion emissions'!$M$7:$M$34,'abrasion emissions'!$I$7:$I$34,"PM 10",'abrasion emissions'!$J$7:$J$34,"rural",'abrasion emissions'!$K$7:$K$34,"Brake",'abrasion emissions'!$L$7:$L$34,"c")))))/1000000</f>
        <v>2.2330844517627556E-6</v>
      </c>
      <c r="CS142" s="7">
        <f>((SUMIFS('abrasion emissions'!$M$7:$M$34,'abrasion emissions'!$I$7:$I$34,"PM 2.5",'abrasion emissions'!$J$7:$J$34,"motorway",'abrasion emissions'!$K$7:$K$34,"Brake",'abrasion emissions'!$L$7:$L$34,"b")*POWER(('vehicles specifications'!$Q142/1000),(1/SUMIFS('abrasion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specifications'!$P142/1000),(1/SUMIFS('abrasion emissions'!$M$7:$M$34,'abrasion emissions'!$I$7:$I$34,"PM 10",'abrasion emissions'!$J$7:$J$34,"motorway",'abrasion emissions'!$K$7:$K$34,"Brake",'abrasion emissions'!$L$7:$L$34,"c")))))/1000000</f>
        <v>4.2371826327928618E-7</v>
      </c>
      <c r="CT142" s="7">
        <f>((SUMIFS('abrasion emissions'!$M$7:$M$38,'abrasion emissions'!$I$7:$I$38,"PM 2.5",'abrasion emissions'!$K$7:$K$38,"Re-susp.",'abrasion emissions'!$L$7:$L$38,"b")*POWER(('vehicles specifications'!$Q142/1000),(1/SUMIFS('abrasion emissions'!$M$7:$M$38,'abrasion emissions'!$I$7:$I$38,"PM 2.5",'abrasion emissions'!$K$7:$K$38,"Re-susp.",'abrasion emissions'!$L$7:$L$38,"c"))))+
(SUMIFS('abrasion emissions'!$M$7:$M$38,'abrasion emissions'!$I$7:$I$38,"PM 10",'abrasion emissions'!$K$7:$K$38,"Re-susp.",'abrasion emissions'!$L$7:$L$38,"b")*POWER(('vehicles specifications'!$Q142/1000),(1/SUMIFS('abrasion emissions'!$M$7:$M$38,'abrasion emissions'!$I$7:$I$38,"PM 10",'abrasion emissions'!$K$7:$K$38,"Re-susp.",'abrasion emissions'!$L$7:$L$38,"c")))))/1000000</f>
        <v>4.4421318107806732E-6</v>
      </c>
      <c r="CU142" s="7">
        <f>((SUMIFS('abrasion emissions'!$M$7:$M$38,'abrasion emissions'!$I$7:$I$38,"PM 2.5",'abrasion emissions'!$K$7:$K$38,"Road",'abrasion emissions'!$L$7:$L$38,"b")*POWER(('vehicles specifications'!$Q142/1000),(1/SUMIFS('abrasion emissions'!$M$7:$M$38,'abrasion emissions'!$I$7:$I$38,"PM 2.5",'abrasion emissions'!$K$7:$K$38,"Road",'abrasion emissions'!$L$7:$L$38,"c"))))+
(SUMIFS('abrasion emissions'!$M$7:$M$38,'abrasion emissions'!$I$7:$I$38,"PM 10",'abrasion emissions'!$K$7:$K$38,"Road",'abrasion emissions'!$L$7:$L$38,"b")*POWER(('vehicles specifications'!$Q142/1000),(1/SUMIFS('abrasion emissions'!$M$7:$M$38,'abrasion emissions'!$I$7:$I$38,"PM 10",'abrasion emissions'!$K$7:$K$38,"Road",'abrasion emissions'!$L$7:$L$38,"c")))))/1000000+CT142</f>
        <v>8.3560800088568897E-6</v>
      </c>
      <c r="CV142" s="7">
        <f>(CK142*CN142)+(CL142*CO142)+(CM142*CP142)</f>
        <v>5.586214921891139E-6</v>
      </c>
      <c r="CW142" s="7">
        <f>(CK142*CQ142)+(CL142*CR142)+(CM142*CS142)</f>
        <v>3.0900661875984907E-6</v>
      </c>
    </row>
    <row r="143">
      <c r="A143" t="str">
        <f>B143&amp;" - "&amp;D143&amp;" - "&amp;IF(I143&lt;&gt;"",I143&amp;" - "&amp;E143,E143)</f>
        <v>Motorbike, battery electric, 11-35kW - 2020 - LFP - CH</v>
      </c>
      <c r="B143" t="inlineStr">
        <is>
          <t>Motorbike, battery electric, 11-35kW</t>
        </is>
      </c>
      <c r="D143" s="18" t="n">
        <v>2020</v>
      </c>
      <c r="E143" t="inlineStr">
        <is>
          <t>CH</t>
        </is>
      </c>
      <c r="F143" t="inlineStr">
        <is>
          <t>None</t>
        </is>
      </c>
      <c r="G143" t="inlineStr">
        <is>
          <t>vkm</t>
        </is>
      </c>
      <c r="H143" t="inlineStr">
        <is>
          <t>BEV</t>
        </is>
      </c>
      <c r="I143" t="inlineStr">
        <is>
          <t>LFP</t>
        </is>
      </c>
      <c r="J143" t="n">
        <v>38500</v>
      </c>
      <c r="K143" t="n">
        <v>2405</v>
      </c>
      <c r="L143" s="2">
        <f>J143/K143</f>
        <v>16.008316008316008</v>
      </c>
      <c r="M143" t="n">
        <v>1.1</v>
      </c>
      <c r="N143" t="n">
        <v>75</v>
      </c>
      <c r="O143" t="n">
        <v>6</v>
      </c>
      <c r="P143" s="2">
        <f>SUM(U143,V143,W143,AC143,AF143,AH143)</f>
        <v>177.8</v>
      </c>
      <c r="Q143" s="2">
        <f>P143+(M143*N143)+O143</f>
        <v>266.3</v>
      </c>
      <c r="R143" t="n">
        <v>14</v>
      </c>
      <c r="S143" s="2" t="n">
        <v>81</v>
      </c>
      <c r="T143" s="1" t="n">
        <v>0</v>
      </c>
      <c r="U143" s="2">
        <f>S143*(1-T143)</f>
        <v>81</v>
      </c>
      <c r="V143" s="2" t="n">
        <v>13</v>
      </c>
      <c r="W143" s="2" t="n">
        <v>19</v>
      </c>
      <c r="X143" s="3" t="n">
        <v>8.1</v>
      </c>
      <c r="Y143" s="1" t="n">
        <v>0.8</v>
      </c>
      <c r="Z143" s="3">
        <f>Y143*X143</f>
        <v>6.48</v>
      </c>
      <c r="AA143" s="3">
        <f>IF(I143&lt;&gt;"",X143/INDEX('energy battery'!$B$3:$D$6,MATCH('vehicles specifications'!$D143,'energy battery'!$A$3:$A$6,0),MATCH('vehicles specifications'!$I143,'energy battery'!$B$2:$D$2,0)),"")</f>
        <v>54</v>
      </c>
      <c r="AB143" s="3">
        <f>IF(AA143&lt;&gt;"",0.2*AA143,"")</f>
        <v>10.8</v>
      </c>
      <c r="AC143" s="3">
        <f>IF(AA143&lt;&gt;"",AB143+AA143,"")</f>
        <v>64.8</v>
      </c>
      <c r="AD143" s="3" t="n">
        <v>1</v>
      </c>
      <c r="AE143" s="3" t="n">
        <v>0</v>
      </c>
      <c r="AF143">
        <f>AE143*'fuels and tailpipe emissions'!$B$3</f>
        <v>0</v>
      </c>
      <c r="AG143" t="n">
        <v>0</v>
      </c>
      <c r="AH143" s="3" t="n">
        <v>0</v>
      </c>
      <c r="AI143" s="3" t="n">
        <v>5</v>
      </c>
      <c r="AJ143" s="3" t="n">
        <v>1</v>
      </c>
      <c r="AK143">
        <f>J143/25000</f>
        <v>1.54</v>
      </c>
      <c r="AL143">
        <f>0.000537/1000*Q143</f>
        <v>1.4300310000000001E-4</v>
      </c>
      <c r="AM143" t="n">
        <v>0.00129</v>
      </c>
      <c r="AN143" s="2">
        <f>U143</f>
        <v>81</v>
      </c>
      <c r="AO143" s="2">
        <f>SUM(V143:W143)</f>
        <v>32</v>
      </c>
      <c r="AP143" s="2">
        <f>AC143</f>
        <v>64.8</v>
      </c>
      <c r="AQ143" s="6" t="inlineStr"/>
      <c r="AR143" s="20" t="n"/>
      <c r="AS143" s="6" t="n">
        <v>0.2463557991373035</v>
      </c>
      <c r="AT143" s="2">
        <f>SUM(Z143,AG143)/(SUM(AQ143,AS143)/3.6)</f>
        <v>94.692311208791224</v>
      </c>
      <c r="AU143" s="5" t="n">
        <v>0</v>
      </c>
      <c r="AV143" s="5" t="n">
        <v>0</v>
      </c>
      <c r="AW143" s="7" t="n">
        <v>0</v>
      </c>
      <c r="AX143" s="7" t="n">
        <v>0</v>
      </c>
      <c r="AY143" s="7" t="n">
        <v>0</v>
      </c>
      <c r="AZ143" s="7" t="n">
        <v>0</v>
      </c>
      <c r="BA143" s="7" t="n">
        <v>0</v>
      </c>
      <c r="BB143" s="7" t="n">
        <v>0</v>
      </c>
      <c r="BC143" s="7" t="n">
        <v>0</v>
      </c>
      <c r="BD143" s="7" t="n">
        <v>0</v>
      </c>
      <c r="BE143" s="7" t="n">
        <v>0</v>
      </c>
      <c r="BF143" s="7" t="n">
        <v>0</v>
      </c>
      <c r="BG143" s="7" t="n">
        <v>0</v>
      </c>
      <c r="BH143" s="7" t="n">
        <v>0</v>
      </c>
      <c r="BI143" s="7" t="n">
        <v>0</v>
      </c>
      <c r="BJ143" s="7" t="n">
        <v>0</v>
      </c>
      <c r="BK143" s="7" t="n">
        <v>0</v>
      </c>
      <c r="BL143" s="7" t="n">
        <v>0</v>
      </c>
      <c r="BM143" s="7" t="n">
        <v>0</v>
      </c>
      <c r="BN143" s="7" t="n">
        <v>0</v>
      </c>
      <c r="BO143" s="7" t="n">
        <v>0</v>
      </c>
      <c r="BP143" s="7" t="n">
        <v>0</v>
      </c>
      <c r="BQ143" s="7" t="n">
        <v>0</v>
      </c>
      <c r="BR143" s="7" t="n">
        <v>0</v>
      </c>
      <c r="BS143" s="7" t="n">
        <v>0</v>
      </c>
      <c r="BT143" s="7" t="n">
        <v>0</v>
      </c>
      <c r="BU143" s="7" t="n">
        <v>0</v>
      </c>
      <c r="BV143" s="7" t="n">
        <v>0</v>
      </c>
      <c r="BW143" s="7" t="n">
        <v>0</v>
      </c>
      <c r="BX143" s="7" t="n">
        <v>0</v>
      </c>
      <c r="BY143" s="7" t="n">
        <v>0</v>
      </c>
      <c r="BZ143" s="7" t="n">
        <v>0</v>
      </c>
      <c r="CA143" s="7" t="n">
        <v>0</v>
      </c>
      <c r="CB143" s="7" t="n">
        <v>0</v>
      </c>
      <c r="CC143" s="7" t="n">
        <v>0</v>
      </c>
      <c r="CD143" s="7" t="n">
        <v>0</v>
      </c>
      <c r="CE143" s="7" t="n">
        <v>0</v>
      </c>
      <c r="CF143" s="7" t="n">
        <v>0</v>
      </c>
      <c r="CG143" s="7" t="n">
        <v>0</v>
      </c>
      <c r="CH143" s="7" t="n">
        <v>0</v>
      </c>
      <c r="CI143" s="7" t="n">
        <v>0</v>
      </c>
      <c r="CJ143" s="7" t="n">
        <v>0</v>
      </c>
      <c r="CK143" s="38">
        <f>VLOOKUP($B143,'abrasion emissions'!$O$7:$R$36,2,FALSE)</f>
        <v>0.33</v>
      </c>
      <c r="CL143" s="38">
        <f>VLOOKUP($B143,'abrasion emissions'!$O$7:$R$36,3,FALSE)</f>
        <v>0.33</v>
      </c>
      <c r="CM143" s="38">
        <f>VLOOKUP($B143,'abrasion emissions'!$O$7:$R$36,4,FALSE)</f>
        <v>0.33</v>
      </c>
      <c r="CN143" s="7">
        <f>((SUMIFS('abrasion emissions'!$M$7:$M$34,'abrasion emissions'!$I$7:$I$34,"PM 2.5",'abrasion emissions'!$J$7:$J$34,"urban",'abrasion emissions'!$K$7:$K$34,"Tyre",'abrasion emissions'!$L$7:$L$34,"b")*POWER(('vehicles specifications'!$Q143/1000),(1/SUMIFS('abrasion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specifications'!$P143/1000),(1/SUMIFS('abrasion emissions'!$M$7:$M$34,'abrasion emissions'!$I$7:$I$34,"PM 10",'abrasion emissions'!$J$7:$J$34,"urban",'abrasion emissions'!$K$7:$K$34,"Tyre",'abrasion emissions'!$L$7:$L$34,"c")))))/1000000</f>
        <v>7.3501431023282778E-6</v>
      </c>
      <c r="CO143" s="7">
        <f>((SUMIFS('abrasion emissions'!$M$7:$M$34,'abrasion emissions'!$I$7:$I$34,"PM 2.5",'abrasion emissions'!$J$7:$J$34,"rural",'abrasion emissions'!$K$7:$K$34,"Tyre",'abrasion emissions'!$L$7:$L$34,"b")*POWER(('vehicles specifications'!$Q143/1000),(1/SUMIFS('abrasion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specifications'!$P143/1000),(1/SUMIFS('abrasion emissions'!$M$7:$M$34,'abrasion emissions'!$I$7:$I$34,"PM 10",'abrasion emissions'!$J$7:$J$34,"rural",'abrasion emissions'!$K$7:$K$34,"Tyre",'abrasion emissions'!$L$7:$L$34,"c")))))/1000000</f>
        <v>5.7240353501830687E-6</v>
      </c>
      <c r="CP143" s="7">
        <f>((SUMIFS('abrasion emissions'!$M$7:$M$34,'abrasion emissions'!$I$7:$I$34,"PM 2.5",'abrasion emissions'!$J$7:$J$34,"motorway",'abrasion emissions'!$K$7:$K$34,"Tyre",'abrasion emissions'!$L$7:$L$34,"b")*POWER(('vehicles specifications'!$Q143/1000),(1/SUMIFS('abrasion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specifications'!$P143/1000),(1/SUMIFS('abrasion emissions'!$M$7:$M$34,'abrasion emissions'!$I$7:$I$34,"PM 10",'abrasion emissions'!$J$7:$J$34,"motorway",'abrasion emissions'!$K$7:$K$34,"Tyre",'abrasion emissions'!$L$7:$L$34,"c")))))/1000000</f>
        <v>4.8873846597014122E-6</v>
      </c>
      <c r="CQ143" s="7">
        <f>((SUMIFS('abrasion emissions'!$M$7:$M$34,'abrasion emissions'!$I$7:$I$34,"PM 2.5",'abrasion emissions'!$J$7:$J$34,"urban",'abrasion emissions'!$K$7:$K$34,"Brake",'abrasion emissions'!$L$7:$L$34,"b")*POWER(('vehicles specifications'!$Q143/1000),(1/SUMIFS('abrasion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specifications'!$P143/1000),(1/SUMIFS('abrasion emissions'!$M$7:$M$34,'abrasion emissions'!$I$7:$I$34,"PM 10",'abrasion emissions'!$J$7:$J$34,"urban",'abrasion emissions'!$K$7:$K$34,"Brake",'abrasion emissions'!$L$7:$L$34,"c")))))/1000000</f>
        <v>7.1745167561270049E-6</v>
      </c>
      <c r="CR143" s="7">
        <f>((SUMIFS('abrasion emissions'!$M$7:$M$34,'abrasion emissions'!$I$7:$I$34,"PM 2.5",'abrasion emissions'!$J$7:$J$34,"rural",'abrasion emissions'!$K$7:$K$34,"Brake",'abrasion emissions'!$L$7:$L$34,"b")*POWER(('vehicles specifications'!$Q143/1000),(1/SUMIFS('abrasion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specifications'!$P143/1000),(1/SUMIFS('abrasion emissions'!$M$7:$M$34,'abrasion emissions'!$I$7:$I$34,"PM 10",'abrasion emissions'!$J$7:$J$34,"rural",'abrasion emissions'!$K$7:$K$34,"Brake",'abrasion emissions'!$L$7:$L$34,"c")))))/1000000</f>
        <v>2.4317804867882479E-6</v>
      </c>
      <c r="CS143" s="7">
        <f>((SUMIFS('abrasion emissions'!$M$7:$M$34,'abrasion emissions'!$I$7:$I$34,"PM 2.5",'abrasion emissions'!$J$7:$J$34,"motorway",'abrasion emissions'!$K$7:$K$34,"Brake",'abrasion emissions'!$L$7:$L$34,"b")*POWER(('vehicles specifications'!$Q143/1000),(1/SUMIFS('abrasion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specifications'!$P143/1000),(1/SUMIFS('abrasion emissions'!$M$7:$M$34,'abrasion emissions'!$I$7:$I$34,"PM 10",'abrasion emissions'!$J$7:$J$34,"motorway",'abrasion emissions'!$K$7:$K$34,"Brake",'abrasion emissions'!$L$7:$L$34,"c")))))/1000000</f>
        <v>4.6733737032830191E-7</v>
      </c>
      <c r="CT143" s="7">
        <f>((SUMIFS('abrasion emissions'!$M$7:$M$38,'abrasion emissions'!$I$7:$I$38,"PM 2.5",'abrasion emissions'!$K$7:$K$38,"Re-susp.",'abrasion emissions'!$L$7:$L$38,"b")*POWER(('vehicles specifications'!$Q143/1000),(1/SUMIFS('abrasion emissions'!$M$7:$M$38,'abrasion emissions'!$I$7:$I$38,"PM 2.5",'abrasion emissions'!$K$7:$K$38,"Re-susp.",'abrasion emissions'!$L$7:$L$38,"c"))))+
(SUMIFS('abrasion emissions'!$M$7:$M$38,'abrasion emissions'!$I$7:$I$38,"PM 10",'abrasion emissions'!$K$7:$K$38,"Re-susp.",'abrasion emissions'!$L$7:$L$38,"b")*POWER(('vehicles specifications'!$Q143/1000),(1/SUMIFS('abrasion emissions'!$M$7:$M$38,'abrasion emissions'!$I$7:$I$38,"PM 10",'abrasion emissions'!$K$7:$K$38,"Re-susp.",'abrasion emissions'!$L$7:$L$38,"c")))))/1000000</f>
        <v>4.9255416905306754E-6</v>
      </c>
      <c r="CU143" s="7">
        <f>((SUMIFS('abrasion emissions'!$M$7:$M$38,'abrasion emissions'!$I$7:$I$38,"PM 2.5",'abrasion emissions'!$K$7:$K$38,"Road",'abrasion emissions'!$L$7:$L$38,"b")*POWER(('vehicles specifications'!$Q143/1000),(1/SUMIFS('abrasion emissions'!$M$7:$M$38,'abrasion emissions'!$I$7:$I$38,"PM 2.5",'abrasion emissions'!$K$7:$K$38,"Road",'abrasion emissions'!$L$7:$L$38,"c"))))+
(SUMIFS('abrasion emissions'!$M$7:$M$38,'abrasion emissions'!$I$7:$I$38,"PM 10",'abrasion emissions'!$K$7:$K$38,"Road",'abrasion emissions'!$L$7:$L$38,"b")*POWER(('vehicles specifications'!$Q143/1000),(1/SUMIFS('abrasion emissions'!$M$7:$M$38,'abrasion emissions'!$I$7:$I$38,"PM 10",'abrasion emissions'!$K$7:$K$38,"Road",'abrasion emissions'!$L$7:$L$38,"c")))))/1000000+CT143</f>
        <v>9.1475033271751732E-6</v>
      </c>
      <c r="CV143" s="7">
        <f>(CK143*CN143)+(CL143*CO143)+(CM143*CP143)</f>
        <v>5.927315827030211E-6</v>
      </c>
      <c r="CW143" s="7">
        <f>(CK143*CQ143)+(CL143*CR143)+(CM143*CS143)</f>
        <v>3.3242994223703735E-6</v>
      </c>
    </row>
    <row r="144">
      <c r="A144" t="str">
        <f>B144&amp;" - "&amp;D144&amp;" - "&amp;IF(I144&lt;&gt;"",I144&amp;" - "&amp;E144,E144)</f>
        <v>Motorbike, battery electric, 11-35kW - 2030 - LFP - CH</v>
      </c>
      <c r="B144" t="inlineStr">
        <is>
          <t>Motorbike, battery electric, 11-35kW</t>
        </is>
      </c>
      <c r="D144" s="18" t="n">
        <v>2030</v>
      </c>
      <c r="E144" t="inlineStr">
        <is>
          <t>CH</t>
        </is>
      </c>
      <c r="F144" t="inlineStr">
        <is>
          <t>None</t>
        </is>
      </c>
      <c r="G144" t="inlineStr">
        <is>
          <t>vkm</t>
        </is>
      </c>
      <c r="H144" t="inlineStr">
        <is>
          <t>BEV</t>
        </is>
      </c>
      <c r="I144" t="inlineStr">
        <is>
          <t>LFP</t>
        </is>
      </c>
      <c r="J144" t="n">
        <v>38500</v>
      </c>
      <c r="K144" t="n">
        <v>2405</v>
      </c>
      <c r="L144" s="2">
        <f>J144/K144</f>
        <v>16.008316008316008</v>
      </c>
      <c r="M144" t="n">
        <v>1.1</v>
      </c>
      <c r="N144" t="n">
        <v>75</v>
      </c>
      <c r="O144" t="n">
        <v>6</v>
      </c>
      <c r="P144" s="2">
        <f>SUM(U144,V144,W144,AC144,AF144,AH144)</f>
        <v>195.90333333333334</v>
      </c>
      <c r="Q144" s="2">
        <f>P144+(M144*N144)+O144</f>
        <v>284.40333333333331</v>
      </c>
      <c r="R144" t="n">
        <v>14</v>
      </c>
      <c r="S144" s="2" t="n">
        <v>81</v>
      </c>
      <c r="T144" s="1" t="n">
        <v>0.03</v>
      </c>
      <c r="U144" s="2">
        <f>S144*(1-T144)</f>
        <v>78.569999999999993</v>
      </c>
      <c r="V144" s="2" t="n">
        <v>13</v>
      </c>
      <c r="W144" s="2" t="n">
        <v>19</v>
      </c>
      <c r="X144" s="3" t="n">
        <v>12.8</v>
      </c>
      <c r="Y144" s="1" t="n">
        <v>0.8</v>
      </c>
      <c r="Z144" s="3">
        <f>Y144*X144</f>
        <v>10.240000000000002</v>
      </c>
      <c r="AA144" s="3">
        <f>IF(I144&lt;&gt;"",X144/INDEX('energy battery'!$B$3:$D$6,MATCH('vehicles specifications'!$D144,'energy battery'!$A$3:$A$6,0),MATCH('vehicles specifications'!$I144,'energy battery'!$B$2:$D$2,0)),"")</f>
        <v>71.111111111111114</v>
      </c>
      <c r="AB144" s="3">
        <f>IF(AA144&lt;&gt;"",0.2*AA144,"")</f>
        <v>14.222222222222223</v>
      </c>
      <c r="AC144" s="3">
        <f>IF(AA144&lt;&gt;"",AB144+AA144,"")</f>
        <v>85.333333333333343</v>
      </c>
      <c r="AD144" s="3" t="n">
        <v>0.5</v>
      </c>
      <c r="AE144" s="3" t="n">
        <v>0</v>
      </c>
      <c r="AF144">
        <f>AE144*'fuels and tailpipe emissions'!$B$3</f>
        <v>0</v>
      </c>
      <c r="AG144" t="n">
        <v>0</v>
      </c>
      <c r="AH144" s="3" t="n">
        <v>0</v>
      </c>
      <c r="AI144" s="3" t="n">
        <v>5</v>
      </c>
      <c r="AJ144" s="3" t="n">
        <v>1</v>
      </c>
      <c r="AK144">
        <f>J144/25000</f>
        <v>1.54</v>
      </c>
      <c r="AL144">
        <f>0.000537/1000*Q144</f>
        <v>1.5272459E-4</v>
      </c>
      <c r="AM144" t="n">
        <v>0.00129</v>
      </c>
      <c r="AN144" s="2">
        <f>U144</f>
        <v>78.569999999999993</v>
      </c>
      <c r="AO144" s="2">
        <f>SUM(V144:W144)</f>
        <v>32</v>
      </c>
      <c r="AP144" s="2">
        <f>AC144</f>
        <v>85.333333333333343</v>
      </c>
      <c r="AQ144" s="6" t="inlineStr"/>
      <c r="AR144" s="20" t="n"/>
      <c r="AS144" s="6" t="n">
        <v>0.2463557991373035</v>
      </c>
      <c r="AT144" s="2">
        <f>SUM(Z144,AG144)/(SUM(AQ144,AS144)/3.6)</f>
        <v>149.63723252747255</v>
      </c>
      <c r="AU144" s="5" t="n">
        <v>0</v>
      </c>
      <c r="AV144" s="5" t="n">
        <v>0</v>
      </c>
      <c r="AW144" s="7" t="n">
        <v>0</v>
      </c>
      <c r="AX144" s="7" t="n">
        <v>0</v>
      </c>
      <c r="AY144" s="7" t="n">
        <v>0</v>
      </c>
      <c r="AZ144" s="7" t="n">
        <v>0</v>
      </c>
      <c r="BA144" s="7" t="n">
        <v>0</v>
      </c>
      <c r="BB144" s="7" t="n">
        <v>0</v>
      </c>
      <c r="BC144" s="7" t="n">
        <v>0</v>
      </c>
      <c r="BD144" s="7" t="n">
        <v>0</v>
      </c>
      <c r="BE144" s="7" t="n">
        <v>0</v>
      </c>
      <c r="BF144" s="7" t="n">
        <v>0</v>
      </c>
      <c r="BG144" s="7" t="n">
        <v>0</v>
      </c>
      <c r="BH144" s="7" t="n">
        <v>0</v>
      </c>
      <c r="BI144" s="7" t="n">
        <v>0</v>
      </c>
      <c r="BJ144" s="7" t="n">
        <v>0</v>
      </c>
      <c r="BK144" s="7" t="n">
        <v>0</v>
      </c>
      <c r="BL144" s="7" t="n">
        <v>0</v>
      </c>
      <c r="BM144" s="7" t="n">
        <v>0</v>
      </c>
      <c r="BN144" s="7" t="n">
        <v>0</v>
      </c>
      <c r="BO144" s="7" t="n">
        <v>0</v>
      </c>
      <c r="BP144" s="7" t="n">
        <v>0</v>
      </c>
      <c r="BQ144" s="7" t="n">
        <v>0</v>
      </c>
      <c r="BR144" s="7" t="n">
        <v>0</v>
      </c>
      <c r="BS144" s="7" t="n">
        <v>0</v>
      </c>
      <c r="BT144" s="7" t="n">
        <v>0</v>
      </c>
      <c r="BU144" s="7" t="n">
        <v>0</v>
      </c>
      <c r="BV144" s="7" t="n">
        <v>0</v>
      </c>
      <c r="BW144" s="7" t="n">
        <v>0</v>
      </c>
      <c r="BX144" s="7" t="n">
        <v>0</v>
      </c>
      <c r="BY144" s="7" t="n">
        <v>0</v>
      </c>
      <c r="BZ144" s="7" t="n">
        <v>0</v>
      </c>
      <c r="CA144" s="7" t="n">
        <v>0</v>
      </c>
      <c r="CB144" s="7" t="n">
        <v>0</v>
      </c>
      <c r="CC144" s="7" t="n">
        <v>0</v>
      </c>
      <c r="CD144" s="7" t="n">
        <v>0</v>
      </c>
      <c r="CE144" s="7" t="n">
        <v>0</v>
      </c>
      <c r="CF144" s="7" t="n">
        <v>0</v>
      </c>
      <c r="CG144" s="7" t="n">
        <v>0</v>
      </c>
      <c r="CH144" s="7" t="n">
        <v>0</v>
      </c>
      <c r="CI144" s="7" t="n">
        <v>0</v>
      </c>
      <c r="CJ144" s="7" t="n">
        <v>0</v>
      </c>
      <c r="CK144" s="38">
        <f>VLOOKUP($B144,'abrasion emissions'!$O$7:$R$36,2,FALSE)</f>
        <v>0.33</v>
      </c>
      <c r="CL144" s="38">
        <f>VLOOKUP($B144,'abrasion emissions'!$O$7:$R$36,3,FALSE)</f>
        <v>0.33</v>
      </c>
      <c r="CM144" s="38">
        <f>VLOOKUP($B144,'abrasion emissions'!$O$7:$R$36,4,FALSE)</f>
        <v>0.33</v>
      </c>
      <c r="CN144" s="7">
        <f>((SUMIFS('abrasion emissions'!$M$7:$M$34,'abrasion emissions'!$I$7:$I$34,"PM 2.5",'abrasion emissions'!$J$7:$J$34,"urban",'abrasion emissions'!$K$7:$K$34,"Tyre",'abrasion emissions'!$L$7:$L$34,"b")*POWER(('vehicles specifications'!$Q144/1000),(1/SUMIFS('abrasion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specifications'!$P144/1000),(1/SUMIFS('abrasion emissions'!$M$7:$M$34,'abrasion emissions'!$I$7:$I$34,"PM 10",'abrasion emissions'!$J$7:$J$34,"urban",'abrasion emissions'!$K$7:$K$34,"Tyre",'abrasion emissions'!$L$7:$L$34,"c")))))/1000000</f>
        <v>7.6018177428415086E-6</v>
      </c>
      <c r="CO144" s="7">
        <f>((SUMIFS('abrasion emissions'!$M$7:$M$34,'abrasion emissions'!$I$7:$I$34,"PM 2.5",'abrasion emissions'!$J$7:$J$34,"rural",'abrasion emissions'!$K$7:$K$34,"Tyre",'abrasion emissions'!$L$7:$L$34,"b")*POWER(('vehicles specifications'!$Q144/1000),(1/SUMIFS('abrasion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specifications'!$P144/1000),(1/SUMIFS('abrasion emissions'!$M$7:$M$34,'abrasion emissions'!$I$7:$I$34,"PM 10",'abrasion emissions'!$J$7:$J$34,"rural",'abrasion emissions'!$K$7:$K$34,"Tyre",'abrasion emissions'!$L$7:$L$34,"c")))))/1000000</f>
        <v>5.9199191420654579E-6</v>
      </c>
      <c r="CP144" s="7">
        <f>((SUMIFS('abrasion emissions'!$M$7:$M$34,'abrasion emissions'!$I$7:$I$34,"PM 2.5",'abrasion emissions'!$J$7:$J$34,"motorway",'abrasion emissions'!$K$7:$K$34,"Tyre",'abrasion emissions'!$L$7:$L$34,"b")*POWER(('vehicles specifications'!$Q144/1000),(1/SUMIFS('abrasion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specifications'!$P144/1000),(1/SUMIFS('abrasion emissions'!$M$7:$M$34,'abrasion emissions'!$I$7:$I$34,"PM 10",'abrasion emissions'!$J$7:$J$34,"motorway",'abrasion emissions'!$K$7:$K$34,"Tyre",'abrasion emissions'!$L$7:$L$34,"c")))))/1000000</f>
        <v>5.0543569804844999E-6</v>
      </c>
      <c r="CQ144" s="7">
        <f>((SUMIFS('abrasion emissions'!$M$7:$M$34,'abrasion emissions'!$I$7:$I$34,"PM 2.5",'abrasion emissions'!$J$7:$J$34,"urban",'abrasion emissions'!$K$7:$K$34,"Brake",'abrasion emissions'!$L$7:$L$34,"b")*POWER(('vehicles specifications'!$Q144/1000),(1/SUMIFS('abrasion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specifications'!$P144/1000),(1/SUMIFS('abrasion emissions'!$M$7:$M$34,'abrasion emissions'!$I$7:$I$34,"PM 10",'abrasion emissions'!$J$7:$J$34,"urban",'abrasion emissions'!$K$7:$K$34,"Brake",'abrasion emissions'!$L$7:$L$34,"c")))))/1000000</f>
        <v>7.4562146715026262E-6</v>
      </c>
      <c r="CR144" s="7">
        <f>((SUMIFS('abrasion emissions'!$M$7:$M$34,'abrasion emissions'!$I$7:$I$34,"PM 2.5",'abrasion emissions'!$J$7:$J$34,"rural",'abrasion emissions'!$K$7:$K$34,"Brake",'abrasion emissions'!$L$7:$L$34,"b")*POWER(('vehicles specifications'!$Q144/1000),(1/SUMIFS('abrasion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specifications'!$P144/1000),(1/SUMIFS('abrasion emissions'!$M$7:$M$34,'abrasion emissions'!$I$7:$I$34,"PM 10",'abrasion emissions'!$J$7:$J$34,"rural",'abrasion emissions'!$K$7:$K$34,"Brake",'abrasion emissions'!$L$7:$L$34,"c")))))/1000000</f>
        <v>2.5532732361558597E-6</v>
      </c>
      <c r="CS144" s="7">
        <f>((SUMIFS('abrasion emissions'!$M$7:$M$34,'abrasion emissions'!$I$7:$I$34,"PM 2.5",'abrasion emissions'!$J$7:$J$34,"motorway",'abrasion emissions'!$K$7:$K$34,"Brake",'abrasion emissions'!$L$7:$L$34,"b")*POWER(('vehicles specifications'!$Q144/1000),(1/SUMIFS('abrasion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specifications'!$P144/1000),(1/SUMIFS('abrasion emissions'!$M$7:$M$34,'abrasion emissions'!$I$7:$I$34,"PM 10",'abrasion emissions'!$J$7:$J$34,"motorway",'abrasion emissions'!$K$7:$K$34,"Brake",'abrasion emissions'!$L$7:$L$34,"c")))))/1000000</f>
        <v>4.9429564116312747E-7</v>
      </c>
      <c r="CT144" s="7">
        <f>((SUMIFS('abrasion emissions'!$M$7:$M$38,'abrasion emissions'!$I$7:$I$38,"PM 2.5",'abrasion emissions'!$K$7:$K$38,"Re-susp.",'abrasion emissions'!$L$7:$L$38,"b")*POWER(('vehicles specifications'!$Q144/1000),(1/SUMIFS('abrasion emissions'!$M$7:$M$38,'abrasion emissions'!$I$7:$I$38,"PM 2.5",'abrasion emissions'!$K$7:$K$38,"Re-susp.",'abrasion emissions'!$L$7:$L$38,"c"))))+
(SUMIFS('abrasion emissions'!$M$7:$M$38,'abrasion emissions'!$I$7:$I$38,"PM 10",'abrasion emissions'!$K$7:$K$38,"Re-susp.",'abrasion emissions'!$L$7:$L$38,"b")*POWER(('vehicles specifications'!$Q144/1000),(1/SUMIFS('abrasion emissions'!$M$7:$M$38,'abrasion emissions'!$I$7:$I$38,"PM 10",'abrasion emissions'!$K$7:$K$38,"Re-susp.",'abrasion emissions'!$L$7:$L$38,"c")))))/1000000</f>
        <v>5.2290263687069136E-6</v>
      </c>
      <c r="CU144" s="7">
        <f>((SUMIFS('abrasion emissions'!$M$7:$M$38,'abrasion emissions'!$I$7:$I$38,"PM 2.5",'abrasion emissions'!$K$7:$K$38,"Road",'abrasion emissions'!$L$7:$L$38,"b")*POWER(('vehicles specifications'!$Q144/1000),(1/SUMIFS('abrasion emissions'!$M$7:$M$38,'abrasion emissions'!$I$7:$I$38,"PM 2.5",'abrasion emissions'!$K$7:$K$38,"Road",'abrasion emissions'!$L$7:$L$38,"c"))))+
(SUMIFS('abrasion emissions'!$M$7:$M$38,'abrasion emissions'!$I$7:$I$38,"PM 10",'abrasion emissions'!$K$7:$K$38,"Road",'abrasion emissions'!$L$7:$L$38,"b")*POWER(('vehicles specifications'!$Q144/1000),(1/SUMIFS('abrasion emissions'!$M$7:$M$38,'abrasion emissions'!$I$7:$I$38,"PM 10",'abrasion emissions'!$K$7:$K$38,"Road",'abrasion emissions'!$L$7:$L$38,"c")))))/1000000+CT144</f>
        <v>9.6402251275831752E-6</v>
      </c>
      <c r="CV144" s="7">
        <f>(CK144*CN144)+(CL144*CO144)+(CM144*CP144)</f>
        <v>6.1301109755791838E-6</v>
      </c>
      <c r="CW144" s="7">
        <f>(CK144*CQ144)+(CL144*CR144)+(CM144*CS144)</f>
        <v>3.4662485711111325E-6</v>
      </c>
    </row>
    <row r="145">
      <c r="A145" t="str">
        <f>B145&amp;" - "&amp;D145&amp;" - "&amp;IF(I145&lt;&gt;"",I145&amp;" - "&amp;E145,E145)</f>
        <v>Motorbike, battery electric, 11-35kW - 2040 - LFP - CH</v>
      </c>
      <c r="B145" t="inlineStr">
        <is>
          <t>Motorbike, battery electric, 11-35kW</t>
        </is>
      </c>
      <c r="D145" s="18" t="n">
        <v>2040</v>
      </c>
      <c r="E145" t="inlineStr">
        <is>
          <t>CH</t>
        </is>
      </c>
      <c r="F145" t="inlineStr">
        <is>
          <t>None</t>
        </is>
      </c>
      <c r="G145" t="inlineStr">
        <is>
          <t>vkm</t>
        </is>
      </c>
      <c r="H145" t="inlineStr">
        <is>
          <t>BEV</t>
        </is>
      </c>
      <c r="I145" t="inlineStr">
        <is>
          <t>LFP</t>
        </is>
      </c>
      <c r="J145" t="n">
        <v>38500</v>
      </c>
      <c r="K145" t="n">
        <v>2405</v>
      </c>
      <c r="L145" s="2">
        <f>J145/K145</f>
        <v>16.008316008316008</v>
      </c>
      <c r="M145" t="n">
        <v>1.1</v>
      </c>
      <c r="N145" t="n">
        <v>75</v>
      </c>
      <c r="O145" t="n">
        <v>6</v>
      </c>
      <c r="P145" s="2">
        <f>SUM(U145,V145,W145,AC145,AF145,AH145)</f>
        <v>227.61666666666667</v>
      </c>
      <c r="Q145" s="2">
        <f>P145+(M145*N145)+O145</f>
        <v>316.11666666666667</v>
      </c>
      <c r="R145" t="n">
        <v>14</v>
      </c>
      <c r="S145" s="2" t="n">
        <v>81</v>
      </c>
      <c r="T145" s="1" t="n">
        <v>0.05</v>
      </c>
      <c r="U145" s="2">
        <f>S145*(1-T145)</f>
        <v>76.95</v>
      </c>
      <c r="V145" s="2" t="n">
        <v>13</v>
      </c>
      <c r="W145" s="2" t="n">
        <v>19</v>
      </c>
      <c r="X145" s="3" t="n">
        <v>17.8</v>
      </c>
      <c r="Y145" s="1" t="n">
        <v>0.8</v>
      </c>
      <c r="Z145" s="3">
        <f>Y145*X145</f>
        <v>14.240000000000002</v>
      </c>
      <c r="AA145" s="3">
        <f>IF(I145&lt;&gt;"",X145/INDEX('energy battery'!$B$3:$D$6,MATCH('vehicles specifications'!$D145,'energy battery'!$A$3:$A$6,0),MATCH('vehicles specifications'!$I145,'energy battery'!$B$2:$D$2,0)),"")</f>
        <v>98.8888888888889</v>
      </c>
      <c r="AB145" s="3">
        <f>IF(AA145&lt;&gt;"",0.2*AA145,"")</f>
        <v>19.777777777777782</v>
      </c>
      <c r="AC145" s="3">
        <f>IF(AA145&lt;&gt;"",AB145+AA145,"")</f>
        <v>118.66666666666669</v>
      </c>
      <c r="AD145" s="3" t="n">
        <v>0.25</v>
      </c>
      <c r="AE145" s="3" t="n">
        <v>0</v>
      </c>
      <c r="AF145">
        <f>AE145*'fuels and tailpipe emissions'!$B$3</f>
        <v>0</v>
      </c>
      <c r="AG145" t="n">
        <v>0</v>
      </c>
      <c r="AH145" s="3" t="n">
        <v>0</v>
      </c>
      <c r="AI145" s="3" t="n">
        <v>5</v>
      </c>
      <c r="AJ145" s="3" t="n">
        <v>1</v>
      </c>
      <c r="AK145">
        <f>J145/25000</f>
        <v>1.54</v>
      </c>
      <c r="AL145">
        <f>0.000537/1000*Q145</f>
        <v>1.6975464999999999E-4</v>
      </c>
      <c r="AM145" t="n">
        <v>0.00129</v>
      </c>
      <c r="AN145" s="2">
        <f>U145</f>
        <v>76.95</v>
      </c>
      <c r="AO145" s="2">
        <f>SUM(V145:W145)</f>
        <v>32</v>
      </c>
      <c r="AP145" s="2">
        <f>AC145</f>
        <v>118.66666666666669</v>
      </c>
      <c r="AQ145" s="6" t="inlineStr"/>
      <c r="AR145" s="20" t="n"/>
      <c r="AS145" s="6" t="n">
        <v>0.2463557991373035</v>
      </c>
      <c r="AT145" s="2">
        <f>SUM(Z145,AG145)/(SUM(AQ145,AS145)/3.6)</f>
        <v>208.08927648351653</v>
      </c>
      <c r="AU145" s="5" t="n">
        <v>0</v>
      </c>
      <c r="AV145" s="5" t="n">
        <v>0</v>
      </c>
      <c r="AW145" s="7" t="n">
        <v>0</v>
      </c>
      <c r="AX145" s="7" t="n">
        <v>0</v>
      </c>
      <c r="AY145" s="7" t="n">
        <v>0</v>
      </c>
      <c r="AZ145" s="7" t="n">
        <v>0</v>
      </c>
      <c r="BA145" s="7" t="n">
        <v>0</v>
      </c>
      <c r="BB145" s="7" t="n">
        <v>0</v>
      </c>
      <c r="BC145" s="7" t="n">
        <v>0</v>
      </c>
      <c r="BD145" s="7" t="n">
        <v>0</v>
      </c>
      <c r="BE145" s="7" t="n">
        <v>0</v>
      </c>
      <c r="BF145" s="7" t="n">
        <v>0</v>
      </c>
      <c r="BG145" s="7" t="n">
        <v>0</v>
      </c>
      <c r="BH145" s="7" t="n">
        <v>0</v>
      </c>
      <c r="BI145" s="7" t="n">
        <v>0</v>
      </c>
      <c r="BJ145" s="7" t="n">
        <v>0</v>
      </c>
      <c r="BK145" s="7" t="n">
        <v>0</v>
      </c>
      <c r="BL145" s="7" t="n">
        <v>0</v>
      </c>
      <c r="BM145" s="7" t="n">
        <v>0</v>
      </c>
      <c r="BN145" s="7" t="n">
        <v>0</v>
      </c>
      <c r="BO145" s="7" t="n">
        <v>0</v>
      </c>
      <c r="BP145" s="7" t="n">
        <v>0</v>
      </c>
      <c r="BQ145" s="7" t="n">
        <v>0</v>
      </c>
      <c r="BR145" s="7" t="n">
        <v>0</v>
      </c>
      <c r="BS145" s="7" t="n">
        <v>0</v>
      </c>
      <c r="BT145" s="7" t="n">
        <v>0</v>
      </c>
      <c r="BU145" s="7" t="n">
        <v>0</v>
      </c>
      <c r="BV145" s="7" t="n">
        <v>0</v>
      </c>
      <c r="BW145" s="7" t="n">
        <v>0</v>
      </c>
      <c r="BX145" s="7" t="n">
        <v>0</v>
      </c>
      <c r="BY145" s="7" t="n">
        <v>0</v>
      </c>
      <c r="BZ145" s="7" t="n">
        <v>0</v>
      </c>
      <c r="CA145" s="7" t="n">
        <v>0</v>
      </c>
      <c r="CB145" s="7" t="n">
        <v>0</v>
      </c>
      <c r="CC145" s="7" t="n">
        <v>0</v>
      </c>
      <c r="CD145" s="7" t="n">
        <v>0</v>
      </c>
      <c r="CE145" s="7" t="n">
        <v>0</v>
      </c>
      <c r="CF145" s="7" t="n">
        <v>0</v>
      </c>
      <c r="CG145" s="7" t="n">
        <v>0</v>
      </c>
      <c r="CH145" s="7" t="n">
        <v>0</v>
      </c>
      <c r="CI145" s="7" t="n">
        <v>0</v>
      </c>
      <c r="CJ145" s="7" t="n">
        <v>0</v>
      </c>
      <c r="CK145" s="38">
        <f>VLOOKUP($B145,'abrasion emissions'!$O$7:$R$36,2,FALSE)</f>
        <v>0.33</v>
      </c>
      <c r="CL145" s="38">
        <f>VLOOKUP($B145,'abrasion emissions'!$O$7:$R$36,3,FALSE)</f>
        <v>0.33</v>
      </c>
      <c r="CM145" s="38">
        <f>VLOOKUP($B145,'abrasion emissions'!$O$7:$R$36,4,FALSE)</f>
        <v>0.33</v>
      </c>
      <c r="CN145" s="7">
        <f>((SUMIFS('abrasion emissions'!$M$7:$M$34,'abrasion emissions'!$I$7:$I$34,"PM 2.5",'abrasion emissions'!$J$7:$J$34,"urban",'abrasion emissions'!$K$7:$K$34,"Tyre",'abrasion emissions'!$L$7:$L$34,"b")*POWER(('vehicles specifications'!$Q145/1000),(1/SUMIFS('abrasion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specifications'!$P145/1000),(1/SUMIFS('abrasion emissions'!$M$7:$M$34,'abrasion emissions'!$I$7:$I$34,"PM 10",'abrasion emissions'!$J$7:$J$34,"urban",'abrasion emissions'!$K$7:$K$34,"Tyre",'abrasion emissions'!$L$7:$L$34,"c")))))/1000000</f>
        <v>8.0175524279760323E-6</v>
      </c>
      <c r="CO145" s="7">
        <f>((SUMIFS('abrasion emissions'!$M$7:$M$34,'abrasion emissions'!$I$7:$I$34,"PM 2.5",'abrasion emissions'!$J$7:$J$34,"rural",'abrasion emissions'!$K$7:$K$34,"Tyre",'abrasion emissions'!$L$7:$L$34,"b")*POWER(('vehicles specifications'!$Q145/1000),(1/SUMIFS('abrasion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specifications'!$P145/1000),(1/SUMIFS('abrasion emissions'!$M$7:$M$34,'abrasion emissions'!$I$7:$I$34,"PM 10",'abrasion emissions'!$J$7:$J$34,"rural",'abrasion emissions'!$K$7:$K$34,"Tyre",'abrasion emissions'!$L$7:$L$34,"c")))))/1000000</f>
        <v>6.243504712172238E-6</v>
      </c>
      <c r="CP145" s="7">
        <f>((SUMIFS('abrasion emissions'!$M$7:$M$34,'abrasion emissions'!$I$7:$I$34,"PM 2.5",'abrasion emissions'!$J$7:$J$34,"motorway",'abrasion emissions'!$K$7:$K$34,"Tyre",'abrasion emissions'!$L$7:$L$34,"b")*POWER(('vehicles specifications'!$Q145/1000),(1/SUMIFS('abrasion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specifications'!$P145/1000),(1/SUMIFS('abrasion emissions'!$M$7:$M$34,'abrasion emissions'!$I$7:$I$34,"PM 10",'abrasion emissions'!$J$7:$J$34,"motorway",'abrasion emissions'!$K$7:$K$34,"Tyre",'abrasion emissions'!$L$7:$L$34,"c")))))/1000000</f>
        <v>5.3302088317170995E-6</v>
      </c>
      <c r="CQ145" s="7">
        <f>((SUMIFS('abrasion emissions'!$M$7:$M$34,'abrasion emissions'!$I$7:$I$34,"PM 2.5",'abrasion emissions'!$J$7:$J$34,"urban",'abrasion emissions'!$K$7:$K$34,"Brake",'abrasion emissions'!$L$7:$L$34,"b")*POWER(('vehicles specifications'!$Q145/1000),(1/SUMIFS('abrasion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specifications'!$P145/1000),(1/SUMIFS('abrasion emissions'!$M$7:$M$34,'abrasion emissions'!$I$7:$I$34,"PM 10",'abrasion emissions'!$J$7:$J$34,"urban",'abrasion emissions'!$K$7:$K$34,"Brake",'abrasion emissions'!$L$7:$L$34,"c")))))/1000000</f>
        <v>7.9272837736534357E-6</v>
      </c>
      <c r="CR145" s="7">
        <f>((SUMIFS('abrasion emissions'!$M$7:$M$34,'abrasion emissions'!$I$7:$I$34,"PM 2.5",'abrasion emissions'!$J$7:$J$34,"rural",'abrasion emissions'!$K$7:$K$34,"Brake",'abrasion emissions'!$L$7:$L$34,"b")*POWER(('vehicles specifications'!$Q145/1000),(1/SUMIFS('abrasion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specifications'!$P145/1000),(1/SUMIFS('abrasion emissions'!$M$7:$M$34,'abrasion emissions'!$I$7:$I$34,"PM 10",'abrasion emissions'!$J$7:$J$34,"rural",'abrasion emissions'!$K$7:$K$34,"Brake",'abrasion emissions'!$L$7:$L$34,"c")))))/1000000</f>
        <v>2.7592556406967909E-6</v>
      </c>
      <c r="CS145" s="7">
        <f>((SUMIFS('abrasion emissions'!$M$7:$M$34,'abrasion emissions'!$I$7:$I$34,"PM 2.5",'abrasion emissions'!$J$7:$J$34,"motorway",'abrasion emissions'!$K$7:$K$34,"Brake",'abrasion emissions'!$L$7:$L$34,"b")*POWER(('vehicles specifications'!$Q145/1000),(1/SUMIFS('abrasion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specifications'!$P145/1000),(1/SUMIFS('abrasion emissions'!$M$7:$M$34,'abrasion emissions'!$I$7:$I$34,"PM 10",'abrasion emissions'!$J$7:$J$34,"motorway",'abrasion emissions'!$K$7:$K$34,"Brake",'abrasion emissions'!$L$7:$L$34,"c")))))/1000000</f>
        <v>5.4046663541440858E-7</v>
      </c>
      <c r="CT145" s="7">
        <f>((SUMIFS('abrasion emissions'!$M$7:$M$38,'abrasion emissions'!$I$7:$I$38,"PM 2.5",'abrasion emissions'!$K$7:$K$38,"Re-susp.",'abrasion emissions'!$L$7:$L$38,"b")*POWER(('vehicles specifications'!$Q145/1000),(1/SUMIFS('abrasion emissions'!$M$7:$M$38,'abrasion emissions'!$I$7:$I$38,"PM 2.5",'abrasion emissions'!$K$7:$K$38,"Re-susp.",'abrasion emissions'!$L$7:$L$38,"c"))))+
(SUMIFS('abrasion emissions'!$M$7:$M$38,'abrasion emissions'!$I$7:$I$38,"PM 10",'abrasion emissions'!$K$7:$K$38,"Re-susp.",'abrasion emissions'!$L$7:$L$38,"b")*POWER(('vehicles specifications'!$Q145/1000),(1/SUMIFS('abrasion emissions'!$M$7:$M$38,'abrasion emissions'!$I$7:$I$38,"PM 10",'abrasion emissions'!$K$7:$K$38,"Re-susp.",'abrasion emissions'!$L$7:$L$38,"c")))))/1000000</f>
        <v>5.7565152644188385E-6</v>
      </c>
      <c r="CU145" s="7">
        <f>((SUMIFS('abrasion emissions'!$M$7:$M$38,'abrasion emissions'!$I$7:$I$38,"PM 2.5",'abrasion emissions'!$K$7:$K$38,"Road",'abrasion emissions'!$L$7:$L$38,"b")*POWER(('vehicles specifications'!$Q145/1000),(1/SUMIFS('abrasion emissions'!$M$7:$M$38,'abrasion emissions'!$I$7:$I$38,"PM 2.5",'abrasion emissions'!$K$7:$K$38,"Road",'abrasion emissions'!$L$7:$L$38,"c"))))+
(SUMIFS('abrasion emissions'!$M$7:$M$38,'abrasion emissions'!$I$7:$I$38,"PM 10",'abrasion emissions'!$K$7:$K$38,"Road",'abrasion emissions'!$L$7:$L$38,"b")*POWER(('vehicles specifications'!$Q145/1000),(1/SUMIFS('abrasion emissions'!$M$7:$M$38,'abrasion emissions'!$I$7:$I$38,"PM 10",'abrasion emissions'!$K$7:$K$38,"Road",'abrasion emissions'!$L$7:$L$38,"c")))))/1000000+CT145</f>
        <v>1.0489826923258698E-5</v>
      </c>
      <c r="CV145" s="7">
        <f>(CK145*CN145)+(CL145*CO145)+(CM145*CP145)</f>
        <v>6.4651177707155718E-6</v>
      </c>
      <c r="CW145" s="7">
        <f>(CK145*CQ145)+(CL145*CR145)+(CM145*CS145)</f>
        <v>3.70491199642233E-6</v>
      </c>
    </row>
    <row r="146">
      <c r="A146" t="str">
        <f>B146&amp;" - "&amp;D146&amp;" - "&amp;IF(I146&lt;&gt;"",I146&amp;" - "&amp;E146,E146)</f>
        <v>Motorbike, battery electric, 11-35kW - 2050 - LFP - CH</v>
      </c>
      <c r="B146" t="inlineStr">
        <is>
          <t>Motorbike, battery electric, 11-35kW</t>
        </is>
      </c>
      <c r="D146" s="18" t="n">
        <v>2050</v>
      </c>
      <c r="E146" t="inlineStr">
        <is>
          <t>CH</t>
        </is>
      </c>
      <c r="F146" t="inlineStr">
        <is>
          <t>None</t>
        </is>
      </c>
      <c r="G146" t="inlineStr">
        <is>
          <t>vkm</t>
        </is>
      </c>
      <c r="H146" t="inlineStr">
        <is>
          <t>BEV</t>
        </is>
      </c>
      <c r="I146" t="inlineStr">
        <is>
          <t>LFP</t>
        </is>
      </c>
      <c r="J146" t="n">
        <v>38500</v>
      </c>
      <c r="K146" t="n">
        <v>2405</v>
      </c>
      <c r="L146" s="2">
        <f>J146/K146</f>
        <v>16.008316008316008</v>
      </c>
      <c r="M146" t="n">
        <v>1.1</v>
      </c>
      <c r="N146" t="n">
        <v>75</v>
      </c>
      <c r="O146" t="n">
        <v>6</v>
      </c>
      <c r="P146" s="2">
        <f>SUM(U146,V146,W146,AC146,AF146,AH146)</f>
        <v>244.13</v>
      </c>
      <c r="Q146" s="2">
        <f>P146+(M146*N146)+O146</f>
        <v>332.63</v>
      </c>
      <c r="R146" t="n">
        <v>14</v>
      </c>
      <c r="S146" s="2" t="n">
        <v>81</v>
      </c>
      <c r="T146" s="1" t="n">
        <v>0.07000000000000001</v>
      </c>
      <c r="U146" s="2">
        <f>S146*(1-T146)</f>
        <v>75.33</v>
      </c>
      <c r="V146" s="2" t="n">
        <v>13</v>
      </c>
      <c r="W146" s="2" t="n">
        <v>19</v>
      </c>
      <c r="X146" s="3" t="n">
        <v>22.8</v>
      </c>
      <c r="Y146" s="1" t="n">
        <v>0.8</v>
      </c>
      <c r="Z146" s="3">
        <f>Y146*X146</f>
        <v>18.240000000000002</v>
      </c>
      <c r="AA146" s="3">
        <f>IF(I146&lt;&gt;"",X146/INDEX('energy battery'!$B$3:$D$6,MATCH('vehicles specifications'!$D146,'energy battery'!$A$3:$A$6,0),MATCH('vehicles specifications'!$I146,'energy battery'!$B$2:$D$2,0)),"")</f>
        <v>114</v>
      </c>
      <c r="AB146" s="3">
        <f>IF(AA146&lt;&gt;"",0.2*AA146,"")</f>
        <v>22.8</v>
      </c>
      <c r="AC146" s="3">
        <f>IF(AA146&lt;&gt;"",AB146+AA146,"")</f>
        <v>136.80000000000001</v>
      </c>
      <c r="AD146" s="3" t="n">
        <v>0</v>
      </c>
      <c r="AE146" s="3" t="n">
        <v>0</v>
      </c>
      <c r="AF146">
        <f>AE146*'fuels and tailpipe emissions'!$B$3</f>
        <v>0</v>
      </c>
      <c r="AG146" t="n">
        <v>0</v>
      </c>
      <c r="AH146" s="3" t="n">
        <v>0</v>
      </c>
      <c r="AI146" s="3" t="n">
        <v>5</v>
      </c>
      <c r="AJ146" s="3" t="n">
        <v>1</v>
      </c>
      <c r="AK146">
        <f>J146/25000</f>
        <v>1.54</v>
      </c>
      <c r="AL146">
        <f>0.000537/1000*Q146</f>
        <v>1.7862231000000001E-4</v>
      </c>
      <c r="AM146" t="n">
        <v>0.00129</v>
      </c>
      <c r="AN146" s="2">
        <f>U146</f>
        <v>75.33</v>
      </c>
      <c r="AO146" s="2">
        <f>SUM(V146:W146)</f>
        <v>32</v>
      </c>
      <c r="AP146" s="2">
        <f>AC146</f>
        <v>136.80000000000001</v>
      </c>
      <c r="AQ146" s="6" t="inlineStr"/>
      <c r="AR146" s="20" t="n"/>
      <c r="AS146" s="6" t="n">
        <v>0.2463557991373035</v>
      </c>
      <c r="AT146" s="2">
        <f>SUM(Z146,AG146)/(SUM(AQ146,AS146)/3.6)</f>
        <v>266.54132043956048</v>
      </c>
      <c r="AU146" s="5" t="n">
        <v>0</v>
      </c>
      <c r="AV146" s="5" t="n">
        <v>0</v>
      </c>
      <c r="AW146" s="7" t="n">
        <v>0</v>
      </c>
      <c r="AX146" s="7" t="n">
        <v>0</v>
      </c>
      <c r="AY146" s="7" t="n">
        <v>0</v>
      </c>
      <c r="AZ146" s="7" t="n">
        <v>0</v>
      </c>
      <c r="BA146" s="7" t="n">
        <v>0</v>
      </c>
      <c r="BB146" s="7" t="n">
        <v>0</v>
      </c>
      <c r="BC146" s="7" t="n">
        <v>0</v>
      </c>
      <c r="BD146" s="7" t="n">
        <v>0</v>
      </c>
      <c r="BE146" s="7" t="n">
        <v>0</v>
      </c>
      <c r="BF146" s="7" t="n">
        <v>0</v>
      </c>
      <c r="BG146" s="7" t="n">
        <v>0</v>
      </c>
      <c r="BH146" s="7" t="n">
        <v>0</v>
      </c>
      <c r="BI146" s="7" t="n">
        <v>0</v>
      </c>
      <c r="BJ146" s="7" t="n">
        <v>0</v>
      </c>
      <c r="BK146" s="7" t="n">
        <v>0</v>
      </c>
      <c r="BL146" s="7" t="n">
        <v>0</v>
      </c>
      <c r="BM146" s="7" t="n">
        <v>0</v>
      </c>
      <c r="BN146" s="7" t="n">
        <v>0</v>
      </c>
      <c r="BO146" s="7" t="n">
        <v>0</v>
      </c>
      <c r="BP146" s="7" t="n">
        <v>0</v>
      </c>
      <c r="BQ146" s="7" t="n">
        <v>0</v>
      </c>
      <c r="BR146" s="7" t="n">
        <v>0</v>
      </c>
      <c r="BS146" s="7" t="n">
        <v>0</v>
      </c>
      <c r="BT146" s="7" t="n">
        <v>0</v>
      </c>
      <c r="BU146" s="7" t="n">
        <v>0</v>
      </c>
      <c r="BV146" s="7" t="n">
        <v>0</v>
      </c>
      <c r="BW146" s="7" t="n">
        <v>0</v>
      </c>
      <c r="BX146" s="7" t="n">
        <v>0</v>
      </c>
      <c r="BY146" s="7" t="n">
        <v>0</v>
      </c>
      <c r="BZ146" s="7" t="n">
        <v>0</v>
      </c>
      <c r="CA146" s="7" t="n">
        <v>0</v>
      </c>
      <c r="CB146" s="7" t="n">
        <v>0</v>
      </c>
      <c r="CC146" s="7" t="n">
        <v>0</v>
      </c>
      <c r="CD146" s="7" t="n">
        <v>0</v>
      </c>
      <c r="CE146" s="7" t="n">
        <v>0</v>
      </c>
      <c r="CF146" s="7" t="n">
        <v>0</v>
      </c>
      <c r="CG146" s="7" t="n">
        <v>0</v>
      </c>
      <c r="CH146" s="7" t="n">
        <v>0</v>
      </c>
      <c r="CI146" s="7" t="n">
        <v>0</v>
      </c>
      <c r="CJ146" s="7" t="n">
        <v>0</v>
      </c>
      <c r="CK146" s="38">
        <f>VLOOKUP($B146,'abrasion emissions'!$O$7:$R$36,2,FALSE)</f>
        <v>0.33</v>
      </c>
      <c r="CL146" s="38">
        <f>VLOOKUP($B146,'abrasion emissions'!$O$7:$R$36,3,FALSE)</f>
        <v>0.33</v>
      </c>
      <c r="CM146" s="38">
        <f>VLOOKUP($B146,'abrasion emissions'!$O$7:$R$36,4,FALSE)</f>
        <v>0.33</v>
      </c>
      <c r="CN146" s="7">
        <f>((SUMIFS('abrasion emissions'!$M$7:$M$34,'abrasion emissions'!$I$7:$I$34,"PM 2.5",'abrasion emissions'!$J$7:$J$34,"urban",'abrasion emissions'!$K$7:$K$34,"Tyre",'abrasion emissions'!$L$7:$L$34,"b")*POWER(('vehicles specifications'!$Q146/1000),(1/SUMIFS('abrasion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specifications'!$P146/1000),(1/SUMIFS('abrasion emissions'!$M$7:$M$34,'abrasion emissions'!$I$7:$I$34,"PM 10",'abrasion emissions'!$J$7:$J$34,"urban",'abrasion emissions'!$K$7:$K$34,"Tyre",'abrasion emissions'!$L$7:$L$34,"c")))))/1000000</f>
        <v>8.223038967512235E-6</v>
      </c>
      <c r="CO146" s="7">
        <f>((SUMIFS('abrasion emissions'!$M$7:$M$34,'abrasion emissions'!$I$7:$I$34,"PM 2.5",'abrasion emissions'!$J$7:$J$34,"rural",'abrasion emissions'!$K$7:$K$34,"Tyre",'abrasion emissions'!$L$7:$L$34,"b")*POWER(('vehicles specifications'!$Q146/1000),(1/SUMIFS('abrasion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specifications'!$P146/1000),(1/SUMIFS('abrasion emissions'!$M$7:$M$34,'abrasion emissions'!$I$7:$I$34,"PM 10",'abrasion emissions'!$J$7:$J$34,"rural",'abrasion emissions'!$K$7:$K$34,"Tyre",'abrasion emissions'!$L$7:$L$34,"c")))))/1000000</f>
        <v>6.4034485702198815E-6</v>
      </c>
      <c r="CP146" s="7">
        <f>((SUMIFS('abrasion emissions'!$M$7:$M$34,'abrasion emissions'!$I$7:$I$34,"PM 2.5",'abrasion emissions'!$J$7:$J$34,"motorway",'abrasion emissions'!$K$7:$K$34,"Tyre",'abrasion emissions'!$L$7:$L$34,"b")*POWER(('vehicles specifications'!$Q146/1000),(1/SUMIFS('abrasion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specifications'!$P146/1000),(1/SUMIFS('abrasion emissions'!$M$7:$M$34,'abrasion emissions'!$I$7:$I$34,"PM 10",'abrasion emissions'!$J$7:$J$34,"motorway",'abrasion emissions'!$K$7:$K$34,"Tyre",'abrasion emissions'!$L$7:$L$34,"c")))))/1000000</f>
        <v>5.4665690269656866E-6</v>
      </c>
      <c r="CQ146" s="7">
        <f>((SUMIFS('abrasion emissions'!$M$7:$M$34,'abrasion emissions'!$I$7:$I$34,"PM 2.5",'abrasion emissions'!$J$7:$J$34,"urban",'abrasion emissions'!$K$7:$K$34,"Brake",'abrasion emissions'!$L$7:$L$34,"b")*POWER(('vehicles specifications'!$Q146/1000),(1/SUMIFS('abrasion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specifications'!$P146/1000),(1/SUMIFS('abrasion emissions'!$M$7:$M$34,'abrasion emissions'!$I$7:$I$34,"PM 10",'abrasion emissions'!$J$7:$J$34,"urban",'abrasion emissions'!$K$7:$K$34,"Brake",'abrasion emissions'!$L$7:$L$34,"c")))))/1000000</f>
        <v>8.1626248466404993E-6</v>
      </c>
      <c r="CR146" s="7">
        <f>((SUMIFS('abrasion emissions'!$M$7:$M$34,'abrasion emissions'!$I$7:$I$34,"PM 2.5",'abrasion emissions'!$J$7:$J$34,"rural",'abrasion emissions'!$K$7:$K$34,"Brake",'abrasion emissions'!$L$7:$L$34,"b")*POWER(('vehicles specifications'!$Q146/1000),(1/SUMIFS('abrasion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specifications'!$P146/1000),(1/SUMIFS('abrasion emissions'!$M$7:$M$34,'abrasion emissions'!$I$7:$I$34,"PM 10",'abrasion emissions'!$J$7:$J$34,"rural",'abrasion emissions'!$K$7:$K$34,"Brake",'abrasion emissions'!$L$7:$L$34,"c")))))/1000000</f>
        <v>2.8634347375417522E-6</v>
      </c>
      <c r="CS146" s="7">
        <f>((SUMIFS('abrasion emissions'!$M$7:$M$34,'abrasion emissions'!$I$7:$I$34,"PM 2.5",'abrasion emissions'!$J$7:$J$34,"motorway",'abrasion emissions'!$K$7:$K$34,"Brake",'abrasion emissions'!$L$7:$L$34,"b")*POWER(('vehicles specifications'!$Q146/1000),(1/SUMIFS('abrasion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specifications'!$P146/1000),(1/SUMIFS('abrasion emissions'!$M$7:$M$34,'abrasion emissions'!$I$7:$I$34,"PM 10",'abrasion emissions'!$J$7:$J$34,"motorway",'abrasion emissions'!$K$7:$K$34,"Brake",'abrasion emissions'!$L$7:$L$34,"c")))))/1000000</f>
        <v>5.6402999244894088E-7</v>
      </c>
      <c r="CT146" s="7">
        <f>((SUMIFS('abrasion emissions'!$M$7:$M$38,'abrasion emissions'!$I$7:$I$38,"PM 2.5",'abrasion emissions'!$K$7:$K$38,"Re-susp.",'abrasion emissions'!$L$7:$L$38,"b")*POWER(('vehicles specifications'!$Q146/1000),(1/SUMIFS('abrasion emissions'!$M$7:$M$38,'abrasion emissions'!$I$7:$I$38,"PM 2.5",'abrasion emissions'!$K$7:$K$38,"Re-susp.",'abrasion emissions'!$L$7:$L$38,"c"))))+
(SUMIFS('abrasion emissions'!$M$7:$M$38,'abrasion emissions'!$I$7:$I$38,"PM 10",'abrasion emissions'!$K$7:$K$38,"Re-susp.",'abrasion emissions'!$L$7:$L$38,"b")*POWER(('vehicles specifications'!$Q146/1000),(1/SUMIFS('abrasion emissions'!$M$7:$M$38,'abrasion emissions'!$I$7:$I$38,"PM 10",'abrasion emissions'!$K$7:$K$38,"Re-susp.",'abrasion emissions'!$L$7:$L$38,"c")))))/1000000</f>
        <v>6.0292503457245331E-6</v>
      </c>
      <c r="CU146" s="7">
        <f>((SUMIFS('abrasion emissions'!$M$7:$M$38,'abrasion emissions'!$I$7:$I$38,"PM 2.5",'abrasion emissions'!$K$7:$K$38,"Road",'abrasion emissions'!$L$7:$L$38,"b")*POWER(('vehicles specifications'!$Q146/1000),(1/SUMIFS('abrasion emissions'!$M$7:$M$38,'abrasion emissions'!$I$7:$I$38,"PM 2.5",'abrasion emissions'!$K$7:$K$38,"Road",'abrasion emissions'!$L$7:$L$38,"c"))))+
(SUMIFS('abrasion emissions'!$M$7:$M$38,'abrasion emissions'!$I$7:$I$38,"PM 10",'abrasion emissions'!$K$7:$K$38,"Road",'abrasion emissions'!$L$7:$L$38,"b")*POWER(('vehicles specifications'!$Q146/1000),(1/SUMIFS('abrasion emissions'!$M$7:$M$38,'abrasion emissions'!$I$7:$I$38,"PM 10",'abrasion emissions'!$K$7:$K$38,"Road",'abrasion emissions'!$L$7:$L$38,"c")))))/1000000+CT146</f>
        <v>1.092599865782124E-5</v>
      </c>
      <c r="CV146" s="7">
        <f>(CK146*CN146)+(CL146*CO146)+(CM146*CP146)</f>
        <v>6.630708666350275E-6</v>
      </c>
      <c r="CW146" s="7">
        <f>(CK146*CQ146)+(CL146*CR146)+(CM146*CS146)</f>
        <v>3.8247295602882941E-6</v>
      </c>
    </row>
    <row r="147">
      <c r="A147" t="str">
        <f>B147&amp;" - "&amp;D147&amp;" - "&amp;IF(I147&lt;&gt;"",I147&amp;" - "&amp;E147,E147)</f>
        <v>Motorbike, battery electric, &gt;35kW - 2020 - LFP - CH</v>
      </c>
      <c r="B147" t="inlineStr">
        <is>
          <t>Motorbike, battery electric, &gt;35kW</t>
        </is>
      </c>
      <c r="D147" s="18" t="n">
        <v>2020</v>
      </c>
      <c r="E147" t="inlineStr">
        <is>
          <t>CH</t>
        </is>
      </c>
      <c r="F147" t="inlineStr">
        <is>
          <t>None</t>
        </is>
      </c>
      <c r="G147" t="inlineStr">
        <is>
          <t>vkm</t>
        </is>
      </c>
      <c r="H147" t="inlineStr">
        <is>
          <t>BEV</t>
        </is>
      </c>
      <c r="I147" t="inlineStr">
        <is>
          <t>LFP</t>
        </is>
      </c>
      <c r="J147" t="n">
        <v>40500</v>
      </c>
      <c r="K147" t="n">
        <v>2896</v>
      </c>
      <c r="L147" s="2">
        <f>J147/K147</f>
        <v>13.984806629834255</v>
      </c>
      <c r="M147" t="n">
        <v>1.1</v>
      </c>
      <c r="N147" t="n">
        <v>75</v>
      </c>
      <c r="O147" t="n">
        <v>6</v>
      </c>
      <c r="P147" s="2">
        <f>SUM(U147,V147,W147,AC147,AF147,AH147)</f>
        <v>279.64</v>
      </c>
      <c r="Q147" s="2">
        <f>P147+(M147*N147)+O147</f>
        <v>368.14</v>
      </c>
      <c r="R147" t="n">
        <v>49</v>
      </c>
      <c r="S147" s="2" t="n">
        <v>111</v>
      </c>
      <c r="T147" s="1" t="n">
        <v>0</v>
      </c>
      <c r="U147" s="2">
        <f>S147*(1-T147)</f>
        <v>111</v>
      </c>
      <c r="V147" s="2" t="n">
        <v>13.74</v>
      </c>
      <c r="W147" s="2" t="n">
        <v>22.9</v>
      </c>
      <c r="X147" s="3" t="n">
        <v>16.5</v>
      </c>
      <c r="Y147" s="1" t="n">
        <v>0.8</v>
      </c>
      <c r="Z147" s="3">
        <f>Y147*X147</f>
        <v>13.200000000000001</v>
      </c>
      <c r="AA147" s="3">
        <f>IF(I147&lt;&gt;"",X147/INDEX('energy battery'!$B$3:$D$6,MATCH('vehicles specifications'!$D147,'energy battery'!$A$3:$A$6,0),MATCH('vehicles specifications'!$I147,'energy battery'!$B$2:$D$2,0)),"")</f>
        <v>110</v>
      </c>
      <c r="AB147" s="3">
        <f>IF(AA147&lt;&gt;"",0.2*AA147,"")</f>
        <v>22</v>
      </c>
      <c r="AC147" s="3">
        <f>IF(AA147&lt;&gt;"",AB147+AA147,"")</f>
        <v>132</v>
      </c>
      <c r="AD147" s="3" t="n">
        <v>1</v>
      </c>
      <c r="AE147" s="3" t="n">
        <v>0</v>
      </c>
      <c r="AF147">
        <f>AE147*'fuels and tailpipe emissions'!$B$3</f>
        <v>0</v>
      </c>
      <c r="AG147" t="n">
        <v>0</v>
      </c>
      <c r="AH147" s="3" t="n">
        <v>0</v>
      </c>
      <c r="AI147" s="3" t="n">
        <v>5</v>
      </c>
      <c r="AJ147" s="3" t="n">
        <v>1</v>
      </c>
      <c r="AK147">
        <f>J147/25000</f>
        <v>1.62</v>
      </c>
      <c r="AL147">
        <f>0.000537/1000*Q147</f>
        <v>1.9769117999999999E-4</v>
      </c>
      <c r="AM147" t="n">
        <v>0.00129</v>
      </c>
      <c r="AN147" s="2">
        <f>U147</f>
        <v>111</v>
      </c>
      <c r="AO147" s="2">
        <f>SUM(V147:W147)</f>
        <v>36.64</v>
      </c>
      <c r="AP147" s="2">
        <f>AC147</f>
        <v>132</v>
      </c>
      <c r="AQ147" s="6" t="inlineStr"/>
      <c r="AR147" s="20" t="n"/>
      <c r="AS147" s="6" t="n">
        <v>0.2747318210135786</v>
      </c>
      <c r="AT147" s="2">
        <f>SUM(Z147,AG147)/(SUM(AQ147,AS147)/3.6)</f>
        <v>172.96867841767528</v>
      </c>
      <c r="AU147" s="5" t="n">
        <v>0</v>
      </c>
      <c r="AV147" s="5" t="n">
        <v>0</v>
      </c>
      <c r="AW147" s="7" t="n">
        <v>0</v>
      </c>
      <c r="AX147" s="7" t="n">
        <v>0</v>
      </c>
      <c r="AY147" s="7" t="n">
        <v>0</v>
      </c>
      <c r="AZ147" s="7" t="n">
        <v>0</v>
      </c>
      <c r="BA147" s="7" t="n">
        <v>0</v>
      </c>
      <c r="BB147" s="7" t="n">
        <v>0</v>
      </c>
      <c r="BC147" s="7" t="n">
        <v>0</v>
      </c>
      <c r="BD147" s="7" t="n">
        <v>0</v>
      </c>
      <c r="BE147" s="7" t="n">
        <v>0</v>
      </c>
      <c r="BF147" s="7" t="n">
        <v>0</v>
      </c>
      <c r="BG147" s="7" t="n">
        <v>0</v>
      </c>
      <c r="BH147" s="7" t="n">
        <v>0</v>
      </c>
      <c r="BI147" s="7" t="n">
        <v>0</v>
      </c>
      <c r="BJ147" s="7" t="n">
        <v>0</v>
      </c>
      <c r="BK147" s="7" t="n">
        <v>0</v>
      </c>
      <c r="BL147" s="7" t="n">
        <v>0</v>
      </c>
      <c r="BM147" s="7" t="n">
        <v>0</v>
      </c>
      <c r="BN147" s="7" t="n">
        <v>0</v>
      </c>
      <c r="BO147" s="7" t="n">
        <v>0</v>
      </c>
      <c r="BP147" s="7" t="n">
        <v>0</v>
      </c>
      <c r="BQ147" s="7" t="n">
        <v>0</v>
      </c>
      <c r="BR147" s="7" t="n">
        <v>0</v>
      </c>
      <c r="BS147" s="7" t="n">
        <v>0</v>
      </c>
      <c r="BT147" s="7" t="n">
        <v>0</v>
      </c>
      <c r="BU147" s="7" t="n">
        <v>0</v>
      </c>
      <c r="BV147" s="7" t="n">
        <v>0</v>
      </c>
      <c r="BW147" s="7" t="n">
        <v>0</v>
      </c>
      <c r="BX147" s="7" t="n">
        <v>0</v>
      </c>
      <c r="BY147" s="7" t="n">
        <v>0</v>
      </c>
      <c r="BZ147" s="7" t="n">
        <v>0</v>
      </c>
      <c r="CA147" s="7" t="n">
        <v>0</v>
      </c>
      <c r="CB147" s="7" t="n">
        <v>0</v>
      </c>
      <c r="CC147" s="7" t="n">
        <v>0</v>
      </c>
      <c r="CD147" s="7" t="n">
        <v>0</v>
      </c>
      <c r="CE147" s="7" t="n">
        <v>0</v>
      </c>
      <c r="CF147" s="7" t="n">
        <v>0</v>
      </c>
      <c r="CG147" s="7" t="n">
        <v>0</v>
      </c>
      <c r="CH147" s="7" t="n">
        <v>0</v>
      </c>
      <c r="CI147" s="7" t="n">
        <v>0</v>
      </c>
      <c r="CJ147" s="7" t="n">
        <v>0</v>
      </c>
      <c r="CK147" s="38">
        <f>VLOOKUP($B147,'abrasion emissions'!$O$7:$R$36,2,FALSE)</f>
        <v>0.33</v>
      </c>
      <c r="CL147" s="38">
        <f>VLOOKUP($B147,'abrasion emissions'!$O$7:$R$36,3,FALSE)</f>
        <v>0.33</v>
      </c>
      <c r="CM147" s="38">
        <f>VLOOKUP($B147,'abrasion emissions'!$O$7:$R$36,4,FALSE)</f>
        <v>0.33</v>
      </c>
      <c r="CN147" s="7">
        <f>((SUMIFS('abrasion emissions'!$M$7:$M$34,'abrasion emissions'!$I$7:$I$34,"PM 2.5",'abrasion emissions'!$J$7:$J$34,"urban",'abrasion emissions'!$K$7:$K$34,"Tyre",'abrasion emissions'!$L$7:$L$34,"b")*POWER(('vehicles specifications'!$Q147/1000),(1/SUMIFS('abrasion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specifications'!$P147/1000),(1/SUMIFS('abrasion emissions'!$M$7:$M$34,'abrasion emissions'!$I$7:$I$34,"PM 10",'abrasion emissions'!$J$7:$J$34,"urban",'abrasion emissions'!$K$7:$K$34,"Tyre",'abrasion emissions'!$L$7:$L$34,"c")))))/1000000</f>
        <v>8.6432334120275838E-6</v>
      </c>
      <c r="CO147" s="7">
        <f>((SUMIFS('abrasion emissions'!$M$7:$M$34,'abrasion emissions'!$I$7:$I$34,"PM 2.5",'abrasion emissions'!$J$7:$J$34,"rural",'abrasion emissions'!$K$7:$K$34,"Tyre",'abrasion emissions'!$L$7:$L$34,"b")*POWER(('vehicles specifications'!$Q147/1000),(1/SUMIFS('abrasion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specifications'!$P147/1000),(1/SUMIFS('abrasion emissions'!$M$7:$M$34,'abrasion emissions'!$I$7:$I$34,"PM 10",'abrasion emissions'!$J$7:$J$34,"rural",'abrasion emissions'!$K$7:$K$34,"Tyre",'abrasion emissions'!$L$7:$L$34,"c")))))/1000000</f>
        <v>6.7305212744637633E-6</v>
      </c>
      <c r="CP147" s="7">
        <f>((SUMIFS('abrasion emissions'!$M$7:$M$34,'abrasion emissions'!$I$7:$I$34,"PM 2.5",'abrasion emissions'!$J$7:$J$34,"motorway",'abrasion emissions'!$K$7:$K$34,"Tyre",'abrasion emissions'!$L$7:$L$34,"b")*POWER(('vehicles specifications'!$Q147/1000),(1/SUMIFS('abrasion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specifications'!$P147/1000),(1/SUMIFS('abrasion emissions'!$M$7:$M$34,'abrasion emissions'!$I$7:$I$34,"PM 10",'abrasion emissions'!$J$7:$J$34,"motorway",'abrasion emissions'!$K$7:$K$34,"Tyre",'abrasion emissions'!$L$7:$L$34,"c")))))/1000000</f>
        <v>5.7454335269605624E-6</v>
      </c>
      <c r="CQ147" s="7">
        <f>((SUMIFS('abrasion emissions'!$M$7:$M$34,'abrasion emissions'!$I$7:$I$34,"PM 2.5",'abrasion emissions'!$J$7:$J$34,"urban",'abrasion emissions'!$K$7:$K$34,"Brake",'abrasion emissions'!$L$7:$L$34,"b")*POWER(('vehicles specifications'!$Q147/1000),(1/SUMIFS('abrasion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specifications'!$P147/1000),(1/SUMIFS('abrasion emissions'!$M$7:$M$34,'abrasion emissions'!$I$7:$I$34,"PM 10",'abrasion emissions'!$J$7:$J$34,"urban",'abrasion emissions'!$K$7:$K$34,"Brake",'abrasion emissions'!$L$7:$L$34,"c")))))/1000000</f>
        <v>8.6487347976973476E-6</v>
      </c>
      <c r="CR147" s="7">
        <f>((SUMIFS('abrasion emissions'!$M$7:$M$34,'abrasion emissions'!$I$7:$I$34,"PM 2.5",'abrasion emissions'!$J$7:$J$34,"rural",'abrasion emissions'!$K$7:$K$34,"Brake",'abrasion emissions'!$L$7:$L$34,"b")*POWER(('vehicles specifications'!$Q147/1000),(1/SUMIFS('abrasion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specifications'!$P147/1000),(1/SUMIFS('abrasion emissions'!$M$7:$M$34,'abrasion emissions'!$I$7:$I$34,"PM 10",'abrasion emissions'!$J$7:$J$34,"rural",'abrasion emissions'!$K$7:$K$34,"Brake",'abrasion emissions'!$L$7:$L$34,"c")))))/1000000</f>
        <v>3.0811983336199091E-6</v>
      </c>
      <c r="CS147" s="7">
        <f>((SUMIFS('abrasion emissions'!$M$7:$M$34,'abrasion emissions'!$I$7:$I$34,"PM 2.5",'abrasion emissions'!$J$7:$J$34,"motorway",'abrasion emissions'!$K$7:$K$34,"Brake",'abrasion emissions'!$L$7:$L$34,"b")*POWER(('vehicles specifications'!$Q147/1000),(1/SUMIFS('abrasion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specifications'!$P147/1000),(1/SUMIFS('abrasion emissions'!$M$7:$M$34,'abrasion emissions'!$I$7:$I$34,"PM 10",'abrasion emissions'!$J$7:$J$34,"motorway",'abrasion emissions'!$K$7:$K$34,"Brake",'abrasion emissions'!$L$7:$L$34,"c")))))/1000000</f>
        <v>6.1371711998349789E-7</v>
      </c>
      <c r="CT147" s="7">
        <f>((SUMIFS('abrasion emissions'!$M$7:$M$38,'abrasion emissions'!$I$7:$I$38,"PM 2.5",'abrasion emissions'!$K$7:$K$38,"Re-susp.",'abrasion emissions'!$L$7:$L$38,"b")*POWER(('vehicles specifications'!$Q147/1000),(1/SUMIFS('abrasion emissions'!$M$7:$M$38,'abrasion emissions'!$I$7:$I$38,"PM 2.5",'abrasion emissions'!$K$7:$K$38,"Re-susp.",'abrasion emissions'!$L$7:$L$38,"c"))))+
(SUMIFS('abrasion emissions'!$M$7:$M$38,'abrasion emissions'!$I$7:$I$38,"PM 10",'abrasion emissions'!$K$7:$K$38,"Re-susp.",'abrasion emissions'!$L$7:$L$38,"b")*POWER(('vehicles specifications'!$Q147/1000),(1/SUMIFS('abrasion emissions'!$M$7:$M$38,'abrasion emissions'!$I$7:$I$38,"PM 10",'abrasion emissions'!$K$7:$K$38,"Re-susp.",'abrasion emissions'!$L$7:$L$38,"c")))))/1000000</f>
        <v>6.6116555356803817E-6</v>
      </c>
      <c r="CU147" s="7">
        <f>((SUMIFS('abrasion emissions'!$M$7:$M$38,'abrasion emissions'!$I$7:$I$38,"PM 2.5",'abrasion emissions'!$K$7:$K$38,"Road",'abrasion emissions'!$L$7:$L$38,"b")*POWER(('vehicles specifications'!$Q147/1000),(1/SUMIFS('abrasion emissions'!$M$7:$M$38,'abrasion emissions'!$I$7:$I$38,"PM 2.5",'abrasion emissions'!$K$7:$K$38,"Road",'abrasion emissions'!$L$7:$L$38,"c"))))+
(SUMIFS('abrasion emissions'!$M$7:$M$38,'abrasion emissions'!$I$7:$I$38,"PM 10",'abrasion emissions'!$K$7:$K$38,"Road",'abrasion emissions'!$L$7:$L$38,"b")*POWER(('vehicles specifications'!$Q147/1000),(1/SUMIFS('abrasion emissions'!$M$7:$M$38,'abrasion emissions'!$I$7:$I$38,"PM 10",'abrasion emissions'!$K$7:$K$38,"Road",'abrasion emissions'!$L$7:$L$38,"c")))))/1000000+CT147</f>
        <v>1.1850982604150876E-5</v>
      </c>
      <c r="CV147" s="7">
        <f>(CK147*CN147)+(CL147*CO147)+(CM147*CP147)</f>
        <v>6.96933211043913E-6</v>
      </c>
      <c r="CW147" s="7">
        <f>(CK147*CQ147)+(CL147*CR147)+(CM147*CS147)</f>
        <v>4.0734045829292491E-6</v>
      </c>
    </row>
    <row r="148">
      <c r="A148" t="str">
        <f>B148&amp;" - "&amp;D148&amp;" - "&amp;IF(I148&lt;&gt;"",I148&amp;" - "&amp;E148,E148)</f>
        <v>Motorbike, battery electric, &gt;35kW - 2030 - LFP - CH</v>
      </c>
      <c r="B148" t="inlineStr">
        <is>
          <t>Motorbike, battery electric, &gt;35kW</t>
        </is>
      </c>
      <c r="D148" s="18" t="n">
        <v>2030</v>
      </c>
      <c r="E148" t="inlineStr">
        <is>
          <t>CH</t>
        </is>
      </c>
      <c r="F148" t="inlineStr">
        <is>
          <t>None</t>
        </is>
      </c>
      <c r="G148" t="inlineStr">
        <is>
          <t>vkm</t>
        </is>
      </c>
      <c r="H148" t="inlineStr">
        <is>
          <t>BEV</t>
        </is>
      </c>
      <c r="I148" t="inlineStr">
        <is>
          <t>LFP</t>
        </is>
      </c>
      <c r="J148" t="n">
        <v>40500</v>
      </c>
      <c r="K148" t="n">
        <v>2896</v>
      </c>
      <c r="L148" s="2">
        <f>J148/K148</f>
        <v>13.984806629834255</v>
      </c>
      <c r="M148" t="n">
        <v>1.1</v>
      </c>
      <c r="N148" t="n">
        <v>75</v>
      </c>
      <c r="O148" t="n">
        <v>6</v>
      </c>
      <c r="P148" s="2">
        <f>SUM(U148,V148,W148,AC148,AF148,AH148)</f>
        <v>314.97666666666669</v>
      </c>
      <c r="Q148" s="2">
        <f>P148+(M148*N148)+O148</f>
        <v>403.47666666666669</v>
      </c>
      <c r="R148" t="n">
        <v>49</v>
      </c>
      <c r="S148" s="2" t="n">
        <v>111</v>
      </c>
      <c r="T148" s="1" t="n">
        <v>0.03</v>
      </c>
      <c r="U148" s="2">
        <f>S148*(1-T148)</f>
        <v>107.67</v>
      </c>
      <c r="V148" s="2" t="n">
        <v>13.74</v>
      </c>
      <c r="W148" s="2" t="n">
        <v>22.9</v>
      </c>
      <c r="X148" s="3" t="n">
        <v>25.6</v>
      </c>
      <c r="Y148" s="1" t="n">
        <v>0.8</v>
      </c>
      <c r="Z148" s="3">
        <f>Y148*X148</f>
        <v>20.480000000000004</v>
      </c>
      <c r="AA148" s="3">
        <f>IF(I148&lt;&gt;"",X148/INDEX('energy battery'!$B$3:$D$6,MATCH('vehicles specifications'!$D148,'energy battery'!$A$3:$A$6,0),MATCH('vehicles specifications'!$I148,'energy battery'!$B$2:$D$2,0)),"")</f>
        <v>142.22222222222223</v>
      </c>
      <c r="AB148" s="3">
        <f>IF(AA148&lt;&gt;"",0.2*AA148,"")</f>
        <v>28.444444444444446</v>
      </c>
      <c r="AC148" s="3">
        <f>IF(AA148&lt;&gt;"",AB148+AA148,"")</f>
        <v>170.66666666666669</v>
      </c>
      <c r="AD148" s="3" t="n">
        <v>0.5</v>
      </c>
      <c r="AE148" s="3" t="n">
        <v>0</v>
      </c>
      <c r="AF148">
        <f>AE148*'fuels and tailpipe emissions'!$B$3</f>
        <v>0</v>
      </c>
      <c r="AG148" t="n">
        <v>0</v>
      </c>
      <c r="AH148" s="3" t="n">
        <v>0</v>
      </c>
      <c r="AI148" s="3" t="n">
        <v>5</v>
      </c>
      <c r="AJ148" s="3" t="n">
        <v>1</v>
      </c>
      <c r="AK148">
        <f>J148/25000</f>
        <v>1.62</v>
      </c>
      <c r="AL148">
        <f>0.000537/1000*Q148</f>
        <v>2.1666697000000002E-4</v>
      </c>
      <c r="AM148" t="n">
        <v>0.00129</v>
      </c>
      <c r="AN148" s="2">
        <f>U148</f>
        <v>107.67</v>
      </c>
      <c r="AO148" s="2">
        <f>SUM(V148:W148)</f>
        <v>36.64</v>
      </c>
      <c r="AP148" s="2">
        <f>AC148</f>
        <v>170.66666666666669</v>
      </c>
      <c r="AQ148" s="6" t="inlineStr"/>
      <c r="AR148" s="20" t="n"/>
      <c r="AS148" s="6" t="n">
        <v>0.2747318210135786</v>
      </c>
      <c r="AT148" s="2">
        <f>SUM(Z148,AG148)/(SUM(AQ148,AS148)/3.6)</f>
        <v>268.363525302575</v>
      </c>
      <c r="AU148" s="5" t="n">
        <v>0</v>
      </c>
      <c r="AV148" s="5" t="n">
        <v>0</v>
      </c>
      <c r="AW148" s="7" t="n">
        <v>0</v>
      </c>
      <c r="AX148" s="7" t="n">
        <v>0</v>
      </c>
      <c r="AY148" s="7" t="n">
        <v>0</v>
      </c>
      <c r="AZ148" s="7" t="n">
        <v>0</v>
      </c>
      <c r="BA148" s="7" t="n">
        <v>0</v>
      </c>
      <c r="BB148" s="7" t="n">
        <v>0</v>
      </c>
      <c r="BC148" s="7" t="n">
        <v>0</v>
      </c>
      <c r="BD148" s="7" t="n">
        <v>0</v>
      </c>
      <c r="BE148" s="7" t="n">
        <v>0</v>
      </c>
      <c r="BF148" s="7" t="n">
        <v>0</v>
      </c>
      <c r="BG148" s="7" t="n">
        <v>0</v>
      </c>
      <c r="BH148" s="7" t="n">
        <v>0</v>
      </c>
      <c r="BI148" s="7" t="n">
        <v>0</v>
      </c>
      <c r="BJ148" s="7" t="n">
        <v>0</v>
      </c>
      <c r="BK148" s="7" t="n">
        <v>0</v>
      </c>
      <c r="BL148" s="7" t="n">
        <v>0</v>
      </c>
      <c r="BM148" s="7" t="n">
        <v>0</v>
      </c>
      <c r="BN148" s="7" t="n">
        <v>0</v>
      </c>
      <c r="BO148" s="7" t="n">
        <v>0</v>
      </c>
      <c r="BP148" s="7" t="n">
        <v>0</v>
      </c>
      <c r="BQ148" s="7" t="n">
        <v>0</v>
      </c>
      <c r="BR148" s="7" t="n">
        <v>0</v>
      </c>
      <c r="BS148" s="7" t="n">
        <v>0</v>
      </c>
      <c r="BT148" s="7" t="n">
        <v>0</v>
      </c>
      <c r="BU148" s="7" t="n">
        <v>0</v>
      </c>
      <c r="BV148" s="7" t="n">
        <v>0</v>
      </c>
      <c r="BW148" s="7" t="n">
        <v>0</v>
      </c>
      <c r="BX148" s="7" t="n">
        <v>0</v>
      </c>
      <c r="BY148" s="7" t="n">
        <v>0</v>
      </c>
      <c r="BZ148" s="7" t="n">
        <v>0</v>
      </c>
      <c r="CA148" s="7" t="n">
        <v>0</v>
      </c>
      <c r="CB148" s="7" t="n">
        <v>0</v>
      </c>
      <c r="CC148" s="7" t="n">
        <v>0</v>
      </c>
      <c r="CD148" s="7" t="n">
        <v>0</v>
      </c>
      <c r="CE148" s="7" t="n">
        <v>0</v>
      </c>
      <c r="CF148" s="7" t="n">
        <v>0</v>
      </c>
      <c r="CG148" s="7" t="n">
        <v>0</v>
      </c>
      <c r="CH148" s="7" t="n">
        <v>0</v>
      </c>
      <c r="CI148" s="7" t="n">
        <v>0</v>
      </c>
      <c r="CJ148" s="7" t="n">
        <v>0</v>
      </c>
      <c r="CK148" s="38">
        <f>VLOOKUP($B148,'abrasion emissions'!$O$7:$R$36,2,FALSE)</f>
        <v>0.33</v>
      </c>
      <c r="CL148" s="38">
        <f>VLOOKUP($B148,'abrasion emissions'!$O$7:$R$36,3,FALSE)</f>
        <v>0.33</v>
      </c>
      <c r="CM148" s="38">
        <f>VLOOKUP($B148,'abrasion emissions'!$O$7:$R$36,4,FALSE)</f>
        <v>0.33</v>
      </c>
      <c r="CN148" s="7">
        <f>((SUMIFS('abrasion emissions'!$M$7:$M$34,'abrasion emissions'!$I$7:$I$34,"PM 2.5",'abrasion emissions'!$J$7:$J$34,"urban",'abrasion emissions'!$K$7:$K$34,"Tyre",'abrasion emissions'!$L$7:$L$34,"b")*POWER(('vehicles specifications'!$Q148/1000),(1/SUMIFS('abrasion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specifications'!$P148/1000),(1/SUMIFS('abrasion emissions'!$M$7:$M$34,'abrasion emissions'!$I$7:$I$34,"PM 10",'abrasion emissions'!$J$7:$J$34,"urban",'abrasion emissions'!$K$7:$K$34,"Tyre",'abrasion emissions'!$L$7:$L$34,"c")))))/1000000</f>
        <v>9.0360971853240613E-6</v>
      </c>
      <c r="CO148" s="7">
        <f>((SUMIFS('abrasion emissions'!$M$7:$M$34,'abrasion emissions'!$I$7:$I$34,"PM 2.5",'abrasion emissions'!$J$7:$J$34,"rural",'abrasion emissions'!$K$7:$K$34,"Tyre",'abrasion emissions'!$L$7:$L$34,"b")*POWER(('vehicles specifications'!$Q148/1000),(1/SUMIFS('abrasion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specifications'!$P148/1000),(1/SUMIFS('abrasion emissions'!$M$7:$M$34,'abrasion emissions'!$I$7:$I$34,"PM 10",'abrasion emissions'!$J$7:$J$34,"rural",'abrasion emissions'!$K$7:$K$34,"Tyre",'abrasion emissions'!$L$7:$L$34,"c")))))/1000000</f>
        <v>7.0363280324702667E-6</v>
      </c>
      <c r="CP148" s="7">
        <f>((SUMIFS('abrasion emissions'!$M$7:$M$34,'abrasion emissions'!$I$7:$I$34,"PM 2.5",'abrasion emissions'!$J$7:$J$34,"motorway",'abrasion emissions'!$K$7:$K$34,"Tyre",'abrasion emissions'!$L$7:$L$34,"b")*POWER(('vehicles specifications'!$Q148/1000),(1/SUMIFS('abrasion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specifications'!$P148/1000),(1/SUMIFS('abrasion emissions'!$M$7:$M$34,'abrasion emissions'!$I$7:$I$34,"PM 10",'abrasion emissions'!$J$7:$J$34,"motorway",'abrasion emissions'!$K$7:$K$34,"Tyre",'abrasion emissions'!$L$7:$L$34,"c")))))/1000000</f>
        <v>6.0061861560847731E-6</v>
      </c>
      <c r="CQ148" s="7">
        <f>((SUMIFS('abrasion emissions'!$M$7:$M$34,'abrasion emissions'!$I$7:$I$34,"PM 2.5",'abrasion emissions'!$J$7:$J$34,"urban",'abrasion emissions'!$K$7:$K$34,"Brake",'abrasion emissions'!$L$7:$L$34,"b")*POWER(('vehicles specifications'!$Q148/1000),(1/SUMIFS('abrasion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specifications'!$P148/1000),(1/SUMIFS('abrasion emissions'!$M$7:$M$34,'abrasion emissions'!$I$7:$I$34,"PM 10",'abrasion emissions'!$J$7:$J$34,"urban",'abrasion emissions'!$K$7:$K$34,"Brake",'abrasion emissions'!$L$7:$L$34,"c")))))/1000000</f>
        <v>9.1088408826764166E-6</v>
      </c>
      <c r="CR148" s="7">
        <f>((SUMIFS('abrasion emissions'!$M$7:$M$34,'abrasion emissions'!$I$7:$I$34,"PM 2.5",'abrasion emissions'!$J$7:$J$34,"rural",'abrasion emissions'!$K$7:$K$34,"Brake",'abrasion emissions'!$L$7:$L$34,"b")*POWER(('vehicles specifications'!$Q148/1000),(1/SUMIFS('abrasion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specifications'!$P148/1000),(1/SUMIFS('abrasion emissions'!$M$7:$M$34,'abrasion emissions'!$I$7:$I$34,"PM 10",'abrasion emissions'!$J$7:$J$34,"rural",'abrasion emissions'!$K$7:$K$34,"Brake",'abrasion emissions'!$L$7:$L$34,"c")))))/1000000</f>
        <v>3.2903920147226761E-6</v>
      </c>
      <c r="CS148" s="7">
        <f>((SUMIFS('abrasion emissions'!$M$7:$M$34,'abrasion emissions'!$I$7:$I$34,"PM 2.5",'abrasion emissions'!$J$7:$J$34,"motorway",'abrasion emissions'!$K$7:$K$34,"Brake",'abrasion emissions'!$L$7:$L$34,"b")*POWER(('vehicles specifications'!$Q148/1000),(1/SUMIFS('abrasion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specifications'!$P148/1000),(1/SUMIFS('abrasion emissions'!$M$7:$M$34,'abrasion emissions'!$I$7:$I$34,"PM 10",'abrasion emissions'!$J$7:$J$34,"motorway",'abrasion emissions'!$K$7:$K$34,"Brake",'abrasion emissions'!$L$7:$L$34,"c")))))/1000000</f>
        <v>6.6197163170522606E-7</v>
      </c>
      <c r="CT148" s="7">
        <f>((SUMIFS('abrasion emissions'!$M$7:$M$38,'abrasion emissions'!$I$7:$I$38,"PM 2.5",'abrasion emissions'!$K$7:$K$38,"Re-susp.",'abrasion emissions'!$L$7:$L$38,"b")*POWER(('vehicles specifications'!$Q148/1000),(1/SUMIFS('abrasion emissions'!$M$7:$M$38,'abrasion emissions'!$I$7:$I$38,"PM 2.5",'abrasion emissions'!$K$7:$K$38,"Re-susp.",'abrasion emissions'!$L$7:$L$38,"c"))))+
(SUMIFS('abrasion emissions'!$M$7:$M$38,'abrasion emissions'!$I$7:$I$38,"PM 10",'abrasion emissions'!$K$7:$K$38,"Re-susp.",'abrasion emissions'!$L$7:$L$38,"b")*POWER(('vehicles specifications'!$Q148/1000),(1/SUMIFS('abrasion emissions'!$M$7:$M$38,'abrasion emissions'!$I$7:$I$38,"PM 10",'abrasion emissions'!$K$7:$K$38,"Re-susp.",'abrasion emissions'!$L$7:$L$38,"c")))))/1000000</f>
        <v>7.1861612978806318E-6</v>
      </c>
      <c r="CU148" s="7">
        <f>((SUMIFS('abrasion emissions'!$M$7:$M$38,'abrasion emissions'!$I$7:$I$38,"PM 2.5",'abrasion emissions'!$K$7:$K$38,"Road",'abrasion emissions'!$L$7:$L$38,"b")*POWER(('vehicles specifications'!$Q148/1000),(1/SUMIFS('abrasion emissions'!$M$7:$M$38,'abrasion emissions'!$I$7:$I$38,"PM 2.5",'abrasion emissions'!$K$7:$K$38,"Road",'abrasion emissions'!$L$7:$L$38,"c"))))+
(SUMIFS('abrasion emissions'!$M$7:$M$38,'abrasion emissions'!$I$7:$I$38,"PM 10",'abrasion emissions'!$K$7:$K$38,"Road",'abrasion emissions'!$L$7:$L$38,"b")*POWER(('vehicles specifications'!$Q148/1000),(1/SUMIFS('abrasion emissions'!$M$7:$M$38,'abrasion emissions'!$I$7:$I$38,"PM 10",'abrasion emissions'!$K$7:$K$38,"Road",'abrasion emissions'!$L$7:$L$38,"c")))))/1000000+CT148</f>
        <v>1.2755613159758067E-5</v>
      </c>
      <c r="CV148" s="7">
        <f>(CK148*CN148)+(CL148*CO148)+(CM148*CP148)</f>
        <v>7.2859417533801036E-6</v>
      </c>
      <c r="CW148" s="7">
        <f>(CK148*CQ148)+(CL148*CR148)+(CM148*CS148)</f>
        <v>4.3101974946044252E-6</v>
      </c>
    </row>
    <row r="149">
      <c r="A149" t="str">
        <f>B149&amp;" - "&amp;D149&amp;" - "&amp;IF(I149&lt;&gt;"",I149&amp;" - "&amp;E149,E149)</f>
        <v>Motorbike, battery electric, &gt;35kW - 2040 - LFP - CH</v>
      </c>
      <c r="B149" t="inlineStr">
        <is>
          <t>Motorbike, battery electric, &gt;35kW</t>
        </is>
      </c>
      <c r="D149" s="18" t="n">
        <v>2040</v>
      </c>
      <c r="E149" t="inlineStr">
        <is>
          <t>CH</t>
        </is>
      </c>
      <c r="F149" t="inlineStr">
        <is>
          <t>None</t>
        </is>
      </c>
      <c r="G149" t="inlineStr">
        <is>
          <t>vkm</t>
        </is>
      </c>
      <c r="H149" t="inlineStr">
        <is>
          <t>BEV</t>
        </is>
      </c>
      <c r="I149" t="inlineStr">
        <is>
          <t>LFP</t>
        </is>
      </c>
      <c r="J149" t="n">
        <v>40500</v>
      </c>
      <c r="K149" t="n">
        <v>2896</v>
      </c>
      <c r="L149" s="2">
        <f>J149/K149</f>
        <v>13.984806629834255</v>
      </c>
      <c r="M149" t="n">
        <v>1.1</v>
      </c>
      <c r="N149" t="n">
        <v>75</v>
      </c>
      <c r="O149" t="n">
        <v>6</v>
      </c>
      <c r="P149" s="2">
        <f>SUM(U149,V149,W149,AC149,AF149,AH149)</f>
        <v>375.42333333333329</v>
      </c>
      <c r="Q149" s="2">
        <f>P149+(M149*N149)+O149</f>
        <v>463.92333333333329</v>
      </c>
      <c r="R149" t="n">
        <v>49</v>
      </c>
      <c r="S149" s="2" t="n">
        <v>111</v>
      </c>
      <c r="T149" s="1" t="n">
        <v>0.05</v>
      </c>
      <c r="U149" s="2">
        <f>S149*(1-T149)</f>
        <v>105.44999999999999</v>
      </c>
      <c r="V149" s="2" t="n">
        <v>13.74</v>
      </c>
      <c r="W149" s="2" t="n">
        <v>22.9</v>
      </c>
      <c r="X149" s="3" t="n">
        <v>35</v>
      </c>
      <c r="Y149" s="1" t="n">
        <v>0.8</v>
      </c>
      <c r="Z149" s="3">
        <f>Y149*X149</f>
        <v>28</v>
      </c>
      <c r="AA149" s="3">
        <f>IF(I149&lt;&gt;"",X149/INDEX('energy battery'!$B$3:$D$6,MATCH('vehicles specifications'!$D149,'energy battery'!$A$3:$A$6,0),MATCH('vehicles specifications'!$I149,'energy battery'!$B$2:$D$2,0)),"")</f>
        <v>194.44444444444446</v>
      </c>
      <c r="AB149" s="3">
        <f>IF(AA149&lt;&gt;"",0.2*AA149,"")</f>
        <v>38.888888888888893</v>
      </c>
      <c r="AC149" s="3">
        <f>IF(AA149&lt;&gt;"",AB149+AA149,"")</f>
        <v>233.33333333333334</v>
      </c>
      <c r="AD149" s="3" t="n">
        <v>0.25</v>
      </c>
      <c r="AE149" s="3" t="n">
        <v>0</v>
      </c>
      <c r="AF149">
        <f>AE149*'fuels and tailpipe emissions'!$B$3</f>
        <v>0</v>
      </c>
      <c r="AG149" t="n">
        <v>0</v>
      </c>
      <c r="AH149" s="3" t="n">
        <v>0</v>
      </c>
      <c r="AI149" s="3" t="n">
        <v>5</v>
      </c>
      <c r="AJ149" s="3" t="n">
        <v>1</v>
      </c>
      <c r="AK149">
        <f>J149/25000</f>
        <v>1.62</v>
      </c>
      <c r="AL149">
        <f>0.000537/1000*Q149</f>
        <v>2.4912683E-4</v>
      </c>
      <c r="AM149" t="n">
        <v>0.00129</v>
      </c>
      <c r="AN149" s="2">
        <f>U149</f>
        <v>105.44999999999999</v>
      </c>
      <c r="AO149" s="2">
        <f>SUM(V149:W149)</f>
        <v>36.64</v>
      </c>
      <c r="AP149" s="2">
        <f>AC149</f>
        <v>233.33333333333334</v>
      </c>
      <c r="AQ149" s="6" t="inlineStr"/>
      <c r="AR149" s="20" t="n"/>
      <c r="AS149" s="6" t="n">
        <v>0.2747318210135786</v>
      </c>
      <c r="AT149" s="2">
        <f>SUM(Z149,AG149)/(SUM(AQ149,AS149)/3.6)</f>
        <v>366.90325724961417</v>
      </c>
      <c r="AU149" s="5" t="n">
        <v>0</v>
      </c>
      <c r="AV149" s="5" t="n">
        <v>0</v>
      </c>
      <c r="AW149" s="7" t="n">
        <v>0</v>
      </c>
      <c r="AX149" s="7" t="n">
        <v>0</v>
      </c>
      <c r="AY149" s="7" t="n">
        <v>0</v>
      </c>
      <c r="AZ149" s="7" t="n">
        <v>0</v>
      </c>
      <c r="BA149" s="7" t="n">
        <v>0</v>
      </c>
      <c r="BB149" s="7" t="n">
        <v>0</v>
      </c>
      <c r="BC149" s="7" t="n">
        <v>0</v>
      </c>
      <c r="BD149" s="7" t="n">
        <v>0</v>
      </c>
      <c r="BE149" s="7" t="n">
        <v>0</v>
      </c>
      <c r="BF149" s="7" t="n">
        <v>0</v>
      </c>
      <c r="BG149" s="7" t="n">
        <v>0</v>
      </c>
      <c r="BH149" s="7" t="n">
        <v>0</v>
      </c>
      <c r="BI149" s="7" t="n">
        <v>0</v>
      </c>
      <c r="BJ149" s="7" t="n">
        <v>0</v>
      </c>
      <c r="BK149" s="7" t="n">
        <v>0</v>
      </c>
      <c r="BL149" s="7" t="n">
        <v>0</v>
      </c>
      <c r="BM149" s="7" t="n">
        <v>0</v>
      </c>
      <c r="BN149" s="7" t="n">
        <v>0</v>
      </c>
      <c r="BO149" s="7" t="n">
        <v>0</v>
      </c>
      <c r="BP149" s="7" t="n">
        <v>0</v>
      </c>
      <c r="BQ149" s="7" t="n">
        <v>0</v>
      </c>
      <c r="BR149" s="7" t="n">
        <v>0</v>
      </c>
      <c r="BS149" s="7" t="n">
        <v>0</v>
      </c>
      <c r="BT149" s="7" t="n">
        <v>0</v>
      </c>
      <c r="BU149" s="7" t="n">
        <v>0</v>
      </c>
      <c r="BV149" s="7" t="n">
        <v>0</v>
      </c>
      <c r="BW149" s="7" t="n">
        <v>0</v>
      </c>
      <c r="BX149" s="7" t="n">
        <v>0</v>
      </c>
      <c r="BY149" s="7" t="n">
        <v>0</v>
      </c>
      <c r="BZ149" s="7" t="n">
        <v>0</v>
      </c>
      <c r="CA149" s="7" t="n">
        <v>0</v>
      </c>
      <c r="CB149" s="7" t="n">
        <v>0</v>
      </c>
      <c r="CC149" s="7" t="n">
        <v>0</v>
      </c>
      <c r="CD149" s="7" t="n">
        <v>0</v>
      </c>
      <c r="CE149" s="7" t="n">
        <v>0</v>
      </c>
      <c r="CF149" s="7" t="n">
        <v>0</v>
      </c>
      <c r="CG149" s="7" t="n">
        <v>0</v>
      </c>
      <c r="CH149" s="7" t="n">
        <v>0</v>
      </c>
      <c r="CI149" s="7" t="n">
        <v>0</v>
      </c>
      <c r="CJ149" s="7" t="n">
        <v>0</v>
      </c>
      <c r="CK149" s="38">
        <f>VLOOKUP($B149,'abrasion emissions'!$O$7:$R$36,2,FALSE)</f>
        <v>0.33</v>
      </c>
      <c r="CL149" s="38">
        <f>VLOOKUP($B149,'abrasion emissions'!$O$7:$R$36,3,FALSE)</f>
        <v>0.33</v>
      </c>
      <c r="CM149" s="38">
        <f>VLOOKUP($B149,'abrasion emissions'!$O$7:$R$36,4,FALSE)</f>
        <v>0.33</v>
      </c>
      <c r="CN149" s="7">
        <f>((SUMIFS('abrasion emissions'!$M$7:$M$34,'abrasion emissions'!$I$7:$I$34,"PM 2.5",'abrasion emissions'!$J$7:$J$34,"urban",'abrasion emissions'!$K$7:$K$34,"Tyre",'abrasion emissions'!$L$7:$L$34,"b")*POWER(('vehicles specifications'!$Q149/1000),(1/SUMIFS('abrasion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specifications'!$P149/1000),(1/SUMIFS('abrasion emissions'!$M$7:$M$34,'abrasion emissions'!$I$7:$I$34,"PM 10",'abrasion emissions'!$J$7:$J$34,"urban",'abrasion emissions'!$K$7:$K$34,"Tyre",'abrasion emissions'!$L$7:$L$34,"c")))))/1000000</f>
        <v>9.6602976169098399E-6</v>
      </c>
      <c r="CO149" s="7">
        <f>((SUMIFS('abrasion emissions'!$M$7:$M$34,'abrasion emissions'!$I$7:$I$34,"PM 2.5",'abrasion emissions'!$J$7:$J$34,"rural",'abrasion emissions'!$K$7:$K$34,"Tyre",'abrasion emissions'!$L$7:$L$34,"b")*POWER(('vehicles specifications'!$Q149/1000),(1/SUMIFS('abrasion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specifications'!$P149/1000),(1/SUMIFS('abrasion emissions'!$M$7:$M$34,'abrasion emissions'!$I$7:$I$34,"PM 10",'abrasion emissions'!$J$7:$J$34,"rural",'abrasion emissions'!$K$7:$K$34,"Tyre",'abrasion emissions'!$L$7:$L$34,"c")))))/1000000</f>
        <v>7.5222210936765768E-6</v>
      </c>
      <c r="CP149" s="7">
        <f>((SUMIFS('abrasion emissions'!$M$7:$M$34,'abrasion emissions'!$I$7:$I$34,"PM 2.5",'abrasion emissions'!$J$7:$J$34,"motorway",'abrasion emissions'!$K$7:$K$34,"Tyre",'abrasion emissions'!$L$7:$L$34,"b")*POWER(('vehicles specifications'!$Q149/1000),(1/SUMIFS('abrasion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specifications'!$P149/1000),(1/SUMIFS('abrasion emissions'!$M$7:$M$34,'abrasion emissions'!$I$7:$I$34,"PM 10",'abrasion emissions'!$J$7:$J$34,"motorway",'abrasion emissions'!$K$7:$K$34,"Tyre",'abrasion emissions'!$L$7:$L$34,"c")))))/1000000</f>
        <v>6.4205256093156144E-6</v>
      </c>
      <c r="CQ149" s="7">
        <f>((SUMIFS('abrasion emissions'!$M$7:$M$34,'abrasion emissions'!$I$7:$I$34,"PM 2.5",'abrasion emissions'!$J$7:$J$34,"urban",'abrasion emissions'!$K$7:$K$34,"Brake",'abrasion emissions'!$L$7:$L$34,"b")*POWER(('vehicles specifications'!$Q149/1000),(1/SUMIFS('abrasion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specifications'!$P149/1000),(1/SUMIFS('abrasion emissions'!$M$7:$M$34,'abrasion emissions'!$I$7:$I$34,"PM 10",'abrasion emissions'!$J$7:$J$34,"urban",'abrasion emissions'!$K$7:$K$34,"Brake",'abrasion emissions'!$L$7:$L$34,"c")))))/1000000</f>
        <v>9.8503170955805575E-6</v>
      </c>
      <c r="CR149" s="7">
        <f>((SUMIFS('abrasion emissions'!$M$7:$M$34,'abrasion emissions'!$I$7:$I$34,"PM 2.5",'abrasion emissions'!$J$7:$J$34,"rural",'abrasion emissions'!$K$7:$K$34,"Brake",'abrasion emissions'!$L$7:$L$34,"b")*POWER(('vehicles specifications'!$Q149/1000),(1/SUMIFS('abrasion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specifications'!$P149/1000),(1/SUMIFS('abrasion emissions'!$M$7:$M$34,'abrasion emissions'!$I$7:$I$34,"PM 10",'abrasion emissions'!$J$7:$J$34,"rural",'abrasion emissions'!$K$7:$K$34,"Brake",'abrasion emissions'!$L$7:$L$34,"c")))))/1000000</f>
        <v>3.633508418497893E-6</v>
      </c>
      <c r="CS149" s="7">
        <f>((SUMIFS('abrasion emissions'!$M$7:$M$34,'abrasion emissions'!$I$7:$I$34,"PM 2.5",'abrasion emissions'!$J$7:$J$34,"motorway",'abrasion emissions'!$K$7:$K$34,"Brake",'abrasion emissions'!$L$7:$L$34,"b")*POWER(('vehicles specifications'!$Q149/1000),(1/SUMIFS('abrasion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specifications'!$P149/1000),(1/SUMIFS('abrasion emissions'!$M$7:$M$34,'abrasion emissions'!$I$7:$I$34,"PM 10",'abrasion emissions'!$J$7:$J$34,"motorway",'abrasion emissions'!$K$7:$K$34,"Brake",'abrasion emissions'!$L$7:$L$34,"c")))))/1000000</f>
        <v>7.4215031198572626E-7</v>
      </c>
      <c r="CT149" s="7">
        <f>((SUMIFS('abrasion emissions'!$M$7:$M$38,'abrasion emissions'!$I$7:$I$38,"PM 2.5",'abrasion emissions'!$K$7:$K$38,"Re-susp.",'abrasion emissions'!$L$7:$L$38,"b")*POWER(('vehicles specifications'!$Q149/1000),(1/SUMIFS('abrasion emissions'!$M$7:$M$38,'abrasion emissions'!$I$7:$I$38,"PM 2.5",'abrasion emissions'!$K$7:$K$38,"Re-susp.",'abrasion emissions'!$L$7:$L$38,"c"))))+
(SUMIFS('abrasion emissions'!$M$7:$M$38,'abrasion emissions'!$I$7:$I$38,"PM 10",'abrasion emissions'!$K$7:$K$38,"Re-susp.",'abrasion emissions'!$L$7:$L$38,"b")*POWER(('vehicles specifications'!$Q149/1000),(1/SUMIFS('abrasion emissions'!$M$7:$M$38,'abrasion emissions'!$I$7:$I$38,"PM 10",'abrasion emissions'!$K$7:$K$38,"Re-susp.",'abrasion emissions'!$L$7:$L$38,"c")))))/1000000</f>
        <v>8.1585529311578308E-6</v>
      </c>
      <c r="CU149" s="7">
        <f>((SUMIFS('abrasion emissions'!$M$7:$M$38,'abrasion emissions'!$I$7:$I$38,"PM 2.5",'abrasion emissions'!$K$7:$K$38,"Road",'abrasion emissions'!$L$7:$L$38,"b")*POWER(('vehicles specifications'!$Q149/1000),(1/SUMIFS('abrasion emissions'!$M$7:$M$38,'abrasion emissions'!$I$7:$I$38,"PM 2.5",'abrasion emissions'!$K$7:$K$38,"Road",'abrasion emissions'!$L$7:$L$38,"c"))))+
(SUMIFS('abrasion emissions'!$M$7:$M$38,'abrasion emissions'!$I$7:$I$38,"PM 10",'abrasion emissions'!$K$7:$K$38,"Road",'abrasion emissions'!$L$7:$L$38,"b")*POWER(('vehicles specifications'!$Q149/1000),(1/SUMIFS('abrasion emissions'!$M$7:$M$38,'abrasion emissions'!$I$7:$I$38,"PM 10",'abrasion emissions'!$K$7:$K$38,"Road",'abrasion emissions'!$L$7:$L$38,"c")))))/1000000+CT149</f>
        <v>1.4271223382393738E-5</v>
      </c>
      <c r="CV149" s="7">
        <f>(CK149*CN149)+(CL149*CO149)+(CM149*CP149)</f>
        <v>7.7890046255676709E-6</v>
      </c>
      <c r="CW149" s="7">
        <f>(CK149*CQ149)+(CL149*CR149)+(CM149*CS149)</f>
        <v>4.6945720226011785E-6</v>
      </c>
    </row>
    <row r="150">
      <c r="A150" t="str">
        <f>B150&amp;" - "&amp;D150&amp;" - "&amp;IF(I150&lt;&gt;"",I150&amp;" - "&amp;E150,E150)</f>
        <v>Motorbike, battery electric, &gt;35kW - 2050 - LFP - CH</v>
      </c>
      <c r="B150" t="inlineStr">
        <is>
          <t>Motorbike, battery electric, &gt;35kW</t>
        </is>
      </c>
      <c r="D150" s="18" t="n">
        <v>2050</v>
      </c>
      <c r="E150" t="inlineStr">
        <is>
          <t>CH</t>
        </is>
      </c>
      <c r="F150" t="inlineStr">
        <is>
          <t>None</t>
        </is>
      </c>
      <c r="G150" t="inlineStr">
        <is>
          <t>vkm</t>
        </is>
      </c>
      <c r="H150" t="inlineStr">
        <is>
          <t>BEV</t>
        </is>
      </c>
      <c r="I150" t="inlineStr">
        <is>
          <t>LFP</t>
        </is>
      </c>
      <c r="J150" t="n">
        <v>40500</v>
      </c>
      <c r="K150" t="n">
        <v>2896</v>
      </c>
      <c r="L150" s="2">
        <f>J150/K150</f>
        <v>13.984806629834255</v>
      </c>
      <c r="M150" t="n">
        <v>1.1</v>
      </c>
      <c r="N150" t="n">
        <v>75</v>
      </c>
      <c r="O150" t="n">
        <v>6</v>
      </c>
      <c r="P150" s="2">
        <f>SUM(U150,V150,W150,AC150,AF150,AH150)</f>
        <v>406.87</v>
      </c>
      <c r="Q150" s="2">
        <f>P150+(M150*N150)+O150</f>
        <v>495.37</v>
      </c>
      <c r="R150" t="n">
        <v>49</v>
      </c>
      <c r="S150" s="2" t="n">
        <v>111</v>
      </c>
      <c r="T150" s="1" t="n">
        <v>0.07000000000000001</v>
      </c>
      <c r="U150" s="2">
        <f>S150*(1-T150)</f>
        <v>103.22999999999999</v>
      </c>
      <c r="V150" s="2" t="n">
        <v>13.74</v>
      </c>
      <c r="W150" s="2" t="n">
        <v>22.9</v>
      </c>
      <c r="X150" s="3" t="n">
        <v>44.5</v>
      </c>
      <c r="Y150" s="1" t="n">
        <v>0.8</v>
      </c>
      <c r="Z150" s="3">
        <f>Y150*X150</f>
        <v>35.6</v>
      </c>
      <c r="AA150" s="3">
        <f>IF(I150&lt;&gt;"",X150/INDEX('energy battery'!$B$3:$D$6,MATCH('vehicles specifications'!$D150,'energy battery'!$A$3:$A$6,0),MATCH('vehicles specifications'!$I150,'energy battery'!$B$2:$D$2,0)),"")</f>
        <v>222.5</v>
      </c>
      <c r="AB150" s="3">
        <f>IF(AA150&lt;&gt;"",0.2*AA150,"")</f>
        <v>44.5</v>
      </c>
      <c r="AC150" s="3">
        <f>IF(AA150&lt;&gt;"",AB150+AA150,"")</f>
        <v>267</v>
      </c>
      <c r="AD150" s="3" t="n">
        <v>0</v>
      </c>
      <c r="AE150" s="3" t="n">
        <v>0</v>
      </c>
      <c r="AF150">
        <f>AE150*'fuels and tailpipe emissions'!$B$3</f>
        <v>0</v>
      </c>
      <c r="AG150" t="n">
        <v>0</v>
      </c>
      <c r="AH150" s="3" t="n">
        <v>0</v>
      </c>
      <c r="AI150" s="3" t="n">
        <v>5</v>
      </c>
      <c r="AJ150" s="3" t="n">
        <v>1</v>
      </c>
      <c r="AK150">
        <f>J150/25000</f>
        <v>1.62</v>
      </c>
      <c r="AL150">
        <f>0.000537/1000*Q150</f>
        <v>2.6601369000000001E-4</v>
      </c>
      <c r="AM150" t="n">
        <v>0.00129</v>
      </c>
      <c r="AN150" s="2">
        <f>U150</f>
        <v>103.22999999999999</v>
      </c>
      <c r="AO150" s="2">
        <f>SUM(V150:W150)</f>
        <v>36.64</v>
      </c>
      <c r="AP150" s="2">
        <f>AC150</f>
        <v>267</v>
      </c>
      <c r="AQ150" s="6" t="inlineStr"/>
      <c r="AR150" s="20" t="n"/>
      <c r="AS150" s="6" t="n">
        <v>0.2747318210135786</v>
      </c>
      <c r="AT150" s="2">
        <f>SUM(Z150,AG150)/(SUM(AQ150,AS150)/3.6)</f>
        <v>466.49128421736663</v>
      </c>
      <c r="AU150" s="5" t="n">
        <v>0</v>
      </c>
      <c r="AV150" s="5" t="n">
        <v>0</v>
      </c>
      <c r="AW150" s="7" t="n">
        <v>0</v>
      </c>
      <c r="AX150" s="7" t="n">
        <v>0</v>
      </c>
      <c r="AY150" s="7" t="n">
        <v>0</v>
      </c>
      <c r="AZ150" s="7" t="n">
        <v>0</v>
      </c>
      <c r="BA150" s="7" t="n">
        <v>0</v>
      </c>
      <c r="BB150" s="7" t="n">
        <v>0</v>
      </c>
      <c r="BC150" s="7" t="n">
        <v>0</v>
      </c>
      <c r="BD150" s="7" t="n">
        <v>0</v>
      </c>
      <c r="BE150" s="7" t="n">
        <v>0</v>
      </c>
      <c r="BF150" s="7" t="n">
        <v>0</v>
      </c>
      <c r="BG150" s="7" t="n">
        <v>0</v>
      </c>
      <c r="BH150" s="7" t="n">
        <v>0</v>
      </c>
      <c r="BI150" s="7" t="n">
        <v>0</v>
      </c>
      <c r="BJ150" s="7" t="n">
        <v>0</v>
      </c>
      <c r="BK150" s="7" t="n">
        <v>0</v>
      </c>
      <c r="BL150" s="7" t="n">
        <v>0</v>
      </c>
      <c r="BM150" s="7" t="n">
        <v>0</v>
      </c>
      <c r="BN150" s="7" t="n">
        <v>0</v>
      </c>
      <c r="BO150" s="7" t="n">
        <v>0</v>
      </c>
      <c r="BP150" s="7" t="n">
        <v>0</v>
      </c>
      <c r="BQ150" s="7" t="n">
        <v>0</v>
      </c>
      <c r="BR150" s="7" t="n">
        <v>0</v>
      </c>
      <c r="BS150" s="7" t="n">
        <v>0</v>
      </c>
      <c r="BT150" s="7" t="n">
        <v>0</v>
      </c>
      <c r="BU150" s="7" t="n">
        <v>0</v>
      </c>
      <c r="BV150" s="7" t="n">
        <v>0</v>
      </c>
      <c r="BW150" s="7" t="n">
        <v>0</v>
      </c>
      <c r="BX150" s="7" t="n">
        <v>0</v>
      </c>
      <c r="BY150" s="7" t="n">
        <v>0</v>
      </c>
      <c r="BZ150" s="7" t="n">
        <v>0</v>
      </c>
      <c r="CA150" s="7" t="n">
        <v>0</v>
      </c>
      <c r="CB150" s="7" t="n">
        <v>0</v>
      </c>
      <c r="CC150" s="7" t="n">
        <v>0</v>
      </c>
      <c r="CD150" s="7" t="n">
        <v>0</v>
      </c>
      <c r="CE150" s="7" t="n">
        <v>0</v>
      </c>
      <c r="CF150" s="7" t="n">
        <v>0</v>
      </c>
      <c r="CG150" s="7" t="n">
        <v>0</v>
      </c>
      <c r="CH150" s="7" t="n">
        <v>0</v>
      </c>
      <c r="CI150" s="7" t="n">
        <v>0</v>
      </c>
      <c r="CJ150" s="7" t="n">
        <v>0</v>
      </c>
      <c r="CK150" s="38">
        <f>VLOOKUP($B150,'abrasion emissions'!$O$7:$R$36,2,FALSE)</f>
        <v>0.33</v>
      </c>
      <c r="CL150" s="38">
        <f>VLOOKUP($B150,'abrasion emissions'!$O$7:$R$36,3,FALSE)</f>
        <v>0.33</v>
      </c>
      <c r="CM150" s="38">
        <f>VLOOKUP($B150,'abrasion emissions'!$O$7:$R$36,4,FALSE)</f>
        <v>0.33</v>
      </c>
      <c r="CN150" s="7">
        <f>((SUMIFS('abrasion emissions'!$M$7:$M$34,'abrasion emissions'!$I$7:$I$34,"PM 2.5",'abrasion emissions'!$J$7:$J$34,"urban",'abrasion emissions'!$K$7:$K$34,"Tyre",'abrasion emissions'!$L$7:$L$34,"b")*POWER(('vehicles specifications'!$Q150/1000),(1/SUMIFS('abrasion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specifications'!$P150/1000),(1/SUMIFS('abrasion emissions'!$M$7:$M$34,'abrasion emissions'!$I$7:$I$34,"PM 10",'abrasion emissions'!$J$7:$J$34,"urban",'abrasion emissions'!$K$7:$K$34,"Tyre",'abrasion emissions'!$L$7:$L$34,"c")))))/1000000</f>
        <v>9.9649852174395537E-6</v>
      </c>
      <c r="CO150" s="7">
        <f>((SUMIFS('abrasion emissions'!$M$7:$M$34,'abrasion emissions'!$I$7:$I$34,"PM 2.5",'abrasion emissions'!$J$7:$J$34,"rural",'abrasion emissions'!$K$7:$K$34,"Tyre",'abrasion emissions'!$L$7:$L$34,"b")*POWER(('vehicles specifications'!$Q150/1000),(1/SUMIFS('abrasion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specifications'!$P150/1000),(1/SUMIFS('abrasion emissions'!$M$7:$M$34,'abrasion emissions'!$I$7:$I$34,"PM 10",'abrasion emissions'!$J$7:$J$34,"rural",'abrasion emissions'!$K$7:$K$34,"Tyre",'abrasion emissions'!$L$7:$L$34,"c")))))/1000000</f>
        <v>7.7594023499964561E-6</v>
      </c>
      <c r="CP150" s="7">
        <f>((SUMIFS('abrasion emissions'!$M$7:$M$34,'abrasion emissions'!$I$7:$I$34,"PM 2.5",'abrasion emissions'!$J$7:$J$34,"motorway",'abrasion emissions'!$K$7:$K$34,"Tyre",'abrasion emissions'!$L$7:$L$34,"b")*POWER(('vehicles specifications'!$Q150/1000),(1/SUMIFS('abrasion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specifications'!$P150/1000),(1/SUMIFS('abrasion emissions'!$M$7:$M$34,'abrasion emissions'!$I$7:$I$34,"PM 10",'abrasion emissions'!$J$7:$J$34,"motorway",'abrasion emissions'!$K$7:$K$34,"Tyre",'abrasion emissions'!$L$7:$L$34,"c")))))/1000000</f>
        <v>6.6227913431744041E-6</v>
      </c>
      <c r="CQ150" s="7">
        <f>((SUMIFS('abrasion emissions'!$M$7:$M$34,'abrasion emissions'!$I$7:$I$34,"PM 2.5",'abrasion emissions'!$J$7:$J$34,"urban",'abrasion emissions'!$K$7:$K$34,"Brake",'abrasion emissions'!$L$7:$L$34,"b")*POWER(('vehicles specifications'!$Q150/1000),(1/SUMIFS('abrasion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specifications'!$P150/1000),(1/SUMIFS('abrasion emissions'!$M$7:$M$34,'abrasion emissions'!$I$7:$I$34,"PM 10",'abrasion emissions'!$J$7:$J$34,"urban",'abrasion emissions'!$K$7:$K$34,"Brake",'abrasion emissions'!$L$7:$L$34,"c")))))/1000000</f>
        <v>1.0216649017360471E-5</v>
      </c>
      <c r="CR150" s="7">
        <f>((SUMIFS('abrasion emissions'!$M$7:$M$34,'abrasion emissions'!$I$7:$I$34,"PM 2.5",'abrasion emissions'!$J$7:$J$34,"rural",'abrasion emissions'!$K$7:$K$34,"Brake",'abrasion emissions'!$L$7:$L$34,"b")*POWER(('vehicles specifications'!$Q150/1000),(1/SUMIFS('abrasion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specifications'!$P150/1000),(1/SUMIFS('abrasion emissions'!$M$7:$M$34,'abrasion emissions'!$I$7:$I$34,"PM 10",'abrasion emissions'!$J$7:$J$34,"rural",'abrasion emissions'!$K$7:$K$34,"Brake",'abrasion emissions'!$L$7:$L$34,"c")))))/1000000</f>
        <v>3.805642323742952E-6</v>
      </c>
      <c r="CS150" s="7">
        <f>((SUMIFS('abrasion emissions'!$M$7:$M$34,'abrasion emissions'!$I$7:$I$34,"PM 2.5",'abrasion emissions'!$J$7:$J$34,"motorway",'abrasion emissions'!$K$7:$K$34,"Brake",'abrasion emissions'!$L$7:$L$34,"b")*POWER(('vehicles specifications'!$Q150/1000),(1/SUMIFS('abrasion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specifications'!$P150/1000),(1/SUMIFS('abrasion emissions'!$M$7:$M$34,'abrasion emissions'!$I$7:$I$34,"PM 10",'abrasion emissions'!$J$7:$J$34,"motorway",'abrasion emissions'!$K$7:$K$34,"Brake",'abrasion emissions'!$L$7:$L$34,"c")))))/1000000</f>
        <v>7.8282812573796634E-7</v>
      </c>
      <c r="CT150" s="7">
        <f>((SUMIFS('abrasion emissions'!$M$7:$M$38,'abrasion emissions'!$I$7:$I$38,"PM 2.5",'abrasion emissions'!$K$7:$K$38,"Re-susp.",'abrasion emissions'!$L$7:$L$38,"b")*POWER(('vehicles specifications'!$Q150/1000),(1/SUMIFS('abrasion emissions'!$M$7:$M$38,'abrasion emissions'!$I$7:$I$38,"PM 2.5",'abrasion emissions'!$K$7:$K$38,"Re-susp.",'abrasion emissions'!$L$7:$L$38,"c"))))+
(SUMIFS('abrasion emissions'!$M$7:$M$38,'abrasion emissions'!$I$7:$I$38,"PM 10",'abrasion emissions'!$K$7:$K$38,"Re-susp.",'abrasion emissions'!$L$7:$L$38,"b")*POWER(('vehicles specifications'!$Q150/1000),(1/SUMIFS('abrasion emissions'!$M$7:$M$38,'abrasion emissions'!$I$7:$I$38,"PM 10",'abrasion emissions'!$K$7:$K$38,"Re-susp.",'abrasion emissions'!$L$7:$L$38,"c")))))/1000000</f>
        <v>8.6597870657772438E-6</v>
      </c>
      <c r="CU150" s="7">
        <f>((SUMIFS('abrasion emissions'!$M$7:$M$38,'abrasion emissions'!$I$7:$I$38,"PM 2.5",'abrasion emissions'!$K$7:$K$38,"Road",'abrasion emissions'!$L$7:$L$38,"b")*POWER(('vehicles specifications'!$Q150/1000),(1/SUMIFS('abrasion emissions'!$M$7:$M$38,'abrasion emissions'!$I$7:$I$38,"PM 2.5",'abrasion emissions'!$K$7:$K$38,"Road",'abrasion emissions'!$L$7:$L$38,"c"))))+
(SUMIFS('abrasion emissions'!$M$7:$M$38,'abrasion emissions'!$I$7:$I$38,"PM 10",'abrasion emissions'!$K$7:$K$38,"Road",'abrasion emissions'!$L$7:$L$38,"b")*POWER(('vehicles specifications'!$Q150/1000),(1/SUMIFS('abrasion emissions'!$M$7:$M$38,'abrasion emissions'!$I$7:$I$38,"PM 10",'abrasion emissions'!$K$7:$K$38,"Road",'abrasion emissions'!$L$7:$L$38,"c")))))/1000000+CT150</f>
        <v>1.5045655592632479E-5</v>
      </c>
      <c r="CV150" s="7">
        <f>(CK150*CN150)+(CL150*CO150)+(CM150*CP150)</f>
        <v>8.0345690405014372E-6</v>
      </c>
      <c r="CW150" s="7">
        <f>(CK150*CQ150)+(CL150*CR150)+(CM150*CS150)</f>
        <v>4.8856894240576595E-6</v>
      </c>
    </row>
    <row r="151">
      <c r="A151" t="str">
        <f>B151&amp;" - "&amp;D151&amp;" - "&amp;IF(I151&lt;&gt;"",I151&amp;" - "&amp;E151,E151)</f>
        <v>Motorbike, battery electric, &lt;4kW - 2020 - NCA - CH</v>
      </c>
      <c r="B151" t="inlineStr">
        <is>
          <t>Motorbike, battery electric, &lt;4kW</t>
        </is>
      </c>
      <c r="D151" s="18" t="n">
        <v>2020</v>
      </c>
      <c r="E151" t="inlineStr">
        <is>
          <t>CH</t>
        </is>
      </c>
      <c r="F151" t="inlineStr">
        <is>
          <t>None</t>
        </is>
      </c>
      <c r="G151" t="inlineStr">
        <is>
          <t>vkm</t>
        </is>
      </c>
      <c r="H151" t="inlineStr">
        <is>
          <t>BEV</t>
        </is>
      </c>
      <c r="I151" t="inlineStr">
        <is>
          <t>NCA</t>
        </is>
      </c>
      <c r="J151" t="n">
        <v>25000</v>
      </c>
      <c r="K151" t="n">
        <v>1776</v>
      </c>
      <c r="L151" s="2">
        <f>J151/K151</f>
        <v>14.076576576576576</v>
      </c>
      <c r="M151" t="n">
        <v>1.1</v>
      </c>
      <c r="N151" t="n">
        <v>75</v>
      </c>
      <c r="O151" t="n">
        <v>6</v>
      </c>
      <c r="P151" s="2">
        <f>SUM(U151,V151,W151,AC151,AF151,AH151)</f>
        <v>75.173913043478265</v>
      </c>
      <c r="Q151" s="2">
        <f>P151+(M151*N151)+O151</f>
        <v>163.67391304347825</v>
      </c>
      <c r="R151" t="n">
        <v>2.5</v>
      </c>
      <c r="S151" s="2" t="n">
        <v>53</v>
      </c>
      <c r="T151" s="1" t="n">
        <v>0</v>
      </c>
      <c r="U151" s="2">
        <f>S151*(1-T151)</f>
        <v>53</v>
      </c>
      <c r="V151" s="2" t="n">
        <v>4.5</v>
      </c>
      <c r="W151" s="2" t="n">
        <v>7.5</v>
      </c>
      <c r="X151" s="3" t="n">
        <v>1.8</v>
      </c>
      <c r="Y151" s="1" t="n">
        <v>0.8</v>
      </c>
      <c r="Z151" s="3">
        <f>Y151*X151</f>
        <v>1.4400000000000002</v>
      </c>
      <c r="AA151" s="3">
        <f>IF(I151&lt;&gt;"",X151/INDEX('energy battery'!$B$3:$D$6,MATCH('vehicles specifications'!$D151,'energy battery'!$A$3:$A$6,0),MATCH('vehicles specifications'!$I151,'energy battery'!$B$2:$D$2,0)),"")</f>
        <v>7.8260869565217392</v>
      </c>
      <c r="AB151" s="3">
        <f>IF(AA151&lt;&gt;"",0.3*AA151,"")</f>
        <v>2.3478260869565215</v>
      </c>
      <c r="AC151" s="3">
        <f>IF(AA151&lt;&gt;"",AB151+AA151,"")</f>
        <v>10.173913043478262</v>
      </c>
      <c r="AD151" s="3" t="n">
        <v>1</v>
      </c>
      <c r="AE151" s="3" t="n">
        <v>0</v>
      </c>
      <c r="AF151">
        <f>AE151*'fuels and tailpipe emissions'!$B$3</f>
        <v>0</v>
      </c>
      <c r="AG151" t="n">
        <v>0</v>
      </c>
      <c r="AH151" s="3" t="n">
        <v>0</v>
      </c>
      <c r="AI151" s="3" t="n">
        <v>3</v>
      </c>
      <c r="AJ151" s="3" t="n">
        <v>1</v>
      </c>
      <c r="AK151">
        <f>J151/25000</f>
        <v>1</v>
      </c>
      <c r="AL151">
        <f>0.000537/1000*Q151</f>
        <v>8.7892891304347824E-5</v>
      </c>
      <c r="AM151" t="n">
        <v>0.00129</v>
      </c>
      <c r="AN151" s="2">
        <f>U151</f>
        <v>53</v>
      </c>
      <c r="AO151" s="2">
        <f>SUM(V151:W151)</f>
        <v>12</v>
      </c>
      <c r="AP151" s="2">
        <f>AC151</f>
        <v>10.173913043478262</v>
      </c>
      <c r="AQ151" s="6" t="inlineStr"/>
      <c r="AR151" s="20" t="n"/>
      <c r="AS151" s="6" t="n">
        <v>0.121</v>
      </c>
      <c r="AT151" s="2">
        <f>SUM(Z151,AG151)/(SUM(AQ151,AS151)/3.6)</f>
        <v>42.842975206611577</v>
      </c>
      <c r="AU151" s="5" t="n">
        <v>0</v>
      </c>
      <c r="AV151" s="5" t="n">
        <v>0</v>
      </c>
      <c r="AW151" s="7" t="n">
        <v>0</v>
      </c>
      <c r="AX151" s="7" t="n">
        <v>0</v>
      </c>
      <c r="AY151" s="7" t="n">
        <v>0</v>
      </c>
      <c r="AZ151" s="7" t="n">
        <v>0</v>
      </c>
      <c r="BA151" s="7" t="n">
        <v>0</v>
      </c>
      <c r="BB151" s="7" t="n">
        <v>0</v>
      </c>
      <c r="BC151" s="7" t="n">
        <v>0</v>
      </c>
      <c r="BD151" s="7" t="n">
        <v>0</v>
      </c>
      <c r="BE151" s="7" t="n">
        <v>0</v>
      </c>
      <c r="BF151" s="7" t="n">
        <v>0</v>
      </c>
      <c r="BG151" s="7" t="n">
        <v>0</v>
      </c>
      <c r="BH151" s="7" t="n">
        <v>0</v>
      </c>
      <c r="BI151" s="7" t="n">
        <v>0</v>
      </c>
      <c r="BJ151" s="7" t="n">
        <v>0</v>
      </c>
      <c r="BK151" s="7" t="n">
        <v>0</v>
      </c>
      <c r="BL151" s="7" t="n">
        <v>0</v>
      </c>
      <c r="BM151" s="7" t="n">
        <v>0</v>
      </c>
      <c r="BN151" s="7" t="n">
        <v>0</v>
      </c>
      <c r="BO151" s="7" t="n">
        <v>0</v>
      </c>
      <c r="BP151" s="7" t="n">
        <v>0</v>
      </c>
      <c r="BQ151" s="7" t="n">
        <v>0</v>
      </c>
      <c r="BR151" s="7" t="n">
        <v>0</v>
      </c>
      <c r="BS151" s="7" t="n">
        <v>0</v>
      </c>
      <c r="BT151" s="7" t="n">
        <v>0</v>
      </c>
      <c r="BU151" s="7" t="n">
        <v>0</v>
      </c>
      <c r="BV151" s="7" t="n">
        <v>0</v>
      </c>
      <c r="BW151" s="7" t="n">
        <v>0</v>
      </c>
      <c r="BX151" s="7" t="n">
        <v>0</v>
      </c>
      <c r="BY151" s="7" t="n">
        <v>0</v>
      </c>
      <c r="BZ151" s="7" t="n">
        <v>0</v>
      </c>
      <c r="CA151" s="7" t="n">
        <v>0</v>
      </c>
      <c r="CB151" s="7" t="n">
        <v>0</v>
      </c>
      <c r="CC151" s="7" t="n">
        <v>0</v>
      </c>
      <c r="CD151" s="7" t="n">
        <v>0</v>
      </c>
      <c r="CE151" s="7" t="n">
        <v>0</v>
      </c>
      <c r="CF151" s="7" t="n">
        <v>0</v>
      </c>
      <c r="CG151" s="7" t="n">
        <v>0</v>
      </c>
      <c r="CH151" s="7" t="n">
        <v>0</v>
      </c>
      <c r="CI151" s="7" t="n">
        <v>0</v>
      </c>
      <c r="CJ151" s="7" t="n">
        <v>0</v>
      </c>
      <c r="CK151" s="38">
        <f>VLOOKUP($B151,'abrasion emissions'!$O$7:$R$36,2,FALSE)</f>
        <v>0.33</v>
      </c>
      <c r="CL151" s="38">
        <f>VLOOKUP($B151,'abrasion emissions'!$O$7:$R$36,3,FALSE)</f>
        <v>0.33</v>
      </c>
      <c r="CM151" s="38">
        <f>VLOOKUP($B151,'abrasion emissions'!$O$7:$R$36,4,FALSE)</f>
        <v>0.33</v>
      </c>
      <c r="CN151" s="7">
        <f>((SUMIFS('abrasion emissions'!$M$7:$M$34,'abrasion emissions'!$I$7:$I$34,"PM 2.5",'abrasion emissions'!$J$7:$J$34,"urban",'abrasion emissions'!$K$7:$K$34,"Tyre",'abrasion emissions'!$L$7:$L$34,"b")*POWER(('vehicles specifications'!$Q151/1000),(1/SUMIFS('abrasion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specifications'!$P151/1000),(1/SUMIFS('abrasion emissions'!$M$7:$M$34,'abrasion emissions'!$I$7:$I$34,"PM 10",'abrasion emissions'!$J$7:$J$34,"urban",'abrasion emissions'!$K$7:$K$34,"Tyre",'abrasion emissions'!$L$7:$L$34,"c")))))/1000000</f>
        <v>5.6156821906044701E-6</v>
      </c>
      <c r="CO151" s="7">
        <f>((SUMIFS('abrasion emissions'!$M$7:$M$34,'abrasion emissions'!$I$7:$I$34,"PM 2.5",'abrasion emissions'!$J$7:$J$34,"rural",'abrasion emissions'!$K$7:$K$34,"Tyre",'abrasion emissions'!$L$7:$L$34,"b")*POWER(('vehicles specifications'!$Q151/1000),(1/SUMIFS('abrasion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specifications'!$P151/1000),(1/SUMIFS('abrasion emissions'!$M$7:$M$34,'abrasion emissions'!$I$7:$I$34,"PM 10",'abrasion emissions'!$J$7:$J$34,"rural",'abrasion emissions'!$K$7:$K$34,"Tyre",'abrasion emissions'!$L$7:$L$34,"c")))))/1000000</f>
        <v>4.3742629855107792E-6</v>
      </c>
      <c r="CP151" s="7">
        <f>((SUMIFS('abrasion emissions'!$M$7:$M$34,'abrasion emissions'!$I$7:$I$34,"PM 2.5",'abrasion emissions'!$J$7:$J$34,"motorway",'abrasion emissions'!$K$7:$K$34,"Tyre",'abrasion emissions'!$L$7:$L$34,"b")*POWER(('vehicles specifications'!$Q151/1000),(1/SUMIFS('abrasion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specifications'!$P151/1000),(1/SUMIFS('abrasion emissions'!$M$7:$M$34,'abrasion emissions'!$I$7:$I$34,"PM 10",'abrasion emissions'!$J$7:$J$34,"motorway",'abrasion emissions'!$K$7:$K$34,"Tyre",'abrasion emissions'!$L$7:$L$34,"c")))))/1000000</f>
        <v>3.7373239423547912E-6</v>
      </c>
      <c r="CQ151" s="7">
        <f>((SUMIFS('abrasion emissions'!$M$7:$M$34,'abrasion emissions'!$I$7:$I$34,"PM 2.5",'abrasion emissions'!$J$7:$J$34,"urban",'abrasion emissions'!$K$7:$K$34,"Brake",'abrasion emissions'!$L$7:$L$34,"b")*POWER(('vehicles specifications'!$Q151/1000),(1/SUMIFS('abrasion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specifications'!$P151/1000),(1/SUMIFS('abrasion emissions'!$M$7:$M$34,'abrasion emissions'!$I$7:$I$34,"PM 10",'abrasion emissions'!$J$7:$J$34,"urban",'abrasion emissions'!$K$7:$K$34,"Brake",'abrasion emissions'!$L$7:$L$34,"c")))))/1000000</f>
        <v>5.3189766554808063E-6</v>
      </c>
      <c r="CR151" s="7">
        <f>((SUMIFS('abrasion emissions'!$M$7:$M$34,'abrasion emissions'!$I$7:$I$34,"PM 2.5",'abrasion emissions'!$J$7:$J$34,"rural",'abrasion emissions'!$K$7:$K$34,"Brake",'abrasion emissions'!$L$7:$L$34,"b")*POWER(('vehicles specifications'!$Q151/1000),(1/SUMIFS('abrasion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specifications'!$P151/1000),(1/SUMIFS('abrasion emissions'!$M$7:$M$34,'abrasion emissions'!$I$7:$I$34,"PM 10",'abrasion emissions'!$J$7:$J$34,"rural",'abrasion emissions'!$K$7:$K$34,"Brake",'abrasion emissions'!$L$7:$L$34,"c")))))/1000000</f>
        <v>1.6670917210498422E-6</v>
      </c>
      <c r="CS151" s="7">
        <f>((SUMIFS('abrasion emissions'!$M$7:$M$34,'abrasion emissions'!$I$7:$I$34,"PM 2.5",'abrasion emissions'!$J$7:$J$34,"motorway",'abrasion emissions'!$K$7:$K$34,"Brake",'abrasion emissions'!$L$7:$L$34,"b")*POWER(('vehicles specifications'!$Q151/1000),(1/SUMIFS('abrasion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specifications'!$P151/1000),(1/SUMIFS('abrasion emissions'!$M$7:$M$34,'abrasion emissions'!$I$7:$I$34,"PM 10",'abrasion emissions'!$J$7:$J$34,"motorway",'abrasion emissions'!$K$7:$K$34,"Brake",'abrasion emissions'!$L$7:$L$34,"c")))))/1000000</f>
        <v>3.0316246254759511E-7</v>
      </c>
      <c r="CT151" s="7">
        <f>((SUMIFS('abrasion emissions'!$M$7:$M$38,'abrasion emissions'!$I$7:$I$38,"PM 2.5",'abrasion emissions'!$K$7:$K$38,"Re-susp.",'abrasion emissions'!$L$7:$L$38,"b")*POWER(('vehicles specifications'!$Q151/1000),(1/SUMIFS('abrasion emissions'!$M$7:$M$38,'abrasion emissions'!$I$7:$I$38,"PM 2.5",'abrasion emissions'!$K$7:$K$38,"Re-susp.",'abrasion emissions'!$L$7:$L$38,"c"))))+
(SUMIFS('abrasion emissions'!$M$7:$M$38,'abrasion emissions'!$I$7:$I$38,"PM 10",'abrasion emissions'!$K$7:$K$38,"Re-susp.",'abrasion emissions'!$L$7:$L$38,"b")*POWER(('vehicles specifications'!$Q151/1000),(1/SUMIFS('abrasion emissions'!$M$7:$M$38,'abrasion emissions'!$I$7:$I$38,"PM 10",'abrasion emissions'!$K$7:$K$38,"Re-susp.",'abrasion emissions'!$L$7:$L$38,"c")))))/1000000</f>
        <v>3.1643151149878927E-6</v>
      </c>
      <c r="CU151" s="7">
        <f>((SUMIFS('abrasion emissions'!$M$7:$M$38,'abrasion emissions'!$I$7:$I$38,"PM 2.5",'abrasion emissions'!$K$7:$K$38,"Road",'abrasion emissions'!$L$7:$L$38,"b")*POWER(('vehicles specifications'!$Q151/1000),(1/SUMIFS('abrasion emissions'!$M$7:$M$38,'abrasion emissions'!$I$7:$I$38,"PM 2.5",'abrasion emissions'!$K$7:$K$38,"Road",'abrasion emissions'!$L$7:$L$38,"c"))))+
(SUMIFS('abrasion emissions'!$M$7:$M$38,'abrasion emissions'!$I$7:$I$38,"PM 10",'abrasion emissions'!$K$7:$K$38,"Road",'abrasion emissions'!$L$7:$L$38,"b")*POWER(('vehicles specifications'!$Q151/1000),(1/SUMIFS('abrasion emissions'!$M$7:$M$38,'abrasion emissions'!$I$7:$I$38,"PM 10",'abrasion emissions'!$K$7:$K$38,"Road",'abrasion emissions'!$L$7:$L$38,"c")))))/1000000+CT151</f>
        <v>6.2163288381961753E-6</v>
      </c>
      <c r="CV151" s="7">
        <f>(CK151*CN151)+(CL151*CO151)+(CM151*CP151)</f>
        <v>4.5299988090951134E-6</v>
      </c>
      <c r="CW151" s="7">
        <f>(CK151*CQ151)+(CL151*CR151)+(CM151*CS151)</f>
        <v>2.4054461768958204E-6</v>
      </c>
    </row>
    <row r="152">
      <c r="A152" t="str">
        <f>B152&amp;" - "&amp;D152&amp;" - "&amp;IF(I152&lt;&gt;"",I152&amp;" - "&amp;E152,E152)</f>
        <v>Motorbike, battery electric, &lt;4kW - 2030 - NCA - CH</v>
      </c>
      <c r="B152" t="inlineStr">
        <is>
          <t>Motorbike, battery electric, &lt;4kW</t>
        </is>
      </c>
      <c r="D152" s="18" t="n">
        <v>2030</v>
      </c>
      <c r="E152" t="inlineStr">
        <is>
          <t>CH</t>
        </is>
      </c>
      <c r="F152" t="inlineStr">
        <is>
          <t>None</t>
        </is>
      </c>
      <c r="G152" t="inlineStr">
        <is>
          <t>vkm</t>
        </is>
      </c>
      <c r="H152" t="inlineStr">
        <is>
          <t>BEV</t>
        </is>
      </c>
      <c r="I152" t="inlineStr">
        <is>
          <t>NCA</t>
        </is>
      </c>
      <c r="J152" t="n">
        <v>25000</v>
      </c>
      <c r="K152" t="n">
        <v>1776</v>
      </c>
      <c r="L152" s="2">
        <f>J152/K152</f>
        <v>14.076576576576576</v>
      </c>
      <c r="M152" t="n">
        <v>1.1</v>
      </c>
      <c r="N152" t="n">
        <v>75</v>
      </c>
      <c r="O152" t="n">
        <v>6</v>
      </c>
      <c r="P152" s="2">
        <f>SUM(U152,V152,W152,AC152,AF152,AH152)</f>
        <v>77.276666666666671</v>
      </c>
      <c r="Q152" s="2">
        <f>P152+(M152*N152)+O152</f>
        <v>165.77666666666667</v>
      </c>
      <c r="R152" t="n">
        <v>2.5</v>
      </c>
      <c r="S152" s="2" t="n">
        <v>53</v>
      </c>
      <c r="T152" s="1" t="n">
        <v>0.03</v>
      </c>
      <c r="U152" s="2">
        <f>S152*(1-T152)</f>
        <v>51.41</v>
      </c>
      <c r="V152" s="2" t="n">
        <v>4.5</v>
      </c>
      <c r="W152" s="2" t="n">
        <v>7.5</v>
      </c>
      <c r="X152" s="3" t="n">
        <v>3.2</v>
      </c>
      <c r="Y152" s="1" t="n">
        <v>0.8</v>
      </c>
      <c r="Z152" s="3">
        <f>Y152*X152</f>
        <v>2.5600000000000005</v>
      </c>
      <c r="AA152" s="3">
        <f>IF(I152&lt;&gt;"",X152/INDEX('energy battery'!$B$3:$D$6,MATCH('vehicles specifications'!$D152,'energy battery'!$A$3:$A$6,0),MATCH('vehicles specifications'!$I152,'energy battery'!$B$2:$D$2,0)),"")</f>
        <v>10.666666666666668</v>
      </c>
      <c r="AB152" s="3">
        <f>IF(AA152&lt;&gt;"",0.3*AA152,"")</f>
        <v>3.2</v>
      </c>
      <c r="AC152" s="3">
        <f>IF(AA152&lt;&gt;"",AB152+AA152,"")</f>
        <v>13.866666666666667</v>
      </c>
      <c r="AD152" s="3" t="n">
        <v>0.5</v>
      </c>
      <c r="AE152" s="3" t="n">
        <v>0</v>
      </c>
      <c r="AF152">
        <f>AE152*'fuels and tailpipe emissions'!$B$3</f>
        <v>0</v>
      </c>
      <c r="AG152" t="n">
        <v>0</v>
      </c>
      <c r="AH152" s="3" t="n">
        <v>0</v>
      </c>
      <c r="AI152" s="3" t="n">
        <v>3</v>
      </c>
      <c r="AJ152" s="3" t="n">
        <v>1</v>
      </c>
      <c r="AK152">
        <f>J152/25000</f>
        <v>1</v>
      </c>
      <c r="AL152">
        <f>0.000537/1000*Q152</f>
        <v>8.9022070000000007E-5</v>
      </c>
      <c r="AM152" t="n">
        <v>0.00129</v>
      </c>
      <c r="AN152" s="2">
        <f>U152</f>
        <v>51.41</v>
      </c>
      <c r="AO152" s="2">
        <f>SUM(V152:W152)</f>
        <v>12</v>
      </c>
      <c r="AP152" s="2">
        <f>AC152</f>
        <v>13.866666666666667</v>
      </c>
      <c r="AQ152" s="6" t="inlineStr"/>
      <c r="AR152" s="20" t="n"/>
      <c r="AS152" s="6" t="n">
        <v>0.121</v>
      </c>
      <c r="AT152" s="2">
        <f>SUM(Z152,AG152)/(SUM(AQ152,AS152)/3.6)</f>
        <v>76.165289256198363</v>
      </c>
      <c r="AU152" s="5" t="n">
        <v>0</v>
      </c>
      <c r="AV152" s="5" t="n">
        <v>0</v>
      </c>
      <c r="AW152" s="7" t="n">
        <v>0</v>
      </c>
      <c r="AX152" s="7" t="n">
        <v>0</v>
      </c>
      <c r="AY152" s="7" t="n">
        <v>0</v>
      </c>
      <c r="AZ152" s="7" t="n">
        <v>0</v>
      </c>
      <c r="BA152" s="7" t="n">
        <v>0</v>
      </c>
      <c r="BB152" s="7" t="n">
        <v>0</v>
      </c>
      <c r="BC152" s="7" t="n">
        <v>0</v>
      </c>
      <c r="BD152" s="7" t="n">
        <v>0</v>
      </c>
      <c r="BE152" s="7" t="n">
        <v>0</v>
      </c>
      <c r="BF152" s="7" t="n">
        <v>0</v>
      </c>
      <c r="BG152" s="7" t="n">
        <v>0</v>
      </c>
      <c r="BH152" s="7" t="n">
        <v>0</v>
      </c>
      <c r="BI152" s="7" t="n">
        <v>0</v>
      </c>
      <c r="BJ152" s="7" t="n">
        <v>0</v>
      </c>
      <c r="BK152" s="7" t="n">
        <v>0</v>
      </c>
      <c r="BL152" s="7" t="n">
        <v>0</v>
      </c>
      <c r="BM152" s="7" t="n">
        <v>0</v>
      </c>
      <c r="BN152" s="7" t="n">
        <v>0</v>
      </c>
      <c r="BO152" s="7" t="n">
        <v>0</v>
      </c>
      <c r="BP152" s="7" t="n">
        <v>0</v>
      </c>
      <c r="BQ152" s="7" t="n">
        <v>0</v>
      </c>
      <c r="BR152" s="7" t="n">
        <v>0</v>
      </c>
      <c r="BS152" s="7" t="n">
        <v>0</v>
      </c>
      <c r="BT152" s="7" t="n">
        <v>0</v>
      </c>
      <c r="BU152" s="7" t="n">
        <v>0</v>
      </c>
      <c r="BV152" s="7" t="n">
        <v>0</v>
      </c>
      <c r="BW152" s="7" t="n">
        <v>0</v>
      </c>
      <c r="BX152" s="7" t="n">
        <v>0</v>
      </c>
      <c r="BY152" s="7" t="n">
        <v>0</v>
      </c>
      <c r="BZ152" s="7" t="n">
        <v>0</v>
      </c>
      <c r="CA152" s="7" t="n">
        <v>0</v>
      </c>
      <c r="CB152" s="7" t="n">
        <v>0</v>
      </c>
      <c r="CC152" s="7" t="n">
        <v>0</v>
      </c>
      <c r="CD152" s="7" t="n">
        <v>0</v>
      </c>
      <c r="CE152" s="7" t="n">
        <v>0</v>
      </c>
      <c r="CF152" s="7" t="n">
        <v>0</v>
      </c>
      <c r="CG152" s="7" t="n">
        <v>0</v>
      </c>
      <c r="CH152" s="7" t="n">
        <v>0</v>
      </c>
      <c r="CI152" s="7" t="n">
        <v>0</v>
      </c>
      <c r="CJ152" s="7" t="n">
        <v>0</v>
      </c>
      <c r="CK152" s="38">
        <f>VLOOKUP($B152,'abrasion emissions'!$O$7:$R$36,2,FALSE)</f>
        <v>0.33</v>
      </c>
      <c r="CL152" s="38">
        <f>VLOOKUP($B152,'abrasion emissions'!$O$7:$R$36,3,FALSE)</f>
        <v>0.33</v>
      </c>
      <c r="CM152" s="38">
        <f>VLOOKUP($B152,'abrasion emissions'!$O$7:$R$36,4,FALSE)</f>
        <v>0.33</v>
      </c>
      <c r="CN152" s="7">
        <f>((SUMIFS('abrasion emissions'!$M$7:$M$34,'abrasion emissions'!$I$7:$I$34,"PM 2.5",'abrasion emissions'!$J$7:$J$34,"urban",'abrasion emissions'!$K$7:$K$34,"Tyre",'abrasion emissions'!$L$7:$L$34,"b")*POWER(('vehicles specifications'!$Q152/1000),(1/SUMIFS('abrasion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specifications'!$P152/1000),(1/SUMIFS('abrasion emissions'!$M$7:$M$34,'abrasion emissions'!$I$7:$I$34,"PM 10",'abrasion emissions'!$J$7:$J$34,"urban",'abrasion emissions'!$K$7:$K$34,"Tyre",'abrasion emissions'!$L$7:$L$34,"c")))))/1000000</f>
        <v>5.659176301253236E-6</v>
      </c>
      <c r="CO152" s="7">
        <f>((SUMIFS('abrasion emissions'!$M$7:$M$34,'abrasion emissions'!$I$7:$I$34,"PM 2.5",'abrasion emissions'!$J$7:$J$34,"rural",'abrasion emissions'!$K$7:$K$34,"Tyre",'abrasion emissions'!$L$7:$L$34,"b")*POWER(('vehicles specifications'!$Q152/1000),(1/SUMIFS('abrasion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specifications'!$P152/1000),(1/SUMIFS('abrasion emissions'!$M$7:$M$34,'abrasion emissions'!$I$7:$I$34,"PM 10",'abrasion emissions'!$J$7:$J$34,"rural",'abrasion emissions'!$K$7:$K$34,"Tyre",'abrasion emissions'!$L$7:$L$34,"c")))))/1000000</f>
        <v>4.4081045239699584E-6</v>
      </c>
      <c r="CP152" s="7">
        <f>((SUMIFS('abrasion emissions'!$M$7:$M$34,'abrasion emissions'!$I$7:$I$34,"PM 2.5",'abrasion emissions'!$J$7:$J$34,"motorway",'abrasion emissions'!$K$7:$K$34,"Tyre",'abrasion emissions'!$L$7:$L$34,"b")*POWER(('vehicles specifications'!$Q152/1000),(1/SUMIFS('abrasion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specifications'!$P152/1000),(1/SUMIFS('abrasion emissions'!$M$7:$M$34,'abrasion emissions'!$I$7:$I$34,"PM 10",'abrasion emissions'!$J$7:$J$34,"motorway",'abrasion emissions'!$K$7:$K$34,"Tyre",'abrasion emissions'!$L$7:$L$34,"c")))))/1000000</f>
        <v>3.7661433554494425E-6</v>
      </c>
      <c r="CQ152" s="7">
        <f>((SUMIFS('abrasion emissions'!$M$7:$M$34,'abrasion emissions'!$I$7:$I$34,"PM 2.5",'abrasion emissions'!$J$7:$J$34,"urban",'abrasion emissions'!$K$7:$K$34,"Brake",'abrasion emissions'!$L$7:$L$34,"b")*POWER(('vehicles specifications'!$Q152/1000),(1/SUMIFS('abrasion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specifications'!$P152/1000),(1/SUMIFS('abrasion emissions'!$M$7:$M$34,'abrasion emissions'!$I$7:$I$34,"PM 10",'abrasion emissions'!$J$7:$J$34,"urban",'abrasion emissions'!$K$7:$K$34,"Brake",'abrasion emissions'!$L$7:$L$34,"c")))))/1000000</f>
        <v>5.363314896447151E-6</v>
      </c>
      <c r="CR152" s="7">
        <f>((SUMIFS('abrasion emissions'!$M$7:$M$34,'abrasion emissions'!$I$7:$I$34,"PM 2.5",'abrasion emissions'!$J$7:$J$34,"rural",'abrasion emissions'!$K$7:$K$34,"Brake",'abrasion emissions'!$L$7:$L$34,"b")*POWER(('vehicles specifications'!$Q152/1000),(1/SUMIFS('abrasion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specifications'!$P152/1000),(1/SUMIFS('abrasion emissions'!$M$7:$M$34,'abrasion emissions'!$I$7:$I$34,"PM 10",'abrasion emissions'!$J$7:$J$34,"rural",'abrasion emissions'!$K$7:$K$34,"Brake",'abrasion emissions'!$L$7:$L$34,"c")))))/1000000</f>
        <v>1.6845507492488338E-6</v>
      </c>
      <c r="CS152" s="7">
        <f>((SUMIFS('abrasion emissions'!$M$7:$M$34,'abrasion emissions'!$I$7:$I$34,"PM 2.5",'abrasion emissions'!$J$7:$J$34,"motorway",'abrasion emissions'!$K$7:$K$34,"Brake",'abrasion emissions'!$L$7:$L$34,"b")*POWER(('vehicles specifications'!$Q152/1000),(1/SUMIFS('abrasion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specifications'!$P152/1000),(1/SUMIFS('abrasion emissions'!$M$7:$M$34,'abrasion emissions'!$I$7:$I$34,"PM 10",'abrasion emissions'!$J$7:$J$34,"motorway",'abrasion emissions'!$K$7:$K$34,"Brake",'abrasion emissions'!$L$7:$L$34,"c")))))/1000000</f>
        <v>3.0678676285680688E-7</v>
      </c>
      <c r="CT152" s="7">
        <f>((SUMIFS('abrasion emissions'!$M$7:$M$38,'abrasion emissions'!$I$7:$I$38,"PM 2.5",'abrasion emissions'!$K$7:$K$38,"Re-susp.",'abrasion emissions'!$L$7:$L$38,"b")*POWER(('vehicles specifications'!$Q152/1000),(1/SUMIFS('abrasion emissions'!$M$7:$M$38,'abrasion emissions'!$I$7:$I$38,"PM 2.5",'abrasion emissions'!$K$7:$K$38,"Re-susp.",'abrasion emissions'!$L$7:$L$38,"c"))))+
(SUMIFS('abrasion emissions'!$M$7:$M$38,'abrasion emissions'!$I$7:$I$38,"PM 10",'abrasion emissions'!$K$7:$K$38,"Re-susp.",'abrasion emissions'!$L$7:$L$38,"b")*POWER(('vehicles specifications'!$Q152/1000),(1/SUMIFS('abrasion emissions'!$M$7:$M$38,'abrasion emissions'!$I$7:$I$38,"PM 10",'abrasion emissions'!$K$7:$K$38,"Re-susp.",'abrasion emissions'!$L$7:$L$38,"c")))))/1000000</f>
        <v>3.2012505702254139E-6</v>
      </c>
      <c r="CU152" s="7">
        <f>((SUMIFS('abrasion emissions'!$M$7:$M$38,'abrasion emissions'!$I$7:$I$38,"PM 2.5",'abrasion emissions'!$K$7:$K$38,"Road",'abrasion emissions'!$L$7:$L$38,"b")*POWER(('vehicles specifications'!$Q152/1000),(1/SUMIFS('abrasion emissions'!$M$7:$M$38,'abrasion emissions'!$I$7:$I$38,"PM 2.5",'abrasion emissions'!$K$7:$K$38,"Road",'abrasion emissions'!$L$7:$L$38,"c"))))+
(SUMIFS('abrasion emissions'!$M$7:$M$38,'abrasion emissions'!$I$7:$I$38,"PM 10",'abrasion emissions'!$K$7:$K$38,"Road",'abrasion emissions'!$L$7:$L$38,"b")*POWER(('vehicles specifications'!$Q152/1000),(1/SUMIFS('abrasion emissions'!$M$7:$M$38,'abrasion emissions'!$I$7:$I$38,"PM 10",'abrasion emissions'!$K$7:$K$38,"Road",'abrasion emissions'!$L$7:$L$38,"c")))))/1000000+CT152</f>
        <v>6.279348553390259E-6</v>
      </c>
      <c r="CV152" s="7">
        <f>(CK152*CN152)+(CL152*CO152)+(CM152*CP152)</f>
        <v>4.5650299796219703E-6</v>
      </c>
      <c r="CW152" s="7">
        <f>(CK152*CQ152)+(CL152*CR152)+(CM152*CS152)</f>
        <v>2.4270352948224213E-6</v>
      </c>
    </row>
    <row r="153">
      <c r="A153" t="str">
        <f>B153&amp;" - "&amp;D153&amp;" - "&amp;IF(I153&lt;&gt;"",I153&amp;" - "&amp;E153,E153)</f>
        <v>Motorbike, battery electric, &lt;4kW - 2040 - NCA - CH</v>
      </c>
      <c r="B153" t="inlineStr">
        <is>
          <t>Motorbike, battery electric, &lt;4kW</t>
        </is>
      </c>
      <c r="D153" s="18" t="n">
        <v>2040</v>
      </c>
      <c r="E153" t="inlineStr">
        <is>
          <t>CH</t>
        </is>
      </c>
      <c r="F153" t="inlineStr">
        <is>
          <t>None</t>
        </is>
      </c>
      <c r="G153" t="inlineStr">
        <is>
          <t>vkm</t>
        </is>
      </c>
      <c r="H153" t="inlineStr">
        <is>
          <t>BEV</t>
        </is>
      </c>
      <c r="I153" t="inlineStr">
        <is>
          <t>NCA</t>
        </is>
      </c>
      <c r="J153" t="n">
        <v>25000</v>
      </c>
      <c r="K153" t="n">
        <v>1776</v>
      </c>
      <c r="L153" s="2">
        <f>J153/K153</f>
        <v>14.076576576576576</v>
      </c>
      <c r="M153" t="n">
        <v>1.1</v>
      </c>
      <c r="N153" t="n">
        <v>75</v>
      </c>
      <c r="O153" t="n">
        <v>6</v>
      </c>
      <c r="P153" s="2">
        <f>SUM(U153,V153,W153,AC153,AF153,AH153)</f>
        <v>76.974999999999994</v>
      </c>
      <c r="Q153" s="2">
        <f>P153+(M153*N153)+O153</f>
        <v>165.47499999999999</v>
      </c>
      <c r="R153" t="n">
        <v>2.5</v>
      </c>
      <c r="S153" s="2" t="n">
        <v>53</v>
      </c>
      <c r="T153" s="1" t="n">
        <v>0.05</v>
      </c>
      <c r="U153" s="2">
        <f>S153*(1-T153)</f>
        <v>50.349999999999994</v>
      </c>
      <c r="V153" s="2" t="n">
        <v>4.5</v>
      </c>
      <c r="W153" s="2" t="n">
        <v>7.5</v>
      </c>
      <c r="X153" s="3" t="n">
        <v>4.5</v>
      </c>
      <c r="Y153" s="1" t="n">
        <v>0.8</v>
      </c>
      <c r="Z153" s="3">
        <f>Y153*X153</f>
        <v>3.6</v>
      </c>
      <c r="AA153" s="3">
        <f>IF(I153&lt;&gt;"",X153/INDEX('energy battery'!$B$3:$D$6,MATCH('vehicles specifications'!$D153,'energy battery'!$A$3:$A$6,0),MATCH('vehicles specifications'!$I153,'energy battery'!$B$2:$D$2,0)),"")</f>
        <v>11.25</v>
      </c>
      <c r="AB153" s="3">
        <f>IF(AA153&lt;&gt;"",0.3*AA153,"")</f>
        <v>3.375</v>
      </c>
      <c r="AC153" s="3">
        <f>IF(AA153&lt;&gt;"",AB153+AA153,"")</f>
        <v>14.625</v>
      </c>
      <c r="AD153" s="3" t="n">
        <v>0.25</v>
      </c>
      <c r="AE153" s="3" t="n">
        <v>0</v>
      </c>
      <c r="AF153">
        <f>AE153*'fuels and tailpipe emissions'!$B$3</f>
        <v>0</v>
      </c>
      <c r="AG153" t="n">
        <v>0</v>
      </c>
      <c r="AH153" s="3" t="n">
        <v>0</v>
      </c>
      <c r="AI153" s="3" t="n">
        <v>3</v>
      </c>
      <c r="AJ153" s="3" t="n">
        <v>1</v>
      </c>
      <c r="AK153">
        <f>J153/25000</f>
        <v>1</v>
      </c>
      <c r="AL153">
        <f>0.000537/1000*Q153</f>
        <v>8.8860074999999998E-5</v>
      </c>
      <c r="AM153" t="n">
        <v>0.00129</v>
      </c>
      <c r="AN153" s="2">
        <f>U153</f>
        <v>50.349999999999994</v>
      </c>
      <c r="AO153" s="2">
        <f>SUM(V153:W153)</f>
        <v>12</v>
      </c>
      <c r="AP153" s="2">
        <f>AC153</f>
        <v>14.625</v>
      </c>
      <c r="AQ153" s="6" t="inlineStr"/>
      <c r="AR153" s="20" t="n"/>
      <c r="AS153" s="6" t="n">
        <v>0.121</v>
      </c>
      <c r="AT153" s="2">
        <f>SUM(Z153,AG153)/(SUM(AQ153,AS153)/3.6)</f>
        <v>107.10743801652892</v>
      </c>
      <c r="AU153" s="5" t="n">
        <v>0</v>
      </c>
      <c r="AV153" s="5" t="n">
        <v>0</v>
      </c>
      <c r="AW153" s="7" t="n">
        <v>0</v>
      </c>
      <c r="AX153" s="7" t="n">
        <v>0</v>
      </c>
      <c r="AY153" s="7" t="n">
        <v>0</v>
      </c>
      <c r="AZ153" s="7" t="n">
        <v>0</v>
      </c>
      <c r="BA153" s="7" t="n">
        <v>0</v>
      </c>
      <c r="BB153" s="7" t="n">
        <v>0</v>
      </c>
      <c r="BC153" s="7" t="n">
        <v>0</v>
      </c>
      <c r="BD153" s="7" t="n">
        <v>0</v>
      </c>
      <c r="BE153" s="7" t="n">
        <v>0</v>
      </c>
      <c r="BF153" s="7" t="n">
        <v>0</v>
      </c>
      <c r="BG153" s="7" t="n">
        <v>0</v>
      </c>
      <c r="BH153" s="7" t="n">
        <v>0</v>
      </c>
      <c r="BI153" s="7" t="n">
        <v>0</v>
      </c>
      <c r="BJ153" s="7" t="n">
        <v>0</v>
      </c>
      <c r="BK153" s="7" t="n">
        <v>0</v>
      </c>
      <c r="BL153" s="7" t="n">
        <v>0</v>
      </c>
      <c r="BM153" s="7" t="n">
        <v>0</v>
      </c>
      <c r="BN153" s="7" t="n">
        <v>0</v>
      </c>
      <c r="BO153" s="7" t="n">
        <v>0</v>
      </c>
      <c r="BP153" s="7" t="n">
        <v>0</v>
      </c>
      <c r="BQ153" s="7" t="n">
        <v>0</v>
      </c>
      <c r="BR153" s="7" t="n">
        <v>0</v>
      </c>
      <c r="BS153" s="7" t="n">
        <v>0</v>
      </c>
      <c r="BT153" s="7" t="n">
        <v>0</v>
      </c>
      <c r="BU153" s="7" t="n">
        <v>0</v>
      </c>
      <c r="BV153" s="7" t="n">
        <v>0</v>
      </c>
      <c r="BW153" s="7" t="n">
        <v>0</v>
      </c>
      <c r="BX153" s="7" t="n">
        <v>0</v>
      </c>
      <c r="BY153" s="7" t="n">
        <v>0</v>
      </c>
      <c r="BZ153" s="7" t="n">
        <v>0</v>
      </c>
      <c r="CA153" s="7" t="n">
        <v>0</v>
      </c>
      <c r="CB153" s="7" t="n">
        <v>0</v>
      </c>
      <c r="CC153" s="7" t="n">
        <v>0</v>
      </c>
      <c r="CD153" s="7" t="n">
        <v>0</v>
      </c>
      <c r="CE153" s="7" t="n">
        <v>0</v>
      </c>
      <c r="CF153" s="7" t="n">
        <v>0</v>
      </c>
      <c r="CG153" s="7" t="n">
        <v>0</v>
      </c>
      <c r="CH153" s="7" t="n">
        <v>0</v>
      </c>
      <c r="CI153" s="7" t="n">
        <v>0</v>
      </c>
      <c r="CJ153" s="7" t="n">
        <v>0</v>
      </c>
      <c r="CK153" s="38">
        <f>VLOOKUP($B153,'abrasion emissions'!$O$7:$R$36,2,FALSE)</f>
        <v>0.33</v>
      </c>
      <c r="CL153" s="38">
        <f>VLOOKUP($B153,'abrasion emissions'!$O$7:$R$36,3,FALSE)</f>
        <v>0.33</v>
      </c>
      <c r="CM153" s="38">
        <f>VLOOKUP($B153,'abrasion emissions'!$O$7:$R$36,4,FALSE)</f>
        <v>0.33</v>
      </c>
      <c r="CN153" s="7">
        <f>((SUMIFS('abrasion emissions'!$M$7:$M$34,'abrasion emissions'!$I$7:$I$34,"PM 2.5",'abrasion emissions'!$J$7:$J$34,"urban",'abrasion emissions'!$K$7:$K$34,"Tyre",'abrasion emissions'!$L$7:$L$34,"b")*POWER(('vehicles specifications'!$Q153/1000),(1/SUMIFS('abrasion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specifications'!$P153/1000),(1/SUMIFS('abrasion emissions'!$M$7:$M$34,'abrasion emissions'!$I$7:$I$34,"PM 10",'abrasion emissions'!$J$7:$J$34,"urban",'abrasion emissions'!$K$7:$K$34,"Tyre",'abrasion emissions'!$L$7:$L$34,"c")))))/1000000</f>
        <v>5.6529673610133226E-6</v>
      </c>
      <c r="CO153" s="7">
        <f>((SUMIFS('abrasion emissions'!$M$7:$M$34,'abrasion emissions'!$I$7:$I$34,"PM 2.5",'abrasion emissions'!$J$7:$J$34,"rural",'abrasion emissions'!$K$7:$K$34,"Tyre",'abrasion emissions'!$L$7:$L$34,"b")*POWER(('vehicles specifications'!$Q153/1000),(1/SUMIFS('abrasion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specifications'!$P153/1000),(1/SUMIFS('abrasion emissions'!$M$7:$M$34,'abrasion emissions'!$I$7:$I$34,"PM 10",'abrasion emissions'!$J$7:$J$34,"rural",'abrasion emissions'!$K$7:$K$34,"Tyre",'abrasion emissions'!$L$7:$L$34,"c")))))/1000000</f>
        <v>4.4032734973734583E-6</v>
      </c>
      <c r="CP153" s="7">
        <f>((SUMIFS('abrasion emissions'!$M$7:$M$34,'abrasion emissions'!$I$7:$I$34,"PM 2.5",'abrasion emissions'!$J$7:$J$34,"motorway",'abrasion emissions'!$K$7:$K$34,"Tyre",'abrasion emissions'!$L$7:$L$34,"b")*POWER(('vehicles specifications'!$Q153/1000),(1/SUMIFS('abrasion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specifications'!$P153/1000),(1/SUMIFS('abrasion emissions'!$M$7:$M$34,'abrasion emissions'!$I$7:$I$34,"PM 10",'abrasion emissions'!$J$7:$J$34,"motorway",'abrasion emissions'!$K$7:$K$34,"Tyre",'abrasion emissions'!$L$7:$L$34,"c")))))/1000000</f>
        <v>3.7620291946392282E-6</v>
      </c>
      <c r="CQ153" s="7">
        <f>((SUMIFS('abrasion emissions'!$M$7:$M$34,'abrasion emissions'!$I$7:$I$34,"PM 2.5",'abrasion emissions'!$J$7:$J$34,"urban",'abrasion emissions'!$K$7:$K$34,"Brake",'abrasion emissions'!$L$7:$L$34,"b")*POWER(('vehicles specifications'!$Q153/1000),(1/SUMIFS('abrasion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specifications'!$P153/1000),(1/SUMIFS('abrasion emissions'!$M$7:$M$34,'abrasion emissions'!$I$7:$I$34,"PM 10",'abrasion emissions'!$J$7:$J$34,"urban",'abrasion emissions'!$K$7:$K$34,"Brake",'abrasion emissions'!$L$7:$L$34,"c")))))/1000000</f>
        <v>5.3569771884283161E-6</v>
      </c>
      <c r="CR153" s="7">
        <f>((SUMIFS('abrasion emissions'!$M$7:$M$34,'abrasion emissions'!$I$7:$I$34,"PM 2.5",'abrasion emissions'!$J$7:$J$34,"rural",'abrasion emissions'!$K$7:$K$34,"Brake",'abrasion emissions'!$L$7:$L$34,"b")*POWER(('vehicles specifications'!$Q153/1000),(1/SUMIFS('abrasion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specifications'!$P153/1000),(1/SUMIFS('abrasion emissions'!$M$7:$M$34,'abrasion emissions'!$I$7:$I$34,"PM 10",'abrasion emissions'!$J$7:$J$34,"rural",'abrasion emissions'!$K$7:$K$34,"Brake",'abrasion emissions'!$L$7:$L$34,"c")))))/1000000</f>
        <v>1.6820523805501958E-6</v>
      </c>
      <c r="CS153" s="7">
        <f>((SUMIFS('abrasion emissions'!$M$7:$M$34,'abrasion emissions'!$I$7:$I$34,"PM 2.5",'abrasion emissions'!$J$7:$J$34,"motorway",'abrasion emissions'!$K$7:$K$34,"Brake",'abrasion emissions'!$L$7:$L$34,"b")*POWER(('vehicles specifications'!$Q153/1000),(1/SUMIFS('abrasion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specifications'!$P153/1000),(1/SUMIFS('abrasion emissions'!$M$7:$M$34,'abrasion emissions'!$I$7:$I$34,"PM 10",'abrasion emissions'!$J$7:$J$34,"motorway",'abrasion emissions'!$K$7:$K$34,"Brake",'abrasion emissions'!$L$7:$L$34,"c")))))/1000000</f>
        <v>3.062677106110383E-7</v>
      </c>
      <c r="CT153" s="7">
        <f>((SUMIFS('abrasion emissions'!$M$7:$M$38,'abrasion emissions'!$I$7:$I$38,"PM 2.5",'abrasion emissions'!$K$7:$K$38,"Re-susp.",'abrasion emissions'!$L$7:$L$38,"b")*POWER(('vehicles specifications'!$Q153/1000),(1/SUMIFS('abrasion emissions'!$M$7:$M$38,'abrasion emissions'!$I$7:$I$38,"PM 2.5",'abrasion emissions'!$K$7:$K$38,"Re-susp.",'abrasion emissions'!$L$7:$L$38,"c"))))+
(SUMIFS('abrasion emissions'!$M$7:$M$38,'abrasion emissions'!$I$7:$I$38,"PM 10",'abrasion emissions'!$K$7:$K$38,"Re-susp.",'abrasion emissions'!$L$7:$L$38,"b")*POWER(('vehicles specifications'!$Q153/1000),(1/SUMIFS('abrasion emissions'!$M$7:$M$38,'abrasion emissions'!$I$7:$I$38,"PM 10",'abrasion emissions'!$K$7:$K$38,"Re-susp.",'abrasion emissions'!$L$7:$L$38,"c")))))/1000000</f>
        <v>3.1959543400666284E-6</v>
      </c>
      <c r="CU153" s="7">
        <f>((SUMIFS('abrasion emissions'!$M$7:$M$38,'abrasion emissions'!$I$7:$I$38,"PM 2.5",'abrasion emissions'!$K$7:$K$38,"Road",'abrasion emissions'!$L$7:$L$38,"b")*POWER(('vehicles specifications'!$Q153/1000),(1/SUMIFS('abrasion emissions'!$M$7:$M$38,'abrasion emissions'!$I$7:$I$38,"PM 2.5",'abrasion emissions'!$K$7:$K$38,"Road",'abrasion emissions'!$L$7:$L$38,"c"))))+
(SUMIFS('abrasion emissions'!$M$7:$M$38,'abrasion emissions'!$I$7:$I$38,"PM 10",'abrasion emissions'!$K$7:$K$38,"Road",'abrasion emissions'!$L$7:$L$38,"b")*POWER(('vehicles specifications'!$Q153/1000),(1/SUMIFS('abrasion emissions'!$M$7:$M$38,'abrasion emissions'!$I$7:$I$38,"PM 10",'abrasion emissions'!$K$7:$K$38,"Road",'abrasion emissions'!$L$7:$L$38,"c")))))/1000000+CT153</f>
        <v>6.2703170110420856E-6</v>
      </c>
      <c r="CV153" s="7">
        <f>(CK153*CN153)+(CL153*CO153)+(CM153*CP153)</f>
        <v>4.5600291174985831E-6</v>
      </c>
      <c r="CW153" s="7">
        <f>(CK153*CQ153)+(CL153*CR153)+(CM153*CS153)</f>
        <v>2.4239481022645517E-6</v>
      </c>
    </row>
    <row r="154">
      <c r="A154" t="str">
        <f>B154&amp;" - "&amp;D154&amp;" - "&amp;IF(I154&lt;&gt;"",I154&amp;" - "&amp;E154,E154)</f>
        <v>Motorbike, battery electric, &lt;4kW - 2050 - NCA - CH</v>
      </c>
      <c r="B154" t="inlineStr">
        <is>
          <t>Motorbike, battery electric, &lt;4kW</t>
        </is>
      </c>
      <c r="D154" s="18" t="n">
        <v>2050</v>
      </c>
      <c r="E154" t="inlineStr">
        <is>
          <t>CH</t>
        </is>
      </c>
      <c r="F154" t="inlineStr">
        <is>
          <t>None</t>
        </is>
      </c>
      <c r="G154" t="inlineStr">
        <is>
          <t>vkm</t>
        </is>
      </c>
      <c r="H154" t="inlineStr">
        <is>
          <t>BEV</t>
        </is>
      </c>
      <c r="I154" t="inlineStr">
        <is>
          <t>NCA</t>
        </is>
      </c>
      <c r="J154" t="n">
        <v>25000</v>
      </c>
      <c r="K154" t="n">
        <v>1776</v>
      </c>
      <c r="L154" s="2">
        <f>J154/K154</f>
        <v>14.076576576576576</v>
      </c>
      <c r="M154" t="n">
        <v>1.1</v>
      </c>
      <c r="N154" t="n">
        <v>75</v>
      </c>
      <c r="O154" t="n">
        <v>6</v>
      </c>
      <c r="P154" s="2">
        <f>SUM(U154,V154,W154,AC154,AF154,AH154)</f>
        <v>76.89</v>
      </c>
      <c r="Q154" s="2">
        <f>P154+(M154*N154)+O154</f>
        <v>165.39</v>
      </c>
      <c r="R154" t="n">
        <v>2.5</v>
      </c>
      <c r="S154" s="2" t="n">
        <v>53</v>
      </c>
      <c r="T154" s="1" t="n">
        <v>0.07000000000000001</v>
      </c>
      <c r="U154" s="2">
        <f>S154*(1-T154)</f>
        <v>49.29</v>
      </c>
      <c r="V154" s="2" t="n">
        <v>4.5</v>
      </c>
      <c r="W154" s="2" t="n">
        <v>7.5</v>
      </c>
      <c r="X154" s="3" t="n">
        <v>6</v>
      </c>
      <c r="Y154" s="1" t="n">
        <v>0.8</v>
      </c>
      <c r="Z154" s="3">
        <f>Y154*X154</f>
        <v>4.8000000000000007</v>
      </c>
      <c r="AA154" s="3">
        <f>IF(I154&lt;&gt;"",X154/INDEX('energy battery'!$B$3:$D$6,MATCH('vehicles specifications'!$D154,'energy battery'!$A$3:$A$6,0),MATCH('vehicles specifications'!$I154,'energy battery'!$B$2:$D$2,0)),"")</f>
        <v>12</v>
      </c>
      <c r="AB154" s="3">
        <f>IF(AA154&lt;&gt;"",0.3*AA154,"")</f>
        <v>3.5999999999999996</v>
      </c>
      <c r="AC154" s="3">
        <f>IF(AA154&lt;&gt;"",AB154+AA154,"")</f>
        <v>15.6</v>
      </c>
      <c r="AD154" s="3" t="n">
        <v>0</v>
      </c>
      <c r="AE154" s="3" t="n">
        <v>0</v>
      </c>
      <c r="AF154">
        <f>AE154*'fuels and tailpipe emissions'!$B$3</f>
        <v>0</v>
      </c>
      <c r="AG154" t="n">
        <v>0</v>
      </c>
      <c r="AH154" s="3" t="n">
        <v>0</v>
      </c>
      <c r="AI154" s="3" t="n">
        <v>3</v>
      </c>
      <c r="AJ154" s="3" t="n">
        <v>1</v>
      </c>
      <c r="AK154">
        <f>J154/25000</f>
        <v>1</v>
      </c>
      <c r="AL154">
        <f>0.000537/1000*Q154</f>
        <v>8.8814429999999997E-5</v>
      </c>
      <c r="AM154" t="n">
        <v>0.00129</v>
      </c>
      <c r="AN154" s="2">
        <f>U154</f>
        <v>49.29</v>
      </c>
      <c r="AO154" s="2">
        <f>SUM(V154:W154)</f>
        <v>12</v>
      </c>
      <c r="AP154" s="2">
        <f>AC154</f>
        <v>15.6</v>
      </c>
      <c r="AQ154" s="6" t="inlineStr"/>
      <c r="AR154" s="20" t="n"/>
      <c r="AS154" s="6" t="n">
        <v>0.121</v>
      </c>
      <c r="AT154" s="2">
        <f>SUM(Z154,AG154)/(SUM(AQ154,AS154)/3.6)</f>
        <v>142.80991735537191</v>
      </c>
      <c r="AU154" s="5" t="n">
        <v>0</v>
      </c>
      <c r="AV154" s="5" t="n">
        <v>0</v>
      </c>
      <c r="AW154" s="7" t="n">
        <v>0</v>
      </c>
      <c r="AX154" s="7" t="n">
        <v>0</v>
      </c>
      <c r="AY154" s="7" t="n">
        <v>0</v>
      </c>
      <c r="AZ154" s="7" t="n">
        <v>0</v>
      </c>
      <c r="BA154" s="7" t="n">
        <v>0</v>
      </c>
      <c r="BB154" s="7" t="n">
        <v>0</v>
      </c>
      <c r="BC154" s="7" t="n">
        <v>0</v>
      </c>
      <c r="BD154" s="7" t="n">
        <v>0</v>
      </c>
      <c r="BE154" s="7" t="n">
        <v>0</v>
      </c>
      <c r="BF154" s="7" t="n">
        <v>0</v>
      </c>
      <c r="BG154" s="7" t="n">
        <v>0</v>
      </c>
      <c r="BH154" s="7" t="n">
        <v>0</v>
      </c>
      <c r="BI154" s="7" t="n">
        <v>0</v>
      </c>
      <c r="BJ154" s="7" t="n">
        <v>0</v>
      </c>
      <c r="BK154" s="7" t="n">
        <v>0</v>
      </c>
      <c r="BL154" s="7" t="n">
        <v>0</v>
      </c>
      <c r="BM154" s="7" t="n">
        <v>0</v>
      </c>
      <c r="BN154" s="7" t="n">
        <v>0</v>
      </c>
      <c r="BO154" s="7" t="n">
        <v>0</v>
      </c>
      <c r="BP154" s="7" t="n">
        <v>0</v>
      </c>
      <c r="BQ154" s="7" t="n">
        <v>0</v>
      </c>
      <c r="BR154" s="7" t="n">
        <v>0</v>
      </c>
      <c r="BS154" s="7" t="n">
        <v>0</v>
      </c>
      <c r="BT154" s="7" t="n">
        <v>0</v>
      </c>
      <c r="BU154" s="7" t="n">
        <v>0</v>
      </c>
      <c r="BV154" s="7" t="n">
        <v>0</v>
      </c>
      <c r="BW154" s="7" t="n">
        <v>0</v>
      </c>
      <c r="BX154" s="7" t="n">
        <v>0</v>
      </c>
      <c r="BY154" s="7" t="n">
        <v>0</v>
      </c>
      <c r="BZ154" s="7" t="n">
        <v>0</v>
      </c>
      <c r="CA154" s="7" t="n">
        <v>0</v>
      </c>
      <c r="CB154" s="7" t="n">
        <v>0</v>
      </c>
      <c r="CC154" s="7" t="n">
        <v>0</v>
      </c>
      <c r="CD154" s="7" t="n">
        <v>0</v>
      </c>
      <c r="CE154" s="7" t="n">
        <v>0</v>
      </c>
      <c r="CF154" s="7" t="n">
        <v>0</v>
      </c>
      <c r="CG154" s="7" t="n">
        <v>0</v>
      </c>
      <c r="CH154" s="7" t="n">
        <v>0</v>
      </c>
      <c r="CI154" s="7" t="n">
        <v>0</v>
      </c>
      <c r="CJ154" s="7" t="n">
        <v>0</v>
      </c>
      <c r="CK154" s="38">
        <f>VLOOKUP($B154,'abrasion emissions'!$O$7:$R$36,2,FALSE)</f>
        <v>0.33</v>
      </c>
      <c r="CL154" s="38">
        <f>VLOOKUP($B154,'abrasion emissions'!$O$7:$R$36,3,FALSE)</f>
        <v>0.33</v>
      </c>
      <c r="CM154" s="38">
        <f>VLOOKUP($B154,'abrasion emissions'!$O$7:$R$36,4,FALSE)</f>
        <v>0.33</v>
      </c>
      <c r="CN154" s="7">
        <f>((SUMIFS('abrasion emissions'!$M$7:$M$34,'abrasion emissions'!$I$7:$I$34,"PM 2.5",'abrasion emissions'!$J$7:$J$34,"urban",'abrasion emissions'!$K$7:$K$34,"Tyre",'abrasion emissions'!$L$7:$L$34,"b")*POWER(('vehicles specifications'!$Q154/1000),(1/SUMIFS('abrasion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specifications'!$P154/1000),(1/SUMIFS('abrasion emissions'!$M$7:$M$34,'abrasion emissions'!$I$7:$I$34,"PM 10",'abrasion emissions'!$J$7:$J$34,"urban",'abrasion emissions'!$K$7:$K$34,"Tyre",'abrasion emissions'!$L$7:$L$34,"c")))))/1000000</f>
        <v>5.6512160332706273E-6</v>
      </c>
      <c r="CO154" s="7">
        <f>((SUMIFS('abrasion emissions'!$M$7:$M$34,'abrasion emissions'!$I$7:$I$34,"PM 2.5",'abrasion emissions'!$J$7:$J$34,"rural",'abrasion emissions'!$K$7:$K$34,"Tyre",'abrasion emissions'!$L$7:$L$34,"b")*POWER(('vehicles specifications'!$Q154/1000),(1/SUMIFS('abrasion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specifications'!$P154/1000),(1/SUMIFS('abrasion emissions'!$M$7:$M$34,'abrasion emissions'!$I$7:$I$34,"PM 10",'abrasion emissions'!$J$7:$J$34,"rural",'abrasion emissions'!$K$7:$K$34,"Tyre",'abrasion emissions'!$L$7:$L$34,"c")))))/1000000</f>
        <v>4.4019108330439076E-6</v>
      </c>
      <c r="CP154" s="7">
        <f>((SUMIFS('abrasion emissions'!$M$7:$M$34,'abrasion emissions'!$I$7:$I$34,"PM 2.5",'abrasion emissions'!$J$7:$J$34,"motorway",'abrasion emissions'!$K$7:$K$34,"Tyre",'abrasion emissions'!$L$7:$L$34,"b")*POWER(('vehicles specifications'!$Q154/1000),(1/SUMIFS('abrasion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specifications'!$P154/1000),(1/SUMIFS('abrasion emissions'!$M$7:$M$34,'abrasion emissions'!$I$7:$I$34,"PM 10",'abrasion emissions'!$J$7:$J$34,"motorway",'abrasion emissions'!$K$7:$K$34,"Tyre",'abrasion emissions'!$L$7:$L$34,"c")))))/1000000</f>
        <v>3.760868737027827E-6</v>
      </c>
      <c r="CQ154" s="7">
        <f>((SUMIFS('abrasion emissions'!$M$7:$M$34,'abrasion emissions'!$I$7:$I$34,"PM 2.5",'abrasion emissions'!$J$7:$J$34,"urban",'abrasion emissions'!$K$7:$K$34,"Brake",'abrasion emissions'!$L$7:$L$34,"b")*POWER(('vehicles specifications'!$Q154/1000),(1/SUMIFS('abrasion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specifications'!$P154/1000),(1/SUMIFS('abrasion emissions'!$M$7:$M$34,'abrasion emissions'!$I$7:$I$34,"PM 10",'abrasion emissions'!$J$7:$J$34,"urban",'abrasion emissions'!$K$7:$K$34,"Brake",'abrasion emissions'!$L$7:$L$34,"c")))))/1000000</f>
        <v>5.3551900351475154E-6</v>
      </c>
      <c r="CR154" s="7">
        <f>((SUMIFS('abrasion emissions'!$M$7:$M$34,'abrasion emissions'!$I$7:$I$34,"PM 2.5",'abrasion emissions'!$J$7:$J$34,"rural",'abrasion emissions'!$K$7:$K$34,"Brake",'abrasion emissions'!$L$7:$L$34,"b")*POWER(('vehicles specifications'!$Q154/1000),(1/SUMIFS('abrasion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specifications'!$P154/1000),(1/SUMIFS('abrasion emissions'!$M$7:$M$34,'abrasion emissions'!$I$7:$I$34,"PM 10",'abrasion emissions'!$J$7:$J$34,"rural",'abrasion emissions'!$K$7:$K$34,"Brake",'abrasion emissions'!$L$7:$L$34,"c")))))/1000000</f>
        <v>1.6813480390255736E-6</v>
      </c>
      <c r="CS154" s="7">
        <f>((SUMIFS('abrasion emissions'!$M$7:$M$34,'abrasion emissions'!$I$7:$I$34,"PM 2.5",'abrasion emissions'!$J$7:$J$34,"motorway",'abrasion emissions'!$K$7:$K$34,"Brake",'abrasion emissions'!$L$7:$L$34,"b")*POWER(('vehicles specifications'!$Q154/1000),(1/SUMIFS('abrasion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specifications'!$P154/1000),(1/SUMIFS('abrasion emissions'!$M$7:$M$34,'abrasion emissions'!$I$7:$I$34,"PM 10",'abrasion emissions'!$J$7:$J$34,"motorway",'abrasion emissions'!$K$7:$K$34,"Brake",'abrasion emissions'!$L$7:$L$34,"c")))))/1000000</f>
        <v>3.0612140427140868E-7</v>
      </c>
      <c r="CT154" s="7">
        <f>((SUMIFS('abrasion emissions'!$M$7:$M$38,'abrasion emissions'!$I$7:$I$38,"PM 2.5",'abrasion emissions'!$K$7:$K$38,"Re-susp.",'abrasion emissions'!$L$7:$L$38,"b")*POWER(('vehicles specifications'!$Q154/1000),(1/SUMIFS('abrasion emissions'!$M$7:$M$38,'abrasion emissions'!$I$7:$I$38,"PM 2.5",'abrasion emissions'!$K$7:$K$38,"Re-susp.",'abrasion emissions'!$L$7:$L$38,"c"))))+
(SUMIFS('abrasion emissions'!$M$7:$M$38,'abrasion emissions'!$I$7:$I$38,"PM 10",'abrasion emissions'!$K$7:$K$38,"Re-susp.",'abrasion emissions'!$L$7:$L$38,"b")*POWER(('vehicles specifications'!$Q154/1000),(1/SUMIFS('abrasion emissions'!$M$7:$M$38,'abrasion emissions'!$I$7:$I$38,"PM 10",'abrasion emissions'!$K$7:$K$38,"Re-susp.",'abrasion emissions'!$L$7:$L$38,"c")))))/1000000</f>
        <v>3.194461873679645E-6</v>
      </c>
      <c r="CU154" s="7">
        <f>((SUMIFS('abrasion emissions'!$M$7:$M$38,'abrasion emissions'!$I$7:$I$38,"PM 2.5",'abrasion emissions'!$K$7:$K$38,"Road",'abrasion emissions'!$L$7:$L$38,"b")*POWER(('vehicles specifications'!$Q154/1000),(1/SUMIFS('abrasion emissions'!$M$7:$M$38,'abrasion emissions'!$I$7:$I$38,"PM 2.5",'abrasion emissions'!$K$7:$K$38,"Road",'abrasion emissions'!$L$7:$L$38,"c"))))+
(SUMIFS('abrasion emissions'!$M$7:$M$38,'abrasion emissions'!$I$7:$I$38,"PM 10",'abrasion emissions'!$K$7:$K$38,"Road",'abrasion emissions'!$L$7:$L$38,"b")*POWER(('vehicles specifications'!$Q154/1000),(1/SUMIFS('abrasion emissions'!$M$7:$M$38,'abrasion emissions'!$I$7:$I$38,"PM 10",'abrasion emissions'!$K$7:$K$38,"Road",'abrasion emissions'!$L$7:$L$38,"c")))))/1000000+CT154</f>
        <v>6.267771643595028E-6</v>
      </c>
      <c r="CV154" s="7">
        <f>(CK154*CN154)+(CL154*CO154)+(CM154*CP154)</f>
        <v>4.5586185491029798E-6</v>
      </c>
      <c r="CW154" s="7">
        <f>(CK154*CQ154)+(CL154*CR154)+(CM154*CS154)</f>
        <v>2.4230776278866842E-6</v>
      </c>
    </row>
    <row r="155">
      <c r="A155" t="str">
        <f>B155&amp;" - "&amp;D155&amp;" - "&amp;IF(I155&lt;&gt;"",I155&amp;" - "&amp;E155,E155)</f>
        <v>Motorbike, battery electric, 4-11kW - 2020 - NCA - CH</v>
      </c>
      <c r="B155" t="inlineStr">
        <is>
          <t>Motorbike, battery electric, 4-11kW</t>
        </is>
      </c>
      <c r="D155" s="18" t="n">
        <v>2020</v>
      </c>
      <c r="E155" t="inlineStr">
        <is>
          <t>CH</t>
        </is>
      </c>
      <c r="F155" t="inlineStr">
        <is>
          <t>None</t>
        </is>
      </c>
      <c r="G155" t="inlineStr">
        <is>
          <t>vkm</t>
        </is>
      </c>
      <c r="H155" t="inlineStr">
        <is>
          <t>BEV</t>
        </is>
      </c>
      <c r="I155" t="inlineStr">
        <is>
          <t>NCA</t>
        </is>
      </c>
      <c r="J155" t="n">
        <v>25000</v>
      </c>
      <c r="K155" t="n">
        <v>1776</v>
      </c>
      <c r="L155" s="2">
        <f>J155/K155</f>
        <v>14.076576576576576</v>
      </c>
      <c r="M155" t="n">
        <v>1.1</v>
      </c>
      <c r="N155" t="n">
        <v>75</v>
      </c>
      <c r="O155" t="n">
        <v>6</v>
      </c>
      <c r="P155" s="2">
        <f>SUM(U155,V155,W155,AC155,AF155,AH155)</f>
        <v>114.54204478831883</v>
      </c>
      <c r="Q155" s="2">
        <f>P155+(M155*N155)+O155</f>
        <v>203.04204478831883</v>
      </c>
      <c r="R155" t="n">
        <v>4.7</v>
      </c>
      <c r="S155" s="2" t="n">
        <v>65.43382696032849</v>
      </c>
      <c r="T155" s="1" t="n">
        <v>0</v>
      </c>
      <c r="U155" s="2">
        <f>S155*(1-T155)</f>
        <v>65.433826960328489</v>
      </c>
      <c r="V155" s="2">
        <f>S155*0.2</f>
        <v>13.086765392065699</v>
      </c>
      <c r="W155" s="2">
        <f>U155*0.3</f>
        <v>19.630148088098547</v>
      </c>
      <c r="X155" s="3" t="n">
        <v>2.9</v>
      </c>
      <c r="Y155" s="1" t="n">
        <v>0.8</v>
      </c>
      <c r="Z155" s="3">
        <f>Y155*X155</f>
        <v>2.3199999999999998</v>
      </c>
      <c r="AA155" s="3">
        <f>IF(I155&lt;&gt;"",X155/INDEX('energy battery'!$B$3:$D$6,MATCH('vehicles specifications'!$D155,'energy battery'!$A$3:$A$6,0),MATCH('vehicles specifications'!$I155,'energy battery'!$B$2:$D$2,0)),"")</f>
        <v>12.608695652173912</v>
      </c>
      <c r="AB155" s="3">
        <f>IF(AA155&lt;&gt;"",0.3*AA155,"")</f>
        <v>3.7826086956521734</v>
      </c>
      <c r="AC155" s="3">
        <f>IF(AA155&lt;&gt;"",AB155+AA155,"")</f>
        <v>16.391304347826086</v>
      </c>
      <c r="AD155" s="3" t="n">
        <v>1</v>
      </c>
      <c r="AE155" s="3" t="n">
        <v>0</v>
      </c>
      <c r="AF155">
        <f>AE155*'fuels and tailpipe emissions'!$B$3</f>
        <v>0</v>
      </c>
      <c r="AG155" t="n">
        <v>0</v>
      </c>
      <c r="AH155" s="3" t="n">
        <v>0</v>
      </c>
      <c r="AI155" s="3" t="n">
        <v>3</v>
      </c>
      <c r="AJ155" s="3" t="n">
        <v>1</v>
      </c>
      <c r="AK155">
        <f>J155/25000</f>
        <v>1</v>
      </c>
      <c r="AL155">
        <f>0.000537/1000*Q155</f>
        <v>1.0903357805132722E-4</v>
      </c>
      <c r="AM155" t="n">
        <v>0.00129</v>
      </c>
      <c r="AN155" s="2">
        <f>U155</f>
        <v>65.433826960328489</v>
      </c>
      <c r="AO155" s="2">
        <f>SUM(V155:W155)</f>
        <v>32.716913480164244</v>
      </c>
      <c r="AP155" s="2">
        <f>AC155</f>
        <v>16.391304347826086</v>
      </c>
      <c r="AQ155" s="6" t="inlineStr"/>
      <c r="AR155" s="20" t="n"/>
      <c r="AS155" s="6" t="n">
        <v>0.182</v>
      </c>
      <c r="AT155" s="2">
        <f>SUM(Z155,AG155)/(SUM(AQ155,AS155)/3.6)</f>
        <v>45.890109890109891</v>
      </c>
      <c r="AU155" s="5" t="n">
        <v>0</v>
      </c>
      <c r="AV155" s="5" t="n">
        <v>0</v>
      </c>
      <c r="AW155" s="7" t="n">
        <v>0</v>
      </c>
      <c r="AX155" s="7" t="n">
        <v>0</v>
      </c>
      <c r="AY155" s="7" t="n">
        <v>0</v>
      </c>
      <c r="AZ155" s="7" t="n">
        <v>0</v>
      </c>
      <c r="BA155" s="7" t="n">
        <v>0</v>
      </c>
      <c r="BB155" s="7" t="n">
        <v>0</v>
      </c>
      <c r="BC155" s="7" t="n">
        <v>0</v>
      </c>
      <c r="BD155" s="7" t="n">
        <v>0</v>
      </c>
      <c r="BE155" s="7" t="n">
        <v>0</v>
      </c>
      <c r="BF155" s="7" t="n">
        <v>0</v>
      </c>
      <c r="BG155" s="7" t="n">
        <v>0</v>
      </c>
      <c r="BH155" s="7" t="n">
        <v>0</v>
      </c>
      <c r="BI155" s="7" t="n">
        <v>0</v>
      </c>
      <c r="BJ155" s="7" t="n">
        <v>0</v>
      </c>
      <c r="BK155" s="7" t="n">
        <v>0</v>
      </c>
      <c r="BL155" s="7" t="n">
        <v>0</v>
      </c>
      <c r="BM155" s="7" t="n">
        <v>0</v>
      </c>
      <c r="BN155" s="7" t="n">
        <v>0</v>
      </c>
      <c r="BO155" s="7" t="n">
        <v>0</v>
      </c>
      <c r="BP155" s="7" t="n">
        <v>0</v>
      </c>
      <c r="BQ155" s="7" t="n">
        <v>0</v>
      </c>
      <c r="BR155" s="7" t="n">
        <v>0</v>
      </c>
      <c r="BS155" s="7" t="n">
        <v>0</v>
      </c>
      <c r="BT155" s="7" t="n">
        <v>0</v>
      </c>
      <c r="BU155" s="7" t="n">
        <v>0</v>
      </c>
      <c r="BV155" s="7" t="n">
        <v>0</v>
      </c>
      <c r="BW155" s="7" t="n">
        <v>0</v>
      </c>
      <c r="BX155" s="7" t="n">
        <v>0</v>
      </c>
      <c r="BY155" s="7" t="n">
        <v>0</v>
      </c>
      <c r="BZ155" s="7" t="n">
        <v>0</v>
      </c>
      <c r="CA155" s="7" t="n">
        <v>0</v>
      </c>
      <c r="CB155" s="7" t="n">
        <v>0</v>
      </c>
      <c r="CC155" s="7" t="n">
        <v>0</v>
      </c>
      <c r="CD155" s="7" t="n">
        <v>0</v>
      </c>
      <c r="CE155" s="7" t="n">
        <v>0</v>
      </c>
      <c r="CF155" s="7" t="n">
        <v>0</v>
      </c>
      <c r="CG155" s="7" t="n">
        <v>0</v>
      </c>
      <c r="CH155" s="7" t="n">
        <v>0</v>
      </c>
      <c r="CI155" s="7" t="n">
        <v>0</v>
      </c>
      <c r="CJ155" s="7" t="n">
        <v>0</v>
      </c>
      <c r="CK155" s="38">
        <f>VLOOKUP($B155,'abrasion emissions'!$O$7:$R$36,2,FALSE)</f>
        <v>0.33</v>
      </c>
      <c r="CL155" s="38">
        <f>VLOOKUP($B155,'abrasion emissions'!$O$7:$R$36,3,FALSE)</f>
        <v>0.33</v>
      </c>
      <c r="CM155" s="38">
        <f>VLOOKUP($B155,'abrasion emissions'!$O$7:$R$36,4,FALSE)</f>
        <v>0.33</v>
      </c>
      <c r="CN155" s="7">
        <f>((SUMIFS('abrasion emissions'!$M$7:$M$34,'abrasion emissions'!$I$7:$I$34,"PM 2.5",'abrasion emissions'!$J$7:$J$34,"urban",'abrasion emissions'!$K$7:$K$34,"Tyre",'abrasion emissions'!$L$7:$L$34,"b")*POWER(('vehicles specifications'!$Q155/1000),(1/SUMIFS('abrasion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specifications'!$P155/1000),(1/SUMIFS('abrasion emissions'!$M$7:$M$34,'abrasion emissions'!$I$7:$I$34,"PM 10",'abrasion emissions'!$J$7:$J$34,"urban",'abrasion emissions'!$K$7:$K$34,"Tyre",'abrasion emissions'!$L$7:$L$34,"c")))))/1000000</f>
        <v>6.3607201541124046E-6</v>
      </c>
      <c r="CO155" s="7">
        <f>((SUMIFS('abrasion emissions'!$M$7:$M$34,'abrasion emissions'!$I$7:$I$34,"PM 2.5",'abrasion emissions'!$J$7:$J$34,"rural",'abrasion emissions'!$K$7:$K$34,"Tyre",'abrasion emissions'!$L$7:$L$34,"b")*POWER(('vehicles specifications'!$Q155/1000),(1/SUMIFS('abrasion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specifications'!$P155/1000),(1/SUMIFS('abrasion emissions'!$M$7:$M$34,'abrasion emissions'!$I$7:$I$34,"PM 10",'abrasion emissions'!$J$7:$J$34,"rural",'abrasion emissions'!$K$7:$K$34,"Tyre",'abrasion emissions'!$L$7:$L$34,"c")))))/1000000</f>
        <v>4.9540061611349249E-6</v>
      </c>
      <c r="CP155" s="7">
        <f>((SUMIFS('abrasion emissions'!$M$7:$M$34,'abrasion emissions'!$I$7:$I$34,"PM 2.5",'abrasion emissions'!$J$7:$J$34,"motorway",'abrasion emissions'!$K$7:$K$34,"Tyre",'abrasion emissions'!$L$7:$L$34,"b")*POWER(('vehicles specifications'!$Q155/1000),(1/SUMIFS('abrasion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specifications'!$P155/1000),(1/SUMIFS('abrasion emissions'!$M$7:$M$34,'abrasion emissions'!$I$7:$I$34,"PM 10",'abrasion emissions'!$J$7:$J$34,"motorway",'abrasion emissions'!$K$7:$K$34,"Tyre",'abrasion emissions'!$L$7:$L$34,"c")))))/1000000</f>
        <v>4.2311586044159563E-6</v>
      </c>
      <c r="CQ155" s="7">
        <f>((SUMIFS('abrasion emissions'!$M$7:$M$34,'abrasion emissions'!$I$7:$I$34,"PM 2.5",'abrasion emissions'!$J$7:$J$34,"urban",'abrasion emissions'!$K$7:$K$34,"Brake",'abrasion emissions'!$L$7:$L$34,"b")*POWER(('vehicles specifications'!$Q155/1000),(1/SUMIFS('abrasion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specifications'!$P155/1000),(1/SUMIFS('abrasion emissions'!$M$7:$M$34,'abrasion emissions'!$I$7:$I$34,"PM 10",'abrasion emissions'!$J$7:$J$34,"urban",'abrasion emissions'!$K$7:$K$34,"Brake",'abrasion emissions'!$L$7:$L$34,"c")))))/1000000</f>
        <v>6.0956260452608024E-6</v>
      </c>
      <c r="CR155" s="7">
        <f>((SUMIFS('abrasion emissions'!$M$7:$M$34,'abrasion emissions'!$I$7:$I$34,"PM 2.5",'abrasion emissions'!$J$7:$J$34,"rural",'abrasion emissions'!$K$7:$K$34,"Brake",'abrasion emissions'!$L$7:$L$34,"b")*POWER(('vehicles specifications'!$Q155/1000),(1/SUMIFS('abrasion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specifications'!$P155/1000),(1/SUMIFS('abrasion emissions'!$M$7:$M$34,'abrasion emissions'!$I$7:$I$34,"PM 10",'abrasion emissions'!$J$7:$J$34,"rural",'abrasion emissions'!$K$7:$K$34,"Brake",'abrasion emissions'!$L$7:$L$34,"c")))))/1000000</f>
        <v>1.9790817677043565E-6</v>
      </c>
      <c r="CS155" s="7">
        <f>((SUMIFS('abrasion emissions'!$M$7:$M$34,'abrasion emissions'!$I$7:$I$34,"PM 2.5",'abrasion emissions'!$J$7:$J$34,"motorway",'abrasion emissions'!$K$7:$K$34,"Brake",'abrasion emissions'!$L$7:$L$34,"b")*POWER(('vehicles specifications'!$Q155/1000),(1/SUMIFS('abrasion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specifications'!$P155/1000),(1/SUMIFS('abrasion emissions'!$M$7:$M$34,'abrasion emissions'!$I$7:$I$34,"PM 10",'abrasion emissions'!$J$7:$J$34,"motorway",'abrasion emissions'!$K$7:$K$34,"Brake",'abrasion emissions'!$L$7:$L$34,"c")))))/1000000</f>
        <v>3.6888343570008006E-7</v>
      </c>
      <c r="CT155" s="7">
        <f>((SUMIFS('abrasion emissions'!$M$7:$M$38,'abrasion emissions'!$I$7:$I$38,"PM 2.5",'abrasion emissions'!$K$7:$K$38,"Re-susp.",'abrasion emissions'!$L$7:$L$38,"b")*POWER(('vehicles specifications'!$Q155/1000),(1/SUMIFS('abrasion emissions'!$M$7:$M$38,'abrasion emissions'!$I$7:$I$38,"PM 2.5",'abrasion emissions'!$K$7:$K$38,"Re-susp.",'abrasion emissions'!$L$7:$L$38,"c"))))+
(SUMIFS('abrasion emissions'!$M$7:$M$38,'abrasion emissions'!$I$7:$I$38,"PM 10",'abrasion emissions'!$K$7:$K$38,"Re-susp.",'abrasion emissions'!$L$7:$L$38,"b")*POWER(('vehicles specifications'!$Q155/1000),(1/SUMIFS('abrasion emissions'!$M$7:$M$38,'abrasion emissions'!$I$7:$I$38,"PM 10",'abrasion emissions'!$K$7:$K$38,"Re-susp.",'abrasion emissions'!$L$7:$L$38,"c")))))/1000000</f>
        <v>3.8492538757423916E-6</v>
      </c>
      <c r="CU155" s="7">
        <f>((SUMIFS('abrasion emissions'!$M$7:$M$38,'abrasion emissions'!$I$7:$I$38,"PM 2.5",'abrasion emissions'!$K$7:$K$38,"Road",'abrasion emissions'!$L$7:$L$38,"b")*POWER(('vehicles specifications'!$Q155/1000),(1/SUMIFS('abrasion emissions'!$M$7:$M$38,'abrasion emissions'!$I$7:$I$38,"PM 2.5",'abrasion emissions'!$K$7:$K$38,"Road",'abrasion emissions'!$L$7:$L$38,"c"))))+
(SUMIFS('abrasion emissions'!$M$7:$M$38,'abrasion emissions'!$I$7:$I$38,"PM 10",'abrasion emissions'!$K$7:$K$38,"Road",'abrasion emissions'!$L$7:$L$38,"b")*POWER(('vehicles specifications'!$Q155/1000),(1/SUMIFS('abrasion emissions'!$M$7:$M$38,'abrasion emissions'!$I$7:$I$38,"PM 10",'abrasion emissions'!$K$7:$K$38,"Road",'abrasion emissions'!$L$7:$L$38,"c")))))/1000000+CT155</f>
        <v>7.3728881367004271E-6</v>
      </c>
      <c r="CV155" s="7">
        <f>(CK155*CN155)+(CL155*CO155)+(CM155*CP155)</f>
        <v>5.1301420234888844E-6</v>
      </c>
      <c r="CW155" s="7">
        <f>(CK155*CQ155)+(CL155*CR155)+(CM155*CS155)</f>
        <v>2.786385112059529E-6</v>
      </c>
    </row>
    <row r="156">
      <c r="A156" t="str">
        <f>B156&amp;" - "&amp;D156&amp;" - "&amp;IF(I156&lt;&gt;"",I156&amp;" - "&amp;E156,E156)</f>
        <v>Motorbike, battery electric, 4-11kW - 2030 - NCA - CH</v>
      </c>
      <c r="B156" t="inlineStr">
        <is>
          <t>Motorbike, battery electric, 4-11kW</t>
        </is>
      </c>
      <c r="D156" s="18" t="n">
        <v>2030</v>
      </c>
      <c r="E156" t="inlineStr">
        <is>
          <t>CH</t>
        </is>
      </c>
      <c r="F156" t="inlineStr">
        <is>
          <t>None</t>
        </is>
      </c>
      <c r="G156" t="inlineStr">
        <is>
          <t>vkm</t>
        </is>
      </c>
      <c r="H156" t="inlineStr">
        <is>
          <t>BEV</t>
        </is>
      </c>
      <c r="I156" t="inlineStr">
        <is>
          <t>NCA</t>
        </is>
      </c>
      <c r="J156" t="n">
        <v>25000</v>
      </c>
      <c r="K156" t="n">
        <v>1776</v>
      </c>
      <c r="L156" s="2">
        <f>J156/K156</f>
        <v>14.076576576576576</v>
      </c>
      <c r="M156" t="n">
        <v>1.1</v>
      </c>
      <c r="N156" t="n">
        <v>75</v>
      </c>
      <c r="O156" t="n">
        <v>6</v>
      </c>
      <c r="P156" s="2">
        <f>SUM(U156,V156,W156,AC156,AF156,AH156)</f>
        <v>117.26548785570658</v>
      </c>
      <c r="Q156" s="2">
        <f>P156+(M156*N156)+O156</f>
        <v>205.76548785570657</v>
      </c>
      <c r="R156" t="n">
        <v>4.7</v>
      </c>
      <c r="S156" s="2" t="n">
        <v>65.43382696032849</v>
      </c>
      <c r="T156" s="1" t="n">
        <v>0.03</v>
      </c>
      <c r="U156" s="2">
        <f>S156*(1-T156)</f>
        <v>63.470812151518629</v>
      </c>
      <c r="V156" s="2">
        <f>S156*0.2</f>
        <v>13.086765392065699</v>
      </c>
      <c r="W156" s="2">
        <f>U156*0.3</f>
        <v>19.041243645455587</v>
      </c>
      <c r="X156" s="3" t="n">
        <v>5</v>
      </c>
      <c r="Y156" s="1" t="n">
        <v>0.8</v>
      </c>
      <c r="Z156" s="3">
        <f>Y156*X156</f>
        <v>4</v>
      </c>
      <c r="AA156" s="3">
        <f>IF(I156&lt;&gt;"",X156/INDEX('energy battery'!$B$3:$D$6,MATCH('vehicles specifications'!$D156,'energy battery'!$A$3:$A$6,0),MATCH('vehicles specifications'!$I156,'energy battery'!$B$2:$D$2,0)),"")</f>
        <v>16.666666666666668</v>
      </c>
      <c r="AB156" s="3">
        <f>IF(AA156&lt;&gt;"",0.3*AA156,"")</f>
        <v>5</v>
      </c>
      <c r="AC156" s="3">
        <f>IF(AA156&lt;&gt;"",AB156+AA156,"")</f>
        <v>21.666666666666668</v>
      </c>
      <c r="AD156" s="3" t="n">
        <v>0.5</v>
      </c>
      <c r="AE156" s="3" t="n">
        <v>0</v>
      </c>
      <c r="AF156">
        <f>AE156*'fuels and tailpipe emissions'!$B$3</f>
        <v>0</v>
      </c>
      <c r="AG156" t="n">
        <v>0</v>
      </c>
      <c r="AH156" s="3" t="n">
        <v>0</v>
      </c>
      <c r="AI156" s="3" t="n">
        <v>3</v>
      </c>
      <c r="AJ156" s="3" t="n">
        <v>1</v>
      </c>
      <c r="AK156">
        <f>J156/25000</f>
        <v>1</v>
      </c>
      <c r="AL156">
        <f>0.000537/1000*Q156</f>
        <v>1.1049606697851443E-4</v>
      </c>
      <c r="AM156" t="n">
        <v>0.00129</v>
      </c>
      <c r="AN156" s="2">
        <f>U156</f>
        <v>63.470812151518629</v>
      </c>
      <c r="AO156" s="2">
        <f>SUM(V156:W156)</f>
        <v>32.128009037521288</v>
      </c>
      <c r="AP156" s="2">
        <f>AC156</f>
        <v>21.666666666666668</v>
      </c>
      <c r="AQ156" s="6" t="inlineStr"/>
      <c r="AR156" s="20" t="n"/>
      <c r="AS156" s="6" t="n">
        <v>0.182</v>
      </c>
      <c r="AT156" s="2">
        <f>SUM(Z156,AG156)/(SUM(AQ156,AS156)/3.6)</f>
        <v>79.120879120879124</v>
      </c>
      <c r="AU156" s="5" t="n">
        <v>0</v>
      </c>
      <c r="AV156" s="5" t="n">
        <v>0</v>
      </c>
      <c r="AW156" s="7" t="n">
        <v>0</v>
      </c>
      <c r="AX156" s="7" t="n">
        <v>0</v>
      </c>
      <c r="AY156" s="7" t="n">
        <v>0</v>
      </c>
      <c r="AZ156" s="7" t="n">
        <v>0</v>
      </c>
      <c r="BA156" s="7" t="n">
        <v>0</v>
      </c>
      <c r="BB156" s="7" t="n">
        <v>0</v>
      </c>
      <c r="BC156" s="7" t="n">
        <v>0</v>
      </c>
      <c r="BD156" s="7" t="n">
        <v>0</v>
      </c>
      <c r="BE156" s="7" t="n">
        <v>0</v>
      </c>
      <c r="BF156" s="7" t="n">
        <v>0</v>
      </c>
      <c r="BG156" s="7" t="n">
        <v>0</v>
      </c>
      <c r="BH156" s="7" t="n">
        <v>0</v>
      </c>
      <c r="BI156" s="7" t="n">
        <v>0</v>
      </c>
      <c r="BJ156" s="7" t="n">
        <v>0</v>
      </c>
      <c r="BK156" s="7" t="n">
        <v>0</v>
      </c>
      <c r="BL156" s="7" t="n">
        <v>0</v>
      </c>
      <c r="BM156" s="7" t="n">
        <v>0</v>
      </c>
      <c r="BN156" s="7" t="n">
        <v>0</v>
      </c>
      <c r="BO156" s="7" t="n">
        <v>0</v>
      </c>
      <c r="BP156" s="7" t="n">
        <v>0</v>
      </c>
      <c r="BQ156" s="7" t="n">
        <v>0</v>
      </c>
      <c r="BR156" s="7" t="n">
        <v>0</v>
      </c>
      <c r="BS156" s="7" t="n">
        <v>0</v>
      </c>
      <c r="BT156" s="7" t="n">
        <v>0</v>
      </c>
      <c r="BU156" s="7" t="n">
        <v>0</v>
      </c>
      <c r="BV156" s="7" t="n">
        <v>0</v>
      </c>
      <c r="BW156" s="7" t="n">
        <v>0</v>
      </c>
      <c r="BX156" s="7" t="n">
        <v>0</v>
      </c>
      <c r="BY156" s="7" t="n">
        <v>0</v>
      </c>
      <c r="BZ156" s="7" t="n">
        <v>0</v>
      </c>
      <c r="CA156" s="7" t="n">
        <v>0</v>
      </c>
      <c r="CB156" s="7" t="n">
        <v>0</v>
      </c>
      <c r="CC156" s="7" t="n">
        <v>0</v>
      </c>
      <c r="CD156" s="7" t="n">
        <v>0</v>
      </c>
      <c r="CE156" s="7" t="n">
        <v>0</v>
      </c>
      <c r="CF156" s="7" t="n">
        <v>0</v>
      </c>
      <c r="CG156" s="7" t="n">
        <v>0</v>
      </c>
      <c r="CH156" s="7" t="n">
        <v>0</v>
      </c>
      <c r="CI156" s="7" t="n">
        <v>0</v>
      </c>
      <c r="CJ156" s="7" t="n">
        <v>0</v>
      </c>
      <c r="CK156" s="38">
        <f>VLOOKUP($B156,'abrasion emissions'!$O$7:$R$36,2,FALSE)</f>
        <v>0.33</v>
      </c>
      <c r="CL156" s="38">
        <f>VLOOKUP($B156,'abrasion emissions'!$O$7:$R$36,3,FALSE)</f>
        <v>0.33</v>
      </c>
      <c r="CM156" s="38">
        <f>VLOOKUP($B156,'abrasion emissions'!$O$7:$R$36,4,FALSE)</f>
        <v>0.33</v>
      </c>
      <c r="CN156" s="7">
        <f>((SUMIFS('abrasion emissions'!$M$7:$M$34,'abrasion emissions'!$I$7:$I$34,"PM 2.5",'abrasion emissions'!$J$7:$J$34,"urban",'abrasion emissions'!$K$7:$K$34,"Tyre",'abrasion emissions'!$L$7:$L$34,"b")*POWER(('vehicles specifications'!$Q156/1000),(1/SUMIFS('abrasion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specifications'!$P156/1000),(1/SUMIFS('abrasion emissions'!$M$7:$M$34,'abrasion emissions'!$I$7:$I$34,"PM 10",'abrasion emissions'!$J$7:$J$34,"urban",'abrasion emissions'!$K$7:$K$34,"Tyre",'abrasion emissions'!$L$7:$L$34,"c")))))/1000000</f>
        <v>6.4077570646184653E-6</v>
      </c>
      <c r="CO156" s="7">
        <f>((SUMIFS('abrasion emissions'!$M$7:$M$34,'abrasion emissions'!$I$7:$I$34,"PM 2.5",'abrasion emissions'!$J$7:$J$34,"rural",'abrasion emissions'!$K$7:$K$34,"Tyre",'abrasion emissions'!$L$7:$L$34,"b")*POWER(('vehicles specifications'!$Q156/1000),(1/SUMIFS('abrasion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specifications'!$P156/1000),(1/SUMIFS('abrasion emissions'!$M$7:$M$34,'abrasion emissions'!$I$7:$I$34,"PM 10",'abrasion emissions'!$J$7:$J$34,"rural",'abrasion emissions'!$K$7:$K$34,"Tyre",'abrasion emissions'!$L$7:$L$34,"c")))))/1000000</f>
        <v>4.9906104980945508E-6</v>
      </c>
      <c r="CP156" s="7">
        <f>((SUMIFS('abrasion emissions'!$M$7:$M$34,'abrasion emissions'!$I$7:$I$34,"PM 2.5",'abrasion emissions'!$J$7:$J$34,"motorway",'abrasion emissions'!$K$7:$K$34,"Tyre",'abrasion emissions'!$L$7:$L$34,"b")*POWER(('vehicles specifications'!$Q156/1000),(1/SUMIFS('abrasion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specifications'!$P156/1000),(1/SUMIFS('abrasion emissions'!$M$7:$M$34,'abrasion emissions'!$I$7:$I$34,"PM 10",'abrasion emissions'!$J$7:$J$34,"motorway",'abrasion emissions'!$K$7:$K$34,"Tyre",'abrasion emissions'!$L$7:$L$34,"c")))))/1000000</f>
        <v>4.2623465036546672E-6</v>
      </c>
      <c r="CQ156" s="7">
        <f>((SUMIFS('abrasion emissions'!$M$7:$M$34,'abrasion emissions'!$I$7:$I$34,"PM 2.5",'abrasion emissions'!$J$7:$J$34,"urban",'abrasion emissions'!$K$7:$K$34,"Brake",'abrasion emissions'!$L$7:$L$34,"b")*POWER(('vehicles specifications'!$Q156/1000),(1/SUMIFS('abrasion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specifications'!$P156/1000),(1/SUMIFS('abrasion emissions'!$M$7:$M$34,'abrasion emissions'!$I$7:$I$34,"PM 10",'abrasion emissions'!$J$7:$J$34,"urban",'abrasion emissions'!$K$7:$K$34,"Brake",'abrasion emissions'!$L$7:$L$34,"c")))))/1000000</f>
        <v>6.1457827649448985E-6</v>
      </c>
      <c r="CR156" s="7">
        <f>((SUMIFS('abrasion emissions'!$M$7:$M$34,'abrasion emissions'!$I$7:$I$34,"PM 2.5",'abrasion emissions'!$J$7:$J$34,"rural",'abrasion emissions'!$K$7:$K$34,"Brake",'abrasion emissions'!$L$7:$L$34,"b")*POWER(('vehicles specifications'!$Q156/1000),(1/SUMIFS('abrasion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specifications'!$P156/1000),(1/SUMIFS('abrasion emissions'!$M$7:$M$34,'abrasion emissions'!$I$7:$I$34,"PM 10",'abrasion emissions'!$J$7:$J$34,"rural",'abrasion emissions'!$K$7:$K$34,"Brake",'abrasion emissions'!$L$7:$L$34,"c")))))/1000000</f>
        <v>1.9996548522128435E-6</v>
      </c>
      <c r="CS156" s="7">
        <f>((SUMIFS('abrasion emissions'!$M$7:$M$34,'abrasion emissions'!$I$7:$I$34,"PM 2.5",'abrasion emissions'!$J$7:$J$34,"motorway",'abrasion emissions'!$K$7:$K$34,"Brake",'abrasion emissions'!$L$7:$L$34,"b")*POWER(('vehicles specifications'!$Q156/1000),(1/SUMIFS('abrasion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specifications'!$P156/1000),(1/SUMIFS('abrasion emissions'!$M$7:$M$34,'abrasion emissions'!$I$7:$I$34,"PM 10",'abrasion emissions'!$J$7:$J$34,"motorway",'abrasion emissions'!$K$7:$K$34,"Brake",'abrasion emissions'!$L$7:$L$34,"c")))))/1000000</f>
        <v>3.7328332344647303E-7</v>
      </c>
      <c r="CT156" s="7">
        <f>((SUMIFS('abrasion emissions'!$M$7:$M$38,'abrasion emissions'!$I$7:$I$38,"PM 2.5",'abrasion emissions'!$K$7:$K$38,"Re-susp.",'abrasion emissions'!$L$7:$L$38,"b")*POWER(('vehicles specifications'!$Q156/1000),(1/SUMIFS('abrasion emissions'!$M$7:$M$38,'abrasion emissions'!$I$7:$I$38,"PM 2.5",'abrasion emissions'!$K$7:$K$38,"Re-susp.",'abrasion emissions'!$L$7:$L$38,"c"))))+
(SUMIFS('abrasion emissions'!$M$7:$M$38,'abrasion emissions'!$I$7:$I$38,"PM 10",'abrasion emissions'!$K$7:$K$38,"Re-susp.",'abrasion emissions'!$L$7:$L$38,"b")*POWER(('vehicles specifications'!$Q156/1000),(1/SUMIFS('abrasion emissions'!$M$7:$M$38,'abrasion emissions'!$I$7:$I$38,"PM 10",'abrasion emissions'!$K$7:$K$38,"Re-susp.",'abrasion emissions'!$L$7:$L$38,"c")))))/1000000</f>
        <v>3.8961624907284815E-6</v>
      </c>
      <c r="CU156" s="7">
        <f>((SUMIFS('abrasion emissions'!$M$7:$M$38,'abrasion emissions'!$I$7:$I$38,"PM 2.5",'abrasion emissions'!$K$7:$K$38,"Road",'abrasion emissions'!$L$7:$L$38,"b")*POWER(('vehicles specifications'!$Q156/1000),(1/SUMIFS('abrasion emissions'!$M$7:$M$38,'abrasion emissions'!$I$7:$I$38,"PM 2.5",'abrasion emissions'!$K$7:$K$38,"Road",'abrasion emissions'!$L$7:$L$38,"c"))))+
(SUMIFS('abrasion emissions'!$M$7:$M$38,'abrasion emissions'!$I$7:$I$38,"PM 10",'abrasion emissions'!$K$7:$K$38,"Road",'abrasion emissions'!$L$7:$L$38,"b")*POWER(('vehicles specifications'!$Q156/1000),(1/SUMIFS('abrasion emissions'!$M$7:$M$38,'abrasion emissions'!$I$7:$I$38,"PM 10",'abrasion emissions'!$K$7:$K$38,"Road",'abrasion emissions'!$L$7:$L$38,"c")))))/1000000+CT156</f>
        <v>7.451235531118589E-6</v>
      </c>
      <c r="CV156" s="7">
        <f>(CK156*CN156)+(CL156*CO156)+(CM156*CP156)</f>
        <v>5.1680356419013357E-6</v>
      </c>
      <c r="CW156" s="7">
        <f>(CK156*CQ156)+(CL156*CR156)+(CM156*CS156)</f>
        <v>2.8111779103993913E-6</v>
      </c>
    </row>
    <row r="157">
      <c r="A157" t="str">
        <f>B157&amp;" - "&amp;D157&amp;" - "&amp;IF(I157&lt;&gt;"",I157&amp;" - "&amp;E157,E157)</f>
        <v>Motorbike, battery electric, 4-11kW - 2040 - NCA - CH</v>
      </c>
      <c r="B157" t="inlineStr">
        <is>
          <t>Motorbike, battery electric, 4-11kW</t>
        </is>
      </c>
      <c r="D157" s="18" t="n">
        <v>2040</v>
      </c>
      <c r="E157" t="inlineStr">
        <is>
          <t>CH</t>
        </is>
      </c>
      <c r="F157" t="inlineStr">
        <is>
          <t>None</t>
        </is>
      </c>
      <c r="G157" t="inlineStr">
        <is>
          <t>vkm</t>
        </is>
      </c>
      <c r="H157" t="inlineStr">
        <is>
          <t>BEV</t>
        </is>
      </c>
      <c r="I157" t="inlineStr">
        <is>
          <t>NCA</t>
        </is>
      </c>
      <c r="J157" t="n">
        <v>25000</v>
      </c>
      <c r="K157" t="n">
        <v>1776</v>
      </c>
      <c r="L157" s="2">
        <f>J157/K157</f>
        <v>14.076576576576576</v>
      </c>
      <c r="M157" t="n">
        <v>1.1</v>
      </c>
      <c r="N157" t="n">
        <v>75</v>
      </c>
      <c r="O157" t="n">
        <v>6</v>
      </c>
      <c r="P157" s="2">
        <f>SUM(U157,V157,W157,AC157,AF157,AH157)</f>
        <v>116.64754168807137</v>
      </c>
      <c r="Q157" s="2">
        <f>P157+(M157*N157)+O157</f>
        <v>205.14754168807139</v>
      </c>
      <c r="R157" t="n">
        <v>4.7</v>
      </c>
      <c r="S157" s="2" t="n">
        <v>65.43382696032849</v>
      </c>
      <c r="T157" s="1" t="n">
        <v>0.05</v>
      </c>
      <c r="U157" s="2">
        <f>S157*(1-T157)</f>
        <v>62.162135612312063</v>
      </c>
      <c r="V157" s="2">
        <f>S157*0.2</f>
        <v>13.086765392065699</v>
      </c>
      <c r="W157" s="2">
        <f>U157*0.3</f>
        <v>18.648640683693618</v>
      </c>
      <c r="X157" s="3" t="n">
        <v>7</v>
      </c>
      <c r="Y157" s="1" t="n">
        <v>0.8</v>
      </c>
      <c r="Z157" s="3">
        <f>Y157*X157</f>
        <v>5.6000000000000005</v>
      </c>
      <c r="AA157" s="3">
        <f>IF(I157&lt;&gt;"",X157/INDEX('energy battery'!$B$3:$D$6,MATCH('vehicles specifications'!$D157,'energy battery'!$A$3:$A$6,0),MATCH('vehicles specifications'!$I157,'energy battery'!$B$2:$D$2,0)),"")</f>
        <v>17.5</v>
      </c>
      <c r="AB157" s="3">
        <f>IF(AA157&lt;&gt;"",0.3*AA157,"")</f>
        <v>5.25</v>
      </c>
      <c r="AC157" s="3">
        <f>IF(AA157&lt;&gt;"",AB157+AA157,"")</f>
        <v>22.75</v>
      </c>
      <c r="AD157" s="3" t="n">
        <v>0.25</v>
      </c>
      <c r="AE157" s="3" t="n">
        <v>0</v>
      </c>
      <c r="AF157">
        <f>AE157*'fuels and tailpipe emissions'!$B$3</f>
        <v>0</v>
      </c>
      <c r="AG157" t="n">
        <v>0</v>
      </c>
      <c r="AH157" s="3" t="n">
        <v>0</v>
      </c>
      <c r="AI157" s="3" t="n">
        <v>3</v>
      </c>
      <c r="AJ157" s="3" t="n">
        <v>1</v>
      </c>
      <c r="AK157">
        <f>J157/25000</f>
        <v>1</v>
      </c>
      <c r="AL157">
        <f>0.000537/1000*Q157</f>
        <v>1.1016422988649433E-4</v>
      </c>
      <c r="AM157" t="n">
        <v>0.00129</v>
      </c>
      <c r="AN157" s="2">
        <f>U157</f>
        <v>62.162135612312063</v>
      </c>
      <c r="AO157" s="2">
        <f>SUM(V157:W157)</f>
        <v>31.735406075759315</v>
      </c>
      <c r="AP157" s="2">
        <f>AC157</f>
        <v>22.75</v>
      </c>
      <c r="AQ157" s="6" t="inlineStr"/>
      <c r="AR157" s="20" t="n"/>
      <c r="AS157" s="6" t="n">
        <v>0.182</v>
      </c>
      <c r="AT157" s="2">
        <f>SUM(Z157,AG157)/(SUM(AQ157,AS157)/3.6)</f>
        <v>110.76923076923079</v>
      </c>
      <c r="AU157" s="5" t="n">
        <v>0</v>
      </c>
      <c r="AV157" s="5" t="n">
        <v>0</v>
      </c>
      <c r="AW157" s="7" t="n">
        <v>0</v>
      </c>
      <c r="AX157" s="7" t="n">
        <v>0</v>
      </c>
      <c r="AY157" s="7" t="n">
        <v>0</v>
      </c>
      <c r="AZ157" s="7" t="n">
        <v>0</v>
      </c>
      <c r="BA157" s="7" t="n">
        <v>0</v>
      </c>
      <c r="BB157" s="7" t="n">
        <v>0</v>
      </c>
      <c r="BC157" s="7" t="n">
        <v>0</v>
      </c>
      <c r="BD157" s="7" t="n">
        <v>0</v>
      </c>
      <c r="BE157" s="7" t="n">
        <v>0</v>
      </c>
      <c r="BF157" s="7" t="n">
        <v>0</v>
      </c>
      <c r="BG157" s="7" t="n">
        <v>0</v>
      </c>
      <c r="BH157" s="7" t="n">
        <v>0</v>
      </c>
      <c r="BI157" s="7" t="n">
        <v>0</v>
      </c>
      <c r="BJ157" s="7" t="n">
        <v>0</v>
      </c>
      <c r="BK157" s="7" t="n">
        <v>0</v>
      </c>
      <c r="BL157" s="7" t="n">
        <v>0</v>
      </c>
      <c r="BM157" s="7" t="n">
        <v>0</v>
      </c>
      <c r="BN157" s="7" t="n">
        <v>0</v>
      </c>
      <c r="BO157" s="7" t="n">
        <v>0</v>
      </c>
      <c r="BP157" s="7" t="n">
        <v>0</v>
      </c>
      <c r="BQ157" s="7" t="n">
        <v>0</v>
      </c>
      <c r="BR157" s="7" t="n">
        <v>0</v>
      </c>
      <c r="BS157" s="7" t="n">
        <v>0</v>
      </c>
      <c r="BT157" s="7" t="n">
        <v>0</v>
      </c>
      <c r="BU157" s="7" t="n">
        <v>0</v>
      </c>
      <c r="BV157" s="7" t="n">
        <v>0</v>
      </c>
      <c r="BW157" s="7" t="n">
        <v>0</v>
      </c>
      <c r="BX157" s="7" t="n">
        <v>0</v>
      </c>
      <c r="BY157" s="7" t="n">
        <v>0</v>
      </c>
      <c r="BZ157" s="7" t="n">
        <v>0</v>
      </c>
      <c r="CA157" s="7" t="n">
        <v>0</v>
      </c>
      <c r="CB157" s="7" t="n">
        <v>0</v>
      </c>
      <c r="CC157" s="7" t="n">
        <v>0</v>
      </c>
      <c r="CD157" s="7" t="n">
        <v>0</v>
      </c>
      <c r="CE157" s="7" t="n">
        <v>0</v>
      </c>
      <c r="CF157" s="7" t="n">
        <v>0</v>
      </c>
      <c r="CG157" s="7" t="n">
        <v>0</v>
      </c>
      <c r="CH157" s="7" t="n">
        <v>0</v>
      </c>
      <c r="CI157" s="7" t="n">
        <v>0</v>
      </c>
      <c r="CJ157" s="7" t="n">
        <v>0</v>
      </c>
      <c r="CK157" s="38">
        <f>VLOOKUP($B157,'abrasion emissions'!$O$7:$R$36,2,FALSE)</f>
        <v>0.33</v>
      </c>
      <c r="CL157" s="38">
        <f>VLOOKUP($B157,'abrasion emissions'!$O$7:$R$36,3,FALSE)</f>
        <v>0.33</v>
      </c>
      <c r="CM157" s="38">
        <f>VLOOKUP($B157,'abrasion emissions'!$O$7:$R$36,4,FALSE)</f>
        <v>0.33</v>
      </c>
      <c r="CN157" s="7">
        <f>((SUMIFS('abrasion emissions'!$M$7:$M$34,'abrasion emissions'!$I$7:$I$34,"PM 2.5",'abrasion emissions'!$J$7:$J$34,"urban",'abrasion emissions'!$K$7:$K$34,"Tyre",'abrasion emissions'!$L$7:$L$34,"b")*POWER(('vehicles specifications'!$Q157/1000),(1/SUMIFS('abrasion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specifications'!$P157/1000),(1/SUMIFS('abrasion emissions'!$M$7:$M$34,'abrasion emissions'!$I$7:$I$34,"PM 10",'abrasion emissions'!$J$7:$J$34,"urban",'abrasion emissions'!$K$7:$K$34,"Tyre",'abrasion emissions'!$L$7:$L$34,"c")))))/1000000</f>
        <v>6.3971271017223438E-6</v>
      </c>
      <c r="CO157" s="7">
        <f>((SUMIFS('abrasion emissions'!$M$7:$M$34,'abrasion emissions'!$I$7:$I$34,"PM 2.5",'abrasion emissions'!$J$7:$J$34,"rural",'abrasion emissions'!$K$7:$K$34,"Tyre",'abrasion emissions'!$L$7:$L$34,"b")*POWER(('vehicles specifications'!$Q157/1000),(1/SUMIFS('abrasion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specifications'!$P157/1000),(1/SUMIFS('abrasion emissions'!$M$7:$M$34,'abrasion emissions'!$I$7:$I$34,"PM 10",'abrasion emissions'!$J$7:$J$34,"rural",'abrasion emissions'!$K$7:$K$34,"Tyre",'abrasion emissions'!$L$7:$L$34,"c")))))/1000000</f>
        <v>4.9823381854988199E-6</v>
      </c>
      <c r="CP157" s="7">
        <f>((SUMIFS('abrasion emissions'!$M$7:$M$34,'abrasion emissions'!$I$7:$I$34,"PM 2.5",'abrasion emissions'!$J$7:$J$34,"motorway",'abrasion emissions'!$K$7:$K$34,"Tyre",'abrasion emissions'!$L$7:$L$34,"b")*POWER(('vehicles specifications'!$Q157/1000),(1/SUMIFS('abrasion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specifications'!$P157/1000),(1/SUMIFS('abrasion emissions'!$M$7:$M$34,'abrasion emissions'!$I$7:$I$34,"PM 10",'abrasion emissions'!$J$7:$J$34,"motorway",'abrasion emissions'!$K$7:$K$34,"Tyre",'abrasion emissions'!$L$7:$L$34,"c")))))/1000000</f>
        <v>4.2552981978569041E-6</v>
      </c>
      <c r="CQ157" s="7">
        <f>((SUMIFS('abrasion emissions'!$M$7:$M$34,'abrasion emissions'!$I$7:$I$34,"PM 2.5",'abrasion emissions'!$J$7:$J$34,"urban",'abrasion emissions'!$K$7:$K$34,"Brake",'abrasion emissions'!$L$7:$L$34,"b")*POWER(('vehicles specifications'!$Q157/1000),(1/SUMIFS('abrasion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specifications'!$P157/1000),(1/SUMIFS('abrasion emissions'!$M$7:$M$34,'abrasion emissions'!$I$7:$I$34,"PM 10",'abrasion emissions'!$J$7:$J$34,"urban",'abrasion emissions'!$K$7:$K$34,"Brake",'abrasion emissions'!$L$7:$L$34,"c")))))/1000000</f>
        <v>6.1344370045756962E-6</v>
      </c>
      <c r="CR157" s="7">
        <f>((SUMIFS('abrasion emissions'!$M$7:$M$34,'abrasion emissions'!$I$7:$I$34,"PM 2.5",'abrasion emissions'!$J$7:$J$34,"rural",'abrasion emissions'!$K$7:$K$34,"Brake",'abrasion emissions'!$L$7:$L$34,"b")*POWER(('vehicles specifications'!$Q157/1000),(1/SUMIFS('abrasion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specifications'!$P157/1000),(1/SUMIFS('abrasion emissions'!$M$7:$M$34,'abrasion emissions'!$I$7:$I$34,"PM 10",'abrasion emissions'!$J$7:$J$34,"rural",'abrasion emissions'!$K$7:$K$34,"Brake",'abrasion emissions'!$L$7:$L$34,"c")))))/1000000</f>
        <v>1.9949968285058141E-6</v>
      </c>
      <c r="CS157" s="7">
        <f>((SUMIFS('abrasion emissions'!$M$7:$M$34,'abrasion emissions'!$I$7:$I$34,"PM 2.5",'abrasion emissions'!$J$7:$J$34,"motorway",'abrasion emissions'!$K$7:$K$34,"Brake",'abrasion emissions'!$L$7:$L$34,"b")*POWER(('vehicles specifications'!$Q157/1000),(1/SUMIFS('abrasion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specifications'!$P157/1000),(1/SUMIFS('abrasion emissions'!$M$7:$M$34,'abrasion emissions'!$I$7:$I$34,"PM 10",'abrasion emissions'!$J$7:$J$34,"motorway",'abrasion emissions'!$K$7:$K$34,"Brake",'abrasion emissions'!$L$7:$L$34,"c")))))/1000000</f>
        <v>3.7228646124235908E-7</v>
      </c>
      <c r="CT157" s="7">
        <f>((SUMIFS('abrasion emissions'!$M$7:$M$38,'abrasion emissions'!$I$7:$I$38,"PM 2.5",'abrasion emissions'!$K$7:$K$38,"Re-susp.",'abrasion emissions'!$L$7:$L$38,"b")*POWER(('vehicles specifications'!$Q157/1000),(1/SUMIFS('abrasion emissions'!$M$7:$M$38,'abrasion emissions'!$I$7:$I$38,"PM 2.5",'abrasion emissions'!$K$7:$K$38,"Re-susp.",'abrasion emissions'!$L$7:$L$38,"c"))))+
(SUMIFS('abrasion emissions'!$M$7:$M$38,'abrasion emissions'!$I$7:$I$38,"PM 10",'abrasion emissions'!$K$7:$K$38,"Re-susp.",'abrasion emissions'!$L$7:$L$38,"b")*POWER(('vehicles specifications'!$Q157/1000),(1/SUMIFS('abrasion emissions'!$M$7:$M$38,'abrasion emissions'!$I$7:$I$38,"PM 10",'abrasion emissions'!$K$7:$K$38,"Re-susp.",'abrasion emissions'!$L$7:$L$38,"c")))))/1000000</f>
        <v>3.8855239556511092E-6</v>
      </c>
      <c r="CU157" s="7">
        <f>((SUMIFS('abrasion emissions'!$M$7:$M$38,'abrasion emissions'!$I$7:$I$38,"PM 2.5",'abrasion emissions'!$K$7:$K$38,"Road",'abrasion emissions'!$L$7:$L$38,"b")*POWER(('vehicles specifications'!$Q157/1000),(1/SUMIFS('abrasion emissions'!$M$7:$M$38,'abrasion emissions'!$I$7:$I$38,"PM 2.5",'abrasion emissions'!$K$7:$K$38,"Road",'abrasion emissions'!$L$7:$L$38,"c"))))+
(SUMIFS('abrasion emissions'!$M$7:$M$38,'abrasion emissions'!$I$7:$I$38,"PM 10",'abrasion emissions'!$K$7:$K$38,"Road",'abrasion emissions'!$L$7:$L$38,"b")*POWER(('vehicles specifications'!$Q157/1000),(1/SUMIFS('abrasion emissions'!$M$7:$M$38,'abrasion emissions'!$I$7:$I$38,"PM 10",'abrasion emissions'!$K$7:$K$38,"Road",'abrasion emissions'!$L$7:$L$38,"c")))))/1000000+CT157</f>
        <v>7.4334757992131559E-6</v>
      </c>
      <c r="CV157" s="7">
        <f>(CK157*CN157)+(CL157*CO157)+(CM157*CP157)</f>
        <v>5.1594719500757633E-6</v>
      </c>
      <c r="CW157" s="7">
        <f>(CK157*CQ157)+(CL157*CR157)+(CM157*CS157)</f>
        <v>2.805567697126877E-6</v>
      </c>
    </row>
    <row r="158">
      <c r="A158" t="str">
        <f>B158&amp;" - "&amp;D158&amp;" - "&amp;IF(I158&lt;&gt;"",I158&amp;" - "&amp;E158,E158)</f>
        <v>Motorbike, battery electric, 4-11kW - 2050 - NCA - CH</v>
      </c>
      <c r="B158" t="inlineStr">
        <is>
          <t>Motorbike, battery electric, 4-11kW</t>
        </is>
      </c>
      <c r="D158" s="18" t="n">
        <v>2050</v>
      </c>
      <c r="E158" t="inlineStr">
        <is>
          <t>CH</t>
        </is>
      </c>
      <c r="F158" t="inlineStr">
        <is>
          <t>None</t>
        </is>
      </c>
      <c r="G158" t="inlineStr">
        <is>
          <t>vkm</t>
        </is>
      </c>
      <c r="H158" t="inlineStr">
        <is>
          <t>BEV</t>
        </is>
      </c>
      <c r="I158" t="inlineStr">
        <is>
          <t>NCA</t>
        </is>
      </c>
      <c r="J158" t="n">
        <v>25000</v>
      </c>
      <c r="K158" t="n">
        <v>1776</v>
      </c>
      <c r="L158" s="2">
        <f>J158/K158</f>
        <v>14.076576576576576</v>
      </c>
      <c r="M158" t="n">
        <v>1.1</v>
      </c>
      <c r="N158" t="n">
        <v>75</v>
      </c>
      <c r="O158" t="n">
        <v>6</v>
      </c>
      <c r="P158" s="2">
        <f>SUM(U158,V158,W158,AC158,AF158,AH158)</f>
        <v>116.89626218710283</v>
      </c>
      <c r="Q158" s="2">
        <f>P158+(M158*N158)+O158</f>
        <v>205.39626218710282</v>
      </c>
      <c r="R158" t="n">
        <v>4.7</v>
      </c>
      <c r="S158" s="2" t="n">
        <v>65.43382696032849</v>
      </c>
      <c r="T158" s="1" t="n">
        <v>0.07000000000000001</v>
      </c>
      <c r="U158" s="2">
        <f>S158*(1-T158)</f>
        <v>60.853459073105491</v>
      </c>
      <c r="V158" s="2">
        <f>S158*0.2</f>
        <v>13.086765392065699</v>
      </c>
      <c r="W158" s="2">
        <f>U158*0.3</f>
        <v>18.256037721931648</v>
      </c>
      <c r="X158" s="3" t="n">
        <v>9.5</v>
      </c>
      <c r="Y158" s="1" t="n">
        <v>0.8</v>
      </c>
      <c r="Z158" s="3">
        <f>Y158*X158</f>
        <v>7.6000000000000005</v>
      </c>
      <c r="AA158" s="3">
        <f>IF(I158&lt;&gt;"",X158/INDEX('energy battery'!$B$3:$D$6,MATCH('vehicles specifications'!$D158,'energy battery'!$A$3:$A$6,0),MATCH('vehicles specifications'!$I158,'energy battery'!$B$2:$D$2,0)),"")</f>
        <v>19</v>
      </c>
      <c r="AB158" s="3">
        <f>IF(AA158&lt;&gt;"",0.3*AA158,"")</f>
        <v>5.7</v>
      </c>
      <c r="AC158" s="3">
        <f>IF(AA158&lt;&gt;"",AB158+AA158,"")</f>
        <v>24.7</v>
      </c>
      <c r="AD158" s="3" t="n">
        <v>0</v>
      </c>
      <c r="AE158" s="3" t="n">
        <v>0</v>
      </c>
      <c r="AF158">
        <f>AE158*'fuels and tailpipe emissions'!$B$3</f>
        <v>0</v>
      </c>
      <c r="AG158" t="n">
        <v>0</v>
      </c>
      <c r="AH158" s="3" t="n">
        <v>0</v>
      </c>
      <c r="AI158" s="3" t="n">
        <v>3</v>
      </c>
      <c r="AJ158" s="3" t="n">
        <v>1</v>
      </c>
      <c r="AK158">
        <f>J158/25000</f>
        <v>1</v>
      </c>
      <c r="AL158">
        <f>0.000537/1000*Q158</f>
        <v>1.1029779279447421E-4</v>
      </c>
      <c r="AM158" t="n">
        <v>0.00129</v>
      </c>
      <c r="AN158" s="2">
        <f>U158</f>
        <v>60.853459073105491</v>
      </c>
      <c r="AO158" s="2">
        <f>SUM(V158:W158)</f>
        <v>31.342803113997348</v>
      </c>
      <c r="AP158" s="2">
        <f>AC158</f>
        <v>24.7</v>
      </c>
      <c r="AQ158" s="6" t="inlineStr"/>
      <c r="AR158" s="20" t="n"/>
      <c r="AS158" s="6" t="n">
        <v>0.182</v>
      </c>
      <c r="AT158" s="2">
        <f>SUM(Z158,AG158)/(SUM(AQ158,AS158)/3.6)</f>
        <v>150.32967032967034</v>
      </c>
      <c r="AU158" s="5" t="n">
        <v>0</v>
      </c>
      <c r="AV158" s="5" t="n">
        <v>0</v>
      </c>
      <c r="AW158" s="7" t="n">
        <v>0</v>
      </c>
      <c r="AX158" s="7" t="n">
        <v>0</v>
      </c>
      <c r="AY158" s="7" t="n">
        <v>0</v>
      </c>
      <c r="AZ158" s="7" t="n">
        <v>0</v>
      </c>
      <c r="BA158" s="7" t="n">
        <v>0</v>
      </c>
      <c r="BB158" s="7" t="n">
        <v>0</v>
      </c>
      <c r="BC158" s="7" t="n">
        <v>0</v>
      </c>
      <c r="BD158" s="7" t="n">
        <v>0</v>
      </c>
      <c r="BE158" s="7" t="n">
        <v>0</v>
      </c>
      <c r="BF158" s="7" t="n">
        <v>0</v>
      </c>
      <c r="BG158" s="7" t="n">
        <v>0</v>
      </c>
      <c r="BH158" s="7" t="n">
        <v>0</v>
      </c>
      <c r="BI158" s="7" t="n">
        <v>0</v>
      </c>
      <c r="BJ158" s="7" t="n">
        <v>0</v>
      </c>
      <c r="BK158" s="7" t="n">
        <v>0</v>
      </c>
      <c r="BL158" s="7" t="n">
        <v>0</v>
      </c>
      <c r="BM158" s="7" t="n">
        <v>0</v>
      </c>
      <c r="BN158" s="7" t="n">
        <v>0</v>
      </c>
      <c r="BO158" s="7" t="n">
        <v>0</v>
      </c>
      <c r="BP158" s="7" t="n">
        <v>0</v>
      </c>
      <c r="BQ158" s="7" t="n">
        <v>0</v>
      </c>
      <c r="BR158" s="7" t="n">
        <v>0</v>
      </c>
      <c r="BS158" s="7" t="n">
        <v>0</v>
      </c>
      <c r="BT158" s="7" t="n">
        <v>0</v>
      </c>
      <c r="BU158" s="7" t="n">
        <v>0</v>
      </c>
      <c r="BV158" s="7" t="n">
        <v>0</v>
      </c>
      <c r="BW158" s="7" t="n">
        <v>0</v>
      </c>
      <c r="BX158" s="7" t="n">
        <v>0</v>
      </c>
      <c r="BY158" s="7" t="n">
        <v>0</v>
      </c>
      <c r="BZ158" s="7" t="n">
        <v>0</v>
      </c>
      <c r="CA158" s="7" t="n">
        <v>0</v>
      </c>
      <c r="CB158" s="7" t="n">
        <v>0</v>
      </c>
      <c r="CC158" s="7" t="n">
        <v>0</v>
      </c>
      <c r="CD158" s="7" t="n">
        <v>0</v>
      </c>
      <c r="CE158" s="7" t="n">
        <v>0</v>
      </c>
      <c r="CF158" s="7" t="n">
        <v>0</v>
      </c>
      <c r="CG158" s="7" t="n">
        <v>0</v>
      </c>
      <c r="CH158" s="7" t="n">
        <v>0</v>
      </c>
      <c r="CI158" s="7" t="n">
        <v>0</v>
      </c>
      <c r="CJ158" s="7" t="n">
        <v>0</v>
      </c>
      <c r="CK158" s="38">
        <f>VLOOKUP($B158,'abrasion emissions'!$O$7:$R$36,2,FALSE)</f>
        <v>0.33</v>
      </c>
      <c r="CL158" s="38">
        <f>VLOOKUP($B158,'abrasion emissions'!$O$7:$R$36,3,FALSE)</f>
        <v>0.33</v>
      </c>
      <c r="CM158" s="38">
        <f>VLOOKUP($B158,'abrasion emissions'!$O$7:$R$36,4,FALSE)</f>
        <v>0.33</v>
      </c>
      <c r="CN158" s="7">
        <f>((SUMIFS('abrasion emissions'!$M$7:$M$34,'abrasion emissions'!$I$7:$I$34,"PM 2.5",'abrasion emissions'!$J$7:$J$34,"urban",'abrasion emissions'!$K$7:$K$34,"Tyre",'abrasion emissions'!$L$7:$L$34,"b")*POWER(('vehicles specifications'!$Q158/1000),(1/SUMIFS('abrasion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specifications'!$P158/1000),(1/SUMIFS('abrasion emissions'!$M$7:$M$34,'abrasion emissions'!$I$7:$I$34,"PM 10",'abrasion emissions'!$J$7:$J$34,"urban",'abrasion emissions'!$K$7:$K$34,"Tyre",'abrasion emissions'!$L$7:$L$34,"c")))))/1000000</f>
        <v>6.4014085973713807E-6</v>
      </c>
      <c r="CO158" s="7">
        <f>((SUMIFS('abrasion emissions'!$M$7:$M$34,'abrasion emissions'!$I$7:$I$34,"PM 2.5",'abrasion emissions'!$J$7:$J$34,"rural",'abrasion emissions'!$K$7:$K$34,"Tyre",'abrasion emissions'!$L$7:$L$34,"b")*POWER(('vehicles specifications'!$Q158/1000),(1/SUMIFS('abrasion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specifications'!$P158/1000),(1/SUMIFS('abrasion emissions'!$M$7:$M$34,'abrasion emissions'!$I$7:$I$34,"PM 10",'abrasion emissions'!$J$7:$J$34,"rural",'abrasion emissions'!$K$7:$K$34,"Tyre",'abrasion emissions'!$L$7:$L$34,"c")))))/1000000</f>
        <v>4.9856700739084942E-6</v>
      </c>
      <c r="CP158" s="7">
        <f>((SUMIFS('abrasion emissions'!$M$7:$M$34,'abrasion emissions'!$I$7:$I$34,"PM 2.5",'abrasion emissions'!$J$7:$J$34,"motorway",'abrasion emissions'!$K$7:$K$34,"Tyre",'abrasion emissions'!$L$7:$L$34,"b")*POWER(('vehicles specifications'!$Q158/1000),(1/SUMIFS('abrasion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specifications'!$P158/1000),(1/SUMIFS('abrasion emissions'!$M$7:$M$34,'abrasion emissions'!$I$7:$I$34,"PM 10",'abrasion emissions'!$J$7:$J$34,"motorway",'abrasion emissions'!$K$7:$K$34,"Tyre",'abrasion emissions'!$L$7:$L$34,"c")))))/1000000</f>
        <v>4.2581370810117798E-6</v>
      </c>
      <c r="CQ158" s="7">
        <f>((SUMIFS('abrasion emissions'!$M$7:$M$34,'abrasion emissions'!$I$7:$I$34,"PM 2.5",'abrasion emissions'!$J$7:$J$34,"urban",'abrasion emissions'!$K$7:$K$34,"Brake",'abrasion emissions'!$L$7:$L$34,"b")*POWER(('vehicles specifications'!$Q158/1000),(1/SUMIFS('abrasion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specifications'!$P158/1000),(1/SUMIFS('abrasion emissions'!$M$7:$M$34,'abrasion emissions'!$I$7:$I$34,"PM 10",'abrasion emissions'!$J$7:$J$34,"urban",'abrasion emissions'!$K$7:$K$34,"Brake",'abrasion emissions'!$L$7:$L$34,"c")))))/1000000</f>
        <v>6.1390060546103967E-6</v>
      </c>
      <c r="CR158" s="7">
        <f>((SUMIFS('abrasion emissions'!$M$7:$M$34,'abrasion emissions'!$I$7:$I$34,"PM 2.5",'abrasion emissions'!$J$7:$J$34,"rural",'abrasion emissions'!$K$7:$K$34,"Brake",'abrasion emissions'!$L$7:$L$34,"b")*POWER(('vehicles specifications'!$Q158/1000),(1/SUMIFS('abrasion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specifications'!$P158/1000),(1/SUMIFS('abrasion emissions'!$M$7:$M$34,'abrasion emissions'!$I$7:$I$34,"PM 10",'abrasion emissions'!$J$7:$J$34,"rural",'abrasion emissions'!$K$7:$K$34,"Brake",'abrasion emissions'!$L$7:$L$34,"c")))))/1000000</f>
        <v>1.9968723616785491E-6</v>
      </c>
      <c r="CS158" s="7">
        <f>((SUMIFS('abrasion emissions'!$M$7:$M$34,'abrasion emissions'!$I$7:$I$34,"PM 2.5",'abrasion emissions'!$J$7:$J$34,"motorway",'abrasion emissions'!$K$7:$K$34,"Brake",'abrasion emissions'!$L$7:$L$34,"b")*POWER(('vehicles specifications'!$Q158/1000),(1/SUMIFS('abrasion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specifications'!$P158/1000),(1/SUMIFS('abrasion emissions'!$M$7:$M$34,'abrasion emissions'!$I$7:$I$34,"PM 10",'abrasion emissions'!$J$7:$J$34,"motorway",'abrasion emissions'!$K$7:$K$34,"Brake",'abrasion emissions'!$L$7:$L$34,"c")))))/1000000</f>
        <v>3.7268779662713471E-7</v>
      </c>
      <c r="CT158" s="7">
        <f>((SUMIFS('abrasion emissions'!$M$7:$M$38,'abrasion emissions'!$I$7:$I$38,"PM 2.5",'abrasion emissions'!$K$7:$K$38,"Re-susp.",'abrasion emissions'!$L$7:$L$38,"b")*POWER(('vehicles specifications'!$Q158/1000),(1/SUMIFS('abrasion emissions'!$M$7:$M$38,'abrasion emissions'!$I$7:$I$38,"PM 2.5",'abrasion emissions'!$K$7:$K$38,"Re-susp.",'abrasion emissions'!$L$7:$L$38,"c"))))+
(SUMIFS('abrasion emissions'!$M$7:$M$38,'abrasion emissions'!$I$7:$I$38,"PM 10",'abrasion emissions'!$K$7:$K$38,"Re-susp.",'abrasion emissions'!$L$7:$L$38,"b")*POWER(('vehicles specifications'!$Q158/1000),(1/SUMIFS('abrasion emissions'!$M$7:$M$38,'abrasion emissions'!$I$7:$I$38,"PM 10",'abrasion emissions'!$K$7:$K$38,"Re-susp.",'abrasion emissions'!$L$7:$L$38,"c")))))/1000000</f>
        <v>3.8898062670544316E-6</v>
      </c>
      <c r="CU158" s="7">
        <f>((SUMIFS('abrasion emissions'!$M$7:$M$38,'abrasion emissions'!$I$7:$I$38,"PM 2.5",'abrasion emissions'!$K$7:$K$38,"Road",'abrasion emissions'!$L$7:$L$38,"b")*POWER(('vehicles specifications'!$Q158/1000),(1/SUMIFS('abrasion emissions'!$M$7:$M$38,'abrasion emissions'!$I$7:$I$38,"PM 2.5",'abrasion emissions'!$K$7:$K$38,"Road",'abrasion emissions'!$L$7:$L$38,"c"))))+
(SUMIFS('abrasion emissions'!$M$7:$M$38,'abrasion emissions'!$I$7:$I$38,"PM 10",'abrasion emissions'!$K$7:$K$38,"Road",'abrasion emissions'!$L$7:$L$38,"b")*POWER(('vehicles specifications'!$Q158/1000),(1/SUMIFS('abrasion emissions'!$M$7:$M$38,'abrasion emissions'!$I$7:$I$38,"PM 10",'abrasion emissions'!$K$7:$K$38,"Road",'abrasion emissions'!$L$7:$L$38,"c")))))/1000000+CT158</f>
        <v>7.4406252182883539E-6</v>
      </c>
      <c r="CV158" s="7">
        <f>(CK158*CN158)+(CL158*CO158)+(CM158*CP158)</f>
        <v>5.1629211982562471E-6</v>
      </c>
      <c r="CW158" s="7">
        <f>(CK158*CQ158)+(CL158*CR158)+(CM158*CS158)</f>
        <v>2.8078268502623069E-6</v>
      </c>
    </row>
    <row r="159">
      <c r="A159" t="str">
        <f>B159&amp;" - "&amp;D159&amp;" - "&amp;IF(I159&lt;&gt;"",I159&amp;" - "&amp;E159,E159)</f>
        <v>Motorbike, battery electric, 11-35kW - 2020 - NCA - CH</v>
      </c>
      <c r="B159" t="inlineStr">
        <is>
          <t>Motorbike, battery electric, 11-35kW</t>
        </is>
      </c>
      <c r="D159" s="18" t="n">
        <v>2020</v>
      </c>
      <c r="E159" t="inlineStr">
        <is>
          <t>CH</t>
        </is>
      </c>
      <c r="F159" t="inlineStr">
        <is>
          <t>None</t>
        </is>
      </c>
      <c r="G159" t="inlineStr">
        <is>
          <t>vkm</t>
        </is>
      </c>
      <c r="H159" t="inlineStr">
        <is>
          <t>BEV</t>
        </is>
      </c>
      <c r="I159" t="inlineStr">
        <is>
          <t>NCA</t>
        </is>
      </c>
      <c r="J159" t="n">
        <v>38500</v>
      </c>
      <c r="K159" t="n">
        <v>2405</v>
      </c>
      <c r="L159" s="2">
        <f>J159/K159</f>
        <v>16.008316008316008</v>
      </c>
      <c r="M159" t="n">
        <v>1.1</v>
      </c>
      <c r="N159" t="n">
        <v>75</v>
      </c>
      <c r="O159" t="n">
        <v>6</v>
      </c>
      <c r="P159" s="2">
        <f>SUM(U159,V159,W159,AC159,AF159,AH159)</f>
        <v>158.78260869565216</v>
      </c>
      <c r="Q159" s="2">
        <f>P159+(M159*N159)+O159</f>
        <v>247.28260869565216</v>
      </c>
      <c r="R159" t="n">
        <v>14</v>
      </c>
      <c r="S159" s="2" t="n">
        <v>81</v>
      </c>
      <c r="T159" s="1" t="n">
        <v>0</v>
      </c>
      <c r="U159" s="2">
        <f>S159*(1-T159)</f>
        <v>81</v>
      </c>
      <c r="V159" s="2" t="n">
        <v>13</v>
      </c>
      <c r="W159" s="2" t="n">
        <v>19</v>
      </c>
      <c r="X159" s="3" t="n">
        <v>8.1</v>
      </c>
      <c r="Y159" s="1" t="n">
        <v>0.8</v>
      </c>
      <c r="Z159" s="3">
        <f>Y159*X159</f>
        <v>6.48</v>
      </c>
      <c r="AA159" s="3">
        <f>IF(I159&lt;&gt;"",X159/INDEX('energy battery'!$B$3:$D$6,MATCH('vehicles specifications'!$D159,'energy battery'!$A$3:$A$6,0),MATCH('vehicles specifications'!$I159,'energy battery'!$B$2:$D$2,0)),"")</f>
        <v>35.217391304347821</v>
      </c>
      <c r="AB159" s="3">
        <f>IF(AA159&lt;&gt;"",0.3*AA159,"")</f>
        <v>10.565217391304346</v>
      </c>
      <c r="AC159" s="3">
        <f>IF(AA159&lt;&gt;"",AB159+AA159,"")</f>
        <v>45.782608695652165</v>
      </c>
      <c r="AD159" s="3" t="n">
        <v>1</v>
      </c>
      <c r="AE159" s="3" t="n">
        <v>0</v>
      </c>
      <c r="AF159">
        <f>AE159*'fuels and tailpipe emissions'!$B$3</f>
        <v>0</v>
      </c>
      <c r="AG159" t="n">
        <v>0</v>
      </c>
      <c r="AH159" s="3" t="n">
        <v>0</v>
      </c>
      <c r="AI159" s="3" t="n">
        <v>5</v>
      </c>
      <c r="AJ159" s="3" t="n">
        <v>1</v>
      </c>
      <c r="AK159">
        <f>J159/25000</f>
        <v>1.54</v>
      </c>
      <c r="AL159">
        <f>0.000537/1000*Q159</f>
        <v>1.3279076086956522E-4</v>
      </c>
      <c r="AM159" t="n">
        <v>0.00129</v>
      </c>
      <c r="AN159" s="2">
        <f>U159</f>
        <v>81</v>
      </c>
      <c r="AO159" s="2">
        <f>SUM(V159:W159)</f>
        <v>32</v>
      </c>
      <c r="AP159" s="2">
        <f>AC159</f>
        <v>45.782608695652165</v>
      </c>
      <c r="AQ159" s="6" t="inlineStr"/>
      <c r="AR159" s="20" t="n"/>
      <c r="AS159" s="6" t="n">
        <v>0.2463557991373035</v>
      </c>
      <c r="AT159" s="2">
        <f>SUM(Z159,AG159)/(SUM(AQ159,AS159)/3.6)</f>
        <v>94.692311208791224</v>
      </c>
      <c r="AU159" s="5" t="n">
        <v>0</v>
      </c>
      <c r="AV159" s="5" t="n">
        <v>0</v>
      </c>
      <c r="AW159" s="7" t="n">
        <v>0</v>
      </c>
      <c r="AX159" s="7" t="n">
        <v>0</v>
      </c>
      <c r="AY159" s="7" t="n">
        <v>0</v>
      </c>
      <c r="AZ159" s="7" t="n">
        <v>0</v>
      </c>
      <c r="BA159" s="7" t="n">
        <v>0</v>
      </c>
      <c r="BB159" s="7" t="n">
        <v>0</v>
      </c>
      <c r="BC159" s="7" t="n">
        <v>0</v>
      </c>
      <c r="BD159" s="7" t="n">
        <v>0</v>
      </c>
      <c r="BE159" s="7" t="n">
        <v>0</v>
      </c>
      <c r="BF159" s="7" t="n">
        <v>0</v>
      </c>
      <c r="BG159" s="7" t="n">
        <v>0</v>
      </c>
      <c r="BH159" s="7" t="n">
        <v>0</v>
      </c>
      <c r="BI159" s="7" t="n">
        <v>0</v>
      </c>
      <c r="BJ159" s="7" t="n">
        <v>0</v>
      </c>
      <c r="BK159" s="7" t="n">
        <v>0</v>
      </c>
      <c r="BL159" s="7" t="n">
        <v>0</v>
      </c>
      <c r="BM159" s="7" t="n">
        <v>0</v>
      </c>
      <c r="BN159" s="7" t="n">
        <v>0</v>
      </c>
      <c r="BO159" s="7" t="n">
        <v>0</v>
      </c>
      <c r="BP159" s="7" t="n">
        <v>0</v>
      </c>
      <c r="BQ159" s="7" t="n">
        <v>0</v>
      </c>
      <c r="BR159" s="7" t="n">
        <v>0</v>
      </c>
      <c r="BS159" s="7" t="n">
        <v>0</v>
      </c>
      <c r="BT159" s="7" t="n">
        <v>0</v>
      </c>
      <c r="BU159" s="7" t="n">
        <v>0</v>
      </c>
      <c r="BV159" s="7" t="n">
        <v>0</v>
      </c>
      <c r="BW159" s="7" t="n">
        <v>0</v>
      </c>
      <c r="BX159" s="7" t="n">
        <v>0</v>
      </c>
      <c r="BY159" s="7" t="n">
        <v>0</v>
      </c>
      <c r="BZ159" s="7" t="n">
        <v>0</v>
      </c>
      <c r="CA159" s="7" t="n">
        <v>0</v>
      </c>
      <c r="CB159" s="7" t="n">
        <v>0</v>
      </c>
      <c r="CC159" s="7" t="n">
        <v>0</v>
      </c>
      <c r="CD159" s="7" t="n">
        <v>0</v>
      </c>
      <c r="CE159" s="7" t="n">
        <v>0</v>
      </c>
      <c r="CF159" s="7" t="n">
        <v>0</v>
      </c>
      <c r="CG159" s="7" t="n">
        <v>0</v>
      </c>
      <c r="CH159" s="7" t="n">
        <v>0</v>
      </c>
      <c r="CI159" s="7" t="n">
        <v>0</v>
      </c>
      <c r="CJ159" s="7" t="n">
        <v>0</v>
      </c>
      <c r="CK159" s="38">
        <f>VLOOKUP($B159,'abrasion emissions'!$O$7:$R$36,2,FALSE)</f>
        <v>0.33</v>
      </c>
      <c r="CL159" s="38">
        <f>VLOOKUP($B159,'abrasion emissions'!$O$7:$R$36,3,FALSE)</f>
        <v>0.33</v>
      </c>
      <c r="CM159" s="38">
        <f>VLOOKUP($B159,'abrasion emissions'!$O$7:$R$36,4,FALSE)</f>
        <v>0.33</v>
      </c>
      <c r="CN159" s="7">
        <f>((SUMIFS('abrasion emissions'!$M$7:$M$34,'abrasion emissions'!$I$7:$I$34,"PM 2.5",'abrasion emissions'!$J$7:$J$34,"urban",'abrasion emissions'!$K$7:$K$34,"Tyre",'abrasion emissions'!$L$7:$L$34,"b")*POWER(('vehicles specifications'!$Q159/1000),(1/SUMIFS('abrasion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specifications'!$P159/1000),(1/SUMIFS('abrasion emissions'!$M$7:$M$34,'abrasion emissions'!$I$7:$I$34,"PM 10",'abrasion emissions'!$J$7:$J$34,"urban",'abrasion emissions'!$K$7:$K$34,"Tyre",'abrasion emissions'!$L$7:$L$34,"c")))))/1000000</f>
        <v>7.0725409205982677E-6</v>
      </c>
      <c r="CO159" s="7">
        <f>((SUMIFS('abrasion emissions'!$M$7:$M$34,'abrasion emissions'!$I$7:$I$34,"PM 2.5",'abrasion emissions'!$J$7:$J$34,"rural",'abrasion emissions'!$K$7:$K$34,"Tyre",'abrasion emissions'!$L$7:$L$34,"b")*POWER(('vehicles specifications'!$Q159/1000),(1/SUMIFS('abrasion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specifications'!$P159/1000),(1/SUMIFS('abrasion emissions'!$M$7:$M$34,'abrasion emissions'!$I$7:$I$34,"PM 10",'abrasion emissions'!$J$7:$J$34,"rural",'abrasion emissions'!$K$7:$K$34,"Tyre",'abrasion emissions'!$L$7:$L$34,"c")))))/1000000</f>
        <v>5.5079779198318538E-6</v>
      </c>
      <c r="CP159" s="7">
        <f>((SUMIFS('abrasion emissions'!$M$7:$M$34,'abrasion emissions'!$I$7:$I$34,"PM 2.5",'abrasion emissions'!$J$7:$J$34,"motorway",'abrasion emissions'!$K$7:$K$34,"Tyre",'abrasion emissions'!$L$7:$L$34,"b")*POWER(('vehicles specifications'!$Q159/1000),(1/SUMIFS('abrasion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specifications'!$P159/1000),(1/SUMIFS('abrasion emissions'!$M$7:$M$34,'abrasion emissions'!$I$7:$I$34,"PM 10",'abrasion emissions'!$J$7:$J$34,"motorway",'abrasion emissions'!$K$7:$K$34,"Tyre",'abrasion emissions'!$L$7:$L$34,"c")))))/1000000</f>
        <v>4.7032321128105256E-6</v>
      </c>
      <c r="CQ159" s="7">
        <f>((SUMIFS('abrasion emissions'!$M$7:$M$34,'abrasion emissions'!$I$7:$I$34,"PM 2.5",'abrasion emissions'!$J$7:$J$34,"urban",'abrasion emissions'!$K$7:$K$34,"Brake",'abrasion emissions'!$L$7:$L$34,"b")*POWER(('vehicles specifications'!$Q159/1000),(1/SUMIFS('abrasion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specifications'!$P159/1000),(1/SUMIFS('abrasion emissions'!$M$7:$M$34,'abrasion emissions'!$I$7:$I$34,"PM 10",'abrasion emissions'!$J$7:$J$34,"urban",'abrasion emissions'!$K$7:$K$34,"Brake",'abrasion emissions'!$L$7:$L$34,"c")))))/1000000</f>
        <v>6.8670327806770702E-6</v>
      </c>
      <c r="CR159" s="7">
        <f>((SUMIFS('abrasion emissions'!$M$7:$M$34,'abrasion emissions'!$I$7:$I$34,"PM 2.5",'abrasion emissions'!$J$7:$J$34,"rural",'abrasion emissions'!$K$7:$K$34,"Brake",'abrasion emissions'!$L$7:$L$34,"b")*POWER(('vehicles specifications'!$Q159/1000),(1/SUMIFS('abrasion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specifications'!$P159/1000),(1/SUMIFS('abrasion emissions'!$M$7:$M$34,'abrasion emissions'!$I$7:$I$34,"PM 10",'abrasion emissions'!$J$7:$J$34,"rural",'abrasion emissions'!$K$7:$K$34,"Brake",'abrasion emissions'!$L$7:$L$34,"c")))))/1000000</f>
        <v>2.3006680236556899E-6</v>
      </c>
      <c r="CS159" s="7">
        <f>((SUMIFS('abrasion emissions'!$M$7:$M$34,'abrasion emissions'!$I$7:$I$34,"PM 2.5",'abrasion emissions'!$J$7:$J$34,"motorway",'abrasion emissions'!$K$7:$K$34,"Brake",'abrasion emissions'!$L$7:$L$34,"b")*POWER(('vehicles specifications'!$Q159/1000),(1/SUMIFS('abrasion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specifications'!$P159/1000),(1/SUMIFS('abrasion emissions'!$M$7:$M$34,'abrasion emissions'!$I$7:$I$34,"PM 10",'abrasion emissions'!$J$7:$J$34,"motorway",'abrasion emissions'!$K$7:$K$34,"Brake",'abrasion emissions'!$L$7:$L$34,"c")))))/1000000</f>
        <v>4.3848687107948926E-7</v>
      </c>
      <c r="CT159" s="7">
        <f>((SUMIFS('abrasion emissions'!$M$7:$M$38,'abrasion emissions'!$I$7:$I$38,"PM 2.5",'abrasion emissions'!$K$7:$K$38,"Re-susp.",'abrasion emissions'!$L$7:$L$38,"b")*POWER(('vehicles specifications'!$Q159/1000),(1/SUMIFS('abrasion emissions'!$M$7:$M$38,'abrasion emissions'!$I$7:$I$38,"PM 2.5",'abrasion emissions'!$K$7:$K$38,"Re-susp.",'abrasion emissions'!$L$7:$L$38,"c"))))+
(SUMIFS('abrasion emissions'!$M$7:$M$38,'abrasion emissions'!$I$7:$I$38,"PM 10",'abrasion emissions'!$K$7:$K$38,"Re-susp.",'abrasion emissions'!$L$7:$L$38,"b")*POWER(('vehicles specifications'!$Q159/1000),(1/SUMIFS('abrasion emissions'!$M$7:$M$38,'abrasion emissions'!$I$7:$I$38,"PM 10",'abrasion emissions'!$K$7:$K$38,"Re-susp.",'abrasion emissions'!$L$7:$L$38,"c")))))/1000000</f>
        <v>4.6047031963126681E-6</v>
      </c>
      <c r="CU159" s="7">
        <f>((SUMIFS('abrasion emissions'!$M$7:$M$38,'abrasion emissions'!$I$7:$I$38,"PM 2.5",'abrasion emissions'!$K$7:$K$38,"Road",'abrasion emissions'!$L$7:$L$38,"b")*POWER(('vehicles specifications'!$Q159/1000),(1/SUMIFS('abrasion emissions'!$M$7:$M$38,'abrasion emissions'!$I$7:$I$38,"PM 2.5",'abrasion emissions'!$K$7:$K$38,"Road",'abrasion emissions'!$L$7:$L$38,"c"))))+
(SUMIFS('abrasion emissions'!$M$7:$M$38,'abrasion emissions'!$I$7:$I$38,"PM 10",'abrasion emissions'!$K$7:$K$38,"Road",'abrasion emissions'!$L$7:$L$38,"b")*POWER(('vehicles specifications'!$Q159/1000),(1/SUMIFS('abrasion emissions'!$M$7:$M$38,'abrasion emissions'!$I$7:$I$38,"PM 10",'abrasion emissions'!$K$7:$K$38,"Road",'abrasion emissions'!$L$7:$L$38,"c")))))/1000000+CT159</f>
        <v>8.6231900713164964E-6</v>
      </c>
      <c r="CV159" s="7">
        <f>(CK159*CN159)+(CL159*CO159)+(CM159*CP159)</f>
        <v>5.7036378145694137E-6</v>
      </c>
      <c r="CW159" s="7">
        <f>(CK159*CQ159)+(CL159*CR159)+(CM159*CS159)</f>
        <v>3.1700419328860428E-6</v>
      </c>
    </row>
    <row r="160">
      <c r="A160" t="str">
        <f>B160&amp;" - "&amp;D160&amp;" - "&amp;IF(I160&lt;&gt;"",I160&amp;" - "&amp;E160,E160)</f>
        <v>Motorbike, battery electric, 11-35kW - 2030 - NCA - CH</v>
      </c>
      <c r="B160" t="inlineStr">
        <is>
          <t>Motorbike, battery electric, 11-35kW</t>
        </is>
      </c>
      <c r="D160" s="18" t="n">
        <v>2030</v>
      </c>
      <c r="E160" t="inlineStr">
        <is>
          <t>CH</t>
        </is>
      </c>
      <c r="F160" t="inlineStr">
        <is>
          <t>None</t>
        </is>
      </c>
      <c r="G160" t="inlineStr">
        <is>
          <t>vkm</t>
        </is>
      </c>
      <c r="H160" t="inlineStr">
        <is>
          <t>BEV</t>
        </is>
      </c>
      <c r="I160" t="inlineStr">
        <is>
          <t>NCA</t>
        </is>
      </c>
      <c r="J160" t="n">
        <v>38500</v>
      </c>
      <c r="K160" t="n">
        <v>2405</v>
      </c>
      <c r="L160" s="2">
        <f>J160/K160</f>
        <v>16.008316008316008</v>
      </c>
      <c r="M160" t="n">
        <v>1.1</v>
      </c>
      <c r="N160" t="n">
        <v>75</v>
      </c>
      <c r="O160" t="n">
        <v>6</v>
      </c>
      <c r="P160" s="2">
        <f>SUM(U160,V160,W160,AC160,AF160,AH160)</f>
        <v>166.03666666666666</v>
      </c>
      <c r="Q160" s="2">
        <f>P160+(M160*N160)+O160</f>
        <v>254.53666666666666</v>
      </c>
      <c r="R160" t="n">
        <v>14</v>
      </c>
      <c r="S160" s="2" t="n">
        <v>81</v>
      </c>
      <c r="T160" s="1" t="n">
        <v>0.03</v>
      </c>
      <c r="U160" s="2">
        <f>S160*(1-T160)</f>
        <v>78.569999999999993</v>
      </c>
      <c r="V160" s="2" t="n">
        <v>13</v>
      </c>
      <c r="W160" s="2" t="n">
        <v>19</v>
      </c>
      <c r="X160" s="3" t="n">
        <v>12.8</v>
      </c>
      <c r="Y160" s="1" t="n">
        <v>0.8</v>
      </c>
      <c r="Z160" s="3">
        <f>Y160*X160</f>
        <v>10.240000000000002</v>
      </c>
      <c r="AA160" s="3">
        <f>IF(I160&lt;&gt;"",X160/INDEX('energy battery'!$B$3:$D$6,MATCH('vehicles specifications'!$D160,'energy battery'!$A$3:$A$6,0),MATCH('vehicles specifications'!$I160,'energy battery'!$B$2:$D$2,0)),"")</f>
        <v>42.666666666666671</v>
      </c>
      <c r="AB160" s="3">
        <f>IF(AA160&lt;&gt;"",0.3*AA160,"")</f>
        <v>12.8</v>
      </c>
      <c r="AC160" s="3">
        <f>IF(AA160&lt;&gt;"",AB160+AA160,"")</f>
        <v>55.466666666666669</v>
      </c>
      <c r="AD160" s="3" t="n">
        <v>0.5</v>
      </c>
      <c r="AE160" s="3" t="n">
        <v>0</v>
      </c>
      <c r="AF160">
        <f>AE160*'fuels and tailpipe emissions'!$B$3</f>
        <v>0</v>
      </c>
      <c r="AG160" t="n">
        <v>0</v>
      </c>
      <c r="AH160" s="3" t="n">
        <v>0</v>
      </c>
      <c r="AI160" s="3" t="n">
        <v>5</v>
      </c>
      <c r="AJ160" s="3" t="n">
        <v>1</v>
      </c>
      <c r="AK160">
        <f>J160/25000</f>
        <v>1.54</v>
      </c>
      <c r="AL160">
        <f>0.000537/1000*Q160</f>
        <v>1.3668618999999998E-4</v>
      </c>
      <c r="AM160" t="n">
        <v>0.00129</v>
      </c>
      <c r="AN160" s="2">
        <f>U160</f>
        <v>78.569999999999993</v>
      </c>
      <c r="AO160" s="2">
        <f>SUM(V160:W160)</f>
        <v>32</v>
      </c>
      <c r="AP160" s="2">
        <f>AC160</f>
        <v>55.466666666666669</v>
      </c>
      <c r="AQ160" s="6" t="inlineStr"/>
      <c r="AR160" s="20" t="n"/>
      <c r="AS160" s="6" t="n">
        <v>0.2463557991373035</v>
      </c>
      <c r="AT160" s="2">
        <f>SUM(Z160,AG160)/(SUM(AQ160,AS160)/3.6)</f>
        <v>149.63723252747255</v>
      </c>
      <c r="AU160" s="5" t="n">
        <v>0</v>
      </c>
      <c r="AV160" s="5" t="n">
        <v>0</v>
      </c>
      <c r="AW160" s="7" t="n">
        <v>0</v>
      </c>
      <c r="AX160" s="7" t="n">
        <v>0</v>
      </c>
      <c r="AY160" s="7" t="n">
        <v>0</v>
      </c>
      <c r="AZ160" s="7" t="n">
        <v>0</v>
      </c>
      <c r="BA160" s="7" t="n">
        <v>0</v>
      </c>
      <c r="BB160" s="7" t="n">
        <v>0</v>
      </c>
      <c r="BC160" s="7" t="n">
        <v>0</v>
      </c>
      <c r="BD160" s="7" t="n">
        <v>0</v>
      </c>
      <c r="BE160" s="7" t="n">
        <v>0</v>
      </c>
      <c r="BF160" s="7" t="n">
        <v>0</v>
      </c>
      <c r="BG160" s="7" t="n">
        <v>0</v>
      </c>
      <c r="BH160" s="7" t="n">
        <v>0</v>
      </c>
      <c r="BI160" s="7" t="n">
        <v>0</v>
      </c>
      <c r="BJ160" s="7" t="n">
        <v>0</v>
      </c>
      <c r="BK160" s="7" t="n">
        <v>0</v>
      </c>
      <c r="BL160" s="7" t="n">
        <v>0</v>
      </c>
      <c r="BM160" s="7" t="n">
        <v>0</v>
      </c>
      <c r="BN160" s="7" t="n">
        <v>0</v>
      </c>
      <c r="BO160" s="7" t="n">
        <v>0</v>
      </c>
      <c r="BP160" s="7" t="n">
        <v>0</v>
      </c>
      <c r="BQ160" s="7" t="n">
        <v>0</v>
      </c>
      <c r="BR160" s="7" t="n">
        <v>0</v>
      </c>
      <c r="BS160" s="7" t="n">
        <v>0</v>
      </c>
      <c r="BT160" s="7" t="n">
        <v>0</v>
      </c>
      <c r="BU160" s="7" t="n">
        <v>0</v>
      </c>
      <c r="BV160" s="7" t="n">
        <v>0</v>
      </c>
      <c r="BW160" s="7" t="n">
        <v>0</v>
      </c>
      <c r="BX160" s="7" t="n">
        <v>0</v>
      </c>
      <c r="BY160" s="7" t="n">
        <v>0</v>
      </c>
      <c r="BZ160" s="7" t="n">
        <v>0</v>
      </c>
      <c r="CA160" s="7" t="n">
        <v>0</v>
      </c>
      <c r="CB160" s="7" t="n">
        <v>0</v>
      </c>
      <c r="CC160" s="7" t="n">
        <v>0</v>
      </c>
      <c r="CD160" s="7" t="n">
        <v>0</v>
      </c>
      <c r="CE160" s="7" t="n">
        <v>0</v>
      </c>
      <c r="CF160" s="7" t="n">
        <v>0</v>
      </c>
      <c r="CG160" s="7" t="n">
        <v>0</v>
      </c>
      <c r="CH160" s="7" t="n">
        <v>0</v>
      </c>
      <c r="CI160" s="7" t="n">
        <v>0</v>
      </c>
      <c r="CJ160" s="7" t="n">
        <v>0</v>
      </c>
      <c r="CK160" s="38">
        <f>VLOOKUP($B160,'abrasion emissions'!$O$7:$R$36,2,FALSE)</f>
        <v>0.33</v>
      </c>
      <c r="CL160" s="38">
        <f>VLOOKUP($B160,'abrasion emissions'!$O$7:$R$36,3,FALSE)</f>
        <v>0.33</v>
      </c>
      <c r="CM160" s="38">
        <f>VLOOKUP($B160,'abrasion emissions'!$O$7:$R$36,4,FALSE)</f>
        <v>0.33</v>
      </c>
      <c r="CN160" s="7">
        <f>((SUMIFS('abrasion emissions'!$M$7:$M$34,'abrasion emissions'!$I$7:$I$34,"PM 2.5",'abrasion emissions'!$J$7:$J$34,"urban",'abrasion emissions'!$K$7:$K$34,"Tyre",'abrasion emissions'!$L$7:$L$34,"b")*POWER(('vehicles specifications'!$Q160/1000),(1/SUMIFS('abrasion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specifications'!$P160/1000),(1/SUMIFS('abrasion emissions'!$M$7:$M$34,'abrasion emissions'!$I$7:$I$34,"PM 10",'abrasion emissions'!$J$7:$J$34,"urban",'abrasion emissions'!$K$7:$K$34,"Tyre",'abrasion emissions'!$L$7:$L$34,"c")))))/1000000</f>
        <v>7.1801535228005072E-6</v>
      </c>
      <c r="CO160" s="7">
        <f>((SUMIFS('abrasion emissions'!$M$7:$M$34,'abrasion emissions'!$I$7:$I$34,"PM 2.5",'abrasion emissions'!$J$7:$J$34,"rural",'abrasion emissions'!$K$7:$K$34,"Tyre",'abrasion emissions'!$L$7:$L$34,"b")*POWER(('vehicles specifications'!$Q160/1000),(1/SUMIFS('abrasion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specifications'!$P160/1000),(1/SUMIFS('abrasion emissions'!$M$7:$M$34,'abrasion emissions'!$I$7:$I$34,"PM 10",'abrasion emissions'!$J$7:$J$34,"rural",'abrasion emissions'!$K$7:$K$34,"Tyre",'abrasion emissions'!$L$7:$L$34,"c")))))/1000000</f>
        <v>5.5917318312942094E-6</v>
      </c>
      <c r="CP160" s="7">
        <f>((SUMIFS('abrasion emissions'!$M$7:$M$34,'abrasion emissions'!$I$7:$I$34,"PM 2.5",'abrasion emissions'!$J$7:$J$34,"motorway",'abrasion emissions'!$K$7:$K$34,"Tyre",'abrasion emissions'!$L$7:$L$34,"b")*POWER(('vehicles specifications'!$Q160/1000),(1/SUMIFS('abrasion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specifications'!$P160/1000),(1/SUMIFS('abrasion emissions'!$M$7:$M$34,'abrasion emissions'!$I$7:$I$34,"PM 10",'abrasion emissions'!$J$7:$J$34,"motorway",'abrasion emissions'!$K$7:$K$34,"Tyre",'abrasion emissions'!$L$7:$L$34,"c")))))/1000000</f>
        <v>4.7746160925158934E-6</v>
      </c>
      <c r="CQ160" s="7">
        <f>((SUMIFS('abrasion emissions'!$M$7:$M$34,'abrasion emissions'!$I$7:$I$34,"PM 2.5",'abrasion emissions'!$J$7:$J$34,"urban",'abrasion emissions'!$K$7:$K$34,"Brake",'abrasion emissions'!$L$7:$L$34,"b")*POWER(('vehicles specifications'!$Q160/1000),(1/SUMIFS('abrasion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specifications'!$P160/1000),(1/SUMIFS('abrasion emissions'!$M$7:$M$34,'abrasion emissions'!$I$7:$I$34,"PM 10",'abrasion emissions'!$J$7:$J$34,"urban",'abrasion emissions'!$K$7:$K$34,"Brake",'abrasion emissions'!$L$7:$L$34,"c")))))/1000000</f>
        <v>6.9858143570140925E-6</v>
      </c>
      <c r="CR160" s="7">
        <f>((SUMIFS('abrasion emissions'!$M$7:$M$34,'abrasion emissions'!$I$7:$I$34,"PM 2.5",'abrasion emissions'!$J$7:$J$34,"rural",'abrasion emissions'!$K$7:$K$34,"Brake",'abrasion emissions'!$L$7:$L$34,"b")*POWER(('vehicles specifications'!$Q160/1000),(1/SUMIFS('abrasion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specifications'!$P160/1000),(1/SUMIFS('abrasion emissions'!$M$7:$M$34,'abrasion emissions'!$I$7:$I$34,"PM 10",'abrasion emissions'!$J$7:$J$34,"rural",'abrasion emissions'!$K$7:$K$34,"Brake",'abrasion emissions'!$L$7:$L$34,"c")))))/1000000</f>
        <v>2.3511274593329272E-6</v>
      </c>
      <c r="CS160" s="7">
        <f>((SUMIFS('abrasion emissions'!$M$7:$M$34,'abrasion emissions'!$I$7:$I$34,"PM 2.5",'abrasion emissions'!$J$7:$J$34,"motorway",'abrasion emissions'!$K$7:$K$34,"Brake",'abrasion emissions'!$L$7:$L$34,"b")*POWER(('vehicles specifications'!$Q160/1000),(1/SUMIFS('abrasion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specifications'!$P160/1000),(1/SUMIFS('abrasion emissions'!$M$7:$M$34,'abrasion emissions'!$I$7:$I$34,"PM 10",'abrasion emissions'!$J$7:$J$34,"motorway",'abrasion emissions'!$K$7:$K$34,"Brake",'abrasion emissions'!$L$7:$L$34,"c")))))/1000000</f>
        <v>4.4955955462242896E-7</v>
      </c>
      <c r="CT160" s="7">
        <f>((SUMIFS('abrasion emissions'!$M$7:$M$38,'abrasion emissions'!$I$7:$I$38,"PM 2.5",'abrasion emissions'!$K$7:$K$38,"Re-susp.",'abrasion emissions'!$L$7:$L$38,"b")*POWER(('vehicles specifications'!$Q160/1000),(1/SUMIFS('abrasion emissions'!$M$7:$M$38,'abrasion emissions'!$I$7:$I$38,"PM 2.5",'abrasion emissions'!$K$7:$K$38,"Re-susp.",'abrasion emissions'!$L$7:$L$38,"c"))))+
(SUMIFS('abrasion emissions'!$M$7:$M$38,'abrasion emissions'!$I$7:$I$38,"PM 10",'abrasion emissions'!$K$7:$K$38,"Re-susp.",'abrasion emissions'!$L$7:$L$38,"b")*POWER(('vehicles specifications'!$Q160/1000),(1/SUMIFS('abrasion emissions'!$M$7:$M$38,'abrasion emissions'!$I$7:$I$38,"PM 10",'abrasion emissions'!$K$7:$K$38,"Re-susp.",'abrasion emissions'!$L$7:$L$38,"c")))))/1000000</f>
        <v>4.7273406196870027E-6</v>
      </c>
      <c r="CU160" s="7">
        <f>((SUMIFS('abrasion emissions'!$M$7:$M$38,'abrasion emissions'!$I$7:$I$38,"PM 2.5",'abrasion emissions'!$K$7:$K$38,"Road",'abrasion emissions'!$L$7:$L$38,"b")*POWER(('vehicles specifications'!$Q160/1000),(1/SUMIFS('abrasion emissions'!$M$7:$M$38,'abrasion emissions'!$I$7:$I$38,"PM 2.5",'abrasion emissions'!$K$7:$K$38,"Road",'abrasion emissions'!$L$7:$L$38,"c"))))+
(SUMIFS('abrasion emissions'!$M$7:$M$38,'abrasion emissions'!$I$7:$I$38,"PM 10",'abrasion emissions'!$K$7:$K$38,"Road",'abrasion emissions'!$L$7:$L$38,"b")*POWER(('vehicles specifications'!$Q160/1000),(1/SUMIFS('abrasion emissions'!$M$7:$M$38,'abrasion emissions'!$I$7:$I$38,"PM 10",'abrasion emissions'!$K$7:$K$38,"Road",'abrasion emissions'!$L$7:$L$38,"c")))))/1000000+CT160</f>
        <v>8.8240366405718536E-6</v>
      </c>
      <c r="CV160" s="7">
        <f>(CK160*CN160)+(CL160*CO160)+(CM160*CP160)</f>
        <v>5.7903454773815019E-6</v>
      </c>
      <c r="CW160" s="7">
        <f>(CK160*CQ160)+(CL160*CR160)+(CM160*CS160)</f>
        <v>3.2295454524199181E-6</v>
      </c>
    </row>
    <row r="161">
      <c r="A161" t="str">
        <f>B161&amp;" - "&amp;D161&amp;" - "&amp;IF(I161&lt;&gt;"",I161&amp;" - "&amp;E161,E161)</f>
        <v>Motorbike, battery electric, 11-35kW - 2040 - NCA - CH</v>
      </c>
      <c r="B161" t="inlineStr">
        <is>
          <t>Motorbike, battery electric, 11-35kW</t>
        </is>
      </c>
      <c r="D161" s="18" t="n">
        <v>2040</v>
      </c>
      <c r="E161" t="inlineStr">
        <is>
          <t>CH</t>
        </is>
      </c>
      <c r="F161" t="inlineStr">
        <is>
          <t>None</t>
        </is>
      </c>
      <c r="G161" t="inlineStr">
        <is>
          <t>vkm</t>
        </is>
      </c>
      <c r="H161" t="inlineStr">
        <is>
          <t>BEV</t>
        </is>
      </c>
      <c r="I161" t="inlineStr">
        <is>
          <t>NCA</t>
        </is>
      </c>
      <c r="J161" t="n">
        <v>38500</v>
      </c>
      <c r="K161" t="n">
        <v>2405</v>
      </c>
      <c r="L161" s="2">
        <f>J161/K161</f>
        <v>16.008316008316008</v>
      </c>
      <c r="M161" t="n">
        <v>1.1</v>
      </c>
      <c r="N161" t="n">
        <v>75</v>
      </c>
      <c r="O161" t="n">
        <v>6</v>
      </c>
      <c r="P161" s="2">
        <f>SUM(U161,V161,W161,AC161,AF161,AH161)</f>
        <v>166.8</v>
      </c>
      <c r="Q161" s="2">
        <f>P161+(M161*N161)+O161</f>
        <v>255.3</v>
      </c>
      <c r="R161" t="n">
        <v>14</v>
      </c>
      <c r="S161" s="2" t="n">
        <v>81</v>
      </c>
      <c r="T161" s="1" t="n">
        <v>0.05</v>
      </c>
      <c r="U161" s="2">
        <f>S161*(1-T161)</f>
        <v>76.95</v>
      </c>
      <c r="V161" s="2" t="n">
        <v>13</v>
      </c>
      <c r="W161" s="2" t="n">
        <v>19</v>
      </c>
      <c r="X161" s="3" t="n">
        <v>17.8</v>
      </c>
      <c r="Y161" s="1" t="n">
        <v>0.8</v>
      </c>
      <c r="Z161" s="3">
        <f>Y161*X161</f>
        <v>14.240000000000002</v>
      </c>
      <c r="AA161" s="3">
        <f>IF(I161&lt;&gt;"",X161/INDEX('energy battery'!$B$3:$D$6,MATCH('vehicles specifications'!$D161,'energy battery'!$A$3:$A$6,0),MATCH('vehicles specifications'!$I161,'energy battery'!$B$2:$D$2,0)),"")</f>
        <v>44.5</v>
      </c>
      <c r="AB161" s="3">
        <f>IF(AA161&lt;&gt;"",0.3*AA161,"")</f>
        <v>13.35</v>
      </c>
      <c r="AC161" s="3">
        <f>IF(AA161&lt;&gt;"",AB161+AA161,"")</f>
        <v>57.85</v>
      </c>
      <c r="AD161" s="3" t="n">
        <v>0.25</v>
      </c>
      <c r="AE161" s="3" t="n">
        <v>0</v>
      </c>
      <c r="AF161">
        <f>AE161*'fuels and tailpipe emissions'!$B$3</f>
        <v>0</v>
      </c>
      <c r="AG161" t="n">
        <v>0</v>
      </c>
      <c r="AH161" s="3" t="n">
        <v>0</v>
      </c>
      <c r="AI161" s="3" t="n">
        <v>5</v>
      </c>
      <c r="AJ161" s="3" t="n">
        <v>1</v>
      </c>
      <c r="AK161">
        <f>J161/25000</f>
        <v>1.54</v>
      </c>
      <c r="AL161">
        <f>0.000537/1000*Q161</f>
        <v>1.370961E-4</v>
      </c>
      <c r="AM161" t="n">
        <v>0.00129</v>
      </c>
      <c r="AN161" s="2">
        <f>U161</f>
        <v>76.95</v>
      </c>
      <c r="AO161" s="2">
        <f>SUM(V161:W161)</f>
        <v>32</v>
      </c>
      <c r="AP161" s="2">
        <f>AC161</f>
        <v>57.85</v>
      </c>
      <c r="AQ161" s="6" t="inlineStr"/>
      <c r="AR161" s="20" t="n"/>
      <c r="AS161" s="6" t="n">
        <v>0.2463557991373035</v>
      </c>
      <c r="AT161" s="2">
        <f>SUM(Z161,AG161)/(SUM(AQ161,AS161)/3.6)</f>
        <v>208.08927648351653</v>
      </c>
      <c r="AU161" s="5" t="n">
        <v>0</v>
      </c>
      <c r="AV161" s="5" t="n">
        <v>0</v>
      </c>
      <c r="AW161" s="7" t="n">
        <v>0</v>
      </c>
      <c r="AX161" s="7" t="n">
        <v>0</v>
      </c>
      <c r="AY161" s="7" t="n">
        <v>0</v>
      </c>
      <c r="AZ161" s="7" t="n">
        <v>0</v>
      </c>
      <c r="BA161" s="7" t="n">
        <v>0</v>
      </c>
      <c r="BB161" s="7" t="n">
        <v>0</v>
      </c>
      <c r="BC161" s="7" t="n">
        <v>0</v>
      </c>
      <c r="BD161" s="7" t="n">
        <v>0</v>
      </c>
      <c r="BE161" s="7" t="n">
        <v>0</v>
      </c>
      <c r="BF161" s="7" t="n">
        <v>0</v>
      </c>
      <c r="BG161" s="7" t="n">
        <v>0</v>
      </c>
      <c r="BH161" s="7" t="n">
        <v>0</v>
      </c>
      <c r="BI161" s="7" t="n">
        <v>0</v>
      </c>
      <c r="BJ161" s="7" t="n">
        <v>0</v>
      </c>
      <c r="BK161" s="7" t="n">
        <v>0</v>
      </c>
      <c r="BL161" s="7" t="n">
        <v>0</v>
      </c>
      <c r="BM161" s="7" t="n">
        <v>0</v>
      </c>
      <c r="BN161" s="7" t="n">
        <v>0</v>
      </c>
      <c r="BO161" s="7" t="n">
        <v>0</v>
      </c>
      <c r="BP161" s="7" t="n">
        <v>0</v>
      </c>
      <c r="BQ161" s="7" t="n">
        <v>0</v>
      </c>
      <c r="BR161" s="7" t="n">
        <v>0</v>
      </c>
      <c r="BS161" s="7" t="n">
        <v>0</v>
      </c>
      <c r="BT161" s="7" t="n">
        <v>0</v>
      </c>
      <c r="BU161" s="7" t="n">
        <v>0</v>
      </c>
      <c r="BV161" s="7" t="n">
        <v>0</v>
      </c>
      <c r="BW161" s="7" t="n">
        <v>0</v>
      </c>
      <c r="BX161" s="7" t="n">
        <v>0</v>
      </c>
      <c r="BY161" s="7" t="n">
        <v>0</v>
      </c>
      <c r="BZ161" s="7" t="n">
        <v>0</v>
      </c>
      <c r="CA161" s="7" t="n">
        <v>0</v>
      </c>
      <c r="CB161" s="7" t="n">
        <v>0</v>
      </c>
      <c r="CC161" s="7" t="n">
        <v>0</v>
      </c>
      <c r="CD161" s="7" t="n">
        <v>0</v>
      </c>
      <c r="CE161" s="7" t="n">
        <v>0</v>
      </c>
      <c r="CF161" s="7" t="n">
        <v>0</v>
      </c>
      <c r="CG161" s="7" t="n">
        <v>0</v>
      </c>
      <c r="CH161" s="7" t="n">
        <v>0</v>
      </c>
      <c r="CI161" s="7" t="n">
        <v>0</v>
      </c>
      <c r="CJ161" s="7" t="n">
        <v>0</v>
      </c>
      <c r="CK161" s="38">
        <f>VLOOKUP($B161,'abrasion emissions'!$O$7:$R$36,2,FALSE)</f>
        <v>0.33</v>
      </c>
      <c r="CL161" s="38">
        <f>VLOOKUP($B161,'abrasion emissions'!$O$7:$R$36,3,FALSE)</f>
        <v>0.33</v>
      </c>
      <c r="CM161" s="38">
        <f>VLOOKUP($B161,'abrasion emissions'!$O$7:$R$36,4,FALSE)</f>
        <v>0.33</v>
      </c>
      <c r="CN161" s="7">
        <f>((SUMIFS('abrasion emissions'!$M$7:$M$34,'abrasion emissions'!$I$7:$I$34,"PM 2.5",'abrasion emissions'!$J$7:$J$34,"urban",'abrasion emissions'!$K$7:$K$34,"Tyre",'abrasion emissions'!$L$7:$L$34,"b")*POWER(('vehicles specifications'!$Q161/1000),(1/SUMIFS('abrasion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specifications'!$P161/1000),(1/SUMIFS('abrasion emissions'!$M$7:$M$34,'abrasion emissions'!$I$7:$I$34,"PM 10",'abrasion emissions'!$J$7:$J$34,"urban",'abrasion emissions'!$K$7:$K$34,"Tyre",'abrasion emissions'!$L$7:$L$34,"c")))))/1000000</f>
        <v>7.191350224974304E-6</v>
      </c>
      <c r="CO161" s="7">
        <f>((SUMIFS('abrasion emissions'!$M$7:$M$34,'abrasion emissions'!$I$7:$I$34,"PM 2.5",'abrasion emissions'!$J$7:$J$34,"rural",'abrasion emissions'!$K$7:$K$34,"Tyre",'abrasion emissions'!$L$7:$L$34,"b")*POWER(('vehicles specifications'!$Q161/1000),(1/SUMIFS('abrasion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specifications'!$P161/1000),(1/SUMIFS('abrasion emissions'!$M$7:$M$34,'abrasion emissions'!$I$7:$I$34,"PM 10",'abrasion emissions'!$J$7:$J$34,"rural",'abrasion emissions'!$K$7:$K$34,"Tyre",'abrasion emissions'!$L$7:$L$34,"c")))))/1000000</f>
        <v>5.6004461857878812E-6</v>
      </c>
      <c r="CP161" s="7">
        <f>((SUMIFS('abrasion emissions'!$M$7:$M$34,'abrasion emissions'!$I$7:$I$34,"PM 2.5",'abrasion emissions'!$J$7:$J$34,"motorway",'abrasion emissions'!$K$7:$K$34,"Tyre",'abrasion emissions'!$L$7:$L$34,"b")*POWER(('vehicles specifications'!$Q161/1000),(1/SUMIFS('abrasion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specifications'!$P161/1000),(1/SUMIFS('abrasion emissions'!$M$7:$M$34,'abrasion emissions'!$I$7:$I$34,"PM 10",'abrasion emissions'!$J$7:$J$34,"motorway",'abrasion emissions'!$K$7:$K$34,"Tyre",'abrasion emissions'!$L$7:$L$34,"c")))))/1000000</f>
        <v>4.7820435488367323E-6</v>
      </c>
      <c r="CQ161" s="7">
        <f>((SUMIFS('abrasion emissions'!$M$7:$M$34,'abrasion emissions'!$I$7:$I$34,"PM 2.5",'abrasion emissions'!$J$7:$J$34,"urban",'abrasion emissions'!$K$7:$K$34,"Brake",'abrasion emissions'!$L$7:$L$34,"b")*POWER(('vehicles specifications'!$Q161/1000),(1/SUMIFS('abrasion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specifications'!$P161/1000),(1/SUMIFS('abrasion emissions'!$M$7:$M$34,'abrasion emissions'!$I$7:$I$34,"PM 10",'abrasion emissions'!$J$7:$J$34,"urban",'abrasion emissions'!$K$7:$K$34,"Brake",'abrasion emissions'!$L$7:$L$34,"c")))))/1000000</f>
        <v>6.9982036556431788E-6</v>
      </c>
      <c r="CR161" s="7">
        <f>((SUMIFS('abrasion emissions'!$M$7:$M$34,'abrasion emissions'!$I$7:$I$34,"PM 2.5",'abrasion emissions'!$J$7:$J$34,"rural",'abrasion emissions'!$K$7:$K$34,"Brake",'abrasion emissions'!$L$7:$L$34,"b")*POWER(('vehicles specifications'!$Q161/1000),(1/SUMIFS('abrasion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specifications'!$P161/1000),(1/SUMIFS('abrasion emissions'!$M$7:$M$34,'abrasion emissions'!$I$7:$I$34,"PM 10",'abrasion emissions'!$J$7:$J$34,"rural",'abrasion emissions'!$K$7:$K$34,"Brake",'abrasion emissions'!$L$7:$L$34,"c")))))/1000000</f>
        <v>2.3564043884212742E-6</v>
      </c>
      <c r="CS161" s="7">
        <f>((SUMIFS('abrasion emissions'!$M$7:$M$34,'abrasion emissions'!$I$7:$I$34,"PM 2.5",'abrasion emissions'!$J$7:$J$34,"motorway",'abrasion emissions'!$K$7:$K$34,"Brake",'abrasion emissions'!$L$7:$L$34,"b")*POWER(('vehicles specifications'!$Q161/1000),(1/SUMIFS('abrasion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specifications'!$P161/1000),(1/SUMIFS('abrasion emissions'!$M$7:$M$34,'abrasion emissions'!$I$7:$I$34,"PM 10",'abrasion emissions'!$J$7:$J$34,"motorway",'abrasion emissions'!$K$7:$K$34,"Brake",'abrasion emissions'!$L$7:$L$34,"c")))))/1000000</f>
        <v>4.5071974549913653E-7</v>
      </c>
      <c r="CT161" s="7">
        <f>((SUMIFS('abrasion emissions'!$M$7:$M$38,'abrasion emissions'!$I$7:$I$38,"PM 2.5",'abrasion emissions'!$K$7:$K$38,"Re-susp.",'abrasion emissions'!$L$7:$L$38,"b")*POWER(('vehicles specifications'!$Q161/1000),(1/SUMIFS('abrasion emissions'!$M$7:$M$38,'abrasion emissions'!$I$7:$I$38,"PM 2.5",'abrasion emissions'!$K$7:$K$38,"Re-susp.",'abrasion emissions'!$L$7:$L$38,"c"))))+
(SUMIFS('abrasion emissions'!$M$7:$M$38,'abrasion emissions'!$I$7:$I$38,"PM 10",'abrasion emissions'!$K$7:$K$38,"Re-susp.",'abrasion emissions'!$L$7:$L$38,"b")*POWER(('vehicles specifications'!$Q161/1000),(1/SUMIFS('abrasion emissions'!$M$7:$M$38,'abrasion emissions'!$I$7:$I$38,"PM 10",'abrasion emissions'!$K$7:$K$38,"Re-susp.",'abrasion emissions'!$L$7:$L$38,"c")))))/1000000</f>
        <v>4.7402269406922841E-6</v>
      </c>
      <c r="CU161" s="7">
        <f>((SUMIFS('abrasion emissions'!$M$7:$M$38,'abrasion emissions'!$I$7:$I$38,"PM 2.5",'abrasion emissions'!$K$7:$K$38,"Road",'abrasion emissions'!$L$7:$L$38,"b")*POWER(('vehicles specifications'!$Q161/1000),(1/SUMIFS('abrasion emissions'!$M$7:$M$38,'abrasion emissions'!$I$7:$I$38,"PM 2.5",'abrasion emissions'!$K$7:$K$38,"Road",'abrasion emissions'!$L$7:$L$38,"c"))))+
(SUMIFS('abrasion emissions'!$M$7:$M$38,'abrasion emissions'!$I$7:$I$38,"PM 10",'abrasion emissions'!$K$7:$K$38,"Road",'abrasion emissions'!$L$7:$L$38,"b")*POWER(('vehicles specifications'!$Q161/1000),(1/SUMIFS('abrasion emissions'!$M$7:$M$38,'abrasion emissions'!$I$7:$I$38,"PM 10",'abrasion emissions'!$K$7:$K$38,"Road",'abrasion emissions'!$L$7:$L$38,"c")))))/1000000+CT161</f>
        <v>8.845109296756298E-6</v>
      </c>
      <c r="CV161" s="7">
        <f>(CK161*CN161)+(CL161*CO161)+(CM161*CP161)</f>
        <v>5.7993671866676433E-6</v>
      </c>
      <c r="CW161" s="7">
        <f>(CK161*CQ161)+(CL161*CR161)+(CM161*CS161)</f>
        <v>3.2357581705559849E-6</v>
      </c>
    </row>
    <row r="162">
      <c r="A162" t="str">
        <f>B162&amp;" - "&amp;D162&amp;" - "&amp;IF(I162&lt;&gt;"",I162&amp;" - "&amp;E162,E162)</f>
        <v>Motorbike, battery electric, 11-35kW - 2050 - NCA - CH</v>
      </c>
      <c r="B162" t="inlineStr">
        <is>
          <t>Motorbike, battery electric, 11-35kW</t>
        </is>
      </c>
      <c r="D162" s="18" t="n">
        <v>2050</v>
      </c>
      <c r="E162" t="inlineStr">
        <is>
          <t>CH</t>
        </is>
      </c>
      <c r="F162" t="inlineStr">
        <is>
          <t>None</t>
        </is>
      </c>
      <c r="G162" t="inlineStr">
        <is>
          <t>vkm</t>
        </is>
      </c>
      <c r="H162" t="inlineStr">
        <is>
          <t>BEV</t>
        </is>
      </c>
      <c r="I162" t="inlineStr">
        <is>
          <t>NCA</t>
        </is>
      </c>
      <c r="J162" t="n">
        <v>38500</v>
      </c>
      <c r="K162" t="n">
        <v>2405</v>
      </c>
      <c r="L162" s="2">
        <f>J162/K162</f>
        <v>16.008316008316008</v>
      </c>
      <c r="M162" t="n">
        <v>1.1</v>
      </c>
      <c r="N162" t="n">
        <v>75</v>
      </c>
      <c r="O162" t="n">
        <v>6</v>
      </c>
      <c r="P162" s="2">
        <f>SUM(U162,V162,W162,AC162,AF162,AH162)</f>
        <v>166.61</v>
      </c>
      <c r="Q162" s="2">
        <f>P162+(M162*N162)+O162</f>
        <v>255.11</v>
      </c>
      <c r="R162" t="n">
        <v>14</v>
      </c>
      <c r="S162" s="2" t="n">
        <v>81</v>
      </c>
      <c r="T162" s="1" t="n">
        <v>0.07000000000000001</v>
      </c>
      <c r="U162" s="2">
        <f>S162*(1-T162)</f>
        <v>75.33</v>
      </c>
      <c r="V162" s="2" t="n">
        <v>13</v>
      </c>
      <c r="W162" s="2" t="n">
        <v>19</v>
      </c>
      <c r="X162" s="3" t="n">
        <v>22.8</v>
      </c>
      <c r="Y162" s="1" t="n">
        <v>0.8</v>
      </c>
      <c r="Z162" s="3">
        <f>Y162*X162</f>
        <v>18.240000000000002</v>
      </c>
      <c r="AA162" s="3">
        <f>IF(I162&lt;&gt;"",X162/INDEX('energy battery'!$B$3:$D$6,MATCH('vehicles specifications'!$D162,'energy battery'!$A$3:$A$6,0),MATCH('vehicles specifications'!$I162,'energy battery'!$B$2:$D$2,0)),"")</f>
        <v>45.6</v>
      </c>
      <c r="AB162" s="3">
        <f>IF(AA162&lt;&gt;"",0.3*AA162,"")</f>
        <v>13.68</v>
      </c>
      <c r="AC162" s="3">
        <f>IF(AA162&lt;&gt;"",AB162+AA162,"")</f>
        <v>59.28</v>
      </c>
      <c r="AD162" s="3" t="n">
        <v>0</v>
      </c>
      <c r="AE162" s="3" t="n">
        <v>0</v>
      </c>
      <c r="AF162">
        <f>AE162*'fuels and tailpipe emissions'!$B$3</f>
        <v>0</v>
      </c>
      <c r="AG162" t="n">
        <v>0</v>
      </c>
      <c r="AH162" s="3" t="n">
        <v>0</v>
      </c>
      <c r="AI162" s="3" t="n">
        <v>5</v>
      </c>
      <c r="AJ162" s="3" t="n">
        <v>1</v>
      </c>
      <c r="AK162">
        <f>J162/25000</f>
        <v>1.54</v>
      </c>
      <c r="AL162">
        <f>0.000537/1000*Q162</f>
        <v>1.3699407E-4</v>
      </c>
      <c r="AM162" t="n">
        <v>0.00129</v>
      </c>
      <c r="AN162" s="2">
        <f>U162</f>
        <v>75.33</v>
      </c>
      <c r="AO162" s="2">
        <f>SUM(V162:W162)</f>
        <v>32</v>
      </c>
      <c r="AP162" s="2">
        <f>AC162</f>
        <v>59.28</v>
      </c>
      <c r="AQ162" s="6" t="inlineStr"/>
      <c r="AR162" s="20" t="n"/>
      <c r="AS162" s="6" t="n">
        <v>0.2463557991373035</v>
      </c>
      <c r="AT162" s="2">
        <f>SUM(Z162,AG162)/(SUM(AQ162,AS162)/3.6)</f>
        <v>266.54132043956048</v>
      </c>
      <c r="AU162" s="5" t="n">
        <v>0</v>
      </c>
      <c r="AV162" s="5" t="n">
        <v>0</v>
      </c>
      <c r="AW162" s="7" t="n">
        <v>0</v>
      </c>
      <c r="AX162" s="7" t="n">
        <v>0</v>
      </c>
      <c r="AY162" s="7" t="n">
        <v>0</v>
      </c>
      <c r="AZ162" s="7" t="n">
        <v>0</v>
      </c>
      <c r="BA162" s="7" t="n">
        <v>0</v>
      </c>
      <c r="BB162" s="7" t="n">
        <v>0</v>
      </c>
      <c r="BC162" s="7" t="n">
        <v>0</v>
      </c>
      <c r="BD162" s="7" t="n">
        <v>0</v>
      </c>
      <c r="BE162" s="7" t="n">
        <v>0</v>
      </c>
      <c r="BF162" s="7" t="n">
        <v>0</v>
      </c>
      <c r="BG162" s="7" t="n">
        <v>0</v>
      </c>
      <c r="BH162" s="7" t="n">
        <v>0</v>
      </c>
      <c r="BI162" s="7" t="n">
        <v>0</v>
      </c>
      <c r="BJ162" s="7" t="n">
        <v>0</v>
      </c>
      <c r="BK162" s="7" t="n">
        <v>0</v>
      </c>
      <c r="BL162" s="7" t="n">
        <v>0</v>
      </c>
      <c r="BM162" s="7" t="n">
        <v>0</v>
      </c>
      <c r="BN162" s="7" t="n">
        <v>0</v>
      </c>
      <c r="BO162" s="7" t="n">
        <v>0</v>
      </c>
      <c r="BP162" s="7" t="n">
        <v>0</v>
      </c>
      <c r="BQ162" s="7" t="n">
        <v>0</v>
      </c>
      <c r="BR162" s="7" t="n">
        <v>0</v>
      </c>
      <c r="BS162" s="7" t="n">
        <v>0</v>
      </c>
      <c r="BT162" s="7" t="n">
        <v>0</v>
      </c>
      <c r="BU162" s="7" t="n">
        <v>0</v>
      </c>
      <c r="BV162" s="7" t="n">
        <v>0</v>
      </c>
      <c r="BW162" s="7" t="n">
        <v>0</v>
      </c>
      <c r="BX162" s="7" t="n">
        <v>0</v>
      </c>
      <c r="BY162" s="7" t="n">
        <v>0</v>
      </c>
      <c r="BZ162" s="7" t="n">
        <v>0</v>
      </c>
      <c r="CA162" s="7" t="n">
        <v>0</v>
      </c>
      <c r="CB162" s="7" t="n">
        <v>0</v>
      </c>
      <c r="CC162" s="7" t="n">
        <v>0</v>
      </c>
      <c r="CD162" s="7" t="n">
        <v>0</v>
      </c>
      <c r="CE162" s="7" t="n">
        <v>0</v>
      </c>
      <c r="CF162" s="7" t="n">
        <v>0</v>
      </c>
      <c r="CG162" s="7" t="n">
        <v>0</v>
      </c>
      <c r="CH162" s="7" t="n">
        <v>0</v>
      </c>
      <c r="CI162" s="7" t="n">
        <v>0</v>
      </c>
      <c r="CJ162" s="7" t="n">
        <v>0</v>
      </c>
      <c r="CK162" s="38">
        <f>VLOOKUP($B162,'abrasion emissions'!$O$7:$R$36,2,FALSE)</f>
        <v>0.33</v>
      </c>
      <c r="CL162" s="38">
        <f>VLOOKUP($B162,'abrasion emissions'!$O$7:$R$36,3,FALSE)</f>
        <v>0.33</v>
      </c>
      <c r="CM162" s="38">
        <f>VLOOKUP($B162,'abrasion emissions'!$O$7:$R$36,4,FALSE)</f>
        <v>0.33</v>
      </c>
      <c r="CN162" s="7">
        <f>((SUMIFS('abrasion emissions'!$M$7:$M$34,'abrasion emissions'!$I$7:$I$34,"PM 2.5",'abrasion emissions'!$J$7:$J$34,"urban",'abrasion emissions'!$K$7:$K$34,"Tyre",'abrasion emissions'!$L$7:$L$34,"b")*POWER(('vehicles specifications'!$Q162/1000),(1/SUMIFS('abrasion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specifications'!$P162/1000),(1/SUMIFS('abrasion emissions'!$M$7:$M$34,'abrasion emissions'!$I$7:$I$34,"PM 10",'abrasion emissions'!$J$7:$J$34,"urban",'abrasion emissions'!$K$7:$K$34,"Tyre",'abrasion emissions'!$L$7:$L$34,"c")))))/1000000</f>
        <v>7.1885654894377667E-6</v>
      </c>
      <c r="CO162" s="7">
        <f>((SUMIFS('abrasion emissions'!$M$7:$M$34,'abrasion emissions'!$I$7:$I$34,"PM 2.5",'abrasion emissions'!$J$7:$J$34,"rural",'abrasion emissions'!$K$7:$K$34,"Tyre",'abrasion emissions'!$L$7:$L$34,"b")*POWER(('vehicles specifications'!$Q162/1000),(1/SUMIFS('abrasion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specifications'!$P162/1000),(1/SUMIFS('abrasion emissions'!$M$7:$M$34,'abrasion emissions'!$I$7:$I$34,"PM 10",'abrasion emissions'!$J$7:$J$34,"rural",'abrasion emissions'!$K$7:$K$34,"Tyre",'abrasion emissions'!$L$7:$L$34,"c")))))/1000000</f>
        <v>5.5982788346864884E-6</v>
      </c>
      <c r="CP162" s="7">
        <f>((SUMIFS('abrasion emissions'!$M$7:$M$34,'abrasion emissions'!$I$7:$I$34,"PM 2.5",'abrasion emissions'!$J$7:$J$34,"motorway",'abrasion emissions'!$K$7:$K$34,"Tyre",'abrasion emissions'!$L$7:$L$34,"b")*POWER(('vehicles specifications'!$Q162/1000),(1/SUMIFS('abrasion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specifications'!$P162/1000),(1/SUMIFS('abrasion emissions'!$M$7:$M$34,'abrasion emissions'!$I$7:$I$34,"PM 10",'abrasion emissions'!$J$7:$J$34,"motorway",'abrasion emissions'!$K$7:$K$34,"Tyre",'abrasion emissions'!$L$7:$L$34,"c")))))/1000000</f>
        <v>4.7801962600443701E-6</v>
      </c>
      <c r="CQ162" s="7">
        <f>((SUMIFS('abrasion emissions'!$M$7:$M$34,'abrasion emissions'!$I$7:$I$34,"PM 2.5",'abrasion emissions'!$J$7:$J$34,"urban",'abrasion emissions'!$K$7:$K$34,"Brake",'abrasion emissions'!$L$7:$L$34,"b")*POWER(('vehicles specifications'!$Q162/1000),(1/SUMIFS('abrasion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specifications'!$P162/1000),(1/SUMIFS('abrasion emissions'!$M$7:$M$34,'abrasion emissions'!$I$7:$I$34,"PM 10",'abrasion emissions'!$J$7:$J$34,"urban",'abrasion emissions'!$K$7:$K$34,"Brake",'abrasion emissions'!$L$7:$L$34,"c")))))/1000000</f>
        <v>6.9951217764317907E-6</v>
      </c>
      <c r="CR162" s="7">
        <f>((SUMIFS('abrasion emissions'!$M$7:$M$34,'abrasion emissions'!$I$7:$I$34,"PM 2.5",'abrasion emissions'!$J$7:$J$34,"rural",'abrasion emissions'!$K$7:$K$34,"Brake",'abrasion emissions'!$L$7:$L$34,"b")*POWER(('vehicles specifications'!$Q162/1000),(1/SUMIFS('abrasion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specifications'!$P162/1000),(1/SUMIFS('abrasion emissions'!$M$7:$M$34,'abrasion emissions'!$I$7:$I$34,"PM 10",'abrasion emissions'!$J$7:$J$34,"rural",'abrasion emissions'!$K$7:$K$34,"Brake",'abrasion emissions'!$L$7:$L$34,"c")))))/1000000</f>
        <v>2.3550914917354701E-6</v>
      </c>
      <c r="CS162" s="7">
        <f>((SUMIFS('abrasion emissions'!$M$7:$M$34,'abrasion emissions'!$I$7:$I$34,"PM 2.5",'abrasion emissions'!$J$7:$J$34,"motorway",'abrasion emissions'!$K$7:$K$34,"Brake",'abrasion emissions'!$L$7:$L$34,"b")*POWER(('vehicles specifications'!$Q162/1000),(1/SUMIFS('abrasion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specifications'!$P162/1000),(1/SUMIFS('abrasion emissions'!$M$7:$M$34,'abrasion emissions'!$I$7:$I$34,"PM 10",'abrasion emissions'!$J$7:$J$34,"motorway",'abrasion emissions'!$K$7:$K$34,"Brake",'abrasion emissions'!$L$7:$L$34,"c")))))/1000000</f>
        <v>4.5043105147652871E-7</v>
      </c>
      <c r="CT162" s="7">
        <f>((SUMIFS('abrasion emissions'!$M$7:$M$38,'abrasion emissions'!$I$7:$I$38,"PM 2.5",'abrasion emissions'!$K$7:$K$38,"Re-susp.",'abrasion emissions'!$L$7:$L$38,"b")*POWER(('vehicles specifications'!$Q162/1000),(1/SUMIFS('abrasion emissions'!$M$7:$M$38,'abrasion emissions'!$I$7:$I$38,"PM 2.5",'abrasion emissions'!$K$7:$K$38,"Re-susp.",'abrasion emissions'!$L$7:$L$38,"c"))))+
(SUMIFS('abrasion emissions'!$M$7:$M$38,'abrasion emissions'!$I$7:$I$38,"PM 10",'abrasion emissions'!$K$7:$K$38,"Re-susp.",'abrasion emissions'!$L$7:$L$38,"b")*POWER(('vehicles specifications'!$Q162/1000),(1/SUMIFS('abrasion emissions'!$M$7:$M$38,'abrasion emissions'!$I$7:$I$38,"PM 10",'abrasion emissions'!$K$7:$K$38,"Re-susp.",'abrasion emissions'!$L$7:$L$38,"c")))))/1000000</f>
        <v>4.7370197562953144E-6</v>
      </c>
      <c r="CU162" s="7">
        <f>((SUMIFS('abrasion emissions'!$M$7:$M$38,'abrasion emissions'!$I$7:$I$38,"PM 2.5",'abrasion emissions'!$K$7:$K$38,"Road",'abrasion emissions'!$L$7:$L$38,"b")*POWER(('vehicles specifications'!$Q162/1000),(1/SUMIFS('abrasion emissions'!$M$7:$M$38,'abrasion emissions'!$I$7:$I$38,"PM 2.5",'abrasion emissions'!$K$7:$K$38,"Road",'abrasion emissions'!$L$7:$L$38,"c"))))+
(SUMIFS('abrasion emissions'!$M$7:$M$38,'abrasion emissions'!$I$7:$I$38,"PM 10",'abrasion emissions'!$K$7:$K$38,"Road",'abrasion emissions'!$L$7:$L$38,"b")*POWER(('vehicles specifications'!$Q162/1000),(1/SUMIFS('abrasion emissions'!$M$7:$M$38,'abrasion emissions'!$I$7:$I$38,"PM 10",'abrasion emissions'!$K$7:$K$38,"Road",'abrasion emissions'!$L$7:$L$38,"c")))))/1000000+CT162</f>
        <v>8.8398652291641006E-6</v>
      </c>
      <c r="CV162" s="7">
        <f>(CK162*CN162)+(CL162*CO162)+(CM162*CP162)</f>
        <v>5.7971233927756468E-6</v>
      </c>
      <c r="CW162" s="7">
        <f>(CK162*CQ162)+(CL162*CR162)+(CM162*CS162)</f>
        <v>3.2342126254824507E-6</v>
      </c>
    </row>
    <row r="163">
      <c r="A163" t="str">
        <f>B163&amp;" - "&amp;D163&amp;" - "&amp;IF(I163&lt;&gt;"",I163&amp;" - "&amp;E163,E163)</f>
        <v>Motorbike, battery electric, &gt;35kW - 2020 - NCA - CH</v>
      </c>
      <c r="B163" t="inlineStr">
        <is>
          <t>Motorbike, battery electric, &gt;35kW</t>
        </is>
      </c>
      <c r="D163" s="18" t="n">
        <v>2020</v>
      </c>
      <c r="E163" t="inlineStr">
        <is>
          <t>CH</t>
        </is>
      </c>
      <c r="F163" t="inlineStr">
        <is>
          <t>None</t>
        </is>
      </c>
      <c r="G163" t="inlineStr">
        <is>
          <t>vkm</t>
        </is>
      </c>
      <c r="H163" t="inlineStr">
        <is>
          <t>BEV</t>
        </is>
      </c>
      <c r="I163" t="inlineStr">
        <is>
          <t>NCA</t>
        </is>
      </c>
      <c r="J163" t="n">
        <v>40500</v>
      </c>
      <c r="K163" t="n">
        <v>2896</v>
      </c>
      <c r="L163" s="2">
        <f>J163/K163</f>
        <v>13.984806629834255</v>
      </c>
      <c r="M163" t="n">
        <v>1.1</v>
      </c>
      <c r="N163" t="n">
        <v>75</v>
      </c>
      <c r="O163" t="n">
        <v>6</v>
      </c>
      <c r="P163" s="2">
        <f>SUM(U163,V163,W163,AC163,AF163,AH163)</f>
        <v>240.90086956521736</v>
      </c>
      <c r="Q163" s="2">
        <f>P163+(M163*N163)+O163</f>
        <v>329.40086956521736</v>
      </c>
      <c r="R163" t="n">
        <v>49</v>
      </c>
      <c r="S163" s="2" t="n">
        <v>111</v>
      </c>
      <c r="T163" s="1" t="n">
        <v>0</v>
      </c>
      <c r="U163" s="2">
        <f>S163*(1-T163)</f>
        <v>111</v>
      </c>
      <c r="V163" s="2" t="n">
        <v>13.74</v>
      </c>
      <c r="W163" s="2" t="n">
        <v>22.9</v>
      </c>
      <c r="X163" s="3" t="n">
        <v>16.5</v>
      </c>
      <c r="Y163" s="1" t="n">
        <v>0.8</v>
      </c>
      <c r="Z163" s="3">
        <f>Y163*X163</f>
        <v>13.200000000000001</v>
      </c>
      <c r="AA163" s="3">
        <f>IF(I163&lt;&gt;"",X163/INDEX('energy battery'!$B$3:$D$6,MATCH('vehicles specifications'!$D163,'energy battery'!$A$3:$A$6,0),MATCH('vehicles specifications'!$I163,'energy battery'!$B$2:$D$2,0)),"")</f>
        <v>71.739130434782609</v>
      </c>
      <c r="AB163" s="3">
        <f>IF(AA163&lt;&gt;"",0.3*AA163,"")</f>
        <v>21.521739130434781</v>
      </c>
      <c r="AC163" s="3">
        <f>IF(AA163&lt;&gt;"",AB163+AA163,"")</f>
        <v>93.260869565217391</v>
      </c>
      <c r="AD163" s="3" t="n">
        <v>1</v>
      </c>
      <c r="AE163" s="3" t="n">
        <v>0</v>
      </c>
      <c r="AF163">
        <f>AE163*'fuels and tailpipe emissions'!$B$3</f>
        <v>0</v>
      </c>
      <c r="AG163" t="n">
        <v>0</v>
      </c>
      <c r="AH163" s="3" t="n">
        <v>0</v>
      </c>
      <c r="AI163" s="3" t="n">
        <v>5</v>
      </c>
      <c r="AJ163" s="3" t="n">
        <v>1</v>
      </c>
      <c r="AK163">
        <f>J163/25000</f>
        <v>1.62</v>
      </c>
      <c r="AL163">
        <f>0.000537/1000*Q163</f>
        <v>1.7688826695652171E-4</v>
      </c>
      <c r="AM163" t="n">
        <v>0.00129</v>
      </c>
      <c r="AN163" s="2">
        <f>U163</f>
        <v>111</v>
      </c>
      <c r="AO163" s="2">
        <f>SUM(V163:W163)</f>
        <v>36.64</v>
      </c>
      <c r="AP163" s="2">
        <f>AC163</f>
        <v>93.260869565217391</v>
      </c>
      <c r="AQ163" s="6" t="inlineStr"/>
      <c r="AR163" s="20" t="n"/>
      <c r="AS163" s="6" t="n">
        <v>0.2747318210135786</v>
      </c>
      <c r="AT163" s="2">
        <f>SUM(Z163,AG163)/(SUM(AQ163,AS163)/3.6)</f>
        <v>172.96867841767528</v>
      </c>
      <c r="AU163" s="5" t="n">
        <v>0</v>
      </c>
      <c r="AV163" s="5" t="n">
        <v>0</v>
      </c>
      <c r="AW163" s="7" t="n">
        <v>0</v>
      </c>
      <c r="AX163" s="7" t="n">
        <v>0</v>
      </c>
      <c r="AY163" s="7" t="n">
        <v>0</v>
      </c>
      <c r="AZ163" s="7" t="n">
        <v>0</v>
      </c>
      <c r="BA163" s="7" t="n">
        <v>0</v>
      </c>
      <c r="BB163" s="7" t="n">
        <v>0</v>
      </c>
      <c r="BC163" s="7" t="n">
        <v>0</v>
      </c>
      <c r="BD163" s="7" t="n">
        <v>0</v>
      </c>
      <c r="BE163" s="7" t="n">
        <v>0</v>
      </c>
      <c r="BF163" s="7" t="n">
        <v>0</v>
      </c>
      <c r="BG163" s="7" t="n">
        <v>0</v>
      </c>
      <c r="BH163" s="7" t="n">
        <v>0</v>
      </c>
      <c r="BI163" s="7" t="n">
        <v>0</v>
      </c>
      <c r="BJ163" s="7" t="n">
        <v>0</v>
      </c>
      <c r="BK163" s="7" t="n">
        <v>0</v>
      </c>
      <c r="BL163" s="7" t="n">
        <v>0</v>
      </c>
      <c r="BM163" s="7" t="n">
        <v>0</v>
      </c>
      <c r="BN163" s="7" t="n">
        <v>0</v>
      </c>
      <c r="BO163" s="7" t="n">
        <v>0</v>
      </c>
      <c r="BP163" s="7" t="n">
        <v>0</v>
      </c>
      <c r="BQ163" s="7" t="n">
        <v>0</v>
      </c>
      <c r="BR163" s="7" t="n">
        <v>0</v>
      </c>
      <c r="BS163" s="7" t="n">
        <v>0</v>
      </c>
      <c r="BT163" s="7" t="n">
        <v>0</v>
      </c>
      <c r="BU163" s="7" t="n">
        <v>0</v>
      </c>
      <c r="BV163" s="7" t="n">
        <v>0</v>
      </c>
      <c r="BW163" s="7" t="n">
        <v>0</v>
      </c>
      <c r="BX163" s="7" t="n">
        <v>0</v>
      </c>
      <c r="BY163" s="7" t="n">
        <v>0</v>
      </c>
      <c r="BZ163" s="7" t="n">
        <v>0</v>
      </c>
      <c r="CA163" s="7" t="n">
        <v>0</v>
      </c>
      <c r="CB163" s="7" t="n">
        <v>0</v>
      </c>
      <c r="CC163" s="7" t="n">
        <v>0</v>
      </c>
      <c r="CD163" s="7" t="n">
        <v>0</v>
      </c>
      <c r="CE163" s="7" t="n">
        <v>0</v>
      </c>
      <c r="CF163" s="7" t="n">
        <v>0</v>
      </c>
      <c r="CG163" s="7" t="n">
        <v>0</v>
      </c>
      <c r="CH163" s="7" t="n">
        <v>0</v>
      </c>
      <c r="CI163" s="7" t="n">
        <v>0</v>
      </c>
      <c r="CJ163" s="7" t="n">
        <v>0</v>
      </c>
      <c r="CK163" s="38">
        <f>VLOOKUP($B163,'abrasion emissions'!$O$7:$R$36,2,FALSE)</f>
        <v>0.33</v>
      </c>
      <c r="CL163" s="38">
        <f>VLOOKUP($B163,'abrasion emissions'!$O$7:$R$36,3,FALSE)</f>
        <v>0.33</v>
      </c>
      <c r="CM163" s="38">
        <f>VLOOKUP($B163,'abrasion emissions'!$O$7:$R$36,4,FALSE)</f>
        <v>0.33</v>
      </c>
      <c r="CN163" s="7">
        <f>((SUMIFS('abrasion emissions'!$M$7:$M$34,'abrasion emissions'!$I$7:$I$34,"PM 2.5",'abrasion emissions'!$J$7:$J$34,"urban",'abrasion emissions'!$K$7:$K$34,"Tyre",'abrasion emissions'!$L$7:$L$34,"b")*POWER(('vehicles specifications'!$Q163/1000),(1/SUMIFS('abrasion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specifications'!$P163/1000),(1/SUMIFS('abrasion emissions'!$M$7:$M$34,'abrasion emissions'!$I$7:$I$34,"PM 10",'abrasion emissions'!$J$7:$J$34,"urban",'abrasion emissions'!$K$7:$K$34,"Tyre",'abrasion emissions'!$L$7:$L$34,"c")))))/1000000</f>
        <v>8.1833966603172422E-6</v>
      </c>
      <c r="CO163" s="7">
        <f>((SUMIFS('abrasion emissions'!$M$7:$M$34,'abrasion emissions'!$I$7:$I$34,"PM 2.5",'abrasion emissions'!$J$7:$J$34,"rural",'abrasion emissions'!$K$7:$K$34,"Tyre",'abrasion emissions'!$L$7:$L$34,"b")*POWER(('vehicles specifications'!$Q163/1000),(1/SUMIFS('abrasion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specifications'!$P163/1000),(1/SUMIFS('abrasion emissions'!$M$7:$M$34,'abrasion emissions'!$I$7:$I$34,"PM 10",'abrasion emissions'!$J$7:$J$34,"rural",'abrasion emissions'!$K$7:$K$34,"Tyre",'abrasion emissions'!$L$7:$L$34,"c")))))/1000000</f>
        <v>6.3725921258378231E-6</v>
      </c>
      <c r="CP163" s="7">
        <f>((SUMIFS('abrasion emissions'!$M$7:$M$34,'abrasion emissions'!$I$7:$I$34,"PM 2.5",'abrasion emissions'!$J$7:$J$34,"motorway",'abrasion emissions'!$K$7:$K$34,"Tyre",'abrasion emissions'!$L$7:$L$34,"b")*POWER(('vehicles specifications'!$Q163/1000),(1/SUMIFS('abrasion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specifications'!$P163/1000),(1/SUMIFS('abrasion emissions'!$M$7:$M$34,'abrasion emissions'!$I$7:$I$34,"PM 10",'abrasion emissions'!$J$7:$J$34,"motorway",'abrasion emissions'!$K$7:$K$34,"Tyre",'abrasion emissions'!$L$7:$L$34,"c")))))/1000000</f>
        <v>5.4402618599253395E-6</v>
      </c>
      <c r="CQ163" s="7">
        <f>((SUMIFS('abrasion emissions'!$M$7:$M$34,'abrasion emissions'!$I$7:$I$34,"PM 2.5",'abrasion emissions'!$J$7:$J$34,"urban",'abrasion emissions'!$K$7:$K$34,"Brake",'abrasion emissions'!$L$7:$L$34,"b")*POWER(('vehicles specifications'!$Q163/1000),(1/SUMIFS('abrasion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specifications'!$P163/1000),(1/SUMIFS('abrasion emissions'!$M$7:$M$34,'abrasion emissions'!$I$7:$I$34,"PM 10",'abrasion emissions'!$J$7:$J$34,"urban",'abrasion emissions'!$K$7:$K$34,"Brake",'abrasion emissions'!$L$7:$L$34,"c")))))/1000000</f>
        <v>8.1170983104317375E-6</v>
      </c>
      <c r="CR163" s="7">
        <f>((SUMIFS('abrasion emissions'!$M$7:$M$34,'abrasion emissions'!$I$7:$I$34,"PM 2.5",'abrasion emissions'!$J$7:$J$34,"rural",'abrasion emissions'!$K$7:$K$34,"Brake",'abrasion emissions'!$L$7:$L$34,"b")*POWER(('vehicles specifications'!$Q163/1000),(1/SUMIFS('abrasion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specifications'!$P163/1000),(1/SUMIFS('abrasion emissions'!$M$7:$M$34,'abrasion emissions'!$I$7:$I$34,"PM 10",'abrasion emissions'!$J$7:$J$34,"rural",'abrasion emissions'!$K$7:$K$34,"Brake",'abrasion emissions'!$L$7:$L$34,"c")))))/1000000</f>
        <v>2.8432167717392888E-6</v>
      </c>
      <c r="CS163" s="7">
        <f>((SUMIFS('abrasion emissions'!$M$7:$M$34,'abrasion emissions'!$I$7:$I$34,"PM 2.5",'abrasion emissions'!$J$7:$J$34,"motorway",'abrasion emissions'!$K$7:$K$34,"Brake",'abrasion emissions'!$L$7:$L$34,"b")*POWER(('vehicles specifications'!$Q163/1000),(1/SUMIFS('abrasion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specifications'!$P163/1000),(1/SUMIFS('abrasion emissions'!$M$7:$M$34,'abrasion emissions'!$I$7:$I$34,"PM 10",'abrasion emissions'!$J$7:$J$34,"motorway",'abrasion emissions'!$K$7:$K$34,"Brake",'abrasion emissions'!$L$7:$L$34,"c")))))/1000000</f>
        <v>5.5944631400125093E-7</v>
      </c>
      <c r="CT163" s="7">
        <f>((SUMIFS('abrasion emissions'!$M$7:$M$38,'abrasion emissions'!$I$7:$I$38,"PM 2.5",'abrasion emissions'!$K$7:$K$38,"Re-susp.",'abrasion emissions'!$L$7:$L$38,"b")*POWER(('vehicles specifications'!$Q163/1000),(1/SUMIFS('abrasion emissions'!$M$7:$M$38,'abrasion emissions'!$I$7:$I$38,"PM 2.5",'abrasion emissions'!$K$7:$K$38,"Re-susp.",'abrasion emissions'!$L$7:$L$38,"c"))))+
(SUMIFS('abrasion emissions'!$M$7:$M$38,'abrasion emissions'!$I$7:$I$38,"PM 10",'abrasion emissions'!$K$7:$K$38,"Re-susp.",'abrasion emissions'!$L$7:$L$38,"b")*POWER(('vehicles specifications'!$Q163/1000),(1/SUMIFS('abrasion emissions'!$M$7:$M$38,'abrasion emissions'!$I$7:$I$38,"PM 10",'abrasion emissions'!$K$7:$K$38,"Re-susp.",'abrasion emissions'!$L$7:$L$38,"c")))))/1000000</f>
        <v>5.9760165932201544E-6</v>
      </c>
      <c r="CU163" s="7">
        <f>((SUMIFS('abrasion emissions'!$M$7:$M$38,'abrasion emissions'!$I$7:$I$38,"PM 2.5",'abrasion emissions'!$K$7:$K$38,"Road",'abrasion emissions'!$L$7:$L$38,"b")*POWER(('vehicles specifications'!$Q163/1000),(1/SUMIFS('abrasion emissions'!$M$7:$M$38,'abrasion emissions'!$I$7:$I$38,"PM 2.5",'abrasion emissions'!$K$7:$K$38,"Road",'abrasion emissions'!$L$7:$L$38,"c"))))+
(SUMIFS('abrasion emissions'!$M$7:$M$38,'abrasion emissions'!$I$7:$I$38,"PM 10",'abrasion emissions'!$K$7:$K$38,"Road",'abrasion emissions'!$L$7:$L$38,"b")*POWER(('vehicles specifications'!$Q163/1000),(1/SUMIFS('abrasion emissions'!$M$7:$M$38,'abrasion emissions'!$I$7:$I$38,"PM 10",'abrasion emissions'!$K$7:$K$38,"Road",'abrasion emissions'!$L$7:$L$38,"c")))))/1000000+CT163</f>
        <v>1.0841022060127957E-5</v>
      </c>
      <c r="CV163" s="7">
        <f>(CK163*CN163)+(CL163*CO163)+(CM163*CP163)</f>
        <v>6.5987627132065337E-6</v>
      </c>
      <c r="CW163" s="7">
        <f>(CK163*CQ163)+(CL163*CR163)+(CM163*CS163)</f>
        <v>3.8015212607368517E-6</v>
      </c>
    </row>
    <row r="164">
      <c r="A164" t="str">
        <f>B164&amp;" - "&amp;D164&amp;" - "&amp;IF(I164&lt;&gt;"",I164&amp;" - "&amp;E164,E164)</f>
        <v>Motorbike, battery electric, &gt;35kW - 2030 - NCA - CH</v>
      </c>
      <c r="B164" t="inlineStr">
        <is>
          <t>Motorbike, battery electric, &gt;35kW</t>
        </is>
      </c>
      <c r="D164" s="18" t="n">
        <v>2030</v>
      </c>
      <c r="E164" t="inlineStr">
        <is>
          <t>CH</t>
        </is>
      </c>
      <c r="F164" t="inlineStr">
        <is>
          <t>None</t>
        </is>
      </c>
      <c r="G164" t="inlineStr">
        <is>
          <t>vkm</t>
        </is>
      </c>
      <c r="H164" t="inlineStr">
        <is>
          <t>BEV</t>
        </is>
      </c>
      <c r="I164" t="inlineStr">
        <is>
          <t>NCA</t>
        </is>
      </c>
      <c r="J164" t="n">
        <v>40500</v>
      </c>
      <c r="K164" t="n">
        <v>2896</v>
      </c>
      <c r="L164" s="2">
        <f>J164/K164</f>
        <v>13.984806629834255</v>
      </c>
      <c r="M164" t="n">
        <v>1.1</v>
      </c>
      <c r="N164" t="n">
        <v>75</v>
      </c>
      <c r="O164" t="n">
        <v>6</v>
      </c>
      <c r="P164" s="2">
        <f>SUM(U164,V164,W164,AC164,AF164,AH164)</f>
        <v>255.24333333333334</v>
      </c>
      <c r="Q164" s="2">
        <f>P164+(M164*N164)+O164</f>
        <v>343.74333333333334</v>
      </c>
      <c r="R164" t="n">
        <v>49</v>
      </c>
      <c r="S164" s="2" t="n">
        <v>111</v>
      </c>
      <c r="T164" s="1" t="n">
        <v>0.03</v>
      </c>
      <c r="U164" s="2">
        <f>S164*(1-T164)</f>
        <v>107.67</v>
      </c>
      <c r="V164" s="2" t="n">
        <v>13.74</v>
      </c>
      <c r="W164" s="2" t="n">
        <v>22.9</v>
      </c>
      <c r="X164" s="3" t="n">
        <v>25.6</v>
      </c>
      <c r="Y164" s="1" t="n">
        <v>0.8</v>
      </c>
      <c r="Z164" s="3">
        <f>Y164*X164</f>
        <v>20.480000000000004</v>
      </c>
      <c r="AA164" s="3">
        <f>IF(I164&lt;&gt;"",X164/INDEX('energy battery'!$B$3:$D$6,MATCH('vehicles specifications'!$D164,'energy battery'!$A$3:$A$6,0),MATCH('vehicles specifications'!$I164,'energy battery'!$B$2:$D$2,0)),"")</f>
        <v>85.333333333333343</v>
      </c>
      <c r="AB164" s="3">
        <f>IF(AA164&lt;&gt;"",0.3*AA164,"")</f>
        <v>25.6</v>
      </c>
      <c r="AC164" s="3">
        <f>IF(AA164&lt;&gt;"",AB164+AA164,"")</f>
        <v>110.93333333333334</v>
      </c>
      <c r="AD164" s="3" t="n">
        <v>0.5</v>
      </c>
      <c r="AE164" s="3" t="n">
        <v>0</v>
      </c>
      <c r="AF164">
        <f>AE164*'fuels and tailpipe emissions'!$B$3</f>
        <v>0</v>
      </c>
      <c r="AG164" t="n">
        <v>0</v>
      </c>
      <c r="AH164" s="3" t="n">
        <v>0</v>
      </c>
      <c r="AI164" s="3" t="n">
        <v>5</v>
      </c>
      <c r="AJ164" s="3" t="n">
        <v>1</v>
      </c>
      <c r="AK164">
        <f>J164/25000</f>
        <v>1.62</v>
      </c>
      <c r="AL164">
        <f>0.000537/1000*Q164</f>
        <v>1.8459017000000002E-4</v>
      </c>
      <c r="AM164" t="n">
        <v>0.00129</v>
      </c>
      <c r="AN164" s="2">
        <f>U164</f>
        <v>107.67</v>
      </c>
      <c r="AO164" s="2">
        <f>SUM(V164:W164)</f>
        <v>36.64</v>
      </c>
      <c r="AP164" s="2">
        <f>AC164</f>
        <v>110.93333333333334</v>
      </c>
      <c r="AQ164" s="6" t="inlineStr"/>
      <c r="AR164" s="20" t="n"/>
      <c r="AS164" s="6" t="n">
        <v>0.2747318210135786</v>
      </c>
      <c r="AT164" s="2">
        <f>SUM(Z164,AG164)/(SUM(AQ164,AS164)/3.6)</f>
        <v>268.363525302575</v>
      </c>
      <c r="AU164" s="5" t="n">
        <v>0</v>
      </c>
      <c r="AV164" s="5" t="n">
        <v>0</v>
      </c>
      <c r="AW164" s="7" t="n">
        <v>0</v>
      </c>
      <c r="AX164" s="7" t="n">
        <v>0</v>
      </c>
      <c r="AY164" s="7" t="n">
        <v>0</v>
      </c>
      <c r="AZ164" s="7" t="n">
        <v>0</v>
      </c>
      <c r="BA164" s="7" t="n">
        <v>0</v>
      </c>
      <c r="BB164" s="7" t="n">
        <v>0</v>
      </c>
      <c r="BC164" s="7" t="n">
        <v>0</v>
      </c>
      <c r="BD164" s="7" t="n">
        <v>0</v>
      </c>
      <c r="BE164" s="7" t="n">
        <v>0</v>
      </c>
      <c r="BF164" s="7" t="n">
        <v>0</v>
      </c>
      <c r="BG164" s="7" t="n">
        <v>0</v>
      </c>
      <c r="BH164" s="7" t="n">
        <v>0</v>
      </c>
      <c r="BI164" s="7" t="n">
        <v>0</v>
      </c>
      <c r="BJ164" s="7" t="n">
        <v>0</v>
      </c>
      <c r="BK164" s="7" t="n">
        <v>0</v>
      </c>
      <c r="BL164" s="7" t="n">
        <v>0</v>
      </c>
      <c r="BM164" s="7" t="n">
        <v>0</v>
      </c>
      <c r="BN164" s="7" t="n">
        <v>0</v>
      </c>
      <c r="BO164" s="7" t="n">
        <v>0</v>
      </c>
      <c r="BP164" s="7" t="n">
        <v>0</v>
      </c>
      <c r="BQ164" s="7" t="n">
        <v>0</v>
      </c>
      <c r="BR164" s="7" t="n">
        <v>0</v>
      </c>
      <c r="BS164" s="7" t="n">
        <v>0</v>
      </c>
      <c r="BT164" s="7" t="n">
        <v>0</v>
      </c>
      <c r="BU164" s="7" t="n">
        <v>0</v>
      </c>
      <c r="BV164" s="7" t="n">
        <v>0</v>
      </c>
      <c r="BW164" s="7" t="n">
        <v>0</v>
      </c>
      <c r="BX164" s="7" t="n">
        <v>0</v>
      </c>
      <c r="BY164" s="7" t="n">
        <v>0</v>
      </c>
      <c r="BZ164" s="7" t="n">
        <v>0</v>
      </c>
      <c r="CA164" s="7" t="n">
        <v>0</v>
      </c>
      <c r="CB164" s="7" t="n">
        <v>0</v>
      </c>
      <c r="CC164" s="7" t="n">
        <v>0</v>
      </c>
      <c r="CD164" s="7" t="n">
        <v>0</v>
      </c>
      <c r="CE164" s="7" t="n">
        <v>0</v>
      </c>
      <c r="CF164" s="7" t="n">
        <v>0</v>
      </c>
      <c r="CG164" s="7" t="n">
        <v>0</v>
      </c>
      <c r="CH164" s="7" t="n">
        <v>0</v>
      </c>
      <c r="CI164" s="7" t="n">
        <v>0</v>
      </c>
      <c r="CJ164" s="7" t="n">
        <v>0</v>
      </c>
      <c r="CK164" s="38">
        <f>VLOOKUP($B164,'abrasion emissions'!$O$7:$R$36,2,FALSE)</f>
        <v>0.33</v>
      </c>
      <c r="CL164" s="38">
        <f>VLOOKUP($B164,'abrasion emissions'!$O$7:$R$36,3,FALSE)</f>
        <v>0.33</v>
      </c>
      <c r="CM164" s="38">
        <f>VLOOKUP($B164,'abrasion emissions'!$O$7:$R$36,4,FALSE)</f>
        <v>0.33</v>
      </c>
      <c r="CN164" s="7">
        <f>((SUMIFS('abrasion emissions'!$M$7:$M$34,'abrasion emissions'!$I$7:$I$34,"PM 2.5",'abrasion emissions'!$J$7:$J$34,"urban",'abrasion emissions'!$K$7:$K$34,"Tyre",'abrasion emissions'!$L$7:$L$34,"b")*POWER(('vehicles specifications'!$Q164/1000),(1/SUMIFS('abrasion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specifications'!$P164/1000),(1/SUMIFS('abrasion emissions'!$M$7:$M$34,'abrasion emissions'!$I$7:$I$34,"PM 10",'abrasion emissions'!$J$7:$J$34,"urban",'abrasion emissions'!$K$7:$K$34,"Tyre",'abrasion emissions'!$L$7:$L$34,"c")))))/1000000</f>
        <v>8.3575672523710229E-6</v>
      </c>
      <c r="CO164" s="7">
        <f>((SUMIFS('abrasion emissions'!$M$7:$M$34,'abrasion emissions'!$I$7:$I$34,"PM 2.5",'abrasion emissions'!$J$7:$J$34,"rural",'abrasion emissions'!$K$7:$K$34,"Tyre",'abrasion emissions'!$L$7:$L$34,"b")*POWER(('vehicles specifications'!$Q164/1000),(1/SUMIFS('abrasion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specifications'!$P164/1000),(1/SUMIFS('abrasion emissions'!$M$7:$M$34,'abrasion emissions'!$I$7:$I$34,"PM 10",'abrasion emissions'!$J$7:$J$34,"rural",'abrasion emissions'!$K$7:$K$34,"Tyre",'abrasion emissions'!$L$7:$L$34,"c")))))/1000000</f>
        <v>6.508162228927543E-6</v>
      </c>
      <c r="CP164" s="7">
        <f>((SUMIFS('abrasion emissions'!$M$7:$M$34,'abrasion emissions'!$I$7:$I$34,"PM 2.5",'abrasion emissions'!$J$7:$J$34,"motorway",'abrasion emissions'!$K$7:$K$34,"Tyre",'abrasion emissions'!$L$7:$L$34,"b")*POWER(('vehicles specifications'!$Q164/1000),(1/SUMIFS('abrasion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specifications'!$P164/1000),(1/SUMIFS('abrasion emissions'!$M$7:$M$34,'abrasion emissions'!$I$7:$I$34,"PM 10",'abrasion emissions'!$J$7:$J$34,"motorway",'abrasion emissions'!$K$7:$K$34,"Tyre",'abrasion emissions'!$L$7:$L$34,"c")))))/1000000</f>
        <v>5.5558460494856411E-6</v>
      </c>
      <c r="CQ164" s="7">
        <f>((SUMIFS('abrasion emissions'!$M$7:$M$34,'abrasion emissions'!$I$7:$I$34,"PM 2.5",'abrasion emissions'!$J$7:$J$34,"urban",'abrasion emissions'!$K$7:$K$34,"Brake",'abrasion emissions'!$L$7:$L$34,"b")*POWER(('vehicles specifications'!$Q164/1000),(1/SUMIFS('abrasion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specifications'!$P164/1000),(1/SUMIFS('abrasion emissions'!$M$7:$M$34,'abrasion emissions'!$I$7:$I$34,"PM 10",'abrasion emissions'!$J$7:$J$34,"urban",'abrasion emissions'!$K$7:$K$34,"Brake",'abrasion emissions'!$L$7:$L$34,"c")))))/1000000</f>
        <v>8.317557876822241E-6</v>
      </c>
      <c r="CR164" s="7">
        <f>((SUMIFS('abrasion emissions'!$M$7:$M$34,'abrasion emissions'!$I$7:$I$34,"PM 2.5",'abrasion emissions'!$J$7:$J$34,"rural",'abrasion emissions'!$K$7:$K$34,"Brake",'abrasion emissions'!$L$7:$L$34,"b")*POWER(('vehicles specifications'!$Q164/1000),(1/SUMIFS('abrasion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specifications'!$P164/1000),(1/SUMIFS('abrasion emissions'!$M$7:$M$34,'abrasion emissions'!$I$7:$I$34,"PM 10",'abrasion emissions'!$J$7:$J$34,"rural",'abrasion emissions'!$K$7:$K$34,"Brake",'abrasion emissions'!$L$7:$L$34,"c")))))/1000000</f>
        <v>2.9324683737046851E-6</v>
      </c>
      <c r="CS164" s="7">
        <f>((SUMIFS('abrasion emissions'!$M$7:$M$34,'abrasion emissions'!$I$7:$I$34,"PM 2.5",'abrasion emissions'!$J$7:$J$34,"motorway",'abrasion emissions'!$K$7:$K$34,"Brake",'abrasion emissions'!$L$7:$L$34,"b")*POWER(('vehicles specifications'!$Q164/1000),(1/SUMIFS('abrasion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specifications'!$P164/1000),(1/SUMIFS('abrasion emissions'!$M$7:$M$34,'abrasion emissions'!$I$7:$I$34,"PM 10",'abrasion emissions'!$J$7:$J$34,"motorway",'abrasion emissions'!$K$7:$K$34,"Brake",'abrasion emissions'!$L$7:$L$34,"c")))))/1000000</f>
        <v>5.7971913075322212E-7</v>
      </c>
      <c r="CT164" s="7">
        <f>((SUMIFS('abrasion emissions'!$M$7:$M$38,'abrasion emissions'!$I$7:$I$38,"PM 2.5",'abrasion emissions'!$K$7:$K$38,"Re-susp.",'abrasion emissions'!$L$7:$L$38,"b")*POWER(('vehicles specifications'!$Q164/1000),(1/SUMIFS('abrasion emissions'!$M$7:$M$38,'abrasion emissions'!$I$7:$I$38,"PM 2.5",'abrasion emissions'!$K$7:$K$38,"Re-susp.",'abrasion emissions'!$L$7:$L$38,"c"))))+
(SUMIFS('abrasion emissions'!$M$7:$M$38,'abrasion emissions'!$I$7:$I$38,"PM 10",'abrasion emissions'!$K$7:$K$38,"Re-susp.",'abrasion emissions'!$L$7:$L$38,"b")*POWER(('vehicles specifications'!$Q164/1000),(1/SUMIFS('abrasion emissions'!$M$7:$M$38,'abrasion emissions'!$I$7:$I$38,"PM 10",'abrasion emissions'!$K$7:$K$38,"Re-susp.",'abrasion emissions'!$L$7:$L$38,"c")))))/1000000</f>
        <v>6.2121030543728906E-6</v>
      </c>
      <c r="CU164" s="7">
        <f>((SUMIFS('abrasion emissions'!$M$7:$M$38,'abrasion emissions'!$I$7:$I$38,"PM 2.5",'abrasion emissions'!$K$7:$K$38,"Road",'abrasion emissions'!$L$7:$L$38,"b")*POWER(('vehicles specifications'!$Q164/1000),(1/SUMIFS('abrasion emissions'!$M$7:$M$38,'abrasion emissions'!$I$7:$I$38,"PM 2.5",'abrasion emissions'!$K$7:$K$38,"Road",'abrasion emissions'!$L$7:$L$38,"c"))))+
(SUMIFS('abrasion emissions'!$M$7:$M$38,'abrasion emissions'!$I$7:$I$38,"PM 10",'abrasion emissions'!$K$7:$K$38,"Road",'abrasion emissions'!$L$7:$L$38,"b")*POWER(('vehicles specifications'!$Q164/1000),(1/SUMIFS('abrasion emissions'!$M$7:$M$38,'abrasion emissions'!$I$7:$I$38,"PM 10",'abrasion emissions'!$K$7:$K$38,"Road",'abrasion emissions'!$L$7:$L$38,"c")))))/1000000+CT164</f>
        <v>1.1217321401111864E-5</v>
      </c>
      <c r="CV164" s="7">
        <f>(CK164*CN164)+(CL164*CO164)+(CM164*CP164)</f>
        <v>6.7391199251587888E-6</v>
      </c>
      <c r="CW164" s="7">
        <f>(CK164*CQ164)+(CL164*CR164)+(CM164*CS164)</f>
        <v>3.9038159758224493E-6</v>
      </c>
    </row>
    <row r="165">
      <c r="A165" t="str">
        <f>B165&amp;" - "&amp;D165&amp;" - "&amp;IF(I165&lt;&gt;"",I165&amp;" - "&amp;E165,E165)</f>
        <v>Motorbike, battery electric, &gt;35kW - 2040 - NCA - CH</v>
      </c>
      <c r="B165" t="inlineStr">
        <is>
          <t>Motorbike, battery electric, &gt;35kW</t>
        </is>
      </c>
      <c r="D165" s="18" t="n">
        <v>2040</v>
      </c>
      <c r="E165" t="inlineStr">
        <is>
          <t>CH</t>
        </is>
      </c>
      <c r="F165" t="inlineStr">
        <is>
          <t>None</t>
        </is>
      </c>
      <c r="G165" t="inlineStr">
        <is>
          <t>vkm</t>
        </is>
      </c>
      <c r="H165" t="inlineStr">
        <is>
          <t>BEV</t>
        </is>
      </c>
      <c r="I165" t="inlineStr">
        <is>
          <t>NCA</t>
        </is>
      </c>
      <c r="J165" t="n">
        <v>40500</v>
      </c>
      <c r="K165" t="n">
        <v>2896</v>
      </c>
      <c r="L165" s="2">
        <f>J165/K165</f>
        <v>13.984806629834255</v>
      </c>
      <c r="M165" t="n">
        <v>1.1</v>
      </c>
      <c r="N165" t="n">
        <v>75</v>
      </c>
      <c r="O165" t="n">
        <v>6</v>
      </c>
      <c r="P165" s="2">
        <f>SUM(U165,V165,W165,AC165,AF165,AH165)</f>
        <v>255.83999999999997</v>
      </c>
      <c r="Q165" s="2">
        <f>P165+(M165*N165)+O165</f>
        <v>344.34</v>
      </c>
      <c r="R165" t="n">
        <v>49</v>
      </c>
      <c r="S165" s="2" t="n">
        <v>111</v>
      </c>
      <c r="T165" s="1" t="n">
        <v>0.05</v>
      </c>
      <c r="U165" s="2">
        <f>S165*(1-T165)</f>
        <v>105.44999999999999</v>
      </c>
      <c r="V165" s="2" t="n">
        <v>13.74</v>
      </c>
      <c r="W165" s="2" t="n">
        <v>22.9</v>
      </c>
      <c r="X165" s="3" t="n">
        <v>35</v>
      </c>
      <c r="Y165" s="1" t="n">
        <v>0.8</v>
      </c>
      <c r="Z165" s="3">
        <f>Y165*X165</f>
        <v>28</v>
      </c>
      <c r="AA165" s="3">
        <f>IF(I165&lt;&gt;"",X165/INDEX('energy battery'!$B$3:$D$6,MATCH('vehicles specifications'!$D165,'energy battery'!$A$3:$A$6,0),MATCH('vehicles specifications'!$I165,'energy battery'!$B$2:$D$2,0)),"")</f>
        <v>87.5</v>
      </c>
      <c r="AB165" s="3">
        <f>IF(AA165&lt;&gt;"",0.3*AA165,"")</f>
        <v>26.25</v>
      </c>
      <c r="AC165" s="3">
        <f>IF(AA165&lt;&gt;"",AB165+AA165,"")</f>
        <v>113.75</v>
      </c>
      <c r="AD165" s="3" t="n">
        <v>0.25</v>
      </c>
      <c r="AE165" s="3" t="n">
        <v>0</v>
      </c>
      <c r="AF165">
        <f>AE165*'fuels and tailpipe emissions'!$B$3</f>
        <v>0</v>
      </c>
      <c r="AG165" t="n">
        <v>0</v>
      </c>
      <c r="AH165" s="3" t="n">
        <v>0</v>
      </c>
      <c r="AI165" s="3" t="n">
        <v>5</v>
      </c>
      <c r="AJ165" s="3" t="n">
        <v>1</v>
      </c>
      <c r="AK165">
        <f>J165/25000</f>
        <v>1.62</v>
      </c>
      <c r="AL165">
        <f>0.000537/1000*Q165</f>
        <v>1.8491057999999998E-4</v>
      </c>
      <c r="AM165" t="n">
        <v>0.00129</v>
      </c>
      <c r="AN165" s="2">
        <f>U165</f>
        <v>105.44999999999999</v>
      </c>
      <c r="AO165" s="2">
        <f>SUM(V165:W165)</f>
        <v>36.64</v>
      </c>
      <c r="AP165" s="2">
        <f>AC165</f>
        <v>113.75</v>
      </c>
      <c r="AQ165" s="6" t="inlineStr"/>
      <c r="AR165" s="20" t="n"/>
      <c r="AS165" s="6" t="n">
        <v>0.2747318210135786</v>
      </c>
      <c r="AT165" s="2">
        <f>SUM(Z165,AG165)/(SUM(AQ165,AS165)/3.6)</f>
        <v>366.90325724961417</v>
      </c>
      <c r="AU165" s="5" t="n">
        <v>0</v>
      </c>
      <c r="AV165" s="5" t="n">
        <v>0</v>
      </c>
      <c r="AW165" s="7" t="n">
        <v>0</v>
      </c>
      <c r="AX165" s="7" t="n">
        <v>0</v>
      </c>
      <c r="AY165" s="7" t="n">
        <v>0</v>
      </c>
      <c r="AZ165" s="7" t="n">
        <v>0</v>
      </c>
      <c r="BA165" s="7" t="n">
        <v>0</v>
      </c>
      <c r="BB165" s="7" t="n">
        <v>0</v>
      </c>
      <c r="BC165" s="7" t="n">
        <v>0</v>
      </c>
      <c r="BD165" s="7" t="n">
        <v>0</v>
      </c>
      <c r="BE165" s="7" t="n">
        <v>0</v>
      </c>
      <c r="BF165" s="7" t="n">
        <v>0</v>
      </c>
      <c r="BG165" s="7" t="n">
        <v>0</v>
      </c>
      <c r="BH165" s="7" t="n">
        <v>0</v>
      </c>
      <c r="BI165" s="7" t="n">
        <v>0</v>
      </c>
      <c r="BJ165" s="7" t="n">
        <v>0</v>
      </c>
      <c r="BK165" s="7" t="n">
        <v>0</v>
      </c>
      <c r="BL165" s="7" t="n">
        <v>0</v>
      </c>
      <c r="BM165" s="7" t="n">
        <v>0</v>
      </c>
      <c r="BN165" s="7" t="n">
        <v>0</v>
      </c>
      <c r="BO165" s="7" t="n">
        <v>0</v>
      </c>
      <c r="BP165" s="7" t="n">
        <v>0</v>
      </c>
      <c r="BQ165" s="7" t="n">
        <v>0</v>
      </c>
      <c r="BR165" s="7" t="n">
        <v>0</v>
      </c>
      <c r="BS165" s="7" t="n">
        <v>0</v>
      </c>
      <c r="BT165" s="7" t="n">
        <v>0</v>
      </c>
      <c r="BU165" s="7" t="n">
        <v>0</v>
      </c>
      <c r="BV165" s="7" t="n">
        <v>0</v>
      </c>
      <c r="BW165" s="7" t="n">
        <v>0</v>
      </c>
      <c r="BX165" s="7" t="n">
        <v>0</v>
      </c>
      <c r="BY165" s="7" t="n">
        <v>0</v>
      </c>
      <c r="BZ165" s="7" t="n">
        <v>0</v>
      </c>
      <c r="CA165" s="7" t="n">
        <v>0</v>
      </c>
      <c r="CB165" s="7" t="n">
        <v>0</v>
      </c>
      <c r="CC165" s="7" t="n">
        <v>0</v>
      </c>
      <c r="CD165" s="7" t="n">
        <v>0</v>
      </c>
      <c r="CE165" s="7" t="n">
        <v>0</v>
      </c>
      <c r="CF165" s="7" t="n">
        <v>0</v>
      </c>
      <c r="CG165" s="7" t="n">
        <v>0</v>
      </c>
      <c r="CH165" s="7" t="n">
        <v>0</v>
      </c>
      <c r="CI165" s="7" t="n">
        <v>0</v>
      </c>
      <c r="CJ165" s="7" t="n">
        <v>0</v>
      </c>
      <c r="CK165" s="38">
        <f>VLOOKUP($B165,'abrasion emissions'!$O$7:$R$36,2,FALSE)</f>
        <v>0.33</v>
      </c>
      <c r="CL165" s="38">
        <f>VLOOKUP($B165,'abrasion emissions'!$O$7:$R$36,3,FALSE)</f>
        <v>0.33</v>
      </c>
      <c r="CM165" s="38">
        <f>VLOOKUP($B165,'abrasion emissions'!$O$7:$R$36,4,FALSE)</f>
        <v>0.33</v>
      </c>
      <c r="CN165" s="7">
        <f>((SUMIFS('abrasion emissions'!$M$7:$M$34,'abrasion emissions'!$I$7:$I$34,"PM 2.5",'abrasion emissions'!$J$7:$J$34,"urban",'abrasion emissions'!$K$7:$K$34,"Tyre",'abrasion emissions'!$L$7:$L$34,"b")*POWER(('vehicles specifications'!$Q165/1000),(1/SUMIFS('abrasion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specifications'!$P165/1000),(1/SUMIFS('abrasion emissions'!$M$7:$M$34,'abrasion emissions'!$I$7:$I$34,"PM 10",'abrasion emissions'!$J$7:$J$34,"urban",'abrasion emissions'!$K$7:$K$34,"Tyre",'abrasion emissions'!$L$7:$L$34,"c")))))/1000000</f>
        <v>8.3647087719422702E-6</v>
      </c>
      <c r="CO165" s="7">
        <f>((SUMIFS('abrasion emissions'!$M$7:$M$34,'abrasion emissions'!$I$7:$I$34,"PM 2.5",'abrasion emissions'!$J$7:$J$34,"rural",'abrasion emissions'!$K$7:$K$34,"Tyre",'abrasion emissions'!$L$7:$L$34,"b")*POWER(('vehicles specifications'!$Q165/1000),(1/SUMIFS('abrasion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specifications'!$P165/1000),(1/SUMIFS('abrasion emissions'!$M$7:$M$34,'abrasion emissions'!$I$7:$I$34,"PM 10",'abrasion emissions'!$J$7:$J$34,"rural",'abrasion emissions'!$K$7:$K$34,"Tyre",'abrasion emissions'!$L$7:$L$34,"c")))))/1000000</f>
        <v>6.5137210482321566E-6</v>
      </c>
      <c r="CP165" s="7">
        <f>((SUMIFS('abrasion emissions'!$M$7:$M$34,'abrasion emissions'!$I$7:$I$34,"PM 2.5",'abrasion emissions'!$J$7:$J$34,"motorway",'abrasion emissions'!$K$7:$K$34,"Tyre",'abrasion emissions'!$L$7:$L$34,"b")*POWER(('vehicles specifications'!$Q165/1000),(1/SUMIFS('abrasion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specifications'!$P165/1000),(1/SUMIFS('abrasion emissions'!$M$7:$M$34,'abrasion emissions'!$I$7:$I$34,"PM 10",'abrasion emissions'!$J$7:$J$34,"motorway",'abrasion emissions'!$K$7:$K$34,"Tyre",'abrasion emissions'!$L$7:$L$34,"c")))))/1000000</f>
        <v>5.5605854716209964E-6</v>
      </c>
      <c r="CQ165" s="7">
        <f>((SUMIFS('abrasion emissions'!$M$7:$M$34,'abrasion emissions'!$I$7:$I$34,"PM 2.5",'abrasion emissions'!$J$7:$J$34,"urban",'abrasion emissions'!$K$7:$K$34,"Brake",'abrasion emissions'!$L$7:$L$34,"b")*POWER(('vehicles specifications'!$Q165/1000),(1/SUMIFS('abrasion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specifications'!$P165/1000),(1/SUMIFS('abrasion emissions'!$M$7:$M$34,'abrasion emissions'!$I$7:$I$34,"PM 10",'abrasion emissions'!$J$7:$J$34,"urban",'abrasion emissions'!$K$7:$K$34,"Brake",'abrasion emissions'!$L$7:$L$34,"c")))))/1000000</f>
        <v>8.3258012529903491E-6</v>
      </c>
      <c r="CR165" s="7">
        <f>((SUMIFS('abrasion emissions'!$M$7:$M$34,'abrasion emissions'!$I$7:$I$34,"PM 2.5",'abrasion emissions'!$J$7:$J$34,"rural",'abrasion emissions'!$K$7:$K$34,"Brake",'abrasion emissions'!$L$7:$L$34,"b")*POWER(('vehicles specifications'!$Q165/1000),(1/SUMIFS('abrasion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specifications'!$P165/1000),(1/SUMIFS('abrasion emissions'!$M$7:$M$34,'abrasion emissions'!$I$7:$I$34,"PM 10",'abrasion emissions'!$J$7:$J$34,"rural",'abrasion emissions'!$K$7:$K$34,"Brake",'abrasion emissions'!$L$7:$L$34,"c")))))/1000000</f>
        <v>2.9361512365260452E-6</v>
      </c>
      <c r="CS165" s="7">
        <f>((SUMIFS('abrasion emissions'!$M$7:$M$34,'abrasion emissions'!$I$7:$I$34,"PM 2.5",'abrasion emissions'!$J$7:$J$34,"motorway",'abrasion emissions'!$K$7:$K$34,"Brake",'abrasion emissions'!$L$7:$L$34,"b")*POWER(('vehicles specifications'!$Q165/1000),(1/SUMIFS('abrasion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specifications'!$P165/1000),(1/SUMIFS('abrasion emissions'!$M$7:$M$34,'abrasion emissions'!$I$7:$I$34,"PM 10",'abrasion emissions'!$J$7:$J$34,"motorway",'abrasion emissions'!$K$7:$K$34,"Brake",'abrasion emissions'!$L$7:$L$34,"c")))))/1000000</f>
        <v>5.8055777633290315E-7</v>
      </c>
      <c r="CT165" s="7">
        <f>((SUMIFS('abrasion emissions'!$M$7:$M$38,'abrasion emissions'!$I$7:$I$38,"PM 2.5",'abrasion emissions'!$K$7:$K$38,"Re-susp.",'abrasion emissions'!$L$7:$L$38,"b")*POWER(('vehicles specifications'!$Q165/1000),(1/SUMIFS('abrasion emissions'!$M$7:$M$38,'abrasion emissions'!$I$7:$I$38,"PM 2.5",'abrasion emissions'!$K$7:$K$38,"Re-susp.",'abrasion emissions'!$L$7:$L$38,"c"))))+
(SUMIFS('abrasion emissions'!$M$7:$M$38,'abrasion emissions'!$I$7:$I$38,"PM 10",'abrasion emissions'!$K$7:$K$38,"Re-susp.",'abrasion emissions'!$L$7:$L$38,"b")*POWER(('vehicles specifications'!$Q165/1000),(1/SUMIFS('abrasion emissions'!$M$7:$M$38,'abrasion emissions'!$I$7:$I$38,"PM 10",'abrasion emissions'!$K$7:$K$38,"Re-susp.",'abrasion emissions'!$L$7:$L$38,"c")))))/1000000</f>
        <v>6.2219049305820594E-6</v>
      </c>
      <c r="CU165" s="7">
        <f>((SUMIFS('abrasion emissions'!$M$7:$M$38,'abrasion emissions'!$I$7:$I$38,"PM 2.5",'abrasion emissions'!$K$7:$K$38,"Road",'abrasion emissions'!$L$7:$L$38,"b")*POWER(('vehicles specifications'!$Q165/1000),(1/SUMIFS('abrasion emissions'!$M$7:$M$38,'abrasion emissions'!$I$7:$I$38,"PM 2.5",'abrasion emissions'!$K$7:$K$38,"Road",'abrasion emissions'!$L$7:$L$38,"c"))))+
(SUMIFS('abrasion emissions'!$M$7:$M$38,'abrasion emissions'!$I$7:$I$38,"PM 10",'abrasion emissions'!$K$7:$K$38,"Road",'abrasion emissions'!$L$7:$L$38,"b")*POWER(('vehicles specifications'!$Q165/1000),(1/SUMIFS('abrasion emissions'!$M$7:$M$38,'abrasion emissions'!$I$7:$I$38,"PM 10",'abrasion emissions'!$K$7:$K$38,"Road",'abrasion emissions'!$L$7:$L$38,"c")))))/1000000+CT165</f>
        <v>1.1232913612431524E-5</v>
      </c>
      <c r="CV165" s="7">
        <f>(CK165*CN165)+(CL165*CO165)+(CM165*CP165)</f>
        <v>6.7448750462924897E-6</v>
      </c>
      <c r="CW165" s="7">
        <f>(CK165*CQ165)+(CL165*CR165)+(CM165*CS165)</f>
        <v>3.908028387730268E-6</v>
      </c>
    </row>
    <row r="166">
      <c r="A166" t="str">
        <f>B166&amp;" - "&amp;D166&amp;" - "&amp;IF(I166&lt;&gt;"",I166&amp;" - "&amp;E166,E166)</f>
        <v>Motorbike, battery electric, &gt;35kW - 2050 - NCA - CH</v>
      </c>
      <c r="B166" t="inlineStr">
        <is>
          <t>Motorbike, battery electric, &gt;35kW</t>
        </is>
      </c>
      <c r="D166" s="18" t="n">
        <v>2050</v>
      </c>
      <c r="E166" t="inlineStr">
        <is>
          <t>CH</t>
        </is>
      </c>
      <c r="F166" t="inlineStr">
        <is>
          <t>None</t>
        </is>
      </c>
      <c r="G166" t="inlineStr">
        <is>
          <t>vkm</t>
        </is>
      </c>
      <c r="H166" t="inlineStr">
        <is>
          <t>BEV</t>
        </is>
      </c>
      <c r="I166" t="inlineStr">
        <is>
          <t>NCA</t>
        </is>
      </c>
      <c r="J166" t="n">
        <v>40500</v>
      </c>
      <c r="K166" t="n">
        <v>2896</v>
      </c>
      <c r="L166" s="2">
        <f>J166/K166</f>
        <v>13.984806629834255</v>
      </c>
      <c r="M166" t="n">
        <v>1.1</v>
      </c>
      <c r="N166" t="n">
        <v>75</v>
      </c>
      <c r="O166" t="n">
        <v>6</v>
      </c>
      <c r="P166" s="2">
        <f>SUM(U166,V166,W166,AC166,AF166,AH166)</f>
        <v>255.57</v>
      </c>
      <c r="Q166" s="2">
        <f>P166+(M166*N166)+O166</f>
        <v>344.07</v>
      </c>
      <c r="R166" t="n">
        <v>49</v>
      </c>
      <c r="S166" s="2" t="n">
        <v>111</v>
      </c>
      <c r="T166" s="1" t="n">
        <v>0.07000000000000001</v>
      </c>
      <c r="U166" s="2">
        <f>S166*(1-T166)</f>
        <v>103.22999999999999</v>
      </c>
      <c r="V166" s="2" t="n">
        <v>13.74</v>
      </c>
      <c r="W166" s="2" t="n">
        <v>22.9</v>
      </c>
      <c r="X166" s="3" t="n">
        <v>44.5</v>
      </c>
      <c r="Y166" s="1" t="n">
        <v>0.8</v>
      </c>
      <c r="Z166" s="3">
        <f>Y166*X166</f>
        <v>35.6</v>
      </c>
      <c r="AA166" s="3">
        <f>IF(I166&lt;&gt;"",X166/INDEX('energy battery'!$B$3:$D$6,MATCH('vehicles specifications'!$D166,'energy battery'!$A$3:$A$6,0),MATCH('vehicles specifications'!$I166,'energy battery'!$B$2:$D$2,0)),"")</f>
        <v>89</v>
      </c>
      <c r="AB166" s="3">
        <f>IF(AA166&lt;&gt;"",0.3*AA166,"")</f>
        <v>26.7</v>
      </c>
      <c r="AC166" s="3">
        <f>IF(AA166&lt;&gt;"",AB166+AA166,"")</f>
        <v>115.7</v>
      </c>
      <c r="AD166" s="3" t="n">
        <v>0</v>
      </c>
      <c r="AE166" s="3" t="n">
        <v>0</v>
      </c>
      <c r="AF166">
        <f>AE166*'fuels and tailpipe emissions'!$B$3</f>
        <v>0</v>
      </c>
      <c r="AG166" t="n">
        <v>0</v>
      </c>
      <c r="AH166" s="3" t="n">
        <v>0</v>
      </c>
      <c r="AI166" s="3" t="n">
        <v>5</v>
      </c>
      <c r="AJ166" s="3" t="n">
        <v>1</v>
      </c>
      <c r="AK166">
        <f>J166/25000</f>
        <v>1.62</v>
      </c>
      <c r="AL166">
        <f>0.000537/1000*Q166</f>
        <v>1.8476559000000001E-4</v>
      </c>
      <c r="AM166" t="n">
        <v>0.00129</v>
      </c>
      <c r="AN166" s="2">
        <f>U166</f>
        <v>103.22999999999999</v>
      </c>
      <c r="AO166" s="2">
        <f>SUM(V166:W166)</f>
        <v>36.64</v>
      </c>
      <c r="AP166" s="2">
        <f>AC166</f>
        <v>115.7</v>
      </c>
      <c r="AQ166" s="6" t="inlineStr"/>
      <c r="AR166" s="20" t="n"/>
      <c r="AS166" s="6" t="n">
        <v>0.2747318210135786</v>
      </c>
      <c r="AT166" s="2">
        <f>SUM(Z166,AG166)/(SUM(AQ166,AS166)/3.6)</f>
        <v>466.49128421736663</v>
      </c>
      <c r="AU166" s="5" t="n">
        <v>0</v>
      </c>
      <c r="AV166" s="5" t="n">
        <v>0</v>
      </c>
      <c r="AW166" s="7" t="n">
        <v>0</v>
      </c>
      <c r="AX166" s="7" t="n">
        <v>0</v>
      </c>
      <c r="AY166" s="7" t="n">
        <v>0</v>
      </c>
      <c r="AZ166" s="7" t="n">
        <v>0</v>
      </c>
      <c r="BA166" s="7" t="n">
        <v>0</v>
      </c>
      <c r="BB166" s="7" t="n">
        <v>0</v>
      </c>
      <c r="BC166" s="7" t="n">
        <v>0</v>
      </c>
      <c r="BD166" s="7" t="n">
        <v>0</v>
      </c>
      <c r="BE166" s="7" t="n">
        <v>0</v>
      </c>
      <c r="BF166" s="7" t="n">
        <v>0</v>
      </c>
      <c r="BG166" s="7" t="n">
        <v>0</v>
      </c>
      <c r="BH166" s="7" t="n">
        <v>0</v>
      </c>
      <c r="BI166" s="7" t="n">
        <v>0</v>
      </c>
      <c r="BJ166" s="7" t="n">
        <v>0</v>
      </c>
      <c r="BK166" s="7" t="n">
        <v>0</v>
      </c>
      <c r="BL166" s="7" t="n">
        <v>0</v>
      </c>
      <c r="BM166" s="7" t="n">
        <v>0</v>
      </c>
      <c r="BN166" s="7" t="n">
        <v>0</v>
      </c>
      <c r="BO166" s="7" t="n">
        <v>0</v>
      </c>
      <c r="BP166" s="7" t="n">
        <v>0</v>
      </c>
      <c r="BQ166" s="7" t="n">
        <v>0</v>
      </c>
      <c r="BR166" s="7" t="n">
        <v>0</v>
      </c>
      <c r="BS166" s="7" t="n">
        <v>0</v>
      </c>
      <c r="BT166" s="7" t="n">
        <v>0</v>
      </c>
      <c r="BU166" s="7" t="n">
        <v>0</v>
      </c>
      <c r="BV166" s="7" t="n">
        <v>0</v>
      </c>
      <c r="BW166" s="7" t="n">
        <v>0</v>
      </c>
      <c r="BX166" s="7" t="n">
        <v>0</v>
      </c>
      <c r="BY166" s="7" t="n">
        <v>0</v>
      </c>
      <c r="BZ166" s="7" t="n">
        <v>0</v>
      </c>
      <c r="CA166" s="7" t="n">
        <v>0</v>
      </c>
      <c r="CB166" s="7" t="n">
        <v>0</v>
      </c>
      <c r="CC166" s="7" t="n">
        <v>0</v>
      </c>
      <c r="CD166" s="7" t="n">
        <v>0</v>
      </c>
      <c r="CE166" s="7" t="n">
        <v>0</v>
      </c>
      <c r="CF166" s="7" t="n">
        <v>0</v>
      </c>
      <c r="CG166" s="7" t="n">
        <v>0</v>
      </c>
      <c r="CH166" s="7" t="n">
        <v>0</v>
      </c>
      <c r="CI166" s="7" t="n">
        <v>0</v>
      </c>
      <c r="CJ166" s="7" t="n">
        <v>0</v>
      </c>
      <c r="CK166" s="38">
        <f>VLOOKUP($B166,'abrasion emissions'!$O$7:$R$36,2,FALSE)</f>
        <v>0.33</v>
      </c>
      <c r="CL166" s="38">
        <f>VLOOKUP($B166,'abrasion emissions'!$O$7:$R$36,3,FALSE)</f>
        <v>0.33</v>
      </c>
      <c r="CM166" s="38">
        <f>VLOOKUP($B166,'abrasion emissions'!$O$7:$R$36,4,FALSE)</f>
        <v>0.33</v>
      </c>
      <c r="CN166" s="7">
        <f>((SUMIFS('abrasion emissions'!$M$7:$M$34,'abrasion emissions'!$I$7:$I$34,"PM 2.5",'abrasion emissions'!$J$7:$J$34,"urban",'abrasion emissions'!$K$7:$K$34,"Tyre",'abrasion emissions'!$L$7:$L$34,"b")*POWER(('vehicles specifications'!$Q166/1000),(1/SUMIFS('abrasion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specifications'!$P166/1000),(1/SUMIFS('abrasion emissions'!$M$7:$M$34,'abrasion emissions'!$I$7:$I$34,"PM 10",'abrasion emissions'!$J$7:$J$34,"urban",'abrasion emissions'!$K$7:$K$34,"Tyre",'abrasion emissions'!$L$7:$L$34,"c")))))/1000000</f>
        <v>8.361478138525177E-6</v>
      </c>
      <c r="CO166" s="7">
        <f>((SUMIFS('abrasion emissions'!$M$7:$M$34,'abrasion emissions'!$I$7:$I$34,"PM 2.5",'abrasion emissions'!$J$7:$J$34,"rural",'abrasion emissions'!$K$7:$K$34,"Tyre",'abrasion emissions'!$L$7:$L$34,"b")*POWER(('vehicles specifications'!$Q166/1000),(1/SUMIFS('abrasion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specifications'!$P166/1000),(1/SUMIFS('abrasion emissions'!$M$7:$M$34,'abrasion emissions'!$I$7:$I$34,"PM 10",'abrasion emissions'!$J$7:$J$34,"rural",'abrasion emissions'!$K$7:$K$34,"Tyre",'abrasion emissions'!$L$7:$L$34,"c")))))/1000000</f>
        <v>6.511206385955267E-6</v>
      </c>
      <c r="CP166" s="7">
        <f>((SUMIFS('abrasion emissions'!$M$7:$M$34,'abrasion emissions'!$I$7:$I$34,"PM 2.5",'abrasion emissions'!$J$7:$J$34,"motorway",'abrasion emissions'!$K$7:$K$34,"Tyre",'abrasion emissions'!$L$7:$L$34,"b")*POWER(('vehicles specifications'!$Q166/1000),(1/SUMIFS('abrasion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specifications'!$P166/1000),(1/SUMIFS('abrasion emissions'!$M$7:$M$34,'abrasion emissions'!$I$7:$I$34,"PM 10",'abrasion emissions'!$J$7:$J$34,"motorway",'abrasion emissions'!$K$7:$K$34,"Tyre",'abrasion emissions'!$L$7:$L$34,"c")))))/1000000</f>
        <v>5.5584414820048682E-6</v>
      </c>
      <c r="CQ166" s="7">
        <f>((SUMIFS('abrasion emissions'!$M$7:$M$34,'abrasion emissions'!$I$7:$I$34,"PM 2.5",'abrasion emissions'!$J$7:$J$34,"urban",'abrasion emissions'!$K$7:$K$34,"Brake",'abrasion emissions'!$L$7:$L$34,"b")*POWER(('vehicles specifications'!$Q166/1000),(1/SUMIFS('abrasion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specifications'!$P166/1000),(1/SUMIFS('abrasion emissions'!$M$7:$M$34,'abrasion emissions'!$I$7:$I$34,"PM 10",'abrasion emissions'!$J$7:$J$34,"urban",'abrasion emissions'!$K$7:$K$34,"Brake",'abrasion emissions'!$L$7:$L$34,"c")))))/1000000</f>
        <v>8.322071937671175E-6</v>
      </c>
      <c r="CR166" s="7">
        <f>((SUMIFS('abrasion emissions'!$M$7:$M$34,'abrasion emissions'!$I$7:$I$34,"PM 2.5",'abrasion emissions'!$J$7:$J$34,"rural",'abrasion emissions'!$K$7:$K$34,"Brake",'abrasion emissions'!$L$7:$L$34,"b")*POWER(('vehicles specifications'!$Q166/1000),(1/SUMIFS('abrasion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specifications'!$P166/1000),(1/SUMIFS('abrasion emissions'!$M$7:$M$34,'abrasion emissions'!$I$7:$I$34,"PM 10",'abrasion emissions'!$J$7:$J$34,"rural",'abrasion emissions'!$K$7:$K$34,"Brake",'abrasion emissions'!$L$7:$L$34,"c")))))/1000000</f>
        <v>2.9344849813632658E-6</v>
      </c>
      <c r="CS166" s="7">
        <f>((SUMIFS('abrasion emissions'!$M$7:$M$34,'abrasion emissions'!$I$7:$I$34,"PM 2.5",'abrasion emissions'!$J$7:$J$34,"motorway",'abrasion emissions'!$K$7:$K$34,"Brake",'abrasion emissions'!$L$7:$L$34,"b")*POWER(('vehicles specifications'!$Q166/1000),(1/SUMIFS('abrasion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specifications'!$P166/1000),(1/SUMIFS('abrasion emissions'!$M$7:$M$34,'abrasion emissions'!$I$7:$I$34,"PM 10",'abrasion emissions'!$J$7:$J$34,"motorway",'abrasion emissions'!$K$7:$K$34,"Brake",'abrasion emissions'!$L$7:$L$34,"c")))))/1000000</f>
        <v>5.8017832338893731E-7</v>
      </c>
      <c r="CT166" s="7">
        <f>((SUMIFS('abrasion emissions'!$M$7:$M$38,'abrasion emissions'!$I$7:$I$38,"PM 2.5",'abrasion emissions'!$K$7:$K$38,"Re-susp.",'abrasion emissions'!$L$7:$L$38,"b")*POWER(('vehicles specifications'!$Q166/1000),(1/SUMIFS('abrasion emissions'!$M$7:$M$38,'abrasion emissions'!$I$7:$I$38,"PM 2.5",'abrasion emissions'!$K$7:$K$38,"Re-susp.",'abrasion emissions'!$L$7:$L$38,"c"))))+
(SUMIFS('abrasion emissions'!$M$7:$M$38,'abrasion emissions'!$I$7:$I$38,"PM 10",'abrasion emissions'!$K$7:$K$38,"Re-susp.",'abrasion emissions'!$L$7:$L$38,"b")*POWER(('vehicles specifications'!$Q166/1000),(1/SUMIFS('abrasion emissions'!$M$7:$M$38,'abrasion emissions'!$I$7:$I$38,"PM 10",'abrasion emissions'!$K$7:$K$38,"Re-susp.",'abrasion emissions'!$L$7:$L$38,"c")))))/1000000</f>
        <v>6.2174696361250049E-6</v>
      </c>
      <c r="CU166" s="7">
        <f>((SUMIFS('abrasion emissions'!$M$7:$M$38,'abrasion emissions'!$I$7:$I$38,"PM 2.5",'abrasion emissions'!$K$7:$K$38,"Road",'abrasion emissions'!$L$7:$L$38,"b")*POWER(('vehicles specifications'!$Q166/1000),(1/SUMIFS('abrasion emissions'!$M$7:$M$38,'abrasion emissions'!$I$7:$I$38,"PM 2.5",'abrasion emissions'!$K$7:$K$38,"Road",'abrasion emissions'!$L$7:$L$38,"c"))))+
(SUMIFS('abrasion emissions'!$M$7:$M$38,'abrasion emissions'!$I$7:$I$38,"PM 10",'abrasion emissions'!$K$7:$K$38,"Road",'abrasion emissions'!$L$7:$L$38,"b")*POWER(('vehicles specifications'!$Q166/1000),(1/SUMIFS('abrasion emissions'!$M$7:$M$38,'abrasion emissions'!$I$7:$I$38,"PM 10",'abrasion emissions'!$K$7:$K$38,"Road",'abrasion emissions'!$L$7:$L$38,"c")))))/1000000+CT166</f>
        <v>1.1225858525097952E-5</v>
      </c>
      <c r="CV166" s="7">
        <f>(CK166*CN166)+(CL166*CO166)+(CM166*CP166)</f>
        <v>6.7422715821401537E-6</v>
      </c>
      <c r="CW166" s="7">
        <f>(CK166*CQ166)+(CL166*CR166)+(CM166*CS166)</f>
        <v>3.9061226299997144E-6</v>
      </c>
    </row>
    <row r="167">
      <c r="T167" s="1" t="n"/>
    </row>
  </sheetData>
  <autoFilter ref="A2:CW166"/>
  <pageMargins left="0.7" right="0.7" top="0.75" bottom="0.75" header="0.3" footer="0.3"/>
  <pageSetup orientation="portrait" horizontalDpi="300" verticalDpi="300"/>
  <legacyDrawing ns1:id="anysvml"/>
</worksheet>
</file>

<file path=xl/worksheets/sheet3.xml><?xml version="1.0" encoding="utf-8"?>
<worksheet xmlns="http://schemas.openxmlformats.org/spreadsheetml/2006/main">
  <sheetPr>
    <outlinePr summaryBelow="1" summaryRight="1"/>
    <pageSetUpPr/>
  </sheetPr>
  <dimension ref="A1:BH275"/>
  <sheetViews>
    <sheetView topLeftCell="A259" workbookViewId="0">
      <selection activeCell="H273" sqref="H273"/>
    </sheetView>
  </sheetViews>
  <sheetFormatPr baseColWidth="10" defaultColWidth="8.83203125" defaultRowHeight="15"/>
  <cols>
    <col width="43.5" bestFit="1" customWidth="1" min="1" max="1"/>
    <col width="34.1640625" bestFit="1" customWidth="1" min="2" max="2"/>
    <col width="4.5" bestFit="1" customWidth="1" min="3" max="3"/>
    <col width="4.6640625" bestFit="1" customWidth="1" min="4" max="4"/>
    <col width="8" bestFit="1" customWidth="1" min="5" max="5"/>
    <col width="8.33203125" customWidth="1" min="6" max="6"/>
    <col width="8.1640625" customWidth="1" min="7" max="7"/>
    <col width="10.33203125" bestFit="1" customWidth="1" min="8" max="8"/>
    <col width="11.33203125" customWidth="1" min="9" max="9"/>
    <col width="14.33203125" customWidth="1" min="10" max="10"/>
    <col width="8.83203125" customWidth="1" min="11" max="11"/>
    <col width="5.6640625" customWidth="1" min="12" max="12"/>
    <col width="18.33203125" customWidth="1" min="13" max="13"/>
    <col width="11.33203125" customWidth="1" min="14" max="14"/>
    <col width="12" customWidth="1" min="15" max="15"/>
    <col width="11.6640625" customWidth="1" min="16" max="16"/>
    <col width="6.5" customWidth="1" min="17" max="18"/>
    <col width="8.83203125" customWidth="1" min="19" max="53"/>
    <col width="48" customWidth="1" min="54" max="54"/>
    <col width="58.1640625" customWidth="1" min="57" max="57"/>
    <col width="29.5" customWidth="1" min="58" max="59"/>
    <col width="27.33203125" customWidth="1" min="60" max="60"/>
  </cols>
  <sheetData>
    <row r="1" ht="42.5" customHeight="1">
      <c r="A1" t="inlineStr">
        <is>
          <t>skip</t>
        </is>
      </c>
      <c r="L1" s="41" t="inlineStr">
        <is>
          <t>Global warming potential [100-year horizon, kg CO2-eq.]</t>
        </is>
      </c>
      <c r="S1" s="42" t="inlineStr">
        <is>
          <t>Metal depletion [kg Fe-eq.]</t>
        </is>
      </c>
      <c r="Z1" s="43" t="inlineStr">
        <is>
          <t>Human toxicity [kg 1,4 DB-eq.]</t>
        </is>
      </c>
      <c r="AG1" s="44" t="inlineStr">
        <is>
          <t>Freshwater toxicity [kg 1,4 DB-eq.]</t>
        </is>
      </c>
      <c r="AN1" s="39" t="inlineStr">
        <is>
          <t>Terrestrial toxicity [kg 1,4 DB-eq.]</t>
        </is>
      </c>
      <c r="AU1" s="40" t="inlineStr">
        <is>
          <t>Non-renewable primary energy [MJ]</t>
        </is>
      </c>
      <c r="BB1" s="37" t="n"/>
      <c r="BC1" s="37" t="n"/>
      <c r="BD1" s="37" t="n"/>
      <c r="BE1" s="36" t="inlineStr">
        <is>
          <t>Impact category</t>
        </is>
      </c>
      <c r="BF1" s="36" t="inlineStr">
        <is>
          <t>IPCC GWP 100a</t>
        </is>
      </c>
      <c r="BG1" s="36" t="n"/>
      <c r="BH1" s="36" t="inlineStr">
        <is>
          <t>Ecological scarcity 2013</t>
        </is>
      </c>
    </row>
    <row r="2">
      <c r="A2" s="8" t="inlineStr">
        <is>
          <t>Full name</t>
        </is>
      </c>
      <c r="B2" s="8" t="inlineStr">
        <is>
          <t>Vehicle</t>
        </is>
      </c>
      <c r="C2" s="8" t="inlineStr">
        <is>
          <t>Size</t>
        </is>
      </c>
      <c r="D2" s="8" t="inlineStr">
        <is>
          <t>Year</t>
        </is>
      </c>
      <c r="E2" s="8" t="inlineStr">
        <is>
          <t>Location</t>
        </is>
      </c>
      <c r="F2" s="8" t="inlineStr">
        <is>
          <t>Emission standard</t>
        </is>
      </c>
      <c r="G2" s="8" t="inlineStr">
        <is>
          <t>Functional unit</t>
        </is>
      </c>
      <c r="H2" s="8" t="inlineStr">
        <is>
          <t>Powertrain</t>
        </is>
      </c>
      <c r="I2" s="8" t="inlineStr">
        <is>
          <t>Energy battery type</t>
        </is>
      </c>
      <c r="J2" s="8" t="inlineStr">
        <is>
          <t>Electricity</t>
        </is>
      </c>
      <c r="L2" s="23" t="inlineStr">
        <is>
          <t>direct</t>
        </is>
      </c>
      <c r="M2" s="23" t="inlineStr">
        <is>
          <t>direct - non exhaust</t>
        </is>
      </c>
      <c r="N2" s="23" t="inlineStr">
        <is>
          <t>energy chain</t>
        </is>
      </c>
      <c r="O2" s="23" t="inlineStr">
        <is>
          <t>maintenance</t>
        </is>
      </c>
      <c r="P2" s="23" t="inlineStr">
        <is>
          <t>road</t>
        </is>
      </c>
      <c r="Q2" s="23" t="inlineStr">
        <is>
          <t>vehicle</t>
        </is>
      </c>
      <c r="R2" s="23" t="inlineStr">
        <is>
          <t>sum</t>
        </is>
      </c>
      <c r="S2" s="25" t="inlineStr">
        <is>
          <t>direct</t>
        </is>
      </c>
      <c r="T2" s="25" t="inlineStr">
        <is>
          <t>direct - non exhaust</t>
        </is>
      </c>
      <c r="U2" s="25" t="inlineStr">
        <is>
          <t>energy chain</t>
        </is>
      </c>
      <c r="V2" s="25" t="inlineStr">
        <is>
          <t>maintenance</t>
        </is>
      </c>
      <c r="W2" s="25" t="inlineStr">
        <is>
          <t>road</t>
        </is>
      </c>
      <c r="X2" s="25" t="inlineStr">
        <is>
          <t>vehicle</t>
        </is>
      </c>
      <c r="Y2" s="25" t="inlineStr">
        <is>
          <t>sum</t>
        </is>
      </c>
      <c r="Z2" s="27" t="inlineStr">
        <is>
          <t>direct</t>
        </is>
      </c>
      <c r="AA2" s="27" t="inlineStr">
        <is>
          <t>direct - non exhaust</t>
        </is>
      </c>
      <c r="AB2" s="27" t="inlineStr">
        <is>
          <t>energy chain</t>
        </is>
      </c>
      <c r="AC2" s="27" t="inlineStr">
        <is>
          <t>maintenance</t>
        </is>
      </c>
      <c r="AD2" s="27" t="inlineStr">
        <is>
          <t>road</t>
        </is>
      </c>
      <c r="AE2" s="27" t="inlineStr">
        <is>
          <t>vehicle</t>
        </is>
      </c>
      <c r="AF2" s="27" t="inlineStr">
        <is>
          <t>sum</t>
        </is>
      </c>
      <c r="AG2" s="29" t="inlineStr">
        <is>
          <t>direct</t>
        </is>
      </c>
      <c r="AH2" s="29" t="inlineStr">
        <is>
          <t>direct - non exhaust</t>
        </is>
      </c>
      <c r="AI2" s="29" t="inlineStr">
        <is>
          <t>energy chain</t>
        </is>
      </c>
      <c r="AJ2" s="29" t="inlineStr">
        <is>
          <t>maintenance</t>
        </is>
      </c>
      <c r="AK2" s="29" t="inlineStr">
        <is>
          <t>road</t>
        </is>
      </c>
      <c r="AL2" s="29" t="inlineStr">
        <is>
          <t>vehicle</t>
        </is>
      </c>
      <c r="AM2" s="29" t="inlineStr">
        <is>
          <t>sum</t>
        </is>
      </c>
      <c r="AN2" s="31" t="inlineStr">
        <is>
          <t>direct</t>
        </is>
      </c>
      <c r="AO2" s="31" t="inlineStr">
        <is>
          <t>direct - non exhaust</t>
        </is>
      </c>
      <c r="AP2" s="31" t="inlineStr">
        <is>
          <t>energy chain</t>
        </is>
      </c>
      <c r="AQ2" s="31" t="inlineStr">
        <is>
          <t>maintenance</t>
        </is>
      </c>
      <c r="AR2" s="31" t="inlineStr">
        <is>
          <t>road</t>
        </is>
      </c>
      <c r="AS2" s="31" t="inlineStr">
        <is>
          <t>vehicle</t>
        </is>
      </c>
      <c r="AT2" s="31" t="inlineStr">
        <is>
          <t>sum</t>
        </is>
      </c>
      <c r="AU2" s="33" t="inlineStr">
        <is>
          <t>direct</t>
        </is>
      </c>
      <c r="AV2" s="33" t="inlineStr">
        <is>
          <t>direct - non exhaust</t>
        </is>
      </c>
      <c r="AW2" s="33" t="inlineStr">
        <is>
          <t>energy chain</t>
        </is>
      </c>
      <c r="AX2" s="33" t="inlineStr">
        <is>
          <t>maintenance</t>
        </is>
      </c>
      <c r="AY2" s="33" t="inlineStr">
        <is>
          <t>road</t>
        </is>
      </c>
      <c r="AZ2" s="33" t="inlineStr">
        <is>
          <t>vehicle</t>
        </is>
      </c>
      <c r="BA2" s="33" t="inlineStr">
        <is>
          <t>sum</t>
        </is>
      </c>
      <c r="BB2" s="8" t="n"/>
      <c r="BC2" s="8" t="n"/>
      <c r="BD2" s="8" t="n"/>
      <c r="BE2" t="inlineStr">
        <is>
          <t>Unit</t>
        </is>
      </c>
      <c r="BF2" t="inlineStr">
        <is>
          <t>kg CO2 eq</t>
        </is>
      </c>
      <c r="BH2" t="inlineStr">
        <is>
          <t>UBP Pt</t>
        </is>
      </c>
    </row>
    <row r="3">
      <c r="A3" t="str">
        <f>B3&amp;" - "&amp;D3&amp;" - "&amp;IF(I3&lt;&gt;"",I3&amp;" - "&amp;E3,E3)</f>
        <v>Kick Scooter, battery electric, &lt;1kW - 2020 - NMC - CH</v>
      </c>
      <c r="B3" t="inlineStr">
        <is>
          <t>Kick Scooter, battery electric, &lt;1kW</t>
        </is>
      </c>
      <c r="D3" s="18" t="n">
        <v>2020</v>
      </c>
      <c r="E3" t="inlineStr">
        <is>
          <t>CH</t>
        </is>
      </c>
      <c r="F3" t="inlineStr">
        <is>
          <t>None</t>
        </is>
      </c>
      <c r="G3" t="inlineStr">
        <is>
          <t>vkm</t>
        </is>
      </c>
      <c r="H3" t="inlineStr">
        <is>
          <t>BEV</t>
        </is>
      </c>
      <c r="I3" t="inlineStr">
        <is>
          <t>NMC</t>
        </is>
      </c>
      <c r="J3" t="inlineStr">
        <is>
          <t>None</t>
        </is>
      </c>
      <c r="L3" s="24" t="n">
        <v>0</v>
      </c>
      <c r="M3" s="24" t="n">
        <v>0</v>
      </c>
      <c r="N3" s="24" t="n">
        <v>0.002730596631788643</v>
      </c>
      <c r="O3" s="24" t="n">
        <v>0</v>
      </c>
      <c r="P3" s="24" t="n">
        <v>0.0003943275925312607</v>
      </c>
      <c r="Q3" s="24" t="n">
        <v>0.06044246512523326</v>
      </c>
      <c r="R3" s="24" t="n">
        <v>0.06356738934955317</v>
      </c>
      <c r="S3" s="26" t="n">
        <v>0</v>
      </c>
      <c r="T3" s="26" t="n">
        <v>0</v>
      </c>
      <c r="U3" s="26" t="n">
        <v>0.000289015721476131</v>
      </c>
      <c r="V3" s="26" t="n">
        <v>0</v>
      </c>
      <c r="W3" s="26" t="n">
        <v>2.491663017060127e-05</v>
      </c>
      <c r="X3" s="26" t="n">
        <v>0.04233324324956189</v>
      </c>
      <c r="Y3" s="26" t="n">
        <v>0.04264717560120863</v>
      </c>
      <c r="Z3" s="28" t="n">
        <v>0</v>
      </c>
      <c r="AA3" s="28" t="n">
        <v>0.001375806023799049</v>
      </c>
      <c r="AB3" s="28" t="n">
        <v>8.469906375773532e-05</v>
      </c>
      <c r="AC3" s="28" t="n">
        <v>0</v>
      </c>
      <c r="AD3" s="28" t="n">
        <v>1.132624888950353e-05</v>
      </c>
      <c r="AE3" s="28" t="n">
        <v>0.004517115122925731</v>
      </c>
      <c r="AF3" s="28" t="n">
        <v>0.005988946459372018</v>
      </c>
      <c r="AG3" s="30" t="n">
        <v>0</v>
      </c>
      <c r="AH3" s="30" t="n">
        <v>7.228237882960114e-06</v>
      </c>
      <c r="AI3" s="30" t="n">
        <v>0.0001935285036505344</v>
      </c>
      <c r="AJ3" s="30" t="n">
        <v>0</v>
      </c>
      <c r="AK3" s="30" t="n">
        <v>1.057049880912046e-05</v>
      </c>
      <c r="AL3" s="30" t="n">
        <v>0.01257817359171478</v>
      </c>
      <c r="AM3" s="30" t="n">
        <v>0.01278950083205739</v>
      </c>
      <c r="AN3" s="32" t="n">
        <v>0</v>
      </c>
      <c r="AO3" s="32" t="n">
        <v>5.184272594518707e-06</v>
      </c>
      <c r="AP3" s="32" t="n">
        <v>2.440204800840094e-07</v>
      </c>
      <c r="AQ3" s="32" t="n">
        <v>0</v>
      </c>
      <c r="AR3" s="32" t="n">
        <v>4.1737758779288e-08</v>
      </c>
      <c r="AS3" s="32" t="n">
        <v>9.442891120649389e-06</v>
      </c>
      <c r="AT3" s="32" t="n">
        <v>1.491292195403139e-05</v>
      </c>
      <c r="AU3" s="34" t="n">
        <v>0</v>
      </c>
      <c r="AV3" s="34" t="n">
        <v>0</v>
      </c>
      <c r="AW3" s="34" t="n">
        <v>0.1276944626457424</v>
      </c>
      <c r="AX3" s="34" t="n">
        <v>0</v>
      </c>
      <c r="AY3" s="34" t="n">
        <v>0.01291791494854936</v>
      </c>
      <c r="AZ3" s="34" t="n">
        <v>0.7501894404685444</v>
      </c>
      <c r="BA3" s="34" t="n">
        <v>0.8908018180628361</v>
      </c>
      <c r="BB3" s="6" t="n"/>
      <c r="BC3" s="6" t="n"/>
      <c r="BD3" t="inlineStr">
        <is>
          <t>transport, Kick Scooter, battery electric, &lt;1kW/CH U</t>
        </is>
      </c>
      <c r="BF3" s="5" t="n">
        <v>0.042757277</v>
      </c>
      <c r="BG3" s="5">
        <f>BF3-R3</f>
        <v>-2.0810112349553163E-2</v>
      </c>
      <c r="BH3" s="2" t="n">
        <v>111.64413</v>
      </c>
    </row>
    <row r="4">
      <c r="A4" t="str">
        <f>B4&amp;" - "&amp;D4&amp;" - "&amp;IF(I4&lt;&gt;"",I4&amp;" - "&amp;E4,E4)</f>
        <v>Kick Scooter, battery electric, &lt;1kW - 2030 - NMC - CH</v>
      </c>
      <c r="B4" t="inlineStr">
        <is>
          <t>Kick Scooter, battery electric, &lt;1kW</t>
        </is>
      </c>
      <c r="D4" s="18" t="n">
        <v>2030</v>
      </c>
      <c r="E4" t="inlineStr">
        <is>
          <t>CH</t>
        </is>
      </c>
      <c r="F4" t="inlineStr">
        <is>
          <t>None</t>
        </is>
      </c>
      <c r="G4" t="inlineStr">
        <is>
          <t>vkm</t>
        </is>
      </c>
      <c r="H4" t="inlineStr">
        <is>
          <t>BEV</t>
        </is>
      </c>
      <c r="I4" t="inlineStr">
        <is>
          <t>NMC</t>
        </is>
      </c>
      <c r="J4" t="inlineStr">
        <is>
          <t>None</t>
        </is>
      </c>
      <c r="L4" s="24" t="n">
        <v>0</v>
      </c>
      <c r="M4" s="24" t="n">
        <v>0</v>
      </c>
      <c r="N4" s="24" t="n">
        <v>0.002730596631788643</v>
      </c>
      <c r="O4" s="24" t="n">
        <v>0</v>
      </c>
      <c r="P4" s="24" t="n">
        <v>0.0003914369948832682</v>
      </c>
      <c r="Q4" s="24" t="n">
        <v>0.06121715572109297</v>
      </c>
      <c r="R4" s="24" t="n">
        <v>0.06433918934776488</v>
      </c>
      <c r="S4" s="26" t="n">
        <v>0</v>
      </c>
      <c r="T4" s="26" t="n">
        <v>0</v>
      </c>
      <c r="U4" s="26" t="n">
        <v>0.000289015721476131</v>
      </c>
      <c r="V4" s="26" t="n">
        <v>0</v>
      </c>
      <c r="W4" s="26" t="n">
        <v>2.473398012548344e-05</v>
      </c>
      <c r="X4" s="26" t="n">
        <v>0.03726699600137798</v>
      </c>
      <c r="Y4" s="26" t="n">
        <v>0.03758074570297959</v>
      </c>
      <c r="Z4" s="28" t="n">
        <v>0</v>
      </c>
      <c r="AA4" s="28" t="n">
        <v>0.001375806023799049</v>
      </c>
      <c r="AB4" s="28" t="n">
        <v>8.469906375773532e-05</v>
      </c>
      <c r="AC4" s="28" t="n">
        <v>0</v>
      </c>
      <c r="AD4" s="28" t="n">
        <v>1.124322241856749e-05</v>
      </c>
      <c r="AE4" s="28" t="n">
        <v>0.004264618052457844</v>
      </c>
      <c r="AF4" s="28" t="n">
        <v>0.005736366362433196</v>
      </c>
      <c r="AG4" s="30" t="n">
        <v>0</v>
      </c>
      <c r="AH4" s="30" t="n">
        <v>7.228237882960114e-06</v>
      </c>
      <c r="AI4" s="30" t="n">
        <v>0.0001935285036505344</v>
      </c>
      <c r="AJ4" s="30" t="n">
        <v>0</v>
      </c>
      <c r="AK4" s="30" t="n">
        <v>1.049301232434365e-05</v>
      </c>
      <c r="AL4" s="30" t="n">
        <v>0.01206077823802637</v>
      </c>
      <c r="AM4" s="30" t="n">
        <v>0.01227202799188421</v>
      </c>
      <c r="AN4" s="32" t="n">
        <v>0</v>
      </c>
      <c r="AO4" s="32" t="n">
        <v>5.184272594518707e-06</v>
      </c>
      <c r="AP4" s="32" t="n">
        <v>2.440204800840094e-07</v>
      </c>
      <c r="AQ4" s="32" t="n">
        <v>0</v>
      </c>
      <c r="AR4" s="32" t="n">
        <v>4.143180233686551e-08</v>
      </c>
      <c r="AS4" s="32" t="n">
        <v>8.57000550315242e-06</v>
      </c>
      <c r="AT4" s="32" t="n">
        <v>1.4039730380092e-05</v>
      </c>
      <c r="AU4" s="34" t="n">
        <v>0</v>
      </c>
      <c r="AV4" s="34" t="n">
        <v>0</v>
      </c>
      <c r="AW4" s="34" t="n">
        <v>0.1276944626457424</v>
      </c>
      <c r="AX4" s="34" t="n">
        <v>0</v>
      </c>
      <c r="AY4" s="34" t="n">
        <v>0.01282322085339982</v>
      </c>
      <c r="AZ4" s="34" t="n">
        <v>0.7447255248320936</v>
      </c>
      <c r="BA4" s="34" t="n">
        <v>0.8852432083312358</v>
      </c>
      <c r="BB4" s="6" t="n"/>
      <c r="BC4" s="6" t="n"/>
      <c r="BD4" t="inlineStr">
        <is>
          <t>transport, Kick Scooter, battery electric, &lt;1kW, 2030/CH U</t>
        </is>
      </c>
      <c r="BF4" s="5" t="n">
        <v>0.042392623</v>
      </c>
      <c r="BG4" s="5">
        <f>BF4-R4</f>
        <v>-2.1946566347764873E-2</v>
      </c>
      <c r="BH4" s="2" t="n">
        <v>101.67288</v>
      </c>
    </row>
    <row r="5">
      <c r="A5" t="str">
        <f>B5&amp;" - "&amp;D5&amp;" - "&amp;IF(I5&lt;&gt;"",I5&amp;" - "&amp;E5,E5)</f>
        <v>Kick Scooter, battery electric, &lt;1kW - 2040 - NMC - CH</v>
      </c>
      <c r="B5" t="inlineStr">
        <is>
          <t>Kick Scooter, battery electric, &lt;1kW</t>
        </is>
      </c>
      <c r="D5" s="18" t="n">
        <v>2040</v>
      </c>
      <c r="E5" t="inlineStr">
        <is>
          <t>CH</t>
        </is>
      </c>
      <c r="F5" t="inlineStr">
        <is>
          <t>None</t>
        </is>
      </c>
      <c r="G5" t="inlineStr">
        <is>
          <t>vkm</t>
        </is>
      </c>
      <c r="H5" t="inlineStr">
        <is>
          <t>BEV</t>
        </is>
      </c>
      <c r="I5" t="inlineStr">
        <is>
          <t>NMC</t>
        </is>
      </c>
      <c r="J5" t="inlineStr">
        <is>
          <t>None</t>
        </is>
      </c>
      <c r="L5" s="24" t="n">
        <v>0</v>
      </c>
      <c r="M5" s="24" t="n">
        <v>0</v>
      </c>
      <c r="N5" s="24" t="n">
        <v>0.002730596631788643</v>
      </c>
      <c r="O5" s="24" t="n">
        <v>0</v>
      </c>
      <c r="P5" s="24" t="n">
        <v>0.0003903444855359955</v>
      </c>
      <c r="Q5" s="24" t="n">
        <v>0.06354419598554363</v>
      </c>
      <c r="R5" s="24" t="n">
        <v>0.06666513710286827</v>
      </c>
      <c r="S5" s="26" t="n">
        <v>0</v>
      </c>
      <c r="T5" s="26" t="n">
        <v>0</v>
      </c>
      <c r="U5" s="26" t="n">
        <v>0.000289015721476131</v>
      </c>
      <c r="V5" s="26" t="n">
        <v>0</v>
      </c>
      <c r="W5" s="26" t="n">
        <v>2.466494703756489e-05</v>
      </c>
      <c r="X5" s="26" t="n">
        <v>0.03748451818144883</v>
      </c>
      <c r="Y5" s="26" t="n">
        <v>0.03779819884996252</v>
      </c>
      <c r="Z5" s="28" t="n">
        <v>0</v>
      </c>
      <c r="AA5" s="28" t="n">
        <v>0.001375806023799049</v>
      </c>
      <c r="AB5" s="28" t="n">
        <v>8.469906375773532e-05</v>
      </c>
      <c r="AC5" s="28" t="n">
        <v>0</v>
      </c>
      <c r="AD5" s="28" t="n">
        <v>1.12118423350641e-05</v>
      </c>
      <c r="AE5" s="28" t="n">
        <v>0.004384179674598417</v>
      </c>
      <c r="AF5" s="28" t="n">
        <v>0.005855896604490265</v>
      </c>
      <c r="AG5" s="30" t="n">
        <v>0</v>
      </c>
      <c r="AH5" s="30" t="n">
        <v>7.228237882960114e-06</v>
      </c>
      <c r="AI5" s="30" t="n">
        <v>0.0001935285036505344</v>
      </c>
      <c r="AJ5" s="30" t="n">
        <v>0</v>
      </c>
      <c r="AK5" s="30" t="n">
        <v>1.046372609387682e-05</v>
      </c>
      <c r="AL5" s="30" t="n">
        <v>0.01242100522913044</v>
      </c>
      <c r="AM5" s="30" t="n">
        <v>0.01263222569675781</v>
      </c>
      <c r="AN5" s="32" t="n">
        <v>0</v>
      </c>
      <c r="AO5" s="32" t="n">
        <v>5.184272594518707e-06</v>
      </c>
      <c r="AP5" s="32" t="n">
        <v>2.440204800840094e-07</v>
      </c>
      <c r="AQ5" s="32" t="n">
        <v>0</v>
      </c>
      <c r="AR5" s="32" t="n">
        <v>4.131616525626489e-08</v>
      </c>
      <c r="AS5" s="32" t="n">
        <v>8.651096288226977e-06</v>
      </c>
      <c r="AT5" s="32" t="n">
        <v>1.412070552808596e-05</v>
      </c>
      <c r="AU5" s="34" t="n">
        <v>0</v>
      </c>
      <c r="AV5" s="34" t="n">
        <v>0</v>
      </c>
      <c r="AW5" s="34" t="n">
        <v>0.1276944626457424</v>
      </c>
      <c r="AX5" s="34" t="n">
        <v>0</v>
      </c>
      <c r="AY5" s="34" t="n">
        <v>0.01278743095917008</v>
      </c>
      <c r="AZ5" s="34" t="n">
        <v>0.7696222273317638</v>
      </c>
      <c r="BA5" s="34" t="n">
        <v>0.9101041209366763</v>
      </c>
      <c r="BB5" s="6" t="n"/>
      <c r="BC5" s="6" t="n"/>
      <c r="BD5" t="inlineStr">
        <is>
          <t>transport, Kick Scooter, battery electric, &lt;1kW, 2040/CH U</t>
        </is>
      </c>
      <c r="BF5" s="5" t="n">
        <v>0.043270989</v>
      </c>
      <c r="BG5" s="5">
        <f>BF5-R5</f>
        <v>-2.3394148102868266E-2</v>
      </c>
      <c r="BH5" s="2" t="n">
        <v>101.68076</v>
      </c>
    </row>
    <row r="6">
      <c r="A6" t="str">
        <f>B6&amp;" - "&amp;D6&amp;" - "&amp;IF(I6&lt;&gt;"",I6&amp;" - "&amp;E6,E6)</f>
        <v>Kick Scooter, battery electric, &lt;1kW - 2050 - NMC - CH</v>
      </c>
      <c r="B6" t="inlineStr">
        <is>
          <t>Kick Scooter, battery electric, &lt;1kW</t>
        </is>
      </c>
      <c r="D6" s="18" t="n">
        <v>2050</v>
      </c>
      <c r="E6" t="inlineStr">
        <is>
          <t>CH</t>
        </is>
      </c>
      <c r="F6" t="inlineStr">
        <is>
          <t>None</t>
        </is>
      </c>
      <c r="G6" t="inlineStr">
        <is>
          <t>vkm</t>
        </is>
      </c>
      <c r="H6" t="inlineStr">
        <is>
          <t>BEV</t>
        </is>
      </c>
      <c r="I6" t="inlineStr">
        <is>
          <t>NMC</t>
        </is>
      </c>
      <c r="J6" t="inlineStr">
        <is>
          <t>None</t>
        </is>
      </c>
      <c r="L6" s="24" t="n">
        <v>0</v>
      </c>
      <c r="M6" s="24" t="n">
        <v>0</v>
      </c>
      <c r="N6" s="24" t="n">
        <v>0.002730596631788643</v>
      </c>
      <c r="O6" s="24" t="n">
        <v>0</v>
      </c>
      <c r="P6" s="24" t="n">
        <v>0.0003892519761887227</v>
      </c>
      <c r="Q6" s="24" t="n">
        <v>0.06587123702483436</v>
      </c>
      <c r="R6" s="24" t="n">
        <v>0.06899108563281173</v>
      </c>
      <c r="S6" s="26" t="n">
        <v>0</v>
      </c>
      <c r="T6" s="26" t="n">
        <v>0</v>
      </c>
      <c r="U6" s="26" t="n">
        <v>0.000289015721476131</v>
      </c>
      <c r="V6" s="26" t="n">
        <v>0</v>
      </c>
      <c r="W6" s="26" t="n">
        <v>2.459591394964634e-05</v>
      </c>
      <c r="X6" s="26" t="n">
        <v>0.03770204101311466</v>
      </c>
      <c r="Y6" s="26" t="n">
        <v>0.03801565264854044</v>
      </c>
      <c r="Z6" s="28" t="n">
        <v>0</v>
      </c>
      <c r="AA6" s="28" t="n">
        <v>0.001375806023799049</v>
      </c>
      <c r="AB6" s="28" t="n">
        <v>8.469906375773532e-05</v>
      </c>
      <c r="AC6" s="28" t="n">
        <v>0</v>
      </c>
      <c r="AD6" s="28" t="n">
        <v>1.118046225156072e-05</v>
      </c>
      <c r="AE6" s="28" t="n">
        <v>0.004503741374895013</v>
      </c>
      <c r="AF6" s="28" t="n">
        <v>0.005975426924703358</v>
      </c>
      <c r="AG6" s="30" t="n">
        <v>0</v>
      </c>
      <c r="AH6" s="30" t="n">
        <v>7.228237882960114e-06</v>
      </c>
      <c r="AI6" s="30" t="n">
        <v>0.0001935285036505344</v>
      </c>
      <c r="AJ6" s="30" t="n">
        <v>0</v>
      </c>
      <c r="AK6" s="30" t="n">
        <v>1.043443986340999e-05</v>
      </c>
      <c r="AL6" s="30" t="n">
        <v>0.01278123259879028</v>
      </c>
      <c r="AM6" s="30" t="n">
        <v>0.01299242378018718</v>
      </c>
      <c r="AN6" s="32" t="n">
        <v>0</v>
      </c>
      <c r="AO6" s="32" t="n">
        <v>5.184272594518707e-06</v>
      </c>
      <c r="AP6" s="32" t="n">
        <v>2.440204800840094e-07</v>
      </c>
      <c r="AQ6" s="32" t="n">
        <v>0</v>
      </c>
      <c r="AR6" s="32" t="n">
        <v>4.120052817566426e-08</v>
      </c>
      <c r="AS6" s="32" t="n">
        <v>8.732187134617715e-06</v>
      </c>
      <c r="AT6" s="32" t="n">
        <v>1.420168073739609e-05</v>
      </c>
      <c r="AU6" s="34" t="n">
        <v>0</v>
      </c>
      <c r="AV6" s="34" t="n">
        <v>0</v>
      </c>
      <c r="AW6" s="34" t="n">
        <v>0.1276944626457424</v>
      </c>
      <c r="AX6" s="34" t="n">
        <v>0</v>
      </c>
      <c r="AY6" s="34" t="n">
        <v>0.01275164106494033</v>
      </c>
      <c r="AZ6" s="34" t="n">
        <v>0.7945189375660154</v>
      </c>
      <c r="BA6" s="34" t="n">
        <v>0.9349650412766981</v>
      </c>
      <c r="BB6" s="6" t="n"/>
      <c r="BC6" s="6" t="n"/>
      <c r="BD6" t="inlineStr">
        <is>
          <t>transport, Kick Scooter, battery electric, &lt;1kW, 2050/CH U</t>
        </is>
      </c>
      <c r="BF6" s="5" t="n">
        <v>0.044148325</v>
      </c>
      <c r="BG6" s="5">
        <f>BF6-R6</f>
        <v>-2.4842760632811725E-2</v>
      </c>
      <c r="BH6" s="2" t="n">
        <v>101.68783</v>
      </c>
    </row>
    <row r="7">
      <c r="A7" t="str">
        <f>B7&amp;" - "&amp;D7&amp;" - "&amp;IF(I7&lt;&gt;"",I7&amp;" - "&amp;E7,E7)</f>
        <v>Kick Scooter, battery electric, &lt;1kW - 2020 - LFP - CH</v>
      </c>
      <c r="B7" t="inlineStr">
        <is>
          <t>Kick Scooter, battery electric, &lt;1kW</t>
        </is>
      </c>
      <c r="D7" s="18" t="n">
        <v>2020</v>
      </c>
      <c r="E7" t="inlineStr">
        <is>
          <t>CH</t>
        </is>
      </c>
      <c r="F7" t="inlineStr">
        <is>
          <t>None</t>
        </is>
      </c>
      <c r="G7" t="inlineStr">
        <is>
          <t>vkm</t>
        </is>
      </c>
      <c r="H7" t="inlineStr">
        <is>
          <t>BEV</t>
        </is>
      </c>
      <c r="I7" t="inlineStr">
        <is>
          <t>LFP</t>
        </is>
      </c>
      <c r="J7" t="inlineStr">
        <is>
          <t>None</t>
        </is>
      </c>
      <c r="L7" s="24" t="n">
        <v>0</v>
      </c>
      <c r="M7" s="24" t="n">
        <v>0</v>
      </c>
      <c r="N7" s="24" t="n">
        <v>0.002730596631788643</v>
      </c>
      <c r="O7" s="24" t="n">
        <v>0</v>
      </c>
      <c r="P7" s="24" t="n">
        <v>0.0004017247912367534</v>
      </c>
      <c r="Q7" s="24" t="n">
        <v>0.06958001824747091</v>
      </c>
      <c r="R7" s="24" t="n">
        <v>0.07271233967049631</v>
      </c>
      <c r="S7" s="26" t="n">
        <v>0</v>
      </c>
      <c r="T7" s="26" t="n">
        <v>0</v>
      </c>
      <c r="U7" s="26" t="n">
        <v>0.000289015721476131</v>
      </c>
      <c r="V7" s="26" t="n">
        <v>0</v>
      </c>
      <c r="W7" s="26" t="n">
        <v>2.538404170338311e-05</v>
      </c>
      <c r="X7" s="26" t="n">
        <v>0.03022283137361658</v>
      </c>
      <c r="Y7" s="26" t="n">
        <v>0.03053723113679609</v>
      </c>
      <c r="Z7" s="28" t="n">
        <v>0</v>
      </c>
      <c r="AA7" s="28" t="n">
        <v>0.001375806023799049</v>
      </c>
      <c r="AB7" s="28" t="n">
        <v>8.469906375773532e-05</v>
      </c>
      <c r="AC7" s="28" t="n">
        <v>0</v>
      </c>
      <c r="AD7" s="28" t="n">
        <v>1.153871820489105e-05</v>
      </c>
      <c r="AE7" s="28" t="n">
        <v>0.004559204508736962</v>
      </c>
      <c r="AF7" s="28" t="n">
        <v>0.006031248314498638</v>
      </c>
      <c r="AG7" s="30" t="n">
        <v>0</v>
      </c>
      <c r="AH7" s="30" t="n">
        <v>7.228237882960114e-06</v>
      </c>
      <c r="AI7" s="30" t="n">
        <v>0.0001935285036505344</v>
      </c>
      <c r="AJ7" s="30" t="n">
        <v>0</v>
      </c>
      <c r="AK7" s="30" t="n">
        <v>1.076879099457294e-05</v>
      </c>
      <c r="AL7" s="30" t="n">
        <v>0.01412614338775362</v>
      </c>
      <c r="AM7" s="30" t="n">
        <v>0.01433766892028169</v>
      </c>
      <c r="AN7" s="32" t="n">
        <v>0</v>
      </c>
      <c r="AO7" s="32" t="n">
        <v>5.184272594518707e-06</v>
      </c>
      <c r="AP7" s="32" t="n">
        <v>2.440204800840094e-07</v>
      </c>
      <c r="AQ7" s="32" t="n">
        <v>0</v>
      </c>
      <c r="AR7" s="32" t="n">
        <v>4.252071817918806e-08</v>
      </c>
      <c r="AS7" s="32" t="n">
        <v>8.2109735283876e-06</v>
      </c>
      <c r="AT7" s="32" t="n">
        <v>1.36817873211695e-05</v>
      </c>
      <c r="AU7" s="34" t="n">
        <v>0</v>
      </c>
      <c r="AV7" s="34" t="n">
        <v>0</v>
      </c>
      <c r="AW7" s="34" t="n">
        <v>0.1276944626457424</v>
      </c>
      <c r="AX7" s="34" t="n">
        <v>0</v>
      </c>
      <c r="AY7" s="34" t="n">
        <v>0.01316024235739661</v>
      </c>
      <c r="AZ7" s="34" t="n">
        <v>0.8449851358214925</v>
      </c>
      <c r="BA7" s="34" t="n">
        <v>0.9858398408246314</v>
      </c>
      <c r="BB7" s="6" t="n"/>
      <c r="BC7" s="6" t="n"/>
      <c r="BD7" t="inlineStr">
        <is>
          <t>transport, Kick Scooter, battery electric, &lt;1kW, LFP battery/CH U</t>
        </is>
      </c>
      <c r="BF7" s="5" t="n">
        <v>0.05141751</v>
      </c>
      <c r="BG7" s="5">
        <f>BF7-R7</f>
        <v>-2.1294829670496312E-2</v>
      </c>
      <c r="BH7" s="2" t="n">
        <v>136.42158</v>
      </c>
    </row>
    <row r="8">
      <c r="A8" t="str">
        <f>B8&amp;" - "&amp;D8&amp;" - "&amp;IF(I8&lt;&gt;"",I8&amp;" - "&amp;E8,E8)</f>
        <v>Kick Scooter, battery electric, &lt;1kW - 2030 - LFP - CH</v>
      </c>
      <c r="B8" t="inlineStr">
        <is>
          <t>Kick Scooter, battery electric, &lt;1kW</t>
        </is>
      </c>
      <c r="D8" s="18" t="n">
        <v>2030</v>
      </c>
      <c r="E8" t="inlineStr">
        <is>
          <t>CH</t>
        </is>
      </c>
      <c r="F8" t="inlineStr">
        <is>
          <t>None</t>
        </is>
      </c>
      <c r="G8" t="inlineStr">
        <is>
          <t>vkm</t>
        </is>
      </c>
      <c r="H8" t="inlineStr">
        <is>
          <t>BEV</t>
        </is>
      </c>
      <c r="I8" t="inlineStr">
        <is>
          <t>LFP</t>
        </is>
      </c>
      <c r="J8" t="inlineStr">
        <is>
          <t>None</t>
        </is>
      </c>
      <c r="L8" s="24" t="n">
        <v>0</v>
      </c>
      <c r="M8" s="24" t="n">
        <v>0</v>
      </c>
      <c r="N8" s="24" t="n">
        <v>0.002730596631788643</v>
      </c>
      <c r="O8" s="24" t="n">
        <v>0</v>
      </c>
      <c r="P8" s="24" t="n">
        <v>0.0004003136333298593</v>
      </c>
      <c r="Q8" s="24" t="n">
        <v>0.07320784470749961</v>
      </c>
      <c r="R8" s="24" t="n">
        <v>0.07633875497261811</v>
      </c>
      <c r="S8" s="26" t="n">
        <v>0</v>
      </c>
      <c r="T8" s="26" t="n">
        <v>0</v>
      </c>
      <c r="U8" s="26" t="n">
        <v>0.000289015721476131</v>
      </c>
      <c r="V8" s="26" t="n">
        <v>0</v>
      </c>
      <c r="W8" s="26" t="n">
        <v>2.529487396482165e-05</v>
      </c>
      <c r="X8" s="26" t="n">
        <v>0.03067655533572963</v>
      </c>
      <c r="Y8" s="26" t="n">
        <v>0.03099086593117058</v>
      </c>
      <c r="Z8" s="28" t="n">
        <v>0</v>
      </c>
      <c r="AA8" s="28" t="n">
        <v>0.001375806023799049</v>
      </c>
      <c r="AB8" s="28" t="n">
        <v>8.469906375773532e-05</v>
      </c>
      <c r="AC8" s="28" t="n">
        <v>0</v>
      </c>
      <c r="AD8" s="28" t="n">
        <v>1.14981855970325e-05</v>
      </c>
      <c r="AE8" s="28" t="n">
        <v>0.004753311556869508</v>
      </c>
      <c r="AF8" s="28" t="n">
        <v>0.006225314830023324</v>
      </c>
      <c r="AG8" s="30" t="n">
        <v>0</v>
      </c>
      <c r="AH8" s="30" t="n">
        <v>7.228237882960114e-06</v>
      </c>
      <c r="AI8" s="30" t="n">
        <v>0.0001935285036505344</v>
      </c>
      <c r="AJ8" s="30" t="n">
        <v>0</v>
      </c>
      <c r="AK8" s="30" t="n">
        <v>1.073096294688662e-05</v>
      </c>
      <c r="AL8" s="30" t="n">
        <v>0.01473502641962713</v>
      </c>
      <c r="AM8" s="30" t="n">
        <v>0.01494651412410751</v>
      </c>
      <c r="AN8" s="32" t="n">
        <v>0</v>
      </c>
      <c r="AO8" s="32" t="n">
        <v>5.184272594518707e-06</v>
      </c>
      <c r="AP8" s="32" t="n">
        <v>2.440204800840094e-07</v>
      </c>
      <c r="AQ8" s="32" t="n">
        <v>0</v>
      </c>
      <c r="AR8" s="32" t="n">
        <v>4.237135361674559e-08</v>
      </c>
      <c r="AS8" s="32" t="n">
        <v>8.350314553420056e-06</v>
      </c>
      <c r="AT8" s="32" t="n">
        <v>1.382097898163952e-05</v>
      </c>
      <c r="AU8" s="34" t="n">
        <v>0</v>
      </c>
      <c r="AV8" s="34" t="n">
        <v>0</v>
      </c>
      <c r="AW8" s="34" t="n">
        <v>0.1276944626457424</v>
      </c>
      <c r="AX8" s="34" t="n">
        <v>0</v>
      </c>
      <c r="AY8" s="34" t="n">
        <v>0.01311401374401653</v>
      </c>
      <c r="AZ8" s="34" t="n">
        <v>0.8838743592929896</v>
      </c>
      <c r="BA8" s="34" t="n">
        <v>1.024682835682748</v>
      </c>
      <c r="BB8" s="6" t="n"/>
      <c r="BC8" s="6" t="n"/>
      <c r="BD8" t="inlineStr">
        <is>
          <t>transport, Kick Scooter, battery electric, &lt;1kW, LFP battery, 2030/CH U</t>
        </is>
      </c>
      <c r="BF8" s="5" t="n">
        <v>0.05283063</v>
      </c>
      <c r="BG8" s="5">
        <f>BF8-R8</f>
        <v>-2.3508124972618109E-2</v>
      </c>
      <c r="BH8" s="2" t="n">
        <v>136.71681</v>
      </c>
    </row>
    <row r="9">
      <c r="A9" t="str">
        <f>B9&amp;" - "&amp;D9&amp;" - "&amp;IF(I9&lt;&gt;"",I9&amp;" - "&amp;E9,E9)</f>
        <v>Kick Scooter, battery electric, &lt;1kW - 2040 - LFP - CH</v>
      </c>
      <c r="B9" t="inlineStr">
        <is>
          <t>Kick Scooter, battery electric, &lt;1kW</t>
        </is>
      </c>
      <c r="D9" s="18" t="n">
        <v>2040</v>
      </c>
      <c r="E9" t="inlineStr">
        <is>
          <t>CH</t>
        </is>
      </c>
      <c r="F9" t="inlineStr">
        <is>
          <t>None</t>
        </is>
      </c>
      <c r="G9" t="inlineStr">
        <is>
          <t>vkm</t>
        </is>
      </c>
      <c r="H9" t="inlineStr">
        <is>
          <t>BEV</t>
        </is>
      </c>
      <c r="I9" t="inlineStr">
        <is>
          <t>LFP</t>
        </is>
      </c>
      <c r="J9" t="inlineStr">
        <is>
          <t>None</t>
        </is>
      </c>
      <c r="L9" s="24" t="n">
        <v>0</v>
      </c>
      <c r="M9" s="24" t="n">
        <v>0</v>
      </c>
      <c r="N9" s="24" t="n">
        <v>0.002730596631788643</v>
      </c>
      <c r="O9" s="24" t="n">
        <v>0</v>
      </c>
      <c r="P9" s="24" t="n">
        <v>0.000400207417143319</v>
      </c>
      <c r="Q9" s="24" t="n">
        <v>0.0770951010858985</v>
      </c>
      <c r="R9" s="24" t="n">
        <v>0.08022590513483045</v>
      </c>
      <c r="S9" s="26" t="n">
        <v>0</v>
      </c>
      <c r="T9" s="26" t="n">
        <v>0</v>
      </c>
      <c r="U9" s="26" t="n">
        <v>0.000289015721476131</v>
      </c>
      <c r="V9" s="26" t="n">
        <v>0</v>
      </c>
      <c r="W9" s="26" t="n">
        <v>2.528816241460735e-05</v>
      </c>
      <c r="X9" s="26" t="n">
        <v>0.03192670758698146</v>
      </c>
      <c r="Y9" s="26" t="n">
        <v>0.0322410114708722</v>
      </c>
      <c r="Z9" s="28" t="n">
        <v>0</v>
      </c>
      <c r="AA9" s="28" t="n">
        <v>0.001375806023799049</v>
      </c>
      <c r="AB9" s="28" t="n">
        <v>8.469906375773532e-05</v>
      </c>
      <c r="AC9" s="28" t="n">
        <v>0</v>
      </c>
      <c r="AD9" s="28" t="n">
        <v>1.149513475558079e-05</v>
      </c>
      <c r="AE9" s="28" t="n">
        <v>0.005024547247423429</v>
      </c>
      <c r="AF9" s="28" t="n">
        <v>0.006496547469735794</v>
      </c>
      <c r="AG9" s="30" t="n">
        <v>0</v>
      </c>
      <c r="AH9" s="30" t="n">
        <v>7.228237882960114e-06</v>
      </c>
      <c r="AI9" s="30" t="n">
        <v>0.0001935285036505344</v>
      </c>
      <c r="AJ9" s="30" t="n">
        <v>0</v>
      </c>
      <c r="AK9" s="30" t="n">
        <v>1.072811567448012e-05</v>
      </c>
      <c r="AL9" s="30" t="n">
        <v>0.01557387774406593</v>
      </c>
      <c r="AM9" s="30" t="n">
        <v>0.01578536260127391</v>
      </c>
      <c r="AN9" s="32" t="n">
        <v>0</v>
      </c>
      <c r="AO9" s="32" t="n">
        <v>5.184272594518707e-06</v>
      </c>
      <c r="AP9" s="32" t="n">
        <v>2.440204800840094e-07</v>
      </c>
      <c r="AQ9" s="32" t="n">
        <v>0</v>
      </c>
      <c r="AR9" s="32" t="n">
        <v>4.236011112279831e-08</v>
      </c>
      <c r="AS9" s="32" t="n">
        <v>8.68668649432043e-06</v>
      </c>
      <c r="AT9" s="32" t="n">
        <v>1.415733968004594e-05</v>
      </c>
      <c r="AU9" s="34" t="n">
        <v>0</v>
      </c>
      <c r="AV9" s="34" t="n">
        <v>0</v>
      </c>
      <c r="AW9" s="34" t="n">
        <v>0.1276944626457424</v>
      </c>
      <c r="AX9" s="34" t="n">
        <v>0</v>
      </c>
      <c r="AY9" s="34" t="n">
        <v>0.01311053417096641</v>
      </c>
      <c r="AZ9" s="34" t="n">
        <v>0.929875163132647</v>
      </c>
      <c r="BA9" s="34" t="n">
        <v>1.070680159949356</v>
      </c>
      <c r="BB9" s="6" t="n"/>
      <c r="BC9" s="6" t="n"/>
      <c r="BD9" t="inlineStr">
        <is>
          <t>transport, Kick Scooter, battery electric, &lt;1kW, LFP battery, 2040/CH U</t>
        </is>
      </c>
      <c r="BF9" s="5" t="n">
        <v>0.054881873</v>
      </c>
      <c r="BG9" s="5">
        <f>BF9-R9</f>
        <v>-2.5344032134830455E-2</v>
      </c>
      <c r="BH9" s="2" t="n">
        <v>141.80979</v>
      </c>
    </row>
    <row r="10">
      <c r="A10" t="str">
        <f>B10&amp;" - "&amp;D10&amp;" - "&amp;IF(I10&lt;&gt;"",I10&amp;" - "&amp;E10,E10)</f>
        <v>Kick Scooter, battery electric, &lt;1kW - 2050 - LFP - CH</v>
      </c>
      <c r="B10" t="inlineStr">
        <is>
          <t>Kick Scooter, battery electric, &lt;1kW</t>
        </is>
      </c>
      <c r="D10" s="18" t="n">
        <v>2050</v>
      </c>
      <c r="E10" t="inlineStr">
        <is>
          <t>CH</t>
        </is>
      </c>
      <c r="F10" t="inlineStr">
        <is>
          <t>None</t>
        </is>
      </c>
      <c r="G10" t="inlineStr">
        <is>
          <t>vkm</t>
        </is>
      </c>
      <c r="H10" t="inlineStr">
        <is>
          <t>BEV</t>
        </is>
      </c>
      <c r="I10" t="inlineStr">
        <is>
          <t>LFP</t>
        </is>
      </c>
      <c r="J10" t="inlineStr">
        <is>
          <t>None</t>
        </is>
      </c>
      <c r="L10" s="24" t="n">
        <v>0</v>
      </c>
      <c r="M10" s="24" t="n">
        <v>0</v>
      </c>
      <c r="N10" s="24" t="n">
        <v>0.002730596631788643</v>
      </c>
      <c r="O10" s="24" t="n">
        <v>0</v>
      </c>
      <c r="P10" s="24" t="n">
        <v>0.0003981286146353139</v>
      </c>
      <c r="Q10" s="24" t="n">
        <v>0.07786192601124098</v>
      </c>
      <c r="R10" s="24" t="n">
        <v>0.08099065125766494</v>
      </c>
      <c r="S10" s="26" t="n">
        <v>0</v>
      </c>
      <c r="T10" s="26" t="n">
        <v>0</v>
      </c>
      <c r="U10" s="26" t="n">
        <v>0.000289015721476131</v>
      </c>
      <c r="V10" s="26" t="n">
        <v>0</v>
      </c>
      <c r="W10" s="26" t="n">
        <v>2.515680778898455e-05</v>
      </c>
      <c r="X10" s="26" t="n">
        <v>0.03111160034746631</v>
      </c>
      <c r="Y10" s="26" t="n">
        <v>0.03142577287673142</v>
      </c>
      <c r="Z10" s="28" t="n">
        <v>0</v>
      </c>
      <c r="AA10" s="28" t="n">
        <v>0.001375806023799049</v>
      </c>
      <c r="AB10" s="28" t="n">
        <v>8.469906375773532e-05</v>
      </c>
      <c r="AC10" s="28" t="n">
        <v>0</v>
      </c>
      <c r="AD10" s="28" t="n">
        <v>1.143542543002573e-05</v>
      </c>
      <c r="AE10" s="28" t="n">
        <v>0.004992434879306673</v>
      </c>
      <c r="AF10" s="28" t="n">
        <v>0.006464375392293483</v>
      </c>
      <c r="AG10" s="30" t="n">
        <v>0</v>
      </c>
      <c r="AH10" s="30" t="n">
        <v>7.228237882960114e-06</v>
      </c>
      <c r="AI10" s="30" t="n">
        <v>0.0001935285036505344</v>
      </c>
      <c r="AJ10" s="30" t="n">
        <v>0</v>
      </c>
      <c r="AK10" s="30" t="n">
        <v>1.067239048595297e-05</v>
      </c>
      <c r="AL10" s="30" t="n">
        <v>0.01545548078039102</v>
      </c>
      <c r="AM10" s="30" t="n">
        <v>0.01566690991241047</v>
      </c>
      <c r="AN10" s="32" t="n">
        <v>0</v>
      </c>
      <c r="AO10" s="32" t="n">
        <v>5.184272594518707e-06</v>
      </c>
      <c r="AP10" s="32" t="n">
        <v>2.440204800840094e-07</v>
      </c>
      <c r="AQ10" s="32" t="n">
        <v>0</v>
      </c>
      <c r="AR10" s="32" t="n">
        <v>4.214007945554435e-08</v>
      </c>
      <c r="AS10" s="32" t="n">
        <v>8.512496184883751e-06</v>
      </c>
      <c r="AT10" s="32" t="n">
        <v>1.398292933894201e-05</v>
      </c>
      <c r="AU10" s="34" t="n">
        <v>0</v>
      </c>
      <c r="AV10" s="34" t="n">
        <v>0</v>
      </c>
      <c r="AW10" s="34" t="n">
        <v>0.1276944626457424</v>
      </c>
      <c r="AX10" s="34" t="n">
        <v>0</v>
      </c>
      <c r="AY10" s="34" t="n">
        <v>0.01304243395555702</v>
      </c>
      <c r="AZ10" s="34" t="n">
        <v>0.933667772026911</v>
      </c>
      <c r="BA10" s="34" t="n">
        <v>1.07440466862821</v>
      </c>
      <c r="BB10" s="6" t="n"/>
      <c r="BC10" s="6" t="n"/>
      <c r="BD10" t="inlineStr">
        <is>
          <t>transport, Kick Scooter, battery electric, &lt;1kW, LFP battery, 2050/CH U</t>
        </is>
      </c>
      <c r="BF10" s="5" t="n">
        <v>0.05458643699999999</v>
      </c>
      <c r="BG10" s="5">
        <f>BF10-R10</f>
        <v>-2.6404214257664947E-2</v>
      </c>
      <c r="BH10" s="2" t="n">
        <v>136.73195</v>
      </c>
    </row>
    <row r="11">
      <c r="A11" t="str">
        <f>B11&amp;" - "&amp;D11&amp;" - "&amp;IF(I11&lt;&gt;"",I11&amp;" - "&amp;E11,E11)</f>
        <v>Kick Scooter, battery electric, &lt;1kW - 2020 - NCA - CH</v>
      </c>
      <c r="B11" t="inlineStr">
        <is>
          <t>Kick Scooter, battery electric, &lt;1kW</t>
        </is>
      </c>
      <c r="D11" s="18" t="n">
        <v>2020</v>
      </c>
      <c r="E11" t="inlineStr">
        <is>
          <t>CH</t>
        </is>
      </c>
      <c r="F11" t="inlineStr">
        <is>
          <t>None</t>
        </is>
      </c>
      <c r="G11" t="inlineStr">
        <is>
          <t>vkm</t>
        </is>
      </c>
      <c r="H11" t="inlineStr">
        <is>
          <t>BEV</t>
        </is>
      </c>
      <c r="I11" t="inlineStr">
        <is>
          <t>NCA</t>
        </is>
      </c>
      <c r="J11" t="inlineStr">
        <is>
          <t>None</t>
        </is>
      </c>
      <c r="L11" s="24" t="n">
        <v>0</v>
      </c>
      <c r="M11" s="24" t="n">
        <v>0</v>
      </c>
      <c r="N11" s="24" t="n">
        <v>0.002730596631788643</v>
      </c>
      <c r="O11" s="24" t="n">
        <v>0</v>
      </c>
      <c r="P11" s="24" t="n">
        <v>0.0003933627405261965</v>
      </c>
      <c r="Q11" s="24" t="n">
        <v>0.05670155500081481</v>
      </c>
      <c r="R11" s="24" t="n">
        <v>0.05982551437312965</v>
      </c>
      <c r="S11" s="26" t="n">
        <v>0</v>
      </c>
      <c r="T11" s="26" t="n">
        <v>0</v>
      </c>
      <c r="U11" s="26" t="n">
        <v>0.000289015721476131</v>
      </c>
      <c r="V11" s="26" t="n">
        <v>0</v>
      </c>
      <c r="W11" s="26" t="n">
        <v>2.485566344893407e-05</v>
      </c>
      <c r="X11" s="26" t="n">
        <v>0.02450330546895793</v>
      </c>
      <c r="Y11" s="26" t="n">
        <v>0.024817176853883</v>
      </c>
      <c r="Z11" s="28" t="n">
        <v>0</v>
      </c>
      <c r="AA11" s="28" t="n">
        <v>0.001375806023799049</v>
      </c>
      <c r="AB11" s="28" t="n">
        <v>8.469906375773532e-05</v>
      </c>
      <c r="AC11" s="28" t="n">
        <v>0</v>
      </c>
      <c r="AD11" s="28" t="n">
        <v>1.129853550053995e-05</v>
      </c>
      <c r="AE11" s="28" t="n">
        <v>0.003506567301055728</v>
      </c>
      <c r="AF11" s="28" t="n">
        <v>0.004978370924113053</v>
      </c>
      <c r="AG11" s="30" t="n">
        <v>0</v>
      </c>
      <c r="AH11" s="30" t="n">
        <v>7.228237882960114e-06</v>
      </c>
      <c r="AI11" s="30" t="n">
        <v>0.0001935285036505344</v>
      </c>
      <c r="AJ11" s="30" t="n">
        <v>0</v>
      </c>
      <c r="AK11" s="30" t="n">
        <v>1.054463461101797e-05</v>
      </c>
      <c r="AL11" s="30" t="n">
        <v>0.01060568824245043</v>
      </c>
      <c r="AM11" s="30" t="n">
        <v>0.01081698961859494</v>
      </c>
      <c r="AN11" s="32" t="n">
        <v>0</v>
      </c>
      <c r="AO11" s="32" t="n">
        <v>5.184272594518707e-06</v>
      </c>
      <c r="AP11" s="32" t="n">
        <v>2.440204800840094e-07</v>
      </c>
      <c r="AQ11" s="32" t="n">
        <v>0</v>
      </c>
      <c r="AR11" s="32" t="n">
        <v>4.16356336401706e-08</v>
      </c>
      <c r="AS11" s="32" t="n">
        <v>6.886467531594437e-06</v>
      </c>
      <c r="AT11" s="32" t="n">
        <v>1.235639623983732e-05</v>
      </c>
      <c r="AU11" s="34" t="n">
        <v>0</v>
      </c>
      <c r="AV11" s="34" t="n">
        <v>0</v>
      </c>
      <c r="AW11" s="34" t="n">
        <v>0.1276944626457424</v>
      </c>
      <c r="AX11" s="34" t="n">
        <v>0</v>
      </c>
      <c r="AY11" s="34" t="n">
        <v>0.01288630702565625</v>
      </c>
      <c r="AZ11" s="34" t="n">
        <v>0.6788366048105275</v>
      </c>
      <c r="BA11" s="34" t="n">
        <v>0.8194173744819262</v>
      </c>
      <c r="BB11" s="6" t="n"/>
      <c r="BC11" s="6" t="n"/>
      <c r="BD11" t="inlineStr">
        <is>
          <t>transport, Kick Scooter, battery electric, &lt;1kW, NCA battery/CH U</t>
        </is>
      </c>
      <c r="BF11" s="5" t="n">
        <v>0.042527005</v>
      </c>
      <c r="BG11" s="5">
        <f>BF11-R11</f>
        <v>-1.7298509373129649E-2</v>
      </c>
      <c r="BH11" s="2" t="n">
        <v>104.41923</v>
      </c>
    </row>
    <row r="12">
      <c r="A12" t="str">
        <f>B12&amp;" - "&amp;D12&amp;" - "&amp;IF(I12&lt;&gt;"",I12&amp;" - "&amp;E12,E12)</f>
        <v>Kick Scooter, battery electric, &lt;1kW - 2030 - NCA - CH</v>
      </c>
      <c r="B12" t="inlineStr">
        <is>
          <t>Kick Scooter, battery electric, &lt;1kW</t>
        </is>
      </c>
      <c r="D12" s="18" t="n">
        <v>2030</v>
      </c>
      <c r="E12" t="inlineStr">
        <is>
          <t>CH</t>
        </is>
      </c>
      <c r="F12" t="inlineStr">
        <is>
          <t>None</t>
        </is>
      </c>
      <c r="G12" t="inlineStr">
        <is>
          <t>vkm</t>
        </is>
      </c>
      <c r="H12" t="inlineStr">
        <is>
          <t>BEV</t>
        </is>
      </c>
      <c r="I12" t="inlineStr">
        <is>
          <t>NCA</t>
        </is>
      </c>
      <c r="J12" t="inlineStr">
        <is>
          <t>None</t>
        </is>
      </c>
      <c r="L12" s="24" t="n">
        <v>0</v>
      </c>
      <c r="M12" s="24" t="n">
        <v>0</v>
      </c>
      <c r="N12" s="24" t="n">
        <v>0.002730596631788643</v>
      </c>
      <c r="O12" s="24" t="n">
        <v>0</v>
      </c>
      <c r="P12" s="24" t="n">
        <v>0.0003914369948832682</v>
      </c>
      <c r="Q12" s="24" t="n">
        <v>0.05948740001163286</v>
      </c>
      <c r="R12" s="24" t="n">
        <v>0.06260943363830476</v>
      </c>
      <c r="S12" s="26" t="n">
        <v>0</v>
      </c>
      <c r="T12" s="26" t="n">
        <v>0</v>
      </c>
      <c r="U12" s="26" t="n">
        <v>0.000289015721476131</v>
      </c>
      <c r="V12" s="26" t="n">
        <v>0</v>
      </c>
      <c r="W12" s="26" t="n">
        <v>2.473398012548344e-05</v>
      </c>
      <c r="X12" s="26" t="n">
        <v>0.02417543610391988</v>
      </c>
      <c r="Y12" s="26" t="n">
        <v>0.0244891858055215</v>
      </c>
      <c r="Z12" s="28" t="n">
        <v>0</v>
      </c>
      <c r="AA12" s="28" t="n">
        <v>0.001375806023799049</v>
      </c>
      <c r="AB12" s="28" t="n">
        <v>8.469906375773532e-05</v>
      </c>
      <c r="AC12" s="28" t="n">
        <v>0</v>
      </c>
      <c r="AD12" s="28" t="n">
        <v>1.124322241856749e-05</v>
      </c>
      <c r="AE12" s="28" t="n">
        <v>0.003602876547268198</v>
      </c>
      <c r="AF12" s="28" t="n">
        <v>0.005074624857243549</v>
      </c>
      <c r="AG12" s="30" t="n">
        <v>0</v>
      </c>
      <c r="AH12" s="30" t="n">
        <v>7.228237882960114e-06</v>
      </c>
      <c r="AI12" s="30" t="n">
        <v>0.0001935285036505344</v>
      </c>
      <c r="AJ12" s="30" t="n">
        <v>0</v>
      </c>
      <c r="AK12" s="30" t="n">
        <v>1.049301232434365e-05</v>
      </c>
      <c r="AL12" s="30" t="n">
        <v>0.01092185880165587</v>
      </c>
      <c r="AM12" s="30" t="n">
        <v>0.01113310855551371</v>
      </c>
      <c r="AN12" s="32" t="n">
        <v>0</v>
      </c>
      <c r="AO12" s="32" t="n">
        <v>5.184272594518707e-06</v>
      </c>
      <c r="AP12" s="32" t="n">
        <v>2.440204800840094e-07</v>
      </c>
      <c r="AQ12" s="32" t="n">
        <v>0</v>
      </c>
      <c r="AR12" s="32" t="n">
        <v>4.143180233686551e-08</v>
      </c>
      <c r="AS12" s="32" t="n">
        <v>6.825431828204387e-06</v>
      </c>
      <c r="AT12" s="32" t="n">
        <v>1.229515670514397e-05</v>
      </c>
      <c r="AU12" s="34" t="n">
        <v>0</v>
      </c>
      <c r="AV12" s="34" t="n">
        <v>0</v>
      </c>
      <c r="AW12" s="34" t="n">
        <v>0.1276944626457424</v>
      </c>
      <c r="AX12" s="34" t="n">
        <v>0</v>
      </c>
      <c r="AY12" s="34" t="n">
        <v>0.01282322085339982</v>
      </c>
      <c r="AZ12" s="34" t="n">
        <v>0.7056928010710064</v>
      </c>
      <c r="BA12" s="34" t="n">
        <v>0.8462104845701486</v>
      </c>
      <c r="BB12" s="6" t="n"/>
      <c r="BC12" s="6" t="n"/>
      <c r="BD12" t="inlineStr">
        <is>
          <t>transport, Kick Scooter, battery electric, &lt;1kW, NCA battery, 2030/CH U</t>
        </is>
      </c>
      <c r="BF12" s="5" t="n">
        <v>0.043247173</v>
      </c>
      <c r="BG12" s="5">
        <f>BF12-R12</f>
        <v>-1.9362260638304762E-2</v>
      </c>
      <c r="BH12" s="2" t="n">
        <v>101.18416</v>
      </c>
    </row>
    <row r="13">
      <c r="A13" t="str">
        <f>B13&amp;" - "&amp;D13&amp;" - "&amp;IF(I13&lt;&gt;"",I13&amp;" - "&amp;E13,E13)</f>
        <v>Kick Scooter, battery electric, &lt;1kW - 2040 - NCA - CH</v>
      </c>
      <c r="B13" t="inlineStr">
        <is>
          <t>Kick Scooter, battery electric, &lt;1kW</t>
        </is>
      </c>
      <c r="D13" s="18" t="n">
        <v>2040</v>
      </c>
      <c r="E13" t="inlineStr">
        <is>
          <t>CH</t>
        </is>
      </c>
      <c r="F13" t="inlineStr">
        <is>
          <t>None</t>
        </is>
      </c>
      <c r="G13" t="inlineStr">
        <is>
          <t>vkm</t>
        </is>
      </c>
      <c r="H13" t="inlineStr">
        <is>
          <t>BEV</t>
        </is>
      </c>
      <c r="I13" t="inlineStr">
        <is>
          <t>NCA</t>
        </is>
      </c>
      <c r="J13" t="inlineStr">
        <is>
          <t>None</t>
        </is>
      </c>
      <c r="L13" s="24" t="n">
        <v>0</v>
      </c>
      <c r="M13" s="24" t="n">
        <v>0</v>
      </c>
      <c r="N13" s="24" t="n">
        <v>0.002730596631788643</v>
      </c>
      <c r="O13" s="24" t="n">
        <v>0</v>
      </c>
      <c r="P13" s="24" t="n">
        <v>0.0003903444855359955</v>
      </c>
      <c r="Q13" s="24" t="n">
        <v>0.06181444027608357</v>
      </c>
      <c r="R13" s="24" t="n">
        <v>0.06493538139340821</v>
      </c>
      <c r="S13" s="26" t="n">
        <v>0</v>
      </c>
      <c r="T13" s="26" t="n">
        <v>0</v>
      </c>
      <c r="U13" s="26" t="n">
        <v>0.000289015721476131</v>
      </c>
      <c r="V13" s="26" t="n">
        <v>0</v>
      </c>
      <c r="W13" s="26" t="n">
        <v>2.466494703756489e-05</v>
      </c>
      <c r="X13" s="26" t="n">
        <v>0.02439295828399075</v>
      </c>
      <c r="Y13" s="26" t="n">
        <v>0.02470663895250445</v>
      </c>
      <c r="Z13" s="28" t="n">
        <v>0</v>
      </c>
      <c r="AA13" s="28" t="n">
        <v>0.001375806023799049</v>
      </c>
      <c r="AB13" s="28" t="n">
        <v>8.469906375773532e-05</v>
      </c>
      <c r="AC13" s="28" t="n">
        <v>0</v>
      </c>
      <c r="AD13" s="28" t="n">
        <v>1.12118423350641e-05</v>
      </c>
      <c r="AE13" s="28" t="n">
        <v>0.00372243816940877</v>
      </c>
      <c r="AF13" s="28" t="n">
        <v>0.005194155099300618</v>
      </c>
      <c r="AG13" s="30" t="n">
        <v>0</v>
      </c>
      <c r="AH13" s="30" t="n">
        <v>7.228237882960114e-06</v>
      </c>
      <c r="AI13" s="30" t="n">
        <v>0.0001935285036505344</v>
      </c>
      <c r="AJ13" s="30" t="n">
        <v>0</v>
      </c>
      <c r="AK13" s="30" t="n">
        <v>1.046372609387682e-05</v>
      </c>
      <c r="AL13" s="30" t="n">
        <v>0.01128208579275994</v>
      </c>
      <c r="AM13" s="30" t="n">
        <v>0.01149330626038731</v>
      </c>
      <c r="AN13" s="32" t="n">
        <v>0</v>
      </c>
      <c r="AO13" s="32" t="n">
        <v>5.184272594518707e-06</v>
      </c>
      <c r="AP13" s="32" t="n">
        <v>2.440204800840094e-07</v>
      </c>
      <c r="AQ13" s="32" t="n">
        <v>0</v>
      </c>
      <c r="AR13" s="32" t="n">
        <v>4.131616525626489e-08</v>
      </c>
      <c r="AS13" s="32" t="n">
        <v>6.906522613279278e-06</v>
      </c>
      <c r="AT13" s="32" t="n">
        <v>1.237613185313826e-05</v>
      </c>
      <c r="AU13" s="34" t="n">
        <v>0</v>
      </c>
      <c r="AV13" s="34" t="n">
        <v>0</v>
      </c>
      <c r="AW13" s="34" t="n">
        <v>0.1276944626457424</v>
      </c>
      <c r="AX13" s="34" t="n">
        <v>0</v>
      </c>
      <c r="AY13" s="34" t="n">
        <v>0.01278743095917008</v>
      </c>
      <c r="AZ13" s="34" t="n">
        <v>0.7305895035706768</v>
      </c>
      <c r="BA13" s="34" t="n">
        <v>0.8710713971755892</v>
      </c>
      <c r="BB13" s="6" t="n"/>
      <c r="BC13" s="6" t="n"/>
      <c r="BD13" t="inlineStr">
        <is>
          <t>transport, Kick Scooter, battery electric, &lt;1kW, NCA battery, 2040/CH U</t>
        </is>
      </c>
      <c r="BF13" s="5" t="n">
        <v>0.04412554</v>
      </c>
      <c r="BG13" s="5">
        <f>BF13-R13</f>
        <v>-2.0809841393408211E-2</v>
      </c>
      <c r="BH13" s="2" t="n">
        <v>101.19204</v>
      </c>
    </row>
    <row r="14">
      <c r="A14" t="str">
        <f>B14&amp;" - "&amp;D14&amp;" - "&amp;IF(I14&lt;&gt;"",I14&amp;" - "&amp;E14,E14)</f>
        <v>Kick Scooter, battery electric, &lt;1kW - 2050 - NCA - CH</v>
      </c>
      <c r="B14" t="inlineStr">
        <is>
          <t>Kick Scooter, battery electric, &lt;1kW</t>
        </is>
      </c>
      <c r="D14" s="18" t="n">
        <v>2050</v>
      </c>
      <c r="E14" t="inlineStr">
        <is>
          <t>CH</t>
        </is>
      </c>
      <c r="F14" t="inlineStr">
        <is>
          <t>None</t>
        </is>
      </c>
      <c r="G14" t="inlineStr">
        <is>
          <t>vkm</t>
        </is>
      </c>
      <c r="H14" t="inlineStr">
        <is>
          <t>BEV</t>
        </is>
      </c>
      <c r="I14" t="inlineStr">
        <is>
          <t>NCA</t>
        </is>
      </c>
      <c r="J14" t="inlineStr">
        <is>
          <t>None</t>
        </is>
      </c>
      <c r="L14" s="24" t="n">
        <v>0</v>
      </c>
      <c r="M14" s="24" t="n">
        <v>0</v>
      </c>
      <c r="N14" s="24" t="n">
        <v>0.002730596631788643</v>
      </c>
      <c r="O14" s="24" t="n">
        <v>0</v>
      </c>
      <c r="P14" s="24" t="n">
        <v>0.0003892519761887227</v>
      </c>
      <c r="Q14" s="24" t="n">
        <v>0.06414148131537427</v>
      </c>
      <c r="R14" s="24" t="n">
        <v>0.06726132992335164</v>
      </c>
      <c r="S14" s="26" t="n">
        <v>0</v>
      </c>
      <c r="T14" s="26" t="n">
        <v>0</v>
      </c>
      <c r="U14" s="26" t="n">
        <v>0.000289015721476131</v>
      </c>
      <c r="V14" s="26" t="n">
        <v>0</v>
      </c>
      <c r="W14" s="26" t="n">
        <v>2.459591394964634e-05</v>
      </c>
      <c r="X14" s="26" t="n">
        <v>0.02461048111565656</v>
      </c>
      <c r="Y14" s="26" t="n">
        <v>0.02492409275108234</v>
      </c>
      <c r="Z14" s="28" t="n">
        <v>0</v>
      </c>
      <c r="AA14" s="28" t="n">
        <v>0.001375806023799049</v>
      </c>
      <c r="AB14" s="28" t="n">
        <v>8.469906375773532e-05</v>
      </c>
      <c r="AC14" s="28" t="n">
        <v>0</v>
      </c>
      <c r="AD14" s="28" t="n">
        <v>1.118046225156072e-05</v>
      </c>
      <c r="AE14" s="28" t="n">
        <v>0.003841999869705365</v>
      </c>
      <c r="AF14" s="28" t="n">
        <v>0.005313685419513711</v>
      </c>
      <c r="AG14" s="30" t="n">
        <v>0</v>
      </c>
      <c r="AH14" s="30" t="n">
        <v>7.228237882960114e-06</v>
      </c>
      <c r="AI14" s="30" t="n">
        <v>0.0001935285036505344</v>
      </c>
      <c r="AJ14" s="30" t="n">
        <v>0</v>
      </c>
      <c r="AK14" s="30" t="n">
        <v>1.043443986340999e-05</v>
      </c>
      <c r="AL14" s="30" t="n">
        <v>0.01164231316241976</v>
      </c>
      <c r="AM14" s="30" t="n">
        <v>0.01185350434381666</v>
      </c>
      <c r="AN14" s="32" t="n">
        <v>0</v>
      </c>
      <c r="AO14" s="32" t="n">
        <v>5.184272594518707e-06</v>
      </c>
      <c r="AP14" s="32" t="n">
        <v>2.440204800840094e-07</v>
      </c>
      <c r="AQ14" s="32" t="n">
        <v>0</v>
      </c>
      <c r="AR14" s="32" t="n">
        <v>4.120052817566426e-08</v>
      </c>
      <c r="AS14" s="32" t="n">
        <v>6.987613459669793e-06</v>
      </c>
      <c r="AT14" s="32" t="n">
        <v>1.245710706244817e-05</v>
      </c>
      <c r="AU14" s="34" t="n">
        <v>0</v>
      </c>
      <c r="AV14" s="34" t="n">
        <v>0</v>
      </c>
      <c r="AW14" s="34" t="n">
        <v>0.1276944626457424</v>
      </c>
      <c r="AX14" s="34" t="n">
        <v>0</v>
      </c>
      <c r="AY14" s="34" t="n">
        <v>0.01275164106494033</v>
      </c>
      <c r="AZ14" s="34" t="n">
        <v>0.7554862138049283</v>
      </c>
      <c r="BA14" s="34" t="n">
        <v>0.895932317515611</v>
      </c>
      <c r="BB14" s="6" t="n"/>
      <c r="BC14" s="6" t="n"/>
      <c r="BD14" t="inlineStr">
        <is>
          <t>transport, Kick Scooter, battery electric, &lt;1kW, NCA battery, 2050/CH U</t>
        </is>
      </c>
      <c r="BF14" s="5" t="n">
        <v>0.045002876</v>
      </c>
      <c r="BG14" s="5">
        <f>BF14-R14</f>
        <v>-2.2258453923351643E-2</v>
      </c>
      <c r="BH14" s="2" t="n">
        <v>101.19911</v>
      </c>
    </row>
    <row r="15">
      <c r="A15" t="str">
        <f>B15&amp;" - "&amp;D15&amp;" - "&amp;IF(I15&lt;&gt;"",I15&amp;" - "&amp;E15,E15)</f>
        <v>Bicycle, conventional, urban - 2020 - None - CH</v>
      </c>
      <c r="B15" t="inlineStr">
        <is>
          <t>Bicycle, conventional, urban</t>
        </is>
      </c>
      <c r="D15" s="18" t="n">
        <v>2020</v>
      </c>
      <c r="E15" t="inlineStr">
        <is>
          <t>CH</t>
        </is>
      </c>
      <c r="F15" t="inlineStr">
        <is>
          <t>None</t>
        </is>
      </c>
      <c r="G15" t="inlineStr">
        <is>
          <t>vkm</t>
        </is>
      </c>
      <c r="I15" t="inlineStr">
        <is>
          <t>None</t>
        </is>
      </c>
      <c r="J15" t="inlineStr">
        <is>
          <t>None</t>
        </is>
      </c>
      <c r="L15" s="24" t="n">
        <v>0</v>
      </c>
      <c r="M15" s="24" t="n">
        <v>0</v>
      </c>
      <c r="N15" s="24" t="n">
        <v>0</v>
      </c>
      <c r="O15" s="24" t="n">
        <v>0.001195732624675443</v>
      </c>
      <c r="P15" s="24" t="n">
        <v>0.0004005867606666776</v>
      </c>
      <c r="Q15" s="24" t="n">
        <v>0.006887182925507696</v>
      </c>
      <c r="R15" s="24" t="n">
        <v>0.008483502310849817</v>
      </c>
      <c r="S15" s="26" t="n">
        <v>0</v>
      </c>
      <c r="T15" s="26" t="n">
        <v>0</v>
      </c>
      <c r="U15" s="26" t="n">
        <v>0</v>
      </c>
      <c r="V15" s="26" t="n">
        <v>9.831747354962542e-05</v>
      </c>
      <c r="W15" s="26" t="n">
        <v>2.531213223680129e-05</v>
      </c>
      <c r="X15" s="26" t="n">
        <v>0.0005751461816247882</v>
      </c>
      <c r="Y15" s="26" t="n">
        <v>0.000698775787411215</v>
      </c>
      <c r="Z15" s="28" t="n">
        <v>0</v>
      </c>
      <c r="AA15" s="28" t="n">
        <v>0.001375806023799049</v>
      </c>
      <c r="AB15" s="28" t="n">
        <v>0</v>
      </c>
      <c r="AC15" s="28" t="n">
        <v>2.396826009396162e-05</v>
      </c>
      <c r="AD15" s="28" t="n">
        <v>1.150603061790835e-05</v>
      </c>
      <c r="AE15" s="28" t="n">
        <v>0.0002473685998481029</v>
      </c>
      <c r="AF15" s="28" t="n">
        <v>0.001658648914359022</v>
      </c>
      <c r="AG15" s="30" t="n">
        <v>0</v>
      </c>
      <c r="AH15" s="30" t="n">
        <v>7.228237882960114e-06</v>
      </c>
      <c r="AI15" s="30" t="n">
        <v>0</v>
      </c>
      <c r="AJ15" s="30" t="n">
        <v>8.555417467729655e-05</v>
      </c>
      <c r="AK15" s="30" t="n">
        <v>1.073828450450333e-05</v>
      </c>
      <c r="AL15" s="30" t="n">
        <v>0.0004264720516351304</v>
      </c>
      <c r="AM15" s="30" t="n">
        <v>0.0005299927486998905</v>
      </c>
      <c r="AN15" s="32" t="n">
        <v>0</v>
      </c>
      <c r="AO15" s="32" t="n">
        <v>5.184272594518707e-06</v>
      </c>
      <c r="AP15" s="32" t="n">
        <v>0</v>
      </c>
      <c r="AQ15" s="32" t="n">
        <v>6.549064862657901e-08</v>
      </c>
      <c r="AR15" s="32" t="n">
        <v>4.240026288689575e-08</v>
      </c>
      <c r="AS15" s="32" t="n">
        <v>6.015950897360906e-07</v>
      </c>
      <c r="AT15" s="32" t="n">
        <v>5.893758595768272e-06</v>
      </c>
      <c r="AU15" s="34" t="n">
        <v>0</v>
      </c>
      <c r="AV15" s="34" t="n">
        <v>0</v>
      </c>
      <c r="AW15" s="34" t="n">
        <v>0</v>
      </c>
      <c r="AX15" s="34" t="n">
        <v>0.0201770987761535</v>
      </c>
      <c r="AY15" s="34" t="n">
        <v>0.01312296121757396</v>
      </c>
      <c r="AZ15" s="34" t="n">
        <v>0.08056238370859969</v>
      </c>
      <c r="BA15" s="34" t="n">
        <v>0.1138624437023271</v>
      </c>
      <c r="BB15" s="6" t="n"/>
      <c r="BC15" s="6" t="n"/>
      <c r="BD15" t="inlineStr">
        <is>
          <t>transport, Bicycle, conventional, urban/CH U</t>
        </is>
      </c>
      <c r="BF15" s="5" t="n">
        <v>0.005915697399999999</v>
      </c>
      <c r="BG15" s="5">
        <f>BF15-R15</f>
        <v>-2.5678049108498174E-3</v>
      </c>
      <c r="BH15" s="2" t="n">
        <v>9.3159776</v>
      </c>
    </row>
    <row r="16">
      <c r="A16" t="str">
        <f>B16&amp;" - "&amp;D16&amp;" - "&amp;IF(I16&lt;&gt;"",I16&amp;" - "&amp;E16,E16)</f>
        <v>Bicycle, conventional, urban - 2030 - None - CH</v>
      </c>
      <c r="B16" t="inlineStr">
        <is>
          <t>Bicycle, conventional, urban</t>
        </is>
      </c>
      <c r="D16" s="18" t="n">
        <v>2030</v>
      </c>
      <c r="E16" t="inlineStr">
        <is>
          <t>CH</t>
        </is>
      </c>
      <c r="F16" t="inlineStr">
        <is>
          <t>None</t>
        </is>
      </c>
      <c r="G16" t="inlineStr">
        <is>
          <t>vkm</t>
        </is>
      </c>
      <c r="I16" t="inlineStr">
        <is>
          <t>None</t>
        </is>
      </c>
      <c r="J16" t="inlineStr">
        <is>
          <t>None</t>
        </is>
      </c>
      <c r="L16" s="24" t="n">
        <v>0</v>
      </c>
      <c r="M16" s="24" t="n">
        <v>0</v>
      </c>
      <c r="N16" s="24" t="n">
        <v>0</v>
      </c>
      <c r="O16" s="24" t="n">
        <v>0.001195732624675443</v>
      </c>
      <c r="P16" s="24" t="n">
        <v>0.0003989479966457684</v>
      </c>
      <c r="Q16" s="24" t="n">
        <v>0.007691129750021421</v>
      </c>
      <c r="R16" s="24" t="n">
        <v>0.009285810371342632</v>
      </c>
      <c r="S16" s="26" t="n">
        <v>0</v>
      </c>
      <c r="T16" s="26" t="n">
        <v>0</v>
      </c>
      <c r="U16" s="26" t="n">
        <v>0</v>
      </c>
      <c r="V16" s="26" t="n">
        <v>9.831747354962542e-05</v>
      </c>
      <c r="W16" s="26" t="n">
        <v>2.520858260492346e-05</v>
      </c>
      <c r="X16" s="26" t="n">
        <v>0.0007197065322417741</v>
      </c>
      <c r="Y16" s="26" t="n">
        <v>0.000843232588396323</v>
      </c>
      <c r="Z16" s="28" t="n">
        <v>0</v>
      </c>
      <c r="AA16" s="28" t="n">
        <v>0.001375806023799049</v>
      </c>
      <c r="AB16" s="28" t="n">
        <v>0</v>
      </c>
      <c r="AC16" s="28" t="n">
        <v>2.396826009396162e-05</v>
      </c>
      <c r="AD16" s="28" t="n">
        <v>1.145896049265327e-05</v>
      </c>
      <c r="AE16" s="28" t="n">
        <v>0.0002931592341550783</v>
      </c>
      <c r="AF16" s="28" t="n">
        <v>0.001704392478540742</v>
      </c>
      <c r="AG16" s="30" t="n">
        <v>0</v>
      </c>
      <c r="AH16" s="30" t="n">
        <v>7.228237882960114e-06</v>
      </c>
      <c r="AI16" s="30" t="n">
        <v>0</v>
      </c>
      <c r="AJ16" s="30" t="n">
        <v>8.555417467729655e-05</v>
      </c>
      <c r="AK16" s="30" t="n">
        <v>1.069435515880308e-05</v>
      </c>
      <c r="AL16" s="30" t="n">
        <v>0.0005795105951073495</v>
      </c>
      <c r="AM16" s="30" t="n">
        <v>0.0006829873628264092</v>
      </c>
      <c r="AN16" s="32" t="n">
        <v>0</v>
      </c>
      <c r="AO16" s="32" t="n">
        <v>5.184272594518707e-06</v>
      </c>
      <c r="AP16" s="32" t="n">
        <v>0</v>
      </c>
      <c r="AQ16" s="32" t="n">
        <v>6.549064862657901e-08</v>
      </c>
      <c r="AR16" s="32" t="n">
        <v>4.222680726599481e-08</v>
      </c>
      <c r="AS16" s="32" t="n">
        <v>6.376833711846853e-07</v>
      </c>
      <c r="AT16" s="32" t="n">
        <v>5.929673421595966e-06</v>
      </c>
      <c r="AU16" s="34" t="n">
        <v>0</v>
      </c>
      <c r="AV16" s="34" t="n">
        <v>0</v>
      </c>
      <c r="AW16" s="34" t="n">
        <v>0</v>
      </c>
      <c r="AX16" s="34" t="n">
        <v>0.0201770987761535</v>
      </c>
      <c r="AY16" s="34" t="n">
        <v>0.01306927637622934</v>
      </c>
      <c r="AZ16" s="34" t="n">
        <v>0.08912745484256926</v>
      </c>
      <c r="BA16" s="34" t="n">
        <v>0.1223738299949521</v>
      </c>
      <c r="BB16" s="6" t="n"/>
      <c r="BC16" s="6" t="n"/>
      <c r="BD16" t="inlineStr">
        <is>
          <t>transport, Bicycle, conventional, urban, 2030/CH U</t>
        </is>
      </c>
      <c r="BF16" s="5" t="n">
        <v>0.0062505966</v>
      </c>
      <c r="BG16" s="5">
        <f>BF16-R16</f>
        <v>-3.0352137713426323E-3</v>
      </c>
      <c r="BH16" s="2" t="n">
        <v>9.4949449</v>
      </c>
    </row>
    <row r="17">
      <c r="A17" t="str">
        <f>B17&amp;" - "&amp;D17&amp;" - "&amp;IF(I17&lt;&gt;"",I17&amp;" - "&amp;E17,E17)</f>
        <v>Bicycle, conventional, urban - 2040 - None - CH</v>
      </c>
      <c r="B17" t="inlineStr">
        <is>
          <t>Bicycle, conventional, urban</t>
        </is>
      </c>
      <c r="D17" s="18" t="n">
        <v>2040</v>
      </c>
      <c r="E17" t="inlineStr">
        <is>
          <t>CH</t>
        </is>
      </c>
      <c r="F17" t="inlineStr">
        <is>
          <t>None</t>
        </is>
      </c>
      <c r="G17" t="inlineStr">
        <is>
          <t>vkm</t>
        </is>
      </c>
      <c r="I17" t="inlineStr">
        <is>
          <t>None</t>
        </is>
      </c>
      <c r="J17" t="inlineStr">
        <is>
          <t>None</t>
        </is>
      </c>
      <c r="L17" s="24" t="n">
        <v>0</v>
      </c>
      <c r="M17" s="24" t="n">
        <v>0</v>
      </c>
      <c r="N17" s="24" t="n">
        <v>0</v>
      </c>
      <c r="O17" s="24" t="n">
        <v>0.001195732624675443</v>
      </c>
      <c r="P17" s="24" t="n">
        <v>0.0003978554872984957</v>
      </c>
      <c r="Q17" s="24" t="n">
        <v>0.008227094285022919</v>
      </c>
      <c r="R17" s="24" t="n">
        <v>0.009820682396996858</v>
      </c>
      <c r="S17" s="26" t="n">
        <v>0</v>
      </c>
      <c r="T17" s="26" t="n">
        <v>0</v>
      </c>
      <c r="U17" s="26" t="n">
        <v>0</v>
      </c>
      <c r="V17" s="26" t="n">
        <v>9.831747354962542e-05</v>
      </c>
      <c r="W17" s="26" t="n">
        <v>2.513954951700491e-05</v>
      </c>
      <c r="X17" s="26" t="n">
        <v>0.0008160800990256552</v>
      </c>
      <c r="Y17" s="26" t="n">
        <v>0.0009395371220922856</v>
      </c>
      <c r="Z17" s="28" t="n">
        <v>0</v>
      </c>
      <c r="AA17" s="28" t="n">
        <v>0.001375806023799049</v>
      </c>
      <c r="AB17" s="28" t="n">
        <v>0</v>
      </c>
      <c r="AC17" s="28" t="n">
        <v>2.396826009396162e-05</v>
      </c>
      <c r="AD17" s="28" t="n">
        <v>1.142758040914989e-05</v>
      </c>
      <c r="AE17" s="28" t="n">
        <v>0.0003236863224749182</v>
      </c>
      <c r="AF17" s="28" t="n">
        <v>0.001734888186777079</v>
      </c>
      <c r="AG17" s="30" t="n">
        <v>0</v>
      </c>
      <c r="AH17" s="30" t="n">
        <v>7.228237882960114e-06</v>
      </c>
      <c r="AI17" s="30" t="n">
        <v>0</v>
      </c>
      <c r="AJ17" s="30" t="n">
        <v>8.555417467729655e-05</v>
      </c>
      <c r="AK17" s="30" t="n">
        <v>1.066506892833626e-05</v>
      </c>
      <c r="AL17" s="30" t="n">
        <v>0.0006815362906583969</v>
      </c>
      <c r="AM17" s="30" t="n">
        <v>0.0007849837721469898</v>
      </c>
      <c r="AN17" s="32" t="n">
        <v>0</v>
      </c>
      <c r="AO17" s="32" t="n">
        <v>5.184272594518707e-06</v>
      </c>
      <c r="AP17" s="32" t="n">
        <v>0</v>
      </c>
      <c r="AQ17" s="32" t="n">
        <v>6.549064862657901e-08</v>
      </c>
      <c r="AR17" s="32" t="n">
        <v>4.211117018539418e-08</v>
      </c>
      <c r="AS17" s="32" t="n">
        <v>6.617422210335471e-07</v>
      </c>
      <c r="AT17" s="32" t="n">
        <v>5.953616634364227e-06</v>
      </c>
      <c r="AU17" s="34" t="n">
        <v>0</v>
      </c>
      <c r="AV17" s="34" t="n">
        <v>0</v>
      </c>
      <c r="AW17" s="34" t="n">
        <v>0</v>
      </c>
      <c r="AX17" s="34" t="n">
        <v>0.0201770987761535</v>
      </c>
      <c r="AY17" s="34" t="n">
        <v>0.01303348648199958</v>
      </c>
      <c r="AZ17" s="34" t="n">
        <v>0.09483750204261049</v>
      </c>
      <c r="BA17" s="34" t="n">
        <v>0.1280480873007636</v>
      </c>
      <c r="BB17" s="6" t="n"/>
      <c r="BC17" s="6" t="n"/>
      <c r="BD17" t="inlineStr">
        <is>
          <t>transport, Bicycle, conventional, urban, 2040/CH U</t>
        </is>
      </c>
      <c r="BF17" s="5" t="n">
        <v>0.0064738979</v>
      </c>
      <c r="BG17" s="5">
        <f>BF17-R17</f>
        <v>-3.3467844969968579E-3</v>
      </c>
      <c r="BH17" s="2" t="n">
        <v>9.614322100000001</v>
      </c>
    </row>
    <row r="18">
      <c r="A18" t="str">
        <f>B18&amp;" - "&amp;D18&amp;" - "&amp;IF(I18&lt;&gt;"",I18&amp;" - "&amp;E18,E18)</f>
        <v>Bicycle, conventional, urban - 2050 - None - CH</v>
      </c>
      <c r="B18" t="inlineStr">
        <is>
          <t>Bicycle, conventional, urban</t>
        </is>
      </c>
      <c r="D18" s="18" t="n">
        <v>2050</v>
      </c>
      <c r="E18" t="inlineStr">
        <is>
          <t>CH</t>
        </is>
      </c>
      <c r="F18" t="inlineStr">
        <is>
          <t>None</t>
        </is>
      </c>
      <c r="G18" t="inlineStr">
        <is>
          <t>vkm</t>
        </is>
      </c>
      <c r="I18" t="inlineStr">
        <is>
          <t>None</t>
        </is>
      </c>
      <c r="J18" t="inlineStr">
        <is>
          <t>None</t>
        </is>
      </c>
      <c r="L18" s="24" t="n">
        <v>0</v>
      </c>
      <c r="M18" s="24" t="n">
        <v>0</v>
      </c>
      <c r="N18" s="24" t="n">
        <v>0</v>
      </c>
      <c r="O18" s="24" t="n">
        <v>0.001195732624675443</v>
      </c>
      <c r="P18" s="24" t="n">
        <v>0.0003967629779512229</v>
      </c>
      <c r="Q18" s="24" t="n">
        <v>0.008763058703651993</v>
      </c>
      <c r="R18" s="24" t="n">
        <v>0.01035555430627866</v>
      </c>
      <c r="S18" s="26" t="n">
        <v>0</v>
      </c>
      <c r="T18" s="26" t="n">
        <v>0</v>
      </c>
      <c r="U18" s="26" t="n">
        <v>0</v>
      </c>
      <c r="V18" s="26" t="n">
        <v>9.831747354962542e-05</v>
      </c>
      <c r="W18" s="26" t="n">
        <v>2.507051642908636e-05</v>
      </c>
      <c r="X18" s="26" t="n">
        <v>0.0009124536422148437</v>
      </c>
      <c r="Y18" s="26" t="n">
        <v>0.001035841632193556</v>
      </c>
      <c r="Z18" s="28" t="n">
        <v>0</v>
      </c>
      <c r="AA18" s="28" t="n">
        <v>0.001375806023799049</v>
      </c>
      <c r="AB18" s="28" t="n">
        <v>0</v>
      </c>
      <c r="AC18" s="28" t="n">
        <v>2.396826009396162e-05</v>
      </c>
      <c r="AD18" s="28" t="n">
        <v>1.13962003256465e-05</v>
      </c>
      <c r="AE18" s="28" t="n">
        <v>0.0003542134043792328</v>
      </c>
      <c r="AF18" s="28" t="n">
        <v>0.00176538388859789</v>
      </c>
      <c r="AG18" s="30" t="n">
        <v>0</v>
      </c>
      <c r="AH18" s="30" t="n">
        <v>7.228237882960114e-06</v>
      </c>
      <c r="AI18" s="30" t="n">
        <v>0</v>
      </c>
      <c r="AJ18" s="30" t="n">
        <v>8.555417467729655e-05</v>
      </c>
      <c r="AK18" s="30" t="n">
        <v>1.063578269786943e-05</v>
      </c>
      <c r="AL18" s="30" t="n">
        <v>0.000783561960977038</v>
      </c>
      <c r="AM18" s="30" t="n">
        <v>0.000886980156235164</v>
      </c>
      <c r="AN18" s="32" t="n">
        <v>0</v>
      </c>
      <c r="AO18" s="32" t="n">
        <v>5.184272594518707e-06</v>
      </c>
      <c r="AP18" s="32" t="n">
        <v>0</v>
      </c>
      <c r="AQ18" s="32" t="n">
        <v>6.549064862657901e-08</v>
      </c>
      <c r="AR18" s="32" t="n">
        <v>4.199553310479355e-08</v>
      </c>
      <c r="AS18" s="32" t="n">
        <v>6.858010692256405e-07</v>
      </c>
      <c r="AT18" s="32" t="n">
        <v>5.977559845475719e-06</v>
      </c>
      <c r="AU18" s="34" t="n">
        <v>0</v>
      </c>
      <c r="AV18" s="34" t="n">
        <v>0</v>
      </c>
      <c r="AW18" s="34" t="n">
        <v>0</v>
      </c>
      <c r="AX18" s="34" t="n">
        <v>0.0201770987761535</v>
      </c>
      <c r="AY18" s="34" t="n">
        <v>0.01299769658776985</v>
      </c>
      <c r="AZ18" s="34" t="n">
        <v>0.1005475480738065</v>
      </c>
      <c r="BA18" s="34" t="n">
        <v>0.1337223434377299</v>
      </c>
      <c r="BB18" s="6" t="n"/>
      <c r="BC18" s="6" t="n"/>
      <c r="BD18" t="inlineStr">
        <is>
          <t>transport, Bicycle, conventional, urban, 2050/CH U</t>
        </is>
      </c>
      <c r="BF18" s="5" t="n">
        <v>0.006697096400000001</v>
      </c>
      <c r="BG18" s="5">
        <f>BF18-R18</f>
        <v>-3.6584579062786593E-3</v>
      </c>
      <c r="BH18" s="2" t="n">
        <v>9.733463</v>
      </c>
    </row>
    <row r="19">
      <c r="A19" t="str">
        <f>B19&amp;" - "&amp;D19&amp;" - "&amp;IF(I19&lt;&gt;"",I19&amp;" - "&amp;E19,E19)</f>
        <v>Bicycle, electric (&lt;25 km/h) - 2020 - NMC - CH</v>
      </c>
      <c r="B19" t="inlineStr">
        <is>
          <t>Bicycle, electric (&lt;25 km/h)</t>
        </is>
      </c>
      <c r="D19" s="18" t="n">
        <v>2020</v>
      </c>
      <c r="E19" t="inlineStr">
        <is>
          <t>CH</t>
        </is>
      </c>
      <c r="F19" t="inlineStr">
        <is>
          <t>None</t>
        </is>
      </c>
      <c r="G19" t="inlineStr">
        <is>
          <t>vkm</t>
        </is>
      </c>
      <c r="H19" t="inlineStr">
        <is>
          <t>BEV</t>
        </is>
      </c>
      <c r="I19" t="inlineStr">
        <is>
          <t>NMC</t>
        </is>
      </c>
      <c r="J19" t="inlineStr">
        <is>
          <t>None</t>
        </is>
      </c>
      <c r="L19" s="24" t="n">
        <v>0</v>
      </c>
      <c r="M19" s="24" t="n">
        <v>0</v>
      </c>
      <c r="N19" s="24" t="n">
        <v>0.0007821715621378719</v>
      </c>
      <c r="O19" s="24" t="n">
        <v>0.001195732624675443</v>
      </c>
      <c r="P19" s="24" t="n">
        <v>0.000451798136320088</v>
      </c>
      <c r="Q19" s="24" t="n">
        <v>0.01328900195020182</v>
      </c>
      <c r="R19" s="24" t="n">
        <v>0.01571870427333522</v>
      </c>
      <c r="S19" s="26" t="n">
        <v>0</v>
      </c>
      <c r="T19" s="26" t="n">
        <v>0</v>
      </c>
      <c r="U19" s="26" t="n">
        <v>8.278772328277276e-05</v>
      </c>
      <c r="V19" s="26" t="n">
        <v>9.831747354962542e-05</v>
      </c>
      <c r="W19" s="26" t="n">
        <v>2.854805823298327e-05</v>
      </c>
      <c r="X19" s="26" t="n">
        <v>0.01255020670214965</v>
      </c>
      <c r="Y19" s="26" t="n">
        <v>0.01275985995721503</v>
      </c>
      <c r="Z19" s="28" t="n">
        <v>0</v>
      </c>
      <c r="AA19" s="28" t="n">
        <v>0.001375806023799049</v>
      </c>
      <c r="AB19" s="28" t="n">
        <v>2.426180353397981e-05</v>
      </c>
      <c r="AC19" s="28" t="n">
        <v>2.396826009396162e-05</v>
      </c>
      <c r="AD19" s="28" t="n">
        <v>1.297697203212959e-05</v>
      </c>
      <c r="AE19" s="28" t="n">
        <v>0.001184976064930756</v>
      </c>
      <c r="AF19" s="28" t="n">
        <v>0.002621989124389876</v>
      </c>
      <c r="AG19" s="30" t="n">
        <v>0</v>
      </c>
      <c r="AH19" s="30" t="n">
        <v>7.228237882960114e-06</v>
      </c>
      <c r="AI19" s="30" t="n">
        <v>5.543568400265283e-05</v>
      </c>
      <c r="AJ19" s="30" t="n">
        <v>8.555417467729655e-05</v>
      </c>
      <c r="AK19" s="30" t="n">
        <v>1.211107655763585e-05</v>
      </c>
      <c r="AL19" s="30" t="n">
        <v>0.003277302840788742</v>
      </c>
      <c r="AM19" s="30" t="n">
        <v>0.003437632013909288</v>
      </c>
      <c r="AN19" s="32" t="n">
        <v>0</v>
      </c>
      <c r="AO19" s="32" t="n">
        <v>5.184272594518707e-06</v>
      </c>
      <c r="AP19" s="32" t="n">
        <v>6.989896562492967e-08</v>
      </c>
      <c r="AQ19" s="32" t="n">
        <v>6.549064862657901e-08</v>
      </c>
      <c r="AR19" s="32" t="n">
        <v>4.782075104005003e-08</v>
      </c>
      <c r="AS19" s="32" t="n">
        <v>2.525950235960432e-06</v>
      </c>
      <c r="AT19" s="32" t="n">
        <v>7.893433195770697e-06</v>
      </c>
      <c r="AU19" s="34" t="n">
        <v>0</v>
      </c>
      <c r="AV19" s="34" t="n">
        <v>0</v>
      </c>
      <c r="AW19" s="34" t="n">
        <v>0.03657771205062681</v>
      </c>
      <c r="AX19" s="34" t="n">
        <v>0.0201770987761535</v>
      </c>
      <c r="AY19" s="34" t="n">
        <v>0.01480061250959336</v>
      </c>
      <c r="AZ19" s="34" t="n">
        <v>0.1773121997800152</v>
      </c>
      <c r="BA19" s="34" t="n">
        <v>0.2488676231163888</v>
      </c>
      <c r="BB19" s="6" t="n"/>
      <c r="BC19" s="6" t="n"/>
      <c r="BD19" t="inlineStr">
        <is>
          <t>transport, Bicycle, electric (&lt;25 km/h)/CH U</t>
        </is>
      </c>
      <c r="BF19" s="5" t="n">
        <v>0.011042067</v>
      </c>
      <c r="BG19" s="5">
        <f>BF19-R19</f>
        <v>-4.6766372733352216E-3</v>
      </c>
      <c r="BH19" s="2" t="n">
        <v>32.063936</v>
      </c>
    </row>
    <row r="20">
      <c r="A20" t="str">
        <f>B20&amp;" - "&amp;D20&amp;" - "&amp;IF(I20&lt;&gt;"",I20&amp;" - "&amp;E20,E20)</f>
        <v>Bicycle, electric (&lt;25 km/h) - 2030 - NMC - CH</v>
      </c>
      <c r="B20" t="inlineStr">
        <is>
          <t>Bicycle, electric (&lt;25 km/h)</t>
        </is>
      </c>
      <c r="D20" s="18" t="n">
        <v>2030</v>
      </c>
      <c r="E20" t="inlineStr">
        <is>
          <t>CH</t>
        </is>
      </c>
      <c r="F20" t="inlineStr">
        <is>
          <t>None</t>
        </is>
      </c>
      <c r="G20" t="inlineStr">
        <is>
          <t>vkm</t>
        </is>
      </c>
      <c r="H20" t="inlineStr">
        <is>
          <t>BEV</t>
        </is>
      </c>
      <c r="I20" t="inlineStr">
        <is>
          <t>NMC</t>
        </is>
      </c>
      <c r="J20" t="inlineStr">
        <is>
          <t>None</t>
        </is>
      </c>
      <c r="L20" s="24" t="n">
        <v>0</v>
      </c>
      <c r="M20" s="24" t="n">
        <v>0</v>
      </c>
      <c r="N20" s="24" t="n">
        <v>0.0007821715621378719</v>
      </c>
      <c r="O20" s="24" t="n">
        <v>0.001195732624675443</v>
      </c>
      <c r="P20" s="24" t="n">
        <v>0.0004501441985582445</v>
      </c>
      <c r="Q20" s="24" t="n">
        <v>0.01305699418689324</v>
      </c>
      <c r="R20" s="24" t="n">
        <v>0.0154850425722648</v>
      </c>
      <c r="S20" s="26" t="n">
        <v>0</v>
      </c>
      <c r="T20" s="26" t="n">
        <v>0</v>
      </c>
      <c r="U20" s="26" t="n">
        <v>8.278772328277276e-05</v>
      </c>
      <c r="V20" s="26" t="n">
        <v>9.831747354962542e-05</v>
      </c>
      <c r="W20" s="26" t="n">
        <v>2.844354980821769e-05</v>
      </c>
      <c r="X20" s="26" t="n">
        <v>0.01070141004859683</v>
      </c>
      <c r="Y20" s="26" t="n">
        <v>0.01091095879523745</v>
      </c>
      <c r="Z20" s="28" t="n">
        <v>0</v>
      </c>
      <c r="AA20" s="28" t="n">
        <v>0.001375806023799049</v>
      </c>
      <c r="AB20" s="28" t="n">
        <v>2.426180353397981e-05</v>
      </c>
      <c r="AC20" s="28" t="n">
        <v>2.396826009396162e-05</v>
      </c>
      <c r="AD20" s="28" t="n">
        <v>1.292946607238141e-05</v>
      </c>
      <c r="AE20" s="28" t="n">
        <v>0.001069449451856115</v>
      </c>
      <c r="AF20" s="28" t="n">
        <v>0.002506415005355487</v>
      </c>
      <c r="AG20" s="30" t="n">
        <v>0</v>
      </c>
      <c r="AH20" s="30" t="n">
        <v>7.228237882960114e-06</v>
      </c>
      <c r="AI20" s="30" t="n">
        <v>5.543568400265283e-05</v>
      </c>
      <c r="AJ20" s="30" t="n">
        <v>8.555417467729655e-05</v>
      </c>
      <c r="AK20" s="30" t="n">
        <v>1.206674045873468e-05</v>
      </c>
      <c r="AL20" s="30" t="n">
        <v>0.003015022702189352</v>
      </c>
      <c r="AM20" s="30" t="n">
        <v>0.003175307539210996</v>
      </c>
      <c r="AN20" s="32" t="n">
        <v>0</v>
      </c>
      <c r="AO20" s="32" t="n">
        <v>5.184272594518707e-06</v>
      </c>
      <c r="AP20" s="32" t="n">
        <v>6.989896562492967e-08</v>
      </c>
      <c r="AQ20" s="32" t="n">
        <v>6.549064862657901e-08</v>
      </c>
      <c r="AR20" s="32" t="n">
        <v>4.764568934858519e-08</v>
      </c>
      <c r="AS20" s="32" t="n">
        <v>2.200142479382814e-06</v>
      </c>
      <c r="AT20" s="32" t="n">
        <v>7.567450377501614e-06</v>
      </c>
      <c r="AU20" s="34" t="n">
        <v>0</v>
      </c>
      <c r="AV20" s="34" t="n">
        <v>0</v>
      </c>
      <c r="AW20" s="34" t="n">
        <v>0.03657771205062681</v>
      </c>
      <c r="AX20" s="34" t="n">
        <v>0.0201770987761535</v>
      </c>
      <c r="AY20" s="34" t="n">
        <v>0.01474643058638444</v>
      </c>
      <c r="AZ20" s="34" t="n">
        <v>0.1699793636174383</v>
      </c>
      <c r="BA20" s="34" t="n">
        <v>0.241480605030603</v>
      </c>
      <c r="BB20" s="6" t="n"/>
      <c r="BC20" s="6" t="n"/>
      <c r="BD20" t="inlineStr">
        <is>
          <t>transport, Bicycle, electric (&lt;25 km/h), 2030/CH U</t>
        </is>
      </c>
      <c r="BF20" s="5" t="n">
        <v>0.010744254</v>
      </c>
      <c r="BG20" s="5">
        <f>BF20-R20</f>
        <v>-4.740788572264799E-3</v>
      </c>
      <c r="BH20" s="2" t="n">
        <v>28.577305</v>
      </c>
    </row>
    <row r="21">
      <c r="A21" t="str">
        <f>B21&amp;" - "&amp;D21&amp;" - "&amp;IF(I21&lt;&gt;"",I21&amp;" - "&amp;E21,E21)</f>
        <v>Bicycle, electric (&lt;25 km/h) - 2040 - NMC - CH</v>
      </c>
      <c r="B21" t="inlineStr">
        <is>
          <t>Bicycle, electric (&lt;25 km/h)</t>
        </is>
      </c>
      <c r="D21" s="18" t="n">
        <v>2040</v>
      </c>
      <c r="E21" t="inlineStr">
        <is>
          <t>CH</t>
        </is>
      </c>
      <c r="F21" t="inlineStr">
        <is>
          <t>None</t>
        </is>
      </c>
      <c r="G21" t="inlineStr">
        <is>
          <t>vkm</t>
        </is>
      </c>
      <c r="H21" t="inlineStr">
        <is>
          <t>BEV</t>
        </is>
      </c>
      <c r="I21" t="inlineStr">
        <is>
          <t>NMC</t>
        </is>
      </c>
      <c r="J21" t="inlineStr">
        <is>
          <t>None</t>
        </is>
      </c>
      <c r="L21" s="24" t="n">
        <v>0</v>
      </c>
      <c r="M21" s="24" t="n">
        <v>0</v>
      </c>
      <c r="N21" s="24" t="n">
        <v>0.0007821715621378719</v>
      </c>
      <c r="O21" s="24" t="n">
        <v>0.001195732624675443</v>
      </c>
      <c r="P21" s="24" t="n">
        <v>0.0004472460140397849</v>
      </c>
      <c r="Q21" s="24" t="n">
        <v>0.01268069013817938</v>
      </c>
      <c r="R21" s="24" t="n">
        <v>0.01510584033903248</v>
      </c>
      <c r="S21" s="26" t="n">
        <v>0</v>
      </c>
      <c r="T21" s="26" t="n">
        <v>0</v>
      </c>
      <c r="U21" s="26" t="n">
        <v>8.278772328277276e-05</v>
      </c>
      <c r="V21" s="26" t="n">
        <v>9.831747354962542e-05</v>
      </c>
      <c r="W21" s="26" t="n">
        <v>2.826042036665598e-05</v>
      </c>
      <c r="X21" s="26" t="n">
        <v>0.009050722698467807</v>
      </c>
      <c r="Y21" s="26" t="n">
        <v>0.00926008831566686</v>
      </c>
      <c r="Z21" s="28" t="n">
        <v>0</v>
      </c>
      <c r="AA21" s="28" t="n">
        <v>0.001375806023799049</v>
      </c>
      <c r="AB21" s="28" t="n">
        <v>2.426180353397981e-05</v>
      </c>
      <c r="AC21" s="28" t="n">
        <v>2.396826009396162e-05</v>
      </c>
      <c r="AD21" s="28" t="n">
        <v>1.284622168419881e-05</v>
      </c>
      <c r="AE21" s="28" t="n">
        <v>0.0009582487724786408</v>
      </c>
      <c r="AF21" s="28" t="n">
        <v>0.00239513108158983</v>
      </c>
      <c r="AG21" s="30" t="n">
        <v>0</v>
      </c>
      <c r="AH21" s="30" t="n">
        <v>7.228237882960114e-06</v>
      </c>
      <c r="AI21" s="30" t="n">
        <v>5.543568400265283e-05</v>
      </c>
      <c r="AJ21" s="30" t="n">
        <v>8.555417467729655e-05</v>
      </c>
      <c r="AK21" s="30" t="n">
        <v>1.198905059735741e-05</v>
      </c>
      <c r="AL21" s="30" t="n">
        <v>0.002752316042919872</v>
      </c>
      <c r="AM21" s="30" t="n">
        <v>0.002912523190080139</v>
      </c>
      <c r="AN21" s="32" t="n">
        <v>0</v>
      </c>
      <c r="AO21" s="32" t="n">
        <v>5.184272594518707e-06</v>
      </c>
      <c r="AP21" s="32" t="n">
        <v>6.989896562492967e-08</v>
      </c>
      <c r="AQ21" s="32" t="n">
        <v>6.549064862657901e-08</v>
      </c>
      <c r="AR21" s="32" t="n">
        <v>4.733892987088076e-08</v>
      </c>
      <c r="AS21" s="32" t="n">
        <v>1.90627272722073e-06</v>
      </c>
      <c r="AT21" s="32" t="n">
        <v>7.273273865861825e-06</v>
      </c>
      <c r="AU21" s="34" t="n">
        <v>0</v>
      </c>
      <c r="AV21" s="34" t="n">
        <v>0</v>
      </c>
      <c r="AW21" s="34" t="n">
        <v>0.03657771205062681</v>
      </c>
      <c r="AX21" s="34" t="n">
        <v>0.0201770987761535</v>
      </c>
      <c r="AY21" s="34" t="n">
        <v>0.01465148795030274</v>
      </c>
      <c r="AZ21" s="34" t="n">
        <v>0.1616813479249928</v>
      </c>
      <c r="BA21" s="34" t="n">
        <v>0.2330876467020758</v>
      </c>
      <c r="BB21" s="6" t="n"/>
      <c r="BC21" s="6" t="n"/>
      <c r="BD21" t="inlineStr">
        <is>
          <t>transport, Bicycle, electric (&lt;25 km/h), 2040/CH U</t>
        </is>
      </c>
      <c r="BF21" s="5" t="n">
        <v>0.010403598</v>
      </c>
      <c r="BG21" s="5">
        <f>BF21-R21</f>
        <v>-4.7022423390324815E-3</v>
      </c>
      <c r="BH21" s="2" t="n">
        <v>25.464595</v>
      </c>
    </row>
    <row r="22">
      <c r="A22" t="str">
        <f>B22&amp;" - "&amp;D22&amp;" - "&amp;IF(I22&lt;&gt;"",I22&amp;" - "&amp;E22,E22)</f>
        <v>Bicycle, electric (&lt;25 km/h) - 2050 - NMC - CH</v>
      </c>
      <c r="B22" t="inlineStr">
        <is>
          <t>Bicycle, electric (&lt;25 km/h)</t>
        </is>
      </c>
      <c r="D22" s="18" t="n">
        <v>2050</v>
      </c>
      <c r="E22" t="inlineStr">
        <is>
          <t>CH</t>
        </is>
      </c>
      <c r="F22" t="inlineStr">
        <is>
          <t>None</t>
        </is>
      </c>
      <c r="G22" t="inlineStr">
        <is>
          <t>vkm</t>
        </is>
      </c>
      <c r="H22" t="inlineStr">
        <is>
          <t>BEV</t>
        </is>
      </c>
      <c r="I22" t="inlineStr">
        <is>
          <t>NMC</t>
        </is>
      </c>
      <c r="J22" t="inlineStr">
        <is>
          <t>None</t>
        </is>
      </c>
      <c r="L22" s="24" t="n">
        <v>0</v>
      </c>
      <c r="M22" s="24" t="n">
        <v>0</v>
      </c>
      <c r="N22" s="24" t="n">
        <v>0.0007821715621378719</v>
      </c>
      <c r="O22" s="24" t="n">
        <v>0.001195732624675443</v>
      </c>
      <c r="P22" s="24" t="n">
        <v>0.0004482930021642546</v>
      </c>
      <c r="Q22" s="24" t="n">
        <v>0.01306679777444421</v>
      </c>
      <c r="R22" s="24" t="n">
        <v>0.01549299496342178</v>
      </c>
      <c r="S22" s="26" t="n">
        <v>0</v>
      </c>
      <c r="T22" s="26" t="n">
        <v>0</v>
      </c>
      <c r="U22" s="26" t="n">
        <v>8.278772328277276e-05</v>
      </c>
      <c r="V22" s="26" t="n">
        <v>9.831747354962542e-05</v>
      </c>
      <c r="W22" s="26" t="n">
        <v>2.832657707591125e-05</v>
      </c>
      <c r="X22" s="26" t="n">
        <v>0.008877976928604947</v>
      </c>
      <c r="Y22" s="26" t="n">
        <v>0.009087408702513258</v>
      </c>
      <c r="Z22" s="28" t="n">
        <v>0</v>
      </c>
      <c r="AA22" s="28" t="n">
        <v>0.001375806023799049</v>
      </c>
      <c r="AB22" s="28" t="n">
        <v>2.426180353397981e-05</v>
      </c>
      <c r="AC22" s="28" t="n">
        <v>2.396826009396162e-05</v>
      </c>
      <c r="AD22" s="28" t="n">
        <v>1.287629426422289e-05</v>
      </c>
      <c r="AE22" s="28" t="n">
        <v>0.0009665204355167163</v>
      </c>
      <c r="AF22" s="28" t="n">
        <v>0.002403432817207929</v>
      </c>
      <c r="AG22" s="30" t="n">
        <v>0</v>
      </c>
      <c r="AH22" s="30" t="n">
        <v>7.228237882960114e-06</v>
      </c>
      <c r="AI22" s="30" t="n">
        <v>5.543568400265283e-05</v>
      </c>
      <c r="AJ22" s="30" t="n">
        <v>8.555417467729655e-05</v>
      </c>
      <c r="AK22" s="30" t="n">
        <v>1.201711656822145e-05</v>
      </c>
      <c r="AL22" s="30" t="n">
        <v>0.002791160844117215</v>
      </c>
      <c r="AM22" s="30" t="n">
        <v>0.002951396057248346</v>
      </c>
      <c r="AN22" s="32" t="n">
        <v>0</v>
      </c>
      <c r="AO22" s="32" t="n">
        <v>5.184272594518707e-06</v>
      </c>
      <c r="AP22" s="32" t="n">
        <v>6.989896562492967e-08</v>
      </c>
      <c r="AQ22" s="32" t="n">
        <v>6.549064862657901e-08</v>
      </c>
      <c r="AR22" s="32" t="n">
        <v>4.744974873978969e-08</v>
      </c>
      <c r="AS22" s="32" t="n">
        <v>1.883034516292265e-06</v>
      </c>
      <c r="AT22" s="32" t="n">
        <v>7.25014647380227e-06</v>
      </c>
      <c r="AU22" s="34" t="n">
        <v>0</v>
      </c>
      <c r="AV22" s="34" t="n">
        <v>0</v>
      </c>
      <c r="AW22" s="34" t="n">
        <v>0.03657771205062681</v>
      </c>
      <c r="AX22" s="34" t="n">
        <v>0.0201770987761535</v>
      </c>
      <c r="AY22" s="34" t="n">
        <v>0.01468578659893958</v>
      </c>
      <c r="AZ22" s="34" t="n">
        <v>0.1652363075739789</v>
      </c>
      <c r="BA22" s="34" t="n">
        <v>0.2366769049996988</v>
      </c>
      <c r="BB22" s="6" t="n"/>
      <c r="BC22" s="6" t="n"/>
      <c r="BD22" t="inlineStr">
        <is>
          <t>transport, Bicycle, electric (&lt;25 km/h), 2050/CH U</t>
        </is>
      </c>
      <c r="BF22" s="5" t="n">
        <v>0.010541487</v>
      </c>
      <c r="BG22" s="5">
        <f>BF22-R22</f>
        <v>-4.9515079634217789E-3</v>
      </c>
      <c r="BH22" s="2" t="n">
        <v>25.105226</v>
      </c>
    </row>
    <row r="23">
      <c r="A23" t="str">
        <f>B23&amp;" - "&amp;D23&amp;" - "&amp;IF(I23&lt;&gt;"",I23&amp;" - "&amp;E23,E23)</f>
        <v>Bicycle, electric (&lt;45 km/h) - 2020 - NMC - CH</v>
      </c>
      <c r="B23" t="inlineStr">
        <is>
          <t>Bicycle, electric (&lt;45 km/h)</t>
        </is>
      </c>
      <c r="D23" s="18" t="n">
        <v>2020</v>
      </c>
      <c r="E23" t="inlineStr">
        <is>
          <t>CH</t>
        </is>
      </c>
      <c r="F23" t="inlineStr">
        <is>
          <t>None</t>
        </is>
      </c>
      <c r="G23" t="inlineStr">
        <is>
          <t>vkm</t>
        </is>
      </c>
      <c r="H23" t="inlineStr">
        <is>
          <t>BEV</t>
        </is>
      </c>
      <c r="I23" t="inlineStr">
        <is>
          <t>NMC</t>
        </is>
      </c>
      <c r="J23" t="inlineStr">
        <is>
          <t>None</t>
        </is>
      </c>
      <c r="L23" s="24" t="n">
        <v>0</v>
      </c>
      <c r="M23" s="24" t="n">
        <v>0</v>
      </c>
      <c r="N23" s="24" t="n">
        <v>0.00143649967216162</v>
      </c>
      <c r="O23" s="24" t="n">
        <v>0.001195732624675443</v>
      </c>
      <c r="P23" s="24" t="n">
        <v>0.0004700066254413007</v>
      </c>
      <c r="Q23" s="24" t="n">
        <v>0.009833485363001215</v>
      </c>
      <c r="R23" s="24" t="n">
        <v>0.01293572428527958</v>
      </c>
      <c r="S23" s="26" t="n">
        <v>0</v>
      </c>
      <c r="T23" s="26" t="n">
        <v>0</v>
      </c>
      <c r="U23" s="26" t="n">
        <v>0.0001520440567152036</v>
      </c>
      <c r="V23" s="26" t="n">
        <v>9.831747354962542e-05</v>
      </c>
      <c r="W23" s="26" t="n">
        <v>2.969860969829242e-05</v>
      </c>
      <c r="X23" s="26" t="n">
        <v>0.008599161181964438</v>
      </c>
      <c r="Y23" s="26" t="n">
        <v>0.008879221321927559</v>
      </c>
      <c r="Z23" s="28" t="n">
        <v>0</v>
      </c>
      <c r="AA23" s="28" t="n">
        <v>0.001375806023799049</v>
      </c>
      <c r="AB23" s="28" t="n">
        <v>4.455809250767458e-05</v>
      </c>
      <c r="AC23" s="28" t="n">
        <v>2.396826009396162e-05</v>
      </c>
      <c r="AD23" s="28" t="n">
        <v>1.34999734238527e-05</v>
      </c>
      <c r="AE23" s="28" t="n">
        <v>0.0008379577788119637</v>
      </c>
      <c r="AF23" s="28" t="n">
        <v>0.002295790128636501</v>
      </c>
      <c r="AG23" s="30" t="n">
        <v>0</v>
      </c>
      <c r="AH23" s="30" t="n">
        <v>7.228237882960114e-06</v>
      </c>
      <c r="AI23" s="30" t="n">
        <v>0.0001018105819114773</v>
      </c>
      <c r="AJ23" s="30" t="n">
        <v>8.555417467729655e-05</v>
      </c>
      <c r="AK23" s="30" t="n">
        <v>1.259918039874964e-05</v>
      </c>
      <c r="AL23" s="30" t="n">
        <v>0.002343476825969153</v>
      </c>
      <c r="AM23" s="30" t="n">
        <v>0.002550669000839637</v>
      </c>
      <c r="AN23" s="32" t="n">
        <v>0</v>
      </c>
      <c r="AO23" s="32" t="n">
        <v>5.184272594518707e-06</v>
      </c>
      <c r="AP23" s="32" t="n">
        <v>1.283731678127014e-07</v>
      </c>
      <c r="AQ23" s="32" t="n">
        <v>6.549064862657901e-08</v>
      </c>
      <c r="AR23" s="32" t="n">
        <v>4.974803571672711e-08</v>
      </c>
      <c r="AS23" s="32" t="n">
        <v>1.770597549801543e-06</v>
      </c>
      <c r="AT23" s="32" t="n">
        <v>7.198481996476257e-06</v>
      </c>
      <c r="AU23" s="34" t="n">
        <v>0</v>
      </c>
      <c r="AV23" s="34" t="n">
        <v>0</v>
      </c>
      <c r="AW23" s="34" t="n">
        <v>0.06717691349648652</v>
      </c>
      <c r="AX23" s="34" t="n">
        <v>0.0201770987761535</v>
      </c>
      <c r="AY23" s="34" t="n">
        <v>0.01539711074675581</v>
      </c>
      <c r="AZ23" s="34" t="n">
        <v>0.1296614040803506</v>
      </c>
      <c r="BA23" s="34" t="n">
        <v>0.2324125270997464</v>
      </c>
      <c r="BB23" s="6" t="n"/>
      <c r="BC23" s="6" t="n"/>
      <c r="BD23" t="inlineStr">
        <is>
          <t>transport, Bicycle, electric (&lt;45 km/h)/CH U</t>
        </is>
      </c>
      <c r="BF23" s="5" t="n">
        <v>0.0096879967</v>
      </c>
      <c r="BG23" s="5">
        <f>BF23-R23</f>
        <v>-3.2477275852795789E-3</v>
      </c>
      <c r="BH23" s="2" t="n">
        <v>25.702192</v>
      </c>
    </row>
    <row r="24">
      <c r="A24" t="str">
        <f>B24&amp;" - "&amp;D24&amp;" - "&amp;IF(I24&lt;&gt;"",I24&amp;" - "&amp;E24,E24)</f>
        <v>Bicycle, electric (&lt;45 km/h) - 2030 - NMC - CH</v>
      </c>
      <c r="B24" t="inlineStr">
        <is>
          <t>Bicycle, electric (&lt;45 km/h)</t>
        </is>
      </c>
      <c r="D24" s="18" t="n">
        <v>2030</v>
      </c>
      <c r="E24" t="inlineStr">
        <is>
          <t>CH</t>
        </is>
      </c>
      <c r="F24" t="inlineStr">
        <is>
          <t>None</t>
        </is>
      </c>
      <c r="G24" t="inlineStr">
        <is>
          <t>vkm</t>
        </is>
      </c>
      <c r="H24" t="inlineStr">
        <is>
          <t>BEV</t>
        </is>
      </c>
      <c r="I24" t="inlineStr">
        <is>
          <t>NMC</t>
        </is>
      </c>
      <c r="J24" t="inlineStr">
        <is>
          <t>None</t>
        </is>
      </c>
      <c r="L24" s="24" t="n">
        <v>0</v>
      </c>
      <c r="M24" s="24" t="n">
        <v>0</v>
      </c>
      <c r="N24" s="24" t="n">
        <v>0.00143649967216162</v>
      </c>
      <c r="O24" s="24" t="n">
        <v>0.001195732624675443</v>
      </c>
      <c r="P24" s="24" t="n">
        <v>0.0004679429966742299</v>
      </c>
      <c r="Q24" s="24" t="n">
        <v>0.009777544394400692</v>
      </c>
      <c r="R24" s="24" t="n">
        <v>0.01287771968791198</v>
      </c>
      <c r="S24" s="26" t="n">
        <v>0</v>
      </c>
      <c r="T24" s="26" t="n">
        <v>0</v>
      </c>
      <c r="U24" s="26" t="n">
        <v>0.0001520440567152036</v>
      </c>
      <c r="V24" s="26" t="n">
        <v>9.831747354962542e-05</v>
      </c>
      <c r="W24" s="26" t="n">
        <v>2.956821386555738e-05</v>
      </c>
      <c r="X24" s="26" t="n">
        <v>0.007384648857631467</v>
      </c>
      <c r="Y24" s="26" t="n">
        <v>0.007664578601761854</v>
      </c>
      <c r="Z24" s="28" t="n">
        <v>0</v>
      </c>
      <c r="AA24" s="28" t="n">
        <v>0.001375806023799049</v>
      </c>
      <c r="AB24" s="28" t="n">
        <v>4.455809250767458e-05</v>
      </c>
      <c r="AC24" s="28" t="n">
        <v>2.396826009396162e-05</v>
      </c>
      <c r="AD24" s="28" t="n">
        <v>1.344069993279074e-05</v>
      </c>
      <c r="AE24" s="28" t="n">
        <v>0.0007665730032181484</v>
      </c>
      <c r="AF24" s="28" t="n">
        <v>0.002224346079551624</v>
      </c>
      <c r="AG24" s="30" t="n">
        <v>0</v>
      </c>
      <c r="AH24" s="30" t="n">
        <v>7.228237882960114e-06</v>
      </c>
      <c r="AI24" s="30" t="n">
        <v>0.0001018105819114773</v>
      </c>
      <c r="AJ24" s="30" t="n">
        <v>8.555417467729655e-05</v>
      </c>
      <c r="AK24" s="30" t="n">
        <v>1.254386196342341e-05</v>
      </c>
      <c r="AL24" s="30" t="n">
        <v>0.002187611102791356</v>
      </c>
      <c r="AM24" s="30" t="n">
        <v>0.002394747959226513</v>
      </c>
      <c r="AN24" s="32" t="n">
        <v>0</v>
      </c>
      <c r="AO24" s="32" t="n">
        <v>5.184272594518707e-06</v>
      </c>
      <c r="AP24" s="32" t="n">
        <v>1.283731678127014e-07</v>
      </c>
      <c r="AQ24" s="32" t="n">
        <v>6.549064862657901e-08</v>
      </c>
      <c r="AR24" s="32" t="n">
        <v>4.952961012003704e-08</v>
      </c>
      <c r="AS24" s="32" t="n">
        <v>1.557545808442301e-06</v>
      </c>
      <c r="AT24" s="32" t="n">
        <v>6.985211829520325e-06</v>
      </c>
      <c r="AU24" s="34" t="n">
        <v>0</v>
      </c>
      <c r="AV24" s="34" t="n">
        <v>0</v>
      </c>
      <c r="AW24" s="34" t="n">
        <v>0.06717691349648652</v>
      </c>
      <c r="AX24" s="34" t="n">
        <v>0.0201770987761535</v>
      </c>
      <c r="AY24" s="34" t="n">
        <v>0.01532950761321073</v>
      </c>
      <c r="AZ24" s="34" t="n">
        <v>0.1258304432143318</v>
      </c>
      <c r="BA24" s="34" t="n">
        <v>0.2285139631001826</v>
      </c>
      <c r="BB24" s="6" t="n"/>
      <c r="BC24" s="6" t="n"/>
      <c r="BD24" t="inlineStr">
        <is>
          <t>transport, Bicycle, electric (&lt;45 km/h), 2030/CH U</t>
        </is>
      </c>
      <c r="BF24" s="5" t="n">
        <v>0.0095288435</v>
      </c>
      <c r="BG24" s="5">
        <f>BF24-R24</f>
        <v>-3.3488761879119835E-3</v>
      </c>
      <c r="BH24" s="2" t="n">
        <v>23.39725</v>
      </c>
    </row>
    <row r="25">
      <c r="A25" t="str">
        <f>B25&amp;" - "&amp;D25&amp;" - "&amp;IF(I25&lt;&gt;"",I25&amp;" - "&amp;E25,E25)</f>
        <v>Bicycle, electric (&lt;45 km/h) - 2040 - NMC - CH</v>
      </c>
      <c r="B25" t="inlineStr">
        <is>
          <t>Bicycle, electric (&lt;45 km/h)</t>
        </is>
      </c>
      <c r="D25" s="18" t="n">
        <v>2040</v>
      </c>
      <c r="E25" t="inlineStr">
        <is>
          <t>CH</t>
        </is>
      </c>
      <c r="F25" t="inlineStr">
        <is>
          <t>None</t>
        </is>
      </c>
      <c r="G25" t="inlineStr">
        <is>
          <t>vkm</t>
        </is>
      </c>
      <c r="H25" t="inlineStr">
        <is>
          <t>BEV</t>
        </is>
      </c>
      <c r="I25" t="inlineStr">
        <is>
          <t>NMC</t>
        </is>
      </c>
      <c r="J25" t="inlineStr">
        <is>
          <t>None</t>
        </is>
      </c>
      <c r="L25" s="24" t="n">
        <v>0</v>
      </c>
      <c r="M25" s="24" t="n">
        <v>0</v>
      </c>
      <c r="N25" s="24" t="n">
        <v>0.00143649967216162</v>
      </c>
      <c r="O25" s="24" t="n">
        <v>0.001195732624675443</v>
      </c>
      <c r="P25" s="24" t="n">
        <v>0.0004643164725909217</v>
      </c>
      <c r="Q25" s="24" t="n">
        <v>0.009576160950133533</v>
      </c>
      <c r="R25" s="24" t="n">
        <v>0.01267270971956152</v>
      </c>
      <c r="S25" s="26" t="n">
        <v>0</v>
      </c>
      <c r="T25" s="26" t="n">
        <v>0</v>
      </c>
      <c r="U25" s="26" t="n">
        <v>0.0001520440567152036</v>
      </c>
      <c r="V25" s="26" t="n">
        <v>9.831747354962542e-05</v>
      </c>
      <c r="W25" s="26" t="n">
        <v>2.933906236538331e-05</v>
      </c>
      <c r="X25" s="26" t="n">
        <v>0.006281037762980531</v>
      </c>
      <c r="Y25" s="26" t="n">
        <v>0.006560738355610743</v>
      </c>
      <c r="Z25" s="28" t="n">
        <v>0</v>
      </c>
      <c r="AA25" s="28" t="n">
        <v>0.001375806023799049</v>
      </c>
      <c r="AB25" s="28" t="n">
        <v>4.455809250767458e-05</v>
      </c>
      <c r="AC25" s="28" t="n">
        <v>2.396826009396162e-05</v>
      </c>
      <c r="AD25" s="28" t="n">
        <v>1.333653548893923e-05</v>
      </c>
      <c r="AE25" s="28" t="n">
        <v>0.0006944375417963364</v>
      </c>
      <c r="AF25" s="28" t="n">
        <v>0.002152106453685961</v>
      </c>
      <c r="AG25" s="30" t="n">
        <v>0</v>
      </c>
      <c r="AH25" s="30" t="n">
        <v>7.228237882960114e-06</v>
      </c>
      <c r="AI25" s="30" t="n">
        <v>0.0001018105819114773</v>
      </c>
      <c r="AJ25" s="30" t="n">
        <v>8.555417467729655e-05</v>
      </c>
      <c r="AK25" s="30" t="n">
        <v>1.244664794840158e-05</v>
      </c>
      <c r="AL25" s="30" t="n">
        <v>0.002016975262949929</v>
      </c>
      <c r="AM25" s="30" t="n">
        <v>0.002224014905370064</v>
      </c>
      <c r="AN25" s="32" t="n">
        <v>0</v>
      </c>
      <c r="AO25" s="32" t="n">
        <v>5.184272594518707e-06</v>
      </c>
      <c r="AP25" s="32" t="n">
        <v>1.283731678127014e-07</v>
      </c>
      <c r="AQ25" s="32" t="n">
        <v>6.549064862657901e-08</v>
      </c>
      <c r="AR25" s="32" t="n">
        <v>4.914575925526552e-08</v>
      </c>
      <c r="AS25" s="32" t="n">
        <v>1.362294714948311e-06</v>
      </c>
      <c r="AT25" s="32" t="n">
        <v>6.789576885161563e-06</v>
      </c>
      <c r="AU25" s="34" t="n">
        <v>0</v>
      </c>
      <c r="AV25" s="34" t="n">
        <v>0</v>
      </c>
      <c r="AW25" s="34" t="n">
        <v>0.06717691349648652</v>
      </c>
      <c r="AX25" s="34" t="n">
        <v>0.0201770987761535</v>
      </c>
      <c r="AY25" s="34" t="n">
        <v>0.01521070504764254</v>
      </c>
      <c r="AZ25" s="34" t="n">
        <v>0.1208197410054825</v>
      </c>
      <c r="BA25" s="34" t="n">
        <v>0.223384458325765</v>
      </c>
      <c r="BB25" s="6" t="n"/>
      <c r="BC25" s="6" t="n"/>
      <c r="BD25" t="inlineStr">
        <is>
          <t>transport, Bicycle, electric (&lt;45 km/h), 2040/CH U</t>
        </is>
      </c>
      <c r="BF25" s="5" t="n">
        <v>0.0093150726</v>
      </c>
      <c r="BG25" s="5">
        <f>BF25-R25</f>
        <v>-3.3576371195615171E-3</v>
      </c>
      <c r="BH25" s="2" t="n">
        <v>21.298591</v>
      </c>
    </row>
    <row r="26">
      <c r="A26" t="str">
        <f>B26&amp;" - "&amp;D26&amp;" - "&amp;IF(I26&lt;&gt;"",I26&amp;" - "&amp;E26,E26)</f>
        <v>Bicycle, electric (&lt;45 km/h) - 2050 - NMC - CH</v>
      </c>
      <c r="B26" t="inlineStr">
        <is>
          <t>Bicycle, electric (&lt;45 km/h)</t>
        </is>
      </c>
      <c r="D26" s="18" t="n">
        <v>2050</v>
      </c>
      <c r="E26" t="inlineStr">
        <is>
          <t>CH</t>
        </is>
      </c>
      <c r="F26" t="inlineStr">
        <is>
          <t>None</t>
        </is>
      </c>
      <c r="G26" t="inlineStr">
        <is>
          <t>vkm</t>
        </is>
      </c>
      <c r="H26" t="inlineStr">
        <is>
          <t>BEV</t>
        </is>
      </c>
      <c r="I26" t="inlineStr">
        <is>
          <t>NMC</t>
        </is>
      </c>
      <c r="J26" t="inlineStr">
        <is>
          <t>None</t>
        </is>
      </c>
      <c r="L26" s="24" t="n">
        <v>0</v>
      </c>
      <c r="M26" s="24" t="n">
        <v>0</v>
      </c>
      <c r="N26" s="24" t="n">
        <v>0.00143649967216162</v>
      </c>
      <c r="O26" s="24" t="n">
        <v>0.001195732624675443</v>
      </c>
      <c r="P26" s="24" t="n">
        <v>0.0004650903333785732</v>
      </c>
      <c r="Q26" s="24" t="n">
        <v>0.009899386647414797</v>
      </c>
      <c r="R26" s="24" t="n">
        <v>0.01299670927763043</v>
      </c>
      <c r="S26" s="26" t="n">
        <v>0</v>
      </c>
      <c r="T26" s="26" t="n">
        <v>0</v>
      </c>
      <c r="U26" s="26" t="n">
        <v>0.0001520440567152036</v>
      </c>
      <c r="V26" s="26" t="n">
        <v>9.831747354962542e-05</v>
      </c>
      <c r="W26" s="26" t="n">
        <v>2.938796080265894e-05</v>
      </c>
      <c r="X26" s="26" t="n">
        <v>0.00617788644576912</v>
      </c>
      <c r="Y26" s="26" t="n">
        <v>0.006457635936836608</v>
      </c>
      <c r="Z26" s="28" t="n">
        <v>0</v>
      </c>
      <c r="AA26" s="28" t="n">
        <v>0.001375806023799049</v>
      </c>
      <c r="AB26" s="28" t="n">
        <v>4.455809250767458e-05</v>
      </c>
      <c r="AC26" s="28" t="n">
        <v>2.396826009396162e-05</v>
      </c>
      <c r="AD26" s="28" t="n">
        <v>1.335876304808745e-05</v>
      </c>
      <c r="AE26" s="28" t="n">
        <v>0.0007037072965090728</v>
      </c>
      <c r="AF26" s="28" t="n">
        <v>0.002161398435957845</v>
      </c>
      <c r="AG26" s="30" t="n">
        <v>0</v>
      </c>
      <c r="AH26" s="30" t="n">
        <v>7.228237882960114e-06</v>
      </c>
      <c r="AI26" s="30" t="n">
        <v>0.0001018105819114773</v>
      </c>
      <c r="AJ26" s="30" t="n">
        <v>8.555417467729655e-05</v>
      </c>
      <c r="AK26" s="30" t="n">
        <v>1.246739236164892e-05</v>
      </c>
      <c r="AL26" s="30" t="n">
        <v>0.00205553027420888</v>
      </c>
      <c r="AM26" s="30" t="n">
        <v>0.002262590661042263</v>
      </c>
      <c r="AN26" s="32" t="n">
        <v>0</v>
      </c>
      <c r="AO26" s="32" t="n">
        <v>5.184272594518707e-06</v>
      </c>
      <c r="AP26" s="32" t="n">
        <v>1.283731678127014e-07</v>
      </c>
      <c r="AQ26" s="32" t="n">
        <v>6.549064862657901e-08</v>
      </c>
      <c r="AR26" s="32" t="n">
        <v>4.922766885402429e-08</v>
      </c>
      <c r="AS26" s="32" t="n">
        <v>1.349571522177053e-06</v>
      </c>
      <c r="AT26" s="32" t="n">
        <v>6.776935601989064e-06</v>
      </c>
      <c r="AU26" s="34" t="n">
        <v>0</v>
      </c>
      <c r="AV26" s="34" t="n">
        <v>0</v>
      </c>
      <c r="AW26" s="34" t="n">
        <v>0.06717691349648652</v>
      </c>
      <c r="AX26" s="34" t="n">
        <v>0.0201770987761535</v>
      </c>
      <c r="AY26" s="34" t="n">
        <v>0.01523605622272195</v>
      </c>
      <c r="AZ26" s="34" t="n">
        <v>0.1238947789319083</v>
      </c>
      <c r="BA26" s="34" t="n">
        <v>0.2264848474272703</v>
      </c>
      <c r="BB26" s="6" t="n"/>
      <c r="BC26" s="6" t="n"/>
      <c r="BD26" t="inlineStr">
        <is>
          <t>transport, Bicycle, electric (&lt;45 km/h), 2050/CH U</t>
        </is>
      </c>
      <c r="BF26" s="5" t="n">
        <v>0.009434225899999999</v>
      </c>
      <c r="BG26" s="5">
        <f>BF26-R26</f>
        <v>-3.5624833776304338E-3</v>
      </c>
      <c r="BH26" s="2" t="n">
        <v>21.073779</v>
      </c>
    </row>
    <row r="27">
      <c r="A27" t="str">
        <f>B27&amp;" - "&amp;D27&amp;" - "&amp;IF(I27&lt;&gt;"",I27&amp;" - "&amp;E27,E27)</f>
        <v>Bicycle, battery electric, cargo bike - 2020 - NMC - CH</v>
      </c>
      <c r="B27" t="inlineStr">
        <is>
          <t>Bicycle, battery electric, cargo bike</t>
        </is>
      </c>
      <c r="D27" s="18" t="n">
        <v>2020</v>
      </c>
      <c r="E27" t="inlineStr">
        <is>
          <t>CH</t>
        </is>
      </c>
      <c r="F27" t="inlineStr">
        <is>
          <t>None</t>
        </is>
      </c>
      <c r="G27" t="inlineStr">
        <is>
          <t>vkm</t>
        </is>
      </c>
      <c r="H27" t="inlineStr">
        <is>
          <t>BEV</t>
        </is>
      </c>
      <c r="I27" t="inlineStr">
        <is>
          <t>NMC</t>
        </is>
      </c>
      <c r="J27" t="inlineStr">
        <is>
          <t>None</t>
        </is>
      </c>
      <c r="L27" s="24" t="n">
        <v>0</v>
      </c>
      <c r="M27" s="24" t="n">
        <v>0</v>
      </c>
      <c r="N27" s="24" t="n">
        <v>0.001100411837038614</v>
      </c>
      <c r="O27" s="24" t="n">
        <v>0.001195732624675443</v>
      </c>
      <c r="P27" s="24" t="n">
        <v>0.0007749988182216119</v>
      </c>
      <c r="Q27" s="24" t="n">
        <v>0.02220785318367135</v>
      </c>
      <c r="R27" s="24" t="n">
        <v>0.02527899646360702</v>
      </c>
      <c r="S27" s="26" t="n">
        <v>0</v>
      </c>
      <c r="T27" s="26" t="n">
        <v>0</v>
      </c>
      <c r="U27" s="26" t="n">
        <v>0.0001164713664772465</v>
      </c>
      <c r="V27" s="26" t="n">
        <v>9.831747354962542e-05</v>
      </c>
      <c r="W27" s="26" t="n">
        <v>4.897034674222067e-05</v>
      </c>
      <c r="X27" s="26" t="n">
        <v>0.01343794184127419</v>
      </c>
      <c r="Y27" s="26" t="n">
        <v>0.01370170102804328</v>
      </c>
      <c r="Z27" s="28" t="n">
        <v>0</v>
      </c>
      <c r="AA27" s="28" t="n">
        <v>0.002751612047598098</v>
      </c>
      <c r="AB27" s="28" t="n">
        <v>3.413314557707055e-05</v>
      </c>
      <c r="AC27" s="28" t="n">
        <v>2.396826009396162e-05</v>
      </c>
      <c r="AD27" s="28" t="n">
        <v>2.226024673521474e-05</v>
      </c>
      <c r="AE27" s="28" t="n">
        <v>0.001519419196695067</v>
      </c>
      <c r="AF27" s="28" t="n">
        <v>0.004351392896699412</v>
      </c>
      <c r="AG27" s="30" t="n">
        <v>0</v>
      </c>
      <c r="AH27" s="30" t="n">
        <v>1.445647576592023e-05</v>
      </c>
      <c r="AI27" s="30" t="n">
        <v>7.799066831849175e-05</v>
      </c>
      <c r="AJ27" s="30" t="n">
        <v>8.555417467729655e-05</v>
      </c>
      <c r="AK27" s="30" t="n">
        <v>2.077491973740558e-05</v>
      </c>
      <c r="AL27" s="30" t="n">
        <v>0.00412477696596803</v>
      </c>
      <c r="AM27" s="30" t="n">
        <v>0.004323553204467144</v>
      </c>
      <c r="AN27" s="32" t="n">
        <v>0</v>
      </c>
      <c r="AO27" s="32" t="n">
        <v>1.036854518903741e-05</v>
      </c>
      <c r="AP27" s="32" t="n">
        <v>9.833859078204342e-08</v>
      </c>
      <c r="AQ27" s="32" t="n">
        <v>6.549064862657901e-08</v>
      </c>
      <c r="AR27" s="32" t="n">
        <v>8.20300540510682e-08</v>
      </c>
      <c r="AS27" s="32" t="n">
        <v>3.247132157769772e-06</v>
      </c>
      <c r="AT27" s="32" t="n">
        <v>1.386153664026687e-05</v>
      </c>
      <c r="AU27" s="34" t="n">
        <v>0</v>
      </c>
      <c r="AV27" s="34" t="n">
        <v>0</v>
      </c>
      <c r="AW27" s="34" t="n">
        <v>0.05145999836951989</v>
      </c>
      <c r="AX27" s="34" t="n">
        <v>0.0201770987761535</v>
      </c>
      <c r="AY27" s="34" t="n">
        <v>0.02538845621922689</v>
      </c>
      <c r="AZ27" s="34" t="n">
        <v>0.2830850608147603</v>
      </c>
      <c r="BA27" s="34" t="n">
        <v>0.3801106141796606</v>
      </c>
      <c r="BB27" s="6" t="n"/>
      <c r="BC27" s="6" t="n"/>
      <c r="BD27" t="inlineStr">
        <is>
          <t>transport, Bicycle, battery electric, cargo bike/CH U</t>
        </is>
      </c>
      <c r="BF27" s="5" t="n">
        <v>0.017454895</v>
      </c>
      <c r="BG27" s="5">
        <f>BF27-R27</f>
        <v>-7.8241014636070173E-3</v>
      </c>
      <c r="BH27" s="2" t="n">
        <v>42.150226</v>
      </c>
    </row>
    <row r="28">
      <c r="A28" t="str">
        <f>B28&amp;" - "&amp;D28&amp;" - "&amp;IF(I28&lt;&gt;"",I28&amp;" - "&amp;E28,E28)</f>
        <v>Bicycle, battery electric, cargo bike - 2030 - NMC - CH</v>
      </c>
      <c r="B28" t="inlineStr">
        <is>
          <t>Bicycle, battery electric, cargo bike</t>
        </is>
      </c>
      <c r="D28" s="18" t="n">
        <v>2030</v>
      </c>
      <c r="E28" t="inlineStr">
        <is>
          <t>CH</t>
        </is>
      </c>
      <c r="F28" t="inlineStr">
        <is>
          <t>None</t>
        </is>
      </c>
      <c r="G28" t="inlineStr">
        <is>
          <t>vkm</t>
        </is>
      </c>
      <c r="H28" t="inlineStr">
        <is>
          <t>BEV</t>
        </is>
      </c>
      <c r="I28" t="inlineStr">
        <is>
          <t>NMC</t>
        </is>
      </c>
      <c r="J28" t="inlineStr">
        <is>
          <t>None</t>
        </is>
      </c>
      <c r="L28" s="24" t="n">
        <v>0</v>
      </c>
      <c r="M28" s="24" t="n">
        <v>0</v>
      </c>
      <c r="N28" s="24" t="n">
        <v>0.001100411837038614</v>
      </c>
      <c r="O28" s="24" t="n">
        <v>0.001195732624675443</v>
      </c>
      <c r="P28" s="24" t="n">
        <v>0.0007683678934333036</v>
      </c>
      <c r="Q28" s="24" t="n">
        <v>0.02255563105074997</v>
      </c>
      <c r="R28" s="24" t="n">
        <v>0.02562014340589733</v>
      </c>
      <c r="S28" s="26" t="n">
        <v>0</v>
      </c>
      <c r="T28" s="26" t="n">
        <v>0</v>
      </c>
      <c r="U28" s="26" t="n">
        <v>0.0001164713664772465</v>
      </c>
      <c r="V28" s="26" t="n">
        <v>9.831747354962542e-05</v>
      </c>
      <c r="W28" s="26" t="n">
        <v>4.855135425027058e-05</v>
      </c>
      <c r="X28" s="26" t="n">
        <v>0.01080209838558691</v>
      </c>
      <c r="Y28" s="26" t="n">
        <v>0.01106543857986405</v>
      </c>
      <c r="Z28" s="28" t="n">
        <v>0</v>
      </c>
      <c r="AA28" s="28" t="n">
        <v>0.002751612047598098</v>
      </c>
      <c r="AB28" s="28" t="n">
        <v>3.413314557707055e-05</v>
      </c>
      <c r="AC28" s="28" t="n">
        <v>2.396826009396162e-05</v>
      </c>
      <c r="AD28" s="28" t="n">
        <v>2.20697870617289e-05</v>
      </c>
      <c r="AE28" s="28" t="n">
        <v>0.001386348195134585</v>
      </c>
      <c r="AF28" s="28" t="n">
        <v>0.004218131435465443</v>
      </c>
      <c r="AG28" s="30" t="n">
        <v>0</v>
      </c>
      <c r="AH28" s="30" t="n">
        <v>1.445647576592023e-05</v>
      </c>
      <c r="AI28" s="30" t="n">
        <v>7.799066831849175e-05</v>
      </c>
      <c r="AJ28" s="30" t="n">
        <v>8.555417467729655e-05</v>
      </c>
      <c r="AK28" s="30" t="n">
        <v>2.059716858859998e-05</v>
      </c>
      <c r="AL28" s="30" t="n">
        <v>0.003870340029132017</v>
      </c>
      <c r="AM28" s="30" t="n">
        <v>0.004068938516482326</v>
      </c>
      <c r="AN28" s="32" t="n">
        <v>0</v>
      </c>
      <c r="AO28" s="32" t="n">
        <v>1.036854518903741e-05</v>
      </c>
      <c r="AP28" s="32" t="n">
        <v>9.833859078204342e-08</v>
      </c>
      <c r="AQ28" s="32" t="n">
        <v>6.549064862657901e-08</v>
      </c>
      <c r="AR28" s="32" t="n">
        <v>8.132820121464495e-08</v>
      </c>
      <c r="AS28" s="32" t="n">
        <v>2.787113931107627e-06</v>
      </c>
      <c r="AT28" s="32" t="n">
        <v>1.340081656076831e-05</v>
      </c>
      <c r="AU28" s="34" t="n">
        <v>0</v>
      </c>
      <c r="AV28" s="34" t="n">
        <v>0</v>
      </c>
      <c r="AW28" s="34" t="n">
        <v>0.05145999836951989</v>
      </c>
      <c r="AX28" s="34" t="n">
        <v>0.0201770987761535</v>
      </c>
      <c r="AY28" s="34" t="n">
        <v>0.02517123144452689</v>
      </c>
      <c r="AZ28" s="34" t="n">
        <v>0.2795139071662024</v>
      </c>
      <c r="BA28" s="34" t="n">
        <v>0.3763222357564027</v>
      </c>
      <c r="BB28" s="6" t="n"/>
      <c r="BC28" s="6" t="n"/>
      <c r="BD28" t="inlineStr">
        <is>
          <t>transport, Bicycle, battery electric, cargo bike, 2030/CH U</t>
        </is>
      </c>
      <c r="BF28" s="5" t="n">
        <v>0.017284722</v>
      </c>
      <c r="BG28" s="5">
        <f>BF28-R28</f>
        <v>-8.3354214058973287E-3</v>
      </c>
      <c r="BH28" s="2" t="n">
        <v>37.065053</v>
      </c>
    </row>
    <row r="29">
      <c r="A29" t="str">
        <f>B29&amp;" - "&amp;D29&amp;" - "&amp;IF(I29&lt;&gt;"",I29&amp;" - "&amp;E29,E29)</f>
        <v>Bicycle, battery electric, cargo bike - 2040 - NMC - CH</v>
      </c>
      <c r="B29" t="inlineStr">
        <is>
          <t>Bicycle, battery electric, cargo bike</t>
        </is>
      </c>
      <c r="D29" s="18" t="n">
        <v>2040</v>
      </c>
      <c r="E29" t="inlineStr">
        <is>
          <t>CH</t>
        </is>
      </c>
      <c r="F29" t="inlineStr">
        <is>
          <t>None</t>
        </is>
      </c>
      <c r="G29" t="inlineStr">
        <is>
          <t>vkm</t>
        </is>
      </c>
      <c r="H29" t="inlineStr">
        <is>
          <t>BEV</t>
        </is>
      </c>
      <c r="I29" t="inlineStr">
        <is>
          <t>NMC</t>
        </is>
      </c>
      <c r="J29" t="inlineStr">
        <is>
          <t>None</t>
        </is>
      </c>
      <c r="L29" s="24" t="n">
        <v>0</v>
      </c>
      <c r="M29" s="24" t="n">
        <v>0</v>
      </c>
      <c r="N29" s="24" t="n">
        <v>0.001100411837038614</v>
      </c>
      <c r="O29" s="24" t="n">
        <v>0.001195732624675443</v>
      </c>
      <c r="P29" s="24" t="n">
        <v>0.0007624804819507784</v>
      </c>
      <c r="Q29" s="24" t="n">
        <v>0.02277527433494334</v>
      </c>
      <c r="R29" s="24" t="n">
        <v>0.02583389927860817</v>
      </c>
      <c r="S29" s="26" t="n">
        <v>0</v>
      </c>
      <c r="T29" s="26" t="n">
        <v>0</v>
      </c>
      <c r="U29" s="26" t="n">
        <v>0.0001164713664772465</v>
      </c>
      <c r="V29" s="26" t="n">
        <v>9.831747354962542e-05</v>
      </c>
      <c r="W29" s="26" t="n">
        <v>4.817934260982063e-05</v>
      </c>
      <c r="X29" s="26" t="n">
        <v>0.00903720464853964</v>
      </c>
      <c r="Y29" s="26" t="n">
        <v>0.009300172831176333</v>
      </c>
      <c r="Z29" s="28" t="n">
        <v>0</v>
      </c>
      <c r="AA29" s="28" t="n">
        <v>0.002751612047598098</v>
      </c>
      <c r="AB29" s="28" t="n">
        <v>3.413314557707055e-05</v>
      </c>
      <c r="AC29" s="28" t="n">
        <v>2.396826009396162e-05</v>
      </c>
      <c r="AD29" s="28" t="n">
        <v>2.19006832784051e-05</v>
      </c>
      <c r="AE29" s="28" t="n">
        <v>0.0012964732590299</v>
      </c>
      <c r="AF29" s="28" t="n">
        <v>0.004128087395577435</v>
      </c>
      <c r="AG29" s="30" t="n">
        <v>0</v>
      </c>
      <c r="AH29" s="30" t="n">
        <v>1.445647576592023e-05</v>
      </c>
      <c r="AI29" s="30" t="n">
        <v>7.799066831849175e-05</v>
      </c>
      <c r="AJ29" s="30" t="n">
        <v>8.555417467729655e-05</v>
      </c>
      <c r="AK29" s="30" t="n">
        <v>2.043934834663986e-05</v>
      </c>
      <c r="AL29" s="30" t="n">
        <v>0.003696611527351222</v>
      </c>
      <c r="AM29" s="30" t="n">
        <v>0.00389505219445957</v>
      </c>
      <c r="AN29" s="32" t="n">
        <v>0</v>
      </c>
      <c r="AO29" s="32" t="n">
        <v>1.036854518903741e-05</v>
      </c>
      <c r="AP29" s="32" t="n">
        <v>9.833859078204342e-08</v>
      </c>
      <c r="AQ29" s="32" t="n">
        <v>6.549064862657901e-08</v>
      </c>
      <c r="AR29" s="32" t="n">
        <v>8.070504583585271e-08</v>
      </c>
      <c r="AS29" s="32" t="n">
        <v>2.478335941026461e-06</v>
      </c>
      <c r="AT29" s="32" t="n">
        <v>1.309141541530835e-05</v>
      </c>
      <c r="AU29" s="34" t="n">
        <v>0</v>
      </c>
      <c r="AV29" s="34" t="n">
        <v>0</v>
      </c>
      <c r="AW29" s="34" t="n">
        <v>0.05145999836951989</v>
      </c>
      <c r="AX29" s="34" t="n">
        <v>0.0201770987761535</v>
      </c>
      <c r="AY29" s="34" t="n">
        <v>0.0249783636811777</v>
      </c>
      <c r="AZ29" s="34" t="n">
        <v>0.2769810509291267</v>
      </c>
      <c r="BA29" s="34" t="n">
        <v>0.3735965117559779</v>
      </c>
      <c r="BB29" s="6" t="n"/>
      <c r="BC29" s="6" t="n"/>
      <c r="BD29" t="inlineStr">
        <is>
          <t>transport, Bicycle, battery electric, cargo bike, 2040/CH U</t>
        </is>
      </c>
      <c r="BF29" s="5" t="n">
        <v>0.017157363</v>
      </c>
      <c r="BG29" s="5">
        <f>BF29-R29</f>
        <v>-8.6765362786081698E-3</v>
      </c>
      <c r="BH29" s="2" t="n">
        <v>33.642776</v>
      </c>
    </row>
    <row r="30">
      <c r="A30" t="str">
        <f>B30&amp;" - "&amp;D30&amp;" - "&amp;IF(I30&lt;&gt;"",I30&amp;" - "&amp;E30,E30)</f>
        <v>Bicycle, battery electric, cargo bike - 2050 - NMC - CH</v>
      </c>
      <c r="B30" t="inlineStr">
        <is>
          <t>Bicycle, battery electric, cargo bike</t>
        </is>
      </c>
      <c r="D30" s="18" t="n">
        <v>2050</v>
      </c>
      <c r="E30" t="inlineStr">
        <is>
          <t>CH</t>
        </is>
      </c>
      <c r="F30" t="inlineStr">
        <is>
          <t>None</t>
        </is>
      </c>
      <c r="G30" t="inlineStr">
        <is>
          <t>vkm</t>
        </is>
      </c>
      <c r="H30" t="inlineStr">
        <is>
          <t>BEV</t>
        </is>
      </c>
      <c r="I30" t="inlineStr">
        <is>
          <t>NMC</t>
        </is>
      </c>
      <c r="J30" t="inlineStr">
        <is>
          <t>None</t>
        </is>
      </c>
      <c r="L30" s="24" t="n">
        <v>0</v>
      </c>
      <c r="M30" s="24" t="n">
        <v>0</v>
      </c>
      <c r="N30" s="24" t="n">
        <v>0.001100411837038614</v>
      </c>
      <c r="O30" s="24" t="n">
        <v>0.001195732624675443</v>
      </c>
      <c r="P30" s="24" t="n">
        <v>0.0007585656567897176</v>
      </c>
      <c r="Q30" s="24" t="n">
        <v>0.02350117157993232</v>
      </c>
      <c r="R30" s="24" t="n">
        <v>0.02655588169843609</v>
      </c>
      <c r="S30" s="26" t="n">
        <v>0</v>
      </c>
      <c r="T30" s="26" t="n">
        <v>0</v>
      </c>
      <c r="U30" s="26" t="n">
        <v>0.0001164713664772465</v>
      </c>
      <c r="V30" s="26" t="n">
        <v>9.831747354962542e-05</v>
      </c>
      <c r="W30" s="26" t="n">
        <v>4.793197404477916e-05</v>
      </c>
      <c r="X30" s="26" t="n">
        <v>0.00825756430829544</v>
      </c>
      <c r="Y30" s="26" t="n">
        <v>0.008520285122367091</v>
      </c>
      <c r="Z30" s="28" t="n">
        <v>0</v>
      </c>
      <c r="AA30" s="28" t="n">
        <v>0.002751612047598098</v>
      </c>
      <c r="AB30" s="28" t="n">
        <v>3.413314557707055e-05</v>
      </c>
      <c r="AC30" s="28" t="n">
        <v>2.396826009396162e-05</v>
      </c>
      <c r="AD30" s="28" t="n">
        <v>2.178823797918463e-05</v>
      </c>
      <c r="AE30" s="28" t="n">
        <v>0.001286105342509066</v>
      </c>
      <c r="AF30" s="28" t="n">
        <v>0.00411760703375738</v>
      </c>
      <c r="AG30" s="30" t="n">
        <v>0</v>
      </c>
      <c r="AH30" s="30" t="n">
        <v>1.445647576592023e-05</v>
      </c>
      <c r="AI30" s="30" t="n">
        <v>7.799066831849175e-05</v>
      </c>
      <c r="AJ30" s="30" t="n">
        <v>8.555417467729655e-05</v>
      </c>
      <c r="AK30" s="30" t="n">
        <v>2.033440602080039e-05</v>
      </c>
      <c r="AL30" s="30" t="n">
        <v>0.003723904575222567</v>
      </c>
      <c r="AM30" s="30" t="n">
        <v>0.003922240300005076</v>
      </c>
      <c r="AN30" s="32" t="n">
        <v>0</v>
      </c>
      <c r="AO30" s="32" t="n">
        <v>1.036854518903741e-05</v>
      </c>
      <c r="AP30" s="32" t="n">
        <v>9.833859078204342e-08</v>
      </c>
      <c r="AQ30" s="32" t="n">
        <v>6.549064862657901e-08</v>
      </c>
      <c r="AR30" s="32" t="n">
        <v>8.029067963036712e-08</v>
      </c>
      <c r="AS30" s="32" t="n">
        <v>2.349456114138458e-06</v>
      </c>
      <c r="AT30" s="32" t="n">
        <v>1.296212122221486e-05</v>
      </c>
      <c r="AU30" s="34" t="n">
        <v>0</v>
      </c>
      <c r="AV30" s="34" t="n">
        <v>0</v>
      </c>
      <c r="AW30" s="34" t="n">
        <v>0.05145999836951989</v>
      </c>
      <c r="AX30" s="34" t="n">
        <v>0.0201770987761535</v>
      </c>
      <c r="AY30" s="34" t="n">
        <v>0.02485011656018777</v>
      </c>
      <c r="AZ30" s="34" t="n">
        <v>0.2823200758079386</v>
      </c>
      <c r="BA30" s="34" t="n">
        <v>0.3788072895137998</v>
      </c>
      <c r="BB30" s="6" t="n"/>
      <c r="BC30" s="6" t="n"/>
      <c r="BD30" t="inlineStr">
        <is>
          <t>transport, Bicycle, battery electric, cargo bike, 2050/CH U</t>
        </is>
      </c>
      <c r="BF30" s="5" t="n">
        <v>0.017345091</v>
      </c>
      <c r="BG30" s="5">
        <f>BF30-R30</f>
        <v>-9.2107906984360936E-3</v>
      </c>
      <c r="BH30" s="2" t="n">
        <v>32.048532</v>
      </c>
    </row>
    <row r="31">
      <c r="A31" t="str">
        <f>B31&amp;" - "&amp;D31&amp;" - "&amp;IF(I31&lt;&gt;"",I31&amp;" - "&amp;E31,E31)</f>
        <v>Bicycle, electric (&lt;25 km/h) - 2020 - LFP - CH</v>
      </c>
      <c r="B31" t="inlineStr">
        <is>
          <t>Bicycle, electric (&lt;25 km/h)</t>
        </is>
      </c>
      <c r="D31" s="18" t="n">
        <v>2020</v>
      </c>
      <c r="E31" t="inlineStr">
        <is>
          <t>CH</t>
        </is>
      </c>
      <c r="F31" t="inlineStr">
        <is>
          <t>None</t>
        </is>
      </c>
      <c r="G31" t="inlineStr">
        <is>
          <t>vkm</t>
        </is>
      </c>
      <c r="H31" t="inlineStr">
        <is>
          <t>BEV</t>
        </is>
      </c>
      <c r="I31" t="inlineStr">
        <is>
          <t>LFP</t>
        </is>
      </c>
      <c r="J31" t="inlineStr">
        <is>
          <t>None</t>
        </is>
      </c>
      <c r="L31" s="24" t="n">
        <v>0</v>
      </c>
      <c r="M31" s="24" t="n">
        <v>0</v>
      </c>
      <c r="N31" s="24" t="n">
        <v>0.0007821715621378719</v>
      </c>
      <c r="O31" s="24" t="n">
        <v>0.001195732624675443</v>
      </c>
      <c r="P31" s="24" t="n">
        <v>0.0004665925337310733</v>
      </c>
      <c r="Q31" s="24" t="n">
        <v>0.01650564376120548</v>
      </c>
      <c r="R31" s="24" t="n">
        <v>0.01895014048174987</v>
      </c>
      <c r="S31" s="26" t="n">
        <v>0</v>
      </c>
      <c r="T31" s="26" t="n">
        <v>0</v>
      </c>
      <c r="U31" s="26" t="n">
        <v>8.278772328277276e-05</v>
      </c>
      <c r="V31" s="26" t="n">
        <v>9.831747354962542e-05</v>
      </c>
      <c r="W31" s="26" t="n">
        <v>2.948288129854695e-05</v>
      </c>
      <c r="X31" s="26" t="n">
        <v>0.008225866380793839</v>
      </c>
      <c r="Y31" s="26" t="n">
        <v>0.008436454458924785</v>
      </c>
      <c r="Z31" s="28" t="n">
        <v>0</v>
      </c>
      <c r="AA31" s="28" t="n">
        <v>0.001375806023799049</v>
      </c>
      <c r="AB31" s="28" t="n">
        <v>2.426180353397981e-05</v>
      </c>
      <c r="AC31" s="28" t="n">
        <v>2.396826009396162e-05</v>
      </c>
      <c r="AD31" s="28" t="n">
        <v>1.340191066290461e-05</v>
      </c>
      <c r="AE31" s="28" t="n">
        <v>0.001196824528555046</v>
      </c>
      <c r="AF31" s="28" t="n">
        <v>0.002634262526644941</v>
      </c>
      <c r="AG31" s="30" t="n">
        <v>0</v>
      </c>
      <c r="AH31" s="30" t="n">
        <v>7.228237882960114e-06</v>
      </c>
      <c r="AI31" s="30" t="n">
        <v>5.543568400265283e-05</v>
      </c>
      <c r="AJ31" s="30" t="n">
        <v>8.555417467729655e-05</v>
      </c>
      <c r="AK31" s="30" t="n">
        <v>1.250766092854081e-05</v>
      </c>
      <c r="AL31" s="30" t="n">
        <v>0.003829640026095695</v>
      </c>
      <c r="AM31" s="30" t="n">
        <v>0.003990365783587146</v>
      </c>
      <c r="AN31" s="32" t="n">
        <v>0</v>
      </c>
      <c r="AO31" s="32" t="n">
        <v>5.184272594518707e-06</v>
      </c>
      <c r="AP31" s="32" t="n">
        <v>6.989896562492967e-08</v>
      </c>
      <c r="AQ31" s="32" t="n">
        <v>6.549064862657901e-08</v>
      </c>
      <c r="AR31" s="32" t="n">
        <v>4.938666983985016e-08</v>
      </c>
      <c r="AS31" s="32" t="n">
        <v>2.074391227463549e-06</v>
      </c>
      <c r="AT31" s="32" t="n">
        <v>7.443440106073614e-06</v>
      </c>
      <c r="AU31" s="34" t="n">
        <v>0</v>
      </c>
      <c r="AV31" s="34" t="n">
        <v>0</v>
      </c>
      <c r="AW31" s="34" t="n">
        <v>0.03657771205062681</v>
      </c>
      <c r="AX31" s="34" t="n">
        <v>0.0201770987761535</v>
      </c>
      <c r="AY31" s="34" t="n">
        <v>0.01528526732728785</v>
      </c>
      <c r="AZ31" s="34" t="n">
        <v>0.2104769139272263</v>
      </c>
      <c r="BA31" s="34" t="n">
        <v>0.2825169920812945</v>
      </c>
      <c r="BB31" s="6" t="n"/>
      <c r="BC31" s="6" t="n"/>
      <c r="BD31" t="inlineStr">
        <is>
          <t>transport, Bicycle, electric (&lt;25 km/h), LFP battery/CH U</t>
        </is>
      </c>
      <c r="BF31" s="5" t="n">
        <v>0.014080789</v>
      </c>
      <c r="BG31" s="5">
        <f>BF31-R31</f>
        <v>-4.8693514817498684E-3</v>
      </c>
      <c r="BH31" s="2" t="n">
        <v>40.80584</v>
      </c>
    </row>
    <row r="32">
      <c r="A32" t="str">
        <f>B32&amp;" - "&amp;D32&amp;" - "&amp;IF(I32&lt;&gt;"",I32&amp;" - "&amp;E32,E32)</f>
        <v>Bicycle, electric (&lt;25 km/h) - 2030 - LFP - CH</v>
      </c>
      <c r="B32" t="inlineStr">
        <is>
          <t>Bicycle, electric (&lt;25 km/h)</t>
        </is>
      </c>
      <c r="D32" s="18" t="n">
        <v>2030</v>
      </c>
      <c r="E32" t="inlineStr">
        <is>
          <t>CH</t>
        </is>
      </c>
      <c r="F32" t="inlineStr">
        <is>
          <t>None</t>
        </is>
      </c>
      <c r="G32" t="inlineStr">
        <is>
          <t>vkm</t>
        </is>
      </c>
      <c r="H32" t="inlineStr">
        <is>
          <t>BEV</t>
        </is>
      </c>
      <c r="I32" t="inlineStr">
        <is>
          <t>LFP</t>
        </is>
      </c>
      <c r="J32" t="inlineStr">
        <is>
          <t>None</t>
        </is>
      </c>
      <c r="L32" s="24" t="n">
        <v>0</v>
      </c>
      <c r="M32" s="24" t="n">
        <v>0</v>
      </c>
      <c r="N32" s="24" t="n">
        <v>0.0007821715621378719</v>
      </c>
      <c r="O32" s="24" t="n">
        <v>0.001195732624675443</v>
      </c>
      <c r="P32" s="24" t="n">
        <v>0.0004738152344158209</v>
      </c>
      <c r="Q32" s="24" t="n">
        <v>0.01730129842392206</v>
      </c>
      <c r="R32" s="24" t="n">
        <v>0.0197530178451512</v>
      </c>
      <c r="S32" s="26" t="n">
        <v>0</v>
      </c>
      <c r="T32" s="26" t="n">
        <v>0</v>
      </c>
      <c r="U32" s="26" t="n">
        <v>8.278772328277276e-05</v>
      </c>
      <c r="V32" s="26" t="n">
        <v>9.831747354962542e-05</v>
      </c>
      <c r="W32" s="26" t="n">
        <v>2.993926671311958e-05</v>
      </c>
      <c r="X32" s="26" t="n">
        <v>0.00834788410547539</v>
      </c>
      <c r="Y32" s="26" t="n">
        <v>0.008558928569020909</v>
      </c>
      <c r="Z32" s="28" t="n">
        <v>0</v>
      </c>
      <c r="AA32" s="28" t="n">
        <v>0.001375806023799049</v>
      </c>
      <c r="AB32" s="28" t="n">
        <v>2.426180353397981e-05</v>
      </c>
      <c r="AC32" s="28" t="n">
        <v>2.396826009396162e-05</v>
      </c>
      <c r="AD32" s="28" t="n">
        <v>1.360936788162145e-05</v>
      </c>
      <c r="AE32" s="28" t="n">
        <v>0.001241371074846764</v>
      </c>
      <c r="AF32" s="28" t="n">
        <v>0.002679016530155376</v>
      </c>
      <c r="AG32" s="30" t="n">
        <v>0</v>
      </c>
      <c r="AH32" s="30" t="n">
        <v>7.228237882960114e-06</v>
      </c>
      <c r="AI32" s="30" t="n">
        <v>5.543568400265283e-05</v>
      </c>
      <c r="AJ32" s="30" t="n">
        <v>8.555417467729655e-05</v>
      </c>
      <c r="AK32" s="30" t="n">
        <v>1.270127545218261e-05</v>
      </c>
      <c r="AL32" s="30" t="n">
        <v>0.00396949887746949</v>
      </c>
      <c r="AM32" s="30" t="n">
        <v>0.004130418249484583</v>
      </c>
      <c r="AN32" s="32" t="n">
        <v>0</v>
      </c>
      <c r="AO32" s="32" t="n">
        <v>5.184272594518707e-06</v>
      </c>
      <c r="AP32" s="32" t="n">
        <v>6.989896562492967e-08</v>
      </c>
      <c r="AQ32" s="32" t="n">
        <v>6.549064862657901e-08</v>
      </c>
      <c r="AR32" s="32" t="n">
        <v>5.01511594282654e-08</v>
      </c>
      <c r="AS32" s="32" t="n">
        <v>2.112301266358676e-06</v>
      </c>
      <c r="AT32" s="32" t="n">
        <v>7.482114634557156e-06</v>
      </c>
      <c r="AU32" s="34" t="n">
        <v>0</v>
      </c>
      <c r="AV32" s="34" t="n">
        <v>0</v>
      </c>
      <c r="AW32" s="34" t="n">
        <v>0.03657771205062681</v>
      </c>
      <c r="AX32" s="34" t="n">
        <v>0.0201770987761535</v>
      </c>
      <c r="AY32" s="34" t="n">
        <v>0.01552187829469562</v>
      </c>
      <c r="AZ32" s="34" t="n">
        <v>0.2191136181263011</v>
      </c>
      <c r="BA32" s="34" t="n">
        <v>0.291390307247777</v>
      </c>
      <c r="BB32" s="6" t="n"/>
      <c r="BC32" s="6" t="n"/>
      <c r="BD32" t="inlineStr">
        <is>
          <t>transport, Bicycle, electric (&lt;25 km/h), LFP battery, 2030/CH U</t>
        </is>
      </c>
      <c r="BF32" s="5" t="n">
        <v>0.01444208</v>
      </c>
      <c r="BG32" s="5">
        <f>BF32-R32</f>
        <v>-5.3109378451511955E-3</v>
      </c>
      <c r="BH32" s="2" t="n">
        <v>41.031095</v>
      </c>
    </row>
    <row r="33">
      <c r="A33" t="str">
        <f>B33&amp;" - "&amp;D33&amp;" - "&amp;IF(I33&lt;&gt;"",I33&amp;" - "&amp;E33,E33)</f>
        <v>Bicycle, electric (&lt;25 km/h) - 2040 - LFP - CH</v>
      </c>
      <c r="B33" t="inlineStr">
        <is>
          <t>Bicycle, electric (&lt;25 km/h)</t>
        </is>
      </c>
      <c r="D33" s="18" t="n">
        <v>2040</v>
      </c>
      <c r="E33" t="inlineStr">
        <is>
          <t>CH</t>
        </is>
      </c>
      <c r="F33" t="inlineStr">
        <is>
          <t>None</t>
        </is>
      </c>
      <c r="G33" t="inlineStr">
        <is>
          <t>vkm</t>
        </is>
      </c>
      <c r="H33" t="inlineStr">
        <is>
          <t>BEV</t>
        </is>
      </c>
      <c r="I33" t="inlineStr">
        <is>
          <t>LFP</t>
        </is>
      </c>
      <c r="J33" t="inlineStr">
        <is>
          <t>None</t>
        </is>
      </c>
      <c r="L33" s="24" t="n">
        <v>0</v>
      </c>
      <c r="M33" s="24" t="n">
        <v>0</v>
      </c>
      <c r="N33" s="24" t="n">
        <v>0.0007821715621378719</v>
      </c>
      <c r="O33" s="24" t="n">
        <v>0.001195732624675443</v>
      </c>
      <c r="P33" s="24" t="n">
        <v>0.0004719033430580937</v>
      </c>
      <c r="Q33" s="24" t="n">
        <v>0.01644117831026091</v>
      </c>
      <c r="R33" s="24" t="n">
        <v>0.01889098584013232</v>
      </c>
      <c r="S33" s="26" t="n">
        <v>0</v>
      </c>
      <c r="T33" s="26" t="n">
        <v>0</v>
      </c>
      <c r="U33" s="26" t="n">
        <v>8.278772328277276e-05</v>
      </c>
      <c r="V33" s="26" t="n">
        <v>9.831747354962542e-05</v>
      </c>
      <c r="W33" s="26" t="n">
        <v>2.981845880926212e-05</v>
      </c>
      <c r="X33" s="26" t="n">
        <v>0.007500229631054955</v>
      </c>
      <c r="Y33" s="26" t="n">
        <v>0.007711153286696614</v>
      </c>
      <c r="Z33" s="28" t="n">
        <v>0</v>
      </c>
      <c r="AA33" s="28" t="n">
        <v>0.001375806023799049</v>
      </c>
      <c r="AB33" s="28" t="n">
        <v>2.426180353397981e-05</v>
      </c>
      <c r="AC33" s="28" t="n">
        <v>2.396826009396162e-05</v>
      </c>
      <c r="AD33" s="28" t="n">
        <v>1.355445273549052e-05</v>
      </c>
      <c r="AE33" s="28" t="n">
        <v>0.001135527314052626</v>
      </c>
      <c r="AF33" s="28" t="n">
        <v>0.002573117854215107</v>
      </c>
      <c r="AG33" s="30" t="n">
        <v>0</v>
      </c>
      <c r="AH33" s="30" t="n">
        <v>7.228237882960114e-06</v>
      </c>
      <c r="AI33" s="30" t="n">
        <v>5.543568400265283e-05</v>
      </c>
      <c r="AJ33" s="30" t="n">
        <v>8.555417467729655e-05</v>
      </c>
      <c r="AK33" s="30" t="n">
        <v>1.265002454886566e-05</v>
      </c>
      <c r="AL33" s="30" t="n">
        <v>0.003631551749364771</v>
      </c>
      <c r="AM33" s="30" t="n">
        <v>0.003792419870476546</v>
      </c>
      <c r="AN33" s="32" t="n">
        <v>0</v>
      </c>
      <c r="AO33" s="32" t="n">
        <v>5.184272594518707e-06</v>
      </c>
      <c r="AP33" s="32" t="n">
        <v>6.989896562492967e-08</v>
      </c>
      <c r="AQ33" s="32" t="n">
        <v>6.549064862657901e-08</v>
      </c>
      <c r="AR33" s="32" t="n">
        <v>4.994879453721431e-08</v>
      </c>
      <c r="AS33" s="32" t="n">
        <v>1.911297145883766e-06</v>
      </c>
      <c r="AT33" s="32" t="n">
        <v>7.280908149191196e-06</v>
      </c>
      <c r="AU33" s="34" t="n">
        <v>0</v>
      </c>
      <c r="AV33" s="34" t="n">
        <v>0</v>
      </c>
      <c r="AW33" s="34" t="n">
        <v>0.03657771205062681</v>
      </c>
      <c r="AX33" s="34" t="n">
        <v>0.0201770987761535</v>
      </c>
      <c r="AY33" s="34" t="n">
        <v>0.01545924597979357</v>
      </c>
      <c r="AZ33" s="34" t="n">
        <v>0.206094659621028</v>
      </c>
      <c r="BA33" s="34" t="n">
        <v>0.2783087164276019</v>
      </c>
      <c r="BB33" s="6" t="n"/>
      <c r="BC33" s="6" t="n"/>
      <c r="BD33" t="inlineStr">
        <is>
          <t>transport, Bicycle, electric (&lt;25 km/h), LFP battery, 2040/CH U</t>
        </is>
      </c>
      <c r="BF33" s="5" t="n">
        <v>0.013640107</v>
      </c>
      <c r="BG33" s="5">
        <f>BF33-R33</f>
        <v>-5.2508788401323218E-3</v>
      </c>
      <c r="BH33" s="2" t="n">
        <v>36.649626</v>
      </c>
    </row>
    <row r="34">
      <c r="A34" t="str">
        <f>B34&amp;" - "&amp;D34&amp;" - "&amp;IF(I34&lt;&gt;"",I34&amp;" - "&amp;E34,E34)</f>
        <v>Bicycle, electric (&lt;25 km/h) - 2050 - LFP - CH</v>
      </c>
      <c r="B34" t="inlineStr">
        <is>
          <t>Bicycle, electric (&lt;25 km/h)</t>
        </is>
      </c>
      <c r="D34" s="18" t="n">
        <v>2050</v>
      </c>
      <c r="E34" t="inlineStr">
        <is>
          <t>CH</t>
        </is>
      </c>
      <c r="F34" t="inlineStr">
        <is>
          <t>None</t>
        </is>
      </c>
      <c r="G34" t="inlineStr">
        <is>
          <t>vkm</t>
        </is>
      </c>
      <c r="H34" t="inlineStr">
        <is>
          <t>BEV</t>
        </is>
      </c>
      <c r="I34" t="inlineStr">
        <is>
          <t>LFP</t>
        </is>
      </c>
      <c r="J34" t="inlineStr">
        <is>
          <t>None</t>
        </is>
      </c>
      <c r="L34" s="24" t="n">
        <v>0</v>
      </c>
      <c r="M34" s="24" t="n">
        <v>0</v>
      </c>
      <c r="N34" s="24" t="n">
        <v>0.0007821715621378719</v>
      </c>
      <c r="O34" s="24" t="n">
        <v>0.001195732624675443</v>
      </c>
      <c r="P34" s="24" t="n">
        <v>0.0004749229175040281</v>
      </c>
      <c r="Q34" s="24" t="n">
        <v>0.01627730476600499</v>
      </c>
      <c r="R34" s="24" t="n">
        <v>0.01873013187032234</v>
      </c>
      <c r="S34" s="26" t="n">
        <v>0</v>
      </c>
      <c r="T34" s="26" t="n">
        <v>0</v>
      </c>
      <c r="U34" s="26" t="n">
        <v>8.278772328277276e-05</v>
      </c>
      <c r="V34" s="26" t="n">
        <v>9.831747354962542e-05</v>
      </c>
      <c r="W34" s="26" t="n">
        <v>3.000925859392589e-05</v>
      </c>
      <c r="X34" s="26" t="n">
        <v>0.007113386459454058</v>
      </c>
      <c r="Y34" s="26" t="n">
        <v>0.007324500914880383</v>
      </c>
      <c r="Z34" s="28" t="n">
        <v>0</v>
      </c>
      <c r="AA34" s="28" t="n">
        <v>0.001375806023799049</v>
      </c>
      <c r="AB34" s="28" t="n">
        <v>2.426180353397981e-05</v>
      </c>
      <c r="AC34" s="28" t="n">
        <v>2.396826009396162e-05</v>
      </c>
      <c r="AD34" s="28" t="n">
        <v>1.364118379961794e-05</v>
      </c>
      <c r="AE34" s="28" t="n">
        <v>0.001097368123027662</v>
      </c>
      <c r="AF34" s="28" t="n">
        <v>0.00253504539425427</v>
      </c>
      <c r="AG34" s="30" t="n">
        <v>0</v>
      </c>
      <c r="AH34" s="30" t="n">
        <v>7.228237882960114e-06</v>
      </c>
      <c r="AI34" s="30" t="n">
        <v>5.543568400265283e-05</v>
      </c>
      <c r="AJ34" s="30" t="n">
        <v>8.555417467729655e-05</v>
      </c>
      <c r="AK34" s="30" t="n">
        <v>1.273096843585036e-05</v>
      </c>
      <c r="AL34" s="30" t="n">
        <v>0.003507190799297882</v>
      </c>
      <c r="AM34" s="30" t="n">
        <v>0.003668139864296642</v>
      </c>
      <c r="AN34" s="32" t="n">
        <v>0</v>
      </c>
      <c r="AO34" s="32" t="n">
        <v>5.184272594518707e-06</v>
      </c>
      <c r="AP34" s="32" t="n">
        <v>6.989896562492967e-08</v>
      </c>
      <c r="AQ34" s="32" t="n">
        <v>6.549064862657901e-08</v>
      </c>
      <c r="AR34" s="32" t="n">
        <v>5.026840257942992e-08</v>
      </c>
      <c r="AS34" s="32" t="n">
        <v>1.824212266043695e-06</v>
      </c>
      <c r="AT34" s="32" t="n">
        <v>7.194142877393339e-06</v>
      </c>
      <c r="AU34" s="34" t="n">
        <v>0</v>
      </c>
      <c r="AV34" s="34" t="n">
        <v>0</v>
      </c>
      <c r="AW34" s="34" t="n">
        <v>0.03657771205062681</v>
      </c>
      <c r="AX34" s="34" t="n">
        <v>0.0201770987761535</v>
      </c>
      <c r="AY34" s="34" t="n">
        <v>0.01555816527078967</v>
      </c>
      <c r="AZ34" s="34" t="n">
        <v>0.2024934081920958</v>
      </c>
      <c r="BA34" s="34" t="n">
        <v>0.2748063842896658</v>
      </c>
      <c r="BB34" s="6" t="n"/>
      <c r="BC34" s="6" t="n"/>
      <c r="BD34" t="inlineStr">
        <is>
          <t>transport, Bicycle, electric (&lt;25 km/h), LFP battery, 2050/CH U</t>
        </is>
      </c>
      <c r="BF34" s="5" t="n">
        <v>0.013366602</v>
      </c>
      <c r="BG34" s="5">
        <f>BF34-R34</f>
        <v>-5.3635298703223356E-3</v>
      </c>
      <c r="BH34" s="2" t="n">
        <v>34.545076</v>
      </c>
    </row>
    <row r="35">
      <c r="A35" t="str">
        <f>B35&amp;" - "&amp;D35&amp;" - "&amp;IF(I35&lt;&gt;"",I35&amp;" - "&amp;E35,E35)</f>
        <v>Bicycle, electric (&lt;45 km/h) - 2020 - LFP - CH</v>
      </c>
      <c r="B35" t="inlineStr">
        <is>
          <t>Bicycle, electric (&lt;45 km/h)</t>
        </is>
      </c>
      <c r="D35" s="18" t="n">
        <v>2020</v>
      </c>
      <c r="E35" t="inlineStr">
        <is>
          <t>CH</t>
        </is>
      </c>
      <c r="F35" t="inlineStr">
        <is>
          <t>None</t>
        </is>
      </c>
      <c r="G35" t="inlineStr">
        <is>
          <t>vkm</t>
        </is>
      </c>
      <c r="H35" t="inlineStr">
        <is>
          <t>BEV</t>
        </is>
      </c>
      <c r="I35" t="inlineStr">
        <is>
          <t>LFP</t>
        </is>
      </c>
      <c r="J35" t="inlineStr">
        <is>
          <t>None</t>
        </is>
      </c>
      <c r="L35" s="24" t="n">
        <v>0</v>
      </c>
      <c r="M35" s="24" t="n">
        <v>0</v>
      </c>
      <c r="N35" s="24" t="n">
        <v>0.00143649967216162</v>
      </c>
      <c r="O35" s="24" t="n">
        <v>0.001195732624675443</v>
      </c>
      <c r="P35" s="24" t="n">
        <v>0.0004848010228522859</v>
      </c>
      <c r="Q35" s="24" t="n">
        <v>0.01197791323700367</v>
      </c>
      <c r="R35" s="24" t="n">
        <v>0.01509494655669302</v>
      </c>
      <c r="S35" s="26" t="n">
        <v>0</v>
      </c>
      <c r="T35" s="26" t="n">
        <v>0</v>
      </c>
      <c r="U35" s="26" t="n">
        <v>0.0001520440567152036</v>
      </c>
      <c r="V35" s="26" t="n">
        <v>9.831747354962542e-05</v>
      </c>
      <c r="W35" s="26" t="n">
        <v>3.06334327638561e-05</v>
      </c>
      <c r="X35" s="26" t="n">
        <v>0.005716267634393905</v>
      </c>
      <c r="Y35" s="26" t="n">
        <v>0.00599726259742259</v>
      </c>
      <c r="Z35" s="28" t="n">
        <v>0</v>
      </c>
      <c r="AA35" s="28" t="n">
        <v>0.001375806023799049</v>
      </c>
      <c r="AB35" s="28" t="n">
        <v>4.455809250767458e-05</v>
      </c>
      <c r="AC35" s="28" t="n">
        <v>2.396826009396162e-05</v>
      </c>
      <c r="AD35" s="28" t="n">
        <v>1.392491205462772e-05</v>
      </c>
      <c r="AE35" s="28" t="n">
        <v>0.0008458567545614904</v>
      </c>
      <c r="AF35" s="28" t="n">
        <v>0.002304114043016803</v>
      </c>
      <c r="AG35" s="30" t="n">
        <v>0</v>
      </c>
      <c r="AH35" s="30" t="n">
        <v>7.228237882960114e-06</v>
      </c>
      <c r="AI35" s="30" t="n">
        <v>0.0001018105819114773</v>
      </c>
      <c r="AJ35" s="30" t="n">
        <v>8.555417467729655e-05</v>
      </c>
      <c r="AK35" s="30" t="n">
        <v>1.299576476965459e-05</v>
      </c>
      <c r="AL35" s="30" t="n">
        <v>0.002711701616173788</v>
      </c>
      <c r="AM35" s="30" t="n">
        <v>0.002919290375415177</v>
      </c>
      <c r="AN35" s="32" t="n">
        <v>0</v>
      </c>
      <c r="AO35" s="32" t="n">
        <v>5.184272594518707e-06</v>
      </c>
      <c r="AP35" s="32" t="n">
        <v>1.283731678127014e-07</v>
      </c>
      <c r="AQ35" s="32" t="n">
        <v>6.549064862657901e-08</v>
      </c>
      <c r="AR35" s="32" t="n">
        <v>5.131395451652724e-08</v>
      </c>
      <c r="AS35" s="32" t="n">
        <v>1.469558210803564e-06</v>
      </c>
      <c r="AT35" s="32" t="n">
        <v>6.899008576278078e-06</v>
      </c>
      <c r="AU35" s="34" t="n">
        <v>0</v>
      </c>
      <c r="AV35" s="34" t="n">
        <v>0</v>
      </c>
      <c r="AW35" s="34" t="n">
        <v>0.06717691349648652</v>
      </c>
      <c r="AX35" s="34" t="n">
        <v>0.0201770987761535</v>
      </c>
      <c r="AY35" s="34" t="n">
        <v>0.0158817655644503</v>
      </c>
      <c r="AZ35" s="34" t="n">
        <v>0.1517712135118246</v>
      </c>
      <c r="BA35" s="34" t="n">
        <v>0.2550069913489149</v>
      </c>
      <c r="BB35" s="6" t="n"/>
      <c r="BC35" s="6" t="n"/>
      <c r="BD35" t="inlineStr">
        <is>
          <t>transport, Bicycle, electric (&lt;45 km/h), LFP battery/CH U</t>
        </is>
      </c>
      <c r="BF35" s="5" t="n">
        <v>0.011719714</v>
      </c>
      <c r="BG35" s="5">
        <f>BF35-R35</f>
        <v>-3.3752325566930187E-3</v>
      </c>
      <c r="BH35" s="2" t="n">
        <v>31.540946</v>
      </c>
    </row>
    <row r="36">
      <c r="A36" t="str">
        <f>B36&amp;" - "&amp;D36&amp;" - "&amp;IF(I36&lt;&gt;"",I36&amp;" - "&amp;E36,E36)</f>
        <v>Bicycle, electric (&lt;45 km/h) - 2030 - LFP - CH</v>
      </c>
      <c r="B36" t="inlineStr">
        <is>
          <t>Bicycle, electric (&lt;45 km/h)</t>
        </is>
      </c>
      <c r="D36" s="18" t="n">
        <v>2030</v>
      </c>
      <c r="E36" t="inlineStr">
        <is>
          <t>CH</t>
        </is>
      </c>
      <c r="F36" t="inlineStr">
        <is>
          <t>None</t>
        </is>
      </c>
      <c r="G36" t="inlineStr">
        <is>
          <t>vkm</t>
        </is>
      </c>
      <c r="H36" t="inlineStr">
        <is>
          <t>BEV</t>
        </is>
      </c>
      <c r="I36" t="inlineStr">
        <is>
          <t>LFP</t>
        </is>
      </c>
      <c r="J36" t="inlineStr">
        <is>
          <t>None</t>
        </is>
      </c>
      <c r="L36" s="24" t="n">
        <v>0</v>
      </c>
      <c r="M36" s="24" t="n">
        <v>0</v>
      </c>
      <c r="N36" s="24" t="n">
        <v>0.00143649967216162</v>
      </c>
      <c r="O36" s="24" t="n">
        <v>0.001195732624675443</v>
      </c>
      <c r="P36" s="24" t="n">
        <v>0.0004916140325318063</v>
      </c>
      <c r="Q36" s="24" t="n">
        <v>0.01260708056193968</v>
      </c>
      <c r="R36" s="24" t="n">
        <v>0.01573092689130855</v>
      </c>
      <c r="S36" s="26" t="n">
        <v>0</v>
      </c>
      <c r="T36" s="26" t="n">
        <v>0</v>
      </c>
      <c r="U36" s="26" t="n">
        <v>0.0001520440567152036</v>
      </c>
      <c r="V36" s="26" t="n">
        <v>9.831747354962542e-05</v>
      </c>
      <c r="W36" s="26" t="n">
        <v>3.106393077045927e-05</v>
      </c>
      <c r="X36" s="26" t="n">
        <v>0.005815631562422395</v>
      </c>
      <c r="Y36" s="26" t="n">
        <v>0.006097057023457683</v>
      </c>
      <c r="Z36" s="28" t="n">
        <v>0</v>
      </c>
      <c r="AA36" s="28" t="n">
        <v>0.001375806023799049</v>
      </c>
      <c r="AB36" s="28" t="n">
        <v>4.455809250767458e-05</v>
      </c>
      <c r="AC36" s="28" t="n">
        <v>2.396826009396162e-05</v>
      </c>
      <c r="AD36" s="28" t="n">
        <v>1.412060174203078e-05</v>
      </c>
      <c r="AE36" s="28" t="n">
        <v>0.0008811874186217902</v>
      </c>
      <c r="AF36" s="28" t="n">
        <v>0.002339640396764506</v>
      </c>
      <c r="AG36" s="30" t="n">
        <v>0</v>
      </c>
      <c r="AH36" s="30" t="n">
        <v>7.228237882960114e-06</v>
      </c>
      <c r="AI36" s="30" t="n">
        <v>0.0001018105819114773</v>
      </c>
      <c r="AJ36" s="30" t="n">
        <v>8.555417467729655e-05</v>
      </c>
      <c r="AK36" s="30" t="n">
        <v>1.317839695687134e-05</v>
      </c>
      <c r="AL36" s="30" t="n">
        <v>0.002823928553025794</v>
      </c>
      <c r="AM36" s="30" t="n">
        <v>0.003031699944454399</v>
      </c>
      <c r="AN36" s="32" t="n">
        <v>0</v>
      </c>
      <c r="AO36" s="32" t="n">
        <v>5.184272594518707e-06</v>
      </c>
      <c r="AP36" s="32" t="n">
        <v>1.283731678127014e-07</v>
      </c>
      <c r="AQ36" s="32" t="n">
        <v>6.549064862657901e-08</v>
      </c>
      <c r="AR36" s="32" t="n">
        <v>5.203508019971725e-08</v>
      </c>
      <c r="AS36" s="32" t="n">
        <v>1.49898500022658e-06</v>
      </c>
      <c r="AT36" s="32" t="n">
        <v>6.929156491384284e-06</v>
      </c>
      <c r="AU36" s="34" t="n">
        <v>0</v>
      </c>
      <c r="AV36" s="34" t="n">
        <v>0</v>
      </c>
      <c r="AW36" s="34" t="n">
        <v>0.06717691349648652</v>
      </c>
      <c r="AX36" s="34" t="n">
        <v>0.0201770987761535</v>
      </c>
      <c r="AY36" s="34" t="n">
        <v>0.01610495532152192</v>
      </c>
      <c r="AZ36" s="34" t="n">
        <v>0.1585866130165628</v>
      </c>
      <c r="BA36" s="34" t="n">
        <v>0.2620455806107248</v>
      </c>
      <c r="BB36" s="6" t="n"/>
      <c r="BC36" s="6" t="n"/>
      <c r="BD36" t="inlineStr">
        <is>
          <t>transport, Bicycle, electric (&lt;45 km/h), LFP battery, 2030/CH U</t>
        </is>
      </c>
      <c r="BF36" s="5" t="n">
        <v>0.012003552</v>
      </c>
      <c r="BG36" s="5">
        <f>BF36-R36</f>
        <v>-3.7273748913085498E-3</v>
      </c>
      <c r="BH36" s="2" t="n">
        <v>31.717109</v>
      </c>
    </row>
    <row r="37">
      <c r="A37" t="str">
        <f>B37&amp;" - "&amp;D37&amp;" - "&amp;IF(I37&lt;&gt;"",I37&amp;" - "&amp;E37,E37)</f>
        <v>Bicycle, electric (&lt;45 km/h) - 2040 - LFP - CH</v>
      </c>
      <c r="B37" t="inlineStr">
        <is>
          <t>Bicycle, electric (&lt;45 km/h)</t>
        </is>
      </c>
      <c r="D37" s="18" t="n">
        <v>2040</v>
      </c>
      <c r="E37" t="inlineStr">
        <is>
          <t>CH</t>
        </is>
      </c>
      <c r="F37" t="inlineStr">
        <is>
          <t>None</t>
        </is>
      </c>
      <c r="G37" t="inlineStr">
        <is>
          <t>vkm</t>
        </is>
      </c>
      <c r="H37" t="inlineStr">
        <is>
          <t>BEV</t>
        </is>
      </c>
      <c r="I37" t="inlineStr">
        <is>
          <t>LFP</t>
        </is>
      </c>
      <c r="J37" t="inlineStr">
        <is>
          <t>None</t>
        </is>
      </c>
      <c r="L37" s="24" t="n">
        <v>0</v>
      </c>
      <c r="M37" s="24" t="n">
        <v>0</v>
      </c>
      <c r="N37" s="24" t="n">
        <v>0.00143649967216162</v>
      </c>
      <c r="O37" s="24" t="n">
        <v>0.001195732624675443</v>
      </c>
      <c r="P37" s="24" t="n">
        <v>0.0004889738016092305</v>
      </c>
      <c r="Q37" s="24" t="n">
        <v>0.01208315306485455</v>
      </c>
      <c r="R37" s="24" t="n">
        <v>0.01520435916330084</v>
      </c>
      <c r="S37" s="26" t="n">
        <v>0</v>
      </c>
      <c r="T37" s="26" t="n">
        <v>0</v>
      </c>
      <c r="U37" s="26" t="n">
        <v>0.0001520440567152036</v>
      </c>
      <c r="V37" s="26" t="n">
        <v>9.831747354962542e-05</v>
      </c>
      <c r="W37" s="26" t="n">
        <v>3.089710080798945e-05</v>
      </c>
      <c r="X37" s="26" t="n">
        <v>0.005247375718038636</v>
      </c>
      <c r="Y37" s="26" t="n">
        <v>0.005528634349111454</v>
      </c>
      <c r="Z37" s="28" t="n">
        <v>0</v>
      </c>
      <c r="AA37" s="28" t="n">
        <v>0.001375806023799049</v>
      </c>
      <c r="AB37" s="28" t="n">
        <v>4.455809250767458e-05</v>
      </c>
      <c r="AC37" s="28" t="n">
        <v>2.396826009396162e-05</v>
      </c>
      <c r="AD37" s="28" t="n">
        <v>1.404476654023093e-05</v>
      </c>
      <c r="AE37" s="28" t="n">
        <v>0.0008126232361789941</v>
      </c>
      <c r="AF37" s="28" t="n">
        <v>0.00227100037911991</v>
      </c>
      <c r="AG37" s="30" t="n">
        <v>0</v>
      </c>
      <c r="AH37" s="30" t="n">
        <v>7.228237882960114e-06</v>
      </c>
      <c r="AI37" s="30" t="n">
        <v>0.0001018105819114773</v>
      </c>
      <c r="AJ37" s="30" t="n">
        <v>8.555417467729655e-05</v>
      </c>
      <c r="AK37" s="30" t="n">
        <v>1.310762189990984e-05</v>
      </c>
      <c r="AL37" s="30" t="n">
        <v>0.002603132400579865</v>
      </c>
      <c r="AM37" s="30" t="n">
        <v>0.002810833016951509</v>
      </c>
      <c r="AN37" s="32" t="n">
        <v>0</v>
      </c>
      <c r="AO37" s="32" t="n">
        <v>5.184272594518707e-06</v>
      </c>
      <c r="AP37" s="32" t="n">
        <v>1.283731678127014e-07</v>
      </c>
      <c r="AQ37" s="32" t="n">
        <v>6.549064862657901e-08</v>
      </c>
      <c r="AR37" s="32" t="n">
        <v>5.175562392159908e-08</v>
      </c>
      <c r="AS37" s="32" t="n">
        <v>1.365644327390255e-06</v>
      </c>
      <c r="AT37" s="32" t="n">
        <v>6.79553636226984e-06</v>
      </c>
      <c r="AU37" s="34" t="n">
        <v>0</v>
      </c>
      <c r="AV37" s="34" t="n">
        <v>0</v>
      </c>
      <c r="AW37" s="34" t="n">
        <v>0.06717691349648652</v>
      </c>
      <c r="AX37" s="34" t="n">
        <v>0.0201770987761535</v>
      </c>
      <c r="AY37" s="34" t="n">
        <v>0.01601846307713337</v>
      </c>
      <c r="AZ37" s="34" t="n">
        <v>0.150428615469506</v>
      </c>
      <c r="BA37" s="34" t="n">
        <v>0.2538010908192794</v>
      </c>
      <c r="BB37" s="6" t="n"/>
      <c r="BC37" s="6" t="n"/>
      <c r="BD37" t="inlineStr">
        <is>
          <t>transport, Bicycle, electric (&lt;45 km/h), LFP battery, 2040/CH U</t>
        </is>
      </c>
      <c r="BF37" s="5" t="n">
        <v>0.011482739</v>
      </c>
      <c r="BG37" s="5">
        <f>BF37-R37</f>
        <v>-3.7216201633008435E-3</v>
      </c>
      <c r="BH37" s="2" t="n">
        <v>28.7736</v>
      </c>
    </row>
    <row r="38">
      <c r="A38" t="str">
        <f>B38&amp;" - "&amp;D38&amp;" - "&amp;IF(I38&lt;&gt;"",I38&amp;" - "&amp;E38,E38)</f>
        <v>Bicycle, electric (&lt;45 km/h) - 2050 - LFP - CH</v>
      </c>
      <c r="B38" t="inlineStr">
        <is>
          <t>Bicycle, electric (&lt;45 km/h)</t>
        </is>
      </c>
      <c r="D38" s="18" t="n">
        <v>2050</v>
      </c>
      <c r="E38" t="inlineStr">
        <is>
          <t>CH</t>
        </is>
      </c>
      <c r="F38" t="inlineStr">
        <is>
          <t>None</t>
        </is>
      </c>
      <c r="G38" t="inlineStr">
        <is>
          <t>vkm</t>
        </is>
      </c>
      <c r="H38" t="inlineStr">
        <is>
          <t>BEV</t>
        </is>
      </c>
      <c r="I38" t="inlineStr">
        <is>
          <t>LFP</t>
        </is>
      </c>
      <c r="J38" t="inlineStr">
        <is>
          <t>None</t>
        </is>
      </c>
      <c r="L38" s="24" t="n">
        <v>0</v>
      </c>
      <c r="M38" s="24" t="n">
        <v>0</v>
      </c>
      <c r="N38" s="24" t="n">
        <v>0.00143649967216162</v>
      </c>
      <c r="O38" s="24" t="n">
        <v>0.001195732624675443</v>
      </c>
      <c r="P38" s="24" t="n">
        <v>0.0004917202487183467</v>
      </c>
      <c r="Q38" s="24" t="n">
        <v>0.01203972465130843</v>
      </c>
      <c r="R38" s="24" t="n">
        <v>0.01516367719686384</v>
      </c>
      <c r="S38" s="26" t="n">
        <v>0</v>
      </c>
      <c r="T38" s="26" t="n">
        <v>0</v>
      </c>
      <c r="U38" s="26" t="n">
        <v>0.0001520440567152036</v>
      </c>
      <c r="V38" s="26" t="n">
        <v>9.831747354962542e-05</v>
      </c>
      <c r="W38" s="26" t="n">
        <v>3.107064232067358e-05</v>
      </c>
      <c r="X38" s="26" t="n">
        <v>0.005001492799873756</v>
      </c>
      <c r="Y38" s="26" t="n">
        <v>0.005282924972459259</v>
      </c>
      <c r="Z38" s="28" t="n">
        <v>0</v>
      </c>
      <c r="AA38" s="28" t="n">
        <v>0.001375806023799049</v>
      </c>
      <c r="AB38" s="28" t="n">
        <v>4.455809250767458e-05</v>
      </c>
      <c r="AC38" s="28" t="n">
        <v>2.396826009396162e-05</v>
      </c>
      <c r="AD38" s="28" t="n">
        <v>1.41236525834825e-05</v>
      </c>
      <c r="AE38" s="28" t="n">
        <v>0.0007909390882595797</v>
      </c>
      <c r="AF38" s="28" t="n">
        <v>0.002249395117243747</v>
      </c>
      <c r="AG38" s="30" t="n">
        <v>0</v>
      </c>
      <c r="AH38" s="30" t="n">
        <v>7.228237882960114e-06</v>
      </c>
      <c r="AI38" s="30" t="n">
        <v>0.0001018105819114773</v>
      </c>
      <c r="AJ38" s="30" t="n">
        <v>8.555417467729655e-05</v>
      </c>
      <c r="AK38" s="30" t="n">
        <v>1.318124422927783e-05</v>
      </c>
      <c r="AL38" s="30" t="n">
        <v>0.002532883577710338</v>
      </c>
      <c r="AM38" s="30" t="n">
        <v>0.00274065781641135</v>
      </c>
      <c r="AN38" s="32" t="n">
        <v>0</v>
      </c>
      <c r="AO38" s="32" t="n">
        <v>5.184272594518707e-06</v>
      </c>
      <c r="AP38" s="32" t="n">
        <v>1.283731678127014e-07</v>
      </c>
      <c r="AQ38" s="32" t="n">
        <v>6.549064862657901e-08</v>
      </c>
      <c r="AR38" s="32" t="n">
        <v>5.204632269366453e-08</v>
      </c>
      <c r="AS38" s="32" t="n">
        <v>1.310356689145099e-06</v>
      </c>
      <c r="AT38" s="32" t="n">
        <v>6.740539422796751e-06</v>
      </c>
      <c r="AU38" s="34" t="n">
        <v>0</v>
      </c>
      <c r="AV38" s="34" t="n">
        <v>0</v>
      </c>
      <c r="AW38" s="34" t="n">
        <v>0.06717691349648652</v>
      </c>
      <c r="AX38" s="34" t="n">
        <v>0.0201770987761535</v>
      </c>
      <c r="AY38" s="34" t="n">
        <v>0.01610843489457203</v>
      </c>
      <c r="AZ38" s="34" t="n">
        <v>0.1487328461403087</v>
      </c>
      <c r="BA38" s="34" t="n">
        <v>0.2521952933075208</v>
      </c>
      <c r="BB38" s="6" t="n"/>
      <c r="BC38" s="6" t="n"/>
      <c r="BD38" t="inlineStr">
        <is>
          <t>transport, Bicycle, electric (&lt;45 km/h), LFP battery, 2050/CH U</t>
        </is>
      </c>
      <c r="BF38" s="5" t="n">
        <v>0.011328394</v>
      </c>
      <c r="BG38" s="5">
        <f>BF38-R38</f>
        <v>-3.8352831968638396E-3</v>
      </c>
      <c r="BH38" s="2" t="n">
        <v>27.386826</v>
      </c>
    </row>
    <row r="39">
      <c r="A39" t="str">
        <f>B39&amp;" - "&amp;D39&amp;" - "&amp;IF(I39&lt;&gt;"",I39&amp;" - "&amp;E39,E39)</f>
        <v>Bicycle, battery electric, cargo bike - 2020 - LFP - CH</v>
      </c>
      <c r="B39" t="inlineStr">
        <is>
          <t>Bicycle, battery electric, cargo bike</t>
        </is>
      </c>
      <c r="D39" s="18" t="n">
        <v>2020</v>
      </c>
      <c r="E39" t="inlineStr">
        <is>
          <t>CH</t>
        </is>
      </c>
      <c r="F39" t="inlineStr">
        <is>
          <t>None</t>
        </is>
      </c>
      <c r="G39" t="inlineStr">
        <is>
          <t>vkm</t>
        </is>
      </c>
      <c r="H39" t="inlineStr">
        <is>
          <t>BEV</t>
        </is>
      </c>
      <c r="I39" t="inlineStr">
        <is>
          <t>LFP</t>
        </is>
      </c>
      <c r="J39" t="inlineStr">
        <is>
          <t>None</t>
        </is>
      </c>
      <c r="L39" s="24" t="n">
        <v>0</v>
      </c>
      <c r="M39" s="24" t="n">
        <v>0</v>
      </c>
      <c r="N39" s="24" t="n">
        <v>0.001100411837038614</v>
      </c>
      <c r="O39" s="24" t="n">
        <v>0.001195732624675443</v>
      </c>
      <c r="P39" s="24" t="n">
        <v>0.0007897932156325972</v>
      </c>
      <c r="Q39" s="24" t="n">
        <v>0.02542449500895469</v>
      </c>
      <c r="R39" s="24" t="n">
        <v>0.02851043268630134</v>
      </c>
      <c r="S39" s="26" t="n">
        <v>0</v>
      </c>
      <c r="T39" s="26" t="n">
        <v>0</v>
      </c>
      <c r="U39" s="26" t="n">
        <v>0.0001164713664772465</v>
      </c>
      <c r="V39" s="26" t="n">
        <v>9.831747354962542e-05</v>
      </c>
      <c r="W39" s="26" t="n">
        <v>4.990516980778435e-05</v>
      </c>
      <c r="X39" s="26" t="n">
        <v>0.00911360152022622</v>
      </c>
      <c r="Y39" s="26" t="n">
        <v>0.009378295530060877</v>
      </c>
      <c r="Z39" s="28" t="n">
        <v>0</v>
      </c>
      <c r="AA39" s="28" t="n">
        <v>0.002751612047598098</v>
      </c>
      <c r="AB39" s="28" t="n">
        <v>3.413314557707055e-05</v>
      </c>
      <c r="AC39" s="28" t="n">
        <v>2.396826009396162e-05</v>
      </c>
      <c r="AD39" s="28" t="n">
        <v>2.268518536598976e-05</v>
      </c>
      <c r="AE39" s="28" t="n">
        <v>0.001531267660434171</v>
      </c>
      <c r="AF39" s="28" t="n">
        <v>0.004363666299069291</v>
      </c>
      <c r="AG39" s="30" t="n">
        <v>0</v>
      </c>
      <c r="AH39" s="30" t="n">
        <v>1.445647576592023e-05</v>
      </c>
      <c r="AI39" s="30" t="n">
        <v>7.799066831849175e-05</v>
      </c>
      <c r="AJ39" s="30" t="n">
        <v>8.555417467729655e-05</v>
      </c>
      <c r="AK39" s="30" t="n">
        <v>2.117150410831053e-05</v>
      </c>
      <c r="AL39" s="30" t="n">
        <v>0.004677114151346501</v>
      </c>
      <c r="AM39" s="30" t="n">
        <v>0.00487628697421652</v>
      </c>
      <c r="AN39" s="32" t="n">
        <v>0</v>
      </c>
      <c r="AO39" s="32" t="n">
        <v>1.036854518903741e-05</v>
      </c>
      <c r="AP39" s="32" t="n">
        <v>9.833859078204342e-08</v>
      </c>
      <c r="AQ39" s="32" t="n">
        <v>6.549064862657901e-08</v>
      </c>
      <c r="AR39" s="32" t="n">
        <v>8.359597285086832e-08</v>
      </c>
      <c r="AS39" s="32" t="n">
        <v>2.795573149973405e-06</v>
      </c>
      <c r="AT39" s="32" t="n">
        <v>1.341154355127031e-05</v>
      </c>
      <c r="AU39" s="34" t="n">
        <v>0</v>
      </c>
      <c r="AV39" s="34" t="n">
        <v>0</v>
      </c>
      <c r="AW39" s="34" t="n">
        <v>0.05145999836951989</v>
      </c>
      <c r="AX39" s="34" t="n">
        <v>0.0201770987761535</v>
      </c>
      <c r="AY39" s="34" t="n">
        <v>0.02587311103692138</v>
      </c>
      <c r="AZ39" s="34" t="n">
        <v>0.3162497751564551</v>
      </c>
      <c r="BA39" s="34" t="n">
        <v>0.4137599833390499</v>
      </c>
      <c r="BB39" s="6" t="n"/>
      <c r="BC39" s="6" t="n"/>
      <c r="BD39" t="inlineStr">
        <is>
          <t>transport, Bicycle, battery electric, cargo bike, LFP battery/CH U</t>
        </is>
      </c>
      <c r="BF39" s="5" t="n">
        <v>0.020493722</v>
      </c>
      <c r="BG39" s="5">
        <f>BF39-R39</f>
        <v>-8.0167106863013454E-3</v>
      </c>
      <c r="BH39" s="2" t="n">
        <v>50.892327</v>
      </c>
    </row>
    <row r="40">
      <c r="A40" t="str">
        <f>B40&amp;" - "&amp;D40&amp;" - "&amp;IF(I40&lt;&gt;"",I40&amp;" - "&amp;E40,E40)</f>
        <v>Bicycle, battery electric, cargo bike - 2030 - LFP - CH</v>
      </c>
      <c r="B40" t="inlineStr">
        <is>
          <t>Bicycle, battery electric, cargo bike</t>
        </is>
      </c>
      <c r="D40" s="18" t="n">
        <v>2030</v>
      </c>
      <c r="E40" t="inlineStr">
        <is>
          <t>CH</t>
        </is>
      </c>
      <c r="F40" t="inlineStr">
        <is>
          <t>None</t>
        </is>
      </c>
      <c r="G40" t="inlineStr">
        <is>
          <t>vkm</t>
        </is>
      </c>
      <c r="H40" t="inlineStr">
        <is>
          <t>BEV</t>
        </is>
      </c>
      <c r="I40" t="inlineStr">
        <is>
          <t>LFP</t>
        </is>
      </c>
      <c r="J40" t="inlineStr">
        <is>
          <t>None</t>
        </is>
      </c>
      <c r="L40" s="24" t="n">
        <v>0</v>
      </c>
      <c r="M40" s="24" t="n">
        <v>0</v>
      </c>
      <c r="N40" s="24" t="n">
        <v>0.001100411837038614</v>
      </c>
      <c r="O40" s="24" t="n">
        <v>0.001195732624675443</v>
      </c>
      <c r="P40" s="24" t="n">
        <v>0.0007890800498086832</v>
      </c>
      <c r="Q40" s="24" t="n">
        <v>0.02626939728422828</v>
      </c>
      <c r="R40" s="24" t="n">
        <v>0.02935462179575102</v>
      </c>
      <c r="S40" s="26" t="n">
        <v>0</v>
      </c>
      <c r="T40" s="26" t="n">
        <v>0</v>
      </c>
      <c r="U40" s="26" t="n">
        <v>0.0001164713664772465</v>
      </c>
      <c r="V40" s="26" t="n">
        <v>9.831747354962542e-05</v>
      </c>
      <c r="W40" s="26" t="n">
        <v>4.986010654205975e-05</v>
      </c>
      <c r="X40" s="26" t="n">
        <v>0.008742763214053746</v>
      </c>
      <c r="Y40" s="26" t="n">
        <v>0.009007412160622678</v>
      </c>
      <c r="Z40" s="28" t="n">
        <v>0</v>
      </c>
      <c r="AA40" s="28" t="n">
        <v>0.002751612047598098</v>
      </c>
      <c r="AB40" s="28" t="n">
        <v>3.413314557707055e-05</v>
      </c>
      <c r="AC40" s="28" t="n">
        <v>2.396826009396162e-05</v>
      </c>
      <c r="AD40" s="28" t="n">
        <v>2.266470114481394e-05</v>
      </c>
      <c r="AE40" s="28" t="n">
        <v>0.001536779616800426</v>
      </c>
      <c r="AF40" s="28" t="n">
        <v>0.00436915777121437</v>
      </c>
      <c r="AG40" s="30" t="n">
        <v>0</v>
      </c>
      <c r="AH40" s="30" t="n">
        <v>1.445647576592023e-05</v>
      </c>
      <c r="AI40" s="30" t="n">
        <v>7.799066831849175e-05</v>
      </c>
      <c r="AJ40" s="30" t="n">
        <v>8.555417467729655e-05</v>
      </c>
      <c r="AK40" s="30" t="n">
        <v>2.115238670786691e-05</v>
      </c>
      <c r="AL40" s="30" t="n">
        <v>0.004705506689330144</v>
      </c>
      <c r="AM40" s="30" t="n">
        <v>0.00490466039479972</v>
      </c>
      <c r="AN40" s="32" t="n">
        <v>0</v>
      </c>
      <c r="AO40" s="32" t="n">
        <v>1.036854518903741e-05</v>
      </c>
      <c r="AP40" s="32" t="n">
        <v>9.833859078204342e-08</v>
      </c>
      <c r="AQ40" s="32" t="n">
        <v>6.549064862657901e-08</v>
      </c>
      <c r="AR40" s="32" t="n">
        <v>8.352048753436514e-08</v>
      </c>
      <c r="AS40" s="32" t="n">
        <v>2.710252868670502e-06</v>
      </c>
      <c r="AT40" s="32" t="n">
        <v>1.33261477846509e-05</v>
      </c>
      <c r="AU40" s="34" t="n">
        <v>0</v>
      </c>
      <c r="AV40" s="34" t="n">
        <v>0</v>
      </c>
      <c r="AW40" s="34" t="n">
        <v>0.05145999836951989</v>
      </c>
      <c r="AX40" s="34" t="n">
        <v>0.0201770987761535</v>
      </c>
      <c r="AY40" s="34" t="n">
        <v>0.02584974818929919</v>
      </c>
      <c r="AZ40" s="34" t="n">
        <v>0.3225063801664809</v>
      </c>
      <c r="BA40" s="34" t="n">
        <v>0.4199932255014535</v>
      </c>
      <c r="BB40" s="6" t="n"/>
      <c r="BC40" s="6" t="n"/>
      <c r="BD40" t="inlineStr">
        <is>
          <t>transport, Bicycle, battery electric, cargo bike, LFP battery, 2030/CH U</t>
        </is>
      </c>
      <c r="BF40" s="5" t="n">
        <v>0.020520664</v>
      </c>
      <c r="BG40" s="5">
        <f>BF40-R40</f>
        <v>-8.8339577957510171E-3</v>
      </c>
      <c r="BH40" s="2" t="n">
        <v>47.962609</v>
      </c>
    </row>
    <row r="41">
      <c r="A41" t="str">
        <f>B41&amp;" - "&amp;D41&amp;" - "&amp;IF(I41&lt;&gt;"",I41&amp;" - "&amp;E41,E41)</f>
        <v>Bicycle, battery electric, cargo bike - 2040 - LFP - CH</v>
      </c>
      <c r="B41" t="inlineStr">
        <is>
          <t>Bicycle, battery electric, cargo bike</t>
        </is>
      </c>
      <c r="D41" s="18" t="n">
        <v>2040</v>
      </c>
      <c r="E41" t="inlineStr">
        <is>
          <t>CH</t>
        </is>
      </c>
      <c r="F41" t="inlineStr">
        <is>
          <t>None</t>
        </is>
      </c>
      <c r="G41" t="inlineStr">
        <is>
          <t>vkm</t>
        </is>
      </c>
      <c r="H41" t="inlineStr">
        <is>
          <t>BEV</t>
        </is>
      </c>
      <c r="I41" t="inlineStr">
        <is>
          <t>LFP</t>
        </is>
      </c>
      <c r="J41" t="inlineStr">
        <is>
          <t>None</t>
        </is>
      </c>
      <c r="L41" s="24" t="n">
        <v>0</v>
      </c>
      <c r="M41" s="24" t="n">
        <v>0</v>
      </c>
      <c r="N41" s="24" t="n">
        <v>0.001100411837038614</v>
      </c>
      <c r="O41" s="24" t="n">
        <v>0.001195732624675443</v>
      </c>
      <c r="P41" s="24" t="n">
        <v>0.0007822063451654251</v>
      </c>
      <c r="Q41" s="24" t="n">
        <v>0.02578366496560117</v>
      </c>
      <c r="R41" s="24" t="n">
        <v>0.02886201577248065</v>
      </c>
      <c r="S41" s="26" t="n">
        <v>0</v>
      </c>
      <c r="T41" s="26" t="n">
        <v>0</v>
      </c>
      <c r="U41" s="26" t="n">
        <v>0.0001164713664772465</v>
      </c>
      <c r="V41" s="26" t="n">
        <v>9.831747354962542e-05</v>
      </c>
      <c r="W41" s="26" t="n">
        <v>4.942577336390553e-05</v>
      </c>
      <c r="X41" s="26" t="n">
        <v>0.007796810239162126</v>
      </c>
      <c r="Y41" s="26" t="n">
        <v>0.008061024852552903</v>
      </c>
      <c r="Z41" s="28" t="n">
        <v>0</v>
      </c>
      <c r="AA41" s="28" t="n">
        <v>0.002751612047598098</v>
      </c>
      <c r="AB41" s="28" t="n">
        <v>3.413314557707055e-05</v>
      </c>
      <c r="AC41" s="28" t="n">
        <v>2.396826009396162e-05</v>
      </c>
      <c r="AD41" s="28" t="n">
        <v>2.246726811943846e-05</v>
      </c>
      <c r="AE41" s="28" t="n">
        <v>0.001438296100236602</v>
      </c>
      <c r="AF41" s="28" t="n">
        <v>0.00427047682162517</v>
      </c>
      <c r="AG41" s="30" t="n">
        <v>0</v>
      </c>
      <c r="AH41" s="30" t="n">
        <v>1.445647576592023e-05</v>
      </c>
      <c r="AI41" s="30" t="n">
        <v>7.799066831849175e-05</v>
      </c>
      <c r="AJ41" s="30" t="n">
        <v>8.555417467729655e-05</v>
      </c>
      <c r="AK41" s="30" t="n">
        <v>2.096812750784645e-05</v>
      </c>
      <c r="AL41" s="30" t="n">
        <v>0.004400000115511743</v>
      </c>
      <c r="AM41" s="30" t="n">
        <v>0.004598969561781298</v>
      </c>
      <c r="AN41" s="32" t="n">
        <v>0</v>
      </c>
      <c r="AO41" s="32" t="n">
        <v>1.036854518903741e-05</v>
      </c>
      <c r="AP41" s="32" t="n">
        <v>9.833859078204342e-08</v>
      </c>
      <c r="AQ41" s="32" t="n">
        <v>6.549064862657901e-08</v>
      </c>
      <c r="AR41" s="32" t="n">
        <v>8.279293756891951e-08</v>
      </c>
      <c r="AS41" s="32" t="n">
        <v>2.482355492881305e-06</v>
      </c>
      <c r="AT41" s="32" t="n">
        <v>1.309752285889626e-05</v>
      </c>
      <c r="AU41" s="34" t="n">
        <v>0</v>
      </c>
      <c r="AV41" s="34" t="n">
        <v>0</v>
      </c>
      <c r="AW41" s="34" t="n">
        <v>0.05145999836951989</v>
      </c>
      <c r="AX41" s="34" t="n">
        <v>0.0201770987761535</v>
      </c>
      <c r="AY41" s="34" t="n">
        <v>0.02562457010477036</v>
      </c>
      <c r="AZ41" s="34" t="n">
        <v>0.3125117015162183</v>
      </c>
      <c r="BA41" s="34" t="n">
        <v>0.409773368766662</v>
      </c>
      <c r="BB41" s="6" t="n"/>
      <c r="BC41" s="6" t="n"/>
      <c r="BD41" t="inlineStr">
        <is>
          <t>transport, Bicycle, battery electric, cargo bike, LFP battery, 2040/CH U</t>
        </is>
      </c>
      <c r="BF41" s="5" t="n">
        <v>0.019746751</v>
      </c>
      <c r="BG41" s="5">
        <f>BF41-R41</f>
        <v>-9.1152647724806503E-3</v>
      </c>
      <c r="BH41" s="2" t="n">
        <v>42.591959</v>
      </c>
    </row>
    <row r="42">
      <c r="A42" t="str">
        <f>B42&amp;" - "&amp;D42&amp;" - "&amp;IF(I42&lt;&gt;"",I42&amp;" - "&amp;E42,E42)</f>
        <v>Bicycle, battery electric, cargo bike - 2050 - LFP - CH</v>
      </c>
      <c r="B42" t="inlineStr">
        <is>
          <t>Bicycle, battery electric, cargo bike</t>
        </is>
      </c>
      <c r="D42" s="18" t="n">
        <v>2050</v>
      </c>
      <c r="E42" t="inlineStr">
        <is>
          <t>CH</t>
        </is>
      </c>
      <c r="F42" t="inlineStr">
        <is>
          <t>None</t>
        </is>
      </c>
      <c r="G42" t="inlineStr">
        <is>
          <t>vkm</t>
        </is>
      </c>
      <c r="H42" t="inlineStr">
        <is>
          <t>BEV</t>
        </is>
      </c>
      <c r="I42" t="inlineStr">
        <is>
          <t>LFP</t>
        </is>
      </c>
      <c r="J42" t="inlineStr">
        <is>
          <t>None</t>
        </is>
      </c>
      <c r="L42" s="24" t="n">
        <v>0</v>
      </c>
      <c r="M42" s="24" t="n">
        <v>0</v>
      </c>
      <c r="N42" s="24" t="n">
        <v>0.001100411837038614</v>
      </c>
      <c r="O42" s="24" t="n">
        <v>0.001195732624675443</v>
      </c>
      <c r="P42" s="24" t="n">
        <v>0.0007763189336828999</v>
      </c>
      <c r="Q42" s="24" t="n">
        <v>0.02564150957649759</v>
      </c>
      <c r="R42" s="24" t="n">
        <v>0.02871397297189454</v>
      </c>
      <c r="S42" s="26" t="n">
        <v>0</v>
      </c>
      <c r="T42" s="26" t="n">
        <v>0</v>
      </c>
      <c r="U42" s="26" t="n">
        <v>0.0001164713664772465</v>
      </c>
      <c r="V42" s="26" t="n">
        <v>9.831747354962542e-05</v>
      </c>
      <c r="W42" s="26" t="n">
        <v>4.905376172345558e-05</v>
      </c>
      <c r="X42" s="26" t="n">
        <v>0.007081170649713148</v>
      </c>
      <c r="Y42" s="26" t="n">
        <v>0.007345013251463476</v>
      </c>
      <c r="Z42" s="28" t="n">
        <v>0</v>
      </c>
      <c r="AA42" s="28" t="n">
        <v>0.002751612047598098</v>
      </c>
      <c r="AB42" s="28" t="n">
        <v>3.413314557707055e-05</v>
      </c>
      <c r="AC42" s="28" t="n">
        <v>2.396826009396162e-05</v>
      </c>
      <c r="AD42" s="28" t="n">
        <v>2.229816433611466e-05</v>
      </c>
      <c r="AE42" s="28" t="n">
        <v>0.00137333713479722</v>
      </c>
      <c r="AF42" s="28" t="n">
        <v>0.004205348752402464</v>
      </c>
      <c r="AG42" s="30" t="n">
        <v>0</v>
      </c>
      <c r="AH42" s="30" t="n">
        <v>1.445647576592023e-05</v>
      </c>
      <c r="AI42" s="30" t="n">
        <v>7.799066831849175e-05</v>
      </c>
      <c r="AJ42" s="30" t="n">
        <v>8.555417467729655e-05</v>
      </c>
      <c r="AK42" s="30" t="n">
        <v>2.081030726588633e-05</v>
      </c>
      <c r="AL42" s="30" t="n">
        <v>0.004201257875736272</v>
      </c>
      <c r="AM42" s="30" t="n">
        <v>0.004400069501763866</v>
      </c>
      <c r="AN42" s="32" t="n">
        <v>0</v>
      </c>
      <c r="AO42" s="32" t="n">
        <v>1.036854518903741e-05</v>
      </c>
      <c r="AP42" s="32" t="n">
        <v>9.833859078204342e-08</v>
      </c>
      <c r="AQ42" s="32" t="n">
        <v>6.549064862657901e-08</v>
      </c>
      <c r="AR42" s="32" t="n">
        <v>8.216978219012728e-08</v>
      </c>
      <c r="AS42" s="32" t="n">
        <v>2.310241285819209e-06</v>
      </c>
      <c r="AT42" s="32" t="n">
        <v>1.292478549645537e-05</v>
      </c>
      <c r="AU42" s="34" t="n">
        <v>0</v>
      </c>
      <c r="AV42" s="34" t="n">
        <v>0</v>
      </c>
      <c r="AW42" s="34" t="n">
        <v>0.05145999836951989</v>
      </c>
      <c r="AX42" s="34" t="n">
        <v>0.0201770987761535</v>
      </c>
      <c r="AY42" s="34" t="n">
        <v>0.02543170234142116</v>
      </c>
      <c r="AZ42" s="34" t="n">
        <v>0.3071581429634602</v>
      </c>
      <c r="BA42" s="34" t="n">
        <v>0.4042269424505548</v>
      </c>
      <c r="BB42" s="6" t="n"/>
      <c r="BC42" s="6" t="n"/>
      <c r="BD42" t="inlineStr">
        <is>
          <t>transport, Bicycle, battery electric, cargo bike, LFP battery, 2050/CH U</t>
        </is>
      </c>
      <c r="BF42" s="5" t="n">
        <v>0.019228396</v>
      </c>
      <c r="BG42" s="5">
        <f>BF42-R42</f>
        <v>-9.4855769718945465E-3</v>
      </c>
      <c r="BH42" s="2" t="n">
        <v>38.341568</v>
      </c>
    </row>
    <row r="43">
      <c r="A43" t="str">
        <f>B43&amp;" - "&amp;D43&amp;" - "&amp;IF(I43&lt;&gt;"",I43&amp;" - "&amp;E43,E43)</f>
        <v>Bicycle, electric (&lt;25 km/h) - 2020 - NCA - CH</v>
      </c>
      <c r="B43" t="inlineStr">
        <is>
          <t>Bicycle, electric (&lt;25 km/h)</t>
        </is>
      </c>
      <c r="D43" s="18" t="n">
        <v>2020</v>
      </c>
      <c r="E43" t="inlineStr">
        <is>
          <t>CH</t>
        </is>
      </c>
      <c r="F43" t="inlineStr">
        <is>
          <t>None</t>
        </is>
      </c>
      <c r="G43" t="inlineStr">
        <is>
          <t>vkm</t>
        </is>
      </c>
      <c r="H43" t="inlineStr">
        <is>
          <t>BEV</t>
        </is>
      </c>
      <c r="I43" t="inlineStr">
        <is>
          <t>NCA</t>
        </is>
      </c>
      <c r="J43" t="inlineStr">
        <is>
          <t>None</t>
        </is>
      </c>
      <c r="L43" s="24" t="n">
        <v>0</v>
      </c>
      <c r="M43" s="24" t="n">
        <v>0</v>
      </c>
      <c r="N43" s="24" t="n">
        <v>0.0007821715621378719</v>
      </c>
      <c r="O43" s="24" t="n">
        <v>0.001195732624675443</v>
      </c>
      <c r="P43" s="24" t="n">
        <v>0.0004498684323099595</v>
      </c>
      <c r="Q43" s="24" t="n">
        <v>0.01195942720652177</v>
      </c>
      <c r="R43" s="24" t="n">
        <v>0.01438719982564505</v>
      </c>
      <c r="S43" s="26" t="n">
        <v>0</v>
      </c>
      <c r="T43" s="26" t="n">
        <v>0</v>
      </c>
      <c r="U43" s="26" t="n">
        <v>8.278772328277276e-05</v>
      </c>
      <c r="V43" s="26" t="n">
        <v>9.831747354962542e-05</v>
      </c>
      <c r="W43" s="26" t="n">
        <v>2.842612478964888e-05</v>
      </c>
      <c r="X43" s="26" t="n">
        <v>0.006185039342466707</v>
      </c>
      <c r="Y43" s="26" t="n">
        <v>0.006394570664088754</v>
      </c>
      <c r="Z43" s="28" t="n">
        <v>0</v>
      </c>
      <c r="AA43" s="28" t="n">
        <v>0.001375806023799049</v>
      </c>
      <c r="AB43" s="28" t="n">
        <v>2.426180353397981e-05</v>
      </c>
      <c r="AC43" s="28" t="n">
        <v>2.396826009396162e-05</v>
      </c>
      <c r="AD43" s="28" t="n">
        <v>1.292154525420241e-05</v>
      </c>
      <c r="AE43" s="28" t="n">
        <v>0.0008246249429236256</v>
      </c>
      <c r="AF43" s="28" t="n">
        <v>0.002261582575604818</v>
      </c>
      <c r="AG43" s="30" t="n">
        <v>0</v>
      </c>
      <c r="AH43" s="30" t="n">
        <v>7.228237882960114e-06</v>
      </c>
      <c r="AI43" s="30" t="n">
        <v>5.543568400265283e-05</v>
      </c>
      <c r="AJ43" s="30" t="n">
        <v>8.555417467729655e-05</v>
      </c>
      <c r="AK43" s="30" t="n">
        <v>1.205934816143086e-05</v>
      </c>
      <c r="AL43" s="30" t="n">
        <v>0.00257316314048642</v>
      </c>
      <c r="AM43" s="30" t="n">
        <v>0.00273344058521076</v>
      </c>
      <c r="AN43" s="32" t="n">
        <v>0</v>
      </c>
      <c r="AO43" s="32" t="n">
        <v>5.184272594518707e-06</v>
      </c>
      <c r="AP43" s="32" t="n">
        <v>6.989896562492967e-08</v>
      </c>
      <c r="AQ43" s="32" t="n">
        <v>6.549064862657901e-08</v>
      </c>
      <c r="AR43" s="32" t="n">
        <v>4.761650076181523e-08</v>
      </c>
      <c r="AS43" s="32" t="n">
        <v>1.614841507887932e-06</v>
      </c>
      <c r="AT43" s="32" t="n">
        <v>6.982120217419962e-06</v>
      </c>
      <c r="AU43" s="34" t="n">
        <v>0</v>
      </c>
      <c r="AV43" s="34" t="n">
        <v>0</v>
      </c>
      <c r="AW43" s="34" t="n">
        <v>0.03657771205062681</v>
      </c>
      <c r="AX43" s="34" t="n">
        <v>0.0201770987761535</v>
      </c>
      <c r="AY43" s="34" t="n">
        <v>0.01473739666380712</v>
      </c>
      <c r="AZ43" s="34" t="n">
        <v>0.151927587328118</v>
      </c>
      <c r="BA43" s="34" t="n">
        <v>0.2234197948187054</v>
      </c>
      <c r="BB43" s="6" t="n"/>
      <c r="BC43" s="6" t="n"/>
      <c r="BD43" t="inlineStr">
        <is>
          <t>transport, Bicycle, electric (&lt;25 km/h), NCA battery/CH U</t>
        </is>
      </c>
      <c r="BF43" s="5" t="n">
        <v>0.010966287</v>
      </c>
      <c r="BG43" s="5">
        <f>BF43-R43</f>
        <v>-3.4209128256450453E-3</v>
      </c>
      <c r="BH43" s="2" t="n">
        <v>29.496978</v>
      </c>
    </row>
    <row r="44">
      <c r="A44" t="str">
        <f>B44&amp;" - "&amp;D44&amp;" - "&amp;IF(I44&lt;&gt;"",I44&amp;" - "&amp;E44,E44)</f>
        <v>Bicycle, electric (&lt;25 km/h) - 2030 - NCA - CH</v>
      </c>
      <c r="B44" t="inlineStr">
        <is>
          <t>Bicycle, electric (&lt;25 km/h)</t>
        </is>
      </c>
      <c r="D44" s="18" t="n">
        <v>2030</v>
      </c>
      <c r="E44" t="inlineStr">
        <is>
          <t>CH</t>
        </is>
      </c>
      <c r="F44" t="inlineStr">
        <is>
          <t>None</t>
        </is>
      </c>
      <c r="G44" t="inlineStr">
        <is>
          <t>vkm</t>
        </is>
      </c>
      <c r="H44" t="inlineStr">
        <is>
          <t>BEV</t>
        </is>
      </c>
      <c r="I44" t="inlineStr">
        <is>
          <t>NCA</t>
        </is>
      </c>
      <c r="J44" t="inlineStr">
        <is>
          <t>None</t>
        </is>
      </c>
      <c r="L44" s="24" t="n">
        <v>0</v>
      </c>
      <c r="M44" s="24" t="n">
        <v>0</v>
      </c>
      <c r="N44" s="24" t="n">
        <v>0.0007821715621378719</v>
      </c>
      <c r="O44" s="24" t="n">
        <v>0.001195732624675443</v>
      </c>
      <c r="P44" s="24" t="n">
        <v>0.0004501441985582445</v>
      </c>
      <c r="Q44" s="24" t="n">
        <v>0.01243947139861601</v>
      </c>
      <c r="R44" s="24" t="n">
        <v>0.01486751978398757</v>
      </c>
      <c r="S44" s="26" t="n">
        <v>0</v>
      </c>
      <c r="T44" s="26" t="n">
        <v>0</v>
      </c>
      <c r="U44" s="26" t="n">
        <v>8.278772328277276e-05</v>
      </c>
      <c r="V44" s="26" t="n">
        <v>9.831747354962542e-05</v>
      </c>
      <c r="W44" s="26" t="n">
        <v>2.844354980821769e-05</v>
      </c>
      <c r="X44" s="26" t="n">
        <v>0.006027723165204296</v>
      </c>
      <c r="Y44" s="26" t="n">
        <v>0.006237271911844912</v>
      </c>
      <c r="Z44" s="28" t="n">
        <v>0</v>
      </c>
      <c r="AA44" s="28" t="n">
        <v>0.001375806023799049</v>
      </c>
      <c r="AB44" s="28" t="n">
        <v>2.426180353397981e-05</v>
      </c>
      <c r="AC44" s="28" t="n">
        <v>2.396826009396162e-05</v>
      </c>
      <c r="AD44" s="28" t="n">
        <v>1.292946607238141e-05</v>
      </c>
      <c r="AE44" s="28" t="n">
        <v>0.0008332077345034115</v>
      </c>
      <c r="AF44" s="28" t="n">
        <v>0.002270173288002783</v>
      </c>
      <c r="AG44" s="30" t="n">
        <v>0</v>
      </c>
      <c r="AH44" s="30" t="n">
        <v>7.228237882960114e-06</v>
      </c>
      <c r="AI44" s="30" t="n">
        <v>5.543568400265283e-05</v>
      </c>
      <c r="AJ44" s="30" t="n">
        <v>8.555417467729655e-05</v>
      </c>
      <c r="AK44" s="30" t="n">
        <v>1.206674045873468e-05</v>
      </c>
      <c r="AL44" s="30" t="n">
        <v>0.002608428463405082</v>
      </c>
      <c r="AM44" s="30" t="n">
        <v>0.002768713300426726</v>
      </c>
      <c r="AN44" s="32" t="n">
        <v>0</v>
      </c>
      <c r="AO44" s="32" t="n">
        <v>5.184272594518707e-06</v>
      </c>
      <c r="AP44" s="32" t="n">
        <v>6.989896562492967e-08</v>
      </c>
      <c r="AQ44" s="32" t="n">
        <v>6.549064862657901e-08</v>
      </c>
      <c r="AR44" s="32" t="n">
        <v>4.764568934858519e-08</v>
      </c>
      <c r="AS44" s="32" t="n">
        <v>1.577329677426445e-06</v>
      </c>
      <c r="AT44" s="32" t="n">
        <v>6.944637575545244e-06</v>
      </c>
      <c r="AU44" s="34" t="n">
        <v>0</v>
      </c>
      <c r="AV44" s="34" t="n">
        <v>0</v>
      </c>
      <c r="AW44" s="34" t="n">
        <v>0.03657771205062681</v>
      </c>
      <c r="AX44" s="34" t="n">
        <v>0.0201770987761535</v>
      </c>
      <c r="AY44" s="34" t="n">
        <v>0.01474643058638444</v>
      </c>
      <c r="AZ44" s="34" t="n">
        <v>0.1560446812347301</v>
      </c>
      <c r="BA44" s="34" t="n">
        <v>0.2275459226478949</v>
      </c>
      <c r="BB44" s="6" t="n"/>
      <c r="BC44" s="6" t="n"/>
      <c r="BD44" t="inlineStr">
        <is>
          <t>transport, Bicycle, electric (&lt;25 km/h), NCA battery, 2030/CH U</t>
        </is>
      </c>
      <c r="BF44" s="5" t="n">
        <v>0.011049342</v>
      </c>
      <c r="BG44" s="5">
        <f>BF44-R44</f>
        <v>-3.8181777839875718E-3</v>
      </c>
      <c r="BH44" s="2" t="n">
        <v>28.402825</v>
      </c>
    </row>
    <row r="45">
      <c r="A45" t="str">
        <f>B45&amp;" - "&amp;D45&amp;" - "&amp;IF(I45&lt;&gt;"",I45&amp;" - "&amp;E45,E45)</f>
        <v>Bicycle, electric (&lt;25 km/h) - 2040 - NCA - CH</v>
      </c>
      <c r="B45" t="inlineStr">
        <is>
          <t>Bicycle, electric (&lt;25 km/h)</t>
        </is>
      </c>
      <c r="D45" s="18" t="n">
        <v>2040</v>
      </c>
      <c r="E45" t="inlineStr">
        <is>
          <t>CH</t>
        </is>
      </c>
      <c r="F45" t="inlineStr">
        <is>
          <t>None</t>
        </is>
      </c>
      <c r="G45" t="inlineStr">
        <is>
          <t>vkm</t>
        </is>
      </c>
      <c r="H45" t="inlineStr">
        <is>
          <t>BEV</t>
        </is>
      </c>
      <c r="I45" t="inlineStr">
        <is>
          <t>NCA</t>
        </is>
      </c>
      <c r="J45" t="inlineStr">
        <is>
          <t>None</t>
        </is>
      </c>
      <c r="L45" s="24" t="n">
        <v>0</v>
      </c>
      <c r="M45" s="24" t="n">
        <v>0</v>
      </c>
      <c r="N45" s="24" t="n">
        <v>0.0007821715621378719</v>
      </c>
      <c r="O45" s="24" t="n">
        <v>0.001195732624675443</v>
      </c>
      <c r="P45" s="24" t="n">
        <v>0.0004472460140397849</v>
      </c>
      <c r="Q45" s="24" t="n">
        <v>0.0121982504598378</v>
      </c>
      <c r="R45" s="24" t="n">
        <v>0.0146234006606909</v>
      </c>
      <c r="S45" s="26" t="n">
        <v>0</v>
      </c>
      <c r="T45" s="26" t="n">
        <v>0</v>
      </c>
      <c r="U45" s="26" t="n">
        <v>8.278772328277276e-05</v>
      </c>
      <c r="V45" s="26" t="n">
        <v>9.831747354962542e-05</v>
      </c>
      <c r="W45" s="26" t="n">
        <v>2.826042036665598e-05</v>
      </c>
      <c r="X45" s="26" t="n">
        <v>0.005399404820817384</v>
      </c>
      <c r="Y45" s="26" t="n">
        <v>0.005608770438016438</v>
      </c>
      <c r="Z45" s="28" t="n">
        <v>0</v>
      </c>
      <c r="AA45" s="28" t="n">
        <v>0.001375806023799049</v>
      </c>
      <c r="AB45" s="28" t="n">
        <v>2.426180353397981e-05</v>
      </c>
      <c r="AC45" s="28" t="n">
        <v>2.396826009396162e-05</v>
      </c>
      <c r="AD45" s="28" t="n">
        <v>1.284622168419881e-05</v>
      </c>
      <c r="AE45" s="28" t="n">
        <v>0.0007736849307968414</v>
      </c>
      <c r="AF45" s="28" t="n">
        <v>0.002210567239908031</v>
      </c>
      <c r="AG45" s="30" t="n">
        <v>0</v>
      </c>
      <c r="AH45" s="30" t="n">
        <v>7.228237882960114e-06</v>
      </c>
      <c r="AI45" s="30" t="n">
        <v>5.543568400265283e-05</v>
      </c>
      <c r="AJ45" s="30" t="n">
        <v>8.555417467729655e-05</v>
      </c>
      <c r="AK45" s="30" t="n">
        <v>1.198905059735741e-05</v>
      </c>
      <c r="AL45" s="30" t="n">
        <v>0.002434664293869662</v>
      </c>
      <c r="AM45" s="30" t="n">
        <v>0.002594871441029929</v>
      </c>
      <c r="AN45" s="32" t="n">
        <v>0</v>
      </c>
      <c r="AO45" s="32" t="n">
        <v>5.184272594518707e-06</v>
      </c>
      <c r="AP45" s="32" t="n">
        <v>6.989896562492967e-08</v>
      </c>
      <c r="AQ45" s="32" t="n">
        <v>6.549064862657901e-08</v>
      </c>
      <c r="AR45" s="32" t="n">
        <v>4.733892987088076e-08</v>
      </c>
      <c r="AS45" s="32" t="n">
        <v>1.41970022569241e-06</v>
      </c>
      <c r="AT45" s="32" t="n">
        <v>6.786701364333506e-06</v>
      </c>
      <c r="AU45" s="34" t="n">
        <v>0</v>
      </c>
      <c r="AV45" s="34" t="n">
        <v>0</v>
      </c>
      <c r="AW45" s="34" t="n">
        <v>0.03657771205062681</v>
      </c>
      <c r="AX45" s="34" t="n">
        <v>0.0201770987761535</v>
      </c>
      <c r="AY45" s="34" t="n">
        <v>0.01465148795030274</v>
      </c>
      <c r="AZ45" s="34" t="n">
        <v>0.150794877313502</v>
      </c>
      <c r="BA45" s="34" t="n">
        <v>0.2222011760905851</v>
      </c>
      <c r="BB45" s="6" t="n"/>
      <c r="BC45" s="6" t="n"/>
      <c r="BD45" t="inlineStr">
        <is>
          <t>transport, Bicycle, electric (&lt;25 km/h), NCA battery, 2040/CH U</t>
        </is>
      </c>
      <c r="BF45" s="5" t="n">
        <v>0.010641948</v>
      </c>
      <c r="BG45" s="5">
        <f>BF45-R45</f>
        <v>-3.9814526606908995E-3</v>
      </c>
      <c r="BH45" s="2" t="n">
        <v>25.328283</v>
      </c>
    </row>
    <row r="46">
      <c r="A46" t="str">
        <f>B46&amp;" - "&amp;D46&amp;" - "&amp;IF(I46&lt;&gt;"",I46&amp;" - "&amp;E46,E46)</f>
        <v>Bicycle, electric (&lt;25 km/h) - 2050 - NCA - CH</v>
      </c>
      <c r="B46" t="inlineStr">
        <is>
          <t>Bicycle, electric (&lt;25 km/h)</t>
        </is>
      </c>
      <c r="D46" s="18" t="n">
        <v>2050</v>
      </c>
      <c r="E46" t="inlineStr">
        <is>
          <t>CH</t>
        </is>
      </c>
      <c r="F46" t="inlineStr">
        <is>
          <t>None</t>
        </is>
      </c>
      <c r="G46" t="inlineStr">
        <is>
          <t>vkm</t>
        </is>
      </c>
      <c r="H46" t="inlineStr">
        <is>
          <t>BEV</t>
        </is>
      </c>
      <c r="I46" t="inlineStr">
        <is>
          <t>NCA</t>
        </is>
      </c>
      <c r="J46" t="inlineStr">
        <is>
          <t>None</t>
        </is>
      </c>
      <c r="L46" s="24" t="n">
        <v>0</v>
      </c>
      <c r="M46" s="24" t="n">
        <v>0</v>
      </c>
      <c r="N46" s="24" t="n">
        <v>0.0007821715621378719</v>
      </c>
      <c r="O46" s="24" t="n">
        <v>0.001195732624675443</v>
      </c>
      <c r="P46" s="24" t="n">
        <v>0.0004482930021642546</v>
      </c>
      <c r="Q46" s="24" t="n">
        <v>0.01260365568323627</v>
      </c>
      <c r="R46" s="24" t="n">
        <v>0.01502985287221384</v>
      </c>
      <c r="S46" s="26" t="n">
        <v>0</v>
      </c>
      <c r="T46" s="26" t="n">
        <v>0</v>
      </c>
      <c r="U46" s="26" t="n">
        <v>8.278772328277276e-05</v>
      </c>
      <c r="V46" s="26" t="n">
        <v>9.831747354962542e-05</v>
      </c>
      <c r="W46" s="26" t="n">
        <v>2.832657707591125e-05</v>
      </c>
      <c r="X46" s="26" t="n">
        <v>0.005372711766060539</v>
      </c>
      <c r="Y46" s="26" t="n">
        <v>0.005582143539968849</v>
      </c>
      <c r="Z46" s="28" t="n">
        <v>0</v>
      </c>
      <c r="AA46" s="28" t="n">
        <v>0.001375806023799049</v>
      </c>
      <c r="AB46" s="28" t="n">
        <v>2.426180353397981e-05</v>
      </c>
      <c r="AC46" s="28" t="n">
        <v>2.396826009396162e-05</v>
      </c>
      <c r="AD46" s="28" t="n">
        <v>1.287629426422289e-05</v>
      </c>
      <c r="AE46" s="28" t="n">
        <v>0.0007893391475021884</v>
      </c>
      <c r="AF46" s="28" t="n">
        <v>0.002226251529193402</v>
      </c>
      <c r="AG46" s="30" t="n">
        <v>0</v>
      </c>
      <c r="AH46" s="30" t="n">
        <v>7.228237882960114e-06</v>
      </c>
      <c r="AI46" s="30" t="n">
        <v>5.543568400265283e-05</v>
      </c>
      <c r="AJ46" s="30" t="n">
        <v>8.555417467729655e-05</v>
      </c>
      <c r="AK46" s="30" t="n">
        <v>1.201711656822145e-05</v>
      </c>
      <c r="AL46" s="30" t="n">
        <v>0.002486215165029011</v>
      </c>
      <c r="AM46" s="30" t="n">
        <v>0.002646450378160142</v>
      </c>
      <c r="AN46" s="32" t="n">
        <v>0</v>
      </c>
      <c r="AO46" s="32" t="n">
        <v>5.184272594518707e-06</v>
      </c>
      <c r="AP46" s="32" t="n">
        <v>6.989896562492967e-08</v>
      </c>
      <c r="AQ46" s="32" t="n">
        <v>6.549064862657901e-08</v>
      </c>
      <c r="AR46" s="32" t="n">
        <v>4.744974873978969e-08</v>
      </c>
      <c r="AS46" s="32" t="n">
        <v>1.415924914824982e-06</v>
      </c>
      <c r="AT46" s="32" t="n">
        <v>6.783036872334986e-06</v>
      </c>
      <c r="AU46" s="34" t="n">
        <v>0</v>
      </c>
      <c r="AV46" s="34" t="n">
        <v>0</v>
      </c>
      <c r="AW46" s="34" t="n">
        <v>0.03657771205062681</v>
      </c>
      <c r="AX46" s="34" t="n">
        <v>0.0201770987761535</v>
      </c>
      <c r="AY46" s="34" t="n">
        <v>0.01468578659893958</v>
      </c>
      <c r="AZ46" s="34" t="n">
        <v>0.1547852957869477</v>
      </c>
      <c r="BA46" s="34" t="n">
        <v>0.2262258932126676</v>
      </c>
      <c r="BB46" s="6" t="n"/>
      <c r="BC46" s="6" t="n"/>
      <c r="BD46" t="inlineStr">
        <is>
          <t>transport, Bicycle, electric (&lt;25 km/h), NCA battery, 2050/CH U</t>
        </is>
      </c>
      <c r="BF46" s="5" t="n">
        <v>0.010770303</v>
      </c>
      <c r="BG46" s="5">
        <f>BF46-R46</f>
        <v>-4.259549872213839E-3</v>
      </c>
      <c r="BH46" s="2" t="n">
        <v>24.974366</v>
      </c>
    </row>
    <row r="47">
      <c r="A47" t="str">
        <f>B47&amp;" - "&amp;D47&amp;" - "&amp;IF(I47&lt;&gt;"",I47&amp;" - "&amp;E47,E47)</f>
        <v>Bicycle, electric (&lt;45 km/h) - 2020 - NCA - CH</v>
      </c>
      <c r="B47" t="inlineStr">
        <is>
          <t>Bicycle, electric (&lt;45 km/h)</t>
        </is>
      </c>
      <c r="D47" s="18" t="n">
        <v>2020</v>
      </c>
      <c r="E47" t="inlineStr">
        <is>
          <t>CH</t>
        </is>
      </c>
      <c r="F47" t="inlineStr">
        <is>
          <t>None</t>
        </is>
      </c>
      <c r="G47" t="inlineStr">
        <is>
          <t>vkm</t>
        </is>
      </c>
      <c r="H47" t="inlineStr">
        <is>
          <t>BEV</t>
        </is>
      </c>
      <c r="I47" t="inlineStr">
        <is>
          <t>NCA</t>
        </is>
      </c>
      <c r="J47" t="inlineStr">
        <is>
          <t>None</t>
        </is>
      </c>
      <c r="L47" s="24" t="n">
        <v>0</v>
      </c>
      <c r="M47" s="24" t="n">
        <v>0</v>
      </c>
      <c r="N47" s="24" t="n">
        <v>0.00143649967216162</v>
      </c>
      <c r="O47" s="24" t="n">
        <v>0.001195732624675443</v>
      </c>
      <c r="P47" s="24" t="n">
        <v>0.0004680769214311721</v>
      </c>
      <c r="Q47" s="24" t="n">
        <v>0.00894710220054786</v>
      </c>
      <c r="R47" s="24" t="n">
        <v>0.01204741141881609</v>
      </c>
      <c r="S47" s="26" t="n">
        <v>0</v>
      </c>
      <c r="T47" s="26" t="n">
        <v>0</v>
      </c>
      <c r="U47" s="26" t="n">
        <v>0.0001520440567152036</v>
      </c>
      <c r="V47" s="26" t="n">
        <v>9.831747354962542e-05</v>
      </c>
      <c r="W47" s="26" t="n">
        <v>2.957667625495802e-05</v>
      </c>
      <c r="X47" s="26" t="n">
        <v>0.004355716275509148</v>
      </c>
      <c r="Y47" s="26" t="n">
        <v>0.004635654482028935</v>
      </c>
      <c r="Z47" s="28" t="n">
        <v>0</v>
      </c>
      <c r="AA47" s="28" t="n">
        <v>0.001375806023799049</v>
      </c>
      <c r="AB47" s="28" t="n">
        <v>4.455809250767458e-05</v>
      </c>
      <c r="AC47" s="28" t="n">
        <v>2.396826009396162e-05</v>
      </c>
      <c r="AD47" s="28" t="n">
        <v>1.344454664592552e-05</v>
      </c>
      <c r="AE47" s="28" t="n">
        <v>0.0005977236974738774</v>
      </c>
      <c r="AF47" s="28" t="n">
        <v>0.002055500620520488</v>
      </c>
      <c r="AG47" s="30" t="n">
        <v>0</v>
      </c>
      <c r="AH47" s="30" t="n">
        <v>7.228237882960114e-06</v>
      </c>
      <c r="AI47" s="30" t="n">
        <v>0.0001018105819114773</v>
      </c>
      <c r="AJ47" s="30" t="n">
        <v>8.555417467729655e-05</v>
      </c>
      <c r="AK47" s="30" t="n">
        <v>1.254745200254465e-05</v>
      </c>
      <c r="AL47" s="30" t="n">
        <v>0.001874050359100937</v>
      </c>
      <c r="AM47" s="30" t="n">
        <v>0.002081190805575216</v>
      </c>
      <c r="AN47" s="32" t="n">
        <v>0</v>
      </c>
      <c r="AO47" s="32" t="n">
        <v>5.184272594518707e-06</v>
      </c>
      <c r="AP47" s="32" t="n">
        <v>1.283731678127014e-07</v>
      </c>
      <c r="AQ47" s="32" t="n">
        <v>6.549064862657901e-08</v>
      </c>
      <c r="AR47" s="32" t="n">
        <v>4.954378543849231e-08</v>
      </c>
      <c r="AS47" s="32" t="n">
        <v>1.163191731086597e-06</v>
      </c>
      <c r="AT47" s="32" t="n">
        <v>6.590871927483076e-06</v>
      </c>
      <c r="AU47" s="34" t="n">
        <v>0</v>
      </c>
      <c r="AV47" s="34" t="n">
        <v>0</v>
      </c>
      <c r="AW47" s="34" t="n">
        <v>0.06717691349648652</v>
      </c>
      <c r="AX47" s="34" t="n">
        <v>0.0201770987761535</v>
      </c>
      <c r="AY47" s="34" t="n">
        <v>0.01533389490096958</v>
      </c>
      <c r="AZ47" s="34" t="n">
        <v>0.1127383291124191</v>
      </c>
      <c r="BA47" s="34" t="n">
        <v>0.2154262362860287</v>
      </c>
      <c r="BB47" s="6" t="n"/>
      <c r="BC47" s="6" t="n"/>
      <c r="BD47" t="inlineStr">
        <is>
          <t>transport, Bicycle, electric (&lt;45 km/h), NCA battery/CH U</t>
        </is>
      </c>
      <c r="BF47" s="5" t="n">
        <v>0.0096366753</v>
      </c>
      <c r="BG47" s="5">
        <f>BF47-R47</f>
        <v>-2.4107361188160942E-3</v>
      </c>
      <c r="BH47" s="2" t="n">
        <v>23.98955</v>
      </c>
    </row>
    <row r="48">
      <c r="A48" t="str">
        <f>B48&amp;" - "&amp;D48&amp;" - "&amp;IF(I48&lt;&gt;"",I48&amp;" - "&amp;E48,E48)</f>
        <v>Bicycle, electric (&lt;45 km/h) - 2030 - NCA - CH</v>
      </c>
      <c r="B48" t="inlineStr">
        <is>
          <t>Bicycle, electric (&lt;45 km/h)</t>
        </is>
      </c>
      <c r="D48" s="18" t="n">
        <v>2030</v>
      </c>
      <c r="E48" t="inlineStr">
        <is>
          <t>CH</t>
        </is>
      </c>
      <c r="F48" t="inlineStr">
        <is>
          <t>None</t>
        </is>
      </c>
      <c r="G48" t="inlineStr">
        <is>
          <t>vkm</t>
        </is>
      </c>
      <c r="H48" t="inlineStr">
        <is>
          <t>BEV</t>
        </is>
      </c>
      <c r="I48" t="inlineStr">
        <is>
          <t>NCA</t>
        </is>
      </c>
      <c r="J48" t="inlineStr">
        <is>
          <t>None</t>
        </is>
      </c>
      <c r="L48" s="24" t="n">
        <v>0</v>
      </c>
      <c r="M48" s="24" t="n">
        <v>0</v>
      </c>
      <c r="N48" s="24" t="n">
        <v>0.00143649967216162</v>
      </c>
      <c r="O48" s="24" t="n">
        <v>0.001195732624675443</v>
      </c>
      <c r="P48" s="24" t="n">
        <v>0.0004679429966742299</v>
      </c>
      <c r="Q48" s="24" t="n">
        <v>0.009365862535549198</v>
      </c>
      <c r="R48" s="24" t="n">
        <v>0.01246603782906049</v>
      </c>
      <c r="S48" s="26" t="n">
        <v>0</v>
      </c>
      <c r="T48" s="26" t="n">
        <v>0</v>
      </c>
      <c r="U48" s="26" t="n">
        <v>0.0001520440567152036</v>
      </c>
      <c r="V48" s="26" t="n">
        <v>9.831747354962542e-05</v>
      </c>
      <c r="W48" s="26" t="n">
        <v>2.956821386555738e-05</v>
      </c>
      <c r="X48" s="26" t="n">
        <v>0.004268857602036443</v>
      </c>
      <c r="Y48" s="26" t="n">
        <v>0.00454878734616683</v>
      </c>
      <c r="Z48" s="28" t="n">
        <v>0</v>
      </c>
      <c r="AA48" s="28" t="n">
        <v>0.001375806023799049</v>
      </c>
      <c r="AB48" s="28" t="n">
        <v>4.455809250767458e-05</v>
      </c>
      <c r="AC48" s="28" t="n">
        <v>2.396826009396162e-05</v>
      </c>
      <c r="AD48" s="28" t="n">
        <v>1.344069993279074e-05</v>
      </c>
      <c r="AE48" s="28" t="n">
        <v>0.0006090785249830125</v>
      </c>
      <c r="AF48" s="28" t="n">
        <v>0.002066851601316489</v>
      </c>
      <c r="AG48" s="30" t="n">
        <v>0</v>
      </c>
      <c r="AH48" s="30" t="n">
        <v>7.228237882960114e-06</v>
      </c>
      <c r="AI48" s="30" t="n">
        <v>0.0001018105819114773</v>
      </c>
      <c r="AJ48" s="30" t="n">
        <v>8.555417467729655e-05</v>
      </c>
      <c r="AK48" s="30" t="n">
        <v>1.254386196342341e-05</v>
      </c>
      <c r="AL48" s="30" t="n">
        <v>0.001916548276935175</v>
      </c>
      <c r="AM48" s="30" t="n">
        <v>0.002123685133370332</v>
      </c>
      <c r="AN48" s="32" t="n">
        <v>0</v>
      </c>
      <c r="AO48" s="32" t="n">
        <v>5.184272594518707e-06</v>
      </c>
      <c r="AP48" s="32" t="n">
        <v>1.283731678127014e-07</v>
      </c>
      <c r="AQ48" s="32" t="n">
        <v>6.549064862657901e-08</v>
      </c>
      <c r="AR48" s="32" t="n">
        <v>4.952961012003704e-08</v>
      </c>
      <c r="AS48" s="32" t="n">
        <v>1.142337273804695e-06</v>
      </c>
      <c r="AT48" s="32" t="n">
        <v>6.570003294882719e-06</v>
      </c>
      <c r="AU48" s="34" t="n">
        <v>0</v>
      </c>
      <c r="AV48" s="34" t="n">
        <v>0</v>
      </c>
      <c r="AW48" s="34" t="n">
        <v>0.06717691349648652</v>
      </c>
      <c r="AX48" s="34" t="n">
        <v>0.0201770987761535</v>
      </c>
      <c r="AY48" s="34" t="n">
        <v>0.01532950761321073</v>
      </c>
      <c r="AZ48" s="34" t="n">
        <v>0.116540654959193</v>
      </c>
      <c r="BA48" s="34" t="n">
        <v>0.2192241748450438</v>
      </c>
      <c r="BB48" s="6" t="n"/>
      <c r="BC48" s="6" t="n"/>
      <c r="BD48" t="inlineStr">
        <is>
          <t>transport, Bicycle, electric (&lt;45 km/h), NCA battery, 2030/CH U</t>
        </is>
      </c>
      <c r="BF48" s="5" t="n">
        <v>0.009732214899999999</v>
      </c>
      <c r="BG48" s="5">
        <f>BF48-R48</f>
        <v>-2.7338229290604903E-3</v>
      </c>
      <c r="BH48" s="2" t="n">
        <v>23.280941</v>
      </c>
    </row>
    <row r="49">
      <c r="A49" t="str">
        <f>B49&amp;" - "&amp;D49&amp;" - "&amp;IF(I49&lt;&gt;"",I49&amp;" - "&amp;E49,E49)</f>
        <v>Bicycle, electric (&lt;45 km/h) - 2040 - NCA - CH</v>
      </c>
      <c r="B49" t="inlineStr">
        <is>
          <t>Bicycle, electric (&lt;45 km/h)</t>
        </is>
      </c>
      <c r="D49" s="18" t="n">
        <v>2040</v>
      </c>
      <c r="E49" t="inlineStr">
        <is>
          <t>CH</t>
        </is>
      </c>
      <c r="F49" t="inlineStr">
        <is>
          <t>None</t>
        </is>
      </c>
      <c r="G49" t="inlineStr">
        <is>
          <t>vkm</t>
        </is>
      </c>
      <c r="H49" t="inlineStr">
        <is>
          <t>BEV</t>
        </is>
      </c>
      <c r="I49" t="inlineStr">
        <is>
          <t>NCA</t>
        </is>
      </c>
      <c r="J49" t="inlineStr">
        <is>
          <t>None</t>
        </is>
      </c>
      <c r="L49" s="24" t="n">
        <v>0</v>
      </c>
      <c r="M49" s="24" t="n">
        <v>0</v>
      </c>
      <c r="N49" s="24" t="n">
        <v>0.00143649967216162</v>
      </c>
      <c r="O49" s="24" t="n">
        <v>0.001195732624675443</v>
      </c>
      <c r="P49" s="24" t="n">
        <v>0.0004643164725909217</v>
      </c>
      <c r="Q49" s="24" t="n">
        <v>0.009254534497905807</v>
      </c>
      <c r="R49" s="24" t="n">
        <v>0.01235108326733379</v>
      </c>
      <c r="S49" s="26" t="n">
        <v>0</v>
      </c>
      <c r="T49" s="26" t="n">
        <v>0</v>
      </c>
      <c r="U49" s="26" t="n">
        <v>0.0001520440567152036</v>
      </c>
      <c r="V49" s="26" t="n">
        <v>9.831747354962542e-05</v>
      </c>
      <c r="W49" s="26" t="n">
        <v>2.933906236538331e-05</v>
      </c>
      <c r="X49" s="26" t="n">
        <v>0.00384682584454692</v>
      </c>
      <c r="Y49" s="26" t="n">
        <v>0.004126526437177132</v>
      </c>
      <c r="Z49" s="28" t="n">
        <v>0</v>
      </c>
      <c r="AA49" s="28" t="n">
        <v>0.001375806023799049</v>
      </c>
      <c r="AB49" s="28" t="n">
        <v>4.455809250767458e-05</v>
      </c>
      <c r="AC49" s="28" t="n">
        <v>2.396826009396162e-05</v>
      </c>
      <c r="AD49" s="28" t="n">
        <v>1.333653548893923e-05</v>
      </c>
      <c r="AE49" s="28" t="n">
        <v>0.000571394980675137</v>
      </c>
      <c r="AF49" s="28" t="n">
        <v>0.002029063892564761</v>
      </c>
      <c r="AG49" s="30" t="n">
        <v>0</v>
      </c>
      <c r="AH49" s="30" t="n">
        <v>7.228237882960114e-06</v>
      </c>
      <c r="AI49" s="30" t="n">
        <v>0.0001018105819114773</v>
      </c>
      <c r="AJ49" s="30" t="n">
        <v>8.555417467729655e-05</v>
      </c>
      <c r="AK49" s="30" t="n">
        <v>1.244664794840158e-05</v>
      </c>
      <c r="AL49" s="30" t="n">
        <v>0.001805207430249791</v>
      </c>
      <c r="AM49" s="30" t="n">
        <v>0.002012247072669926</v>
      </c>
      <c r="AN49" s="32" t="n">
        <v>0</v>
      </c>
      <c r="AO49" s="32" t="n">
        <v>5.184272594518707e-06</v>
      </c>
      <c r="AP49" s="32" t="n">
        <v>1.283731678127014e-07</v>
      </c>
      <c r="AQ49" s="32" t="n">
        <v>6.549064862657901e-08</v>
      </c>
      <c r="AR49" s="32" t="n">
        <v>4.914575925526552e-08</v>
      </c>
      <c r="AS49" s="32" t="n">
        <v>1.037913047262548e-06</v>
      </c>
      <c r="AT49" s="32" t="n">
        <v>6.465195217475801e-06</v>
      </c>
      <c r="AU49" s="34" t="n">
        <v>0</v>
      </c>
      <c r="AV49" s="34" t="n">
        <v>0</v>
      </c>
      <c r="AW49" s="34" t="n">
        <v>0.06717691349648652</v>
      </c>
      <c r="AX49" s="34" t="n">
        <v>0.0201770987761535</v>
      </c>
      <c r="AY49" s="34" t="n">
        <v>0.01521070504764254</v>
      </c>
      <c r="AZ49" s="34" t="n">
        <v>0.1135620939311553</v>
      </c>
      <c r="BA49" s="34" t="n">
        <v>0.2161268112514378</v>
      </c>
      <c r="BB49" s="6" t="n"/>
      <c r="BC49" s="6" t="n"/>
      <c r="BD49" t="inlineStr">
        <is>
          <t>transport, Bicycle, electric (&lt;45 km/h), NCA battery, 2040/CH U</t>
        </is>
      </c>
      <c r="BF49" s="5" t="n">
        <v>0.0094739565</v>
      </c>
      <c r="BG49" s="5">
        <f>BF49-R49</f>
        <v>-2.8771267673337909E-3</v>
      </c>
      <c r="BH49" s="2" t="n">
        <v>21.207725</v>
      </c>
    </row>
    <row r="50">
      <c r="A50" t="str">
        <f>B50&amp;" - "&amp;D50&amp;" - "&amp;IF(I50&lt;&gt;"",I50&amp;" - "&amp;E50,E50)</f>
        <v>Bicycle, electric (&lt;45 km/h) - 2050 - NCA - CH</v>
      </c>
      <c r="B50" t="inlineStr">
        <is>
          <t>Bicycle, electric (&lt;45 km/h)</t>
        </is>
      </c>
      <c r="D50" s="18" t="n">
        <v>2050</v>
      </c>
      <c r="E50" t="inlineStr">
        <is>
          <t>CH</t>
        </is>
      </c>
      <c r="F50" t="inlineStr">
        <is>
          <t>None</t>
        </is>
      </c>
      <c r="G50" t="inlineStr">
        <is>
          <t>vkm</t>
        </is>
      </c>
      <c r="H50" t="inlineStr">
        <is>
          <t>BEV</t>
        </is>
      </c>
      <c r="I50" t="inlineStr">
        <is>
          <t>NCA</t>
        </is>
      </c>
      <c r="J50" t="inlineStr">
        <is>
          <t>None</t>
        </is>
      </c>
      <c r="L50" s="24" t="n">
        <v>0</v>
      </c>
      <c r="M50" s="24" t="n">
        <v>0</v>
      </c>
      <c r="N50" s="24" t="n">
        <v>0.00143649967216162</v>
      </c>
      <c r="O50" s="24" t="n">
        <v>0.001195732624675443</v>
      </c>
      <c r="P50" s="24" t="n">
        <v>0.0004650903333785732</v>
      </c>
      <c r="Q50" s="24" t="n">
        <v>0.009590625253276171</v>
      </c>
      <c r="R50" s="24" t="n">
        <v>0.01268794788349181</v>
      </c>
      <c r="S50" s="26" t="n">
        <v>0</v>
      </c>
      <c r="T50" s="26" t="n">
        <v>0</v>
      </c>
      <c r="U50" s="26" t="n">
        <v>0.0001520440567152036</v>
      </c>
      <c r="V50" s="26" t="n">
        <v>9.831747354962542e-05</v>
      </c>
      <c r="W50" s="26" t="n">
        <v>2.938796080265894e-05</v>
      </c>
      <c r="X50" s="26" t="n">
        <v>0.00384104300407285</v>
      </c>
      <c r="Y50" s="26" t="n">
        <v>0.004120792495140337</v>
      </c>
      <c r="Z50" s="28" t="n">
        <v>0</v>
      </c>
      <c r="AA50" s="28" t="n">
        <v>0.001375806023799049</v>
      </c>
      <c r="AB50" s="28" t="n">
        <v>4.455809250767458e-05</v>
      </c>
      <c r="AC50" s="28" t="n">
        <v>2.396826009396162e-05</v>
      </c>
      <c r="AD50" s="28" t="n">
        <v>1.335876304808745e-05</v>
      </c>
      <c r="AE50" s="28" t="n">
        <v>0.000585586437832721</v>
      </c>
      <c r="AF50" s="28" t="n">
        <v>0.002043277577281493</v>
      </c>
      <c r="AG50" s="30" t="n">
        <v>0</v>
      </c>
      <c r="AH50" s="30" t="n">
        <v>7.228237882960114e-06</v>
      </c>
      <c r="AI50" s="30" t="n">
        <v>0.0001018105819114773</v>
      </c>
      <c r="AJ50" s="30" t="n">
        <v>8.555417467729655e-05</v>
      </c>
      <c r="AK50" s="30" t="n">
        <v>1.246739236164892e-05</v>
      </c>
      <c r="AL50" s="30" t="n">
        <v>0.001852233154816748</v>
      </c>
      <c r="AM50" s="30" t="n">
        <v>0.002059293541650131</v>
      </c>
      <c r="AN50" s="32" t="n">
        <v>0</v>
      </c>
      <c r="AO50" s="32" t="n">
        <v>5.184272594518707e-06</v>
      </c>
      <c r="AP50" s="32" t="n">
        <v>1.283731678127014e-07</v>
      </c>
      <c r="AQ50" s="32" t="n">
        <v>6.549064862657901e-08</v>
      </c>
      <c r="AR50" s="32" t="n">
        <v>4.922766885402429e-08</v>
      </c>
      <c r="AS50" s="32" t="n">
        <v>1.038165121198836e-06</v>
      </c>
      <c r="AT50" s="32" t="n">
        <v>6.465529201010848e-06</v>
      </c>
      <c r="AU50" s="34" t="n">
        <v>0</v>
      </c>
      <c r="AV50" s="34" t="n">
        <v>0</v>
      </c>
      <c r="AW50" s="34" t="n">
        <v>0.06717691349648652</v>
      </c>
      <c r="AX50" s="34" t="n">
        <v>0.0201770987761535</v>
      </c>
      <c r="AY50" s="34" t="n">
        <v>0.01523605622272195</v>
      </c>
      <c r="AZ50" s="34" t="n">
        <v>0.1169274377405541</v>
      </c>
      <c r="BA50" s="34" t="n">
        <v>0.2195175062359161</v>
      </c>
      <c r="BB50" s="6" t="n"/>
      <c r="BC50" s="6" t="n"/>
      <c r="BD50" t="inlineStr">
        <is>
          <t>transport, Bicycle, electric (&lt;45 km/h), NCA battery, 2050/CH U</t>
        </is>
      </c>
      <c r="BF50" s="5" t="n">
        <v>0.009586754499999999</v>
      </c>
      <c r="BG50" s="5">
        <f>BF50-R50</f>
        <v>-3.1011933834918081E-3</v>
      </c>
      <c r="BH50" s="2" t="n">
        <v>20.986548</v>
      </c>
    </row>
    <row r="51">
      <c r="A51" t="str">
        <f>B51&amp;" - "&amp;D51&amp;" - "&amp;IF(I51&lt;&gt;"",I51&amp;" - "&amp;E51,E51)</f>
        <v>Bicycle, battery electric, cargo bike - 2020 - NCA - CH</v>
      </c>
      <c r="B51" t="inlineStr">
        <is>
          <t>Bicycle, battery electric, cargo bike</t>
        </is>
      </c>
      <c r="D51" s="18" t="n">
        <v>2020</v>
      </c>
      <c r="E51" t="inlineStr">
        <is>
          <t>CH</t>
        </is>
      </c>
      <c r="F51" t="inlineStr">
        <is>
          <t>None</t>
        </is>
      </c>
      <c r="G51" t="inlineStr">
        <is>
          <t>vkm</t>
        </is>
      </c>
      <c r="H51" t="inlineStr">
        <is>
          <t>BEV</t>
        </is>
      </c>
      <c r="I51" t="inlineStr">
        <is>
          <t>NCA</t>
        </is>
      </c>
      <c r="J51" t="inlineStr">
        <is>
          <t>None</t>
        </is>
      </c>
      <c r="L51" s="24" t="n">
        <v>0</v>
      </c>
      <c r="M51" s="24" t="n">
        <v>0</v>
      </c>
      <c r="N51" s="24" t="n">
        <v>0.001100411837038614</v>
      </c>
      <c r="O51" s="24" t="n">
        <v>0.001195732624675443</v>
      </c>
      <c r="P51" s="24" t="n">
        <v>0.0007730691142114835</v>
      </c>
      <c r="Q51" s="24" t="n">
        <v>0.02087827846676268</v>
      </c>
      <c r="R51" s="24" t="n">
        <v>0.02394749204268822</v>
      </c>
      <c r="S51" s="26" t="n">
        <v>0</v>
      </c>
      <c r="T51" s="26" t="n">
        <v>0</v>
      </c>
      <c r="U51" s="26" t="n">
        <v>0.0001164713664772465</v>
      </c>
      <c r="V51" s="26" t="n">
        <v>9.831747354962542e-05</v>
      </c>
      <c r="W51" s="26" t="n">
        <v>4.884841329888628e-05</v>
      </c>
      <c r="X51" s="26" t="n">
        <v>0.007072774482135023</v>
      </c>
      <c r="Y51" s="26" t="n">
        <v>0.007336411735460782</v>
      </c>
      <c r="Z51" s="28" t="n">
        <v>0</v>
      </c>
      <c r="AA51" s="28" t="n">
        <v>0.002751612047598098</v>
      </c>
      <c r="AB51" s="28" t="n">
        <v>3.413314557707055e-05</v>
      </c>
      <c r="AC51" s="28" t="n">
        <v>2.396826009396162e-05</v>
      </c>
      <c r="AD51" s="28" t="n">
        <v>2.220481995728756e-05</v>
      </c>
      <c r="AE51" s="28" t="n">
        <v>0.001159068076553423</v>
      </c>
      <c r="AF51" s="28" t="n">
        <v>0.003990986349779841</v>
      </c>
      <c r="AG51" s="30" t="n">
        <v>0</v>
      </c>
      <c r="AH51" s="30" t="n">
        <v>1.445647576592023e-05</v>
      </c>
      <c r="AI51" s="30" t="n">
        <v>7.799066831849175e-05</v>
      </c>
      <c r="AJ51" s="30" t="n">
        <v>8.555417467729655e-05</v>
      </c>
      <c r="AK51" s="30" t="n">
        <v>2.072319134120059e-05</v>
      </c>
      <c r="AL51" s="30" t="n">
        <v>0.003420637265835189</v>
      </c>
      <c r="AM51" s="30" t="n">
        <v>0.003619361775938098</v>
      </c>
      <c r="AN51" s="32" t="n">
        <v>0</v>
      </c>
      <c r="AO51" s="32" t="n">
        <v>1.036854518903741e-05</v>
      </c>
      <c r="AP51" s="32" t="n">
        <v>9.833859078204342e-08</v>
      </c>
      <c r="AQ51" s="32" t="n">
        <v>6.549064862657901e-08</v>
      </c>
      <c r="AR51" s="32" t="n">
        <v>8.18258037728334e-08</v>
      </c>
      <c r="AS51" s="32" t="n">
        <v>2.336023436605768e-06</v>
      </c>
      <c r="AT51" s="32" t="n">
        <v>1.295022366882463e-05</v>
      </c>
      <c r="AU51" s="34" t="n">
        <v>0</v>
      </c>
      <c r="AV51" s="34" t="n">
        <v>0</v>
      </c>
      <c r="AW51" s="34" t="n">
        <v>0.05145999836951989</v>
      </c>
      <c r="AX51" s="34" t="n">
        <v>0.0201770987761535</v>
      </c>
      <c r="AY51" s="34" t="n">
        <v>0.02532524037344066</v>
      </c>
      <c r="AZ51" s="34" t="n">
        <v>0.2577004487615989</v>
      </c>
      <c r="BA51" s="34" t="n">
        <v>0.3546627862807129</v>
      </c>
      <c r="BB51" s="6" t="n"/>
      <c r="BC51" s="6" t="n"/>
      <c r="BD51" t="inlineStr">
        <is>
          <t>transport, Bicycle, battery electric, cargo bike, NCA battery/CH U</t>
        </is>
      </c>
      <c r="BF51" s="5" t="n">
        <v>0.017379221</v>
      </c>
      <c r="BG51" s="5">
        <f>BF51-R51</f>
        <v>-6.5682710426882215E-3</v>
      </c>
      <c r="BH51" s="2" t="n">
        <v>39.583465</v>
      </c>
    </row>
    <row r="52">
      <c r="A52" t="str">
        <f>B52&amp;" - "&amp;D52&amp;" - "&amp;IF(I52&lt;&gt;"",I52&amp;" - "&amp;E52,E52)</f>
        <v>Bicycle, battery electric, cargo bike - 2030 - NCA - CH</v>
      </c>
      <c r="B52" t="inlineStr">
        <is>
          <t>Bicycle, battery electric, cargo bike</t>
        </is>
      </c>
      <c r="D52" s="18" t="n">
        <v>2030</v>
      </c>
      <c r="E52" t="inlineStr">
        <is>
          <t>CH</t>
        </is>
      </c>
      <c r="F52" t="inlineStr">
        <is>
          <t>None</t>
        </is>
      </c>
      <c r="G52" t="inlineStr">
        <is>
          <t>vkm</t>
        </is>
      </c>
      <c r="H52" t="inlineStr">
        <is>
          <t>BEV</t>
        </is>
      </c>
      <c r="I52" t="inlineStr">
        <is>
          <t>NCA</t>
        </is>
      </c>
      <c r="J52" t="inlineStr">
        <is>
          <t>None</t>
        </is>
      </c>
      <c r="L52" s="24" t="n">
        <v>0</v>
      </c>
      <c r="M52" s="24" t="n">
        <v>0</v>
      </c>
      <c r="N52" s="24" t="n">
        <v>0.001100411837038614</v>
      </c>
      <c r="O52" s="24" t="n">
        <v>0.001195732624675443</v>
      </c>
      <c r="P52" s="24" t="n">
        <v>0.0007683678934333036</v>
      </c>
      <c r="Q52" s="24" t="n">
        <v>0.0220152986110074</v>
      </c>
      <c r="R52" s="24" t="n">
        <v>0.02507981096615476</v>
      </c>
      <c r="S52" s="26" t="n">
        <v>0</v>
      </c>
      <c r="T52" s="26" t="n">
        <v>0</v>
      </c>
      <c r="U52" s="26" t="n">
        <v>0.0001164713664772465</v>
      </c>
      <c r="V52" s="26" t="n">
        <v>9.831747354962542e-05</v>
      </c>
      <c r="W52" s="26" t="n">
        <v>4.855135425027058e-05</v>
      </c>
      <c r="X52" s="26" t="n">
        <v>0.00671262236261844</v>
      </c>
      <c r="Y52" s="26" t="n">
        <v>0.006975962556895582</v>
      </c>
      <c r="Z52" s="28" t="n">
        <v>0</v>
      </c>
      <c r="AA52" s="28" t="n">
        <v>0.002751612047598098</v>
      </c>
      <c r="AB52" s="28" t="n">
        <v>3.413314557707055e-05</v>
      </c>
      <c r="AC52" s="28" t="n">
        <v>2.396826009396162e-05</v>
      </c>
      <c r="AD52" s="28" t="n">
        <v>2.20697870617289e-05</v>
      </c>
      <c r="AE52" s="28" t="n">
        <v>0.00117963669245097</v>
      </c>
      <c r="AF52" s="28" t="n">
        <v>0.004011419932781829</v>
      </c>
      <c r="AG52" s="30" t="n">
        <v>0</v>
      </c>
      <c r="AH52" s="30" t="n">
        <v>1.445647576592023e-05</v>
      </c>
      <c r="AI52" s="30" t="n">
        <v>7.799066831849175e-05</v>
      </c>
      <c r="AJ52" s="30" t="n">
        <v>8.555417467729655e-05</v>
      </c>
      <c r="AK52" s="30" t="n">
        <v>2.059716858859998e-05</v>
      </c>
      <c r="AL52" s="30" t="n">
        <v>0.003514570070195786</v>
      </c>
      <c r="AM52" s="30" t="n">
        <v>0.003713168557546095</v>
      </c>
      <c r="AN52" s="32" t="n">
        <v>0</v>
      </c>
      <c r="AO52" s="32" t="n">
        <v>1.036854518903741e-05</v>
      </c>
      <c r="AP52" s="32" t="n">
        <v>9.833859078204342e-08</v>
      </c>
      <c r="AQ52" s="32" t="n">
        <v>6.549064862657901e-08</v>
      </c>
      <c r="AR52" s="32" t="n">
        <v>8.132820121464495e-08</v>
      </c>
      <c r="AS52" s="32" t="n">
        <v>2.2421527293958e-06</v>
      </c>
      <c r="AT52" s="32" t="n">
        <v>1.285585535905648e-05</v>
      </c>
      <c r="AU52" s="34" t="n">
        <v>0</v>
      </c>
      <c r="AV52" s="34" t="n">
        <v>0</v>
      </c>
      <c r="AW52" s="34" t="n">
        <v>0.05145999836951989</v>
      </c>
      <c r="AX52" s="34" t="n">
        <v>0.0201770987761535</v>
      </c>
      <c r="AY52" s="34" t="n">
        <v>0.02517123144452689</v>
      </c>
      <c r="AZ52" s="34" t="n">
        <v>0.2673210600813328</v>
      </c>
      <c r="BA52" s="34" t="n">
        <v>0.364129388671533</v>
      </c>
      <c r="BB52" s="6" t="n"/>
      <c r="BC52" s="6" t="n"/>
      <c r="BD52" t="inlineStr">
        <is>
          <t>transport, Bicycle, battery electric, cargo bike, NCA battery, 2030/CH U</t>
        </is>
      </c>
      <c r="BF52" s="5" t="n">
        <v>0.017551673</v>
      </c>
      <c r="BG52" s="5">
        <f>BF52-R52</f>
        <v>-7.5281379661547611E-3</v>
      </c>
      <c r="BH52" s="2" t="n">
        <v>36.912383</v>
      </c>
    </row>
    <row r="53">
      <c r="A53" t="str">
        <f>B53&amp;" - "&amp;D53&amp;" - "&amp;IF(I53&lt;&gt;"",I53&amp;" - "&amp;E53,E53)</f>
        <v>Bicycle, battery electric, cargo bike - 2040 - NCA - CH</v>
      </c>
      <c r="B53" t="inlineStr">
        <is>
          <t>Bicycle, battery electric, cargo bike</t>
        </is>
      </c>
      <c r="D53" s="18" t="n">
        <v>2040</v>
      </c>
      <c r="E53" t="inlineStr">
        <is>
          <t>CH</t>
        </is>
      </c>
      <c r="F53" t="inlineStr">
        <is>
          <t>None</t>
        </is>
      </c>
      <c r="G53" t="inlineStr">
        <is>
          <t>vkm</t>
        </is>
      </c>
      <c r="H53" t="inlineStr">
        <is>
          <t>BEV</t>
        </is>
      </c>
      <c r="I53" t="inlineStr">
        <is>
          <t>NCA</t>
        </is>
      </c>
      <c r="J53" t="inlineStr">
        <is>
          <t>None</t>
        </is>
      </c>
      <c r="L53" s="24" t="n">
        <v>0</v>
      </c>
      <c r="M53" s="24" t="n">
        <v>0</v>
      </c>
      <c r="N53" s="24" t="n">
        <v>0.001100411837038614</v>
      </c>
      <c r="O53" s="24" t="n">
        <v>0.001195732624675443</v>
      </c>
      <c r="P53" s="24" t="n">
        <v>0.0007624804819507784</v>
      </c>
      <c r="Q53" s="24" t="n">
        <v>0.02238932259227003</v>
      </c>
      <c r="R53" s="24" t="n">
        <v>0.02544794753593486</v>
      </c>
      <c r="S53" s="26" t="n">
        <v>0</v>
      </c>
      <c r="T53" s="26" t="n">
        <v>0</v>
      </c>
      <c r="U53" s="26" t="n">
        <v>0.0001164713664772465</v>
      </c>
      <c r="V53" s="26" t="n">
        <v>9.831747354962542e-05</v>
      </c>
      <c r="W53" s="26" t="n">
        <v>4.817934260982063e-05</v>
      </c>
      <c r="X53" s="26" t="n">
        <v>0.006116150346419302</v>
      </c>
      <c r="Y53" s="26" t="n">
        <v>0.006379118529055995</v>
      </c>
      <c r="Z53" s="28" t="n">
        <v>0</v>
      </c>
      <c r="AA53" s="28" t="n">
        <v>0.002751612047598098</v>
      </c>
      <c r="AB53" s="28" t="n">
        <v>3.413314557707055e-05</v>
      </c>
      <c r="AC53" s="28" t="n">
        <v>2.396826009396162e-05</v>
      </c>
      <c r="AD53" s="28" t="n">
        <v>2.19006832784051e-05</v>
      </c>
      <c r="AE53" s="28" t="n">
        <v>0.00114882218568446</v>
      </c>
      <c r="AF53" s="28" t="n">
        <v>0.003980436322231995</v>
      </c>
      <c r="AG53" s="30" t="n">
        <v>0</v>
      </c>
      <c r="AH53" s="30" t="n">
        <v>1.445647576592023e-05</v>
      </c>
      <c r="AI53" s="30" t="n">
        <v>7.799066831849175e-05</v>
      </c>
      <c r="AJ53" s="30" t="n">
        <v>8.555417467729655e-05</v>
      </c>
      <c r="AK53" s="30" t="n">
        <v>2.043934834663986e-05</v>
      </c>
      <c r="AL53" s="30" t="n">
        <v>0.003442490128111055</v>
      </c>
      <c r="AM53" s="30" t="n">
        <v>0.003640930795219403</v>
      </c>
      <c r="AN53" s="32" t="n">
        <v>0</v>
      </c>
      <c r="AO53" s="32" t="n">
        <v>1.036854518903741e-05</v>
      </c>
      <c r="AP53" s="32" t="n">
        <v>9.833859078204342e-08</v>
      </c>
      <c r="AQ53" s="32" t="n">
        <v>6.549064862657901e-08</v>
      </c>
      <c r="AR53" s="32" t="n">
        <v>8.070504583585271e-08</v>
      </c>
      <c r="AS53" s="32" t="n">
        <v>2.089077939803674e-06</v>
      </c>
      <c r="AT53" s="32" t="n">
        <v>1.270215741408556e-05</v>
      </c>
      <c r="AU53" s="34" t="n">
        <v>0</v>
      </c>
      <c r="AV53" s="34" t="n">
        <v>0</v>
      </c>
      <c r="AW53" s="34" t="n">
        <v>0.05145999836951989</v>
      </c>
      <c r="AX53" s="34" t="n">
        <v>0.0201770987761535</v>
      </c>
      <c r="AY53" s="34" t="n">
        <v>0.0249783636811777</v>
      </c>
      <c r="AZ53" s="34" t="n">
        <v>0.2682718744399337</v>
      </c>
      <c r="BA53" s="34" t="n">
        <v>0.3648873352667847</v>
      </c>
      <c r="BB53" s="6" t="n"/>
      <c r="BC53" s="6" t="n"/>
      <c r="BD53" t="inlineStr">
        <is>
          <t>transport, Bicycle, battery electric, cargo bike, NCA battery, 2040/CH U</t>
        </is>
      </c>
      <c r="BF53" s="5" t="n">
        <v>0.017348043</v>
      </c>
      <c r="BG53" s="5">
        <f>BF53-R53</f>
        <v>-8.099904535934864E-3</v>
      </c>
      <c r="BH53" s="2" t="n">
        <v>33.533726</v>
      </c>
    </row>
    <row r="54">
      <c r="A54" t="str">
        <f>B54&amp;" - "&amp;D54&amp;" - "&amp;IF(I54&lt;&gt;"",I54&amp;" - "&amp;E54,E54)</f>
        <v>Bicycle, battery electric, cargo bike - 2050 - NCA - CH</v>
      </c>
      <c r="B54" t="inlineStr">
        <is>
          <t>Bicycle, battery electric, cargo bike</t>
        </is>
      </c>
      <c r="D54" s="18" t="n">
        <v>2050</v>
      </c>
      <c r="E54" t="inlineStr">
        <is>
          <t>CH</t>
        </is>
      </c>
      <c r="F54" t="inlineStr">
        <is>
          <t>None</t>
        </is>
      </c>
      <c r="G54" t="inlineStr">
        <is>
          <t>vkm</t>
        </is>
      </c>
      <c r="H54" t="inlineStr">
        <is>
          <t>BEV</t>
        </is>
      </c>
      <c r="I54" t="inlineStr">
        <is>
          <t>NCA</t>
        </is>
      </c>
      <c r="J54" t="inlineStr">
        <is>
          <t>None</t>
        </is>
      </c>
      <c r="L54" s="24" t="n">
        <v>0</v>
      </c>
      <c r="M54" s="24" t="n">
        <v>0</v>
      </c>
      <c r="N54" s="24" t="n">
        <v>0.001100411837038614</v>
      </c>
      <c r="O54" s="24" t="n">
        <v>0.001195732624675443</v>
      </c>
      <c r="P54" s="24" t="n">
        <v>0.0007585656567897176</v>
      </c>
      <c r="Q54" s="24" t="n">
        <v>0.02319241018579366</v>
      </c>
      <c r="R54" s="24" t="n">
        <v>0.02624712030429743</v>
      </c>
      <c r="S54" s="26" t="n">
        <v>0</v>
      </c>
      <c r="T54" s="26" t="n">
        <v>0</v>
      </c>
      <c r="U54" s="26" t="n">
        <v>0.0001164713664772465</v>
      </c>
      <c r="V54" s="26" t="n">
        <v>9.831747354962542e-05</v>
      </c>
      <c r="W54" s="26" t="n">
        <v>4.793197404477916e-05</v>
      </c>
      <c r="X54" s="26" t="n">
        <v>0.005920720866599173</v>
      </c>
      <c r="Y54" s="26" t="n">
        <v>0.006183441680670824</v>
      </c>
      <c r="Z54" s="28" t="n">
        <v>0</v>
      </c>
      <c r="AA54" s="28" t="n">
        <v>0.002751612047598098</v>
      </c>
      <c r="AB54" s="28" t="n">
        <v>3.413314557707055e-05</v>
      </c>
      <c r="AC54" s="28" t="n">
        <v>2.396826009396162e-05</v>
      </c>
      <c r="AD54" s="28" t="n">
        <v>2.178823797918463e-05</v>
      </c>
      <c r="AE54" s="28" t="n">
        <v>0.001167984483832715</v>
      </c>
      <c r="AF54" s="28" t="n">
        <v>0.00399948617508103</v>
      </c>
      <c r="AG54" s="30" t="n">
        <v>0</v>
      </c>
      <c r="AH54" s="30" t="n">
        <v>1.445647576592023e-05</v>
      </c>
      <c r="AI54" s="30" t="n">
        <v>7.799066831849175e-05</v>
      </c>
      <c r="AJ54" s="30" t="n">
        <v>8.555417467729655e-05</v>
      </c>
      <c r="AK54" s="30" t="n">
        <v>2.033440602080039e-05</v>
      </c>
      <c r="AL54" s="30" t="n">
        <v>0.003520607455830432</v>
      </c>
      <c r="AM54" s="30" t="n">
        <v>0.003718943180612941</v>
      </c>
      <c r="AN54" s="32" t="n">
        <v>0</v>
      </c>
      <c r="AO54" s="32" t="n">
        <v>1.036854518903741e-05</v>
      </c>
      <c r="AP54" s="32" t="n">
        <v>9.833859078204342e-08</v>
      </c>
      <c r="AQ54" s="32" t="n">
        <v>6.549064862657901e-08</v>
      </c>
      <c r="AR54" s="32" t="n">
        <v>8.029067963036712e-08</v>
      </c>
      <c r="AS54" s="32" t="n">
        <v>2.038049713160376e-06</v>
      </c>
      <c r="AT54" s="32" t="n">
        <v>1.265071482123678e-05</v>
      </c>
      <c r="AU54" s="34" t="n">
        <v>0</v>
      </c>
      <c r="AV54" s="34" t="n">
        <v>0</v>
      </c>
      <c r="AW54" s="34" t="n">
        <v>0.05145999836951989</v>
      </c>
      <c r="AX54" s="34" t="n">
        <v>0.0201770987761535</v>
      </c>
      <c r="AY54" s="34" t="n">
        <v>0.02485011656018777</v>
      </c>
      <c r="AZ54" s="34" t="n">
        <v>0.2753527346165842</v>
      </c>
      <c r="BA54" s="34" t="n">
        <v>0.3718399483224454</v>
      </c>
      <c r="BB54" s="6" t="n"/>
      <c r="BC54" s="6" t="n"/>
      <c r="BD54" t="inlineStr">
        <is>
          <t>transport, Bicycle, battery electric, cargo bike, NCA battery, 2050/CH U</t>
        </is>
      </c>
      <c r="BF54" s="5" t="n">
        <v>0.017497634</v>
      </c>
      <c r="BG54" s="5">
        <f>BF54-R54</f>
        <v>-8.7494863042974352E-3</v>
      </c>
      <c r="BH54" s="2" t="n">
        <v>31.961292</v>
      </c>
    </row>
    <row r="55">
      <c r="A55" t="str">
        <f>B55&amp;" - "&amp;D55&amp;" - "&amp;IF(I55&lt;&gt;"",I55&amp;" - "&amp;E55,E55)</f>
        <v>Bicycle, electric (&lt;25 km/h) - 2020 - NMC - CH</v>
      </c>
      <c r="B55" t="inlineStr">
        <is>
          <t>Bicycle, electric (&lt;25 km/h)</t>
        </is>
      </c>
      <c r="D55" s="18" t="n">
        <v>2020</v>
      </c>
      <c r="E55" t="inlineStr">
        <is>
          <t>CH</t>
        </is>
      </c>
      <c r="F55" t="inlineStr">
        <is>
          <t>None</t>
        </is>
      </c>
      <c r="G55" t="inlineStr">
        <is>
          <t>vkm</t>
        </is>
      </c>
      <c r="H55" t="inlineStr">
        <is>
          <t>BEV</t>
        </is>
      </c>
      <c r="I55" t="inlineStr">
        <is>
          <t>NMC</t>
        </is>
      </c>
      <c r="J55" t="inlineStr">
        <is>
          <t>label-certified electricity</t>
        </is>
      </c>
      <c r="L55" s="24" t="n">
        <v>0</v>
      </c>
      <c r="M55" s="24" t="n">
        <v>0</v>
      </c>
      <c r="N55" s="24" t="n">
        <v>0.0001517356796025006</v>
      </c>
      <c r="O55" s="24" t="n">
        <v>0.001195732624675443</v>
      </c>
      <c r="P55" s="24" t="n">
        <v>0.000451798136320088</v>
      </c>
      <c r="Q55" s="24" t="n">
        <v>0.01328900195020182</v>
      </c>
      <c r="R55" s="24" t="n">
        <v>0.01508826839079985</v>
      </c>
      <c r="S55" s="26" t="n">
        <v>0</v>
      </c>
      <c r="T55" s="26" t="n">
        <v>0</v>
      </c>
      <c r="U55" s="26" t="n">
        <v>8.649125288160251e-05</v>
      </c>
      <c r="V55" s="26" t="n">
        <v>9.831747354962542e-05</v>
      </c>
      <c r="W55" s="26" t="n">
        <v>2.854805823298327e-05</v>
      </c>
      <c r="X55" s="26" t="n">
        <v>0.01255020670214965</v>
      </c>
      <c r="Y55" s="26" t="n">
        <v>0.01276356348681386</v>
      </c>
      <c r="Z55" s="28" t="n">
        <v>0</v>
      </c>
      <c r="AA55" s="28" t="n">
        <v>0.001375806023799049</v>
      </c>
      <c r="AB55" s="28" t="n">
        <v>1.526197166574115e-05</v>
      </c>
      <c r="AC55" s="28" t="n">
        <v>2.396826009396162e-05</v>
      </c>
      <c r="AD55" s="28" t="n">
        <v>1.297697203212959e-05</v>
      </c>
      <c r="AE55" s="28" t="n">
        <v>0.001184976064930756</v>
      </c>
      <c r="AF55" s="28" t="n">
        <v>0.002612989292521637</v>
      </c>
      <c r="AG55" s="30" t="n">
        <v>0</v>
      </c>
      <c r="AH55" s="30" t="n">
        <v>7.228237882960114e-06</v>
      </c>
      <c r="AI55" s="30" t="n">
        <v>5.719572593025e-05</v>
      </c>
      <c r="AJ55" s="30" t="n">
        <v>8.555417467729655e-05</v>
      </c>
      <c r="AK55" s="30" t="n">
        <v>1.211107655763585e-05</v>
      </c>
      <c r="AL55" s="30" t="n">
        <v>0.003277302840788742</v>
      </c>
      <c r="AM55" s="30" t="n">
        <v>0.003439392055836885</v>
      </c>
      <c r="AN55" s="32" t="n">
        <v>0</v>
      </c>
      <c r="AO55" s="32" t="n">
        <v>5.184272594518707e-06</v>
      </c>
      <c r="AP55" s="32" t="n">
        <v>1.351283974690089e-07</v>
      </c>
      <c r="AQ55" s="32" t="n">
        <v>6.549064862657901e-08</v>
      </c>
      <c r="AR55" s="32" t="n">
        <v>4.782075104005003e-08</v>
      </c>
      <c r="AS55" s="32" t="n">
        <v>2.525950235960432e-06</v>
      </c>
      <c r="AT55" s="32" t="n">
        <v>7.958662627614776e-06</v>
      </c>
      <c r="AU55" s="34" t="n">
        <v>0</v>
      </c>
      <c r="AV55" s="34" t="n">
        <v>0</v>
      </c>
      <c r="AW55" s="34" t="n">
        <v>0.001511761254930456</v>
      </c>
      <c r="AX55" s="34" t="n">
        <v>0.0201770987761535</v>
      </c>
      <c r="AY55" s="34" t="n">
        <v>0.01480061250959336</v>
      </c>
      <c r="AZ55" s="34" t="n">
        <v>0.1773121997800152</v>
      </c>
      <c r="BA55" s="34" t="n">
        <v>0.2138016723206925</v>
      </c>
      <c r="BB55" s="6" t="n"/>
      <c r="BC55" s="6" t="n"/>
      <c r="BD55" t="inlineStr">
        <is>
          <t>transport, Bicycle, electric (&lt;25 km/h), label-certified electricity/CH U</t>
        </is>
      </c>
      <c r="BF55" s="5" t="n">
        <v>0.010108142</v>
      </c>
      <c r="BG55" s="5">
        <f>BF55-R55</f>
        <v>-4.9801263907998505E-3</v>
      </c>
      <c r="BH55" s="2" t="n">
        <v>30.32458</v>
      </c>
    </row>
    <row r="56">
      <c r="A56" t="str">
        <f>B56&amp;" - "&amp;D56&amp;" - "&amp;IF(I56&lt;&gt;"",I56&amp;" - "&amp;E56,E56)</f>
        <v>Bicycle, electric (&lt;25 km/h) - 2030 - NMC - CH</v>
      </c>
      <c r="B56" t="inlineStr">
        <is>
          <t>Bicycle, electric (&lt;25 km/h)</t>
        </is>
      </c>
      <c r="D56" s="18" t="n">
        <v>2030</v>
      </c>
      <c r="E56" t="inlineStr">
        <is>
          <t>CH</t>
        </is>
      </c>
      <c r="F56" t="inlineStr">
        <is>
          <t>None</t>
        </is>
      </c>
      <c r="G56" t="inlineStr">
        <is>
          <t>vkm</t>
        </is>
      </c>
      <c r="H56" t="inlineStr">
        <is>
          <t>BEV</t>
        </is>
      </c>
      <c r="I56" t="inlineStr">
        <is>
          <t>NMC</t>
        </is>
      </c>
      <c r="J56" t="inlineStr">
        <is>
          <t>label-certified electricity</t>
        </is>
      </c>
      <c r="L56" s="24" t="n">
        <v>0</v>
      </c>
      <c r="M56" s="24" t="n">
        <v>0</v>
      </c>
      <c r="N56" s="24" t="n">
        <v>0.0001517356796025006</v>
      </c>
      <c r="O56" s="24" t="n">
        <v>0.001195732624675443</v>
      </c>
      <c r="P56" s="24" t="n">
        <v>0.0004501441985582445</v>
      </c>
      <c r="Q56" s="24" t="n">
        <v>0.01305699418689324</v>
      </c>
      <c r="R56" s="24" t="n">
        <v>0.01485460668972943</v>
      </c>
      <c r="S56" s="26" t="n">
        <v>0</v>
      </c>
      <c r="T56" s="26" t="n">
        <v>0</v>
      </c>
      <c r="U56" s="26" t="n">
        <v>8.649125288160251e-05</v>
      </c>
      <c r="V56" s="26" t="n">
        <v>9.831747354962542e-05</v>
      </c>
      <c r="W56" s="26" t="n">
        <v>2.844354980821769e-05</v>
      </c>
      <c r="X56" s="26" t="n">
        <v>0.01070141004859683</v>
      </c>
      <c r="Y56" s="26" t="n">
        <v>0.01091466232483627</v>
      </c>
      <c r="Z56" s="28" t="n">
        <v>0</v>
      </c>
      <c r="AA56" s="28" t="n">
        <v>0.001375806023799049</v>
      </c>
      <c r="AB56" s="28" t="n">
        <v>1.526197166574115e-05</v>
      </c>
      <c r="AC56" s="28" t="n">
        <v>2.396826009396162e-05</v>
      </c>
      <c r="AD56" s="28" t="n">
        <v>1.292946607238141e-05</v>
      </c>
      <c r="AE56" s="28" t="n">
        <v>0.001069449451856115</v>
      </c>
      <c r="AF56" s="28" t="n">
        <v>0.002497415173487248</v>
      </c>
      <c r="AG56" s="30" t="n">
        <v>0</v>
      </c>
      <c r="AH56" s="30" t="n">
        <v>7.228237882960114e-06</v>
      </c>
      <c r="AI56" s="30" t="n">
        <v>5.719572593025e-05</v>
      </c>
      <c r="AJ56" s="30" t="n">
        <v>8.555417467729655e-05</v>
      </c>
      <c r="AK56" s="30" t="n">
        <v>1.206674045873468e-05</v>
      </c>
      <c r="AL56" s="30" t="n">
        <v>0.003015022702189352</v>
      </c>
      <c r="AM56" s="30" t="n">
        <v>0.003177067581138593</v>
      </c>
      <c r="AN56" s="32" t="n">
        <v>0</v>
      </c>
      <c r="AO56" s="32" t="n">
        <v>5.184272594518707e-06</v>
      </c>
      <c r="AP56" s="32" t="n">
        <v>1.351283974690089e-07</v>
      </c>
      <c r="AQ56" s="32" t="n">
        <v>6.549064862657901e-08</v>
      </c>
      <c r="AR56" s="32" t="n">
        <v>4.764568934858519e-08</v>
      </c>
      <c r="AS56" s="32" t="n">
        <v>2.200142479382814e-06</v>
      </c>
      <c r="AT56" s="32" t="n">
        <v>7.632679809345693e-06</v>
      </c>
      <c r="AU56" s="34" t="n">
        <v>0</v>
      </c>
      <c r="AV56" s="34" t="n">
        <v>0</v>
      </c>
      <c r="AW56" s="34" t="n">
        <v>0.001511761254930456</v>
      </c>
      <c r="AX56" s="34" t="n">
        <v>0.0201770987761535</v>
      </c>
      <c r="AY56" s="34" t="n">
        <v>0.01474643058638444</v>
      </c>
      <c r="AZ56" s="34" t="n">
        <v>0.1699793636174383</v>
      </c>
      <c r="BA56" s="34" t="n">
        <v>0.2064146542349067</v>
      </c>
      <c r="BB56" s="6" t="n"/>
      <c r="BC56" s="6" t="n"/>
      <c r="BD56" t="inlineStr">
        <is>
          <t>transport, Bicycle, electric (&lt;25 km/h), 2030, label-certified electricity/CH U</t>
        </is>
      </c>
      <c r="BF56" s="5" t="n">
        <v>0.009810329099999999</v>
      </c>
      <c r="BG56" s="5">
        <f>BF56-R56</f>
        <v>-5.0442775897294283E-3</v>
      </c>
      <c r="BH56" s="2" t="n">
        <v>26.837949</v>
      </c>
    </row>
    <row r="57">
      <c r="A57" t="str">
        <f>B57&amp;" - "&amp;D57&amp;" - "&amp;IF(I57&lt;&gt;"",I57&amp;" - "&amp;E57,E57)</f>
        <v>Bicycle, electric (&lt;25 km/h) - 2040 - NMC - CH</v>
      </c>
      <c r="B57" t="inlineStr">
        <is>
          <t>Bicycle, electric (&lt;25 km/h)</t>
        </is>
      </c>
      <c r="D57" s="18" t="n">
        <v>2040</v>
      </c>
      <c r="E57" t="inlineStr">
        <is>
          <t>CH</t>
        </is>
      </c>
      <c r="F57" t="inlineStr">
        <is>
          <t>None</t>
        </is>
      </c>
      <c r="G57" t="inlineStr">
        <is>
          <t>vkm</t>
        </is>
      </c>
      <c r="H57" t="inlineStr">
        <is>
          <t>BEV</t>
        </is>
      </c>
      <c r="I57" t="inlineStr">
        <is>
          <t>NMC</t>
        </is>
      </c>
      <c r="J57" t="inlineStr">
        <is>
          <t>label-certified electricity</t>
        </is>
      </c>
      <c r="L57" s="24" t="n">
        <v>0</v>
      </c>
      <c r="M57" s="24" t="n">
        <v>0</v>
      </c>
      <c r="N57" s="24" t="n">
        <v>0.0001517356796025006</v>
      </c>
      <c r="O57" s="24" t="n">
        <v>0.001195732624675443</v>
      </c>
      <c r="P57" s="24" t="n">
        <v>0.0004472460140397849</v>
      </c>
      <c r="Q57" s="24" t="n">
        <v>0.01268069013817938</v>
      </c>
      <c r="R57" s="24" t="n">
        <v>0.01447540445649711</v>
      </c>
      <c r="S57" s="26" t="n">
        <v>0</v>
      </c>
      <c r="T57" s="26" t="n">
        <v>0</v>
      </c>
      <c r="U57" s="26" t="n">
        <v>8.649125288160251e-05</v>
      </c>
      <c r="V57" s="26" t="n">
        <v>9.831747354962542e-05</v>
      </c>
      <c r="W57" s="26" t="n">
        <v>2.826042036665598e-05</v>
      </c>
      <c r="X57" s="26" t="n">
        <v>0.009050722698467807</v>
      </c>
      <c r="Y57" s="26" t="n">
        <v>0.009263791845265691</v>
      </c>
      <c r="Z57" s="28" t="n">
        <v>0</v>
      </c>
      <c r="AA57" s="28" t="n">
        <v>0.001375806023799049</v>
      </c>
      <c r="AB57" s="28" t="n">
        <v>1.526197166574115e-05</v>
      </c>
      <c r="AC57" s="28" t="n">
        <v>2.396826009396162e-05</v>
      </c>
      <c r="AD57" s="28" t="n">
        <v>1.284622168419881e-05</v>
      </c>
      <c r="AE57" s="28" t="n">
        <v>0.0009582487724786408</v>
      </c>
      <c r="AF57" s="28" t="n">
        <v>0.002386131249721591</v>
      </c>
      <c r="AG57" s="30" t="n">
        <v>0</v>
      </c>
      <c r="AH57" s="30" t="n">
        <v>7.228237882960114e-06</v>
      </c>
      <c r="AI57" s="30" t="n">
        <v>5.719572593025e-05</v>
      </c>
      <c r="AJ57" s="30" t="n">
        <v>8.555417467729655e-05</v>
      </c>
      <c r="AK57" s="30" t="n">
        <v>1.198905059735741e-05</v>
      </c>
      <c r="AL57" s="30" t="n">
        <v>0.002752316042919872</v>
      </c>
      <c r="AM57" s="30" t="n">
        <v>0.002914283232007736</v>
      </c>
      <c r="AN57" s="32" t="n">
        <v>0</v>
      </c>
      <c r="AO57" s="32" t="n">
        <v>5.184272594518707e-06</v>
      </c>
      <c r="AP57" s="32" t="n">
        <v>1.351283974690089e-07</v>
      </c>
      <c r="AQ57" s="32" t="n">
        <v>6.549064862657901e-08</v>
      </c>
      <c r="AR57" s="32" t="n">
        <v>4.733892987088076e-08</v>
      </c>
      <c r="AS57" s="32" t="n">
        <v>1.90627272722073e-06</v>
      </c>
      <c r="AT57" s="32" t="n">
        <v>7.338503297705905e-06</v>
      </c>
      <c r="AU57" s="34" t="n">
        <v>0</v>
      </c>
      <c r="AV57" s="34" t="n">
        <v>0</v>
      </c>
      <c r="AW57" s="34" t="n">
        <v>0.001511761254930456</v>
      </c>
      <c r="AX57" s="34" t="n">
        <v>0.0201770987761535</v>
      </c>
      <c r="AY57" s="34" t="n">
        <v>0.01465148795030274</v>
      </c>
      <c r="AZ57" s="34" t="n">
        <v>0.1616813479249928</v>
      </c>
      <c r="BA57" s="34" t="n">
        <v>0.1980216959063794</v>
      </c>
      <c r="BB57" s="6" t="n"/>
      <c r="BC57" s="6" t="n"/>
      <c r="BD57" t="inlineStr">
        <is>
          <t>transport, Bicycle, electric (&lt;25 km/h), 2040, label-certified electricity/CH U</t>
        </is>
      </c>
      <c r="BF57" s="5" t="n">
        <v>0.009469673499999999</v>
      </c>
      <c r="BG57" s="5">
        <f>BF57-R57</f>
        <v>-5.0057309564971106E-3</v>
      </c>
      <c r="BH57" s="2" t="n">
        <v>23.72524</v>
      </c>
    </row>
    <row r="58">
      <c r="A58" t="str">
        <f>B58&amp;" - "&amp;D58&amp;" - "&amp;IF(I58&lt;&gt;"",I58&amp;" - "&amp;E58,E58)</f>
        <v>Bicycle, electric (&lt;25 km/h) - 2050 - NMC - CH</v>
      </c>
      <c r="B58" t="inlineStr">
        <is>
          <t>Bicycle, electric (&lt;25 km/h)</t>
        </is>
      </c>
      <c r="D58" s="18" t="n">
        <v>2050</v>
      </c>
      <c r="E58" t="inlineStr">
        <is>
          <t>CH</t>
        </is>
      </c>
      <c r="F58" t="inlineStr">
        <is>
          <t>None</t>
        </is>
      </c>
      <c r="G58" t="inlineStr">
        <is>
          <t>vkm</t>
        </is>
      </c>
      <c r="H58" t="inlineStr">
        <is>
          <t>BEV</t>
        </is>
      </c>
      <c r="I58" t="inlineStr">
        <is>
          <t>NMC</t>
        </is>
      </c>
      <c r="J58" t="inlineStr">
        <is>
          <t>label-certified electricity</t>
        </is>
      </c>
      <c r="L58" s="24" t="n">
        <v>0</v>
      </c>
      <c r="M58" s="24" t="n">
        <v>0</v>
      </c>
      <c r="N58" s="24" t="n">
        <v>0.0001517356796025006</v>
      </c>
      <c r="O58" s="24" t="n">
        <v>0.001195732624675443</v>
      </c>
      <c r="P58" s="24" t="n">
        <v>0.0004482930021642546</v>
      </c>
      <c r="Q58" s="24" t="n">
        <v>0.01306679777444421</v>
      </c>
      <c r="R58" s="24" t="n">
        <v>0.01486255908088641</v>
      </c>
      <c r="S58" s="26" t="n">
        <v>0</v>
      </c>
      <c r="T58" s="26" t="n">
        <v>0</v>
      </c>
      <c r="U58" s="26" t="n">
        <v>8.649125288160251e-05</v>
      </c>
      <c r="V58" s="26" t="n">
        <v>9.831747354962542e-05</v>
      </c>
      <c r="W58" s="26" t="n">
        <v>2.832657707591125e-05</v>
      </c>
      <c r="X58" s="26" t="n">
        <v>0.008877976928604947</v>
      </c>
      <c r="Y58" s="26" t="n">
        <v>0.009091112232112087</v>
      </c>
      <c r="Z58" s="28" t="n">
        <v>0</v>
      </c>
      <c r="AA58" s="28" t="n">
        <v>0.001375806023799049</v>
      </c>
      <c r="AB58" s="28" t="n">
        <v>1.526197166574115e-05</v>
      </c>
      <c r="AC58" s="28" t="n">
        <v>2.396826009396162e-05</v>
      </c>
      <c r="AD58" s="28" t="n">
        <v>1.287629426422289e-05</v>
      </c>
      <c r="AE58" s="28" t="n">
        <v>0.0009665204355167163</v>
      </c>
      <c r="AF58" s="28" t="n">
        <v>0.002394432985339691</v>
      </c>
      <c r="AG58" s="30" t="n">
        <v>0</v>
      </c>
      <c r="AH58" s="30" t="n">
        <v>7.228237882960114e-06</v>
      </c>
      <c r="AI58" s="30" t="n">
        <v>5.719572593025e-05</v>
      </c>
      <c r="AJ58" s="30" t="n">
        <v>8.555417467729655e-05</v>
      </c>
      <c r="AK58" s="30" t="n">
        <v>1.201711656822145e-05</v>
      </c>
      <c r="AL58" s="30" t="n">
        <v>0.002791160844117215</v>
      </c>
      <c r="AM58" s="30" t="n">
        <v>0.002953156099175943</v>
      </c>
      <c r="AN58" s="32" t="n">
        <v>0</v>
      </c>
      <c r="AO58" s="32" t="n">
        <v>5.184272594518707e-06</v>
      </c>
      <c r="AP58" s="32" t="n">
        <v>1.351283974690089e-07</v>
      </c>
      <c r="AQ58" s="32" t="n">
        <v>6.549064862657901e-08</v>
      </c>
      <c r="AR58" s="32" t="n">
        <v>4.744974873978969e-08</v>
      </c>
      <c r="AS58" s="32" t="n">
        <v>1.883034516292265e-06</v>
      </c>
      <c r="AT58" s="32" t="n">
        <v>7.315375905646349e-06</v>
      </c>
      <c r="AU58" s="34" t="n">
        <v>0</v>
      </c>
      <c r="AV58" s="34" t="n">
        <v>0</v>
      </c>
      <c r="AW58" s="34" t="n">
        <v>0.001511761254930456</v>
      </c>
      <c r="AX58" s="34" t="n">
        <v>0.0201770987761535</v>
      </c>
      <c r="AY58" s="34" t="n">
        <v>0.01468578659893958</v>
      </c>
      <c r="AZ58" s="34" t="n">
        <v>0.1652363075739789</v>
      </c>
      <c r="BA58" s="34" t="n">
        <v>0.2016109542040024</v>
      </c>
      <c r="BB58" s="6" t="n"/>
      <c r="BC58" s="6" t="n"/>
      <c r="BD58" t="inlineStr">
        <is>
          <t>transport, Bicycle, electric (&lt;25 km/h), 2050, label-certified electricity/CH U</t>
        </is>
      </c>
      <c r="BF58" s="5" t="n">
        <v>0.009607562300000001</v>
      </c>
      <c r="BG58" s="5">
        <f>BF58-R58</f>
        <v>-5.2549967808864072E-3</v>
      </c>
      <c r="BH58" s="2" t="n">
        <v>23.365871</v>
      </c>
    </row>
    <row r="59">
      <c r="A59" t="str">
        <f>B59&amp;" - "&amp;D59&amp;" - "&amp;IF(I59&lt;&gt;"",I59&amp;" - "&amp;E59,E59)</f>
        <v>Bicycle, electric (&lt;45 km/h) - 2020 - NMC - CH</v>
      </c>
      <c r="B59" t="inlineStr">
        <is>
          <t>Bicycle, electric (&lt;45 km/h)</t>
        </is>
      </c>
      <c r="D59" s="18" t="n">
        <v>2020</v>
      </c>
      <c r="E59" t="inlineStr">
        <is>
          <t>CH</t>
        </is>
      </c>
      <c r="F59" t="inlineStr">
        <is>
          <t>None</t>
        </is>
      </c>
      <c r="G59" t="inlineStr">
        <is>
          <t>vkm</t>
        </is>
      </c>
      <c r="H59" t="inlineStr">
        <is>
          <t>BEV</t>
        </is>
      </c>
      <c r="I59" t="inlineStr">
        <is>
          <t>NMC</t>
        </is>
      </c>
      <c r="J59" t="inlineStr">
        <is>
          <t>label-certified electricity</t>
        </is>
      </c>
      <c r="L59" s="24" t="n">
        <v>0</v>
      </c>
      <c r="M59" s="24" t="n">
        <v>0</v>
      </c>
      <c r="N59" s="24" t="n">
        <v>0.0002786706453612946</v>
      </c>
      <c r="O59" s="24" t="n">
        <v>0.001195732624675443</v>
      </c>
      <c r="P59" s="24" t="n">
        <v>0.0004700066254413007</v>
      </c>
      <c r="Q59" s="24" t="n">
        <v>0.009833485363001215</v>
      </c>
      <c r="R59" s="24" t="n">
        <v>0.01177789525847925</v>
      </c>
      <c r="S59" s="26" t="n">
        <v>0</v>
      </c>
      <c r="T59" s="26" t="n">
        <v>0</v>
      </c>
      <c r="U59" s="26" t="n">
        <v>0.000158845785788578</v>
      </c>
      <c r="V59" s="26" t="n">
        <v>9.831747354962542e-05</v>
      </c>
      <c r="W59" s="26" t="n">
        <v>2.969860969829242e-05</v>
      </c>
      <c r="X59" s="26" t="n">
        <v>0.008599161181964438</v>
      </c>
      <c r="Y59" s="26" t="n">
        <v>0.008886023051000934</v>
      </c>
      <c r="Z59" s="28" t="n">
        <v>0</v>
      </c>
      <c r="AA59" s="28" t="n">
        <v>0.001375806023799049</v>
      </c>
      <c r="AB59" s="28" t="n">
        <v>2.802942264284548e-05</v>
      </c>
      <c r="AC59" s="28" t="n">
        <v>2.396826009396162e-05</v>
      </c>
      <c r="AD59" s="28" t="n">
        <v>1.34999734238527e-05</v>
      </c>
      <c r="AE59" s="28" t="n">
        <v>0.0008379577788119637</v>
      </c>
      <c r="AF59" s="28" t="n">
        <v>0.002279261458771672</v>
      </c>
      <c r="AG59" s="30" t="n">
        <v>0</v>
      </c>
      <c r="AH59" s="30" t="n">
        <v>7.228237882960114e-06</v>
      </c>
      <c r="AI59" s="30" t="n">
        <v>0.0001050429925159661</v>
      </c>
      <c r="AJ59" s="30" t="n">
        <v>8.555417467729655e-05</v>
      </c>
      <c r="AK59" s="30" t="n">
        <v>1.259918039874964e-05</v>
      </c>
      <c r="AL59" s="30" t="n">
        <v>0.002343476825969153</v>
      </c>
      <c r="AM59" s="30" t="n">
        <v>0.002553901411444126</v>
      </c>
      <c r="AN59" s="32" t="n">
        <v>0</v>
      </c>
      <c r="AO59" s="32" t="n">
        <v>5.184272594518707e-06</v>
      </c>
      <c r="AP59" s="32" t="n">
        <v>2.481704884966665e-07</v>
      </c>
      <c r="AQ59" s="32" t="n">
        <v>6.549064862657901e-08</v>
      </c>
      <c r="AR59" s="32" t="n">
        <v>4.974803571672711e-08</v>
      </c>
      <c r="AS59" s="32" t="n">
        <v>1.770597549801543e-06</v>
      </c>
      <c r="AT59" s="32" t="n">
        <v>7.318279317160222e-06</v>
      </c>
      <c r="AU59" s="34" t="n">
        <v>0</v>
      </c>
      <c r="AV59" s="34" t="n">
        <v>0</v>
      </c>
      <c r="AW59" s="34" t="n">
        <v>0.002776429944804675</v>
      </c>
      <c r="AX59" s="34" t="n">
        <v>0.0201770987761535</v>
      </c>
      <c r="AY59" s="34" t="n">
        <v>0.01539711074675581</v>
      </c>
      <c r="AZ59" s="34" t="n">
        <v>0.1296614040803506</v>
      </c>
      <c r="BA59" s="34" t="n">
        <v>0.1680120435480645</v>
      </c>
      <c r="BB59" s="6" t="n"/>
      <c r="BC59" s="6" t="n"/>
      <c r="BD59" t="inlineStr">
        <is>
          <t>transport, Bicycle, electric (&lt;45 km/h), label-certified electricity/CH U</t>
        </is>
      </c>
      <c r="BF59" s="5" t="n">
        <v>0.007973282</v>
      </c>
      <c r="BG59" s="5">
        <f>BF59-R59</f>
        <v>-3.8046132584792537E-3</v>
      </c>
      <c r="BH59" s="2" t="n">
        <v>22.508681</v>
      </c>
    </row>
    <row r="60">
      <c r="A60" t="str">
        <f>B60&amp;" - "&amp;D60&amp;" - "&amp;IF(I60&lt;&gt;"",I60&amp;" - "&amp;E60,E60)</f>
        <v>Bicycle, electric (&lt;45 km/h) - 2030 - NMC - CH</v>
      </c>
      <c r="B60" t="inlineStr">
        <is>
          <t>Bicycle, electric (&lt;45 km/h)</t>
        </is>
      </c>
      <c r="D60" s="18" t="n">
        <v>2030</v>
      </c>
      <c r="E60" t="inlineStr">
        <is>
          <t>CH</t>
        </is>
      </c>
      <c r="F60" t="inlineStr">
        <is>
          <t>None</t>
        </is>
      </c>
      <c r="G60" t="inlineStr">
        <is>
          <t>vkm</t>
        </is>
      </c>
      <c r="H60" t="inlineStr">
        <is>
          <t>BEV</t>
        </is>
      </c>
      <c r="I60" t="inlineStr">
        <is>
          <t>NMC</t>
        </is>
      </c>
      <c r="J60" t="inlineStr">
        <is>
          <t>label-certified electricity</t>
        </is>
      </c>
      <c r="L60" s="24" t="n">
        <v>0</v>
      </c>
      <c r="M60" s="24" t="n">
        <v>0</v>
      </c>
      <c r="N60" s="24" t="n">
        <v>0.0002786706453612946</v>
      </c>
      <c r="O60" s="24" t="n">
        <v>0.001195732624675443</v>
      </c>
      <c r="P60" s="24" t="n">
        <v>0.0004679429966742299</v>
      </c>
      <c r="Q60" s="24" t="n">
        <v>0.009777544394400692</v>
      </c>
      <c r="R60" s="24" t="n">
        <v>0.01171989066111166</v>
      </c>
      <c r="S60" s="26" t="n">
        <v>0</v>
      </c>
      <c r="T60" s="26" t="n">
        <v>0</v>
      </c>
      <c r="U60" s="26" t="n">
        <v>0.000158845785788578</v>
      </c>
      <c r="V60" s="26" t="n">
        <v>9.831747354962542e-05</v>
      </c>
      <c r="W60" s="26" t="n">
        <v>2.956821386555738e-05</v>
      </c>
      <c r="X60" s="26" t="n">
        <v>0.007384648857631467</v>
      </c>
      <c r="Y60" s="26" t="n">
        <v>0.007671380330835228</v>
      </c>
      <c r="Z60" s="28" t="n">
        <v>0</v>
      </c>
      <c r="AA60" s="28" t="n">
        <v>0.001375806023799049</v>
      </c>
      <c r="AB60" s="28" t="n">
        <v>2.802942264284548e-05</v>
      </c>
      <c r="AC60" s="28" t="n">
        <v>2.396826009396162e-05</v>
      </c>
      <c r="AD60" s="28" t="n">
        <v>1.344069993279074e-05</v>
      </c>
      <c r="AE60" s="28" t="n">
        <v>0.0007665730032181484</v>
      </c>
      <c r="AF60" s="28" t="n">
        <v>0.002207817409686795</v>
      </c>
      <c r="AG60" s="30" t="n">
        <v>0</v>
      </c>
      <c r="AH60" s="30" t="n">
        <v>7.228237882960114e-06</v>
      </c>
      <c r="AI60" s="30" t="n">
        <v>0.0001050429925159661</v>
      </c>
      <c r="AJ60" s="30" t="n">
        <v>8.555417467729655e-05</v>
      </c>
      <c r="AK60" s="30" t="n">
        <v>1.254386196342341e-05</v>
      </c>
      <c r="AL60" s="30" t="n">
        <v>0.002187611102791356</v>
      </c>
      <c r="AM60" s="30" t="n">
        <v>0.002397980369831002</v>
      </c>
      <c r="AN60" s="32" t="n">
        <v>0</v>
      </c>
      <c r="AO60" s="32" t="n">
        <v>5.184272594518707e-06</v>
      </c>
      <c r="AP60" s="32" t="n">
        <v>2.481704884966665e-07</v>
      </c>
      <c r="AQ60" s="32" t="n">
        <v>6.549064862657901e-08</v>
      </c>
      <c r="AR60" s="32" t="n">
        <v>4.952961012003704e-08</v>
      </c>
      <c r="AS60" s="32" t="n">
        <v>1.557545808442301e-06</v>
      </c>
      <c r="AT60" s="32" t="n">
        <v>7.10500915020429e-06</v>
      </c>
      <c r="AU60" s="34" t="n">
        <v>0</v>
      </c>
      <c r="AV60" s="34" t="n">
        <v>0</v>
      </c>
      <c r="AW60" s="34" t="n">
        <v>0.002776429944804675</v>
      </c>
      <c r="AX60" s="34" t="n">
        <v>0.0201770987761535</v>
      </c>
      <c r="AY60" s="34" t="n">
        <v>0.01532950761321073</v>
      </c>
      <c r="AZ60" s="34" t="n">
        <v>0.1258304432143318</v>
      </c>
      <c r="BA60" s="34" t="n">
        <v>0.1641134795485007</v>
      </c>
      <c r="BB60" s="6" t="n"/>
      <c r="BC60" s="6" t="n"/>
      <c r="BD60" t="inlineStr">
        <is>
          <t>transport, Bicycle, electric (&lt;45 km/h), 2030, label-certified electricity/CH U</t>
        </is>
      </c>
      <c r="BF60" s="5" t="n">
        <v>0.007814128699999999</v>
      </c>
      <c r="BG60" s="5">
        <f>BF60-R60</f>
        <v>-3.9057619611116597E-3</v>
      </c>
      <c r="BH60" s="2" t="n">
        <v>20.203739</v>
      </c>
    </row>
    <row r="61">
      <c r="A61" t="str">
        <f>B61&amp;" - "&amp;D61&amp;" - "&amp;IF(I61&lt;&gt;"",I61&amp;" - "&amp;E61,E61)</f>
        <v>Bicycle, electric (&lt;45 km/h) - 2040 - NMC - CH</v>
      </c>
      <c r="B61" t="inlineStr">
        <is>
          <t>Bicycle, electric (&lt;45 km/h)</t>
        </is>
      </c>
      <c r="D61" s="18" t="n">
        <v>2040</v>
      </c>
      <c r="E61" t="inlineStr">
        <is>
          <t>CH</t>
        </is>
      </c>
      <c r="F61" t="inlineStr">
        <is>
          <t>None</t>
        </is>
      </c>
      <c r="G61" t="inlineStr">
        <is>
          <t>vkm</t>
        </is>
      </c>
      <c r="H61" t="inlineStr">
        <is>
          <t>BEV</t>
        </is>
      </c>
      <c r="I61" t="inlineStr">
        <is>
          <t>NMC</t>
        </is>
      </c>
      <c r="J61" t="inlineStr">
        <is>
          <t>label-certified electricity</t>
        </is>
      </c>
      <c r="L61" s="24" t="n">
        <v>0</v>
      </c>
      <c r="M61" s="24" t="n">
        <v>0</v>
      </c>
      <c r="N61" s="24" t="n">
        <v>0.0002786706453612946</v>
      </c>
      <c r="O61" s="24" t="n">
        <v>0.001195732624675443</v>
      </c>
      <c r="P61" s="24" t="n">
        <v>0.0004643164725909217</v>
      </c>
      <c r="Q61" s="24" t="n">
        <v>0.009576160950133533</v>
      </c>
      <c r="R61" s="24" t="n">
        <v>0.01151488069276119</v>
      </c>
      <c r="S61" s="26" t="n">
        <v>0</v>
      </c>
      <c r="T61" s="26" t="n">
        <v>0</v>
      </c>
      <c r="U61" s="26" t="n">
        <v>0.000158845785788578</v>
      </c>
      <c r="V61" s="26" t="n">
        <v>9.831747354962542e-05</v>
      </c>
      <c r="W61" s="26" t="n">
        <v>2.933906236538331e-05</v>
      </c>
      <c r="X61" s="26" t="n">
        <v>0.006281037762980531</v>
      </c>
      <c r="Y61" s="26" t="n">
        <v>0.006567540084684118</v>
      </c>
      <c r="Z61" s="28" t="n">
        <v>0</v>
      </c>
      <c r="AA61" s="28" t="n">
        <v>0.001375806023799049</v>
      </c>
      <c r="AB61" s="28" t="n">
        <v>2.802942264284548e-05</v>
      </c>
      <c r="AC61" s="28" t="n">
        <v>2.396826009396162e-05</v>
      </c>
      <c r="AD61" s="28" t="n">
        <v>1.333653548893923e-05</v>
      </c>
      <c r="AE61" s="28" t="n">
        <v>0.0006944375417963364</v>
      </c>
      <c r="AF61" s="28" t="n">
        <v>0.002135577783821132</v>
      </c>
      <c r="AG61" s="30" t="n">
        <v>0</v>
      </c>
      <c r="AH61" s="30" t="n">
        <v>7.228237882960114e-06</v>
      </c>
      <c r="AI61" s="30" t="n">
        <v>0.0001050429925159661</v>
      </c>
      <c r="AJ61" s="30" t="n">
        <v>8.555417467729655e-05</v>
      </c>
      <c r="AK61" s="30" t="n">
        <v>1.244664794840158e-05</v>
      </c>
      <c r="AL61" s="30" t="n">
        <v>0.002016975262949929</v>
      </c>
      <c r="AM61" s="30" t="n">
        <v>0.002227247315974553</v>
      </c>
      <c r="AN61" s="32" t="n">
        <v>0</v>
      </c>
      <c r="AO61" s="32" t="n">
        <v>5.184272594518707e-06</v>
      </c>
      <c r="AP61" s="32" t="n">
        <v>2.481704884966665e-07</v>
      </c>
      <c r="AQ61" s="32" t="n">
        <v>6.549064862657901e-08</v>
      </c>
      <c r="AR61" s="32" t="n">
        <v>4.914575925526552e-08</v>
      </c>
      <c r="AS61" s="32" t="n">
        <v>1.362294714948311e-06</v>
      </c>
      <c r="AT61" s="32" t="n">
        <v>6.909374205845528e-06</v>
      </c>
      <c r="AU61" s="34" t="n">
        <v>0</v>
      </c>
      <c r="AV61" s="34" t="n">
        <v>0</v>
      </c>
      <c r="AW61" s="34" t="n">
        <v>0.002776429944804675</v>
      </c>
      <c r="AX61" s="34" t="n">
        <v>0.0201770987761535</v>
      </c>
      <c r="AY61" s="34" t="n">
        <v>0.01521070504764254</v>
      </c>
      <c r="AZ61" s="34" t="n">
        <v>0.1208197410054825</v>
      </c>
      <c r="BA61" s="34" t="n">
        <v>0.1589839747740832</v>
      </c>
      <c r="BB61" s="6" t="n"/>
      <c r="BC61" s="6" t="n"/>
      <c r="BD61" t="inlineStr">
        <is>
          <t>transport, Bicycle, electric (&lt;45 km/h), 2040, label-certified electricity/CH U</t>
        </is>
      </c>
      <c r="BF61" s="5" t="n">
        <v>0.007600357800000001</v>
      </c>
      <c r="BG61" s="5">
        <f>BF61-R61</f>
        <v>-3.9145228927611915E-3</v>
      </c>
      <c r="BH61" s="2" t="n">
        <v>18.10508</v>
      </c>
    </row>
    <row r="62">
      <c r="A62" t="str">
        <f>B62&amp;" - "&amp;D62&amp;" - "&amp;IF(I62&lt;&gt;"",I62&amp;" - "&amp;E62,E62)</f>
        <v>Bicycle, electric (&lt;45 km/h) - 2050 - NMC - CH</v>
      </c>
      <c r="B62" t="inlineStr">
        <is>
          <t>Bicycle, electric (&lt;45 km/h)</t>
        </is>
      </c>
      <c r="D62" s="18" t="n">
        <v>2050</v>
      </c>
      <c r="E62" t="inlineStr">
        <is>
          <t>CH</t>
        </is>
      </c>
      <c r="F62" t="inlineStr">
        <is>
          <t>None</t>
        </is>
      </c>
      <c r="G62" t="inlineStr">
        <is>
          <t>vkm</t>
        </is>
      </c>
      <c r="H62" t="inlineStr">
        <is>
          <t>BEV</t>
        </is>
      </c>
      <c r="I62" t="inlineStr">
        <is>
          <t>NMC</t>
        </is>
      </c>
      <c r="J62" t="inlineStr">
        <is>
          <t>label-certified electricity</t>
        </is>
      </c>
      <c r="L62" s="24" t="n">
        <v>0</v>
      </c>
      <c r="M62" s="24" t="n">
        <v>0</v>
      </c>
      <c r="N62" s="24" t="n">
        <v>0.0002786706453612946</v>
      </c>
      <c r="O62" s="24" t="n">
        <v>0.001195732624675443</v>
      </c>
      <c r="P62" s="24" t="n">
        <v>0.0004650903333785732</v>
      </c>
      <c r="Q62" s="24" t="n">
        <v>0.009899386647414797</v>
      </c>
      <c r="R62" s="24" t="n">
        <v>0.01183888025083011</v>
      </c>
      <c r="S62" s="26" t="n">
        <v>0</v>
      </c>
      <c r="T62" s="26" t="n">
        <v>0</v>
      </c>
      <c r="U62" s="26" t="n">
        <v>0.000158845785788578</v>
      </c>
      <c r="V62" s="26" t="n">
        <v>9.831747354962542e-05</v>
      </c>
      <c r="W62" s="26" t="n">
        <v>2.938796080265894e-05</v>
      </c>
      <c r="X62" s="26" t="n">
        <v>0.00617788644576912</v>
      </c>
      <c r="Y62" s="26" t="n">
        <v>0.006464437665909982</v>
      </c>
      <c r="Z62" s="28" t="n">
        <v>0</v>
      </c>
      <c r="AA62" s="28" t="n">
        <v>0.001375806023799049</v>
      </c>
      <c r="AB62" s="28" t="n">
        <v>2.802942264284548e-05</v>
      </c>
      <c r="AC62" s="28" t="n">
        <v>2.396826009396162e-05</v>
      </c>
      <c r="AD62" s="28" t="n">
        <v>1.335876304808745e-05</v>
      </c>
      <c r="AE62" s="28" t="n">
        <v>0.0007037072965090728</v>
      </c>
      <c r="AF62" s="28" t="n">
        <v>0.002144869766093016</v>
      </c>
      <c r="AG62" s="30" t="n">
        <v>0</v>
      </c>
      <c r="AH62" s="30" t="n">
        <v>7.228237882960114e-06</v>
      </c>
      <c r="AI62" s="30" t="n">
        <v>0.0001050429925159661</v>
      </c>
      <c r="AJ62" s="30" t="n">
        <v>8.555417467729655e-05</v>
      </c>
      <c r="AK62" s="30" t="n">
        <v>1.246739236164892e-05</v>
      </c>
      <c r="AL62" s="30" t="n">
        <v>0.00205553027420888</v>
      </c>
      <c r="AM62" s="30" t="n">
        <v>0.002265823071646752</v>
      </c>
      <c r="AN62" s="32" t="n">
        <v>0</v>
      </c>
      <c r="AO62" s="32" t="n">
        <v>5.184272594518707e-06</v>
      </c>
      <c r="AP62" s="32" t="n">
        <v>2.481704884966665e-07</v>
      </c>
      <c r="AQ62" s="32" t="n">
        <v>6.549064862657901e-08</v>
      </c>
      <c r="AR62" s="32" t="n">
        <v>4.922766885402429e-08</v>
      </c>
      <c r="AS62" s="32" t="n">
        <v>1.349571522177053e-06</v>
      </c>
      <c r="AT62" s="32" t="n">
        <v>6.89673292267303e-06</v>
      </c>
      <c r="AU62" s="34" t="n">
        <v>0</v>
      </c>
      <c r="AV62" s="34" t="n">
        <v>0</v>
      </c>
      <c r="AW62" s="34" t="n">
        <v>0.002776429944804675</v>
      </c>
      <c r="AX62" s="34" t="n">
        <v>0.0201770987761535</v>
      </c>
      <c r="AY62" s="34" t="n">
        <v>0.01523605622272195</v>
      </c>
      <c r="AZ62" s="34" t="n">
        <v>0.1238947789319083</v>
      </c>
      <c r="BA62" s="34" t="n">
        <v>0.1620843638755884</v>
      </c>
      <c r="BB62" s="6" t="n"/>
      <c r="BC62" s="6" t="n"/>
      <c r="BD62" t="inlineStr">
        <is>
          <t>transport, Bicycle, electric (&lt;45 km/h), 2050, label-certified electricity/CH U</t>
        </is>
      </c>
      <c r="BF62" s="5" t="n">
        <v>0.0077195111</v>
      </c>
      <c r="BG62" s="5">
        <f>BF62-R62</f>
        <v>-4.1193691508301083E-3</v>
      </c>
      <c r="BH62" s="2" t="n">
        <v>17.880268</v>
      </c>
    </row>
    <row r="63">
      <c r="A63" t="str">
        <f>B63&amp;" - "&amp;D63&amp;" - "&amp;IF(I63&lt;&gt;"",I63&amp;" - "&amp;E63,E63)</f>
        <v>Bicycle, battery electric, cargo bike - 2020 - NMC - CH</v>
      </c>
      <c r="B63" t="inlineStr">
        <is>
          <t>Bicycle, battery electric, cargo bike</t>
        </is>
      </c>
      <c r="D63" s="18" t="n">
        <v>2020</v>
      </c>
      <c r="E63" t="inlineStr">
        <is>
          <t>CH</t>
        </is>
      </c>
      <c r="F63" t="inlineStr">
        <is>
          <t>None</t>
        </is>
      </c>
      <c r="G63" t="inlineStr">
        <is>
          <t>vkm</t>
        </is>
      </c>
      <c r="H63" t="inlineStr">
        <is>
          <t>BEV</t>
        </is>
      </c>
      <c r="I63" t="inlineStr">
        <is>
          <t>NMC</t>
        </is>
      </c>
      <c r="J63" t="inlineStr">
        <is>
          <t>label-certified electricity</t>
        </is>
      </c>
      <c r="L63" s="24" t="n">
        <v>0</v>
      </c>
      <c r="M63" s="24" t="n">
        <v>0</v>
      </c>
      <c r="N63" s="24" t="n">
        <v>0.0002134720130700155</v>
      </c>
      <c r="O63" s="24" t="n">
        <v>0.001195732624675443</v>
      </c>
      <c r="P63" s="24" t="n">
        <v>0.0007749988182216119</v>
      </c>
      <c r="Q63" s="24" t="n">
        <v>0.02220785318367135</v>
      </c>
      <c r="R63" s="24" t="n">
        <v>0.02439205663963842</v>
      </c>
      <c r="S63" s="26" t="n">
        <v>0</v>
      </c>
      <c r="T63" s="26" t="n">
        <v>0</v>
      </c>
      <c r="U63" s="26" t="n">
        <v>0.000121681742316322</v>
      </c>
      <c r="V63" s="26" t="n">
        <v>9.831747354962542e-05</v>
      </c>
      <c r="W63" s="26" t="n">
        <v>4.897034674222067e-05</v>
      </c>
      <c r="X63" s="26" t="n">
        <v>0.01343794184127419</v>
      </c>
      <c r="Y63" s="26" t="n">
        <v>0.01370691140388236</v>
      </c>
      <c r="Z63" s="28" t="n">
        <v>0</v>
      </c>
      <c r="AA63" s="28" t="n">
        <v>0.002751612047598098</v>
      </c>
      <c r="AB63" s="28" t="n">
        <v>2.147157361695178e-05</v>
      </c>
      <c r="AC63" s="28" t="n">
        <v>2.396826009396162e-05</v>
      </c>
      <c r="AD63" s="28" t="n">
        <v>2.226024673521474e-05</v>
      </c>
      <c r="AE63" s="28" t="n">
        <v>0.001519419196695067</v>
      </c>
      <c r="AF63" s="28" t="n">
        <v>0.004338731324739293</v>
      </c>
      <c r="AG63" s="30" t="n">
        <v>0</v>
      </c>
      <c r="AH63" s="30" t="n">
        <v>1.445647576592023e-05</v>
      </c>
      <c r="AI63" s="30" t="n">
        <v>8.046681430047874e-05</v>
      </c>
      <c r="AJ63" s="30" t="n">
        <v>8.555417467729655e-05</v>
      </c>
      <c r="AK63" s="30" t="n">
        <v>2.077491973740558e-05</v>
      </c>
      <c r="AL63" s="30" t="n">
        <v>0.00412477696596803</v>
      </c>
      <c r="AM63" s="30" t="n">
        <v>0.004326029350449131</v>
      </c>
      <c r="AN63" s="32" t="n">
        <v>0</v>
      </c>
      <c r="AO63" s="32" t="n">
        <v>1.036854518903741e-05</v>
      </c>
      <c r="AP63" s="32" t="n">
        <v>1.901077657292092e-07</v>
      </c>
      <c r="AQ63" s="32" t="n">
        <v>6.549064862657901e-08</v>
      </c>
      <c r="AR63" s="32" t="n">
        <v>8.20300540510682e-08</v>
      </c>
      <c r="AS63" s="32" t="n">
        <v>3.247132157769772e-06</v>
      </c>
      <c r="AT63" s="32" t="n">
        <v>1.395330581521404e-05</v>
      </c>
      <c r="AU63" s="34" t="n">
        <v>0</v>
      </c>
      <c r="AV63" s="34" t="n">
        <v>0</v>
      </c>
      <c r="AW63" s="34" t="n">
        <v>0.002126847945168059</v>
      </c>
      <c r="AX63" s="34" t="n">
        <v>0.0201770987761535</v>
      </c>
      <c r="AY63" s="34" t="n">
        <v>0.02538845621922689</v>
      </c>
      <c r="AZ63" s="34" t="n">
        <v>0.2830850608147603</v>
      </c>
      <c r="BA63" s="34" t="n">
        <v>0.3307774637553088</v>
      </c>
      <c r="BB63" s="6" t="n"/>
      <c r="BC63" s="6" t="n"/>
      <c r="BD63" t="inlineStr">
        <is>
          <t>transport, Bicycle, battery electric, cargo bike, label-certified electricity/CH U</t>
        </is>
      </c>
      <c r="BF63" s="5" t="n">
        <v>0.016140363</v>
      </c>
      <c r="BG63" s="5">
        <f>BF63-R63</f>
        <v>-8.2516936396384195E-3</v>
      </c>
      <c r="BH63" s="2" t="n">
        <v>39.702022</v>
      </c>
    </row>
    <row r="64">
      <c r="A64" t="str">
        <f>B64&amp;" - "&amp;D64&amp;" - "&amp;IF(I64&lt;&gt;"",I64&amp;" - "&amp;E64,E64)</f>
        <v>Bicycle, battery electric, cargo bike - 2030 - NMC - CH</v>
      </c>
      <c r="B64" t="inlineStr">
        <is>
          <t>Bicycle, battery electric, cargo bike</t>
        </is>
      </c>
      <c r="D64" s="18" t="n">
        <v>2030</v>
      </c>
      <c r="E64" t="inlineStr">
        <is>
          <t>CH</t>
        </is>
      </c>
      <c r="F64" t="inlineStr">
        <is>
          <t>None</t>
        </is>
      </c>
      <c r="G64" t="inlineStr">
        <is>
          <t>vkm</t>
        </is>
      </c>
      <c r="H64" t="inlineStr">
        <is>
          <t>BEV</t>
        </is>
      </c>
      <c r="I64" t="inlineStr">
        <is>
          <t>NMC</t>
        </is>
      </c>
      <c r="J64" t="inlineStr">
        <is>
          <t>label-certified electricity</t>
        </is>
      </c>
      <c r="L64" s="24" t="n">
        <v>0</v>
      </c>
      <c r="M64" s="24" t="n">
        <v>0</v>
      </c>
      <c r="N64" s="24" t="n">
        <v>0.0002134720130700155</v>
      </c>
      <c r="O64" s="24" t="n">
        <v>0.001195732624675443</v>
      </c>
      <c r="P64" s="24" t="n">
        <v>0.0007683678934333036</v>
      </c>
      <c r="Q64" s="24" t="n">
        <v>0.02255563105074997</v>
      </c>
      <c r="R64" s="24" t="n">
        <v>0.02473320358192873</v>
      </c>
      <c r="S64" s="26" t="n">
        <v>0</v>
      </c>
      <c r="T64" s="26" t="n">
        <v>0</v>
      </c>
      <c r="U64" s="26" t="n">
        <v>0.000121681742316322</v>
      </c>
      <c r="V64" s="26" t="n">
        <v>9.831747354962542e-05</v>
      </c>
      <c r="W64" s="26" t="n">
        <v>4.855135425027058e-05</v>
      </c>
      <c r="X64" s="26" t="n">
        <v>0.01080209838558691</v>
      </c>
      <c r="Y64" s="26" t="n">
        <v>0.01107064895570313</v>
      </c>
      <c r="Z64" s="28" t="n">
        <v>0</v>
      </c>
      <c r="AA64" s="28" t="n">
        <v>0.002751612047598098</v>
      </c>
      <c r="AB64" s="28" t="n">
        <v>2.147157361695178e-05</v>
      </c>
      <c r="AC64" s="28" t="n">
        <v>2.396826009396162e-05</v>
      </c>
      <c r="AD64" s="28" t="n">
        <v>2.20697870617289e-05</v>
      </c>
      <c r="AE64" s="28" t="n">
        <v>0.001386348195134585</v>
      </c>
      <c r="AF64" s="28" t="n">
        <v>0.004205469863505324</v>
      </c>
      <c r="AG64" s="30" t="n">
        <v>0</v>
      </c>
      <c r="AH64" s="30" t="n">
        <v>1.445647576592023e-05</v>
      </c>
      <c r="AI64" s="30" t="n">
        <v>8.046681430047874e-05</v>
      </c>
      <c r="AJ64" s="30" t="n">
        <v>8.555417467729655e-05</v>
      </c>
      <c r="AK64" s="30" t="n">
        <v>2.059716858859998e-05</v>
      </c>
      <c r="AL64" s="30" t="n">
        <v>0.003870340029132017</v>
      </c>
      <c r="AM64" s="30" t="n">
        <v>0.004071414662464312</v>
      </c>
      <c r="AN64" s="32" t="n">
        <v>0</v>
      </c>
      <c r="AO64" s="32" t="n">
        <v>1.036854518903741e-05</v>
      </c>
      <c r="AP64" s="32" t="n">
        <v>1.901077657292092e-07</v>
      </c>
      <c r="AQ64" s="32" t="n">
        <v>6.549064862657901e-08</v>
      </c>
      <c r="AR64" s="32" t="n">
        <v>8.132820121464495e-08</v>
      </c>
      <c r="AS64" s="32" t="n">
        <v>2.787113931107627e-06</v>
      </c>
      <c r="AT64" s="32" t="n">
        <v>1.349258573571547e-05</v>
      </c>
      <c r="AU64" s="34" t="n">
        <v>0</v>
      </c>
      <c r="AV64" s="34" t="n">
        <v>0</v>
      </c>
      <c r="AW64" s="34" t="n">
        <v>0.002126847945168059</v>
      </c>
      <c r="AX64" s="34" t="n">
        <v>0.0201770987761535</v>
      </c>
      <c r="AY64" s="34" t="n">
        <v>0.02517123144452689</v>
      </c>
      <c r="AZ64" s="34" t="n">
        <v>0.2795139071662024</v>
      </c>
      <c r="BA64" s="34" t="n">
        <v>0.3269890853320508</v>
      </c>
      <c r="BB64" s="6" t="n"/>
      <c r="BC64" s="6" t="n"/>
      <c r="BD64" t="inlineStr">
        <is>
          <t>transport, Bicycle, battery electric, cargo bike, 2030, label-certified electricity/CH U</t>
        </is>
      </c>
      <c r="BF64" s="5" t="n">
        <v>0.015970189</v>
      </c>
      <c r="BG64" s="5">
        <f>BF64-R64</f>
        <v>-8.7630145819287304E-3</v>
      </c>
      <c r="BH64" s="2" t="n">
        <v>34.616849</v>
      </c>
    </row>
    <row r="65">
      <c r="A65" t="str">
        <f>B65&amp;" - "&amp;D65&amp;" - "&amp;IF(I65&lt;&gt;"",I65&amp;" - "&amp;E65,E65)</f>
        <v>Bicycle, battery electric, cargo bike - 2040 - NMC - CH</v>
      </c>
      <c r="B65" t="inlineStr">
        <is>
          <t>Bicycle, battery electric, cargo bike</t>
        </is>
      </c>
      <c r="D65" s="18" t="n">
        <v>2040</v>
      </c>
      <c r="E65" t="inlineStr">
        <is>
          <t>CH</t>
        </is>
      </c>
      <c r="F65" t="inlineStr">
        <is>
          <t>None</t>
        </is>
      </c>
      <c r="G65" t="inlineStr">
        <is>
          <t>vkm</t>
        </is>
      </c>
      <c r="H65" t="inlineStr">
        <is>
          <t>BEV</t>
        </is>
      </c>
      <c r="I65" t="inlineStr">
        <is>
          <t>NMC</t>
        </is>
      </c>
      <c r="J65" t="inlineStr">
        <is>
          <t>label-certified electricity</t>
        </is>
      </c>
      <c r="L65" s="24" t="n">
        <v>0</v>
      </c>
      <c r="M65" s="24" t="n">
        <v>0</v>
      </c>
      <c r="N65" s="24" t="n">
        <v>0.0002134720130700155</v>
      </c>
      <c r="O65" s="24" t="n">
        <v>0.001195732624675443</v>
      </c>
      <c r="P65" s="24" t="n">
        <v>0.0007624804819507784</v>
      </c>
      <c r="Q65" s="24" t="n">
        <v>0.02277527433494334</v>
      </c>
      <c r="R65" s="24" t="n">
        <v>0.02494695945463957</v>
      </c>
      <c r="S65" s="26" t="n">
        <v>0</v>
      </c>
      <c r="T65" s="26" t="n">
        <v>0</v>
      </c>
      <c r="U65" s="26" t="n">
        <v>0.000121681742316322</v>
      </c>
      <c r="V65" s="26" t="n">
        <v>9.831747354962542e-05</v>
      </c>
      <c r="W65" s="26" t="n">
        <v>4.817934260982063e-05</v>
      </c>
      <c r="X65" s="26" t="n">
        <v>0.00903720464853964</v>
      </c>
      <c r="Y65" s="26" t="n">
        <v>0.009305383207015409</v>
      </c>
      <c r="Z65" s="28" t="n">
        <v>0</v>
      </c>
      <c r="AA65" s="28" t="n">
        <v>0.002751612047598098</v>
      </c>
      <c r="AB65" s="28" t="n">
        <v>2.147157361695178e-05</v>
      </c>
      <c r="AC65" s="28" t="n">
        <v>2.396826009396162e-05</v>
      </c>
      <c r="AD65" s="28" t="n">
        <v>2.19006832784051e-05</v>
      </c>
      <c r="AE65" s="28" t="n">
        <v>0.0012964732590299</v>
      </c>
      <c r="AF65" s="28" t="n">
        <v>0.004115425823617317</v>
      </c>
      <c r="AG65" s="30" t="n">
        <v>0</v>
      </c>
      <c r="AH65" s="30" t="n">
        <v>1.445647576592023e-05</v>
      </c>
      <c r="AI65" s="30" t="n">
        <v>8.046681430047874e-05</v>
      </c>
      <c r="AJ65" s="30" t="n">
        <v>8.555417467729655e-05</v>
      </c>
      <c r="AK65" s="30" t="n">
        <v>2.043934834663986e-05</v>
      </c>
      <c r="AL65" s="30" t="n">
        <v>0.003696611527351222</v>
      </c>
      <c r="AM65" s="30" t="n">
        <v>0.003897528340441557</v>
      </c>
      <c r="AN65" s="32" t="n">
        <v>0</v>
      </c>
      <c r="AO65" s="32" t="n">
        <v>1.036854518903741e-05</v>
      </c>
      <c r="AP65" s="32" t="n">
        <v>1.901077657292092e-07</v>
      </c>
      <c r="AQ65" s="32" t="n">
        <v>6.549064862657901e-08</v>
      </c>
      <c r="AR65" s="32" t="n">
        <v>8.070504583585271e-08</v>
      </c>
      <c r="AS65" s="32" t="n">
        <v>2.478335941026461e-06</v>
      </c>
      <c r="AT65" s="32" t="n">
        <v>1.318318459025551e-05</v>
      </c>
      <c r="AU65" s="34" t="n">
        <v>0</v>
      </c>
      <c r="AV65" s="34" t="n">
        <v>0</v>
      </c>
      <c r="AW65" s="34" t="n">
        <v>0.002126847945168059</v>
      </c>
      <c r="AX65" s="34" t="n">
        <v>0.0201770987761535</v>
      </c>
      <c r="AY65" s="34" t="n">
        <v>0.0249783636811777</v>
      </c>
      <c r="AZ65" s="34" t="n">
        <v>0.2769810509291267</v>
      </c>
      <c r="BA65" s="34" t="n">
        <v>0.324263361331626</v>
      </c>
      <c r="BB65" s="6" t="n"/>
      <c r="BC65" s="6" t="n"/>
      <c r="BD65" t="inlineStr">
        <is>
          <t>transport, Bicycle, battery electric, cargo bike, 2040, label-certified electricity/CH U</t>
        </is>
      </c>
      <c r="BF65" s="5" t="n">
        <v>0.015842831</v>
      </c>
      <c r="BG65" s="5">
        <f>BF65-R65</f>
        <v>-9.104128454639572E-3</v>
      </c>
      <c r="BH65" s="2" t="n">
        <v>31.194571</v>
      </c>
    </row>
    <row r="66">
      <c r="A66" t="str">
        <f>B66&amp;" - "&amp;D66&amp;" - "&amp;IF(I66&lt;&gt;"",I66&amp;" - "&amp;E66,E66)</f>
        <v>Bicycle, battery electric, cargo bike - 2050 - NMC - CH</v>
      </c>
      <c r="B66" t="inlineStr">
        <is>
          <t>Bicycle, battery electric, cargo bike</t>
        </is>
      </c>
      <c r="D66" s="18" t="n">
        <v>2050</v>
      </c>
      <c r="E66" t="inlineStr">
        <is>
          <t>CH</t>
        </is>
      </c>
      <c r="F66" t="inlineStr">
        <is>
          <t>None</t>
        </is>
      </c>
      <c r="G66" t="inlineStr">
        <is>
          <t>vkm</t>
        </is>
      </c>
      <c r="H66" t="inlineStr">
        <is>
          <t>BEV</t>
        </is>
      </c>
      <c r="I66" t="inlineStr">
        <is>
          <t>NMC</t>
        </is>
      </c>
      <c r="J66" t="inlineStr">
        <is>
          <t>label-certified electricity</t>
        </is>
      </c>
      <c r="L66" s="24" t="n">
        <v>0</v>
      </c>
      <c r="M66" s="24" t="n">
        <v>0</v>
      </c>
      <c r="N66" s="24" t="n">
        <v>0.0002134720130700155</v>
      </c>
      <c r="O66" s="24" t="n">
        <v>0.001195732624675443</v>
      </c>
      <c r="P66" s="24" t="n">
        <v>0.0007585656567897176</v>
      </c>
      <c r="Q66" s="24" t="n">
        <v>0.02350117157993232</v>
      </c>
      <c r="R66" s="24" t="n">
        <v>0.0256689418744675</v>
      </c>
      <c r="S66" s="26" t="n">
        <v>0</v>
      </c>
      <c r="T66" s="26" t="n">
        <v>0</v>
      </c>
      <c r="U66" s="26" t="n">
        <v>0.000121681742316322</v>
      </c>
      <c r="V66" s="26" t="n">
        <v>9.831747354962542e-05</v>
      </c>
      <c r="W66" s="26" t="n">
        <v>4.793197404477916e-05</v>
      </c>
      <c r="X66" s="26" t="n">
        <v>0.00825756430829544</v>
      </c>
      <c r="Y66" s="26" t="n">
        <v>0.008525495498206167</v>
      </c>
      <c r="Z66" s="28" t="n">
        <v>0</v>
      </c>
      <c r="AA66" s="28" t="n">
        <v>0.002751612047598098</v>
      </c>
      <c r="AB66" s="28" t="n">
        <v>2.147157361695178e-05</v>
      </c>
      <c r="AC66" s="28" t="n">
        <v>2.396826009396162e-05</v>
      </c>
      <c r="AD66" s="28" t="n">
        <v>2.178823797918463e-05</v>
      </c>
      <c r="AE66" s="28" t="n">
        <v>0.001286105342509066</v>
      </c>
      <c r="AF66" s="28" t="n">
        <v>0.004104945461797261</v>
      </c>
      <c r="AG66" s="30" t="n">
        <v>0</v>
      </c>
      <c r="AH66" s="30" t="n">
        <v>1.445647576592023e-05</v>
      </c>
      <c r="AI66" s="30" t="n">
        <v>8.046681430047874e-05</v>
      </c>
      <c r="AJ66" s="30" t="n">
        <v>8.555417467729655e-05</v>
      </c>
      <c r="AK66" s="30" t="n">
        <v>2.033440602080039e-05</v>
      </c>
      <c r="AL66" s="30" t="n">
        <v>0.003723904575222567</v>
      </c>
      <c r="AM66" s="30" t="n">
        <v>0.003924716445987063</v>
      </c>
      <c r="AN66" s="32" t="n">
        <v>0</v>
      </c>
      <c r="AO66" s="32" t="n">
        <v>1.036854518903741e-05</v>
      </c>
      <c r="AP66" s="32" t="n">
        <v>1.901077657292092e-07</v>
      </c>
      <c r="AQ66" s="32" t="n">
        <v>6.549064862657901e-08</v>
      </c>
      <c r="AR66" s="32" t="n">
        <v>8.029067963036712e-08</v>
      </c>
      <c r="AS66" s="32" t="n">
        <v>2.349456114138458e-06</v>
      </c>
      <c r="AT66" s="32" t="n">
        <v>1.305389039716203e-05</v>
      </c>
      <c r="AU66" s="34" t="n">
        <v>0</v>
      </c>
      <c r="AV66" s="34" t="n">
        <v>0</v>
      </c>
      <c r="AW66" s="34" t="n">
        <v>0.002126847945168059</v>
      </c>
      <c r="AX66" s="34" t="n">
        <v>0.0201770987761535</v>
      </c>
      <c r="AY66" s="34" t="n">
        <v>0.02485011656018777</v>
      </c>
      <c r="AZ66" s="34" t="n">
        <v>0.2823200758079386</v>
      </c>
      <c r="BA66" s="34" t="n">
        <v>0.3294741390894479</v>
      </c>
      <c r="BB66" s="6" t="n"/>
      <c r="BC66" s="6" t="n"/>
      <c r="BD66" t="inlineStr">
        <is>
          <t>transport, Bicycle, battery electric, cargo bike, 2050, label-certified electricity/CH U</t>
        </is>
      </c>
      <c r="BF66" s="5" t="n">
        <v>0.016030559</v>
      </c>
      <c r="BG66" s="5">
        <f>BF66-R66</f>
        <v>-9.6383828744674958E-3</v>
      </c>
      <c r="BH66" s="2" t="n">
        <v>29.600327</v>
      </c>
    </row>
    <row r="67">
      <c r="A67" t="str">
        <f>B67&amp;" - "&amp;D67&amp;" - "&amp;IF(I67&lt;&gt;"",I67&amp;" - "&amp;E67,E67)</f>
        <v>Bicycle, electric (&lt;25 km/h) - 2020 - LFP - CH</v>
      </c>
      <c r="B67" t="inlineStr">
        <is>
          <t>Bicycle, electric (&lt;25 km/h)</t>
        </is>
      </c>
      <c r="D67" s="18" t="n">
        <v>2020</v>
      </c>
      <c r="E67" t="inlineStr">
        <is>
          <t>CH</t>
        </is>
      </c>
      <c r="F67" t="inlineStr">
        <is>
          <t>None</t>
        </is>
      </c>
      <c r="G67" t="inlineStr">
        <is>
          <t>vkm</t>
        </is>
      </c>
      <c r="H67" t="inlineStr">
        <is>
          <t>BEV</t>
        </is>
      </c>
      <c r="I67" t="inlineStr">
        <is>
          <t>LFP</t>
        </is>
      </c>
      <c r="J67" t="inlineStr">
        <is>
          <t>label-certified electricity</t>
        </is>
      </c>
      <c r="L67" s="24" t="n">
        <v>0</v>
      </c>
      <c r="M67" s="24" t="n">
        <v>0</v>
      </c>
      <c r="N67" s="24" t="n">
        <v>0.0001517356796025006</v>
      </c>
      <c r="O67" s="24" t="n">
        <v>0.001195732624675443</v>
      </c>
      <c r="P67" s="24" t="n">
        <v>0.0004665925337310733</v>
      </c>
      <c r="Q67" s="24" t="n">
        <v>0.01650564376120548</v>
      </c>
      <c r="R67" s="24" t="n">
        <v>0.0183197045992145</v>
      </c>
      <c r="S67" s="26" t="n">
        <v>0</v>
      </c>
      <c r="T67" s="26" t="n">
        <v>0</v>
      </c>
      <c r="U67" s="26" t="n">
        <v>8.649125288160251e-05</v>
      </c>
      <c r="V67" s="26" t="n">
        <v>9.831747354962542e-05</v>
      </c>
      <c r="W67" s="26" t="n">
        <v>2.948288129854695e-05</v>
      </c>
      <c r="X67" s="26" t="n">
        <v>0.008225866380793839</v>
      </c>
      <c r="Y67" s="26" t="n">
        <v>0.008440157988523614</v>
      </c>
      <c r="Z67" s="28" t="n">
        <v>0</v>
      </c>
      <c r="AA67" s="28" t="n">
        <v>0.001375806023799049</v>
      </c>
      <c r="AB67" s="28" t="n">
        <v>1.526197166574115e-05</v>
      </c>
      <c r="AC67" s="28" t="n">
        <v>2.396826009396162e-05</v>
      </c>
      <c r="AD67" s="28" t="n">
        <v>1.340191066290461e-05</v>
      </c>
      <c r="AE67" s="28" t="n">
        <v>0.001196824528555046</v>
      </c>
      <c r="AF67" s="28" t="n">
        <v>0.002625262694776702</v>
      </c>
      <c r="AG67" s="30" t="n">
        <v>0</v>
      </c>
      <c r="AH67" s="30" t="n">
        <v>7.228237882960114e-06</v>
      </c>
      <c r="AI67" s="30" t="n">
        <v>5.719572593025e-05</v>
      </c>
      <c r="AJ67" s="30" t="n">
        <v>8.555417467729655e-05</v>
      </c>
      <c r="AK67" s="30" t="n">
        <v>1.250766092854081e-05</v>
      </c>
      <c r="AL67" s="30" t="n">
        <v>0.003829640026095695</v>
      </c>
      <c r="AM67" s="30" t="n">
        <v>0.003992125825514743</v>
      </c>
      <c r="AN67" s="32" t="n">
        <v>0</v>
      </c>
      <c r="AO67" s="32" t="n">
        <v>5.184272594518707e-06</v>
      </c>
      <c r="AP67" s="32" t="n">
        <v>1.351283974690089e-07</v>
      </c>
      <c r="AQ67" s="32" t="n">
        <v>6.549064862657901e-08</v>
      </c>
      <c r="AR67" s="32" t="n">
        <v>4.938666983985016e-08</v>
      </c>
      <c r="AS67" s="32" t="n">
        <v>2.074391227463549e-06</v>
      </c>
      <c r="AT67" s="32" t="n">
        <v>7.508669537917694e-06</v>
      </c>
      <c r="AU67" s="34" t="n">
        <v>0</v>
      </c>
      <c r="AV67" s="34" t="n">
        <v>0</v>
      </c>
      <c r="AW67" s="34" t="n">
        <v>0.001511761254930456</v>
      </c>
      <c r="AX67" s="34" t="n">
        <v>0.0201770987761535</v>
      </c>
      <c r="AY67" s="34" t="n">
        <v>0.01528526732728785</v>
      </c>
      <c r="AZ67" s="34" t="n">
        <v>0.2104769139272263</v>
      </c>
      <c r="BA67" s="34" t="n">
        <v>0.2474510412855981</v>
      </c>
      <c r="BB67" s="6" t="n"/>
      <c r="BC67" s="6" t="n"/>
      <c r="BD67" t="inlineStr">
        <is>
          <t>transport, Bicycle, electric (&lt;25 km/h), LFP battery, label-certified electricity/CH U</t>
        </is>
      </c>
      <c r="BF67" s="5" t="n">
        <v>0.013146864</v>
      </c>
      <c r="BG67" s="5">
        <f>BF67-R67</f>
        <v>-5.1728405992144972E-3</v>
      </c>
      <c r="BH67" s="2" t="n">
        <v>39.066484</v>
      </c>
    </row>
    <row r="68">
      <c r="A68" t="str">
        <f>B68&amp;" - "&amp;D68&amp;" - "&amp;IF(I68&lt;&gt;"",I68&amp;" - "&amp;E68,E68)</f>
        <v>Bicycle, electric (&lt;25 km/h) - 2030 - LFP - CH</v>
      </c>
      <c r="B68" t="inlineStr">
        <is>
          <t>Bicycle, electric (&lt;25 km/h)</t>
        </is>
      </c>
      <c r="D68" s="18" t="n">
        <v>2030</v>
      </c>
      <c r="E68" t="inlineStr">
        <is>
          <t>CH</t>
        </is>
      </c>
      <c r="F68" t="inlineStr">
        <is>
          <t>None</t>
        </is>
      </c>
      <c r="G68" t="inlineStr">
        <is>
          <t>vkm</t>
        </is>
      </c>
      <c r="H68" t="inlineStr">
        <is>
          <t>BEV</t>
        </is>
      </c>
      <c r="I68" t="inlineStr">
        <is>
          <t>LFP</t>
        </is>
      </c>
      <c r="J68" t="inlineStr">
        <is>
          <t>label-certified electricity</t>
        </is>
      </c>
      <c r="L68" s="24" t="n">
        <v>0</v>
      </c>
      <c r="M68" s="24" t="n">
        <v>0</v>
      </c>
      <c r="N68" s="24" t="n">
        <v>0.0001517356796025006</v>
      </c>
      <c r="O68" s="24" t="n">
        <v>0.001195732624675443</v>
      </c>
      <c r="P68" s="24" t="n">
        <v>0.0004738152344158209</v>
      </c>
      <c r="Q68" s="24" t="n">
        <v>0.01730129842392206</v>
      </c>
      <c r="R68" s="24" t="n">
        <v>0.01912258196261582</v>
      </c>
      <c r="S68" s="26" t="n">
        <v>0</v>
      </c>
      <c r="T68" s="26" t="n">
        <v>0</v>
      </c>
      <c r="U68" s="26" t="n">
        <v>8.649125288160251e-05</v>
      </c>
      <c r="V68" s="26" t="n">
        <v>9.831747354962542e-05</v>
      </c>
      <c r="W68" s="26" t="n">
        <v>2.993926671311958e-05</v>
      </c>
      <c r="X68" s="26" t="n">
        <v>0.00834788410547539</v>
      </c>
      <c r="Y68" s="26" t="n">
        <v>0.008562632098619738</v>
      </c>
      <c r="Z68" s="28" t="n">
        <v>0</v>
      </c>
      <c r="AA68" s="28" t="n">
        <v>0.001375806023799049</v>
      </c>
      <c r="AB68" s="28" t="n">
        <v>1.526197166574115e-05</v>
      </c>
      <c r="AC68" s="28" t="n">
        <v>2.396826009396162e-05</v>
      </c>
      <c r="AD68" s="28" t="n">
        <v>1.360936788162145e-05</v>
      </c>
      <c r="AE68" s="28" t="n">
        <v>0.001241371074846764</v>
      </c>
      <c r="AF68" s="28" t="n">
        <v>0.002670016698287137</v>
      </c>
      <c r="AG68" s="30" t="n">
        <v>0</v>
      </c>
      <c r="AH68" s="30" t="n">
        <v>7.228237882960114e-06</v>
      </c>
      <c r="AI68" s="30" t="n">
        <v>5.719572593025e-05</v>
      </c>
      <c r="AJ68" s="30" t="n">
        <v>8.555417467729655e-05</v>
      </c>
      <c r="AK68" s="30" t="n">
        <v>1.270127545218261e-05</v>
      </c>
      <c r="AL68" s="30" t="n">
        <v>0.00396949887746949</v>
      </c>
      <c r="AM68" s="30" t="n">
        <v>0.004132178291412179</v>
      </c>
      <c r="AN68" s="32" t="n">
        <v>0</v>
      </c>
      <c r="AO68" s="32" t="n">
        <v>5.184272594518707e-06</v>
      </c>
      <c r="AP68" s="32" t="n">
        <v>1.351283974690089e-07</v>
      </c>
      <c r="AQ68" s="32" t="n">
        <v>6.549064862657901e-08</v>
      </c>
      <c r="AR68" s="32" t="n">
        <v>5.01511594282654e-08</v>
      </c>
      <c r="AS68" s="32" t="n">
        <v>2.112301266358676e-06</v>
      </c>
      <c r="AT68" s="32" t="n">
        <v>7.547344066401235e-06</v>
      </c>
      <c r="AU68" s="34" t="n">
        <v>0</v>
      </c>
      <c r="AV68" s="34" t="n">
        <v>0</v>
      </c>
      <c r="AW68" s="34" t="n">
        <v>0.001511761254930456</v>
      </c>
      <c r="AX68" s="34" t="n">
        <v>0.0201770987761535</v>
      </c>
      <c r="AY68" s="34" t="n">
        <v>0.01552187829469562</v>
      </c>
      <c r="AZ68" s="34" t="n">
        <v>0.2191136181263011</v>
      </c>
      <c r="BA68" s="34" t="n">
        <v>0.2563243564520806</v>
      </c>
      <c r="BB68" s="6" t="n"/>
      <c r="BC68" s="6" t="n"/>
      <c r="BD68" t="inlineStr">
        <is>
          <t>transport, Bicycle, electric (&lt;25 km/h), LFP battery, 2030, label-certified electricity/CH U</t>
        </is>
      </c>
      <c r="BF68" s="5" t="n">
        <v>0.013508155</v>
      </c>
      <c r="BG68" s="5">
        <f>BF68-R68</f>
        <v>-5.6144269626158226E-3</v>
      </c>
      <c r="BH68" s="2" t="n">
        <v>39.291739</v>
      </c>
    </row>
    <row r="69">
      <c r="A69" t="str">
        <f>B69&amp;" - "&amp;D69&amp;" - "&amp;IF(I69&lt;&gt;"",I69&amp;" - "&amp;E69,E69)</f>
        <v>Bicycle, electric (&lt;25 km/h) - 2040 - LFP - CH</v>
      </c>
      <c r="B69" t="inlineStr">
        <is>
          <t>Bicycle, electric (&lt;25 km/h)</t>
        </is>
      </c>
      <c r="D69" s="18" t="n">
        <v>2040</v>
      </c>
      <c r="E69" t="inlineStr">
        <is>
          <t>CH</t>
        </is>
      </c>
      <c r="F69" t="inlineStr">
        <is>
          <t>None</t>
        </is>
      </c>
      <c r="G69" t="inlineStr">
        <is>
          <t>vkm</t>
        </is>
      </c>
      <c r="H69" t="inlineStr">
        <is>
          <t>BEV</t>
        </is>
      </c>
      <c r="I69" t="inlineStr">
        <is>
          <t>LFP</t>
        </is>
      </c>
      <c r="J69" t="inlineStr">
        <is>
          <t>label-certified electricity</t>
        </is>
      </c>
      <c r="L69" s="24" t="n">
        <v>0</v>
      </c>
      <c r="M69" s="24" t="n">
        <v>0</v>
      </c>
      <c r="N69" s="24" t="n">
        <v>0.0001517356796025006</v>
      </c>
      <c r="O69" s="24" t="n">
        <v>0.001195732624675443</v>
      </c>
      <c r="P69" s="24" t="n">
        <v>0.0004719033430580937</v>
      </c>
      <c r="Q69" s="24" t="n">
        <v>0.01644117831026091</v>
      </c>
      <c r="R69" s="24" t="n">
        <v>0.01826054995759695</v>
      </c>
      <c r="S69" s="26" t="n">
        <v>0</v>
      </c>
      <c r="T69" s="26" t="n">
        <v>0</v>
      </c>
      <c r="U69" s="26" t="n">
        <v>8.649125288160251e-05</v>
      </c>
      <c r="V69" s="26" t="n">
        <v>9.831747354962542e-05</v>
      </c>
      <c r="W69" s="26" t="n">
        <v>2.981845880926212e-05</v>
      </c>
      <c r="X69" s="26" t="n">
        <v>0.007500229631054955</v>
      </c>
      <c r="Y69" s="26" t="n">
        <v>0.007714856816295444</v>
      </c>
      <c r="Z69" s="28" t="n">
        <v>0</v>
      </c>
      <c r="AA69" s="28" t="n">
        <v>0.001375806023799049</v>
      </c>
      <c r="AB69" s="28" t="n">
        <v>1.526197166574115e-05</v>
      </c>
      <c r="AC69" s="28" t="n">
        <v>2.396826009396162e-05</v>
      </c>
      <c r="AD69" s="28" t="n">
        <v>1.355445273549052e-05</v>
      </c>
      <c r="AE69" s="28" t="n">
        <v>0.001135527314052626</v>
      </c>
      <c r="AF69" s="28" t="n">
        <v>0.002564118022346868</v>
      </c>
      <c r="AG69" s="30" t="n">
        <v>0</v>
      </c>
      <c r="AH69" s="30" t="n">
        <v>7.228237882960114e-06</v>
      </c>
      <c r="AI69" s="30" t="n">
        <v>5.719572593025e-05</v>
      </c>
      <c r="AJ69" s="30" t="n">
        <v>8.555417467729655e-05</v>
      </c>
      <c r="AK69" s="30" t="n">
        <v>1.265002454886566e-05</v>
      </c>
      <c r="AL69" s="30" t="n">
        <v>0.003631551749364771</v>
      </c>
      <c r="AM69" s="30" t="n">
        <v>0.003794179912404144</v>
      </c>
      <c r="AN69" s="32" t="n">
        <v>0</v>
      </c>
      <c r="AO69" s="32" t="n">
        <v>5.184272594518707e-06</v>
      </c>
      <c r="AP69" s="32" t="n">
        <v>1.351283974690089e-07</v>
      </c>
      <c r="AQ69" s="32" t="n">
        <v>6.549064862657901e-08</v>
      </c>
      <c r="AR69" s="32" t="n">
        <v>4.994879453721431e-08</v>
      </c>
      <c r="AS69" s="32" t="n">
        <v>1.911297145883766e-06</v>
      </c>
      <c r="AT69" s="32" t="n">
        <v>7.346137581035275e-06</v>
      </c>
      <c r="AU69" s="34" t="n">
        <v>0</v>
      </c>
      <c r="AV69" s="34" t="n">
        <v>0</v>
      </c>
      <c r="AW69" s="34" t="n">
        <v>0.001511761254930456</v>
      </c>
      <c r="AX69" s="34" t="n">
        <v>0.0201770987761535</v>
      </c>
      <c r="AY69" s="34" t="n">
        <v>0.01545924597979357</v>
      </c>
      <c r="AZ69" s="34" t="n">
        <v>0.206094659621028</v>
      </c>
      <c r="BA69" s="34" t="n">
        <v>0.2432427656319055</v>
      </c>
      <c r="BB69" s="6" t="n"/>
      <c r="BC69" s="6" t="n"/>
      <c r="BD69" t="inlineStr">
        <is>
          <t>transport, Bicycle, electric (&lt;25 km/h), LFP battery, 2040, label-certified electricity/CH U</t>
        </is>
      </c>
      <c r="BF69" s="5" t="n">
        <v>0.012706182</v>
      </c>
      <c r="BG69" s="5">
        <f>BF69-R69</f>
        <v>-5.5543679575969472E-3</v>
      </c>
      <c r="BH69" s="2" t="n">
        <v>34.910271</v>
      </c>
    </row>
    <row r="70">
      <c r="A70" t="str">
        <f>B70&amp;" - "&amp;D70&amp;" - "&amp;IF(I70&lt;&gt;"",I70&amp;" - "&amp;E70,E70)</f>
        <v>Bicycle, electric (&lt;25 km/h) - 2050 - LFP - CH</v>
      </c>
      <c r="B70" t="inlineStr">
        <is>
          <t>Bicycle, electric (&lt;25 km/h)</t>
        </is>
      </c>
      <c r="D70" s="18" t="n">
        <v>2050</v>
      </c>
      <c r="E70" t="inlineStr">
        <is>
          <t>CH</t>
        </is>
      </c>
      <c r="F70" t="inlineStr">
        <is>
          <t>None</t>
        </is>
      </c>
      <c r="G70" t="inlineStr">
        <is>
          <t>vkm</t>
        </is>
      </c>
      <c r="H70" t="inlineStr">
        <is>
          <t>BEV</t>
        </is>
      </c>
      <c r="I70" t="inlineStr">
        <is>
          <t>LFP</t>
        </is>
      </c>
      <c r="J70" t="inlineStr">
        <is>
          <t>label-certified electricity</t>
        </is>
      </c>
      <c r="L70" s="24" t="n">
        <v>0</v>
      </c>
      <c r="M70" s="24" t="n">
        <v>0</v>
      </c>
      <c r="N70" s="24" t="n">
        <v>0.0001517356796025006</v>
      </c>
      <c r="O70" s="24" t="n">
        <v>0.001195732624675443</v>
      </c>
      <c r="P70" s="24" t="n">
        <v>0.0004749229175040281</v>
      </c>
      <c r="Q70" s="24" t="n">
        <v>0.01627730476600499</v>
      </c>
      <c r="R70" s="24" t="n">
        <v>0.01809969598778696</v>
      </c>
      <c r="S70" s="26" t="n">
        <v>0</v>
      </c>
      <c r="T70" s="26" t="n">
        <v>0</v>
      </c>
      <c r="U70" s="26" t="n">
        <v>8.649125288160251e-05</v>
      </c>
      <c r="V70" s="26" t="n">
        <v>9.831747354962542e-05</v>
      </c>
      <c r="W70" s="26" t="n">
        <v>3.000925859392589e-05</v>
      </c>
      <c r="X70" s="26" t="n">
        <v>0.007113386459454058</v>
      </c>
      <c r="Y70" s="26" t="n">
        <v>0.007328204444479212</v>
      </c>
      <c r="Z70" s="28" t="n">
        <v>0</v>
      </c>
      <c r="AA70" s="28" t="n">
        <v>0.001375806023799049</v>
      </c>
      <c r="AB70" s="28" t="n">
        <v>1.526197166574115e-05</v>
      </c>
      <c r="AC70" s="28" t="n">
        <v>2.396826009396162e-05</v>
      </c>
      <c r="AD70" s="28" t="n">
        <v>1.364118379961794e-05</v>
      </c>
      <c r="AE70" s="28" t="n">
        <v>0.001097368123027662</v>
      </c>
      <c r="AF70" s="28" t="n">
        <v>0.002526045562386032</v>
      </c>
      <c r="AG70" s="30" t="n">
        <v>0</v>
      </c>
      <c r="AH70" s="30" t="n">
        <v>7.228237882960114e-06</v>
      </c>
      <c r="AI70" s="30" t="n">
        <v>5.719572593025e-05</v>
      </c>
      <c r="AJ70" s="30" t="n">
        <v>8.555417467729655e-05</v>
      </c>
      <c r="AK70" s="30" t="n">
        <v>1.273096843585036e-05</v>
      </c>
      <c r="AL70" s="30" t="n">
        <v>0.003507190799297882</v>
      </c>
      <c r="AM70" s="30" t="n">
        <v>0.003669899906224239</v>
      </c>
      <c r="AN70" s="32" t="n">
        <v>0</v>
      </c>
      <c r="AO70" s="32" t="n">
        <v>5.184272594518707e-06</v>
      </c>
      <c r="AP70" s="32" t="n">
        <v>1.351283974690089e-07</v>
      </c>
      <c r="AQ70" s="32" t="n">
        <v>6.549064862657901e-08</v>
      </c>
      <c r="AR70" s="32" t="n">
        <v>5.026840257942992e-08</v>
      </c>
      <c r="AS70" s="32" t="n">
        <v>1.824212266043695e-06</v>
      </c>
      <c r="AT70" s="32" t="n">
        <v>7.259372309237419e-06</v>
      </c>
      <c r="AU70" s="34" t="n">
        <v>0</v>
      </c>
      <c r="AV70" s="34" t="n">
        <v>0</v>
      </c>
      <c r="AW70" s="34" t="n">
        <v>0.001511761254930456</v>
      </c>
      <c r="AX70" s="34" t="n">
        <v>0.0201770987761535</v>
      </c>
      <c r="AY70" s="34" t="n">
        <v>0.01555816527078967</v>
      </c>
      <c r="AZ70" s="34" t="n">
        <v>0.2024934081920958</v>
      </c>
      <c r="BA70" s="34" t="n">
        <v>0.2397404334939695</v>
      </c>
      <c r="BB70" s="6" t="n"/>
      <c r="BC70" s="6" t="n"/>
      <c r="BD70" t="inlineStr">
        <is>
          <t>transport, Bicycle, electric (&lt;25 km/h), LFP battery, 2050, label-certified electricity/CH U</t>
        </is>
      </c>
      <c r="BF70" s="5" t="n">
        <v>0.012432677</v>
      </c>
      <c r="BG70" s="5">
        <f>BF70-R70</f>
        <v>-5.667018987786961E-3</v>
      </c>
      <c r="BH70" s="2" t="n">
        <v>32.80572</v>
      </c>
    </row>
    <row r="71">
      <c r="A71" t="str">
        <f>B71&amp;" - "&amp;D71&amp;" - "&amp;IF(I71&lt;&gt;"",I71&amp;" - "&amp;E71,E71)</f>
        <v>Bicycle, electric (&lt;45 km/h) - 2020 - LFP - CH</v>
      </c>
      <c r="B71" t="inlineStr">
        <is>
          <t>Bicycle, electric (&lt;45 km/h)</t>
        </is>
      </c>
      <c r="D71" s="18" t="n">
        <v>2020</v>
      </c>
      <c r="E71" t="inlineStr">
        <is>
          <t>CH</t>
        </is>
      </c>
      <c r="F71" t="inlineStr">
        <is>
          <t>None</t>
        </is>
      </c>
      <c r="G71" t="inlineStr">
        <is>
          <t>vkm</t>
        </is>
      </c>
      <c r="H71" t="inlineStr">
        <is>
          <t>BEV</t>
        </is>
      </c>
      <c r="I71" t="inlineStr">
        <is>
          <t>LFP</t>
        </is>
      </c>
      <c r="J71" t="inlineStr">
        <is>
          <t>label-certified electricity</t>
        </is>
      </c>
      <c r="L71" s="24" t="n">
        <v>0</v>
      </c>
      <c r="M71" s="24" t="n">
        <v>0</v>
      </c>
      <c r="N71" s="24" t="n">
        <v>0.0002786706453612946</v>
      </c>
      <c r="O71" s="24" t="n">
        <v>0.001195732624675443</v>
      </c>
      <c r="P71" s="24" t="n">
        <v>0.0004848010228522859</v>
      </c>
      <c r="Q71" s="24" t="n">
        <v>0.01197791323700367</v>
      </c>
      <c r="R71" s="24" t="n">
        <v>0.01393711752989269</v>
      </c>
      <c r="S71" s="26" t="n">
        <v>0</v>
      </c>
      <c r="T71" s="26" t="n">
        <v>0</v>
      </c>
      <c r="U71" s="26" t="n">
        <v>0.000158845785788578</v>
      </c>
      <c r="V71" s="26" t="n">
        <v>9.831747354962542e-05</v>
      </c>
      <c r="W71" s="26" t="n">
        <v>3.06334327638561e-05</v>
      </c>
      <c r="X71" s="26" t="n">
        <v>0.005716267634393905</v>
      </c>
      <c r="Y71" s="26" t="n">
        <v>0.006004064326495965</v>
      </c>
      <c r="Z71" s="28" t="n">
        <v>0</v>
      </c>
      <c r="AA71" s="28" t="n">
        <v>0.001375806023799049</v>
      </c>
      <c r="AB71" s="28" t="n">
        <v>2.802942264284548e-05</v>
      </c>
      <c r="AC71" s="28" t="n">
        <v>2.396826009396162e-05</v>
      </c>
      <c r="AD71" s="28" t="n">
        <v>1.392491205462772e-05</v>
      </c>
      <c r="AE71" s="28" t="n">
        <v>0.0008458567545614904</v>
      </c>
      <c r="AF71" s="28" t="n">
        <v>0.002287585373151975</v>
      </c>
      <c r="AG71" s="30" t="n">
        <v>0</v>
      </c>
      <c r="AH71" s="30" t="n">
        <v>7.228237882960114e-06</v>
      </c>
      <c r="AI71" s="30" t="n">
        <v>0.0001050429925159661</v>
      </c>
      <c r="AJ71" s="30" t="n">
        <v>8.555417467729655e-05</v>
      </c>
      <c r="AK71" s="30" t="n">
        <v>1.299576476965459e-05</v>
      </c>
      <c r="AL71" s="30" t="n">
        <v>0.002711701616173788</v>
      </c>
      <c r="AM71" s="30" t="n">
        <v>0.002922522786019665</v>
      </c>
      <c r="AN71" s="32" t="n">
        <v>0</v>
      </c>
      <c r="AO71" s="32" t="n">
        <v>5.184272594518707e-06</v>
      </c>
      <c r="AP71" s="32" t="n">
        <v>2.481704884966665e-07</v>
      </c>
      <c r="AQ71" s="32" t="n">
        <v>6.549064862657901e-08</v>
      </c>
      <c r="AR71" s="32" t="n">
        <v>5.131395451652724e-08</v>
      </c>
      <c r="AS71" s="32" t="n">
        <v>1.469558210803564e-06</v>
      </c>
      <c r="AT71" s="32" t="n">
        <v>7.018805896962043e-06</v>
      </c>
      <c r="AU71" s="34" t="n">
        <v>0</v>
      </c>
      <c r="AV71" s="34" t="n">
        <v>0</v>
      </c>
      <c r="AW71" s="34" t="n">
        <v>0.002776429944804675</v>
      </c>
      <c r="AX71" s="34" t="n">
        <v>0.0201770987761535</v>
      </c>
      <c r="AY71" s="34" t="n">
        <v>0.0158817655644503</v>
      </c>
      <c r="AZ71" s="34" t="n">
        <v>0.1517712135118246</v>
      </c>
      <c r="BA71" s="34" t="n">
        <v>0.190606507797233</v>
      </c>
      <c r="BB71" s="6" t="n"/>
      <c r="BC71" s="6" t="n"/>
      <c r="BD71" t="inlineStr">
        <is>
          <t>transport, Bicycle, electric (&lt;45 km/h), LFP battery, label-certified electricity/CH U</t>
        </is>
      </c>
      <c r="BF71" s="5" t="n">
        <v>0.010004999</v>
      </c>
      <c r="BG71" s="5">
        <f>BF71-R71</f>
        <v>-3.9321185298926923E-3</v>
      </c>
      <c r="BH71" s="2" t="n">
        <v>28.347435</v>
      </c>
    </row>
    <row r="72">
      <c r="A72" t="str">
        <f>B72&amp;" - "&amp;D72&amp;" - "&amp;IF(I72&lt;&gt;"",I72&amp;" - "&amp;E72,E72)</f>
        <v>Bicycle, electric (&lt;45 km/h) - 2030 - LFP - CH</v>
      </c>
      <c r="B72" t="inlineStr">
        <is>
          <t>Bicycle, electric (&lt;45 km/h)</t>
        </is>
      </c>
      <c r="D72" s="18" t="n">
        <v>2030</v>
      </c>
      <c r="E72" t="inlineStr">
        <is>
          <t>CH</t>
        </is>
      </c>
      <c r="F72" t="inlineStr">
        <is>
          <t>None</t>
        </is>
      </c>
      <c r="G72" t="inlineStr">
        <is>
          <t>vkm</t>
        </is>
      </c>
      <c r="H72" t="inlineStr">
        <is>
          <t>BEV</t>
        </is>
      </c>
      <c r="I72" t="inlineStr">
        <is>
          <t>LFP</t>
        </is>
      </c>
      <c r="J72" t="inlineStr">
        <is>
          <t>label-certified electricity</t>
        </is>
      </c>
      <c r="L72" s="24" t="n">
        <v>0</v>
      </c>
      <c r="M72" s="24" t="n">
        <v>0</v>
      </c>
      <c r="N72" s="24" t="n">
        <v>0.0002786706453612946</v>
      </c>
      <c r="O72" s="24" t="n">
        <v>0.001195732624675443</v>
      </c>
      <c r="P72" s="24" t="n">
        <v>0.0004916140325318063</v>
      </c>
      <c r="Q72" s="24" t="n">
        <v>0.01260708056193968</v>
      </c>
      <c r="R72" s="24" t="n">
        <v>0.01457309786450822</v>
      </c>
      <c r="S72" s="26" t="n">
        <v>0</v>
      </c>
      <c r="T72" s="26" t="n">
        <v>0</v>
      </c>
      <c r="U72" s="26" t="n">
        <v>0.000158845785788578</v>
      </c>
      <c r="V72" s="26" t="n">
        <v>9.831747354962542e-05</v>
      </c>
      <c r="W72" s="26" t="n">
        <v>3.106393077045927e-05</v>
      </c>
      <c r="X72" s="26" t="n">
        <v>0.005815631562422395</v>
      </c>
      <c r="Y72" s="26" t="n">
        <v>0.006103858752531058</v>
      </c>
      <c r="Z72" s="28" t="n">
        <v>0</v>
      </c>
      <c r="AA72" s="28" t="n">
        <v>0.001375806023799049</v>
      </c>
      <c r="AB72" s="28" t="n">
        <v>2.802942264284548e-05</v>
      </c>
      <c r="AC72" s="28" t="n">
        <v>2.396826009396162e-05</v>
      </c>
      <c r="AD72" s="28" t="n">
        <v>1.412060174203078e-05</v>
      </c>
      <c r="AE72" s="28" t="n">
        <v>0.0008811874186217902</v>
      </c>
      <c r="AF72" s="28" t="n">
        <v>0.002323111726899677</v>
      </c>
      <c r="AG72" s="30" t="n">
        <v>0</v>
      </c>
      <c r="AH72" s="30" t="n">
        <v>7.228237882960114e-06</v>
      </c>
      <c r="AI72" s="30" t="n">
        <v>0.0001050429925159661</v>
      </c>
      <c r="AJ72" s="30" t="n">
        <v>8.555417467729655e-05</v>
      </c>
      <c r="AK72" s="30" t="n">
        <v>1.317839695687134e-05</v>
      </c>
      <c r="AL72" s="30" t="n">
        <v>0.002823928553025794</v>
      </c>
      <c r="AM72" s="30" t="n">
        <v>0.003034932355058888</v>
      </c>
      <c r="AN72" s="32" t="n">
        <v>0</v>
      </c>
      <c r="AO72" s="32" t="n">
        <v>5.184272594518707e-06</v>
      </c>
      <c r="AP72" s="32" t="n">
        <v>2.481704884966665e-07</v>
      </c>
      <c r="AQ72" s="32" t="n">
        <v>6.549064862657901e-08</v>
      </c>
      <c r="AR72" s="32" t="n">
        <v>5.203508019971725e-08</v>
      </c>
      <c r="AS72" s="32" t="n">
        <v>1.49898500022658e-06</v>
      </c>
      <c r="AT72" s="32" t="n">
        <v>7.048953812068249e-06</v>
      </c>
      <c r="AU72" s="34" t="n">
        <v>0</v>
      </c>
      <c r="AV72" s="34" t="n">
        <v>0</v>
      </c>
      <c r="AW72" s="34" t="n">
        <v>0.002776429944804675</v>
      </c>
      <c r="AX72" s="34" t="n">
        <v>0.0201770987761535</v>
      </c>
      <c r="AY72" s="34" t="n">
        <v>0.01610495532152192</v>
      </c>
      <c r="AZ72" s="34" t="n">
        <v>0.1585866130165628</v>
      </c>
      <c r="BA72" s="34" t="n">
        <v>0.1976450970590429</v>
      </c>
      <c r="BB72" s="6" t="n"/>
      <c r="BC72" s="6" t="n"/>
      <c r="BD72" t="inlineStr">
        <is>
          <t>transport, Bicycle, electric (&lt;45 km/h), LFP battery, 2030, label-certified electricity/CH U</t>
        </is>
      </c>
      <c r="BF72" s="5" t="n">
        <v>0.010288837</v>
      </c>
      <c r="BG72" s="5">
        <f>BF72-R72</f>
        <v>-4.2842608645082235E-3</v>
      </c>
      <c r="BH72" s="2" t="n">
        <v>28.523598</v>
      </c>
    </row>
    <row r="73">
      <c r="A73" t="str">
        <f>B73&amp;" - "&amp;D73&amp;" - "&amp;IF(I73&lt;&gt;"",I73&amp;" - "&amp;E73,E73)</f>
        <v>Bicycle, electric (&lt;45 km/h) - 2040 - LFP - CH</v>
      </c>
      <c r="B73" t="inlineStr">
        <is>
          <t>Bicycle, electric (&lt;45 km/h)</t>
        </is>
      </c>
      <c r="D73" s="18" t="n">
        <v>2040</v>
      </c>
      <c r="E73" t="inlineStr">
        <is>
          <t>CH</t>
        </is>
      </c>
      <c r="F73" t="inlineStr">
        <is>
          <t>None</t>
        </is>
      </c>
      <c r="G73" t="inlineStr">
        <is>
          <t>vkm</t>
        </is>
      </c>
      <c r="H73" t="inlineStr">
        <is>
          <t>BEV</t>
        </is>
      </c>
      <c r="I73" t="inlineStr">
        <is>
          <t>LFP</t>
        </is>
      </c>
      <c r="J73" t="inlineStr">
        <is>
          <t>label-certified electricity</t>
        </is>
      </c>
      <c r="L73" s="24" t="n">
        <v>0</v>
      </c>
      <c r="M73" s="24" t="n">
        <v>0</v>
      </c>
      <c r="N73" s="24" t="n">
        <v>0.0002786706453612946</v>
      </c>
      <c r="O73" s="24" t="n">
        <v>0.001195732624675443</v>
      </c>
      <c r="P73" s="24" t="n">
        <v>0.0004889738016092305</v>
      </c>
      <c r="Q73" s="24" t="n">
        <v>0.01208315306485455</v>
      </c>
      <c r="R73" s="24" t="n">
        <v>0.01404653013650052</v>
      </c>
      <c r="S73" s="26" t="n">
        <v>0</v>
      </c>
      <c r="T73" s="26" t="n">
        <v>0</v>
      </c>
      <c r="U73" s="26" t="n">
        <v>0.000158845785788578</v>
      </c>
      <c r="V73" s="26" t="n">
        <v>9.831747354962542e-05</v>
      </c>
      <c r="W73" s="26" t="n">
        <v>3.089710080798945e-05</v>
      </c>
      <c r="X73" s="26" t="n">
        <v>0.005247375718038636</v>
      </c>
      <c r="Y73" s="26" t="n">
        <v>0.005535436078184829</v>
      </c>
      <c r="Z73" s="28" t="n">
        <v>0</v>
      </c>
      <c r="AA73" s="28" t="n">
        <v>0.001375806023799049</v>
      </c>
      <c r="AB73" s="28" t="n">
        <v>2.802942264284548e-05</v>
      </c>
      <c r="AC73" s="28" t="n">
        <v>2.396826009396162e-05</v>
      </c>
      <c r="AD73" s="28" t="n">
        <v>1.404476654023093e-05</v>
      </c>
      <c r="AE73" s="28" t="n">
        <v>0.0008126232361789941</v>
      </c>
      <c r="AF73" s="28" t="n">
        <v>0.002254471709255081</v>
      </c>
      <c r="AG73" s="30" t="n">
        <v>0</v>
      </c>
      <c r="AH73" s="30" t="n">
        <v>7.228237882960114e-06</v>
      </c>
      <c r="AI73" s="30" t="n">
        <v>0.0001050429925159661</v>
      </c>
      <c r="AJ73" s="30" t="n">
        <v>8.555417467729655e-05</v>
      </c>
      <c r="AK73" s="30" t="n">
        <v>1.310762189990984e-05</v>
      </c>
      <c r="AL73" s="30" t="n">
        <v>0.002603132400579865</v>
      </c>
      <c r="AM73" s="30" t="n">
        <v>0.002814065427555998</v>
      </c>
      <c r="AN73" s="32" t="n">
        <v>0</v>
      </c>
      <c r="AO73" s="32" t="n">
        <v>5.184272594518707e-06</v>
      </c>
      <c r="AP73" s="32" t="n">
        <v>2.481704884966665e-07</v>
      </c>
      <c r="AQ73" s="32" t="n">
        <v>6.549064862657901e-08</v>
      </c>
      <c r="AR73" s="32" t="n">
        <v>5.175562392159908e-08</v>
      </c>
      <c r="AS73" s="32" t="n">
        <v>1.365644327390255e-06</v>
      </c>
      <c r="AT73" s="32" t="n">
        <v>6.915333682953805e-06</v>
      </c>
      <c r="AU73" s="34" t="n">
        <v>0</v>
      </c>
      <c r="AV73" s="34" t="n">
        <v>0</v>
      </c>
      <c r="AW73" s="34" t="n">
        <v>0.002776429944804675</v>
      </c>
      <c r="AX73" s="34" t="n">
        <v>0.0201770987761535</v>
      </c>
      <c r="AY73" s="34" t="n">
        <v>0.01601846307713337</v>
      </c>
      <c r="AZ73" s="34" t="n">
        <v>0.150428615469506</v>
      </c>
      <c r="BA73" s="34" t="n">
        <v>0.1894006072675976</v>
      </c>
      <c r="BB73" s="6" t="n"/>
      <c r="BC73" s="6" t="n"/>
      <c r="BD73" t="inlineStr">
        <is>
          <t>transport, Bicycle, electric (&lt;45 km/h), LFP battery, 2040, label-certified electricity/CH U</t>
        </is>
      </c>
      <c r="BF73" s="5" t="n">
        <v>0.0097680245</v>
      </c>
      <c r="BG73" s="5">
        <f>BF73-R73</f>
        <v>-4.2785056365005174E-3</v>
      </c>
      <c r="BH73" s="2" t="n">
        <v>25.580089</v>
      </c>
    </row>
    <row r="74">
      <c r="A74" t="str">
        <f>B74&amp;" - "&amp;D74&amp;" - "&amp;IF(I74&lt;&gt;"",I74&amp;" - "&amp;E74,E74)</f>
        <v>Bicycle, electric (&lt;45 km/h) - 2050 - LFP - CH</v>
      </c>
      <c r="B74" t="inlineStr">
        <is>
          <t>Bicycle, electric (&lt;45 km/h)</t>
        </is>
      </c>
      <c r="D74" s="18" t="n">
        <v>2050</v>
      </c>
      <c r="E74" t="inlineStr">
        <is>
          <t>CH</t>
        </is>
      </c>
      <c r="F74" t="inlineStr">
        <is>
          <t>None</t>
        </is>
      </c>
      <c r="G74" t="inlineStr">
        <is>
          <t>vkm</t>
        </is>
      </c>
      <c r="H74" t="inlineStr">
        <is>
          <t>BEV</t>
        </is>
      </c>
      <c r="I74" t="inlineStr">
        <is>
          <t>LFP</t>
        </is>
      </c>
      <c r="J74" t="inlineStr">
        <is>
          <t>label-certified electricity</t>
        </is>
      </c>
      <c r="L74" s="24" t="n">
        <v>0</v>
      </c>
      <c r="M74" s="24" t="n">
        <v>0</v>
      </c>
      <c r="N74" s="24" t="n">
        <v>0.0002786706453612946</v>
      </c>
      <c r="O74" s="24" t="n">
        <v>0.001195732624675443</v>
      </c>
      <c r="P74" s="24" t="n">
        <v>0.0004917202487183467</v>
      </c>
      <c r="Q74" s="24" t="n">
        <v>0.01203972465130843</v>
      </c>
      <c r="R74" s="24" t="n">
        <v>0.01400584817006351</v>
      </c>
      <c r="S74" s="26" t="n">
        <v>0</v>
      </c>
      <c r="T74" s="26" t="n">
        <v>0</v>
      </c>
      <c r="U74" s="26" t="n">
        <v>0.000158845785788578</v>
      </c>
      <c r="V74" s="26" t="n">
        <v>9.831747354962542e-05</v>
      </c>
      <c r="W74" s="26" t="n">
        <v>3.107064232067358e-05</v>
      </c>
      <c r="X74" s="26" t="n">
        <v>0.005001492799873756</v>
      </c>
      <c r="Y74" s="26" t="n">
        <v>0.005289726701532633</v>
      </c>
      <c r="Z74" s="28" t="n">
        <v>0</v>
      </c>
      <c r="AA74" s="28" t="n">
        <v>0.001375806023799049</v>
      </c>
      <c r="AB74" s="28" t="n">
        <v>2.802942264284548e-05</v>
      </c>
      <c r="AC74" s="28" t="n">
        <v>2.396826009396162e-05</v>
      </c>
      <c r="AD74" s="28" t="n">
        <v>1.41236525834825e-05</v>
      </c>
      <c r="AE74" s="28" t="n">
        <v>0.0007909390882595797</v>
      </c>
      <c r="AF74" s="28" t="n">
        <v>0.002232866447378918</v>
      </c>
      <c r="AG74" s="30" t="n">
        <v>0</v>
      </c>
      <c r="AH74" s="30" t="n">
        <v>7.228237882960114e-06</v>
      </c>
      <c r="AI74" s="30" t="n">
        <v>0.0001050429925159661</v>
      </c>
      <c r="AJ74" s="30" t="n">
        <v>8.555417467729655e-05</v>
      </c>
      <c r="AK74" s="30" t="n">
        <v>1.318124422927783e-05</v>
      </c>
      <c r="AL74" s="30" t="n">
        <v>0.002532883577710338</v>
      </c>
      <c r="AM74" s="30" t="n">
        <v>0.002743890227015839</v>
      </c>
      <c r="AN74" s="32" t="n">
        <v>0</v>
      </c>
      <c r="AO74" s="32" t="n">
        <v>5.184272594518707e-06</v>
      </c>
      <c r="AP74" s="32" t="n">
        <v>2.481704884966665e-07</v>
      </c>
      <c r="AQ74" s="32" t="n">
        <v>6.549064862657901e-08</v>
      </c>
      <c r="AR74" s="32" t="n">
        <v>5.204632269366453e-08</v>
      </c>
      <c r="AS74" s="32" t="n">
        <v>1.310356689145099e-06</v>
      </c>
      <c r="AT74" s="32" t="n">
        <v>6.860336743480716e-06</v>
      </c>
      <c r="AU74" s="34" t="n">
        <v>0</v>
      </c>
      <c r="AV74" s="34" t="n">
        <v>0</v>
      </c>
      <c r="AW74" s="34" t="n">
        <v>0.002776429944804675</v>
      </c>
      <c r="AX74" s="34" t="n">
        <v>0.0201770987761535</v>
      </c>
      <c r="AY74" s="34" t="n">
        <v>0.01610843489457203</v>
      </c>
      <c r="AZ74" s="34" t="n">
        <v>0.1487328461403087</v>
      </c>
      <c r="BA74" s="34" t="n">
        <v>0.1877948097558389</v>
      </c>
      <c r="BB74" s="6" t="n"/>
      <c r="BC74" s="6" t="n"/>
      <c r="BD74" t="inlineStr">
        <is>
          <t>transport, Bicycle, electric (&lt;45 km/h), LFP battery, 2050, label-certified electricity/CH U</t>
        </is>
      </c>
      <c r="BF74" s="5" t="n">
        <v>0.0096136795</v>
      </c>
      <c r="BG74" s="5">
        <f>BF74-R74</f>
        <v>-4.3921686700635152E-3</v>
      </c>
      <c r="BH74" s="2" t="n">
        <v>24.193315</v>
      </c>
    </row>
    <row r="75">
      <c r="A75" t="str">
        <f>B75&amp;" - "&amp;D75&amp;" - "&amp;IF(I75&lt;&gt;"",I75&amp;" - "&amp;E75,E75)</f>
        <v>Bicycle, battery electric, cargo bike - 2020 - LFP - CH</v>
      </c>
      <c r="B75" t="inlineStr">
        <is>
          <t>Bicycle, battery electric, cargo bike</t>
        </is>
      </c>
      <c r="D75" s="18" t="n">
        <v>2020</v>
      </c>
      <c r="E75" t="inlineStr">
        <is>
          <t>CH</t>
        </is>
      </c>
      <c r="F75" t="inlineStr">
        <is>
          <t>None</t>
        </is>
      </c>
      <c r="G75" t="inlineStr">
        <is>
          <t>vkm</t>
        </is>
      </c>
      <c r="H75" t="inlineStr">
        <is>
          <t>BEV</t>
        </is>
      </c>
      <c r="I75" t="inlineStr">
        <is>
          <t>LFP</t>
        </is>
      </c>
      <c r="J75" t="inlineStr">
        <is>
          <t>label-certified electricity</t>
        </is>
      </c>
      <c r="L75" s="24" t="n">
        <v>0</v>
      </c>
      <c r="M75" s="24" t="n">
        <v>0</v>
      </c>
      <c r="N75" s="24" t="n">
        <v>0.0002134720130700155</v>
      </c>
      <c r="O75" s="24" t="n">
        <v>0.001195732624675443</v>
      </c>
      <c r="P75" s="24" t="n">
        <v>0.0007897932156325972</v>
      </c>
      <c r="Q75" s="24" t="n">
        <v>0.02542449500895469</v>
      </c>
      <c r="R75" s="24" t="n">
        <v>0.02762349286233275</v>
      </c>
      <c r="S75" s="26" t="n">
        <v>0</v>
      </c>
      <c r="T75" s="26" t="n">
        <v>0</v>
      </c>
      <c r="U75" s="26" t="n">
        <v>0.000121681742316322</v>
      </c>
      <c r="V75" s="26" t="n">
        <v>9.831747354962542e-05</v>
      </c>
      <c r="W75" s="26" t="n">
        <v>4.990516980778435e-05</v>
      </c>
      <c r="X75" s="26" t="n">
        <v>0.00911360152022622</v>
      </c>
      <c r="Y75" s="26" t="n">
        <v>0.009383505905899953</v>
      </c>
      <c r="Z75" s="28" t="n">
        <v>0</v>
      </c>
      <c r="AA75" s="28" t="n">
        <v>0.002751612047598098</v>
      </c>
      <c r="AB75" s="28" t="n">
        <v>2.147157361695178e-05</v>
      </c>
      <c r="AC75" s="28" t="n">
        <v>2.396826009396162e-05</v>
      </c>
      <c r="AD75" s="28" t="n">
        <v>2.268518536598976e-05</v>
      </c>
      <c r="AE75" s="28" t="n">
        <v>0.001531267660434171</v>
      </c>
      <c r="AF75" s="28" t="n">
        <v>0.004351004727109172</v>
      </c>
      <c r="AG75" s="30" t="n">
        <v>0</v>
      </c>
      <c r="AH75" s="30" t="n">
        <v>1.445647576592023e-05</v>
      </c>
      <c r="AI75" s="30" t="n">
        <v>8.046681430047874e-05</v>
      </c>
      <c r="AJ75" s="30" t="n">
        <v>8.555417467729655e-05</v>
      </c>
      <c r="AK75" s="30" t="n">
        <v>2.117150410831053e-05</v>
      </c>
      <c r="AL75" s="30" t="n">
        <v>0.004677114151346501</v>
      </c>
      <c r="AM75" s="30" t="n">
        <v>0.004878763120198507</v>
      </c>
      <c r="AN75" s="32" t="n">
        <v>0</v>
      </c>
      <c r="AO75" s="32" t="n">
        <v>1.036854518903741e-05</v>
      </c>
      <c r="AP75" s="32" t="n">
        <v>1.901077657292092e-07</v>
      </c>
      <c r="AQ75" s="32" t="n">
        <v>6.549064862657901e-08</v>
      </c>
      <c r="AR75" s="32" t="n">
        <v>8.359597285086832e-08</v>
      </c>
      <c r="AS75" s="32" t="n">
        <v>2.795573149973405e-06</v>
      </c>
      <c r="AT75" s="32" t="n">
        <v>1.350331272621747e-05</v>
      </c>
      <c r="AU75" s="34" t="n">
        <v>0</v>
      </c>
      <c r="AV75" s="34" t="n">
        <v>0</v>
      </c>
      <c r="AW75" s="34" t="n">
        <v>0.002126847945168059</v>
      </c>
      <c r="AX75" s="34" t="n">
        <v>0.0201770987761535</v>
      </c>
      <c r="AY75" s="34" t="n">
        <v>0.02587311103692138</v>
      </c>
      <c r="AZ75" s="34" t="n">
        <v>0.3162497751564551</v>
      </c>
      <c r="BA75" s="34" t="n">
        <v>0.3644268329146981</v>
      </c>
      <c r="BB75" s="6" t="n"/>
      <c r="BC75" s="6" t="n"/>
      <c r="BD75" t="inlineStr">
        <is>
          <t>transport, Bicycle, battery electric, cargo bike, LFP battery, label-certified electricity/CH U</t>
        </is>
      </c>
      <c r="BF75" s="5" t="n">
        <v>0.01917919</v>
      </c>
      <c r="BG75" s="5">
        <f>BF75-R75</f>
        <v>-8.4443028623327476E-3</v>
      </c>
      <c r="BH75" s="2" t="n">
        <v>48.444122</v>
      </c>
    </row>
    <row r="76">
      <c r="A76" t="str">
        <f>B76&amp;" - "&amp;D76&amp;" - "&amp;IF(I76&lt;&gt;"",I76&amp;" - "&amp;E76,E76)</f>
        <v>Bicycle, battery electric, cargo bike - 2030 - LFP - CH</v>
      </c>
      <c r="B76" t="inlineStr">
        <is>
          <t>Bicycle, battery electric, cargo bike</t>
        </is>
      </c>
      <c r="D76" s="18" t="n">
        <v>2030</v>
      </c>
      <c r="E76" t="inlineStr">
        <is>
          <t>CH</t>
        </is>
      </c>
      <c r="F76" t="inlineStr">
        <is>
          <t>None</t>
        </is>
      </c>
      <c r="G76" t="inlineStr">
        <is>
          <t>vkm</t>
        </is>
      </c>
      <c r="H76" t="inlineStr">
        <is>
          <t>BEV</t>
        </is>
      </c>
      <c r="I76" t="inlineStr">
        <is>
          <t>LFP</t>
        </is>
      </c>
      <c r="J76" t="inlineStr">
        <is>
          <t>label-certified electricity</t>
        </is>
      </c>
      <c r="L76" s="24" t="n">
        <v>0</v>
      </c>
      <c r="M76" s="24" t="n">
        <v>0</v>
      </c>
      <c r="N76" s="24" t="n">
        <v>0.0002134720130700155</v>
      </c>
      <c r="O76" s="24" t="n">
        <v>0.001195732624675443</v>
      </c>
      <c r="P76" s="24" t="n">
        <v>0.0007890800498086832</v>
      </c>
      <c r="Q76" s="24" t="n">
        <v>0.02626939728422828</v>
      </c>
      <c r="R76" s="24" t="n">
        <v>0.02846768197178242</v>
      </c>
      <c r="S76" s="26" t="n">
        <v>0</v>
      </c>
      <c r="T76" s="26" t="n">
        <v>0</v>
      </c>
      <c r="U76" s="26" t="n">
        <v>0.000121681742316322</v>
      </c>
      <c r="V76" s="26" t="n">
        <v>9.831747354962542e-05</v>
      </c>
      <c r="W76" s="26" t="n">
        <v>4.986010654205975e-05</v>
      </c>
      <c r="X76" s="26" t="n">
        <v>0.008742763214053746</v>
      </c>
      <c r="Y76" s="26" t="n">
        <v>0.009012622536461753</v>
      </c>
      <c r="Z76" s="28" t="n">
        <v>0</v>
      </c>
      <c r="AA76" s="28" t="n">
        <v>0.002751612047598098</v>
      </c>
      <c r="AB76" s="28" t="n">
        <v>2.147157361695178e-05</v>
      </c>
      <c r="AC76" s="28" t="n">
        <v>2.396826009396162e-05</v>
      </c>
      <c r="AD76" s="28" t="n">
        <v>2.266470114481394e-05</v>
      </c>
      <c r="AE76" s="28" t="n">
        <v>0.001536779616800426</v>
      </c>
      <c r="AF76" s="28" t="n">
        <v>0.004356496199254251</v>
      </c>
      <c r="AG76" s="30" t="n">
        <v>0</v>
      </c>
      <c r="AH76" s="30" t="n">
        <v>1.445647576592023e-05</v>
      </c>
      <c r="AI76" s="30" t="n">
        <v>8.046681430047874e-05</v>
      </c>
      <c r="AJ76" s="30" t="n">
        <v>8.555417467729655e-05</v>
      </c>
      <c r="AK76" s="30" t="n">
        <v>2.115238670786691e-05</v>
      </c>
      <c r="AL76" s="30" t="n">
        <v>0.004705506689330144</v>
      </c>
      <c r="AM76" s="30" t="n">
        <v>0.004907136540781706</v>
      </c>
      <c r="AN76" s="32" t="n">
        <v>0</v>
      </c>
      <c r="AO76" s="32" t="n">
        <v>1.036854518903741e-05</v>
      </c>
      <c r="AP76" s="32" t="n">
        <v>1.901077657292092e-07</v>
      </c>
      <c r="AQ76" s="32" t="n">
        <v>6.549064862657901e-08</v>
      </c>
      <c r="AR76" s="32" t="n">
        <v>8.352048753436514e-08</v>
      </c>
      <c r="AS76" s="32" t="n">
        <v>2.710252868670502e-06</v>
      </c>
      <c r="AT76" s="32" t="n">
        <v>1.341791695959807e-05</v>
      </c>
      <c r="AU76" s="34" t="n">
        <v>0</v>
      </c>
      <c r="AV76" s="34" t="n">
        <v>0</v>
      </c>
      <c r="AW76" s="34" t="n">
        <v>0.002126847945168059</v>
      </c>
      <c r="AX76" s="34" t="n">
        <v>0.0201770987761535</v>
      </c>
      <c r="AY76" s="34" t="n">
        <v>0.02584974818929919</v>
      </c>
      <c r="AZ76" s="34" t="n">
        <v>0.3225063801664809</v>
      </c>
      <c r="BA76" s="34" t="n">
        <v>0.3706600750771017</v>
      </c>
      <c r="BB76" s="6" t="n"/>
      <c r="BC76" s="6" t="n"/>
      <c r="BD76" t="inlineStr">
        <is>
          <t>transport, Bicycle, battery electric, cargo bike, LFP battery, 2030, label-certified electricity/CH U</t>
        </is>
      </c>
      <c r="BF76" s="5" t="n">
        <v>0.019206132</v>
      </c>
      <c r="BG76" s="5">
        <f>BF76-R76</f>
        <v>-9.2615499717824193E-3</v>
      </c>
      <c r="BH76" s="2" t="n">
        <v>45.514405</v>
      </c>
    </row>
    <row r="77">
      <c r="A77" t="str">
        <f>B77&amp;" - "&amp;D77&amp;" - "&amp;IF(I77&lt;&gt;"",I77&amp;" - "&amp;E77,E77)</f>
        <v>Bicycle, battery electric, cargo bike - 2040 - LFP - CH</v>
      </c>
      <c r="B77" t="inlineStr">
        <is>
          <t>Bicycle, battery electric, cargo bike</t>
        </is>
      </c>
      <c r="D77" s="18" t="n">
        <v>2040</v>
      </c>
      <c r="E77" t="inlineStr">
        <is>
          <t>CH</t>
        </is>
      </c>
      <c r="F77" t="inlineStr">
        <is>
          <t>None</t>
        </is>
      </c>
      <c r="G77" t="inlineStr">
        <is>
          <t>vkm</t>
        </is>
      </c>
      <c r="H77" t="inlineStr">
        <is>
          <t>BEV</t>
        </is>
      </c>
      <c r="I77" t="inlineStr">
        <is>
          <t>LFP</t>
        </is>
      </c>
      <c r="J77" t="inlineStr">
        <is>
          <t>label-certified electricity</t>
        </is>
      </c>
      <c r="L77" s="24" t="n">
        <v>0</v>
      </c>
      <c r="M77" s="24" t="n">
        <v>0</v>
      </c>
      <c r="N77" s="24" t="n">
        <v>0.0002134720130700155</v>
      </c>
      <c r="O77" s="24" t="n">
        <v>0.001195732624675443</v>
      </c>
      <c r="P77" s="24" t="n">
        <v>0.0007822063451654251</v>
      </c>
      <c r="Q77" s="24" t="n">
        <v>0.02578366496560117</v>
      </c>
      <c r="R77" s="24" t="n">
        <v>0.02797507594851205</v>
      </c>
      <c r="S77" s="26" t="n">
        <v>0</v>
      </c>
      <c r="T77" s="26" t="n">
        <v>0</v>
      </c>
      <c r="U77" s="26" t="n">
        <v>0.000121681742316322</v>
      </c>
      <c r="V77" s="26" t="n">
        <v>9.831747354962542e-05</v>
      </c>
      <c r="W77" s="26" t="n">
        <v>4.942577336390553e-05</v>
      </c>
      <c r="X77" s="26" t="n">
        <v>0.007796810239162126</v>
      </c>
      <c r="Y77" s="26" t="n">
        <v>0.008066235228391979</v>
      </c>
      <c r="Z77" s="28" t="n">
        <v>0</v>
      </c>
      <c r="AA77" s="28" t="n">
        <v>0.002751612047598098</v>
      </c>
      <c r="AB77" s="28" t="n">
        <v>2.147157361695178e-05</v>
      </c>
      <c r="AC77" s="28" t="n">
        <v>2.396826009396162e-05</v>
      </c>
      <c r="AD77" s="28" t="n">
        <v>2.246726811943846e-05</v>
      </c>
      <c r="AE77" s="28" t="n">
        <v>0.001438296100236602</v>
      </c>
      <c r="AF77" s="28" t="n">
        <v>0.004257815249665052</v>
      </c>
      <c r="AG77" s="30" t="n">
        <v>0</v>
      </c>
      <c r="AH77" s="30" t="n">
        <v>1.445647576592023e-05</v>
      </c>
      <c r="AI77" s="30" t="n">
        <v>8.046681430047874e-05</v>
      </c>
      <c r="AJ77" s="30" t="n">
        <v>8.555417467729655e-05</v>
      </c>
      <c r="AK77" s="30" t="n">
        <v>2.096812750784645e-05</v>
      </c>
      <c r="AL77" s="30" t="n">
        <v>0.004400000115511743</v>
      </c>
      <c r="AM77" s="30" t="n">
        <v>0.004601445707763285</v>
      </c>
      <c r="AN77" s="32" t="n">
        <v>0</v>
      </c>
      <c r="AO77" s="32" t="n">
        <v>1.036854518903741e-05</v>
      </c>
      <c r="AP77" s="32" t="n">
        <v>1.901077657292092e-07</v>
      </c>
      <c r="AQ77" s="32" t="n">
        <v>6.549064862657901e-08</v>
      </c>
      <c r="AR77" s="32" t="n">
        <v>8.279293756891951e-08</v>
      </c>
      <c r="AS77" s="32" t="n">
        <v>2.482355492881305e-06</v>
      </c>
      <c r="AT77" s="32" t="n">
        <v>1.318929203384342e-05</v>
      </c>
      <c r="AU77" s="34" t="n">
        <v>0</v>
      </c>
      <c r="AV77" s="34" t="n">
        <v>0</v>
      </c>
      <c r="AW77" s="34" t="n">
        <v>0.002126847945168059</v>
      </c>
      <c r="AX77" s="34" t="n">
        <v>0.0201770987761535</v>
      </c>
      <c r="AY77" s="34" t="n">
        <v>0.02562457010477036</v>
      </c>
      <c r="AZ77" s="34" t="n">
        <v>0.3125117015162183</v>
      </c>
      <c r="BA77" s="34" t="n">
        <v>0.3604402183423102</v>
      </c>
      <c r="BB77" s="6" t="n"/>
      <c r="BC77" s="6" t="n"/>
      <c r="BD77" t="inlineStr">
        <is>
          <t>transport, Bicycle, battery electric, cargo bike, LFP battery, 2040, label-certified electricity/CH U</t>
        </is>
      </c>
      <c r="BF77" s="5" t="n">
        <v>0.018432219</v>
      </c>
      <c r="BG77" s="5">
        <f>BF77-R77</f>
        <v>-9.542856948512049E-3</v>
      </c>
      <c r="BH77" s="2" t="n">
        <v>40.143755</v>
      </c>
    </row>
    <row r="78">
      <c r="A78" t="str">
        <f>B78&amp;" - "&amp;D78&amp;" - "&amp;IF(I78&lt;&gt;"",I78&amp;" - "&amp;E78,E78)</f>
        <v>Bicycle, battery electric, cargo bike - 2050 - LFP - CH</v>
      </c>
      <c r="B78" t="inlineStr">
        <is>
          <t>Bicycle, battery electric, cargo bike</t>
        </is>
      </c>
      <c r="D78" s="18" t="n">
        <v>2050</v>
      </c>
      <c r="E78" t="inlineStr">
        <is>
          <t>CH</t>
        </is>
      </c>
      <c r="F78" t="inlineStr">
        <is>
          <t>None</t>
        </is>
      </c>
      <c r="G78" t="inlineStr">
        <is>
          <t>vkm</t>
        </is>
      </c>
      <c r="H78" t="inlineStr">
        <is>
          <t>BEV</t>
        </is>
      </c>
      <c r="I78" t="inlineStr">
        <is>
          <t>LFP</t>
        </is>
      </c>
      <c r="J78" t="inlineStr">
        <is>
          <t>label-certified electricity</t>
        </is>
      </c>
      <c r="L78" s="24" t="n">
        <v>0</v>
      </c>
      <c r="M78" s="24" t="n">
        <v>0</v>
      </c>
      <c r="N78" s="24" t="n">
        <v>0.0002134720130700155</v>
      </c>
      <c r="O78" s="24" t="n">
        <v>0.001195732624675443</v>
      </c>
      <c r="P78" s="24" t="n">
        <v>0.0007763189336828999</v>
      </c>
      <c r="Q78" s="24" t="n">
        <v>0.02564150957649759</v>
      </c>
      <c r="R78" s="24" t="n">
        <v>0.02782703314792595</v>
      </c>
      <c r="S78" s="26" t="n">
        <v>0</v>
      </c>
      <c r="T78" s="26" t="n">
        <v>0</v>
      </c>
      <c r="U78" s="26" t="n">
        <v>0.000121681742316322</v>
      </c>
      <c r="V78" s="26" t="n">
        <v>9.831747354962542e-05</v>
      </c>
      <c r="W78" s="26" t="n">
        <v>4.905376172345558e-05</v>
      </c>
      <c r="X78" s="26" t="n">
        <v>0.007081170649713148</v>
      </c>
      <c r="Y78" s="26" t="n">
        <v>0.007350223627302551</v>
      </c>
      <c r="Z78" s="28" t="n">
        <v>0</v>
      </c>
      <c r="AA78" s="28" t="n">
        <v>0.002751612047598098</v>
      </c>
      <c r="AB78" s="28" t="n">
        <v>2.147157361695178e-05</v>
      </c>
      <c r="AC78" s="28" t="n">
        <v>2.396826009396162e-05</v>
      </c>
      <c r="AD78" s="28" t="n">
        <v>2.229816433611466e-05</v>
      </c>
      <c r="AE78" s="28" t="n">
        <v>0.00137333713479722</v>
      </c>
      <c r="AF78" s="28" t="n">
        <v>0.004192687180442346</v>
      </c>
      <c r="AG78" s="30" t="n">
        <v>0</v>
      </c>
      <c r="AH78" s="30" t="n">
        <v>1.445647576592023e-05</v>
      </c>
      <c r="AI78" s="30" t="n">
        <v>8.046681430047874e-05</v>
      </c>
      <c r="AJ78" s="30" t="n">
        <v>8.555417467729655e-05</v>
      </c>
      <c r="AK78" s="30" t="n">
        <v>2.081030726588633e-05</v>
      </c>
      <c r="AL78" s="30" t="n">
        <v>0.004201257875736272</v>
      </c>
      <c r="AM78" s="30" t="n">
        <v>0.004402545647745853</v>
      </c>
      <c r="AN78" s="32" t="n">
        <v>0</v>
      </c>
      <c r="AO78" s="32" t="n">
        <v>1.036854518903741e-05</v>
      </c>
      <c r="AP78" s="32" t="n">
        <v>1.901077657292092e-07</v>
      </c>
      <c r="AQ78" s="32" t="n">
        <v>6.549064862657901e-08</v>
      </c>
      <c r="AR78" s="32" t="n">
        <v>8.216978219012728e-08</v>
      </c>
      <c r="AS78" s="32" t="n">
        <v>2.310241285819209e-06</v>
      </c>
      <c r="AT78" s="32" t="n">
        <v>1.301655467140254e-05</v>
      </c>
      <c r="AU78" s="34" t="n">
        <v>0</v>
      </c>
      <c r="AV78" s="34" t="n">
        <v>0</v>
      </c>
      <c r="AW78" s="34" t="n">
        <v>0.002126847945168059</v>
      </c>
      <c r="AX78" s="34" t="n">
        <v>0.0201770987761535</v>
      </c>
      <c r="AY78" s="34" t="n">
        <v>0.02543170234142116</v>
      </c>
      <c r="AZ78" s="34" t="n">
        <v>0.3071581429634602</v>
      </c>
      <c r="BA78" s="34" t="n">
        <v>0.354893792026203</v>
      </c>
      <c r="BB78" s="6" t="n"/>
      <c r="BC78" s="6" t="n"/>
      <c r="BD78" t="inlineStr">
        <is>
          <t>transport, Bicycle, battery electric, cargo bike, LFP battery, 2050, label-certified electricity/CH U</t>
        </is>
      </c>
      <c r="BF78" s="5" t="n">
        <v>0.017913863</v>
      </c>
      <c r="BG78" s="5">
        <f>BF78-R78</f>
        <v>-9.9131701479259482E-3</v>
      </c>
      <c r="BH78" s="2" t="n">
        <v>35.893364</v>
      </c>
    </row>
    <row r="79">
      <c r="A79" t="str">
        <f>B79&amp;" - "&amp;D79&amp;" - "&amp;IF(I79&lt;&gt;"",I79&amp;" - "&amp;E79,E79)</f>
        <v>Bicycle, electric (&lt;25 km/h) - 2020 - NCA - CH</v>
      </c>
      <c r="B79" t="inlineStr">
        <is>
          <t>Bicycle, electric (&lt;25 km/h)</t>
        </is>
      </c>
      <c r="D79" s="18" t="n">
        <v>2020</v>
      </c>
      <c r="E79" t="inlineStr">
        <is>
          <t>CH</t>
        </is>
      </c>
      <c r="F79" t="inlineStr">
        <is>
          <t>None</t>
        </is>
      </c>
      <c r="G79" t="inlineStr">
        <is>
          <t>vkm</t>
        </is>
      </c>
      <c r="H79" t="inlineStr">
        <is>
          <t>BEV</t>
        </is>
      </c>
      <c r="I79" t="inlineStr">
        <is>
          <t>NCA</t>
        </is>
      </c>
      <c r="J79" t="inlineStr">
        <is>
          <t>label-certified electricity</t>
        </is>
      </c>
      <c r="L79" s="24" t="n">
        <v>0</v>
      </c>
      <c r="M79" s="24" t="n">
        <v>0</v>
      </c>
      <c r="N79" s="24" t="n">
        <v>0.0001517356796025006</v>
      </c>
      <c r="O79" s="24" t="n">
        <v>0.001195732624675443</v>
      </c>
      <c r="P79" s="24" t="n">
        <v>0.0004498684323099595</v>
      </c>
      <c r="Q79" s="24" t="n">
        <v>0.01195942720652177</v>
      </c>
      <c r="R79" s="24" t="n">
        <v>0.01375676394310967</v>
      </c>
      <c r="S79" s="26" t="n">
        <v>0</v>
      </c>
      <c r="T79" s="26" t="n">
        <v>0</v>
      </c>
      <c r="U79" s="26" t="n">
        <v>8.649125288160251e-05</v>
      </c>
      <c r="V79" s="26" t="n">
        <v>9.831747354962542e-05</v>
      </c>
      <c r="W79" s="26" t="n">
        <v>2.842612478964888e-05</v>
      </c>
      <c r="X79" s="26" t="n">
        <v>0.006185039342466707</v>
      </c>
      <c r="Y79" s="26" t="n">
        <v>0.006398274193687583</v>
      </c>
      <c r="Z79" s="28" t="n">
        <v>0</v>
      </c>
      <c r="AA79" s="28" t="n">
        <v>0.001375806023799049</v>
      </c>
      <c r="AB79" s="28" t="n">
        <v>1.526197166574115e-05</v>
      </c>
      <c r="AC79" s="28" t="n">
        <v>2.396826009396162e-05</v>
      </c>
      <c r="AD79" s="28" t="n">
        <v>1.292154525420241e-05</v>
      </c>
      <c r="AE79" s="28" t="n">
        <v>0.0008246249429236256</v>
      </c>
      <c r="AF79" s="28" t="n">
        <v>0.00225258274373658</v>
      </c>
      <c r="AG79" s="30" t="n">
        <v>0</v>
      </c>
      <c r="AH79" s="30" t="n">
        <v>7.228237882960114e-06</v>
      </c>
      <c r="AI79" s="30" t="n">
        <v>5.719572593025e-05</v>
      </c>
      <c r="AJ79" s="30" t="n">
        <v>8.555417467729655e-05</v>
      </c>
      <c r="AK79" s="30" t="n">
        <v>1.205934816143086e-05</v>
      </c>
      <c r="AL79" s="30" t="n">
        <v>0.00257316314048642</v>
      </c>
      <c r="AM79" s="30" t="n">
        <v>0.002735200627138357</v>
      </c>
      <c r="AN79" s="32" t="n">
        <v>0</v>
      </c>
      <c r="AO79" s="32" t="n">
        <v>5.184272594518707e-06</v>
      </c>
      <c r="AP79" s="32" t="n">
        <v>1.351283974690089e-07</v>
      </c>
      <c r="AQ79" s="32" t="n">
        <v>6.549064862657901e-08</v>
      </c>
      <c r="AR79" s="32" t="n">
        <v>4.761650076181523e-08</v>
      </c>
      <c r="AS79" s="32" t="n">
        <v>1.614841507887932e-06</v>
      </c>
      <c r="AT79" s="32" t="n">
        <v>7.047349649264042e-06</v>
      </c>
      <c r="AU79" s="34" t="n">
        <v>0</v>
      </c>
      <c r="AV79" s="34" t="n">
        <v>0</v>
      </c>
      <c r="AW79" s="34" t="n">
        <v>0.001511761254930456</v>
      </c>
      <c r="AX79" s="34" t="n">
        <v>0.0201770987761535</v>
      </c>
      <c r="AY79" s="34" t="n">
        <v>0.01473739666380712</v>
      </c>
      <c r="AZ79" s="34" t="n">
        <v>0.151927587328118</v>
      </c>
      <c r="BA79" s="34" t="n">
        <v>0.1883538440230091</v>
      </c>
      <c r="BB79" s="6" t="n"/>
      <c r="BC79" s="6" t="n"/>
      <c r="BD79" t="inlineStr">
        <is>
          <t>transport, Bicycle, electric (&lt;25 km/h), NCA battery, label-certified electricity/CH U</t>
        </is>
      </c>
      <c r="BF79" s="5" t="n">
        <v>0.010032362</v>
      </c>
      <c r="BG79" s="5">
        <f>BF79-R79</f>
        <v>-3.7244019431096741E-3</v>
      </c>
      <c r="BH79" s="2" t="n">
        <v>27.757622</v>
      </c>
    </row>
    <row r="80">
      <c r="A80" t="str">
        <f>B80&amp;" - "&amp;D80&amp;" - "&amp;IF(I80&lt;&gt;"",I80&amp;" - "&amp;E80,E80)</f>
        <v>Bicycle, electric (&lt;25 km/h) - 2030 - NCA - CH</v>
      </c>
      <c r="B80" t="inlineStr">
        <is>
          <t>Bicycle, electric (&lt;25 km/h)</t>
        </is>
      </c>
      <c r="D80" s="18" t="n">
        <v>2030</v>
      </c>
      <c r="E80" t="inlineStr">
        <is>
          <t>CH</t>
        </is>
      </c>
      <c r="F80" t="inlineStr">
        <is>
          <t>None</t>
        </is>
      </c>
      <c r="G80" t="inlineStr">
        <is>
          <t>vkm</t>
        </is>
      </c>
      <c r="H80" t="inlineStr">
        <is>
          <t>BEV</t>
        </is>
      </c>
      <c r="I80" t="inlineStr">
        <is>
          <t>NCA</t>
        </is>
      </c>
      <c r="J80" t="inlineStr">
        <is>
          <t>label-certified electricity</t>
        </is>
      </c>
      <c r="L80" s="24" t="n">
        <v>0</v>
      </c>
      <c r="M80" s="24" t="n">
        <v>0</v>
      </c>
      <c r="N80" s="24" t="n">
        <v>0.0001517356796025006</v>
      </c>
      <c r="O80" s="24" t="n">
        <v>0.001195732624675443</v>
      </c>
      <c r="P80" s="24" t="n">
        <v>0.0004501441985582445</v>
      </c>
      <c r="Q80" s="24" t="n">
        <v>0.01243947139861601</v>
      </c>
      <c r="R80" s="24" t="n">
        <v>0.0142370839014522</v>
      </c>
      <c r="S80" s="26" t="n">
        <v>0</v>
      </c>
      <c r="T80" s="26" t="n">
        <v>0</v>
      </c>
      <c r="U80" s="26" t="n">
        <v>8.649125288160251e-05</v>
      </c>
      <c r="V80" s="26" t="n">
        <v>9.831747354962542e-05</v>
      </c>
      <c r="W80" s="26" t="n">
        <v>2.844354980821769e-05</v>
      </c>
      <c r="X80" s="26" t="n">
        <v>0.006027723165204296</v>
      </c>
      <c r="Y80" s="26" t="n">
        <v>0.006240975441443742</v>
      </c>
      <c r="Z80" s="28" t="n">
        <v>0</v>
      </c>
      <c r="AA80" s="28" t="n">
        <v>0.001375806023799049</v>
      </c>
      <c r="AB80" s="28" t="n">
        <v>1.526197166574115e-05</v>
      </c>
      <c r="AC80" s="28" t="n">
        <v>2.396826009396162e-05</v>
      </c>
      <c r="AD80" s="28" t="n">
        <v>1.292946607238141e-05</v>
      </c>
      <c r="AE80" s="28" t="n">
        <v>0.0008332077345034115</v>
      </c>
      <c r="AF80" s="28" t="n">
        <v>0.002261173456134545</v>
      </c>
      <c r="AG80" s="30" t="n">
        <v>0</v>
      </c>
      <c r="AH80" s="30" t="n">
        <v>7.228237882960114e-06</v>
      </c>
      <c r="AI80" s="30" t="n">
        <v>5.719572593025e-05</v>
      </c>
      <c r="AJ80" s="30" t="n">
        <v>8.555417467729655e-05</v>
      </c>
      <c r="AK80" s="30" t="n">
        <v>1.206674045873468e-05</v>
      </c>
      <c r="AL80" s="30" t="n">
        <v>0.002608428463405082</v>
      </c>
      <c r="AM80" s="30" t="n">
        <v>0.002770473342354323</v>
      </c>
      <c r="AN80" s="32" t="n">
        <v>0</v>
      </c>
      <c r="AO80" s="32" t="n">
        <v>5.184272594518707e-06</v>
      </c>
      <c r="AP80" s="32" t="n">
        <v>1.351283974690089e-07</v>
      </c>
      <c r="AQ80" s="32" t="n">
        <v>6.549064862657901e-08</v>
      </c>
      <c r="AR80" s="32" t="n">
        <v>4.764568934858519e-08</v>
      </c>
      <c r="AS80" s="32" t="n">
        <v>1.577329677426445e-06</v>
      </c>
      <c r="AT80" s="32" t="n">
        <v>7.009867007389324e-06</v>
      </c>
      <c r="AU80" s="34" t="n">
        <v>0</v>
      </c>
      <c r="AV80" s="34" t="n">
        <v>0</v>
      </c>
      <c r="AW80" s="34" t="n">
        <v>0.001511761254930456</v>
      </c>
      <c r="AX80" s="34" t="n">
        <v>0.0201770987761535</v>
      </c>
      <c r="AY80" s="34" t="n">
        <v>0.01474643058638444</v>
      </c>
      <c r="AZ80" s="34" t="n">
        <v>0.1560446812347301</v>
      </c>
      <c r="BA80" s="34" t="n">
        <v>0.1924799718521985</v>
      </c>
      <c r="BB80" s="6" t="n"/>
      <c r="BC80" s="6" t="n"/>
      <c r="BD80" t="inlineStr">
        <is>
          <t>transport, Bicycle, electric (&lt;25 km/h), NCA battery, 2030, label-certified electricity/CH U</t>
        </is>
      </c>
      <c r="BF80" s="5" t="n">
        <v>0.010115417</v>
      </c>
      <c r="BG80" s="5">
        <f>BF80-R80</f>
        <v>-4.1216669014521989E-3</v>
      </c>
      <c r="BH80" s="2" t="n">
        <v>26.663469</v>
      </c>
    </row>
    <row r="81">
      <c r="A81" t="str">
        <f>B81&amp;" - "&amp;D81&amp;" - "&amp;IF(I81&lt;&gt;"",I81&amp;" - "&amp;E81,E81)</f>
        <v>Bicycle, electric (&lt;25 km/h) - 2040 - NCA - CH</v>
      </c>
      <c r="B81" t="inlineStr">
        <is>
          <t>Bicycle, electric (&lt;25 km/h)</t>
        </is>
      </c>
      <c r="D81" s="18" t="n">
        <v>2040</v>
      </c>
      <c r="E81" t="inlineStr">
        <is>
          <t>CH</t>
        </is>
      </c>
      <c r="F81" t="inlineStr">
        <is>
          <t>None</t>
        </is>
      </c>
      <c r="G81" t="inlineStr">
        <is>
          <t>vkm</t>
        </is>
      </c>
      <c r="H81" t="inlineStr">
        <is>
          <t>BEV</t>
        </is>
      </c>
      <c r="I81" t="inlineStr">
        <is>
          <t>NCA</t>
        </is>
      </c>
      <c r="J81" t="inlineStr">
        <is>
          <t>label-certified electricity</t>
        </is>
      </c>
      <c r="L81" s="24" t="n">
        <v>0</v>
      </c>
      <c r="M81" s="24" t="n">
        <v>0</v>
      </c>
      <c r="N81" s="24" t="n">
        <v>0.0001517356796025006</v>
      </c>
      <c r="O81" s="24" t="n">
        <v>0.001195732624675443</v>
      </c>
      <c r="P81" s="24" t="n">
        <v>0.0004472460140397849</v>
      </c>
      <c r="Q81" s="24" t="n">
        <v>0.0121982504598378</v>
      </c>
      <c r="R81" s="24" t="n">
        <v>0.01399296477815553</v>
      </c>
      <c r="S81" s="26" t="n">
        <v>0</v>
      </c>
      <c r="T81" s="26" t="n">
        <v>0</v>
      </c>
      <c r="U81" s="26" t="n">
        <v>8.649125288160251e-05</v>
      </c>
      <c r="V81" s="26" t="n">
        <v>9.831747354962542e-05</v>
      </c>
      <c r="W81" s="26" t="n">
        <v>2.826042036665598e-05</v>
      </c>
      <c r="X81" s="26" t="n">
        <v>0.005399404820817384</v>
      </c>
      <c r="Y81" s="26" t="n">
        <v>0.005612473967615267</v>
      </c>
      <c r="Z81" s="28" t="n">
        <v>0</v>
      </c>
      <c r="AA81" s="28" t="n">
        <v>0.001375806023799049</v>
      </c>
      <c r="AB81" s="28" t="n">
        <v>1.526197166574115e-05</v>
      </c>
      <c r="AC81" s="28" t="n">
        <v>2.396826009396162e-05</v>
      </c>
      <c r="AD81" s="28" t="n">
        <v>1.284622168419881e-05</v>
      </c>
      <c r="AE81" s="28" t="n">
        <v>0.0007736849307968414</v>
      </c>
      <c r="AF81" s="28" t="n">
        <v>0.002201567408039792</v>
      </c>
      <c r="AG81" s="30" t="n">
        <v>0</v>
      </c>
      <c r="AH81" s="30" t="n">
        <v>7.228237882960114e-06</v>
      </c>
      <c r="AI81" s="30" t="n">
        <v>5.719572593025e-05</v>
      </c>
      <c r="AJ81" s="30" t="n">
        <v>8.555417467729655e-05</v>
      </c>
      <c r="AK81" s="30" t="n">
        <v>1.198905059735741e-05</v>
      </c>
      <c r="AL81" s="30" t="n">
        <v>0.002434664293869662</v>
      </c>
      <c r="AM81" s="30" t="n">
        <v>0.002596631482957526</v>
      </c>
      <c r="AN81" s="32" t="n">
        <v>0</v>
      </c>
      <c r="AO81" s="32" t="n">
        <v>5.184272594518707e-06</v>
      </c>
      <c r="AP81" s="32" t="n">
        <v>1.351283974690089e-07</v>
      </c>
      <c r="AQ81" s="32" t="n">
        <v>6.549064862657901e-08</v>
      </c>
      <c r="AR81" s="32" t="n">
        <v>4.733892987088076e-08</v>
      </c>
      <c r="AS81" s="32" t="n">
        <v>1.41970022569241e-06</v>
      </c>
      <c r="AT81" s="32" t="n">
        <v>6.851930796177585e-06</v>
      </c>
      <c r="AU81" s="34" t="n">
        <v>0</v>
      </c>
      <c r="AV81" s="34" t="n">
        <v>0</v>
      </c>
      <c r="AW81" s="34" t="n">
        <v>0.001511761254930456</v>
      </c>
      <c r="AX81" s="34" t="n">
        <v>0.0201770987761535</v>
      </c>
      <c r="AY81" s="34" t="n">
        <v>0.01465148795030274</v>
      </c>
      <c r="AZ81" s="34" t="n">
        <v>0.150794877313502</v>
      </c>
      <c r="BA81" s="34" t="n">
        <v>0.1871352252948887</v>
      </c>
      <c r="BB81" s="6" t="n"/>
      <c r="BC81" s="6" t="n"/>
      <c r="BD81" t="inlineStr">
        <is>
          <t>transport, Bicycle, electric (&lt;25 km/h), NCA battery, 2040, label-certified electricity/CH U</t>
        </is>
      </c>
      <c r="BF81" s="5" t="n">
        <v>0.009708023200000001</v>
      </c>
      <c r="BG81" s="5">
        <f>BF81-R81</f>
        <v>-4.2849415781555291E-3</v>
      </c>
      <c r="BH81" s="2" t="n">
        <v>23.588927</v>
      </c>
    </row>
    <row r="82">
      <c r="A82" t="str">
        <f>B82&amp;" - "&amp;D82&amp;" - "&amp;IF(I82&lt;&gt;"",I82&amp;" - "&amp;E82,E82)</f>
        <v>Bicycle, electric (&lt;25 km/h) - 2050 - NCA - CH</v>
      </c>
      <c r="B82" t="inlineStr">
        <is>
          <t>Bicycle, electric (&lt;25 km/h)</t>
        </is>
      </c>
      <c r="D82" s="18" t="n">
        <v>2050</v>
      </c>
      <c r="E82" t="inlineStr">
        <is>
          <t>CH</t>
        </is>
      </c>
      <c r="F82" t="inlineStr">
        <is>
          <t>None</t>
        </is>
      </c>
      <c r="G82" t="inlineStr">
        <is>
          <t>vkm</t>
        </is>
      </c>
      <c r="H82" t="inlineStr">
        <is>
          <t>BEV</t>
        </is>
      </c>
      <c r="I82" t="inlineStr">
        <is>
          <t>NCA</t>
        </is>
      </c>
      <c r="J82" t="inlineStr">
        <is>
          <t>label-certified electricity</t>
        </is>
      </c>
      <c r="L82" s="24" t="n">
        <v>0</v>
      </c>
      <c r="M82" s="24" t="n">
        <v>0</v>
      </c>
      <c r="N82" s="24" t="n">
        <v>0.0001517356796025006</v>
      </c>
      <c r="O82" s="24" t="n">
        <v>0.001195732624675443</v>
      </c>
      <c r="P82" s="24" t="n">
        <v>0.0004482930021642546</v>
      </c>
      <c r="Q82" s="24" t="n">
        <v>0.01260365568323627</v>
      </c>
      <c r="R82" s="24" t="n">
        <v>0.01439941698967847</v>
      </c>
      <c r="S82" s="26" t="n">
        <v>0</v>
      </c>
      <c r="T82" s="26" t="n">
        <v>0</v>
      </c>
      <c r="U82" s="26" t="n">
        <v>8.649125288160251e-05</v>
      </c>
      <c r="V82" s="26" t="n">
        <v>9.831747354962542e-05</v>
      </c>
      <c r="W82" s="26" t="n">
        <v>2.832657707591125e-05</v>
      </c>
      <c r="X82" s="26" t="n">
        <v>0.005372711766060539</v>
      </c>
      <c r="Y82" s="26" t="n">
        <v>0.005585847069567679</v>
      </c>
      <c r="Z82" s="28" t="n">
        <v>0</v>
      </c>
      <c r="AA82" s="28" t="n">
        <v>0.001375806023799049</v>
      </c>
      <c r="AB82" s="28" t="n">
        <v>1.526197166574115e-05</v>
      </c>
      <c r="AC82" s="28" t="n">
        <v>2.396826009396162e-05</v>
      </c>
      <c r="AD82" s="28" t="n">
        <v>1.287629426422289e-05</v>
      </c>
      <c r="AE82" s="28" t="n">
        <v>0.0007893391475021884</v>
      </c>
      <c r="AF82" s="28" t="n">
        <v>0.002217251697325163</v>
      </c>
      <c r="AG82" s="30" t="n">
        <v>0</v>
      </c>
      <c r="AH82" s="30" t="n">
        <v>7.228237882960114e-06</v>
      </c>
      <c r="AI82" s="30" t="n">
        <v>5.719572593025e-05</v>
      </c>
      <c r="AJ82" s="30" t="n">
        <v>8.555417467729655e-05</v>
      </c>
      <c r="AK82" s="30" t="n">
        <v>1.201711656822145e-05</v>
      </c>
      <c r="AL82" s="30" t="n">
        <v>0.002486215165029011</v>
      </c>
      <c r="AM82" s="30" t="n">
        <v>0.002648210420087739</v>
      </c>
      <c r="AN82" s="32" t="n">
        <v>0</v>
      </c>
      <c r="AO82" s="32" t="n">
        <v>5.184272594518707e-06</v>
      </c>
      <c r="AP82" s="32" t="n">
        <v>1.351283974690089e-07</v>
      </c>
      <c r="AQ82" s="32" t="n">
        <v>6.549064862657901e-08</v>
      </c>
      <c r="AR82" s="32" t="n">
        <v>4.744974873978969e-08</v>
      </c>
      <c r="AS82" s="32" t="n">
        <v>1.415924914824982e-06</v>
      </c>
      <c r="AT82" s="32" t="n">
        <v>6.848266304179066e-06</v>
      </c>
      <c r="AU82" s="34" t="n">
        <v>0</v>
      </c>
      <c r="AV82" s="34" t="n">
        <v>0</v>
      </c>
      <c r="AW82" s="34" t="n">
        <v>0.001511761254930456</v>
      </c>
      <c r="AX82" s="34" t="n">
        <v>0.0201770987761535</v>
      </c>
      <c r="AY82" s="34" t="n">
        <v>0.01468578659893958</v>
      </c>
      <c r="AZ82" s="34" t="n">
        <v>0.1547852957869477</v>
      </c>
      <c r="BA82" s="34" t="n">
        <v>0.1911599424169712</v>
      </c>
      <c r="BB82" s="6" t="n"/>
      <c r="BC82" s="6" t="n"/>
      <c r="BD82" t="inlineStr">
        <is>
          <t>transport, Bicycle, electric (&lt;25 km/h), NCA battery, 2050, label-certified electricity/CH U</t>
        </is>
      </c>
      <c r="BF82" s="5" t="n">
        <v>0.009836378</v>
      </c>
      <c r="BG82" s="5">
        <f>BF82-R82</f>
        <v>-4.5630389896784678E-3</v>
      </c>
      <c r="BH82" s="2" t="n">
        <v>23.235011</v>
      </c>
    </row>
    <row r="83">
      <c r="A83" t="str">
        <f>B83&amp;" - "&amp;D83&amp;" - "&amp;IF(I83&lt;&gt;"",I83&amp;" - "&amp;E83,E83)</f>
        <v>Bicycle, electric (&lt;45 km/h) - 2020 - NCA - CH</v>
      </c>
      <c r="B83" t="inlineStr">
        <is>
          <t>Bicycle, electric (&lt;45 km/h)</t>
        </is>
      </c>
      <c r="D83" s="18" t="n">
        <v>2020</v>
      </c>
      <c r="E83" t="inlineStr">
        <is>
          <t>CH</t>
        </is>
      </c>
      <c r="F83" t="inlineStr">
        <is>
          <t>None</t>
        </is>
      </c>
      <c r="G83" t="inlineStr">
        <is>
          <t>vkm</t>
        </is>
      </c>
      <c r="H83" t="inlineStr">
        <is>
          <t>BEV</t>
        </is>
      </c>
      <c r="I83" t="inlineStr">
        <is>
          <t>NCA</t>
        </is>
      </c>
      <c r="J83" t="inlineStr">
        <is>
          <t>label-certified electricity</t>
        </is>
      </c>
      <c r="L83" s="24" t="n">
        <v>0</v>
      </c>
      <c r="M83" s="24" t="n">
        <v>0</v>
      </c>
      <c r="N83" s="24" t="n">
        <v>0.0002786706453612946</v>
      </c>
      <c r="O83" s="24" t="n">
        <v>0.001195732624675443</v>
      </c>
      <c r="P83" s="24" t="n">
        <v>0.0004680769214311721</v>
      </c>
      <c r="Q83" s="24" t="n">
        <v>0.00894710220054786</v>
      </c>
      <c r="R83" s="24" t="n">
        <v>0.01088958239201577</v>
      </c>
      <c r="S83" s="26" t="n">
        <v>0</v>
      </c>
      <c r="T83" s="26" t="n">
        <v>0</v>
      </c>
      <c r="U83" s="26" t="n">
        <v>0.000158845785788578</v>
      </c>
      <c r="V83" s="26" t="n">
        <v>9.831747354962542e-05</v>
      </c>
      <c r="W83" s="26" t="n">
        <v>2.957667625495802e-05</v>
      </c>
      <c r="X83" s="26" t="n">
        <v>0.004355716275509148</v>
      </c>
      <c r="Y83" s="26" t="n">
        <v>0.00464245621110231</v>
      </c>
      <c r="Z83" s="28" t="n">
        <v>0</v>
      </c>
      <c r="AA83" s="28" t="n">
        <v>0.001375806023799049</v>
      </c>
      <c r="AB83" s="28" t="n">
        <v>2.802942264284548e-05</v>
      </c>
      <c r="AC83" s="28" t="n">
        <v>2.396826009396162e-05</v>
      </c>
      <c r="AD83" s="28" t="n">
        <v>1.344454664592552e-05</v>
      </c>
      <c r="AE83" s="28" t="n">
        <v>0.0005977236974738774</v>
      </c>
      <c r="AF83" s="28" t="n">
        <v>0.002038971950655659</v>
      </c>
      <c r="AG83" s="30" t="n">
        <v>0</v>
      </c>
      <c r="AH83" s="30" t="n">
        <v>7.228237882960114e-06</v>
      </c>
      <c r="AI83" s="30" t="n">
        <v>0.0001050429925159661</v>
      </c>
      <c r="AJ83" s="30" t="n">
        <v>8.555417467729655e-05</v>
      </c>
      <c r="AK83" s="30" t="n">
        <v>1.254745200254465e-05</v>
      </c>
      <c r="AL83" s="30" t="n">
        <v>0.001874050359100937</v>
      </c>
      <c r="AM83" s="30" t="n">
        <v>0.002084423216179705</v>
      </c>
      <c r="AN83" s="32" t="n">
        <v>0</v>
      </c>
      <c r="AO83" s="32" t="n">
        <v>5.184272594518707e-06</v>
      </c>
      <c r="AP83" s="32" t="n">
        <v>2.481704884966665e-07</v>
      </c>
      <c r="AQ83" s="32" t="n">
        <v>6.549064862657901e-08</v>
      </c>
      <c r="AR83" s="32" t="n">
        <v>4.954378543849231e-08</v>
      </c>
      <c r="AS83" s="32" t="n">
        <v>1.163191731086597e-06</v>
      </c>
      <c r="AT83" s="32" t="n">
        <v>6.710669248167041e-06</v>
      </c>
      <c r="AU83" s="34" t="n">
        <v>0</v>
      </c>
      <c r="AV83" s="34" t="n">
        <v>0</v>
      </c>
      <c r="AW83" s="34" t="n">
        <v>0.002776429944804675</v>
      </c>
      <c r="AX83" s="34" t="n">
        <v>0.0201770987761535</v>
      </c>
      <c r="AY83" s="34" t="n">
        <v>0.01533389490096958</v>
      </c>
      <c r="AZ83" s="34" t="n">
        <v>0.1127383291124191</v>
      </c>
      <c r="BA83" s="34" t="n">
        <v>0.1510257527343468</v>
      </c>
      <c r="BB83" s="6" t="n"/>
      <c r="BC83" s="6" t="n"/>
      <c r="BD83" t="inlineStr">
        <is>
          <t>transport, Bicycle, electric (&lt;45 km/h), NCA battery, label-certified electricity/CH U</t>
        </is>
      </c>
      <c r="BF83" s="5" t="n">
        <v>0.007921960400000001</v>
      </c>
      <c r="BG83" s="5">
        <f>BF83-R83</f>
        <v>-2.9676219920157683E-3</v>
      </c>
      <c r="BH83" s="2" t="n">
        <v>20.79604</v>
      </c>
    </row>
    <row r="84">
      <c r="A84" t="str">
        <f>B84&amp;" - "&amp;D84&amp;" - "&amp;IF(I84&lt;&gt;"",I84&amp;" - "&amp;E84,E84)</f>
        <v>Bicycle, electric (&lt;45 km/h) - 2030 - NCA - CH</v>
      </c>
      <c r="B84" t="inlineStr">
        <is>
          <t>Bicycle, electric (&lt;45 km/h)</t>
        </is>
      </c>
      <c r="D84" s="18" t="n">
        <v>2030</v>
      </c>
      <c r="E84" t="inlineStr">
        <is>
          <t>CH</t>
        </is>
      </c>
      <c r="F84" t="inlineStr">
        <is>
          <t>None</t>
        </is>
      </c>
      <c r="G84" t="inlineStr">
        <is>
          <t>vkm</t>
        </is>
      </c>
      <c r="H84" t="inlineStr">
        <is>
          <t>BEV</t>
        </is>
      </c>
      <c r="I84" t="inlineStr">
        <is>
          <t>NCA</t>
        </is>
      </c>
      <c r="J84" t="inlineStr">
        <is>
          <t>label-certified electricity</t>
        </is>
      </c>
      <c r="L84" s="24" t="n">
        <v>0</v>
      </c>
      <c r="M84" s="24" t="n">
        <v>0</v>
      </c>
      <c r="N84" s="24" t="n">
        <v>0.0002786706453612946</v>
      </c>
      <c r="O84" s="24" t="n">
        <v>0.001195732624675443</v>
      </c>
      <c r="P84" s="24" t="n">
        <v>0.0004679429966742299</v>
      </c>
      <c r="Q84" s="24" t="n">
        <v>0.009365862535549198</v>
      </c>
      <c r="R84" s="24" t="n">
        <v>0.01130820880226016</v>
      </c>
      <c r="S84" s="26" t="n">
        <v>0</v>
      </c>
      <c r="T84" s="26" t="n">
        <v>0</v>
      </c>
      <c r="U84" s="26" t="n">
        <v>0.000158845785788578</v>
      </c>
      <c r="V84" s="26" t="n">
        <v>9.831747354962542e-05</v>
      </c>
      <c r="W84" s="26" t="n">
        <v>2.956821386555738e-05</v>
      </c>
      <c r="X84" s="26" t="n">
        <v>0.004268857602036443</v>
      </c>
      <c r="Y84" s="26" t="n">
        <v>0.004555589075240204</v>
      </c>
      <c r="Z84" s="28" t="n">
        <v>0</v>
      </c>
      <c r="AA84" s="28" t="n">
        <v>0.001375806023799049</v>
      </c>
      <c r="AB84" s="28" t="n">
        <v>2.802942264284548e-05</v>
      </c>
      <c r="AC84" s="28" t="n">
        <v>2.396826009396162e-05</v>
      </c>
      <c r="AD84" s="28" t="n">
        <v>1.344069993279074e-05</v>
      </c>
      <c r="AE84" s="28" t="n">
        <v>0.0006090785249830125</v>
      </c>
      <c r="AF84" s="28" t="n">
        <v>0.002050322931451659</v>
      </c>
      <c r="AG84" s="30" t="n">
        <v>0</v>
      </c>
      <c r="AH84" s="30" t="n">
        <v>7.228237882960114e-06</v>
      </c>
      <c r="AI84" s="30" t="n">
        <v>0.0001050429925159661</v>
      </c>
      <c r="AJ84" s="30" t="n">
        <v>8.555417467729655e-05</v>
      </c>
      <c r="AK84" s="30" t="n">
        <v>1.254386196342341e-05</v>
      </c>
      <c r="AL84" s="30" t="n">
        <v>0.001916548276935175</v>
      </c>
      <c r="AM84" s="30" t="n">
        <v>0.002126917543974821</v>
      </c>
      <c r="AN84" s="32" t="n">
        <v>0</v>
      </c>
      <c r="AO84" s="32" t="n">
        <v>5.184272594518707e-06</v>
      </c>
      <c r="AP84" s="32" t="n">
        <v>2.481704884966665e-07</v>
      </c>
      <c r="AQ84" s="32" t="n">
        <v>6.549064862657901e-08</v>
      </c>
      <c r="AR84" s="32" t="n">
        <v>4.952961012003704e-08</v>
      </c>
      <c r="AS84" s="32" t="n">
        <v>1.142337273804695e-06</v>
      </c>
      <c r="AT84" s="32" t="n">
        <v>6.689800615566684e-06</v>
      </c>
      <c r="AU84" s="34" t="n">
        <v>0</v>
      </c>
      <c r="AV84" s="34" t="n">
        <v>0</v>
      </c>
      <c r="AW84" s="34" t="n">
        <v>0.002776429944804675</v>
      </c>
      <c r="AX84" s="34" t="n">
        <v>0.0201770987761535</v>
      </c>
      <c r="AY84" s="34" t="n">
        <v>0.01532950761321073</v>
      </c>
      <c r="AZ84" s="34" t="n">
        <v>0.116540654959193</v>
      </c>
      <c r="BA84" s="34" t="n">
        <v>0.1548236912933619</v>
      </c>
      <c r="BB84" s="6" t="n"/>
      <c r="BC84" s="6" t="n"/>
      <c r="BD84" t="inlineStr">
        <is>
          <t>transport, Bicycle, electric (&lt;45 km/h), NCA battery, 2030, label-certified electricity/CH U</t>
        </is>
      </c>
      <c r="BF84" s="5" t="n">
        <v>0.0080175001</v>
      </c>
      <c r="BG84" s="5">
        <f>BF84-R84</f>
        <v>-3.2907087022601648E-3</v>
      </c>
      <c r="BH84" s="2" t="n">
        <v>20.08743</v>
      </c>
    </row>
    <row r="85">
      <c r="A85" t="str">
        <f>B85&amp;" - "&amp;D85&amp;" - "&amp;IF(I85&lt;&gt;"",I85&amp;" - "&amp;E85,E85)</f>
        <v>Bicycle, electric (&lt;45 km/h) - 2040 - NCA - CH</v>
      </c>
      <c r="B85" t="inlineStr">
        <is>
          <t>Bicycle, electric (&lt;45 km/h)</t>
        </is>
      </c>
      <c r="D85" s="18" t="n">
        <v>2040</v>
      </c>
      <c r="E85" t="inlineStr">
        <is>
          <t>CH</t>
        </is>
      </c>
      <c r="F85" t="inlineStr">
        <is>
          <t>None</t>
        </is>
      </c>
      <c r="G85" t="inlineStr">
        <is>
          <t>vkm</t>
        </is>
      </c>
      <c r="H85" t="inlineStr">
        <is>
          <t>BEV</t>
        </is>
      </c>
      <c r="I85" t="inlineStr">
        <is>
          <t>NCA</t>
        </is>
      </c>
      <c r="J85" t="inlineStr">
        <is>
          <t>label-certified electricity</t>
        </is>
      </c>
      <c r="L85" s="24" t="n">
        <v>0</v>
      </c>
      <c r="M85" s="24" t="n">
        <v>0</v>
      </c>
      <c r="N85" s="24" t="n">
        <v>0.0002786706453612946</v>
      </c>
      <c r="O85" s="24" t="n">
        <v>0.001195732624675443</v>
      </c>
      <c r="P85" s="24" t="n">
        <v>0.0004643164725909217</v>
      </c>
      <c r="Q85" s="24" t="n">
        <v>0.009254534497905807</v>
      </c>
      <c r="R85" s="24" t="n">
        <v>0.01119325424053347</v>
      </c>
      <c r="S85" s="26" t="n">
        <v>0</v>
      </c>
      <c r="T85" s="26" t="n">
        <v>0</v>
      </c>
      <c r="U85" s="26" t="n">
        <v>0.000158845785788578</v>
      </c>
      <c r="V85" s="26" t="n">
        <v>9.831747354962542e-05</v>
      </c>
      <c r="W85" s="26" t="n">
        <v>2.933906236538331e-05</v>
      </c>
      <c r="X85" s="26" t="n">
        <v>0.00384682584454692</v>
      </c>
      <c r="Y85" s="26" t="n">
        <v>0.004133328166250507</v>
      </c>
      <c r="Z85" s="28" t="n">
        <v>0</v>
      </c>
      <c r="AA85" s="28" t="n">
        <v>0.001375806023799049</v>
      </c>
      <c r="AB85" s="28" t="n">
        <v>2.802942264284548e-05</v>
      </c>
      <c r="AC85" s="28" t="n">
        <v>2.396826009396162e-05</v>
      </c>
      <c r="AD85" s="28" t="n">
        <v>1.333653548893923e-05</v>
      </c>
      <c r="AE85" s="28" t="n">
        <v>0.000571394980675137</v>
      </c>
      <c r="AF85" s="28" t="n">
        <v>0.002012535222699932</v>
      </c>
      <c r="AG85" s="30" t="n">
        <v>0</v>
      </c>
      <c r="AH85" s="30" t="n">
        <v>7.228237882960114e-06</v>
      </c>
      <c r="AI85" s="30" t="n">
        <v>0.0001050429925159661</v>
      </c>
      <c r="AJ85" s="30" t="n">
        <v>8.555417467729655e-05</v>
      </c>
      <c r="AK85" s="30" t="n">
        <v>1.244664794840158e-05</v>
      </c>
      <c r="AL85" s="30" t="n">
        <v>0.001805207430249791</v>
      </c>
      <c r="AM85" s="30" t="n">
        <v>0.002015479483274415</v>
      </c>
      <c r="AN85" s="32" t="n">
        <v>0</v>
      </c>
      <c r="AO85" s="32" t="n">
        <v>5.184272594518707e-06</v>
      </c>
      <c r="AP85" s="32" t="n">
        <v>2.481704884966665e-07</v>
      </c>
      <c r="AQ85" s="32" t="n">
        <v>6.549064862657901e-08</v>
      </c>
      <c r="AR85" s="32" t="n">
        <v>4.914575925526552e-08</v>
      </c>
      <c r="AS85" s="32" t="n">
        <v>1.037913047262548e-06</v>
      </c>
      <c r="AT85" s="32" t="n">
        <v>6.584992538159766e-06</v>
      </c>
      <c r="AU85" s="34" t="n">
        <v>0</v>
      </c>
      <c r="AV85" s="34" t="n">
        <v>0</v>
      </c>
      <c r="AW85" s="34" t="n">
        <v>0.002776429944804675</v>
      </c>
      <c r="AX85" s="34" t="n">
        <v>0.0201770987761535</v>
      </c>
      <c r="AY85" s="34" t="n">
        <v>0.01521070504764254</v>
      </c>
      <c r="AZ85" s="34" t="n">
        <v>0.1135620939311553</v>
      </c>
      <c r="BA85" s="34" t="n">
        <v>0.151726327699756</v>
      </c>
      <c r="BB85" s="6" t="n"/>
      <c r="BC85" s="6" t="n"/>
      <c r="BD85" t="inlineStr">
        <is>
          <t>transport, Bicycle, electric (&lt;45 km/h), NCA battery, 2040, label-certified electricity/CH U</t>
        </is>
      </c>
      <c r="BF85" s="5" t="n">
        <v>0.0077592417</v>
      </c>
      <c r="BG85" s="5">
        <f>BF85-R85</f>
        <v>-3.4340125405334663E-3</v>
      </c>
      <c r="BH85" s="2" t="n">
        <v>18.014214</v>
      </c>
    </row>
    <row r="86">
      <c r="A86" t="str">
        <f>B86&amp;" - "&amp;D86&amp;" - "&amp;IF(I86&lt;&gt;"",I86&amp;" - "&amp;E86,E86)</f>
        <v>Bicycle, electric (&lt;45 km/h) - 2050 - NCA - CH</v>
      </c>
      <c r="B86" t="inlineStr">
        <is>
          <t>Bicycle, electric (&lt;45 km/h)</t>
        </is>
      </c>
      <c r="D86" s="18" t="n">
        <v>2050</v>
      </c>
      <c r="E86" t="inlineStr">
        <is>
          <t>CH</t>
        </is>
      </c>
      <c r="F86" t="inlineStr">
        <is>
          <t>None</t>
        </is>
      </c>
      <c r="G86" t="inlineStr">
        <is>
          <t>vkm</t>
        </is>
      </c>
      <c r="H86" t="inlineStr">
        <is>
          <t>BEV</t>
        </is>
      </c>
      <c r="I86" t="inlineStr">
        <is>
          <t>NCA</t>
        </is>
      </c>
      <c r="J86" t="inlineStr">
        <is>
          <t>label-certified electricity</t>
        </is>
      </c>
      <c r="L86" s="24" t="n">
        <v>0</v>
      </c>
      <c r="M86" s="24" t="n">
        <v>0</v>
      </c>
      <c r="N86" s="24" t="n">
        <v>0.0002786706453612946</v>
      </c>
      <c r="O86" s="24" t="n">
        <v>0.001195732624675443</v>
      </c>
      <c r="P86" s="24" t="n">
        <v>0.0004650903333785732</v>
      </c>
      <c r="Q86" s="24" t="n">
        <v>0.009590625253276171</v>
      </c>
      <c r="R86" s="24" t="n">
        <v>0.01153011885669148</v>
      </c>
      <c r="S86" s="26" t="n">
        <v>0</v>
      </c>
      <c r="T86" s="26" t="n">
        <v>0</v>
      </c>
      <c r="U86" s="26" t="n">
        <v>0.000158845785788578</v>
      </c>
      <c r="V86" s="26" t="n">
        <v>9.831747354962542e-05</v>
      </c>
      <c r="W86" s="26" t="n">
        <v>2.938796080265894e-05</v>
      </c>
      <c r="X86" s="26" t="n">
        <v>0.00384104300407285</v>
      </c>
      <c r="Y86" s="26" t="n">
        <v>0.004127594224213712</v>
      </c>
      <c r="Z86" s="28" t="n">
        <v>0</v>
      </c>
      <c r="AA86" s="28" t="n">
        <v>0.001375806023799049</v>
      </c>
      <c r="AB86" s="28" t="n">
        <v>2.802942264284548e-05</v>
      </c>
      <c r="AC86" s="28" t="n">
        <v>2.396826009396162e-05</v>
      </c>
      <c r="AD86" s="28" t="n">
        <v>1.335876304808745e-05</v>
      </c>
      <c r="AE86" s="28" t="n">
        <v>0.000585586437832721</v>
      </c>
      <c r="AF86" s="28" t="n">
        <v>0.002026748907416664</v>
      </c>
      <c r="AG86" s="30" t="n">
        <v>0</v>
      </c>
      <c r="AH86" s="30" t="n">
        <v>7.228237882960114e-06</v>
      </c>
      <c r="AI86" s="30" t="n">
        <v>0.0001050429925159661</v>
      </c>
      <c r="AJ86" s="30" t="n">
        <v>8.555417467729655e-05</v>
      </c>
      <c r="AK86" s="30" t="n">
        <v>1.246739236164892e-05</v>
      </c>
      <c r="AL86" s="30" t="n">
        <v>0.001852233154816748</v>
      </c>
      <c r="AM86" s="30" t="n">
        <v>0.00206252595225462</v>
      </c>
      <c r="AN86" s="32" t="n">
        <v>0</v>
      </c>
      <c r="AO86" s="32" t="n">
        <v>5.184272594518707e-06</v>
      </c>
      <c r="AP86" s="32" t="n">
        <v>2.481704884966665e-07</v>
      </c>
      <c r="AQ86" s="32" t="n">
        <v>6.549064862657901e-08</v>
      </c>
      <c r="AR86" s="32" t="n">
        <v>4.922766885402429e-08</v>
      </c>
      <c r="AS86" s="32" t="n">
        <v>1.038165121198836e-06</v>
      </c>
      <c r="AT86" s="32" t="n">
        <v>6.585326521694813e-06</v>
      </c>
      <c r="AU86" s="34" t="n">
        <v>0</v>
      </c>
      <c r="AV86" s="34" t="n">
        <v>0</v>
      </c>
      <c r="AW86" s="34" t="n">
        <v>0.002776429944804675</v>
      </c>
      <c r="AX86" s="34" t="n">
        <v>0.0201770987761535</v>
      </c>
      <c r="AY86" s="34" t="n">
        <v>0.01523605622272195</v>
      </c>
      <c r="AZ86" s="34" t="n">
        <v>0.1169274377405541</v>
      </c>
      <c r="BA86" s="34" t="n">
        <v>0.1551170226842342</v>
      </c>
      <c r="BB86" s="6" t="n"/>
      <c r="BC86" s="6" t="n"/>
      <c r="BD86" t="inlineStr">
        <is>
          <t>transport, Bicycle, electric (&lt;45 km/h), NCA battery, 2050, label-certified electricity/CH U</t>
        </is>
      </c>
      <c r="BF86" s="5" t="n">
        <v>0.0078720397</v>
      </c>
      <c r="BG86" s="5">
        <f>BF86-R86</f>
        <v>-3.6580791566914826E-3</v>
      </c>
      <c r="BH86" s="2" t="n">
        <v>17.793037</v>
      </c>
    </row>
    <row r="87">
      <c r="A87" t="str">
        <f>B87&amp;" - "&amp;D87&amp;" - "&amp;IF(I87&lt;&gt;"",I87&amp;" - "&amp;E87,E87)</f>
        <v>Bicycle, battery electric, cargo bike - 2020 - NCA - CH</v>
      </c>
      <c r="B87" t="inlineStr">
        <is>
          <t>Bicycle, battery electric, cargo bike</t>
        </is>
      </c>
      <c r="D87" s="18" t="n">
        <v>2020</v>
      </c>
      <c r="E87" t="inlineStr">
        <is>
          <t>CH</t>
        </is>
      </c>
      <c r="F87" t="inlineStr">
        <is>
          <t>None</t>
        </is>
      </c>
      <c r="G87" t="inlineStr">
        <is>
          <t>vkm</t>
        </is>
      </c>
      <c r="H87" t="inlineStr">
        <is>
          <t>BEV</t>
        </is>
      </c>
      <c r="I87" t="inlineStr">
        <is>
          <t>NCA</t>
        </is>
      </c>
      <c r="J87" t="inlineStr">
        <is>
          <t>label-certified electricity</t>
        </is>
      </c>
      <c r="L87" s="24" t="n">
        <v>0</v>
      </c>
      <c r="M87" s="24" t="n">
        <v>0</v>
      </c>
      <c r="N87" s="24" t="n">
        <v>0.0002134720130700155</v>
      </c>
      <c r="O87" s="24" t="n">
        <v>0.001195732624675443</v>
      </c>
      <c r="P87" s="24" t="n">
        <v>0.0007730691142114835</v>
      </c>
      <c r="Q87" s="24" t="n">
        <v>0.02087827846676268</v>
      </c>
      <c r="R87" s="24" t="n">
        <v>0.02306055221871962</v>
      </c>
      <c r="S87" s="26" t="n">
        <v>0</v>
      </c>
      <c r="T87" s="26" t="n">
        <v>0</v>
      </c>
      <c r="U87" s="26" t="n">
        <v>0.000121681742316322</v>
      </c>
      <c r="V87" s="26" t="n">
        <v>9.831747354962542e-05</v>
      </c>
      <c r="W87" s="26" t="n">
        <v>4.884841329888628e-05</v>
      </c>
      <c r="X87" s="26" t="n">
        <v>0.007072774482135023</v>
      </c>
      <c r="Y87" s="26" t="n">
        <v>0.007341622111299857</v>
      </c>
      <c r="Z87" s="28" t="n">
        <v>0</v>
      </c>
      <c r="AA87" s="28" t="n">
        <v>0.002751612047598098</v>
      </c>
      <c r="AB87" s="28" t="n">
        <v>2.147157361695178e-05</v>
      </c>
      <c r="AC87" s="28" t="n">
        <v>2.396826009396162e-05</v>
      </c>
      <c r="AD87" s="28" t="n">
        <v>2.220481995728756e-05</v>
      </c>
      <c r="AE87" s="28" t="n">
        <v>0.001159068076553423</v>
      </c>
      <c r="AF87" s="28" t="n">
        <v>0.003978324777819722</v>
      </c>
      <c r="AG87" s="30" t="n">
        <v>0</v>
      </c>
      <c r="AH87" s="30" t="n">
        <v>1.445647576592023e-05</v>
      </c>
      <c r="AI87" s="30" t="n">
        <v>8.046681430047874e-05</v>
      </c>
      <c r="AJ87" s="30" t="n">
        <v>8.555417467729655e-05</v>
      </c>
      <c r="AK87" s="30" t="n">
        <v>2.072319134120059e-05</v>
      </c>
      <c r="AL87" s="30" t="n">
        <v>0.003420637265835189</v>
      </c>
      <c r="AM87" s="30" t="n">
        <v>0.003621837921920085</v>
      </c>
      <c r="AN87" s="32" t="n">
        <v>0</v>
      </c>
      <c r="AO87" s="32" t="n">
        <v>1.036854518903741e-05</v>
      </c>
      <c r="AP87" s="32" t="n">
        <v>1.901077657292092e-07</v>
      </c>
      <c r="AQ87" s="32" t="n">
        <v>6.549064862657901e-08</v>
      </c>
      <c r="AR87" s="32" t="n">
        <v>8.18258037728334e-08</v>
      </c>
      <c r="AS87" s="32" t="n">
        <v>2.336023436605768e-06</v>
      </c>
      <c r="AT87" s="32" t="n">
        <v>1.30419928437718e-05</v>
      </c>
      <c r="AU87" s="34" t="n">
        <v>0</v>
      </c>
      <c r="AV87" s="34" t="n">
        <v>0</v>
      </c>
      <c r="AW87" s="34" t="n">
        <v>0.002126847945168059</v>
      </c>
      <c r="AX87" s="34" t="n">
        <v>0.0201770987761535</v>
      </c>
      <c r="AY87" s="34" t="n">
        <v>0.02532524037344066</v>
      </c>
      <c r="AZ87" s="34" t="n">
        <v>0.2577004487615989</v>
      </c>
      <c r="BA87" s="34" t="n">
        <v>0.3053296358563611</v>
      </c>
      <c r="BB87" s="6" t="n"/>
      <c r="BC87" s="6" t="n"/>
      <c r="BD87" t="inlineStr">
        <is>
          <t>transport, Bicycle, battery electric, cargo bike, NCA battery, label-certified electricity/CH U</t>
        </is>
      </c>
      <c r="BF87" s="5" t="n">
        <v>0.016064688</v>
      </c>
      <c r="BG87" s="5">
        <f>BF87-R87</f>
        <v>-6.9958642187196232E-3</v>
      </c>
      <c r="BH87" s="2" t="n">
        <v>37.135261</v>
      </c>
    </row>
    <row r="88">
      <c r="A88" t="str">
        <f>B88&amp;" - "&amp;D88&amp;" - "&amp;IF(I88&lt;&gt;"",I88&amp;" - "&amp;E88,E88)</f>
        <v>Bicycle, battery electric, cargo bike - 2030 - NCA - CH</v>
      </c>
      <c r="B88" t="inlineStr">
        <is>
          <t>Bicycle, battery electric, cargo bike</t>
        </is>
      </c>
      <c r="D88" s="18" t="n">
        <v>2030</v>
      </c>
      <c r="E88" t="inlineStr">
        <is>
          <t>CH</t>
        </is>
      </c>
      <c r="F88" t="inlineStr">
        <is>
          <t>None</t>
        </is>
      </c>
      <c r="G88" t="inlineStr">
        <is>
          <t>vkm</t>
        </is>
      </c>
      <c r="H88" t="inlineStr">
        <is>
          <t>BEV</t>
        </is>
      </c>
      <c r="I88" t="inlineStr">
        <is>
          <t>NCA</t>
        </is>
      </c>
      <c r="J88" t="inlineStr">
        <is>
          <t>label-certified electricity</t>
        </is>
      </c>
      <c r="L88" s="24" t="n">
        <v>0</v>
      </c>
      <c r="M88" s="24" t="n">
        <v>0</v>
      </c>
      <c r="N88" s="24" t="n">
        <v>0.0002134720130700155</v>
      </c>
      <c r="O88" s="24" t="n">
        <v>0.001195732624675443</v>
      </c>
      <c r="P88" s="24" t="n">
        <v>0.0007683678934333036</v>
      </c>
      <c r="Q88" s="24" t="n">
        <v>0.0220152986110074</v>
      </c>
      <c r="R88" s="24" t="n">
        <v>0.02419287114218616</v>
      </c>
      <c r="S88" s="26" t="n">
        <v>0</v>
      </c>
      <c r="T88" s="26" t="n">
        <v>0</v>
      </c>
      <c r="U88" s="26" t="n">
        <v>0.000121681742316322</v>
      </c>
      <c r="V88" s="26" t="n">
        <v>9.831747354962542e-05</v>
      </c>
      <c r="W88" s="26" t="n">
        <v>4.855135425027058e-05</v>
      </c>
      <c r="X88" s="26" t="n">
        <v>0.00671262236261844</v>
      </c>
      <c r="Y88" s="26" t="n">
        <v>0.006981172932734659</v>
      </c>
      <c r="Z88" s="28" t="n">
        <v>0</v>
      </c>
      <c r="AA88" s="28" t="n">
        <v>0.002751612047598098</v>
      </c>
      <c r="AB88" s="28" t="n">
        <v>2.147157361695178e-05</v>
      </c>
      <c r="AC88" s="28" t="n">
        <v>2.396826009396162e-05</v>
      </c>
      <c r="AD88" s="28" t="n">
        <v>2.20697870617289e-05</v>
      </c>
      <c r="AE88" s="28" t="n">
        <v>0.00117963669245097</v>
      </c>
      <c r="AF88" s="28" t="n">
        <v>0.00399875836082171</v>
      </c>
      <c r="AG88" s="30" t="n">
        <v>0</v>
      </c>
      <c r="AH88" s="30" t="n">
        <v>1.445647576592023e-05</v>
      </c>
      <c r="AI88" s="30" t="n">
        <v>8.046681430047874e-05</v>
      </c>
      <c r="AJ88" s="30" t="n">
        <v>8.555417467729655e-05</v>
      </c>
      <c r="AK88" s="30" t="n">
        <v>2.059716858859998e-05</v>
      </c>
      <c r="AL88" s="30" t="n">
        <v>0.003514570070195786</v>
      </c>
      <c r="AM88" s="30" t="n">
        <v>0.003715644703528081</v>
      </c>
      <c r="AN88" s="32" t="n">
        <v>0</v>
      </c>
      <c r="AO88" s="32" t="n">
        <v>1.036854518903741e-05</v>
      </c>
      <c r="AP88" s="32" t="n">
        <v>1.901077657292092e-07</v>
      </c>
      <c r="AQ88" s="32" t="n">
        <v>6.549064862657901e-08</v>
      </c>
      <c r="AR88" s="32" t="n">
        <v>8.132820121464495e-08</v>
      </c>
      <c r="AS88" s="32" t="n">
        <v>2.2421527293958e-06</v>
      </c>
      <c r="AT88" s="32" t="n">
        <v>1.294762453400364e-05</v>
      </c>
      <c r="AU88" s="34" t="n">
        <v>0</v>
      </c>
      <c r="AV88" s="34" t="n">
        <v>0</v>
      </c>
      <c r="AW88" s="34" t="n">
        <v>0.002126847945168059</v>
      </c>
      <c r="AX88" s="34" t="n">
        <v>0.0201770987761535</v>
      </c>
      <c r="AY88" s="34" t="n">
        <v>0.02517123144452689</v>
      </c>
      <c r="AZ88" s="34" t="n">
        <v>0.2673210600813328</v>
      </c>
      <c r="BA88" s="34" t="n">
        <v>0.3147962382471812</v>
      </c>
      <c r="BB88" s="6" t="n"/>
      <c r="BC88" s="6" t="n"/>
      <c r="BD88" t="inlineStr">
        <is>
          <t>transport, Bicycle, battery electric, cargo bike, NCA battery, 2030, label-certified electricity/CH U</t>
        </is>
      </c>
      <c r="BF88" s="5" t="n">
        <v>0.016237141</v>
      </c>
      <c r="BG88" s="5">
        <f>BF88-R88</f>
        <v>-7.9557301421861633E-3</v>
      </c>
      <c r="BH88" s="2" t="n">
        <v>34.464179</v>
      </c>
    </row>
    <row r="89">
      <c r="A89" t="str">
        <f>B89&amp;" - "&amp;D89&amp;" - "&amp;IF(I89&lt;&gt;"",I89&amp;" - "&amp;E89,E89)</f>
        <v>Bicycle, battery electric, cargo bike - 2040 - NCA - CH</v>
      </c>
      <c r="B89" t="inlineStr">
        <is>
          <t>Bicycle, battery electric, cargo bike</t>
        </is>
      </c>
      <c r="D89" s="18" t="n">
        <v>2040</v>
      </c>
      <c r="E89" t="inlineStr">
        <is>
          <t>CH</t>
        </is>
      </c>
      <c r="F89" t="inlineStr">
        <is>
          <t>None</t>
        </is>
      </c>
      <c r="G89" t="inlineStr">
        <is>
          <t>vkm</t>
        </is>
      </c>
      <c r="H89" t="inlineStr">
        <is>
          <t>BEV</t>
        </is>
      </c>
      <c r="I89" t="inlineStr">
        <is>
          <t>NCA</t>
        </is>
      </c>
      <c r="J89" t="inlineStr">
        <is>
          <t>label-certified electricity</t>
        </is>
      </c>
      <c r="L89" s="24" t="n">
        <v>0</v>
      </c>
      <c r="M89" s="24" t="n">
        <v>0</v>
      </c>
      <c r="N89" s="24" t="n">
        <v>0.0002134720130700155</v>
      </c>
      <c r="O89" s="24" t="n">
        <v>0.001195732624675443</v>
      </c>
      <c r="P89" s="24" t="n">
        <v>0.0007624804819507784</v>
      </c>
      <c r="Q89" s="24" t="n">
        <v>0.02238932259227003</v>
      </c>
      <c r="R89" s="24" t="n">
        <v>0.02456100771196627</v>
      </c>
      <c r="S89" s="26" t="n">
        <v>0</v>
      </c>
      <c r="T89" s="26" t="n">
        <v>0</v>
      </c>
      <c r="U89" s="26" t="n">
        <v>0.000121681742316322</v>
      </c>
      <c r="V89" s="26" t="n">
        <v>9.831747354962542e-05</v>
      </c>
      <c r="W89" s="26" t="n">
        <v>4.817934260982063e-05</v>
      </c>
      <c r="X89" s="26" t="n">
        <v>0.006116150346419302</v>
      </c>
      <c r="Y89" s="26" t="n">
        <v>0.00638432890489507</v>
      </c>
      <c r="Z89" s="28" t="n">
        <v>0</v>
      </c>
      <c r="AA89" s="28" t="n">
        <v>0.002751612047598098</v>
      </c>
      <c r="AB89" s="28" t="n">
        <v>2.147157361695178e-05</v>
      </c>
      <c r="AC89" s="28" t="n">
        <v>2.396826009396162e-05</v>
      </c>
      <c r="AD89" s="28" t="n">
        <v>2.19006832784051e-05</v>
      </c>
      <c r="AE89" s="28" t="n">
        <v>0.00114882218568446</v>
      </c>
      <c r="AF89" s="28" t="n">
        <v>0.003967774750271876</v>
      </c>
      <c r="AG89" s="30" t="n">
        <v>0</v>
      </c>
      <c r="AH89" s="30" t="n">
        <v>1.445647576592023e-05</v>
      </c>
      <c r="AI89" s="30" t="n">
        <v>8.046681430047874e-05</v>
      </c>
      <c r="AJ89" s="30" t="n">
        <v>8.555417467729655e-05</v>
      </c>
      <c r="AK89" s="30" t="n">
        <v>2.043934834663986e-05</v>
      </c>
      <c r="AL89" s="30" t="n">
        <v>0.003442490128111055</v>
      </c>
      <c r="AM89" s="30" t="n">
        <v>0.00364340694120139</v>
      </c>
      <c r="AN89" s="32" t="n">
        <v>0</v>
      </c>
      <c r="AO89" s="32" t="n">
        <v>1.036854518903741e-05</v>
      </c>
      <c r="AP89" s="32" t="n">
        <v>1.901077657292092e-07</v>
      </c>
      <c r="AQ89" s="32" t="n">
        <v>6.549064862657901e-08</v>
      </c>
      <c r="AR89" s="32" t="n">
        <v>8.070504583585271e-08</v>
      </c>
      <c r="AS89" s="32" t="n">
        <v>2.089077939803674e-06</v>
      </c>
      <c r="AT89" s="32" t="n">
        <v>1.279392658903273e-05</v>
      </c>
      <c r="AU89" s="34" t="n">
        <v>0</v>
      </c>
      <c r="AV89" s="34" t="n">
        <v>0</v>
      </c>
      <c r="AW89" s="34" t="n">
        <v>0.002126847945168059</v>
      </c>
      <c r="AX89" s="34" t="n">
        <v>0.0201770987761535</v>
      </c>
      <c r="AY89" s="34" t="n">
        <v>0.0249783636811777</v>
      </c>
      <c r="AZ89" s="34" t="n">
        <v>0.2682718744399337</v>
      </c>
      <c r="BA89" s="34" t="n">
        <v>0.3155541848424329</v>
      </c>
      <c r="BB89" s="6" t="n"/>
      <c r="BC89" s="6" t="n"/>
      <c r="BD89" t="inlineStr">
        <is>
          <t>transport, Bicycle, battery electric, cargo bike, NCA battery, 2040, label-certified electricity/CH U</t>
        </is>
      </c>
      <c r="BF89" s="5" t="n">
        <v>0.016033511</v>
      </c>
      <c r="BG89" s="5">
        <f>BF89-R89</f>
        <v>-8.5274967119662662E-3</v>
      </c>
      <c r="BH89" s="2" t="n">
        <v>31.085521</v>
      </c>
    </row>
    <row r="90">
      <c r="A90" t="str">
        <f>B90&amp;" - "&amp;D90&amp;" - "&amp;IF(I90&lt;&gt;"",I90&amp;" - "&amp;E90,E90)</f>
        <v>Bicycle, battery electric, cargo bike - 2050 - NCA - CH</v>
      </c>
      <c r="B90" t="inlineStr">
        <is>
          <t>Bicycle, battery electric, cargo bike</t>
        </is>
      </c>
      <c r="D90" s="18" t="n">
        <v>2050</v>
      </c>
      <c r="E90" t="inlineStr">
        <is>
          <t>CH</t>
        </is>
      </c>
      <c r="F90" t="inlineStr">
        <is>
          <t>None</t>
        </is>
      </c>
      <c r="G90" t="inlineStr">
        <is>
          <t>vkm</t>
        </is>
      </c>
      <c r="H90" t="inlineStr">
        <is>
          <t>BEV</t>
        </is>
      </c>
      <c r="I90" t="inlineStr">
        <is>
          <t>NCA</t>
        </is>
      </c>
      <c r="J90" t="inlineStr">
        <is>
          <t>label-certified electricity</t>
        </is>
      </c>
      <c r="L90" s="24" t="n">
        <v>0</v>
      </c>
      <c r="M90" s="24" t="n">
        <v>0</v>
      </c>
      <c r="N90" s="24" t="n">
        <v>0.0002134720130700155</v>
      </c>
      <c r="O90" s="24" t="n">
        <v>0.001195732624675443</v>
      </c>
      <c r="P90" s="24" t="n">
        <v>0.0007585656567897176</v>
      </c>
      <c r="Q90" s="24" t="n">
        <v>0.02319241018579366</v>
      </c>
      <c r="R90" s="24" t="n">
        <v>0.02536018048032884</v>
      </c>
      <c r="S90" s="26" t="n">
        <v>0</v>
      </c>
      <c r="T90" s="26" t="n">
        <v>0</v>
      </c>
      <c r="U90" s="26" t="n">
        <v>0.000121681742316322</v>
      </c>
      <c r="V90" s="26" t="n">
        <v>9.831747354962542e-05</v>
      </c>
      <c r="W90" s="26" t="n">
        <v>4.793197404477916e-05</v>
      </c>
      <c r="X90" s="26" t="n">
        <v>0.005920720866599173</v>
      </c>
      <c r="Y90" s="26" t="n">
        <v>0.006188652056509899</v>
      </c>
      <c r="Z90" s="28" t="n">
        <v>0</v>
      </c>
      <c r="AA90" s="28" t="n">
        <v>0.002751612047598098</v>
      </c>
      <c r="AB90" s="28" t="n">
        <v>2.147157361695178e-05</v>
      </c>
      <c r="AC90" s="28" t="n">
        <v>2.396826009396162e-05</v>
      </c>
      <c r="AD90" s="28" t="n">
        <v>2.178823797918463e-05</v>
      </c>
      <c r="AE90" s="28" t="n">
        <v>0.001167984483832715</v>
      </c>
      <c r="AF90" s="28" t="n">
        <v>0.003986824603120911</v>
      </c>
      <c r="AG90" s="30" t="n">
        <v>0</v>
      </c>
      <c r="AH90" s="30" t="n">
        <v>1.445647576592023e-05</v>
      </c>
      <c r="AI90" s="30" t="n">
        <v>8.046681430047874e-05</v>
      </c>
      <c r="AJ90" s="30" t="n">
        <v>8.555417467729655e-05</v>
      </c>
      <c r="AK90" s="30" t="n">
        <v>2.033440602080039e-05</v>
      </c>
      <c r="AL90" s="30" t="n">
        <v>0.003520607455830432</v>
      </c>
      <c r="AM90" s="30" t="n">
        <v>0.003721419326594928</v>
      </c>
      <c r="AN90" s="32" t="n">
        <v>0</v>
      </c>
      <c r="AO90" s="32" t="n">
        <v>1.036854518903741e-05</v>
      </c>
      <c r="AP90" s="32" t="n">
        <v>1.901077657292092e-07</v>
      </c>
      <c r="AQ90" s="32" t="n">
        <v>6.549064862657901e-08</v>
      </c>
      <c r="AR90" s="32" t="n">
        <v>8.029067963036712e-08</v>
      </c>
      <c r="AS90" s="32" t="n">
        <v>2.038049713160376e-06</v>
      </c>
      <c r="AT90" s="32" t="n">
        <v>1.274248399618394e-05</v>
      </c>
      <c r="AU90" s="34" t="n">
        <v>0</v>
      </c>
      <c r="AV90" s="34" t="n">
        <v>0</v>
      </c>
      <c r="AW90" s="34" t="n">
        <v>0.002126847945168059</v>
      </c>
      <c r="AX90" s="34" t="n">
        <v>0.0201770987761535</v>
      </c>
      <c r="AY90" s="34" t="n">
        <v>0.02485011656018777</v>
      </c>
      <c r="AZ90" s="34" t="n">
        <v>0.2753527346165842</v>
      </c>
      <c r="BA90" s="34" t="n">
        <v>0.3225067978980936</v>
      </c>
      <c r="BB90" s="6" t="n"/>
      <c r="BC90" s="6" t="n"/>
      <c r="BD90" t="inlineStr">
        <is>
          <t>transport, Bicycle, battery electric, cargo bike, NCA battery, 2050, label-certified electricity/CH U</t>
        </is>
      </c>
      <c r="BF90" s="5" t="n">
        <v>0.016183102</v>
      </c>
      <c r="BG90" s="5">
        <f>BF90-R90</f>
        <v>-9.177078480328834E-3</v>
      </c>
      <c r="BH90" s="2" t="n">
        <v>29.513087</v>
      </c>
    </row>
    <row r="91">
      <c r="A91" t="str">
        <f>B91&amp;" - "&amp;D91&amp;" - "&amp;IF(I91&lt;&gt;"",I91&amp;" - "&amp;E91,E91)</f>
        <v>Tram, electric - 2020 - None - CH</v>
      </c>
      <c r="B91" t="inlineStr">
        <is>
          <t>Tram, electric</t>
        </is>
      </c>
      <c r="C91" t="inlineStr">
        <is>
          <t>43m</t>
        </is>
      </c>
      <c r="D91" s="18" t="n">
        <v>2020</v>
      </c>
      <c r="E91" t="inlineStr">
        <is>
          <t>CH</t>
        </is>
      </c>
      <c r="F91" t="inlineStr">
        <is>
          <t>None</t>
        </is>
      </c>
      <c r="G91" t="inlineStr">
        <is>
          <t>pkm</t>
        </is>
      </c>
      <c r="H91" t="inlineStr">
        <is>
          <t>BEV</t>
        </is>
      </c>
      <c r="I91" t="inlineStr">
        <is>
          <t>None</t>
        </is>
      </c>
      <c r="J91" t="inlineStr">
        <is>
          <t>None</t>
        </is>
      </c>
      <c r="L91" s="24" t="n">
        <v>0</v>
      </c>
      <c r="M91" s="24" t="n">
        <v>0.0001956797293172932</v>
      </c>
      <c r="N91" s="24" t="n">
        <v>0.009354107822489849</v>
      </c>
      <c r="O91" s="24" t="n">
        <v>0.0003277756990873964</v>
      </c>
      <c r="P91" s="24" t="n">
        <v>0</v>
      </c>
      <c r="Q91" s="24" t="n">
        <v>0.00183243120018571</v>
      </c>
      <c r="R91" s="24" t="n">
        <v>0.01170999445108025</v>
      </c>
      <c r="S91" s="26" t="n">
        <v>0</v>
      </c>
      <c r="T91" s="26" t="n">
        <v>0</v>
      </c>
      <c r="U91" s="26" t="n">
        <v>0.0003592496122655314</v>
      </c>
      <c r="V91" s="26" t="n">
        <v>1.048373495558097e-05</v>
      </c>
      <c r="W91" s="26" t="n">
        <v>0</v>
      </c>
      <c r="X91" s="26" t="n">
        <v>0.001711018047193602</v>
      </c>
      <c r="Y91" s="26" t="n">
        <v>0.002080751394414714</v>
      </c>
      <c r="Z91" s="28" t="n">
        <v>1.718433157894737e-06</v>
      </c>
      <c r="AA91" s="28" t="n">
        <v>6.902255639097745e-09</v>
      </c>
      <c r="AB91" s="28" t="n">
        <v>0.0002295759312253106</v>
      </c>
      <c r="AC91" s="28" t="n">
        <v>7.030026356166962e-06</v>
      </c>
      <c r="AD91" s="28" t="n">
        <v>0</v>
      </c>
      <c r="AE91" s="28" t="n">
        <v>0.0001830788584424419</v>
      </c>
      <c r="AF91" s="28" t="n">
        <v>0.0004214101514374533</v>
      </c>
      <c r="AG91" s="30" t="n">
        <v>4.875e-07</v>
      </c>
      <c r="AH91" s="30" t="n">
        <v>0</v>
      </c>
      <c r="AI91" s="30" t="n">
        <v>0.0002770503044013652</v>
      </c>
      <c r="AJ91" s="30" t="n">
        <v>7.465163209405773e-06</v>
      </c>
      <c r="AK91" s="30" t="n">
        <v>0</v>
      </c>
      <c r="AL91" s="30" t="n">
        <v>0.0008698345021711955</v>
      </c>
      <c r="AM91" s="30" t="n">
        <v>0.001154837469781967</v>
      </c>
      <c r="AN91" s="32" t="n">
        <v>3.074978947368421e-07</v>
      </c>
      <c r="AO91" s="32" t="n">
        <v>0</v>
      </c>
      <c r="AP91" s="32" t="n">
        <v>4.741971891025771e-07</v>
      </c>
      <c r="AQ91" s="32" t="n">
        <v>1.917630505093557e-08</v>
      </c>
      <c r="AR91" s="32" t="n">
        <v>0</v>
      </c>
      <c r="AS91" s="32" t="n">
        <v>4.083793281378228e-07</v>
      </c>
      <c r="AT91" s="32" t="n">
        <v>1.209250717028178e-06</v>
      </c>
      <c r="AU91" s="34" t="n">
        <v>0</v>
      </c>
      <c r="AV91" s="34" t="n">
        <v>0</v>
      </c>
      <c r="AW91" s="34" t="n">
        <v>0.4486383316157568</v>
      </c>
      <c r="AX91" s="34" t="n">
        <v>0.01243910418987527</v>
      </c>
      <c r="AY91" s="34" t="n">
        <v>0</v>
      </c>
      <c r="AZ91" s="34" t="n">
        <v>0.02472697077450987</v>
      </c>
      <c r="BA91" s="34" t="n">
        <v>0.4858044065801419</v>
      </c>
      <c r="BB91" s="6" t="n"/>
      <c r="BC91" s="6" t="n"/>
      <c r="BD91" s="6" t="inlineStr">
        <is>
          <t>transport, Tram, electric/CH U</t>
        </is>
      </c>
      <c r="BF91" s="5">
        <f>19.126506/1000</f>
        <v>1.9126505999999998E-2</v>
      </c>
      <c r="BG91" s="5">
        <f>BF91-R91</f>
        <v>7.4165115489197488E-3</v>
      </c>
      <c r="BH91" s="2">
        <f>36.08469/1000</f>
        <v>3.6084690000000003E-2</v>
      </c>
    </row>
    <row r="92">
      <c r="A92" t="str">
        <f>B92&amp;" - "&amp;D92&amp;" - "&amp;IF(I92&lt;&gt;"",I92&amp;" - "&amp;E92,E92)</f>
        <v>Tram, electric - 2030 - None - CH</v>
      </c>
      <c r="B92" t="inlineStr">
        <is>
          <t>Tram, electric</t>
        </is>
      </c>
      <c r="C92" t="inlineStr">
        <is>
          <t>43m</t>
        </is>
      </c>
      <c r="D92" s="18" t="n">
        <v>2030</v>
      </c>
      <c r="E92" t="inlineStr">
        <is>
          <t>CH</t>
        </is>
      </c>
      <c r="F92" t="inlineStr">
        <is>
          <t>None</t>
        </is>
      </c>
      <c r="G92" t="inlineStr">
        <is>
          <t>pkm</t>
        </is>
      </c>
      <c r="H92" t="inlineStr">
        <is>
          <t>BEV</t>
        </is>
      </c>
      <c r="I92" t="inlineStr">
        <is>
          <t>None</t>
        </is>
      </c>
      <c r="J92" t="inlineStr">
        <is>
          <t>None</t>
        </is>
      </c>
      <c r="L92" s="24" t="n">
        <v>0</v>
      </c>
      <c r="M92" s="24" t="n">
        <v>0.0003325087800424105</v>
      </c>
      <c r="N92" s="24" t="n">
        <v>0.009354107822489849</v>
      </c>
      <c r="O92" s="24" t="n">
        <v>0.0003293720015919237</v>
      </c>
      <c r="P92" s="24" t="n">
        <v>0</v>
      </c>
      <c r="Q92" s="24" t="n">
        <v>0.002231267179567592</v>
      </c>
      <c r="R92" s="24" t="n">
        <v>0.01224725578369178</v>
      </c>
      <c r="S92" s="26" t="n">
        <v>0</v>
      </c>
      <c r="T92" s="26" t="n">
        <v>0</v>
      </c>
      <c r="U92" s="26" t="n">
        <v>0.0003592496122655314</v>
      </c>
      <c r="V92" s="26" t="n">
        <v>1.052491235450947e-05</v>
      </c>
      <c r="W92" s="26" t="n">
        <v>0</v>
      </c>
      <c r="X92" s="26" t="n">
        <v>0.001774158122061843</v>
      </c>
      <c r="Y92" s="26" t="n">
        <v>0.002143932646681884</v>
      </c>
      <c r="Z92" s="28" t="n">
        <v>1.718433157894737e-06</v>
      </c>
      <c r="AA92" s="28" t="n">
        <v>1.172865789473684e-08</v>
      </c>
      <c r="AB92" s="28" t="n">
        <v>0.0002295759312253106</v>
      </c>
      <c r="AC92" s="28" t="n">
        <v>7.115660625145379e-06</v>
      </c>
      <c r="AD92" s="28" t="n">
        <v>0</v>
      </c>
      <c r="AE92" s="28" t="n">
        <v>0.0002052345665190301</v>
      </c>
      <c r="AF92" s="28" t="n">
        <v>0.0004436563201852756</v>
      </c>
      <c r="AG92" s="30" t="n">
        <v>4.875e-07</v>
      </c>
      <c r="AH92" s="30" t="n">
        <v>0</v>
      </c>
      <c r="AI92" s="30" t="n">
        <v>0.0002770503044013652</v>
      </c>
      <c r="AJ92" s="30" t="n">
        <v>7.491203811326216e-06</v>
      </c>
      <c r="AK92" s="30" t="n">
        <v>0</v>
      </c>
      <c r="AL92" s="30" t="n">
        <v>0.0009422945147225158</v>
      </c>
      <c r="AM92" s="30" t="n">
        <v>0.001227323522935207</v>
      </c>
      <c r="AN92" s="32" t="n">
        <v>3.074978947368421e-07</v>
      </c>
      <c r="AO92" s="32" t="n">
        <v>0</v>
      </c>
      <c r="AP92" s="32" t="n">
        <v>4.741971891025771e-07</v>
      </c>
      <c r="AQ92" s="32" t="n">
        <v>1.925346272557938e-08</v>
      </c>
      <c r="AR92" s="32" t="n">
        <v>0</v>
      </c>
      <c r="AS92" s="32" t="n">
        <v>4.243334679350801e-07</v>
      </c>
      <c r="AT92" s="32" t="n">
        <v>1.225282014500079e-06</v>
      </c>
      <c r="AU92" s="34" t="n">
        <v>0</v>
      </c>
      <c r="AV92" s="34" t="n">
        <v>0</v>
      </c>
      <c r="AW92" s="34" t="n">
        <v>0.4486383316157568</v>
      </c>
      <c r="AX92" s="34" t="n">
        <v>0.01245028738238926</v>
      </c>
      <c r="AY92" s="34" t="n">
        <v>0</v>
      </c>
      <c r="AZ92" s="34" t="n">
        <v>0.02895022837967394</v>
      </c>
      <c r="BA92" s="34" t="n">
        <v>0.4900388473778199</v>
      </c>
      <c r="BB92" s="6" t="n"/>
      <c r="BC92" s="6" t="n"/>
      <c r="BD92" s="6" t="inlineStr">
        <is>
          <t>transport, Tram, battery electric, 2030/CH U</t>
        </is>
      </c>
      <c r="BF92" s="5">
        <f>19.437868/1000</f>
        <v>1.9437868000000001E-2</v>
      </c>
      <c r="BG92" s="5">
        <f>BF92-R92</f>
        <v>7.1906122163082238E-3</v>
      </c>
      <c r="BH92" s="2">
        <f>36.248877/1000</f>
        <v>3.6248876999999999E-2</v>
      </c>
    </row>
    <row r="93">
      <c r="A93" t="str">
        <f>B93&amp;" - "&amp;D93&amp;" - "&amp;IF(I93&lt;&gt;"",I93&amp;" - "&amp;E93,E93)</f>
        <v>Tram, electric - 2040 - None - CH</v>
      </c>
      <c r="B93" t="inlineStr">
        <is>
          <t>Tram, electric</t>
        </is>
      </c>
      <c r="C93" t="inlineStr">
        <is>
          <t>43m</t>
        </is>
      </c>
      <c r="D93" s="18" t="n">
        <v>2040</v>
      </c>
      <c r="E93" t="inlineStr">
        <is>
          <t>CH</t>
        </is>
      </c>
      <c r="F93" t="inlineStr">
        <is>
          <t>None</t>
        </is>
      </c>
      <c r="G93" t="inlineStr">
        <is>
          <t>pkm</t>
        </is>
      </c>
      <c r="H93" t="inlineStr">
        <is>
          <t>BEV</t>
        </is>
      </c>
      <c r="I93" t="inlineStr">
        <is>
          <t>None</t>
        </is>
      </c>
      <c r="J93" t="inlineStr">
        <is>
          <t>None</t>
        </is>
      </c>
      <c r="L93" s="24" t="n">
        <v>0</v>
      </c>
      <c r="M93" s="24" t="n">
        <v>0.0003325087800424105</v>
      </c>
      <c r="N93" s="24" t="n">
        <v>0.009354107822489849</v>
      </c>
      <c r="O93" s="24" t="n">
        <v>0.0003293720015919237</v>
      </c>
      <c r="P93" s="24" t="n">
        <v>0</v>
      </c>
      <c r="Q93" s="24" t="n">
        <v>0.002493832292911163</v>
      </c>
      <c r="R93" s="24" t="n">
        <v>0.01250982089703535</v>
      </c>
      <c r="S93" s="26" t="n">
        <v>0</v>
      </c>
      <c r="T93" s="26" t="n">
        <v>0</v>
      </c>
      <c r="U93" s="26" t="n">
        <v>0.0003592496122655314</v>
      </c>
      <c r="V93" s="26" t="n">
        <v>1.052491235450947e-05</v>
      </c>
      <c r="W93" s="26" t="n">
        <v>0</v>
      </c>
      <c r="X93" s="26" t="n">
        <v>0.001813146303067283</v>
      </c>
      <c r="Y93" s="26" t="n">
        <v>0.002182920827687324</v>
      </c>
      <c r="Z93" s="28" t="n">
        <v>1.718433157894737e-06</v>
      </c>
      <c r="AA93" s="28" t="n">
        <v>1.172865789473684e-08</v>
      </c>
      <c r="AB93" s="28" t="n">
        <v>0.0002295759312253106</v>
      </c>
      <c r="AC93" s="28" t="n">
        <v>7.115660625145379e-06</v>
      </c>
      <c r="AD93" s="28" t="n">
        <v>0</v>
      </c>
      <c r="AE93" s="28" t="n">
        <v>0.0002196727822363444</v>
      </c>
      <c r="AF93" s="28" t="n">
        <v>0.0004580945359025899</v>
      </c>
      <c r="AG93" s="30" t="n">
        <v>4.875e-07</v>
      </c>
      <c r="AH93" s="30" t="n">
        <v>0</v>
      </c>
      <c r="AI93" s="30" t="n">
        <v>0.0002770503044013652</v>
      </c>
      <c r="AJ93" s="30" t="n">
        <v>7.491203811326216e-06</v>
      </c>
      <c r="AK93" s="30" t="n">
        <v>0</v>
      </c>
      <c r="AL93" s="30" t="n">
        <v>0.0009890225898454726</v>
      </c>
      <c r="AM93" s="30" t="n">
        <v>0.001274051598058164</v>
      </c>
      <c r="AN93" s="32" t="n">
        <v>3.074978947368421e-07</v>
      </c>
      <c r="AO93" s="32" t="n">
        <v>0</v>
      </c>
      <c r="AP93" s="32" t="n">
        <v>4.741971891025771e-07</v>
      </c>
      <c r="AQ93" s="32" t="n">
        <v>1.925346272557938e-08</v>
      </c>
      <c r="AR93" s="32" t="n">
        <v>0</v>
      </c>
      <c r="AS93" s="32" t="n">
        <v>4.342284237251204e-07</v>
      </c>
      <c r="AT93" s="32" t="n">
        <v>1.235176970290119e-06</v>
      </c>
      <c r="AU93" s="34" t="n">
        <v>0</v>
      </c>
      <c r="AV93" s="34" t="n">
        <v>0</v>
      </c>
      <c r="AW93" s="34" t="n">
        <v>0.4486383316157568</v>
      </c>
      <c r="AX93" s="34" t="n">
        <v>0.01245028738238926</v>
      </c>
      <c r="AY93" s="34" t="n">
        <v>0</v>
      </c>
      <c r="AZ93" s="34" t="n">
        <v>0.03172085836894781</v>
      </c>
      <c r="BA93" s="34" t="n">
        <v>0.4928094773670938</v>
      </c>
      <c r="BB93" s="6" t="n"/>
      <c r="BC93" s="6" t="n"/>
      <c r="BD93" s="6" t="inlineStr">
        <is>
          <t>transport, Tram, battery electric, 2040/CH U</t>
        </is>
      </c>
      <c r="BF93" s="5">
        <f>19.544804/1000</f>
        <v>1.9544803999999999E-2</v>
      </c>
      <c r="BG93" s="5">
        <f>BF93-R93</f>
        <v>7.0349831029646523E-3</v>
      </c>
      <c r="BH93" s="2">
        <f>36.292762/1000</f>
        <v>3.6292762000000006E-2</v>
      </c>
    </row>
    <row r="94">
      <c r="A94" t="str">
        <f>B94&amp;" - "&amp;D94&amp;" - "&amp;IF(I94&lt;&gt;"",I94&amp;" - "&amp;E94,E94)</f>
        <v>Tram, electric - 2050 - None - CH</v>
      </c>
      <c r="B94" t="inlineStr">
        <is>
          <t>Tram, electric</t>
        </is>
      </c>
      <c r="C94" t="inlineStr">
        <is>
          <t>43m</t>
        </is>
      </c>
      <c r="D94" s="18" t="n">
        <v>2050</v>
      </c>
      <c r="E94" t="inlineStr">
        <is>
          <t>CH</t>
        </is>
      </c>
      <c r="F94" t="inlineStr">
        <is>
          <t>None</t>
        </is>
      </c>
      <c r="G94" t="inlineStr">
        <is>
          <t>pkm</t>
        </is>
      </c>
      <c r="H94" t="inlineStr">
        <is>
          <t>BEV</t>
        </is>
      </c>
      <c r="I94" t="inlineStr">
        <is>
          <t>None</t>
        </is>
      </c>
      <c r="J94" t="inlineStr">
        <is>
          <t>None</t>
        </is>
      </c>
      <c r="L94" s="24" t="n">
        <v>0</v>
      </c>
      <c r="M94" s="24" t="n">
        <v>0.0003325087800424105</v>
      </c>
      <c r="N94" s="24" t="n">
        <v>0.009354107822489849</v>
      </c>
      <c r="O94" s="24" t="n">
        <v>0.0003293720015919237</v>
      </c>
      <c r="P94" s="24" t="n">
        <v>0</v>
      </c>
      <c r="Q94" s="24" t="n">
        <v>0.002756702822032019</v>
      </c>
      <c r="R94" s="24" t="n">
        <v>0.0127726914261562</v>
      </c>
      <c r="S94" s="26" t="n">
        <v>0</v>
      </c>
      <c r="T94" s="26" t="n">
        <v>0</v>
      </c>
      <c r="U94" s="26" t="n">
        <v>0.0003592496122655314</v>
      </c>
      <c r="V94" s="26" t="n">
        <v>1.052491235450947e-05</v>
      </c>
      <c r="W94" s="26" t="n">
        <v>0</v>
      </c>
      <c r="X94" s="26" t="n">
        <v>0.001852419664499443</v>
      </c>
      <c r="Y94" s="26" t="n">
        <v>0.002222194189119484</v>
      </c>
      <c r="Z94" s="28" t="n">
        <v>1.718433157894737e-06</v>
      </c>
      <c r="AA94" s="28" t="n">
        <v>1.172865789473684e-08</v>
      </c>
      <c r="AB94" s="28" t="n">
        <v>0.0002295759312253106</v>
      </c>
      <c r="AC94" s="28" t="n">
        <v>7.115660625145379e-06</v>
      </c>
      <c r="AD94" s="28" t="n">
        <v>0</v>
      </c>
      <c r="AE94" s="28" t="n">
        <v>0.0002341415121840008</v>
      </c>
      <c r="AF94" s="28" t="n">
        <v>0.0004725632658502463</v>
      </c>
      <c r="AG94" s="30" t="n">
        <v>4.875e-07</v>
      </c>
      <c r="AH94" s="30" t="n">
        <v>0</v>
      </c>
      <c r="AI94" s="30" t="n">
        <v>0.0002770503044013652</v>
      </c>
      <c r="AJ94" s="30" t="n">
        <v>7.491203811326216e-06</v>
      </c>
      <c r="AK94" s="30" t="n">
        <v>0</v>
      </c>
      <c r="AL94" s="30" t="n">
        <v>0.001035895642900098</v>
      </c>
      <c r="AM94" s="30" t="n">
        <v>0.001320924651112789</v>
      </c>
      <c r="AN94" s="32" t="n">
        <v>3.074978947368421e-07</v>
      </c>
      <c r="AO94" s="32" t="n">
        <v>0</v>
      </c>
      <c r="AP94" s="32" t="n">
        <v>4.741971891025771e-07</v>
      </c>
      <c r="AQ94" s="32" t="n">
        <v>1.925346272557938e-08</v>
      </c>
      <c r="AR94" s="32" t="n">
        <v>0</v>
      </c>
      <c r="AS94" s="32" t="n">
        <v>4.441914450848811e-07</v>
      </c>
      <c r="AT94" s="32" t="n">
        <v>1.24513999164988e-06</v>
      </c>
      <c r="AU94" s="34" t="n">
        <v>0</v>
      </c>
      <c r="AV94" s="34" t="n">
        <v>0</v>
      </c>
      <c r="AW94" s="34" t="n">
        <v>0.4486383316157568</v>
      </c>
      <c r="AX94" s="34" t="n">
        <v>0.01245028738238926</v>
      </c>
      <c r="AY94" s="34" t="n">
        <v>0</v>
      </c>
      <c r="AZ94" s="34" t="n">
        <v>0.03449560966068277</v>
      </c>
      <c r="BA94" s="34" t="n">
        <v>0.4955842286588288</v>
      </c>
      <c r="BB94" s="6" t="n"/>
      <c r="BC94" s="6" t="n"/>
      <c r="BD94" s="6" t="inlineStr">
        <is>
          <t>transport, Tram, battery electric, 2050/CH U</t>
        </is>
      </c>
      <c r="BF94" s="5">
        <f>19.651928/1000</f>
        <v>1.9651928000000003E-2</v>
      </c>
      <c r="BG94" s="5">
        <f>BF94-R94</f>
        <v>6.8792365738437992E-3</v>
      </c>
      <c r="BH94" s="2">
        <f>36.337108/1000</f>
        <v>3.6337108E-2</v>
      </c>
    </row>
    <row r="95">
      <c r="A95" t="str">
        <f>B95&amp;" - "&amp;D95&amp;" - "&amp;IF(I95&lt;&gt;"",I95&amp;" - "&amp;E95,E95)</f>
        <v>Moped, gasoline, &lt;4kW, EURO-3 - 2006 - None - CH</v>
      </c>
      <c r="B95" t="inlineStr">
        <is>
          <t>Moped, gasoline, &lt;4kW, EURO-3</t>
        </is>
      </c>
      <c r="D95" s="18" t="n">
        <v>2006</v>
      </c>
      <c r="E95" t="inlineStr">
        <is>
          <t>CH</t>
        </is>
      </c>
      <c r="F95" t="inlineStr">
        <is>
          <t>EURO-3</t>
        </is>
      </c>
      <c r="G95" t="inlineStr">
        <is>
          <t>vkm</t>
        </is>
      </c>
      <c r="H95" t="inlineStr">
        <is>
          <t>ICEV-p</t>
        </is>
      </c>
      <c r="I95" t="inlineStr">
        <is>
          <t>None</t>
        </is>
      </c>
      <c r="J95" t="inlineStr">
        <is>
          <t>None</t>
        </is>
      </c>
      <c r="L95" s="24" t="n">
        <v>0.07615880784957148</v>
      </c>
      <c r="M95" s="24" t="n">
        <v>0</v>
      </c>
      <c r="N95" s="24" t="n">
        <v>0.01221650043744845</v>
      </c>
      <c r="O95" s="24" t="n">
        <v>0.009511897518254223</v>
      </c>
      <c r="P95" s="24" t="n">
        <v>0.004327689440643121</v>
      </c>
      <c r="Q95" s="24" t="n">
        <v>0.01166339224230203</v>
      </c>
      <c r="R95" s="24" t="n">
        <v>0.1138782874882193</v>
      </c>
      <c r="S95" s="26" t="n">
        <v>0</v>
      </c>
      <c r="T95" s="26" t="n">
        <v>0</v>
      </c>
      <c r="U95" s="26" t="n">
        <v>0.0002803215557644365</v>
      </c>
      <c r="V95" s="26" t="n">
        <v>0.0005414964349838285</v>
      </c>
      <c r="W95" s="26" t="n">
        <v>0.0003004021397264758</v>
      </c>
      <c r="X95" s="26" t="n">
        <v>0.002691576793721892</v>
      </c>
      <c r="Y95" s="26" t="n">
        <v>0.003813796924196633</v>
      </c>
      <c r="Z95" s="28" t="n">
        <v>0.02559533712599363</v>
      </c>
      <c r="AA95" s="28" t="n">
        <v>0.002751612047598098</v>
      </c>
      <c r="AB95" s="28" t="n">
        <v>0.0006261925979278433</v>
      </c>
      <c r="AC95" s="28" t="n">
        <v>0.0001891362620619139</v>
      </c>
      <c r="AD95" s="28" t="n">
        <v>0.000133872805907028</v>
      </c>
      <c r="AE95" s="28" t="n">
        <v>0.0005682560116122687</v>
      </c>
      <c r="AF95" s="28" t="n">
        <v>0.02986440685110078</v>
      </c>
      <c r="AG95" s="30" t="n">
        <v>2.369645953773428e-06</v>
      </c>
      <c r="AH95" s="30" t="n">
        <v>1.445647576592023e-05</v>
      </c>
      <c r="AI95" s="30" t="n">
        <v>0.0001092229405257441</v>
      </c>
      <c r="AJ95" s="30" t="n">
        <v>0.0003749623808400174</v>
      </c>
      <c r="AK95" s="30" t="n">
        <v>0.0001834759603787421</v>
      </c>
      <c r="AL95" s="30" t="n">
        <v>0.001241625031361448</v>
      </c>
      <c r="AM95" s="30" t="n">
        <v>0.001926112434825645</v>
      </c>
      <c r="AN95" s="32" t="n">
        <v>5.700466977606345e-06</v>
      </c>
      <c r="AO95" s="32" t="n">
        <v>1.036854518903741e-05</v>
      </c>
      <c r="AP95" s="32" t="n">
        <v>2.40276050593929e-06</v>
      </c>
      <c r="AQ95" s="32" t="n">
        <v>5.707316173412414e-07</v>
      </c>
      <c r="AR95" s="32" t="n">
        <v>7.461290985206466e-07</v>
      </c>
      <c r="AS95" s="32" t="n">
        <v>2.424126444291012e-06</v>
      </c>
      <c r="AT95" s="32" t="n">
        <v>2.221275983273594e-05</v>
      </c>
      <c r="AU95" s="34" t="n">
        <v>0</v>
      </c>
      <c r="AV95" s="34" t="n">
        <v>0</v>
      </c>
      <c r="AW95" s="34" t="n">
        <v>1.07047625752376</v>
      </c>
      <c r="AX95" s="34" t="n">
        <v>0.1774307493518501</v>
      </c>
      <c r="AY95" s="34" t="n">
        <v>0.1522409029437457</v>
      </c>
      <c r="AZ95" s="34" t="n">
        <v>0.1732171595821987</v>
      </c>
      <c r="BA95" s="34" t="n">
        <v>1.573365069401554</v>
      </c>
      <c r="BB95" s="6" t="n"/>
      <c r="BC95" s="6" t="n"/>
      <c r="BD95" t="inlineStr">
        <is>
          <t>transport, Moped, gasoline, &lt;4kW, EURO-3/CH U</t>
        </is>
      </c>
      <c r="BF95" s="5" t="n">
        <v>0.11010976</v>
      </c>
      <c r="BG95" s="5">
        <f>BF95-R95</f>
        <v>-3.7685274882192921E-3</v>
      </c>
      <c r="BH95" s="2" t="n">
        <v>239.49606</v>
      </c>
    </row>
    <row r="96">
      <c r="A96" t="str">
        <f>B96&amp;" - "&amp;D96&amp;" - "&amp;IF(I96&lt;&gt;"",I96&amp;" - "&amp;E96,E96)</f>
        <v>Moped, gasoline, &lt;4kW, EURO-4 - 2016 - None - CH</v>
      </c>
      <c r="B96" t="inlineStr">
        <is>
          <t>Moped, gasoline, &lt;4kW, EURO-4</t>
        </is>
      </c>
      <c r="D96" s="18" t="n">
        <v>2016</v>
      </c>
      <c r="E96" t="inlineStr">
        <is>
          <t>CH</t>
        </is>
      </c>
      <c r="F96" t="inlineStr">
        <is>
          <t>EURO-4</t>
        </is>
      </c>
      <c r="G96" t="inlineStr">
        <is>
          <t>vkm</t>
        </is>
      </c>
      <c r="H96" t="inlineStr">
        <is>
          <t>ICEV-p</t>
        </is>
      </c>
      <c r="I96" t="inlineStr">
        <is>
          <t>None</t>
        </is>
      </c>
      <c r="J96" t="inlineStr">
        <is>
          <t>None</t>
        </is>
      </c>
      <c r="L96" s="24" t="n">
        <v>0.07209811854628949</v>
      </c>
      <c r="M96" s="24" t="n">
        <v>0</v>
      </c>
      <c r="N96" s="24" t="n">
        <v>0.01209554498757272</v>
      </c>
      <c r="O96" s="24" t="n">
        <v>0.009511897518254223</v>
      </c>
      <c r="P96" s="24" t="n">
        <v>0.004321958887707505</v>
      </c>
      <c r="Q96" s="24" t="n">
        <v>0.01164930380824032</v>
      </c>
      <c r="R96" s="24" t="n">
        <v>0.1096768237480643</v>
      </c>
      <c r="S96" s="26" t="n">
        <v>0</v>
      </c>
      <c r="T96" s="26" t="n">
        <v>0</v>
      </c>
      <c r="U96" s="26" t="n">
        <v>0.0002775460948162738</v>
      </c>
      <c r="V96" s="26" t="n">
        <v>0.0005414964349838285</v>
      </c>
      <c r="W96" s="26" t="n">
        <v>0.0003000400396075031</v>
      </c>
      <c r="X96" s="26" t="n">
        <v>0.002691290690297374</v>
      </c>
      <c r="Y96" s="26" t="n">
        <v>0.003810373259704979</v>
      </c>
      <c r="Z96" s="28" t="n">
        <v>0.01259043798309188</v>
      </c>
      <c r="AA96" s="28" t="n">
        <v>0.002751612047598098</v>
      </c>
      <c r="AB96" s="28" t="n">
        <v>0.0006199926712156865</v>
      </c>
      <c r="AC96" s="28" t="n">
        <v>0.0001891362620619139</v>
      </c>
      <c r="AD96" s="28" t="n">
        <v>0.0001337082075627767</v>
      </c>
      <c r="AE96" s="28" t="n">
        <v>0.000567271395576447</v>
      </c>
      <c r="AF96" s="28" t="n">
        <v>0.0168521585671068</v>
      </c>
      <c r="AG96" s="30" t="n">
        <v>1.237606184978023e-06</v>
      </c>
      <c r="AH96" s="30" t="n">
        <v>1.445647576592023e-05</v>
      </c>
      <c r="AI96" s="30" t="n">
        <v>0.000108141525273014</v>
      </c>
      <c r="AJ96" s="30" t="n">
        <v>0.0003749623808400174</v>
      </c>
      <c r="AK96" s="30" t="n">
        <v>0.0001833223449479966</v>
      </c>
      <c r="AL96" s="30" t="n">
        <v>0.001241535777023659</v>
      </c>
      <c r="AM96" s="30" t="n">
        <v>0.001923656110035585</v>
      </c>
      <c r="AN96" s="32" t="n">
        <v>2.894383995750942e-06</v>
      </c>
      <c r="AO96" s="32" t="n">
        <v>1.036854518903741e-05</v>
      </c>
      <c r="AP96" s="32" t="n">
        <v>2.378970797959693e-06</v>
      </c>
      <c r="AQ96" s="32" t="n">
        <v>5.707316173412414e-07</v>
      </c>
      <c r="AR96" s="32" t="n">
        <v>7.455225458963087e-07</v>
      </c>
      <c r="AS96" s="32" t="n">
        <v>2.420480924882581e-06</v>
      </c>
      <c r="AT96" s="32" t="n">
        <v>1.937863507086817e-05</v>
      </c>
      <c r="AU96" s="34" t="n">
        <v>0</v>
      </c>
      <c r="AV96" s="34" t="n">
        <v>0</v>
      </c>
      <c r="AW96" s="34" t="n">
        <v>1.059877482696793</v>
      </c>
      <c r="AX96" s="34" t="n">
        <v>0.1774307493518501</v>
      </c>
      <c r="AY96" s="34" t="n">
        <v>0.1520531737641687</v>
      </c>
      <c r="AZ96" s="34" t="n">
        <v>0.1730072649338944</v>
      </c>
      <c r="BA96" s="34" t="n">
        <v>1.562368670746706</v>
      </c>
      <c r="BB96" s="6" t="n"/>
      <c r="BC96" s="6" t="n"/>
      <c r="BD96" t="inlineStr">
        <is>
          <t>transport, Moped, gasoline, &lt;4kW, EURO-4/CH U</t>
        </is>
      </c>
      <c r="BF96" s="5" t="n">
        <v>0.10933003</v>
      </c>
      <c r="BG96" s="5">
        <f>BF96-R96</f>
        <v>-3.4679374806426133E-4</v>
      </c>
      <c r="BH96" s="2" t="n">
        <v>171.39883</v>
      </c>
    </row>
    <row r="97">
      <c r="A97" t="str">
        <f>B97&amp;" - "&amp;D97&amp;" - "&amp;IF(I97&lt;&gt;"",I97&amp;" - "&amp;E97,E97)</f>
        <v>Moped, gasoline, &lt;4kW, EURO-5 - 2020 - None - CH</v>
      </c>
      <c r="B97" t="inlineStr">
        <is>
          <t>Moped, gasoline, &lt;4kW, EURO-5</t>
        </is>
      </c>
      <c r="D97" s="18" t="n">
        <v>2020</v>
      </c>
      <c r="E97" t="inlineStr">
        <is>
          <t>CH</t>
        </is>
      </c>
      <c r="F97" t="inlineStr">
        <is>
          <t>EURO-5</t>
        </is>
      </c>
      <c r="G97" t="inlineStr">
        <is>
          <t>vkm</t>
        </is>
      </c>
      <c r="H97" t="inlineStr">
        <is>
          <t>ICEV-p</t>
        </is>
      </c>
      <c r="I97" t="inlineStr">
        <is>
          <t>None</t>
        </is>
      </c>
      <c r="J97" t="inlineStr">
        <is>
          <t>None</t>
        </is>
      </c>
      <c r="L97" s="24" t="n">
        <v>0.0713771373608266</v>
      </c>
      <c r="M97" s="24" t="n">
        <v>0</v>
      </c>
      <c r="N97" s="24" t="n">
        <v>0.01197458953769699</v>
      </c>
      <c r="O97" s="24" t="n">
        <v>0.009511897518254223</v>
      </c>
      <c r="P97" s="24" t="n">
        <v>0.004318138519083759</v>
      </c>
      <c r="Q97" s="24" t="n">
        <v>0.01163991152648165</v>
      </c>
      <c r="R97" s="24" t="n">
        <v>0.1088216744623432</v>
      </c>
      <c r="S97" s="26" t="n">
        <v>0</v>
      </c>
      <c r="T97" s="26" t="n">
        <v>0</v>
      </c>
      <c r="U97" s="26" t="n">
        <v>0.0002747706338681111</v>
      </c>
      <c r="V97" s="26" t="n">
        <v>0.0005414964349838285</v>
      </c>
      <c r="W97" s="26" t="n">
        <v>0.0002997986395281879</v>
      </c>
      <c r="X97" s="26" t="n">
        <v>0.002691099954845204</v>
      </c>
      <c r="Y97" s="26" t="n">
        <v>0.003807165663225331</v>
      </c>
      <c r="Z97" s="28" t="n">
        <v>0.01246453360326096</v>
      </c>
      <c r="AA97" s="28" t="n">
        <v>0.002751612047598098</v>
      </c>
      <c r="AB97" s="28" t="n">
        <v>0.0006137927445035296</v>
      </c>
      <c r="AC97" s="28" t="n">
        <v>0.0001891362620619139</v>
      </c>
      <c r="AD97" s="28" t="n">
        <v>0.0001335984753332758</v>
      </c>
      <c r="AE97" s="28" t="n">
        <v>0.0005666149849471326</v>
      </c>
      <c r="AF97" s="28" t="n">
        <v>0.01671928811770491</v>
      </c>
      <c r="AG97" s="30" t="n">
        <v>1.225230123128242e-06</v>
      </c>
      <c r="AH97" s="30" t="n">
        <v>1.445647576592023e-05</v>
      </c>
      <c r="AI97" s="30" t="n">
        <v>0.0001070601100202838</v>
      </c>
      <c r="AJ97" s="30" t="n">
        <v>0.0003749623808400174</v>
      </c>
      <c r="AK97" s="30" t="n">
        <v>0.0001832199346608329</v>
      </c>
      <c r="AL97" s="30" t="n">
        <v>0.001241476274169943</v>
      </c>
      <c r="AM97" s="30" t="n">
        <v>0.001922400405580126</v>
      </c>
      <c r="AN97" s="32" t="n">
        <v>2.865440155793432e-06</v>
      </c>
      <c r="AO97" s="32" t="n">
        <v>1.036854518903741e-05</v>
      </c>
      <c r="AP97" s="32" t="n">
        <v>2.355181089980096e-06</v>
      </c>
      <c r="AQ97" s="32" t="n">
        <v>5.707316173412414e-07</v>
      </c>
      <c r="AR97" s="32" t="n">
        <v>7.451181774800834e-07</v>
      </c>
      <c r="AS97" s="32" t="n">
        <v>2.418050578984003e-06</v>
      </c>
      <c r="AT97" s="32" t="n">
        <v>1.932306680861627e-05</v>
      </c>
      <c r="AU97" s="34" t="n">
        <v>0</v>
      </c>
      <c r="AV97" s="34" t="n">
        <v>0</v>
      </c>
      <c r="AW97" s="34" t="n">
        <v>1.049278707869825</v>
      </c>
      <c r="AX97" s="34" t="n">
        <v>0.1774307493518501</v>
      </c>
      <c r="AY97" s="34" t="n">
        <v>0.151928020977784</v>
      </c>
      <c r="AZ97" s="34" t="n">
        <v>0.1728673352720825</v>
      </c>
      <c r="BA97" s="34" t="n">
        <v>1.551504813471542</v>
      </c>
      <c r="BB97" s="6" t="n"/>
      <c r="BC97" s="6" t="n"/>
      <c r="BD97" t="inlineStr">
        <is>
          <t>transport, Moped, gasoline, &lt;4kW, EURO-5/CH U</t>
        </is>
      </c>
      <c r="BF97" s="5" t="n">
        <v>0.10852245</v>
      </c>
      <c r="BG97" s="5">
        <f>BF97-R97</f>
        <v>-2.9922446234321998E-4</v>
      </c>
      <c r="BH97" s="2" t="n">
        <v>170.18523</v>
      </c>
    </row>
    <row r="98">
      <c r="A98" t="str">
        <f>B98&amp;" - "&amp;D98&amp;" - "&amp;IF(I98&lt;&gt;"",I98&amp;" - "&amp;E98,E98)</f>
        <v>Moped, gasoline, &lt;4kW, EURO-5 - 2030 - None - CH</v>
      </c>
      <c r="B98" t="inlineStr">
        <is>
          <t>Moped, gasoline, &lt;4kW, EURO-5</t>
        </is>
      </c>
      <c r="D98" s="18" t="n">
        <v>2030</v>
      </c>
      <c r="E98" t="inlineStr">
        <is>
          <t>CH</t>
        </is>
      </c>
      <c r="F98" t="inlineStr">
        <is>
          <t>EURO-5</t>
        </is>
      </c>
      <c r="G98" t="inlineStr">
        <is>
          <t>vkm</t>
        </is>
      </c>
      <c r="H98" t="inlineStr">
        <is>
          <t>ICEV-p</t>
        </is>
      </c>
      <c r="I98" t="inlineStr">
        <is>
          <t>None</t>
        </is>
      </c>
      <c r="J98" t="inlineStr">
        <is>
          <t>None</t>
        </is>
      </c>
      <c r="L98" s="24" t="n">
        <v>0.07066336598721834</v>
      </c>
      <c r="M98" s="24" t="n">
        <v>0</v>
      </c>
      <c r="N98" s="24" t="n">
        <v>0.01185484364232002</v>
      </c>
      <c r="O98" s="24" t="n">
        <v>0.009511897518254223</v>
      </c>
      <c r="P98" s="24" t="n">
        <v>0.00431235334068078</v>
      </c>
      <c r="Q98" s="24" t="n">
        <v>0.01334277129371862</v>
      </c>
      <c r="R98" s="24" t="n">
        <v>0.109685231782192</v>
      </c>
      <c r="S98" s="26" t="n">
        <v>0</v>
      </c>
      <c r="T98" s="26" t="n">
        <v>0</v>
      </c>
      <c r="U98" s="26" t="n">
        <v>0.00027202292752943</v>
      </c>
      <c r="V98" s="26" t="n">
        <v>0.0005414964349838285</v>
      </c>
      <c r="W98" s="26" t="n">
        <v>0.0002994330877548192</v>
      </c>
      <c r="X98" s="26" t="n">
        <v>0.002997296829773092</v>
      </c>
      <c r="Y98" s="26" t="n">
        <v>0.00411024928004117</v>
      </c>
      <c r="Z98" s="28" t="n">
        <v>0.01233988826722835</v>
      </c>
      <c r="AA98" s="28" t="n">
        <v>0.002751612047598098</v>
      </c>
      <c r="AB98" s="28" t="n">
        <v>0.0006076548170584944</v>
      </c>
      <c r="AC98" s="28" t="n">
        <v>0.0001891362620619139</v>
      </c>
      <c r="AD98" s="28" t="n">
        <v>0.0001334323079848492</v>
      </c>
      <c r="AE98" s="28" t="n">
        <v>0.0006636052664071115</v>
      </c>
      <c r="AF98" s="28" t="n">
        <v>0.01668532896833882</v>
      </c>
      <c r="AG98" s="30" t="n">
        <v>1.21297782189696e-06</v>
      </c>
      <c r="AH98" s="30" t="n">
        <v>1.445647576592023e-05</v>
      </c>
      <c r="AI98" s="30" t="n">
        <v>0.000105989508920081</v>
      </c>
      <c r="AJ98" s="30" t="n">
        <v>0.0003749623808400174</v>
      </c>
      <c r="AK98" s="30" t="n">
        <v>0.0001830648549185641</v>
      </c>
      <c r="AL98" s="30" t="n">
        <v>0.001565631020328212</v>
      </c>
      <c r="AM98" s="30" t="n">
        <v>0.002245317218594692</v>
      </c>
      <c r="AN98" s="32" t="n">
        <v>2.836785754235498e-06</v>
      </c>
      <c r="AO98" s="32" t="n">
        <v>1.036854518903741e-05</v>
      </c>
      <c r="AP98" s="32" t="n">
        <v>2.331629279080296e-06</v>
      </c>
      <c r="AQ98" s="32" t="n">
        <v>5.707316173412414e-07</v>
      </c>
      <c r="AR98" s="32" t="n">
        <v>7.445058430017154e-07</v>
      </c>
      <c r="AS98" s="32" t="n">
        <v>2.494490064885238e-06</v>
      </c>
      <c r="AT98" s="32" t="n">
        <v>1.93466877475814e-05</v>
      </c>
      <c r="AU98" s="34" t="n">
        <v>0</v>
      </c>
      <c r="AV98" s="34" t="n">
        <v>0</v>
      </c>
      <c r="AW98" s="34" t="n">
        <v>1.038785920791127</v>
      </c>
      <c r="AX98" s="34" t="n">
        <v>0.1774307493518501</v>
      </c>
      <c r="AY98" s="34" t="n">
        <v>0.1517385023034956</v>
      </c>
      <c r="AZ98" s="34" t="n">
        <v>0.1910092254870421</v>
      </c>
      <c r="BA98" s="34" t="n">
        <v>1.558964397933514</v>
      </c>
      <c r="BB98" s="6" t="n"/>
      <c r="BC98" s="6" t="n"/>
      <c r="BD98" t="inlineStr">
        <is>
          <t>transport, Moped, gasoline, &lt;4kW, EURO-5, 2030/CH U</t>
        </is>
      </c>
      <c r="BF98" s="5" t="n">
        <v>0.1084515</v>
      </c>
      <c r="BG98" s="5">
        <f>BF98-R98</f>
        <v>-1.2337317821919797E-3</v>
      </c>
      <c r="BH98" s="2" t="n">
        <v>169.38229</v>
      </c>
    </row>
    <row r="99">
      <c r="A99" t="str">
        <f>B99&amp;" - "&amp;D99&amp;" - "&amp;IF(I99&lt;&gt;"",I99&amp;" - "&amp;E99,E99)</f>
        <v>Moped, gasoline, &lt;4kW, EURO-5 - 2040 - None - CH</v>
      </c>
      <c r="B99" t="inlineStr">
        <is>
          <t>Moped, gasoline, &lt;4kW, EURO-5</t>
        </is>
      </c>
      <c r="D99" s="18" t="n">
        <v>2040</v>
      </c>
      <c r="E99" t="inlineStr">
        <is>
          <t>CH</t>
        </is>
      </c>
      <c r="F99" t="inlineStr">
        <is>
          <t>EURO-5</t>
        </is>
      </c>
      <c r="G99" t="inlineStr">
        <is>
          <t>vkm</t>
        </is>
      </c>
      <c r="H99" t="inlineStr">
        <is>
          <t>ICEV-p</t>
        </is>
      </c>
      <c r="I99" t="inlineStr">
        <is>
          <t>None</t>
        </is>
      </c>
      <c r="J99" t="inlineStr">
        <is>
          <t>None</t>
        </is>
      </c>
      <c r="L99" s="24" t="n">
        <v>0.06995673232734614</v>
      </c>
      <c r="M99" s="24" t="n">
        <v>0</v>
      </c>
      <c r="N99" s="24" t="n">
        <v>0.01173629520589682</v>
      </c>
      <c r="O99" s="24" t="n">
        <v>0.009511897518254223</v>
      </c>
      <c r="P99" s="24" t="n">
        <v>0.004308382752021785</v>
      </c>
      <c r="Q99" s="24" t="n">
        <v>0.01451150879229869</v>
      </c>
      <c r="R99" s="24" t="n">
        <v>0.1100248165958177</v>
      </c>
      <c r="S99" s="26" t="n">
        <v>0</v>
      </c>
      <c r="T99" s="26" t="n">
        <v>0</v>
      </c>
      <c r="U99" s="26" t="n">
        <v>0.0002693026982541357</v>
      </c>
      <c r="V99" s="26" t="n">
        <v>0.0005414964349838285</v>
      </c>
      <c r="W99" s="26" t="n">
        <v>0.0002991821956259153</v>
      </c>
      <c r="X99" s="26" t="n">
        <v>0.00320745138739824</v>
      </c>
      <c r="Y99" s="26" t="n">
        <v>0.004317432716262119</v>
      </c>
      <c r="Z99" s="28" t="n">
        <v>0.01221648938455607</v>
      </c>
      <c r="AA99" s="28" t="n">
        <v>0.002751612047598098</v>
      </c>
      <c r="AB99" s="28" t="n">
        <v>0.0006015782688879094</v>
      </c>
      <c r="AC99" s="28" t="n">
        <v>0.0001891362620619139</v>
      </c>
      <c r="AD99" s="28" t="n">
        <v>0.0001333182609938666</v>
      </c>
      <c r="AE99" s="28" t="n">
        <v>0.0007301733920392585</v>
      </c>
      <c r="AF99" s="28" t="n">
        <v>0.01662230761613712</v>
      </c>
      <c r="AG99" s="30" t="n">
        <v>1.20084804367799e-06</v>
      </c>
      <c r="AH99" s="30" t="n">
        <v>1.445647576592023e-05</v>
      </c>
      <c r="AI99" s="30" t="n">
        <v>0.0001049296138308802</v>
      </c>
      <c r="AJ99" s="30" t="n">
        <v>0.0003749623808400174</v>
      </c>
      <c r="AK99" s="30" t="n">
        <v>0.0001829584177747112</v>
      </c>
      <c r="AL99" s="30" t="n">
        <v>0.00178811078537252</v>
      </c>
      <c r="AM99" s="30" t="n">
        <v>0.002466618521627727</v>
      </c>
      <c r="AN99" s="32" t="n">
        <v>2.808417896693143e-06</v>
      </c>
      <c r="AO99" s="32" t="n">
        <v>1.036854518903741e-05</v>
      </c>
      <c r="AP99" s="32" t="n">
        <v>2.308312986289492e-06</v>
      </c>
      <c r="AQ99" s="32" t="n">
        <v>5.707316173412414e-07</v>
      </c>
      <c r="AR99" s="32" t="n">
        <v>7.440855744869075e-07</v>
      </c>
      <c r="AS99" s="32" t="n">
        <v>2.546953353125259e-06</v>
      </c>
      <c r="AT99" s="32" t="n">
        <v>1.934704661697345e-05</v>
      </c>
      <c r="AU99" s="34" t="n">
        <v>0</v>
      </c>
      <c r="AV99" s="34" t="n">
        <v>0</v>
      </c>
      <c r="AW99" s="34" t="n">
        <v>1.028398061583215</v>
      </c>
      <c r="AX99" s="34" t="n">
        <v>0.1774307493518501</v>
      </c>
      <c r="AY99" s="34" t="n">
        <v>0.1516084284066543</v>
      </c>
      <c r="AZ99" s="34" t="n">
        <v>0.203460694491772</v>
      </c>
      <c r="BA99" s="34" t="n">
        <v>1.560897933833492</v>
      </c>
      <c r="BB99" s="6" t="n"/>
      <c r="BC99" s="6" t="n"/>
      <c r="BD99" t="inlineStr">
        <is>
          <t>transport, Moped, gasoline, &lt;4kW, EURO-5, 2040/CH U</t>
        </is>
      </c>
      <c r="BF99" s="5" t="n">
        <v>0.10816863</v>
      </c>
      <c r="BG99" s="5">
        <f>BF99-R99</f>
        <v>-1.8561865958176549E-3</v>
      </c>
      <c r="BH99" s="2" t="n">
        <v>168.49018</v>
      </c>
    </row>
    <row r="100">
      <c r="A100" t="str">
        <f>B100&amp;" - "&amp;D100&amp;" - "&amp;IF(I100&lt;&gt;"",I100&amp;" - "&amp;E100,E100)</f>
        <v>Moped, gasoline, &lt;4kW, EURO-5 - 2050 - None - CH</v>
      </c>
      <c r="B100" t="inlineStr">
        <is>
          <t>Moped, gasoline, &lt;4kW, EURO-5</t>
        </is>
      </c>
      <c r="D100" s="18" t="n">
        <v>2050</v>
      </c>
      <c r="E100" t="inlineStr">
        <is>
          <t>CH</t>
        </is>
      </c>
      <c r="F100" t="inlineStr">
        <is>
          <t>EURO-5</t>
        </is>
      </c>
      <c r="G100" t="inlineStr">
        <is>
          <t>vkm</t>
        </is>
      </c>
      <c r="H100" t="inlineStr">
        <is>
          <t>ICEV-p</t>
        </is>
      </c>
      <c r="I100" t="inlineStr">
        <is>
          <t>None</t>
        </is>
      </c>
      <c r="J100" t="inlineStr">
        <is>
          <t>None</t>
        </is>
      </c>
      <c r="L100" s="24" t="n">
        <v>0.06925716500407268</v>
      </c>
      <c r="M100" s="24" t="n">
        <v>0</v>
      </c>
      <c r="N100" s="24" t="n">
        <v>0.01161893225383785</v>
      </c>
      <c r="O100" s="24" t="n">
        <v>0.009511897518254223</v>
      </c>
      <c r="P100" s="24" t="n">
        <v>0.004304352985773146</v>
      </c>
      <c r="Q100" s="24" t="n">
        <v>0.01569766507499884</v>
      </c>
      <c r="R100" s="24" t="n">
        <v>0.1103900128369367</v>
      </c>
      <c r="S100" s="26" t="n">
        <v>0</v>
      </c>
      <c r="T100" s="26" t="n">
        <v>0</v>
      </c>
      <c r="U100" s="26" t="n">
        <v>0.0002666096712715943</v>
      </c>
      <c r="V100" s="26" t="n">
        <v>0.0005414964349838285</v>
      </c>
      <c r="W100" s="26" t="n">
        <v>0.000298927564204749</v>
      </c>
      <c r="X100" s="26" t="n">
        <v>0.003420738093818463</v>
      </c>
      <c r="Y100" s="26" t="n">
        <v>0.004527771764278635</v>
      </c>
      <c r="Z100" s="28" t="n">
        <v>0.01209432449071051</v>
      </c>
      <c r="AA100" s="28" t="n">
        <v>0.002751612047598098</v>
      </c>
      <c r="AB100" s="28" t="n">
        <v>0.0005955624861990303</v>
      </c>
      <c r="AC100" s="28" t="n">
        <v>0.0001891362620619139</v>
      </c>
      <c r="AD100" s="28" t="n">
        <v>0.0001332025142483609</v>
      </c>
      <c r="AE100" s="28" t="n">
        <v>0.0007977336422664749</v>
      </c>
      <c r="AF100" s="28" t="n">
        <v>0.01656157144308439</v>
      </c>
      <c r="AG100" s="30" t="n">
        <v>1.18883956324121e-06</v>
      </c>
      <c r="AH100" s="30" t="n">
        <v>1.445647576592023e-05</v>
      </c>
      <c r="AI100" s="30" t="n">
        <v>0.0001038803176925714</v>
      </c>
      <c r="AJ100" s="30" t="n">
        <v>0.0003749623808400174</v>
      </c>
      <c r="AK100" s="30" t="n">
        <v>0.0001828503942933747</v>
      </c>
      <c r="AL100" s="30" t="n">
        <v>0.002013906356517643</v>
      </c>
      <c r="AM100" s="30" t="n">
        <v>0.002691244764672768</v>
      </c>
      <c r="AN100" s="32" t="n">
        <v>2.780333717726212e-06</v>
      </c>
      <c r="AO100" s="32" t="n">
        <v>1.036854518903741e-05</v>
      </c>
      <c r="AP100" s="32" t="n">
        <v>2.285229856426598e-06</v>
      </c>
      <c r="AQ100" s="32" t="n">
        <v>5.707316173412414e-07</v>
      </c>
      <c r="AR100" s="32" t="n">
        <v>7.436590422969004e-07</v>
      </c>
      <c r="AS100" s="32" t="n">
        <v>2.600198590620334e-06</v>
      </c>
      <c r="AT100" s="32" t="n">
        <v>1.93486980134487e-05</v>
      </c>
      <c r="AU100" s="34" t="n">
        <v>0</v>
      </c>
      <c r="AV100" s="34" t="n">
        <v>0</v>
      </c>
      <c r="AW100" s="34" t="n">
        <v>1.018114080967383</v>
      </c>
      <c r="AX100" s="34" t="n">
        <v>0.1774307493518501</v>
      </c>
      <c r="AY100" s="34" t="n">
        <v>0.1514764158905423</v>
      </c>
      <c r="AZ100" s="34" t="n">
        <v>0.2160977403426275</v>
      </c>
      <c r="BA100" s="34" t="n">
        <v>1.563118986552404</v>
      </c>
      <c r="BB100" s="6" t="n"/>
      <c r="BC100" s="6" t="n"/>
      <c r="BD100" t="inlineStr">
        <is>
          <t>transport, Moped, gasoline, &lt;4kW, EURO-5, 2050/CH U</t>
        </is>
      </c>
      <c r="BF100" s="5" t="n">
        <v>0.1078909</v>
      </c>
      <c r="BG100" s="5">
        <f>BF100-R100</f>
        <v>-2.4991128369367399E-3</v>
      </c>
      <c r="BH100" s="2" t="n">
        <v>167.60146</v>
      </c>
    </row>
    <row r="101">
      <c r="A101" t="str">
        <f>B101&amp;" - "&amp;D101&amp;" - "&amp;IF(I101&lt;&gt;"",I101&amp;" - "&amp;E101,E101)</f>
        <v>Scooter, gasoline, &lt;4kW, EURO-3 - 2006 - None - CH</v>
      </c>
      <c r="B101" t="inlineStr">
        <is>
          <t>Scooter, gasoline, &lt;4kW, EURO-3</t>
        </is>
      </c>
      <c r="D101" s="18" t="n">
        <v>2006</v>
      </c>
      <c r="E101" t="inlineStr">
        <is>
          <t>CH</t>
        </is>
      </c>
      <c r="F101" t="inlineStr">
        <is>
          <t>EURO-5</t>
        </is>
      </c>
      <c r="G101" t="inlineStr">
        <is>
          <t>vkm</t>
        </is>
      </c>
      <c r="H101" t="inlineStr">
        <is>
          <t>ICEV-p</t>
        </is>
      </c>
      <c r="I101" t="inlineStr">
        <is>
          <t>None</t>
        </is>
      </c>
      <c r="J101" t="inlineStr">
        <is>
          <t>None</t>
        </is>
      </c>
      <c r="L101" s="24" t="n">
        <v>0</v>
      </c>
      <c r="M101" s="24" t="n">
        <v>0</v>
      </c>
      <c r="N101" s="24" t="n">
        <v>0</v>
      </c>
      <c r="O101" s="24" t="n">
        <v>0</v>
      </c>
      <c r="P101" s="24" t="n">
        <v>0</v>
      </c>
      <c r="Q101" s="24" t="n">
        <v>0</v>
      </c>
      <c r="R101" s="24" t="n">
        <v>0</v>
      </c>
      <c r="S101" s="26" t="n">
        <v>0</v>
      </c>
      <c r="T101" s="26" t="n">
        <v>0</v>
      </c>
      <c r="U101" s="26" t="n">
        <v>0</v>
      </c>
      <c r="V101" s="26" t="n">
        <v>0</v>
      </c>
      <c r="W101" s="26" t="n">
        <v>0</v>
      </c>
      <c r="X101" s="26" t="n">
        <v>0</v>
      </c>
      <c r="Y101" s="26" t="n">
        <v>0</v>
      </c>
      <c r="Z101" s="28" t="n">
        <v>0</v>
      </c>
      <c r="AA101" s="28" t="n">
        <v>0</v>
      </c>
      <c r="AB101" s="28" t="n">
        <v>0</v>
      </c>
      <c r="AC101" s="28" t="n">
        <v>0</v>
      </c>
      <c r="AD101" s="28" t="n">
        <v>0</v>
      </c>
      <c r="AE101" s="28" t="n">
        <v>0</v>
      </c>
      <c r="AF101" s="28" t="n">
        <v>0</v>
      </c>
      <c r="AG101" s="30" t="n">
        <v>0</v>
      </c>
      <c r="AH101" s="30" t="n">
        <v>0</v>
      </c>
      <c r="AI101" s="30" t="n">
        <v>0</v>
      </c>
      <c r="AJ101" s="30" t="n">
        <v>0</v>
      </c>
      <c r="AK101" s="30" t="n">
        <v>0</v>
      </c>
      <c r="AL101" s="30" t="n">
        <v>0</v>
      </c>
      <c r="AM101" s="30" t="n">
        <v>0</v>
      </c>
      <c r="AN101" s="32" t="n">
        <v>0</v>
      </c>
      <c r="AO101" s="32" t="n">
        <v>0</v>
      </c>
      <c r="AP101" s="32" t="n">
        <v>0</v>
      </c>
      <c r="AQ101" s="32" t="n">
        <v>0</v>
      </c>
      <c r="AR101" s="32" t="n">
        <v>0</v>
      </c>
      <c r="AS101" s="32" t="n">
        <v>0</v>
      </c>
      <c r="AT101" s="32" t="n">
        <v>0</v>
      </c>
      <c r="AU101" s="34" t="n">
        <v>0</v>
      </c>
      <c r="AV101" s="34" t="n">
        <v>0</v>
      </c>
      <c r="AW101" s="34" t="n">
        <v>0</v>
      </c>
      <c r="AX101" s="34" t="n">
        <v>0</v>
      </c>
      <c r="AY101" s="34" t="n">
        <v>0</v>
      </c>
      <c r="AZ101" s="34" t="n">
        <v>0</v>
      </c>
      <c r="BA101" s="34" t="n">
        <v>0</v>
      </c>
      <c r="BB101" s="6" t="n"/>
      <c r="BC101" s="6" t="n"/>
      <c r="BD101" t="inlineStr">
        <is>
          <t>transport, Scooter, gasoline, &lt;4kW, EURO-3/CH U</t>
        </is>
      </c>
      <c r="BF101" s="5" t="n">
        <v>0.16551129</v>
      </c>
      <c r="BG101" s="5">
        <f>BF101-R101</f>
        <v>0.16551129000000001</v>
      </c>
      <c r="BH101" s="2" t="n">
        <v>257.89484</v>
      </c>
    </row>
    <row r="102">
      <c r="A102" t="str">
        <f>B102&amp;" - "&amp;D102&amp;" - "&amp;IF(I102&lt;&gt;"",I102&amp;" - "&amp;E102,E102)</f>
        <v>Scooter, gasoline, &lt;4kW, EURO-4 - 2016 - None - CH</v>
      </c>
      <c r="B102" t="inlineStr">
        <is>
          <t>Scooter, gasoline, &lt;4kW, EURO-4</t>
        </is>
      </c>
      <c r="D102" s="18" t="n">
        <v>2016</v>
      </c>
      <c r="E102" t="inlineStr">
        <is>
          <t>CH</t>
        </is>
      </c>
      <c r="F102" t="inlineStr">
        <is>
          <t>EURO-4</t>
        </is>
      </c>
      <c r="G102" t="inlineStr">
        <is>
          <t>vkm</t>
        </is>
      </c>
      <c r="H102" t="inlineStr">
        <is>
          <t>ICEV-p</t>
        </is>
      </c>
      <c r="I102" t="inlineStr">
        <is>
          <t>None</t>
        </is>
      </c>
      <c r="J102" t="inlineStr">
        <is>
          <t>None</t>
        </is>
      </c>
      <c r="L102" s="24" t="n">
        <v>0.1128969651379165</v>
      </c>
      <c r="M102" s="24" t="n">
        <v>0</v>
      </c>
      <c r="N102" s="24" t="n">
        <v>0.01894016582290378</v>
      </c>
      <c r="O102" s="24" t="n">
        <v>0.009511897518254223</v>
      </c>
      <c r="P102" s="24" t="n">
        <v>0.004459698141695487</v>
      </c>
      <c r="Q102" s="24" t="n">
        <v>0.0173479251308081</v>
      </c>
      <c r="R102" s="24" t="n">
        <v>0.1631566517515781</v>
      </c>
      <c r="S102" s="26" t="n">
        <v>0</v>
      </c>
      <c r="T102" s="26" t="n">
        <v>0</v>
      </c>
      <c r="U102" s="26" t="n">
        <v>0.0004346037375513501</v>
      </c>
      <c r="V102" s="26" t="n">
        <v>0.0005414964349838285</v>
      </c>
      <c r="W102" s="26" t="n">
        <v>0.0003087434580763007</v>
      </c>
      <c r="X102" s="26" t="n">
        <v>0.004015013997220402</v>
      </c>
      <c r="Y102" s="26" t="n">
        <v>0.005299857627831882</v>
      </c>
      <c r="Z102" s="28" t="n">
        <v>0.01971510861459749</v>
      </c>
      <c r="AA102" s="28" t="n">
        <v>0.004626114737920042</v>
      </c>
      <c r="AB102" s="28" t="n">
        <v>0.0009708338081396904</v>
      </c>
      <c r="AC102" s="28" t="n">
        <v>0.0001891362620619139</v>
      </c>
      <c r="AD102" s="28" t="n">
        <v>0.0001376644842780531</v>
      </c>
      <c r="AE102" s="28" t="n">
        <v>0.000844313751791816</v>
      </c>
      <c r="AF102" s="28" t="n">
        <v>0.02648317165878901</v>
      </c>
      <c r="AG102" s="30" t="n">
        <v>1.937942142418422e-06</v>
      </c>
      <c r="AH102" s="30" t="n">
        <v>2.401768147942524e-05</v>
      </c>
      <c r="AI102" s="30" t="n">
        <v>0.0001693365965003659</v>
      </c>
      <c r="AJ102" s="30" t="n">
        <v>0.0003749623808400174</v>
      </c>
      <c r="AK102" s="30" t="n">
        <v>0.0001870146369605919</v>
      </c>
      <c r="AL102" s="30" t="n">
        <v>0.001852588283102466</v>
      </c>
      <c r="AM102" s="30" t="n">
        <v>0.002609857521025285</v>
      </c>
      <c r="AN102" s="32" t="n">
        <v>4.532256536683986e-06</v>
      </c>
      <c r="AO102" s="32" t="n">
        <v>1.736645804653387e-05</v>
      </c>
      <c r="AP102" s="32" t="n">
        <v>3.725181581110748e-06</v>
      </c>
      <c r="AQ102" s="32" t="n">
        <v>5.707316173412414e-07</v>
      </c>
      <c r="AR102" s="32" t="n">
        <v>7.601016112883248e-07</v>
      </c>
      <c r="AS102" s="32" t="n">
        <v>3.603281116463656e-06</v>
      </c>
      <c r="AT102" s="32" t="n">
        <v>3.055801050942183e-05</v>
      </c>
      <c r="AU102" s="34" t="n">
        <v>0</v>
      </c>
      <c r="AV102" s="34" t="n">
        <v>0</v>
      </c>
      <c r="AW102" s="34" t="n">
        <v>1.659640412636545</v>
      </c>
      <c r="AX102" s="34" t="n">
        <v>0.1774307493518501</v>
      </c>
      <c r="AY102" s="34" t="n">
        <v>0.1565654219603239</v>
      </c>
      <c r="AZ102" s="34" t="n">
        <v>0.2571448760865496</v>
      </c>
      <c r="BA102" s="34" t="n">
        <v>2.250781460035268</v>
      </c>
      <c r="BB102" s="6" t="n"/>
      <c r="BC102" s="6" t="n"/>
      <c r="BD102" t="inlineStr">
        <is>
          <t>transport, Scooter, gasoline, &lt;4kW, EURO-4/CH U</t>
        </is>
      </c>
      <c r="BF102" s="5" t="n">
        <v>0.15808216</v>
      </c>
      <c r="BG102" s="5">
        <f>BF102-R102</f>
        <v>-5.0744917515780918E-3</v>
      </c>
      <c r="BH102" s="2" t="n">
        <v>246.73309</v>
      </c>
    </row>
    <row r="103">
      <c r="A103" t="str">
        <f>B103&amp;" - "&amp;D103&amp;" - "&amp;IF(I103&lt;&gt;"",I103&amp;" - "&amp;E103,E103)</f>
        <v>Scooter, gasoline, &lt;4kW, EURO-5 - 2020 - None - CH</v>
      </c>
      <c r="B103" t="inlineStr">
        <is>
          <t>Scooter, gasoline, &lt;4kW, EURO-5</t>
        </is>
      </c>
      <c r="D103" s="18" t="n">
        <v>2020</v>
      </c>
      <c r="E103" t="inlineStr">
        <is>
          <t>CH</t>
        </is>
      </c>
      <c r="F103" t="inlineStr">
        <is>
          <t>EURO-5</t>
        </is>
      </c>
      <c r="G103" t="inlineStr">
        <is>
          <t>vkm</t>
        </is>
      </c>
      <c r="H103" t="inlineStr">
        <is>
          <t>ICEV-p</t>
        </is>
      </c>
      <c r="I103" t="inlineStr">
        <is>
          <t>None</t>
        </is>
      </c>
      <c r="J103" t="inlineStr">
        <is>
          <t>None</t>
        </is>
      </c>
      <c r="L103" s="24" t="n">
        <v>0.1117679954865373</v>
      </c>
      <c r="M103" s="24" t="n">
        <v>0</v>
      </c>
      <c r="N103" s="24" t="n">
        <v>0.01875076416467475</v>
      </c>
      <c r="O103" s="24" t="n">
        <v>0.009511897518254223</v>
      </c>
      <c r="P103" s="24" t="n">
        <v>0.004454872892078366</v>
      </c>
      <c r="Q103" s="24" t="n">
        <v>0.01733606232708174</v>
      </c>
      <c r="R103" s="24" t="n">
        <v>0.1618215923886264</v>
      </c>
      <c r="S103" s="26" t="n">
        <v>0</v>
      </c>
      <c r="T103" s="26" t="n">
        <v>0</v>
      </c>
      <c r="U103" s="26" t="n">
        <v>0.0004302577001758366</v>
      </c>
      <c r="V103" s="26" t="n">
        <v>0.0005414964349838285</v>
      </c>
      <c r="W103" s="26" t="n">
        <v>0.0003084385619379938</v>
      </c>
      <c r="X103" s="26" t="n">
        <v>0.004014773091236434</v>
      </c>
      <c r="Y103" s="26" t="n">
        <v>0.005294965788334093</v>
      </c>
      <c r="Z103" s="28" t="n">
        <v>0.01951795752845151</v>
      </c>
      <c r="AA103" s="28" t="n">
        <v>0.004626114737920042</v>
      </c>
      <c r="AB103" s="28" t="n">
        <v>0.0009611254700582935</v>
      </c>
      <c r="AC103" s="28" t="n">
        <v>0.0001891362620619139</v>
      </c>
      <c r="AD103" s="28" t="n">
        <v>0.0001375258889092465</v>
      </c>
      <c r="AE103" s="28" t="n">
        <v>0.0008434846787117869</v>
      </c>
      <c r="AF103" s="28" t="n">
        <v>0.02627534456611279</v>
      </c>
      <c r="AG103" s="30" t="n">
        <v>1.918562720994238e-06</v>
      </c>
      <c r="AH103" s="30" t="n">
        <v>2.401768147942524e-05</v>
      </c>
      <c r="AI103" s="30" t="n">
        <v>0.0001676432305353622</v>
      </c>
      <c r="AJ103" s="30" t="n">
        <v>0.0003749623808400174</v>
      </c>
      <c r="AK103" s="30" t="n">
        <v>0.0001868852894426968</v>
      </c>
      <c r="AL103" s="30" t="n">
        <v>0.001852513128729064</v>
      </c>
      <c r="AM103" s="30" t="n">
        <v>0.00260794027374756</v>
      </c>
      <c r="AN103" s="32" t="n">
        <v>4.486933971317145e-06</v>
      </c>
      <c r="AO103" s="32" t="n">
        <v>1.736645804653387e-05</v>
      </c>
      <c r="AP103" s="32" t="n">
        <v>3.68792976529964e-06</v>
      </c>
      <c r="AQ103" s="32" t="n">
        <v>5.707316173412414e-07</v>
      </c>
      <c r="AR103" s="32" t="n">
        <v>7.595908808490053e-07</v>
      </c>
      <c r="AS103" s="32" t="n">
        <v>3.600211492225468e-06</v>
      </c>
      <c r="AT103" s="32" t="n">
        <v>3.047185577356637e-05</v>
      </c>
      <c r="AU103" s="34" t="n">
        <v>0</v>
      </c>
      <c r="AV103" s="34" t="n">
        <v>0</v>
      </c>
      <c r="AW103" s="34" t="n">
        <v>1.64304400851018</v>
      </c>
      <c r="AX103" s="34" t="n">
        <v>0.1774307493518501</v>
      </c>
      <c r="AY103" s="34" t="n">
        <v>0.1564073499274758</v>
      </c>
      <c r="AZ103" s="34" t="n">
        <v>0.2569681396429266</v>
      </c>
      <c r="BA103" s="34" t="n">
        <v>2.233850247432432</v>
      </c>
      <c r="BB103" s="6" t="n"/>
      <c r="BC103" s="6" t="n"/>
      <c r="BD103" t="inlineStr">
        <is>
          <t>transport, Scooter, gasoline, &lt;4kW, EURO-5/CH U</t>
        </is>
      </c>
      <c r="BF103" s="5" t="n">
        <v>0.15683155</v>
      </c>
      <c r="BG103" s="5">
        <f>BF103-R103</f>
        <v>-4.9900423886263812E-3</v>
      </c>
      <c r="BH103" s="2" t="n">
        <v>244.84819</v>
      </c>
    </row>
    <row r="104">
      <c r="A104" t="str">
        <f>B104&amp;" - "&amp;D104&amp;" - "&amp;IF(I104&lt;&gt;"",I104&amp;" - "&amp;E104,E104)</f>
        <v>Scooter, gasoline, &lt;4kW, EURO-5 - 2030 - None - CH</v>
      </c>
      <c r="B104" t="inlineStr">
        <is>
          <t>Scooter, gasoline, &lt;4kW, EURO-5</t>
        </is>
      </c>
      <c r="D104" s="18" t="n">
        <v>2030</v>
      </c>
      <c r="E104" t="inlineStr">
        <is>
          <t>CH</t>
        </is>
      </c>
      <c r="F104" t="inlineStr">
        <is>
          <t>EURO-5</t>
        </is>
      </c>
      <c r="G104" t="inlineStr">
        <is>
          <t>vkm</t>
        </is>
      </c>
      <c r="H104" t="inlineStr">
        <is>
          <t>ICEV-p</t>
        </is>
      </c>
      <c r="I104" t="inlineStr">
        <is>
          <t>None</t>
        </is>
      </c>
      <c r="J104" t="inlineStr">
        <is>
          <t>None</t>
        </is>
      </c>
      <c r="L104" s="24" t="n">
        <v>0.1106503155316719</v>
      </c>
      <c r="M104" s="24" t="n">
        <v>0</v>
      </c>
      <c r="N104" s="24" t="n">
        <v>0.01856325652302799</v>
      </c>
      <c r="O104" s="24" t="n">
        <v>0.009511897518254223</v>
      </c>
      <c r="P104" s="24" t="n">
        <v>0.004443082895372381</v>
      </c>
      <c r="Q104" s="24" t="n">
        <v>0.01926443054430091</v>
      </c>
      <c r="R104" s="24" t="n">
        <v>0.1624329830126274</v>
      </c>
      <c r="S104" s="26" t="n">
        <v>0</v>
      </c>
      <c r="T104" s="26" t="n">
        <v>0</v>
      </c>
      <c r="U104" s="26" t="n">
        <v>0.0004259551231740781</v>
      </c>
      <c r="V104" s="26" t="n">
        <v>0.0005414964349838285</v>
      </c>
      <c r="W104" s="26" t="n">
        <v>0.0003076935798642061</v>
      </c>
      <c r="X104" s="26" t="n">
        <v>0.004350664014885787</v>
      </c>
      <c r="Y104" s="26" t="n">
        <v>0.0056258091529079</v>
      </c>
      <c r="Z104" s="28" t="n">
        <v>0.019322777953167</v>
      </c>
      <c r="AA104" s="28" t="n">
        <v>0.004626114737920042</v>
      </c>
      <c r="AB104" s="28" t="n">
        <v>0.0009515142153577104</v>
      </c>
      <c r="AC104" s="28" t="n">
        <v>0.0001891362620619139</v>
      </c>
      <c r="AD104" s="28" t="n">
        <v>0.0001371872455081058</v>
      </c>
      <c r="AE104" s="28" t="n">
        <v>0.0009549724833850886</v>
      </c>
      <c r="AF104" s="28" t="n">
        <v>0.02618170289739986</v>
      </c>
      <c r="AG104" s="30" t="n">
        <v>1.899377093784295e-06</v>
      </c>
      <c r="AH104" s="30" t="n">
        <v>2.401768147942524e-05</v>
      </c>
      <c r="AI104" s="30" t="n">
        <v>0.0001659667982300086</v>
      </c>
      <c r="AJ104" s="30" t="n">
        <v>0.0003749623808400174</v>
      </c>
      <c r="AK104" s="30" t="n">
        <v>0.0001865692422055756</v>
      </c>
      <c r="AL104" s="30" t="n">
        <v>0.002236293792184333</v>
      </c>
      <c r="AM104" s="30" t="n">
        <v>0.002989709272033144</v>
      </c>
      <c r="AN104" s="32" t="n">
        <v>4.442064631603974e-06</v>
      </c>
      <c r="AO104" s="32" t="n">
        <v>1.736645804653387e-05</v>
      </c>
      <c r="AP104" s="32" t="n">
        <v>3.651050467646643e-06</v>
      </c>
      <c r="AQ104" s="32" t="n">
        <v>5.707316173412414e-07</v>
      </c>
      <c r="AR104" s="32" t="n">
        <v>7.583429640208569e-07</v>
      </c>
      <c r="AS104" s="32" t="n">
        <v>3.653716805120086e-06</v>
      </c>
      <c r="AT104" s="32" t="n">
        <v>3.044236453226667e-05</v>
      </c>
      <c r="AU104" s="34" t="n">
        <v>0</v>
      </c>
      <c r="AV104" s="34" t="n">
        <v>0</v>
      </c>
      <c r="AW104" s="34" t="n">
        <v>1.626613568425078</v>
      </c>
      <c r="AX104" s="34" t="n">
        <v>0.1774307493518501</v>
      </c>
      <c r="AY104" s="34" t="n">
        <v>0.1560211173189132</v>
      </c>
      <c r="AZ104" s="34" t="n">
        <v>0.2766904988370534</v>
      </c>
      <c r="BA104" s="34" t="n">
        <v>2.236755933932895</v>
      </c>
      <c r="BB104" s="6" t="n"/>
      <c r="BC104" s="6" t="n"/>
      <c r="BD104" t="inlineStr">
        <is>
          <t>transport, Scooter, gasoline, &lt;4kW, EURO-5, 2030/CH U</t>
        </is>
      </c>
      <c r="BF104" s="5" t="n">
        <v>0.15633929</v>
      </c>
      <c r="BG104" s="5">
        <f>BF104-R104</f>
        <v>-6.0936930126274103E-3</v>
      </c>
      <c r="BH104" s="2" t="n">
        <v>243.20273</v>
      </c>
    </row>
    <row r="105">
      <c r="A105" t="str">
        <f>B105&amp;" - "&amp;D105&amp;" - "&amp;IF(I105&lt;&gt;"",I105&amp;" - "&amp;E105,E105)</f>
        <v>Scooter, gasoline, &lt;4kW, EURO-5 - 2040 - None - CH</v>
      </c>
      <c r="B105" t="inlineStr">
        <is>
          <t>Scooter, gasoline, &lt;4kW, EURO-5</t>
        </is>
      </c>
      <c r="D105" s="18" t="n">
        <v>2040</v>
      </c>
      <c r="E105" t="inlineStr">
        <is>
          <t>CH</t>
        </is>
      </c>
      <c r="F105" t="inlineStr">
        <is>
          <t>EURO-5</t>
        </is>
      </c>
      <c r="G105" t="inlineStr">
        <is>
          <t>vkm</t>
        </is>
      </c>
      <c r="H105" t="inlineStr">
        <is>
          <t>ICEV-p</t>
        </is>
      </c>
      <c r="I105" t="inlineStr">
        <is>
          <t>None</t>
        </is>
      </c>
      <c r="J105" t="inlineStr">
        <is>
          <t>None</t>
        </is>
      </c>
      <c r="L105" s="24" t="n">
        <v>0.1095438123763552</v>
      </c>
      <c r="M105" s="24" t="n">
        <v>0</v>
      </c>
      <c r="N105" s="24" t="n">
        <v>0.01837762395779772</v>
      </c>
      <c r="O105" s="24" t="n">
        <v>0.009511897518254223</v>
      </c>
      <c r="P105" s="24" t="n">
        <v>0.004434160735702987</v>
      </c>
      <c r="Q105" s="24" t="n">
        <v>0.02050285446007101</v>
      </c>
      <c r="R105" s="24" t="n">
        <v>0.1623703490481812</v>
      </c>
      <c r="S105" s="26" t="n">
        <v>0</v>
      </c>
      <c r="T105" s="26" t="n">
        <v>0</v>
      </c>
      <c r="U105" s="26" t="n">
        <v>0.0004216955719423374</v>
      </c>
      <c r="V105" s="26" t="n">
        <v>0.0005414964349838285</v>
      </c>
      <c r="W105" s="26" t="n">
        <v>0.0003071298096462046</v>
      </c>
      <c r="X105" s="26" t="n">
        <v>0.004563579284419531</v>
      </c>
      <c r="Y105" s="26" t="n">
        <v>0.005833901100991901</v>
      </c>
      <c r="Z105" s="28" t="n">
        <v>0.01912955017363533</v>
      </c>
      <c r="AA105" s="28" t="n">
        <v>0.004626114737920042</v>
      </c>
      <c r="AB105" s="28" t="n">
        <v>0.0009419990732041334</v>
      </c>
      <c r="AC105" s="28" t="n">
        <v>0.0001891362620619139</v>
      </c>
      <c r="AD105" s="28" t="n">
        <v>0.0001369309748261614</v>
      </c>
      <c r="AE105" s="28" t="n">
        <v>0.001026997616683405</v>
      </c>
      <c r="AF105" s="28" t="n">
        <v>0.02605072883833098</v>
      </c>
      <c r="AG105" s="30" t="n">
        <v>1.880383322846452e-06</v>
      </c>
      <c r="AH105" s="30" t="n">
        <v>2.401768147942524e-05</v>
      </c>
      <c r="AI105" s="30" t="n">
        <v>0.0001643071302477085</v>
      </c>
      <c r="AJ105" s="30" t="n">
        <v>0.0003749623808400174</v>
      </c>
      <c r="AK105" s="30" t="n">
        <v>0.0001863300713234298</v>
      </c>
      <c r="AL105" s="30" t="n">
        <v>0.002487067527395477</v>
      </c>
      <c r="AM105" s="30" t="n">
        <v>0.003238565174608904</v>
      </c>
      <c r="AN105" s="32" t="n">
        <v>4.397643985287934e-06</v>
      </c>
      <c r="AO105" s="32" t="n">
        <v>1.736645804653387e-05</v>
      </c>
      <c r="AP105" s="32" t="n">
        <v>3.614539962970177e-06</v>
      </c>
      <c r="AQ105" s="32" t="n">
        <v>5.707316173412414e-07</v>
      </c>
      <c r="AR105" s="32" t="n">
        <v>7.573985945292852e-07</v>
      </c>
      <c r="AS105" s="32" t="n">
        <v>3.679556920721218e-06</v>
      </c>
      <c r="AT105" s="32" t="n">
        <v>3.038632912738372e-05</v>
      </c>
      <c r="AU105" s="34" t="n">
        <v>0</v>
      </c>
      <c r="AV105" s="34" t="n">
        <v>0</v>
      </c>
      <c r="AW105" s="34" t="n">
        <v>1.610347432740827</v>
      </c>
      <c r="AX105" s="34" t="n">
        <v>0.1774307493518501</v>
      </c>
      <c r="AY105" s="34" t="n">
        <v>0.1557288331827035</v>
      </c>
      <c r="AZ105" s="34" t="n">
        <v>0.2891445476204236</v>
      </c>
      <c r="BA105" s="34" t="n">
        <v>2.232651562895804</v>
      </c>
      <c r="BB105" s="6" t="n"/>
      <c r="BC105" s="6" t="n"/>
      <c r="BD105" t="inlineStr">
        <is>
          <t>transport, Scooter, gasoline, &lt;4kW, EURO-5, 2040/CH U</t>
        </is>
      </c>
      <c r="BF105" s="5" t="n">
        <v>0.1555952</v>
      </c>
      <c r="BG105" s="5">
        <f>BF105-R105</f>
        <v>-6.7751490481811338E-3</v>
      </c>
      <c r="BH105" s="2" t="n">
        <v>241.48463</v>
      </c>
    </row>
    <row r="106">
      <c r="A106" t="str">
        <f>B106&amp;" - "&amp;D106&amp;" - "&amp;IF(I106&lt;&gt;"",I106&amp;" - "&amp;E106,E106)</f>
        <v>Scooter, gasoline, &lt;4kW, EURO-5 - 2050 - None - CH</v>
      </c>
      <c r="B106" t="inlineStr">
        <is>
          <t>Scooter, gasoline, &lt;4kW, EURO-5</t>
        </is>
      </c>
      <c r="D106" s="18" t="n">
        <v>2050</v>
      </c>
      <c r="E106" t="inlineStr">
        <is>
          <t>CH</t>
        </is>
      </c>
      <c r="F106" t="inlineStr">
        <is>
          <t>EURO-5</t>
        </is>
      </c>
      <c r="G106" t="inlineStr">
        <is>
          <t>vkm</t>
        </is>
      </c>
      <c r="H106" t="inlineStr">
        <is>
          <t>ICEV-p</t>
        </is>
      </c>
      <c r="I106" t="inlineStr">
        <is>
          <t>None</t>
        </is>
      </c>
      <c r="J106" t="inlineStr">
        <is>
          <t>None</t>
        </is>
      </c>
      <c r="L106" s="24" t="n">
        <v>0.1084483742525917</v>
      </c>
      <c r="M106" s="24" t="n">
        <v>0</v>
      </c>
      <c r="N106" s="24" t="n">
        <v>0.01819384771821974</v>
      </c>
      <c r="O106" s="24" t="n">
        <v>0.009511897518254223</v>
      </c>
      <c r="P106" s="24" t="n">
        <v>0.004425238576033592</v>
      </c>
      <c r="Q106" s="24" t="n">
        <v>0.0217412787325313</v>
      </c>
      <c r="R106" s="24" t="n">
        <v>0.1623206367976305</v>
      </c>
      <c r="S106" s="26" t="n">
        <v>0</v>
      </c>
      <c r="T106" s="26" t="n">
        <v>0</v>
      </c>
      <c r="U106" s="26" t="n">
        <v>0.000417478616222914</v>
      </c>
      <c r="V106" s="26" t="n">
        <v>0.0005414964349838285</v>
      </c>
      <c r="W106" s="26" t="n">
        <v>0.0003065660394282032</v>
      </c>
      <c r="X106" s="26" t="n">
        <v>0.00477649465140933</v>
      </c>
      <c r="Y106" s="26" t="n">
        <v>0.006042035742044276</v>
      </c>
      <c r="Z106" s="28" t="n">
        <v>0.01893825467189898</v>
      </c>
      <c r="AA106" s="28" t="n">
        <v>0.004626114737920042</v>
      </c>
      <c r="AB106" s="28" t="n">
        <v>0.0009325790824720921</v>
      </c>
      <c r="AC106" s="28" t="n">
        <v>0.0001891362620619139</v>
      </c>
      <c r="AD106" s="28" t="n">
        <v>0.0001366747041442171</v>
      </c>
      <c r="AE106" s="28" t="n">
        <v>0.001099022759897638</v>
      </c>
      <c r="AF106" s="28" t="n">
        <v>0.02592178221839488</v>
      </c>
      <c r="AG106" s="30" t="n">
        <v>1.861579489617988e-06</v>
      </c>
      <c r="AH106" s="30" t="n">
        <v>2.401768147942524e-05</v>
      </c>
      <c r="AI106" s="30" t="n">
        <v>0.0001626640589452314</v>
      </c>
      <c r="AJ106" s="30" t="n">
        <v>0.0003749623808400174</v>
      </c>
      <c r="AK106" s="30" t="n">
        <v>0.0001860909004412841</v>
      </c>
      <c r="AL106" s="30" t="n">
        <v>0.002737841290312968</v>
      </c>
      <c r="AM106" s="30" t="n">
        <v>0.003487437891508544</v>
      </c>
      <c r="AN106" s="32" t="n">
        <v>4.353667545435055e-06</v>
      </c>
      <c r="AO106" s="32" t="n">
        <v>1.736645804653387e-05</v>
      </c>
      <c r="AP106" s="32" t="n">
        <v>3.578394563340476e-06</v>
      </c>
      <c r="AQ106" s="32" t="n">
        <v>5.707316173412414e-07</v>
      </c>
      <c r="AR106" s="32" t="n">
        <v>7.564542250377133e-07</v>
      </c>
      <c r="AS106" s="32" t="n">
        <v>3.705397116414281e-06</v>
      </c>
      <c r="AT106" s="32" t="n">
        <v>3.033110311410264e-05</v>
      </c>
      <c r="AU106" s="34" t="n">
        <v>0</v>
      </c>
      <c r="AV106" s="34" t="n">
        <v>0</v>
      </c>
      <c r="AW106" s="34" t="n">
        <v>1.594243958413419</v>
      </c>
      <c r="AX106" s="34" t="n">
        <v>0.1774307493518501</v>
      </c>
      <c r="AY106" s="34" t="n">
        <v>0.155436549046494</v>
      </c>
      <c r="AZ106" s="34" t="n">
        <v>0.3015986021835093</v>
      </c>
      <c r="BA106" s="34" t="n">
        <v>2.228709858995273</v>
      </c>
      <c r="BB106" s="6" t="n"/>
      <c r="BC106" s="6" t="n"/>
      <c r="BD106" t="inlineStr">
        <is>
          <t>transport, Scooter, gasoline, &lt;4kW, EURO-5, 2050/CH U</t>
        </is>
      </c>
      <c r="BF106" s="5" t="n">
        <v>0.15485291</v>
      </c>
      <c r="BG106" s="5">
        <f>BF106-R106</f>
        <v>-7.4677267976304973E-3</v>
      </c>
      <c r="BH106" s="2" t="n">
        <v>239.7551</v>
      </c>
    </row>
    <row r="107">
      <c r="A107" t="str">
        <f>B107&amp;" - "&amp;D107&amp;" - "&amp;IF(I107&lt;&gt;"",I107&amp;" - "&amp;E107,E107)</f>
        <v>Scooter, gasoline, 4-11kW, EURO-3 - 2006 - None - CH</v>
      </c>
      <c r="B107" t="inlineStr">
        <is>
          <t>Scooter, gasoline, 4-11kW, EURO-3</t>
        </is>
      </c>
      <c r="D107" s="18" t="n">
        <v>2006</v>
      </c>
      <c r="E107" t="inlineStr">
        <is>
          <t>CH</t>
        </is>
      </c>
      <c r="F107" t="inlineStr">
        <is>
          <t>EURO-5</t>
        </is>
      </c>
      <c r="G107" t="inlineStr">
        <is>
          <t>vkm</t>
        </is>
      </c>
      <c r="H107" t="inlineStr">
        <is>
          <t>ICEV-p</t>
        </is>
      </c>
      <c r="I107" t="inlineStr">
        <is>
          <t>None</t>
        </is>
      </c>
      <c r="J107" t="inlineStr">
        <is>
          <t>None</t>
        </is>
      </c>
      <c r="L107" s="24" t="n">
        <v>0</v>
      </c>
      <c r="M107" s="24" t="n">
        <v>0</v>
      </c>
      <c r="N107" s="24" t="n">
        <v>0</v>
      </c>
      <c r="O107" s="24" t="n">
        <v>0</v>
      </c>
      <c r="P107" s="24" t="n">
        <v>0</v>
      </c>
      <c r="Q107" s="24" t="n">
        <v>0</v>
      </c>
      <c r="R107" s="24" t="n">
        <v>0</v>
      </c>
      <c r="S107" s="26" t="n">
        <v>0</v>
      </c>
      <c r="T107" s="26" t="n">
        <v>0</v>
      </c>
      <c r="U107" s="26" t="n">
        <v>0</v>
      </c>
      <c r="V107" s="26" t="n">
        <v>0</v>
      </c>
      <c r="W107" s="26" t="n">
        <v>0</v>
      </c>
      <c r="X107" s="26" t="n">
        <v>0</v>
      </c>
      <c r="Y107" s="26" t="n">
        <v>0</v>
      </c>
      <c r="Z107" s="28" t="n">
        <v>0</v>
      </c>
      <c r="AA107" s="28" t="n">
        <v>0</v>
      </c>
      <c r="AB107" s="28" t="n">
        <v>0</v>
      </c>
      <c r="AC107" s="28" t="n">
        <v>0</v>
      </c>
      <c r="AD107" s="28" t="n">
        <v>0</v>
      </c>
      <c r="AE107" s="28" t="n">
        <v>0</v>
      </c>
      <c r="AF107" s="28" t="n">
        <v>0</v>
      </c>
      <c r="AG107" s="30" t="n">
        <v>0</v>
      </c>
      <c r="AH107" s="30" t="n">
        <v>0</v>
      </c>
      <c r="AI107" s="30" t="n">
        <v>0</v>
      </c>
      <c r="AJ107" s="30" t="n">
        <v>0</v>
      </c>
      <c r="AK107" s="30" t="n">
        <v>0</v>
      </c>
      <c r="AL107" s="30" t="n">
        <v>0</v>
      </c>
      <c r="AM107" s="30" t="n">
        <v>0</v>
      </c>
      <c r="AN107" s="32" t="n">
        <v>0</v>
      </c>
      <c r="AO107" s="32" t="n">
        <v>0</v>
      </c>
      <c r="AP107" s="32" t="n">
        <v>0</v>
      </c>
      <c r="AQ107" s="32" t="n">
        <v>0</v>
      </c>
      <c r="AR107" s="32" t="n">
        <v>0</v>
      </c>
      <c r="AS107" s="32" t="n">
        <v>0</v>
      </c>
      <c r="AT107" s="32" t="n">
        <v>0</v>
      </c>
      <c r="AU107" s="34" t="n">
        <v>0</v>
      </c>
      <c r="AV107" s="34" t="n">
        <v>0</v>
      </c>
      <c r="AW107" s="34" t="n">
        <v>0</v>
      </c>
      <c r="AX107" s="34" t="n">
        <v>0</v>
      </c>
      <c r="AY107" s="34" t="n">
        <v>0</v>
      </c>
      <c r="AZ107" s="34" t="n">
        <v>0</v>
      </c>
      <c r="BA107" s="34" t="n">
        <v>0</v>
      </c>
      <c r="BB107" s="6" t="n"/>
      <c r="BC107" s="6" t="n"/>
      <c r="BD107" t="inlineStr">
        <is>
          <t>transport, Scooter, gasoline, 4-11kW, EURO-3/CH U</t>
        </is>
      </c>
      <c r="BF107" s="5" t="n">
        <v>0.13600823</v>
      </c>
      <c r="BG107" s="5">
        <f>BF107-R107</f>
        <v>0.13600822999999998</v>
      </c>
      <c r="BH107" s="2" t="n">
        <v>182.66535</v>
      </c>
    </row>
    <row r="108">
      <c r="A108" t="str">
        <f>B108&amp;" - "&amp;D108&amp;" - "&amp;IF(I108&lt;&gt;"",I108&amp;" - "&amp;E108,E108)</f>
        <v>Scooter, gasoline, 4-11kW, EURO-4 - 2016 - None - CH</v>
      </c>
      <c r="B108" t="inlineStr">
        <is>
          <t>Scooter, gasoline, 4-11kW, EURO-4</t>
        </is>
      </c>
      <c r="D108" s="18" t="n">
        <v>2016</v>
      </c>
      <c r="E108" t="inlineStr">
        <is>
          <t>CH</t>
        </is>
      </c>
      <c r="F108" t="inlineStr">
        <is>
          <t>EURO-4</t>
        </is>
      </c>
      <c r="G108" t="inlineStr">
        <is>
          <t>vkm</t>
        </is>
      </c>
      <c r="H108" t="inlineStr">
        <is>
          <t>ICEV-p</t>
        </is>
      </c>
      <c r="I108" t="inlineStr">
        <is>
          <t>None</t>
        </is>
      </c>
      <c r="J108" t="inlineStr">
        <is>
          <t>None</t>
        </is>
      </c>
      <c r="L108" s="24" t="n">
        <v>0.09128972940788503</v>
      </c>
      <c r="M108" s="24" t="n">
        <v>0</v>
      </c>
      <c r="N108" s="24" t="n">
        <v>0.01339873578676794</v>
      </c>
      <c r="O108" s="24" t="n">
        <v>0.009511897518254223</v>
      </c>
      <c r="P108" s="24" t="n">
        <v>0.00463752679857553</v>
      </c>
      <c r="Q108" s="24" t="n">
        <v>0.02072861053396855</v>
      </c>
      <c r="R108" s="24" t="n">
        <v>0.1395665000454513</v>
      </c>
      <c r="S108" s="26" t="n">
        <v>0</v>
      </c>
      <c r="T108" s="26" t="n">
        <v>0</v>
      </c>
      <c r="U108" s="26" t="n">
        <v>0.000328173164049293</v>
      </c>
      <c r="V108" s="26" t="n">
        <v>0.0005414964349838285</v>
      </c>
      <c r="W108" s="26" t="n">
        <v>0.0003199800313243762</v>
      </c>
      <c r="X108" s="26" t="n">
        <v>0.004801839553868642</v>
      </c>
      <c r="Y108" s="26" t="n">
        <v>0.00599148918422614</v>
      </c>
      <c r="Z108" s="28" t="n">
        <v>0.009462838643690394</v>
      </c>
      <c r="AA108" s="28" t="n">
        <v>0.004626114737920042</v>
      </c>
      <c r="AB108" s="28" t="n">
        <v>0.0006546510138441485</v>
      </c>
      <c r="AC108" s="28" t="n">
        <v>0.0001891362620619139</v>
      </c>
      <c r="AD108" s="28" t="n">
        <v>0.0001427722466199689</v>
      </c>
      <c r="AE108" s="28" t="n">
        <v>0.00100908735912245</v>
      </c>
      <c r="AF108" s="28" t="n">
        <v>0.01608460026325892</v>
      </c>
      <c r="AG108" s="30" t="n">
        <v>1.002968480116051e-06</v>
      </c>
      <c r="AH108" s="30" t="n">
        <v>2.401768147942524e-05</v>
      </c>
      <c r="AI108" s="30" t="n">
        <v>0.0001245257910086563</v>
      </c>
      <c r="AJ108" s="30" t="n">
        <v>0.0003749623808400174</v>
      </c>
      <c r="AK108" s="30" t="n">
        <v>0.0001917815810988695</v>
      </c>
      <c r="AL108" s="30" t="n">
        <v>0.002215592183329094</v>
      </c>
      <c r="AM108" s="30" t="n">
        <v>0.002931882586236178</v>
      </c>
      <c r="AN108" s="32" t="n">
        <v>2.266733882278196e-06</v>
      </c>
      <c r="AO108" s="32" t="n">
        <v>1.736645804653387e-05</v>
      </c>
      <c r="AP108" s="32" t="n">
        <v>2.576939841039673e-06</v>
      </c>
      <c r="AQ108" s="32" t="n">
        <v>5.707316173412414e-07</v>
      </c>
      <c r="AR108" s="32" t="n">
        <v>7.789239552619223e-07</v>
      </c>
      <c r="AS108" s="32" t="n">
        <v>4.307111053089774e-06</v>
      </c>
      <c r="AT108" s="32" t="n">
        <v>2.786689839554467e-05</v>
      </c>
      <c r="AU108" s="34" t="n">
        <v>0</v>
      </c>
      <c r="AV108" s="34" t="n">
        <v>0</v>
      </c>
      <c r="AW108" s="34" t="n">
        <v>1.33262623499783</v>
      </c>
      <c r="AX108" s="34" t="n">
        <v>0.1774307493518501</v>
      </c>
      <c r="AY108" s="34" t="n">
        <v>0.1623909728690117</v>
      </c>
      <c r="AZ108" s="34" t="n">
        <v>0.3070392125976223</v>
      </c>
      <c r="BA108" s="34" t="n">
        <v>1.979487169816315</v>
      </c>
      <c r="BB108" s="6" t="n"/>
      <c r="BC108" s="6" t="n"/>
      <c r="BD108" t="inlineStr">
        <is>
          <t>transport, Scooter, gasoline, 4-11kW, EURO-4/CH U</t>
        </is>
      </c>
      <c r="BF108" s="5" t="n">
        <v>0.13499356</v>
      </c>
      <c r="BG108" s="5">
        <f>BF108-R108</f>
        <v>-4.5729400454512514E-3</v>
      </c>
      <c r="BH108" s="2" t="n">
        <v>181.43335</v>
      </c>
    </row>
    <row r="109">
      <c r="A109" t="str">
        <f>B109&amp;" - "&amp;D109&amp;" - "&amp;IF(I109&lt;&gt;"",I109&amp;" - "&amp;E109,E109)</f>
        <v>Scooter, gasoline, 4-11kW, EURO-5 - 2020 - None - CH</v>
      </c>
      <c r="B109" t="inlineStr">
        <is>
          <t>Scooter, gasoline, 4-11kW, EURO-5</t>
        </is>
      </c>
      <c r="D109" s="18" t="n">
        <v>2020</v>
      </c>
      <c r="E109" t="inlineStr">
        <is>
          <t>CH</t>
        </is>
      </c>
      <c r="F109" t="inlineStr">
        <is>
          <t>EURO-5</t>
        </is>
      </c>
      <c r="G109" t="inlineStr">
        <is>
          <t>vkm</t>
        </is>
      </c>
      <c r="H109" t="inlineStr">
        <is>
          <t>ICEV-p</t>
        </is>
      </c>
      <c r="I109" t="inlineStr">
        <is>
          <t>None</t>
        </is>
      </c>
      <c r="J109" t="inlineStr">
        <is>
          <t>None</t>
        </is>
      </c>
      <c r="L109" s="24" t="n">
        <v>0.09037683211380618</v>
      </c>
      <c r="M109" s="24" t="n">
        <v>0</v>
      </c>
      <c r="N109" s="24" t="n">
        <v>0.01326474842890026</v>
      </c>
      <c r="O109" s="24" t="n">
        <v>0.009511897518254223</v>
      </c>
      <c r="P109" s="24" t="n">
        <v>0.004631153827383105</v>
      </c>
      <c r="Q109" s="24" t="n">
        <v>0.02071555397749358</v>
      </c>
      <c r="R109" s="24" t="n">
        <v>0.1385001858658373</v>
      </c>
      <c r="S109" s="26" t="n">
        <v>0</v>
      </c>
      <c r="T109" s="26" t="n">
        <v>0</v>
      </c>
      <c r="U109" s="26" t="n">
        <v>0.0003248914324088001</v>
      </c>
      <c r="V109" s="26" t="n">
        <v>0.0005414964349838285</v>
      </c>
      <c r="W109" s="26" t="n">
        <v>0.000319577338311518</v>
      </c>
      <c r="X109" s="26" t="n">
        <v>0.004801574405552166</v>
      </c>
      <c r="Y109" s="26" t="n">
        <v>0.005987539611256313</v>
      </c>
      <c r="Z109" s="28" t="n">
        <v>0.009368210257253489</v>
      </c>
      <c r="AA109" s="28" t="n">
        <v>0.004626114737920042</v>
      </c>
      <c r="AB109" s="28" t="n">
        <v>0.0006481045037057071</v>
      </c>
      <c r="AC109" s="28" t="n">
        <v>0.0001891362620619139</v>
      </c>
      <c r="AD109" s="28" t="n">
        <v>0.0001425891961328658</v>
      </c>
      <c r="AE109" s="28" t="n">
        <v>0.001008174855883908</v>
      </c>
      <c r="AF109" s="28" t="n">
        <v>0.01598232981295793</v>
      </c>
      <c r="AG109" s="30" t="n">
        <v>9.929387953148903e-07</v>
      </c>
      <c r="AH109" s="30" t="n">
        <v>2.401768147942524e-05</v>
      </c>
      <c r="AI109" s="30" t="n">
        <v>0.0001232805330985697</v>
      </c>
      <c r="AJ109" s="30" t="n">
        <v>0.0003749623808400174</v>
      </c>
      <c r="AK109" s="30" t="n">
        <v>0.0001916107447544796</v>
      </c>
      <c r="AL109" s="30" t="n">
        <v>0.002215509466165385</v>
      </c>
      <c r="AM109" s="30" t="n">
        <v>0.002930373745133192</v>
      </c>
      <c r="AN109" s="32" t="n">
        <v>2.244066543455414e-06</v>
      </c>
      <c r="AO109" s="32" t="n">
        <v>1.736645804653387e-05</v>
      </c>
      <c r="AP109" s="32" t="n">
        <v>2.551170442629276e-06</v>
      </c>
      <c r="AQ109" s="32" t="n">
        <v>5.707316173412414e-07</v>
      </c>
      <c r="AR109" s="32" t="n">
        <v>7.782494056250853e-07</v>
      </c>
      <c r="AS109" s="32" t="n">
        <v>4.303732530778472e-06</v>
      </c>
      <c r="AT109" s="32" t="n">
        <v>2.781440858636336e-05</v>
      </c>
      <c r="AU109" s="34" t="n">
        <v>0</v>
      </c>
      <c r="AV109" s="34" t="n">
        <v>0</v>
      </c>
      <c r="AW109" s="34" t="n">
        <v>1.319299972647852</v>
      </c>
      <c r="AX109" s="34" t="n">
        <v>0.1774307493518501</v>
      </c>
      <c r="AY109" s="34" t="n">
        <v>0.1621821984860048</v>
      </c>
      <c r="AZ109" s="34" t="n">
        <v>0.306844691170641</v>
      </c>
      <c r="BA109" s="34" t="n">
        <v>1.965757611656348</v>
      </c>
      <c r="BB109" s="6" t="n"/>
      <c r="BC109" s="6" t="n"/>
      <c r="BD109" t="inlineStr">
        <is>
          <t>transport, Scooter, gasoline, 4-11kW, EURO-5/CH U</t>
        </is>
      </c>
      <c r="BF109" s="5" t="n">
        <v>0.13399081</v>
      </c>
      <c r="BG109" s="5">
        <f>BF109-R109</f>
        <v>-4.5093758658373562E-3</v>
      </c>
      <c r="BH109" s="2" t="n">
        <v>180.24236</v>
      </c>
    </row>
    <row r="110">
      <c r="A110" t="str">
        <f>B110&amp;" - "&amp;D110&amp;" - "&amp;IF(I110&lt;&gt;"",I110&amp;" - "&amp;E110,E110)</f>
        <v>Scooter, gasoline, 4-11kW, EURO-5 - 2030 - None - CH</v>
      </c>
      <c r="B110" t="inlineStr">
        <is>
          <t>Scooter, gasoline, 4-11kW, EURO-5</t>
        </is>
      </c>
      <c r="D110" s="18" t="n">
        <v>2030</v>
      </c>
      <c r="E110" t="inlineStr">
        <is>
          <t>CH</t>
        </is>
      </c>
      <c r="F110" t="inlineStr">
        <is>
          <t>EURO-5</t>
        </is>
      </c>
      <c r="G110" t="inlineStr">
        <is>
          <t>vkm</t>
        </is>
      </c>
      <c r="H110" t="inlineStr">
        <is>
          <t>ICEV-p</t>
        </is>
      </c>
      <c r="I110" t="inlineStr">
        <is>
          <t>None</t>
        </is>
      </c>
      <c r="J110" t="inlineStr">
        <is>
          <t>None</t>
        </is>
      </c>
      <c r="L110" s="24" t="n">
        <v>0.08947306379266812</v>
      </c>
      <c r="M110" s="24" t="n">
        <v>0</v>
      </c>
      <c r="N110" s="24" t="n">
        <v>0.01313210094461126</v>
      </c>
      <c r="O110" s="24" t="n">
        <v>0.009511897518254223</v>
      </c>
      <c r="P110" s="24" t="n">
        <v>0.004617042248314166</v>
      </c>
      <c r="Q110" s="24" t="n">
        <v>0.02289198921678062</v>
      </c>
      <c r="R110" s="24" t="n">
        <v>0.1396260937206284</v>
      </c>
      <c r="S110" s="26" t="n">
        <v>0</v>
      </c>
      <c r="T110" s="26" t="n">
        <v>0</v>
      </c>
      <c r="U110" s="26" t="n">
        <v>0.000321642518084712</v>
      </c>
      <c r="V110" s="26" t="n">
        <v>0.0005414964349838285</v>
      </c>
      <c r="W110" s="26" t="n">
        <v>0.0003186856609259034</v>
      </c>
      <c r="X110" s="26" t="n">
        <v>0.005183880288403627</v>
      </c>
      <c r="Y110" s="26" t="n">
        <v>0.006365704902398071</v>
      </c>
      <c r="Z110" s="28" t="n">
        <v>0.009274528154680954</v>
      </c>
      <c r="AA110" s="28" t="n">
        <v>0.004626114737920042</v>
      </c>
      <c r="AB110" s="28" t="n">
        <v>0.00064162345866865</v>
      </c>
      <c r="AC110" s="28" t="n">
        <v>0.0001891362620619139</v>
      </c>
      <c r="AD110" s="28" t="n">
        <v>0.0001421838700542804</v>
      </c>
      <c r="AE110" s="28" t="n">
        <v>0.001133516360923425</v>
      </c>
      <c r="AF110" s="28" t="n">
        <v>0.01600710284430927</v>
      </c>
      <c r="AG110" s="30" t="n">
        <v>9.830094073617414e-07</v>
      </c>
      <c r="AH110" s="30" t="n">
        <v>2.401768147942524e-05</v>
      </c>
      <c r="AI110" s="30" t="n">
        <v>0.000122047727767584</v>
      </c>
      <c r="AJ110" s="30" t="n">
        <v>0.0003749623808400174</v>
      </c>
      <c r="AK110" s="30" t="n">
        <v>0.0001912324642776164</v>
      </c>
      <c r="AL110" s="30" t="n">
        <v>0.002643728907045597</v>
      </c>
      <c r="AM110" s="30" t="n">
        <v>0.003356972170817602</v>
      </c>
      <c r="AN110" s="32" t="n">
        <v>2.22162587802086e-06</v>
      </c>
      <c r="AO110" s="32" t="n">
        <v>1.736645804653387e-05</v>
      </c>
      <c r="AP110" s="32" t="n">
        <v>2.525658738202984e-06</v>
      </c>
      <c r="AQ110" s="32" t="n">
        <v>5.707316173412414e-07</v>
      </c>
      <c r="AR110" s="32" t="n">
        <v>7.767557600006606e-07</v>
      </c>
      <c r="AS110" s="32" t="n">
        <v>4.373882722849643e-06</v>
      </c>
      <c r="AT110" s="32" t="n">
        <v>2.783511276294926e-05</v>
      </c>
      <c r="AU110" s="34" t="n">
        <v>0</v>
      </c>
      <c r="AV110" s="34" t="n">
        <v>0</v>
      </c>
      <c r="AW110" s="34" t="n">
        <v>1.306106972921374</v>
      </c>
      <c r="AX110" s="34" t="n">
        <v>0.1774307493518501</v>
      </c>
      <c r="AY110" s="34" t="n">
        <v>0.1617199123522039</v>
      </c>
      <c r="AZ110" s="34" t="n">
        <v>0.32934690758471</v>
      </c>
      <c r="BA110" s="34" t="n">
        <v>1.974604542210138</v>
      </c>
      <c r="BB110" s="6" t="n"/>
      <c r="BC110" s="6" t="n"/>
      <c r="BD110" t="inlineStr">
        <is>
          <t>transport, Scooter, gasoline, 4-11kW, EURO-5, 2030/CH U</t>
        </is>
      </c>
      <c r="BF110" s="5" t="n">
        <v>0.13387144</v>
      </c>
      <c r="BG110" s="5">
        <f>BF110-R110</f>
        <v>-5.754653720628361E-3</v>
      </c>
      <c r="BH110" s="2" t="n">
        <v>179.38314</v>
      </c>
    </row>
    <row r="111">
      <c r="A111" t="str">
        <f>B111&amp;" - "&amp;D111&amp;" - "&amp;IF(I111&lt;&gt;"",I111&amp;" - "&amp;E111,E111)</f>
        <v>Scooter, gasoline, 4-11kW, EURO-5 - 2040 - None - CH</v>
      </c>
      <c r="B111" t="inlineStr">
        <is>
          <t>Scooter, gasoline, 4-11kW, EURO-5</t>
        </is>
      </c>
      <c r="D111" s="18" t="n">
        <v>2040</v>
      </c>
      <c r="E111" t="inlineStr">
        <is>
          <t>CH</t>
        </is>
      </c>
      <c r="F111" t="inlineStr">
        <is>
          <t>EURO-5</t>
        </is>
      </c>
      <c r="G111" t="inlineStr">
        <is>
          <t>vkm</t>
        </is>
      </c>
      <c r="H111" t="inlineStr">
        <is>
          <t>ICEV-p</t>
        </is>
      </c>
      <c r="I111" t="inlineStr">
        <is>
          <t>None</t>
        </is>
      </c>
      <c r="J111" t="inlineStr">
        <is>
          <t>None</t>
        </is>
      </c>
      <c r="L111" s="24" t="n">
        <v>0.08857833315474146</v>
      </c>
      <c r="M111" s="24" t="n">
        <v>0</v>
      </c>
      <c r="N111" s="24" t="n">
        <v>0.01300077993516515</v>
      </c>
      <c r="O111" s="24" t="n">
        <v>0.009511897518254223</v>
      </c>
      <c r="P111" s="24" t="n">
        <v>0.004606117154841438</v>
      </c>
      <c r="Q111" s="24" t="n">
        <v>0.02428681057895387</v>
      </c>
      <c r="R111" s="24" t="n">
        <v>0.1399839383419561</v>
      </c>
      <c r="S111" s="26" t="n">
        <v>0</v>
      </c>
      <c r="T111" s="26" t="n">
        <v>0</v>
      </c>
      <c r="U111" s="26" t="n">
        <v>0.000318426092903865</v>
      </c>
      <c r="V111" s="26" t="n">
        <v>0.0005414964349838285</v>
      </c>
      <c r="W111" s="26" t="n">
        <v>0.0003179953300467179</v>
      </c>
      <c r="X111" s="26" t="n">
        <v>0.005425641639661226</v>
      </c>
      <c r="Y111" s="26" t="n">
        <v>0.006603559497595638</v>
      </c>
      <c r="Z111" s="28" t="n">
        <v>0.009181782873134146</v>
      </c>
      <c r="AA111" s="28" t="n">
        <v>0.004626114737920042</v>
      </c>
      <c r="AB111" s="28" t="n">
        <v>0.0006352072240819635</v>
      </c>
      <c r="AC111" s="28" t="n">
        <v>0.0001891362620619139</v>
      </c>
      <c r="AD111" s="28" t="n">
        <v>0.0001418700692192465</v>
      </c>
      <c r="AE111" s="28" t="n">
        <v>0.001214339246889466</v>
      </c>
      <c r="AF111" s="28" t="n">
        <v>0.01598845041330678</v>
      </c>
      <c r="AG111" s="30" t="n">
        <v>9.731793132881241e-07</v>
      </c>
      <c r="AH111" s="30" t="n">
        <v>2.401768147942524e-05</v>
      </c>
      <c r="AI111" s="30" t="n">
        <v>0.0001208272504899082</v>
      </c>
      <c r="AJ111" s="30" t="n">
        <v>0.0003749623808400174</v>
      </c>
      <c r="AK111" s="30" t="n">
        <v>0.0001909396019729482</v>
      </c>
      <c r="AL111" s="30" t="n">
        <v>0.002923161018510223</v>
      </c>
      <c r="AM111" s="30" t="n">
        <v>0.00363488111260581</v>
      </c>
      <c r="AN111" s="32" t="n">
        <v>2.199409619240652e-06</v>
      </c>
      <c r="AO111" s="32" t="n">
        <v>1.736645804653387e-05</v>
      </c>
      <c r="AP111" s="32" t="n">
        <v>2.500402150820954e-06</v>
      </c>
      <c r="AQ111" s="32" t="n">
        <v>5.707316173412414e-07</v>
      </c>
      <c r="AR111" s="32" t="n">
        <v>7.755993891946544e-07</v>
      </c>
      <c r="AS111" s="32" t="n">
        <v>4.408947267531503e-06</v>
      </c>
      <c r="AT111" s="32" t="n">
        <v>2.782154809066288e-05</v>
      </c>
      <c r="AU111" s="34" t="n">
        <v>0</v>
      </c>
      <c r="AV111" s="34" t="n">
        <v>0</v>
      </c>
      <c r="AW111" s="34" t="n">
        <v>1.29304590319216</v>
      </c>
      <c r="AX111" s="34" t="n">
        <v>0.1774307493518501</v>
      </c>
      <c r="AY111" s="34" t="n">
        <v>0.1613620134099064</v>
      </c>
      <c r="AZ111" s="34" t="n">
        <v>0.3435219865505408</v>
      </c>
      <c r="BA111" s="34" t="n">
        <v>1.975360652504458</v>
      </c>
      <c r="BB111" s="6" t="n"/>
      <c r="BC111" s="6" t="n"/>
      <c r="BD111" t="inlineStr">
        <is>
          <t>transport, Scooter, gasoline, 4-11kW, EURO-5, 2040/CH U</t>
        </is>
      </c>
      <c r="BF111" s="5" t="n">
        <v>0.13343829</v>
      </c>
      <c r="BG111" s="5">
        <f>BF111-R111</f>
        <v>-6.5456483419561451E-3</v>
      </c>
      <c r="BH111" s="2" t="n">
        <v>178.37692</v>
      </c>
    </row>
    <row r="112">
      <c r="A112" t="str">
        <f>B112&amp;" - "&amp;D112&amp;" - "&amp;IF(I112&lt;&gt;"",I112&amp;" - "&amp;E112,E112)</f>
        <v>Scooter, gasoline, 4-11kW, EURO-5 - 2050 - None - CH</v>
      </c>
      <c r="B112" t="inlineStr">
        <is>
          <t>Scooter, gasoline, 4-11kW, EURO-5</t>
        </is>
      </c>
      <c r="D112" s="18" t="n">
        <v>2050</v>
      </c>
      <c r="E112" t="inlineStr">
        <is>
          <t>CH</t>
        </is>
      </c>
      <c r="F112" t="inlineStr">
        <is>
          <t>EURO-5</t>
        </is>
      </c>
      <c r="G112" t="inlineStr">
        <is>
          <t>vkm</t>
        </is>
      </c>
      <c r="H112" t="inlineStr">
        <is>
          <t>ICEV-p</t>
        </is>
      </c>
      <c r="I112" t="inlineStr">
        <is>
          <t>None</t>
        </is>
      </c>
      <c r="J112" t="inlineStr">
        <is>
          <t>None</t>
        </is>
      </c>
      <c r="L112" s="24" t="n">
        <v>0.08769254982319402</v>
      </c>
      <c r="M112" s="24" t="n">
        <v>0</v>
      </c>
      <c r="N112" s="24" t="n">
        <v>0.01287077213581349</v>
      </c>
      <c r="O112" s="24" t="n">
        <v>0.009511897518254223</v>
      </c>
      <c r="P112" s="24" t="n">
        <v>0.004599744183649014</v>
      </c>
      <c r="Q112" s="24" t="n">
        <v>0.02585004057683683</v>
      </c>
      <c r="R112" s="24" t="n">
        <v>0.1405250042377476</v>
      </c>
      <c r="S112" s="26" t="n">
        <v>0</v>
      </c>
      <c r="T112" s="26" t="n">
        <v>0</v>
      </c>
      <c r="U112" s="26" t="n">
        <v>0.0003152418319748263</v>
      </c>
      <c r="V112" s="26" t="n">
        <v>0.0005414964349838285</v>
      </c>
      <c r="W112" s="26" t="n">
        <v>0.0003175926370338597</v>
      </c>
      <c r="X112" s="26" t="n">
        <v>0.005706731218593121</v>
      </c>
      <c r="Y112" s="26" t="n">
        <v>0.006881062122585635</v>
      </c>
      <c r="Z112" s="28" t="n">
        <v>0.009089965044402805</v>
      </c>
      <c r="AA112" s="28" t="n">
        <v>0.004626114737920042</v>
      </c>
      <c r="AB112" s="28" t="n">
        <v>0.0006288551518411438</v>
      </c>
      <c r="AC112" s="28" t="n">
        <v>0.0001891362620619139</v>
      </c>
      <c r="AD112" s="28" t="n">
        <v>0.0001416870187321435</v>
      </c>
      <c r="AE112" s="28" t="n">
        <v>0.00130337659681208</v>
      </c>
      <c r="AF112" s="28" t="n">
        <v>0.01597913481177013</v>
      </c>
      <c r="AG112" s="30" t="n">
        <v>9.634475201552429e-07</v>
      </c>
      <c r="AH112" s="30" t="n">
        <v>2.401768147942524e-05</v>
      </c>
      <c r="AI112" s="30" t="n">
        <v>0.0001196189779850091</v>
      </c>
      <c r="AJ112" s="30" t="n">
        <v>0.0003749623808400174</v>
      </c>
      <c r="AK112" s="30" t="n">
        <v>0.0001907687656285583</v>
      </c>
      <c r="AL112" s="30" t="n">
        <v>0.003220735972741206</v>
      </c>
      <c r="AM112" s="30" t="n">
        <v>0.003931067226194371</v>
      </c>
      <c r="AN112" s="32" t="n">
        <v>2.177415523048245e-06</v>
      </c>
      <c r="AO112" s="32" t="n">
        <v>1.736645804653387e-05</v>
      </c>
      <c r="AP112" s="32" t="n">
        <v>2.475398129312744e-06</v>
      </c>
      <c r="AQ112" s="32" t="n">
        <v>5.707316173412414e-07</v>
      </c>
      <c r="AR112" s="32" t="n">
        <v>7.749248395578173e-07</v>
      </c>
      <c r="AS112" s="32" t="n">
        <v>4.479118938130272e-06</v>
      </c>
      <c r="AT112" s="32" t="n">
        <v>2.784404709392419e-05</v>
      </c>
      <c r="AU112" s="34" t="n">
        <v>0</v>
      </c>
      <c r="AV112" s="34" t="n">
        <v>0</v>
      </c>
      <c r="AW112" s="34" t="n">
        <v>1.280115444160238</v>
      </c>
      <c r="AX112" s="34" t="n">
        <v>0.1774307493518501</v>
      </c>
      <c r="AY112" s="34" t="n">
        <v>0.1611532390268996</v>
      </c>
      <c r="AZ112" s="34" t="n">
        <v>0.3601762922942775</v>
      </c>
      <c r="BA112" s="34" t="n">
        <v>1.978875724833266</v>
      </c>
      <c r="BB112" s="6" t="n"/>
      <c r="BC112" s="6" t="n"/>
      <c r="BD112" t="inlineStr">
        <is>
          <t>transport, Scooter, gasoline, 4-11kW, EURO-5, 2050/CH U</t>
        </is>
      </c>
      <c r="BF112" s="5" t="n">
        <v>0.13314013</v>
      </c>
      <c r="BG112" s="5">
        <f>BF112-R112</f>
        <v>-7.3848742377475574E-3</v>
      </c>
      <c r="BH112" s="2" t="n">
        <v>177.60273</v>
      </c>
    </row>
    <row r="113">
      <c r="A113" t="str">
        <f>B113&amp;" - "&amp;D113&amp;" - "&amp;IF(I113&lt;&gt;"",I113&amp;" - "&amp;E113,E113)</f>
        <v>Scooter, battery electric, &lt;4kW - 2020 - NMC - CH</v>
      </c>
      <c r="B113" t="inlineStr">
        <is>
          <t>Scooter, battery electric, &lt;4kW</t>
        </is>
      </c>
      <c r="D113" s="18" t="n">
        <v>2020</v>
      </c>
      <c r="E113" t="inlineStr">
        <is>
          <t>CH</t>
        </is>
      </c>
      <c r="F113" t="inlineStr">
        <is>
          <t>None</t>
        </is>
      </c>
      <c r="G113" t="inlineStr">
        <is>
          <t>vkm</t>
        </is>
      </c>
      <c r="H113" t="inlineStr">
        <is>
          <t>BEV</t>
        </is>
      </c>
      <c r="I113" t="inlineStr">
        <is>
          <t>NMC</t>
        </is>
      </c>
      <c r="J113" t="inlineStr">
        <is>
          <t>None</t>
        </is>
      </c>
      <c r="L113" s="24" t="n">
        <v>0</v>
      </c>
      <c r="M113" s="24" t="n">
        <v>0</v>
      </c>
      <c r="N113" s="24" t="n">
        <v>0.004230531998315014</v>
      </c>
      <c r="O113" s="24" t="n">
        <v>0.01230659169225786</v>
      </c>
      <c r="P113" s="24" t="n">
        <v>0.004499995804181871</v>
      </c>
      <c r="Q113" s="24" t="n">
        <v>0.04696066770506375</v>
      </c>
      <c r="R113" s="24" t="n">
        <v>0.0679977871998185</v>
      </c>
      <c r="S113" s="26" t="n">
        <v>0</v>
      </c>
      <c r="T113" s="26" t="n">
        <v>0</v>
      </c>
      <c r="U113" s="26" t="n">
        <v>0.000447774029853675</v>
      </c>
      <c r="V113" s="26" t="n">
        <v>0.0004722191823356421</v>
      </c>
      <c r="W113" s="26" t="n">
        <v>0.000311289772287963</v>
      </c>
      <c r="X113" s="26" t="n">
        <v>0.05232880759930414</v>
      </c>
      <c r="Y113" s="26" t="n">
        <v>0.05356009058378142</v>
      </c>
      <c r="Z113" s="28" t="n">
        <v>0</v>
      </c>
      <c r="AA113" s="28" t="n">
        <v>0.002314547765857511</v>
      </c>
      <c r="AB113" s="28" t="n">
        <v>0.0001312248375622248</v>
      </c>
      <c r="AC113" s="28" t="n">
        <v>0.0001543898913344915</v>
      </c>
      <c r="AD113" s="28" t="n">
        <v>0.0001388219517331103</v>
      </c>
      <c r="AE113" s="28" t="n">
        <v>0.004401766960808681</v>
      </c>
      <c r="AF113" s="28" t="n">
        <v>0.007140751407296019</v>
      </c>
      <c r="AG113" s="30" t="n">
        <v>0</v>
      </c>
      <c r="AH113" s="30" t="n">
        <v>1.228469691721989e-05</v>
      </c>
      <c r="AI113" s="30" t="n">
        <v>0.0002998350315635276</v>
      </c>
      <c r="AJ113" s="30" t="n">
        <v>0.0003750735787279196</v>
      </c>
      <c r="AK113" s="30" t="n">
        <v>0.0001880948717739569</v>
      </c>
      <c r="AL113" s="30" t="n">
        <v>0.01316560346465253</v>
      </c>
      <c r="AM113" s="30" t="n">
        <v>0.01404089164363515</v>
      </c>
      <c r="AN113" s="32" t="n">
        <v>0</v>
      </c>
      <c r="AO113" s="32" t="n">
        <v>8.750026411319886e-06</v>
      </c>
      <c r="AP113" s="32" t="n">
        <v>3.780625952663593e-07</v>
      </c>
      <c r="AQ113" s="32" t="n">
        <v>7.464152422116936e-07</v>
      </c>
      <c r="AR113" s="32" t="n">
        <v>7.643669331883957e-07</v>
      </c>
      <c r="AS113" s="32" t="n">
        <v>1.261345213330121e-05</v>
      </c>
      <c r="AT113" s="32" t="n">
        <v>2.325232331528754e-05</v>
      </c>
      <c r="AU113" s="34" t="n">
        <v>0</v>
      </c>
      <c r="AV113" s="34" t="n">
        <v>0</v>
      </c>
      <c r="AW113" s="34" t="n">
        <v>0.197837902508725</v>
      </c>
      <c r="AX113" s="34" t="n">
        <v>0.1764744841436473</v>
      </c>
      <c r="AY113" s="34" t="n">
        <v>0.157885547121444</v>
      </c>
      <c r="AZ113" s="34" t="n">
        <v>0.6774069618901227</v>
      </c>
      <c r="BA113" s="34" t="n">
        <v>1.209604895663939</v>
      </c>
      <c r="BB113" s="6" t="n"/>
      <c r="BC113" s="6" t="n"/>
      <c r="BD113" t="inlineStr">
        <is>
          <t>transport, Scooter, battery electric, &lt;4kW/CH U</t>
        </is>
      </c>
      <c r="BF113" s="5" t="n">
        <v>0.062149103</v>
      </c>
      <c r="BG113" s="5">
        <f>BF113-R113</f>
        <v>-5.8486841998185018E-3</v>
      </c>
      <c r="BH113" s="2" t="n">
        <v>152.50899</v>
      </c>
    </row>
    <row r="114">
      <c r="A114" t="str">
        <f>B114&amp;" - "&amp;D114&amp;" - "&amp;IF(I114&lt;&gt;"",I114&amp;" - "&amp;E114,E114)</f>
        <v>Scooter, battery electric, &lt;4kW - 2030 - NMC - CH</v>
      </c>
      <c r="B114" t="inlineStr">
        <is>
          <t>Scooter, battery electric, &lt;4kW</t>
        </is>
      </c>
      <c r="D114" s="18" t="n">
        <v>2030</v>
      </c>
      <c r="E114" t="inlineStr">
        <is>
          <t>CH</t>
        </is>
      </c>
      <c r="F114" t="inlineStr">
        <is>
          <t>None</t>
        </is>
      </c>
      <c r="G114" t="inlineStr">
        <is>
          <t>vkm</t>
        </is>
      </c>
      <c r="H114" t="inlineStr">
        <is>
          <t>BEV</t>
        </is>
      </c>
      <c r="I114" t="inlineStr">
        <is>
          <t>NMC</t>
        </is>
      </c>
      <c r="J114" t="inlineStr">
        <is>
          <t>None</t>
        </is>
      </c>
      <c r="L114" s="24" t="n">
        <v>0</v>
      </c>
      <c r="M114" s="24" t="n">
        <v>0</v>
      </c>
      <c r="N114" s="24" t="n">
        <v>0.004230531998315014</v>
      </c>
      <c r="O114" s="24" t="n">
        <v>0.01230659169225786</v>
      </c>
      <c r="P114" s="24" t="n">
        <v>0.004500875881156063</v>
      </c>
      <c r="Q114" s="24" t="n">
        <v>0.04752004847362317</v>
      </c>
      <c r="R114" s="24" t="n">
        <v>0.06855804804535211</v>
      </c>
      <c r="S114" s="26" t="n">
        <v>0</v>
      </c>
      <c r="T114" s="26" t="n">
        <v>0</v>
      </c>
      <c r="U114" s="26" t="n">
        <v>0.000447774029853675</v>
      </c>
      <c r="V114" s="26" t="n">
        <v>0.0004722191823356421</v>
      </c>
      <c r="W114" s="26" t="n">
        <v>0.000311345382275453</v>
      </c>
      <c r="X114" s="26" t="n">
        <v>0.0481282810019204</v>
      </c>
      <c r="Y114" s="26" t="n">
        <v>0.04935961959638517</v>
      </c>
      <c r="Z114" s="28" t="n">
        <v>0</v>
      </c>
      <c r="AA114" s="28" t="n">
        <v>0.002314547765857511</v>
      </c>
      <c r="AB114" s="28" t="n">
        <v>0.0001312248375622248</v>
      </c>
      <c r="AC114" s="28" t="n">
        <v>0.0001543898913344915</v>
      </c>
      <c r="AD114" s="28" t="n">
        <v>0.0001388472301337103</v>
      </c>
      <c r="AE114" s="28" t="n">
        <v>0.004191135098598754</v>
      </c>
      <c r="AF114" s="28" t="n">
        <v>0.006930144823486691</v>
      </c>
      <c r="AG114" s="30" t="n">
        <v>0</v>
      </c>
      <c r="AH114" s="30" t="n">
        <v>1.228469691721989e-05</v>
      </c>
      <c r="AI114" s="30" t="n">
        <v>0.0002998350315635276</v>
      </c>
      <c r="AJ114" s="30" t="n">
        <v>0.0003750735787279196</v>
      </c>
      <c r="AK114" s="30" t="n">
        <v>0.0001881184634596107</v>
      </c>
      <c r="AL114" s="30" t="n">
        <v>0.0127596213245302</v>
      </c>
      <c r="AM114" s="30" t="n">
        <v>0.01363493309519848</v>
      </c>
      <c r="AN114" s="32" t="n">
        <v>0</v>
      </c>
      <c r="AO114" s="32" t="n">
        <v>8.750026411319886e-06</v>
      </c>
      <c r="AP114" s="32" t="n">
        <v>3.780625952663593e-07</v>
      </c>
      <c r="AQ114" s="32" t="n">
        <v>7.464152422116936e-07</v>
      </c>
      <c r="AR114" s="32" t="n">
        <v>7.644600852811017e-07</v>
      </c>
      <c r="AS114" s="32" t="n">
        <v>1.189596265994029e-05</v>
      </c>
      <c r="AT114" s="32" t="n">
        <v>2.253492699401933e-05</v>
      </c>
      <c r="AU114" s="34" t="n">
        <v>0</v>
      </c>
      <c r="AV114" s="34" t="n">
        <v>0</v>
      </c>
      <c r="AW114" s="34" t="n">
        <v>0.197837902508725</v>
      </c>
      <c r="AX114" s="34" t="n">
        <v>0.1764744841436473</v>
      </c>
      <c r="AY114" s="34" t="n">
        <v>0.1579143778695736</v>
      </c>
      <c r="AZ114" s="34" t="n">
        <v>0.6717067451039926</v>
      </c>
      <c r="BA114" s="34" t="n">
        <v>1.203933509625938</v>
      </c>
      <c r="BB114" s="6" t="n"/>
      <c r="BC114" s="6" t="n"/>
      <c r="BD114" t="inlineStr">
        <is>
          <t>transport, Scooter, battery electric, &lt;4kW, 2030/CH U</t>
        </is>
      </c>
      <c r="BF114" s="5" t="n">
        <v>0.06196160799999999</v>
      </c>
      <c r="BG114" s="5">
        <f>BF114-R114</f>
        <v>-6.596440045352113E-3</v>
      </c>
      <c r="BH114" s="2" t="n">
        <v>144.58496</v>
      </c>
    </row>
    <row r="115">
      <c r="A115" t="str">
        <f>B115&amp;" - "&amp;D115&amp;" - "&amp;IF(I115&lt;&gt;"",I115&amp;" - "&amp;E115,E115)</f>
        <v>Scooter, battery electric, &lt;4kW - 2040 - NMC - CH</v>
      </c>
      <c r="B115" t="inlineStr">
        <is>
          <t>Scooter, battery electric, &lt;4kW</t>
        </is>
      </c>
      <c r="D115" s="18" t="n">
        <v>2040</v>
      </c>
      <c r="E115" t="inlineStr">
        <is>
          <t>CH</t>
        </is>
      </c>
      <c r="F115" t="inlineStr">
        <is>
          <t>None</t>
        </is>
      </c>
      <c r="G115" t="inlineStr">
        <is>
          <t>vkm</t>
        </is>
      </c>
      <c r="H115" t="inlineStr">
        <is>
          <t>BEV</t>
        </is>
      </c>
      <c r="I115" t="inlineStr">
        <is>
          <t>NMC</t>
        </is>
      </c>
      <c r="J115" t="inlineStr">
        <is>
          <t>None</t>
        </is>
      </c>
      <c r="L115" s="24" t="n">
        <v>0</v>
      </c>
      <c r="M115" s="24" t="n">
        <v>0</v>
      </c>
      <c r="N115" s="24" t="n">
        <v>0.004230531998315014</v>
      </c>
      <c r="O115" s="24" t="n">
        <v>0.01230659169225786</v>
      </c>
      <c r="P115" s="24" t="n">
        <v>0.004501133834751946</v>
      </c>
      <c r="Q115" s="24" t="n">
        <v>0.04799219909347199</v>
      </c>
      <c r="R115" s="24" t="n">
        <v>0.06903045661879681</v>
      </c>
      <c r="S115" s="26" t="n">
        <v>0</v>
      </c>
      <c r="T115" s="26" t="n">
        <v>0</v>
      </c>
      <c r="U115" s="26" t="n">
        <v>0.000447774029853675</v>
      </c>
      <c r="V115" s="26" t="n">
        <v>0.0004722191823356421</v>
      </c>
      <c r="W115" s="26" t="n">
        <v>0.0003113616817545449</v>
      </c>
      <c r="X115" s="26" t="n">
        <v>0.04552493958179026</v>
      </c>
      <c r="Y115" s="26" t="n">
        <v>0.04675629447573412</v>
      </c>
      <c r="Z115" s="28" t="n">
        <v>0</v>
      </c>
      <c r="AA115" s="28" t="n">
        <v>0.002314547765857511</v>
      </c>
      <c r="AB115" s="28" t="n">
        <v>0.0001312248375622248</v>
      </c>
      <c r="AC115" s="28" t="n">
        <v>0.0001543898913344915</v>
      </c>
      <c r="AD115" s="28" t="n">
        <v>0.000138854639320093</v>
      </c>
      <c r="AE115" s="28" t="n">
        <v>0.004066474035519603</v>
      </c>
      <c r="AF115" s="28" t="n">
        <v>0.006805491169593923</v>
      </c>
      <c r="AG115" s="30" t="n">
        <v>0</v>
      </c>
      <c r="AH115" s="30" t="n">
        <v>1.228469691721989e-05</v>
      </c>
      <c r="AI115" s="30" t="n">
        <v>0.0002998350315635276</v>
      </c>
      <c r="AJ115" s="30" t="n">
        <v>0.0003750735787279196</v>
      </c>
      <c r="AK115" s="30" t="n">
        <v>0.0001881253782640265</v>
      </c>
      <c r="AL115" s="30" t="n">
        <v>0.01252915806510028</v>
      </c>
      <c r="AM115" s="30" t="n">
        <v>0.01340447675057297</v>
      </c>
      <c r="AN115" s="32" t="n">
        <v>0</v>
      </c>
      <c r="AO115" s="32" t="n">
        <v>8.750026411319886e-06</v>
      </c>
      <c r="AP115" s="32" t="n">
        <v>3.780625952663593e-07</v>
      </c>
      <c r="AQ115" s="32" t="n">
        <v>7.464152422116936e-07</v>
      </c>
      <c r="AR115" s="32" t="n">
        <v>7.644873884806881e-07</v>
      </c>
      <c r="AS115" s="32" t="n">
        <v>1.145309309929765e-05</v>
      </c>
      <c r="AT115" s="32" t="n">
        <v>2.209208473657627e-05</v>
      </c>
      <c r="AU115" s="34" t="n">
        <v>0</v>
      </c>
      <c r="AV115" s="34" t="n">
        <v>0</v>
      </c>
      <c r="AW115" s="34" t="n">
        <v>0.197837902508725</v>
      </c>
      <c r="AX115" s="34" t="n">
        <v>0.1764744841436473</v>
      </c>
      <c r="AY115" s="34" t="n">
        <v>0.1579228282612667</v>
      </c>
      <c r="AZ115" s="34" t="n">
        <v>0.6694508718620975</v>
      </c>
      <c r="BA115" s="34" t="n">
        <v>1.201686086775736</v>
      </c>
      <c r="BB115" s="6" t="n"/>
      <c r="BC115" s="6" t="n"/>
      <c r="BD115" t="inlineStr">
        <is>
          <t>transport, Scooter, battery electric, &lt;4kW, 2040/CH U</t>
        </is>
      </c>
      <c r="BF115" s="5" t="n">
        <v>0.06189477</v>
      </c>
      <c r="BG115" s="5">
        <f>BF115-R115</f>
        <v>-7.1356866187968077E-3</v>
      </c>
      <c r="BH115" s="2" t="n">
        <v>139.64868</v>
      </c>
    </row>
    <row r="116">
      <c r="A116" t="str">
        <f>B116&amp;" - "&amp;D116&amp;" - "&amp;IF(I116&lt;&gt;"",I116&amp;" - "&amp;E116,E116)</f>
        <v>Scooter, battery electric, &lt;4kW - 2050 - NMC - CH</v>
      </c>
      <c r="B116" t="inlineStr">
        <is>
          <t>Scooter, battery electric, &lt;4kW</t>
        </is>
      </c>
      <c r="D116" s="18" t="n">
        <v>2050</v>
      </c>
      <c r="E116" t="inlineStr">
        <is>
          <t>CH</t>
        </is>
      </c>
      <c r="F116" t="inlineStr">
        <is>
          <t>None</t>
        </is>
      </c>
      <c r="G116" t="inlineStr">
        <is>
          <t>vkm</t>
        </is>
      </c>
      <c r="H116" t="inlineStr">
        <is>
          <t>BEV</t>
        </is>
      </c>
      <c r="I116" t="inlineStr">
        <is>
          <t>NMC</t>
        </is>
      </c>
      <c r="J116" t="inlineStr">
        <is>
          <t>None</t>
        </is>
      </c>
      <c r="L116" s="24" t="n">
        <v>0</v>
      </c>
      <c r="M116" s="24" t="n">
        <v>0</v>
      </c>
      <c r="N116" s="24" t="n">
        <v>0.004230531998315014</v>
      </c>
      <c r="O116" s="24" t="n">
        <v>0.01230659169225786</v>
      </c>
      <c r="P116" s="24" t="n">
        <v>0.004503364374669295</v>
      </c>
      <c r="Q116" s="24" t="n">
        <v>0.04826912265091527</v>
      </c>
      <c r="R116" s="24" t="n">
        <v>0.06930961071615743</v>
      </c>
      <c r="S116" s="26" t="n">
        <v>0</v>
      </c>
      <c r="T116" s="26" t="n">
        <v>0</v>
      </c>
      <c r="U116" s="26" t="n">
        <v>0.000447774029853675</v>
      </c>
      <c r="V116" s="26" t="n">
        <v>0.0004722191823356421</v>
      </c>
      <c r="W116" s="26" t="n">
        <v>0.0003115026243090452</v>
      </c>
      <c r="X116" s="26" t="n">
        <v>0.04252764461027689</v>
      </c>
      <c r="Y116" s="26" t="n">
        <v>0.04375914044677525</v>
      </c>
      <c r="Z116" s="28" t="n">
        <v>0</v>
      </c>
      <c r="AA116" s="28" t="n">
        <v>0.002314547765857511</v>
      </c>
      <c r="AB116" s="28" t="n">
        <v>0.0001312248375622248</v>
      </c>
      <c r="AC116" s="28" t="n">
        <v>0.0001543898913344915</v>
      </c>
      <c r="AD116" s="28" t="n">
        <v>0.0001389187069905791</v>
      </c>
      <c r="AE116" s="28" t="n">
        <v>0.003910518570326481</v>
      </c>
      <c r="AF116" s="28" t="n">
        <v>0.006649599772071288</v>
      </c>
      <c r="AG116" s="30" t="n">
        <v>0</v>
      </c>
      <c r="AH116" s="30" t="n">
        <v>1.228469691721989e-05</v>
      </c>
      <c r="AI116" s="30" t="n">
        <v>0.0002998350315635276</v>
      </c>
      <c r="AJ116" s="30" t="n">
        <v>0.0003750735787279196</v>
      </c>
      <c r="AK116" s="30" t="n">
        <v>0.0001881851709845629</v>
      </c>
      <c r="AL116" s="30" t="n">
        <v>0.01221833230624189</v>
      </c>
      <c r="AM116" s="30" t="n">
        <v>0.01309371078443512</v>
      </c>
      <c r="AN116" s="32" t="n">
        <v>0</v>
      </c>
      <c r="AO116" s="32" t="n">
        <v>8.750026411319886e-06</v>
      </c>
      <c r="AP116" s="32" t="n">
        <v>3.780625952663593e-07</v>
      </c>
      <c r="AQ116" s="32" t="n">
        <v>7.464152422116936e-07</v>
      </c>
      <c r="AR116" s="32" t="n">
        <v>7.647234808535809e-07</v>
      </c>
      <c r="AS116" s="32" t="n">
        <v>1.094014660301449e-05</v>
      </c>
      <c r="AT116" s="32" t="n">
        <v>2.157937433266601e-05</v>
      </c>
      <c r="AU116" s="34" t="n">
        <v>0</v>
      </c>
      <c r="AV116" s="34" t="n">
        <v>0</v>
      </c>
      <c r="AW116" s="34" t="n">
        <v>0.197837902508725</v>
      </c>
      <c r="AX116" s="34" t="n">
        <v>0.1764744841436473</v>
      </c>
      <c r="AY116" s="34" t="n">
        <v>0.1579958992953191</v>
      </c>
      <c r="AZ116" s="34" t="n">
        <v>0.664154624421501</v>
      </c>
      <c r="BA116" s="34" t="n">
        <v>1.196462910369192</v>
      </c>
      <c r="BB116" s="6" t="n"/>
      <c r="BC116" s="6" t="n"/>
      <c r="BD116" t="inlineStr">
        <is>
          <t>transport, Scooter, battery electric, &lt;4kW, 2050/CH U</t>
        </is>
      </c>
      <c r="BF116" s="5" t="n">
        <v>0.061719412</v>
      </c>
      <c r="BG116" s="5">
        <f>BF116-R116</f>
        <v>-7.5901987161574314E-3</v>
      </c>
      <c r="BH116" s="2" t="n">
        <v>134.03406</v>
      </c>
    </row>
    <row r="117">
      <c r="A117" t="str">
        <f>B117&amp;" - "&amp;D117&amp;" - "&amp;IF(I117&lt;&gt;"",I117&amp;" - "&amp;E117,E117)</f>
        <v>Scooter, battery electric, 4-11kW - 2020 - NMC - CH</v>
      </c>
      <c r="B117" t="inlineStr">
        <is>
          <t>Scooter, battery electric, 4-11kW</t>
        </is>
      </c>
      <c r="D117" s="18" t="n">
        <v>2020</v>
      </c>
      <c r="E117" t="inlineStr">
        <is>
          <t>CH</t>
        </is>
      </c>
      <c r="F117" t="inlineStr">
        <is>
          <t>None</t>
        </is>
      </c>
      <c r="G117" t="inlineStr">
        <is>
          <t>vkm</t>
        </is>
      </c>
      <c r="H117" t="inlineStr">
        <is>
          <t>BEV</t>
        </is>
      </c>
      <c r="I117" t="inlineStr">
        <is>
          <t>NMC</t>
        </is>
      </c>
      <c r="J117" t="inlineStr">
        <is>
          <t>None</t>
        </is>
      </c>
      <c r="L117" s="24" t="n">
        <v>0</v>
      </c>
      <c r="M117" s="24" t="n">
        <v>0</v>
      </c>
      <c r="N117" s="24" t="n">
        <v>0.006005316500848137</v>
      </c>
      <c r="O117" s="24" t="n">
        <v>0.01230659169225786</v>
      </c>
      <c r="P117" s="24" t="n">
        <v>0.004638835533731117</v>
      </c>
      <c r="Q117" s="24" t="n">
        <v>0.06522091449734307</v>
      </c>
      <c r="R117" s="24" t="n">
        <v>0.08817165822418019</v>
      </c>
      <c r="S117" s="26" t="n">
        <v>0</v>
      </c>
      <c r="T117" s="26" t="n">
        <v>0</v>
      </c>
      <c r="U117" s="26" t="n">
        <v>0.0006356233143260842</v>
      </c>
      <c r="V117" s="26" t="n">
        <v>0.0004722191823356421</v>
      </c>
      <c r="W117" s="26" t="n">
        <v>0.0003200627272109453</v>
      </c>
      <c r="X117" s="26" t="n">
        <v>0.07585573578384486</v>
      </c>
      <c r="Y117" s="26" t="n">
        <v>0.07728364100771754</v>
      </c>
      <c r="Z117" s="28" t="n">
        <v>0</v>
      </c>
      <c r="AA117" s="28" t="n">
        <v>0.002314547765857511</v>
      </c>
      <c r="AB117" s="28" t="n">
        <v>0.0001862760245395656</v>
      </c>
      <c r="AC117" s="28" t="n">
        <v>0.0001543898913344915</v>
      </c>
      <c r="AD117" s="28" t="n">
        <v>0.000142809837344999</v>
      </c>
      <c r="AE117" s="28" t="n">
        <v>0.006259954406496352</v>
      </c>
      <c r="AF117" s="28" t="n">
        <v>0.009057977925572919</v>
      </c>
      <c r="AG117" s="30" t="n">
        <v>0</v>
      </c>
      <c r="AH117" s="30" t="n">
        <v>1.228469691721989e-05</v>
      </c>
      <c r="AI117" s="30" t="n">
        <v>0.0004256212370685154</v>
      </c>
      <c r="AJ117" s="30" t="n">
        <v>0.0003750735787279196</v>
      </c>
      <c r="AK117" s="30" t="n">
        <v>0.0001918166635624495</v>
      </c>
      <c r="AL117" s="30" t="n">
        <v>0.01889684933748047</v>
      </c>
      <c r="AM117" s="30" t="n">
        <v>0.01990164551375657</v>
      </c>
      <c r="AN117" s="32" t="n">
        <v>0</v>
      </c>
      <c r="AO117" s="32" t="n">
        <v>8.750026411319886e-06</v>
      </c>
      <c r="AP117" s="32" t="n">
        <v>5.366666751630325e-07</v>
      </c>
      <c r="AQ117" s="32" t="n">
        <v>7.464152422116936e-07</v>
      </c>
      <c r="AR117" s="32" t="n">
        <v>7.790624788480584e-07</v>
      </c>
      <c r="AS117" s="32" t="n">
        <v>1.733207187864361e-05</v>
      </c>
      <c r="AT117" s="32" t="n">
        <v>2.814424268618628e-05</v>
      </c>
      <c r="AU117" s="34" t="n">
        <v>0</v>
      </c>
      <c r="AV117" s="34" t="n">
        <v>0</v>
      </c>
      <c r="AW117" s="34" t="n">
        <v>0.2808344720952432</v>
      </c>
      <c r="AX117" s="34" t="n">
        <v>0.1764744841436473</v>
      </c>
      <c r="AY117" s="34" t="n">
        <v>0.1624338461798077</v>
      </c>
      <c r="AZ117" s="34" t="n">
        <v>0.9414577150301215</v>
      </c>
      <c r="BA117" s="34" t="n">
        <v>1.56120051744882</v>
      </c>
      <c r="BB117" s="6" t="n"/>
      <c r="BC117" s="6" t="n"/>
      <c r="BD117" t="inlineStr">
        <is>
          <t>transport, Scooter, battery electric, 4-11kW/CH U</t>
        </is>
      </c>
      <c r="BF117" s="5" t="n">
        <v>0.07768446600000001</v>
      </c>
      <c r="BG117" s="5">
        <f>BF117-R117</f>
        <v>-1.0487192224180181E-2</v>
      </c>
      <c r="BH117" s="2" t="n">
        <v>200.99196</v>
      </c>
    </row>
    <row r="118">
      <c r="A118" t="str">
        <f>B118&amp;" - "&amp;D118&amp;" - "&amp;IF(I118&lt;&gt;"",I118&amp;" - "&amp;E118,E118)</f>
        <v>Scooter, battery electric, 4-11kW - 2030 - NMC - CH</v>
      </c>
      <c r="B118" t="inlineStr">
        <is>
          <t>Scooter, battery electric, 4-11kW</t>
        </is>
      </c>
      <c r="D118" s="18" t="n">
        <v>2030</v>
      </c>
      <c r="E118" t="inlineStr">
        <is>
          <t>CH</t>
        </is>
      </c>
      <c r="F118" t="inlineStr">
        <is>
          <t>None</t>
        </is>
      </c>
      <c r="G118" t="inlineStr">
        <is>
          <t>vkm</t>
        </is>
      </c>
      <c r="H118" t="inlineStr">
        <is>
          <t>BEV</t>
        </is>
      </c>
      <c r="I118" t="inlineStr">
        <is>
          <t>NMC</t>
        </is>
      </c>
      <c r="J118" t="inlineStr">
        <is>
          <t>None</t>
        </is>
      </c>
      <c r="L118" s="24" t="n">
        <v>0</v>
      </c>
      <c r="M118" s="24" t="n">
        <v>0</v>
      </c>
      <c r="N118" s="24" t="n">
        <v>0.006005316500848137</v>
      </c>
      <c r="O118" s="24" t="n">
        <v>0.01230659169225786</v>
      </c>
      <c r="P118" s="24" t="n">
        <v>0.004642158582995738</v>
      </c>
      <c r="Q118" s="24" t="n">
        <v>0.06503158780121078</v>
      </c>
      <c r="R118" s="24" t="n">
        <v>0.08798565457731251</v>
      </c>
      <c r="S118" s="26" t="n">
        <v>0</v>
      </c>
      <c r="T118" s="26" t="n">
        <v>0</v>
      </c>
      <c r="U118" s="26" t="n">
        <v>0.0006356233143260842</v>
      </c>
      <c r="V118" s="26" t="n">
        <v>0.0004722191823356421</v>
      </c>
      <c r="W118" s="26" t="n">
        <v>0.0003202727028533642</v>
      </c>
      <c r="X118" s="26" t="n">
        <v>0.06937058865490235</v>
      </c>
      <c r="Y118" s="26" t="n">
        <v>0.07079870385441744</v>
      </c>
      <c r="Z118" s="28" t="n">
        <v>0</v>
      </c>
      <c r="AA118" s="28" t="n">
        <v>0.002314547765857511</v>
      </c>
      <c r="AB118" s="28" t="n">
        <v>0.0001862760245395656</v>
      </c>
      <c r="AC118" s="28" t="n">
        <v>0.0001543898913344915</v>
      </c>
      <c r="AD118" s="28" t="n">
        <v>0.0001429052850989885</v>
      </c>
      <c r="AE118" s="28" t="n">
        <v>0.005885380434695241</v>
      </c>
      <c r="AF118" s="28" t="n">
        <v>0.008683499401525796</v>
      </c>
      <c r="AG118" s="30" t="n">
        <v>0</v>
      </c>
      <c r="AH118" s="30" t="n">
        <v>1.228469691721989e-05</v>
      </c>
      <c r="AI118" s="30" t="n">
        <v>0.0004256212370685154</v>
      </c>
      <c r="AJ118" s="30" t="n">
        <v>0.0003750735787279196</v>
      </c>
      <c r="AK118" s="30" t="n">
        <v>0.0001919057425134528</v>
      </c>
      <c r="AL118" s="30" t="n">
        <v>0.0180927369906165</v>
      </c>
      <c r="AM118" s="30" t="n">
        <v>0.01909762224584361</v>
      </c>
      <c r="AN118" s="32" t="n">
        <v>0</v>
      </c>
      <c r="AO118" s="32" t="n">
        <v>8.750026411319886e-06</v>
      </c>
      <c r="AP118" s="32" t="n">
        <v>5.366666751630325e-07</v>
      </c>
      <c r="AQ118" s="32" t="n">
        <v>7.464152422116936e-07</v>
      </c>
      <c r="AR118" s="32" t="n">
        <v>7.794142083015521e-07</v>
      </c>
      <c r="AS118" s="32" t="n">
        <v>1.620892988045818e-05</v>
      </c>
      <c r="AT118" s="32" t="n">
        <v>2.702145241745435e-05</v>
      </c>
      <c r="AU118" s="34" t="n">
        <v>0</v>
      </c>
      <c r="AV118" s="34" t="n">
        <v>0</v>
      </c>
      <c r="AW118" s="34" t="n">
        <v>0.2808344720952432</v>
      </c>
      <c r="AX118" s="34" t="n">
        <v>0.1764744841436473</v>
      </c>
      <c r="AY118" s="34" t="n">
        <v>0.1625427071080899</v>
      </c>
      <c r="AZ118" s="34" t="n">
        <v>0.9219357382476792</v>
      </c>
      <c r="BA118" s="34" t="n">
        <v>1.54178740159466</v>
      </c>
      <c r="BB118" s="6" t="n"/>
      <c r="BC118" s="6" t="n"/>
      <c r="BD118" t="inlineStr">
        <is>
          <t>transport, Scooter, battery electric, 4-11kW, 2030/CH U</t>
        </is>
      </c>
      <c r="BF118" s="5" t="n">
        <v>0.07697240500000001</v>
      </c>
      <c r="BG118" s="5">
        <f>BF118-R118</f>
        <v>-1.1013249577312506E-2</v>
      </c>
      <c r="BH118" s="2" t="n">
        <v>188.8697</v>
      </c>
    </row>
    <row r="119">
      <c r="A119" t="str">
        <f>B119&amp;" - "&amp;D119&amp;" - "&amp;IF(I119&lt;&gt;"",I119&amp;" - "&amp;E119,E119)</f>
        <v>Scooter, battery electric, 4-11kW - 2040 - NMC - CH</v>
      </c>
      <c r="B119" t="inlineStr">
        <is>
          <t>Scooter, battery electric, 4-11kW</t>
        </is>
      </c>
      <c r="D119" s="18" t="n">
        <v>2040</v>
      </c>
      <c r="E119" t="inlineStr">
        <is>
          <t>CH</t>
        </is>
      </c>
      <c r="F119" t="inlineStr">
        <is>
          <t>None</t>
        </is>
      </c>
      <c r="G119" t="inlineStr">
        <is>
          <t>vkm</t>
        </is>
      </c>
      <c r="H119" t="inlineStr">
        <is>
          <t>BEV</t>
        </is>
      </c>
      <c r="I119" t="inlineStr">
        <is>
          <t>NMC</t>
        </is>
      </c>
      <c r="J119" t="inlineStr">
        <is>
          <t>None</t>
        </is>
      </c>
      <c r="L119" s="24" t="n">
        <v>0</v>
      </c>
      <c r="M119" s="24" t="n">
        <v>0</v>
      </c>
      <c r="N119" s="24" t="n">
        <v>0.006005316500848137</v>
      </c>
      <c r="O119" s="24" t="n">
        <v>0.01230659169225786</v>
      </c>
      <c r="P119" s="24" t="n">
        <v>0.00464338765601142</v>
      </c>
      <c r="Q119" s="24" t="n">
        <v>0.06500298317568816</v>
      </c>
      <c r="R119" s="24" t="n">
        <v>0.08795827902480557</v>
      </c>
      <c r="S119" s="26" t="n">
        <v>0</v>
      </c>
      <c r="T119" s="26" t="n">
        <v>0</v>
      </c>
      <c r="U119" s="26" t="n">
        <v>0.0006356233143260842</v>
      </c>
      <c r="V119" s="26" t="n">
        <v>0.0004722191823356421</v>
      </c>
      <c r="W119" s="26" t="n">
        <v>0.0003203503650772726</v>
      </c>
      <c r="X119" s="26" t="n">
        <v>0.06524413384954345</v>
      </c>
      <c r="Y119" s="26" t="n">
        <v>0.06667232671128244</v>
      </c>
      <c r="Z119" s="28" t="n">
        <v>0</v>
      </c>
      <c r="AA119" s="28" t="n">
        <v>0.002314547765857511</v>
      </c>
      <c r="AB119" s="28" t="n">
        <v>0.0001862760245395656</v>
      </c>
      <c r="AC119" s="28" t="n">
        <v>0.0001543898913344915</v>
      </c>
      <c r="AD119" s="28" t="n">
        <v>0.0001429405876929298</v>
      </c>
      <c r="AE119" s="28" t="n">
        <v>0.005651311644191665</v>
      </c>
      <c r="AF119" s="28" t="n">
        <v>0.008449465913616163</v>
      </c>
      <c r="AG119" s="30" t="n">
        <v>0</v>
      </c>
      <c r="AH119" s="30" t="n">
        <v>1.228469691721989e-05</v>
      </c>
      <c r="AI119" s="30" t="n">
        <v>0.0004256212370685154</v>
      </c>
      <c r="AJ119" s="30" t="n">
        <v>0.0003750735787279196</v>
      </c>
      <c r="AK119" s="30" t="n">
        <v>0.000191938689522728</v>
      </c>
      <c r="AL119" s="30" t="n">
        <v>0.01759684327273594</v>
      </c>
      <c r="AM119" s="30" t="n">
        <v>0.01860176147497232</v>
      </c>
      <c r="AN119" s="32" t="n">
        <v>0</v>
      </c>
      <c r="AO119" s="32" t="n">
        <v>8.750026411319886e-06</v>
      </c>
      <c r="AP119" s="32" t="n">
        <v>5.366666751630325e-07</v>
      </c>
      <c r="AQ119" s="32" t="n">
        <v>7.464152422116936e-07</v>
      </c>
      <c r="AR119" s="32" t="n">
        <v>7.795443000172277e-07</v>
      </c>
      <c r="AS119" s="32" t="n">
        <v>1.549520703867477e-05</v>
      </c>
      <c r="AT119" s="32" t="n">
        <v>2.630785966738661e-05</v>
      </c>
      <c r="AU119" s="34" t="n">
        <v>0</v>
      </c>
      <c r="AV119" s="34" t="n">
        <v>0</v>
      </c>
      <c r="AW119" s="34" t="n">
        <v>0.2808344720952432</v>
      </c>
      <c r="AX119" s="34" t="n">
        <v>0.1764744841436473</v>
      </c>
      <c r="AY119" s="34" t="n">
        <v>0.1625829707390984</v>
      </c>
      <c r="AZ119" s="34" t="n">
        <v>0.9104412702927789</v>
      </c>
      <c r="BA119" s="34" t="n">
        <v>1.530333197270768</v>
      </c>
      <c r="BB119" s="6" t="n"/>
      <c r="BC119" s="6" t="n"/>
      <c r="BD119" t="inlineStr">
        <is>
          <t>transport, Scooter, battery electric, 4-11kW, 2040/CH U</t>
        </is>
      </c>
      <c r="BF119" s="5" t="n">
        <v>0.076549912</v>
      </c>
      <c r="BG119" s="5">
        <f>BF119-R119</f>
        <v>-1.1408367024805577E-2</v>
      </c>
      <c r="BH119" s="2" t="n">
        <v>181.12362</v>
      </c>
    </row>
    <row r="120">
      <c r="A120" t="str">
        <f>B120&amp;" - "&amp;D120&amp;" - "&amp;IF(I120&lt;&gt;"",I120&amp;" - "&amp;E120,E120)</f>
        <v>Scooter, battery electric, 4-11kW - 2050 - NMC - CH</v>
      </c>
      <c r="B120" t="inlineStr">
        <is>
          <t>Scooter, battery electric, 4-11kW</t>
        </is>
      </c>
      <c r="D120" s="18" t="n">
        <v>2050</v>
      </c>
      <c r="E120" t="inlineStr">
        <is>
          <t>CH</t>
        </is>
      </c>
      <c r="F120" t="inlineStr">
        <is>
          <t>None</t>
        </is>
      </c>
      <c r="G120" t="inlineStr">
        <is>
          <t>vkm</t>
        </is>
      </c>
      <c r="H120" t="inlineStr">
        <is>
          <t>BEV</t>
        </is>
      </c>
      <c r="I120" t="inlineStr">
        <is>
          <t>NMC</t>
        </is>
      </c>
      <c r="J120" t="inlineStr">
        <is>
          <t>None</t>
        </is>
      </c>
      <c r="L120" s="24" t="n">
        <v>0</v>
      </c>
      <c r="M120" s="24" t="n">
        <v>0</v>
      </c>
      <c r="N120" s="24" t="n">
        <v>0.006005316500848137</v>
      </c>
      <c r="O120" s="24" t="n">
        <v>0.01230659169225786</v>
      </c>
      <c r="P120" s="24" t="n">
        <v>0.004642249625441345</v>
      </c>
      <c r="Q120" s="24" t="n">
        <v>0.06404820697941088</v>
      </c>
      <c r="R120" s="24" t="n">
        <v>0.08700236479795823</v>
      </c>
      <c r="S120" s="26" t="n">
        <v>0</v>
      </c>
      <c r="T120" s="26" t="n">
        <v>0</v>
      </c>
      <c r="U120" s="26" t="n">
        <v>0.0006356233143260842</v>
      </c>
      <c r="V120" s="26" t="n">
        <v>0.0004722191823356421</v>
      </c>
      <c r="W120" s="26" t="n">
        <v>0.0003202784556106908</v>
      </c>
      <c r="X120" s="26" t="n">
        <v>0.05930492201080428</v>
      </c>
      <c r="Y120" s="26" t="n">
        <v>0.0607330429630767</v>
      </c>
      <c r="Z120" s="28" t="n">
        <v>0</v>
      </c>
      <c r="AA120" s="28" t="n">
        <v>0.002314547765857511</v>
      </c>
      <c r="AB120" s="28" t="n">
        <v>0.0001862760245395656</v>
      </c>
      <c r="AC120" s="28" t="n">
        <v>0.0001543898913344915</v>
      </c>
      <c r="AD120" s="28" t="n">
        <v>0.0001429079001059471</v>
      </c>
      <c r="AE120" s="28" t="n">
        <v>0.005271322862606283</v>
      </c>
      <c r="AF120" s="28" t="n">
        <v>0.008069444444443798</v>
      </c>
      <c r="AG120" s="30" t="n">
        <v>0</v>
      </c>
      <c r="AH120" s="30" t="n">
        <v>1.228469691721989e-05</v>
      </c>
      <c r="AI120" s="30" t="n">
        <v>0.0004256212370685154</v>
      </c>
      <c r="AJ120" s="30" t="n">
        <v>0.0003750735787279196</v>
      </c>
      <c r="AK120" s="30" t="n">
        <v>0.0001919081830326583</v>
      </c>
      <c r="AL120" s="30" t="n">
        <v>0.01673110405426795</v>
      </c>
      <c r="AM120" s="30" t="n">
        <v>0.01773599175001427</v>
      </c>
      <c r="AN120" s="32" t="n">
        <v>0</v>
      </c>
      <c r="AO120" s="32" t="n">
        <v>8.750026411319886e-06</v>
      </c>
      <c r="AP120" s="32" t="n">
        <v>5.366666751630325e-07</v>
      </c>
      <c r="AQ120" s="32" t="n">
        <v>7.464152422116936e-07</v>
      </c>
      <c r="AR120" s="32" t="n">
        <v>7.794238447249354e-07</v>
      </c>
      <c r="AS120" s="32" t="n">
        <v>1.445185205113875e-05</v>
      </c>
      <c r="AT120" s="32" t="n">
        <v>2.52643842245583e-05</v>
      </c>
      <c r="AU120" s="34" t="n">
        <v>0</v>
      </c>
      <c r="AV120" s="34" t="n">
        <v>0</v>
      </c>
      <c r="AW120" s="34" t="n">
        <v>0.2808344720952432</v>
      </c>
      <c r="AX120" s="34" t="n">
        <v>0.1764744841436473</v>
      </c>
      <c r="AY120" s="34" t="n">
        <v>0.1625456895992757</v>
      </c>
      <c r="AZ120" s="34" t="n">
        <v>0.884542031444143</v>
      </c>
      <c r="BA120" s="34" t="n">
        <v>1.504396677282309</v>
      </c>
      <c r="BB120" s="6" t="n"/>
      <c r="BC120" s="6" t="n"/>
      <c r="BD120" t="inlineStr">
        <is>
          <t>transport, Scooter, battery electric, 4-11kW, 2050/CH U</t>
        </is>
      </c>
      <c r="BF120" s="5" t="n">
        <v>0.0755629</v>
      </c>
      <c r="BG120" s="5">
        <f>BF120-R120</f>
        <v>-1.1439464797958224E-2</v>
      </c>
      <c r="BH120" s="2" t="n">
        <v>170.06222</v>
      </c>
    </row>
    <row r="121">
      <c r="A121" t="str">
        <f>B121&amp;" - "&amp;D121&amp;" - "&amp;IF(I121&lt;&gt;"",I121&amp;" - "&amp;E121,E121)</f>
        <v>Scooter, battery electric, &lt;4kW - 2020 - LFP - CH</v>
      </c>
      <c r="B121" t="inlineStr">
        <is>
          <t>Scooter, battery electric, &lt;4kW</t>
        </is>
      </c>
      <c r="D121" s="18" t="n">
        <v>2020</v>
      </c>
      <c r="E121" t="inlineStr">
        <is>
          <t>CH</t>
        </is>
      </c>
      <c r="F121" t="inlineStr">
        <is>
          <t>None</t>
        </is>
      </c>
      <c r="G121" t="inlineStr">
        <is>
          <t>vkm</t>
        </is>
      </c>
      <c r="H121" t="inlineStr">
        <is>
          <t>BEV</t>
        </is>
      </c>
      <c r="I121" t="inlineStr">
        <is>
          <t>LFP</t>
        </is>
      </c>
      <c r="J121" t="inlineStr">
        <is>
          <t>None</t>
        </is>
      </c>
      <c r="L121" s="24" t="n">
        <v>0</v>
      </c>
      <c r="M121" s="24" t="n">
        <v>0</v>
      </c>
      <c r="N121" s="24" t="n">
        <v>0.004230531998315014</v>
      </c>
      <c r="O121" s="24" t="n">
        <v>0.01230659169225786</v>
      </c>
      <c r="P121" s="24" t="n">
        <v>0.004568050032272403</v>
      </c>
      <c r="Q121" s="24" t="n">
        <v>0.05879790962131647</v>
      </c>
      <c r="R121" s="24" t="n">
        <v>0.07990308334416175</v>
      </c>
      <c r="S121" s="26" t="n">
        <v>0</v>
      </c>
      <c r="T121" s="26" t="n">
        <v>0</v>
      </c>
      <c r="U121" s="26" t="n">
        <v>0.000447774029853675</v>
      </c>
      <c r="V121" s="26" t="n">
        <v>0.0004722191823356421</v>
      </c>
      <c r="W121" s="26" t="n">
        <v>0.000315589958389556</v>
      </c>
      <c r="X121" s="26" t="n">
        <v>0.03641523524177943</v>
      </c>
      <c r="Y121" s="26" t="n">
        <v>0.0376508184123583</v>
      </c>
      <c r="Z121" s="28" t="n">
        <v>0</v>
      </c>
      <c r="AA121" s="28" t="n">
        <v>0.002314547765857511</v>
      </c>
      <c r="AB121" s="28" t="n">
        <v>0.0001312248375622248</v>
      </c>
      <c r="AC121" s="28" t="n">
        <v>0.0001543898913344915</v>
      </c>
      <c r="AD121" s="28" t="n">
        <v>0.0001407766694346754</v>
      </c>
      <c r="AE121" s="28" t="n">
        <v>0.004445369311497564</v>
      </c>
      <c r="AF121" s="28" t="n">
        <v>0.007186308475686467</v>
      </c>
      <c r="AG121" s="30" t="n">
        <v>0</v>
      </c>
      <c r="AH121" s="30" t="n">
        <v>1.228469691721989e-05</v>
      </c>
      <c r="AI121" s="30" t="n">
        <v>0.0002998350315635276</v>
      </c>
      <c r="AJ121" s="30" t="n">
        <v>0.0003750735787279196</v>
      </c>
      <c r="AK121" s="30" t="n">
        <v>0.0001899191598801197</v>
      </c>
      <c r="AL121" s="30" t="n">
        <v>0.01519820431262067</v>
      </c>
      <c r="AM121" s="30" t="n">
        <v>0.01607531677970946</v>
      </c>
      <c r="AN121" s="32" t="n">
        <v>0</v>
      </c>
      <c r="AO121" s="32" t="n">
        <v>8.750026411319886e-06</v>
      </c>
      <c r="AP121" s="32" t="n">
        <v>3.780625952663593e-07</v>
      </c>
      <c r="AQ121" s="32" t="n">
        <v>7.464152422116936e-07</v>
      </c>
      <c r="AR121" s="32" t="n">
        <v>7.715701596674763e-07</v>
      </c>
      <c r="AS121" s="32" t="n">
        <v>1.095171499273861e-05</v>
      </c>
      <c r="AT121" s="32" t="n">
        <v>2.159778940120402e-05</v>
      </c>
      <c r="AU121" s="34" t="n">
        <v>0</v>
      </c>
      <c r="AV121" s="34" t="n">
        <v>0</v>
      </c>
      <c r="AW121" s="34" t="n">
        <v>0.197837902508725</v>
      </c>
      <c r="AX121" s="34" t="n">
        <v>0.1764744841436473</v>
      </c>
      <c r="AY121" s="34" t="n">
        <v>0.1601149592828387</v>
      </c>
      <c r="AZ121" s="34" t="n">
        <v>0.7994531106758759</v>
      </c>
      <c r="BA121" s="34" t="n">
        <v>1.333880456611087</v>
      </c>
      <c r="BB121" s="6" t="n"/>
      <c r="BC121" s="6" t="n"/>
      <c r="BD121" t="inlineStr">
        <is>
          <t>transport, Scooter, battery electric, &lt;4kW, LFP battery/CH U</t>
        </is>
      </c>
      <c r="BF121" s="5" t="n">
        <v>0.07334919300000001</v>
      </c>
      <c r="BG121" s="5">
        <f>BF121-R121</f>
        <v>-6.5538903441617474E-3</v>
      </c>
      <c r="BH121" s="2" t="n">
        <v>184.71237</v>
      </c>
    </row>
    <row r="122">
      <c r="A122" t="str">
        <f>B122&amp;" - "&amp;D122&amp;" - "&amp;IF(I122&lt;&gt;"",I122&amp;" - "&amp;E122,E122)</f>
        <v>Scooter, battery electric, &lt;4kW - 2030 - LFP - CH</v>
      </c>
      <c r="B122" t="inlineStr">
        <is>
          <t>Scooter, battery electric, &lt;4kW</t>
        </is>
      </c>
      <c r="D122" s="18" t="n">
        <v>2030</v>
      </c>
      <c r="E122" t="inlineStr">
        <is>
          <t>CH</t>
        </is>
      </c>
      <c r="F122" t="inlineStr">
        <is>
          <t>None</t>
        </is>
      </c>
      <c r="G122" t="inlineStr">
        <is>
          <t>vkm</t>
        </is>
      </c>
      <c r="H122" t="inlineStr">
        <is>
          <t>BEV</t>
        </is>
      </c>
      <c r="I122" t="inlineStr">
        <is>
          <t>LFP</t>
        </is>
      </c>
      <c r="J122" t="inlineStr">
        <is>
          <t>None</t>
        </is>
      </c>
      <c r="L122" s="24" t="n">
        <v>0</v>
      </c>
      <c r="M122" s="24" t="n">
        <v>0</v>
      </c>
      <c r="N122" s="24" t="n">
        <v>0.004230531998315014</v>
      </c>
      <c r="O122" s="24" t="n">
        <v>0.01230659169225786</v>
      </c>
      <c r="P122" s="24" t="n">
        <v>0.004619231060443945</v>
      </c>
      <c r="Q122" s="24" t="n">
        <v>0.06449726554971544</v>
      </c>
      <c r="R122" s="24" t="n">
        <v>0.08565362030073226</v>
      </c>
      <c r="S122" s="26" t="n">
        <v>0</v>
      </c>
      <c r="T122" s="26" t="n">
        <v>0</v>
      </c>
      <c r="U122" s="26" t="n">
        <v>0.000447774029853675</v>
      </c>
      <c r="V122" s="26" t="n">
        <v>0.0004722191823356421</v>
      </c>
      <c r="W122" s="26" t="n">
        <v>0.0003188239667999624</v>
      </c>
      <c r="X122" s="26" t="n">
        <v>0.03871417729214565</v>
      </c>
      <c r="Y122" s="26" t="n">
        <v>0.03995299447113493</v>
      </c>
      <c r="Z122" s="28" t="n">
        <v>0</v>
      </c>
      <c r="AA122" s="28" t="n">
        <v>0.002314547765857511</v>
      </c>
      <c r="AB122" s="28" t="n">
        <v>0.0001312248375622248</v>
      </c>
      <c r="AC122" s="28" t="n">
        <v>0.0001543898913344915</v>
      </c>
      <c r="AD122" s="28" t="n">
        <v>0.0001422467391799105</v>
      </c>
      <c r="AE122" s="28" t="n">
        <v>0.004878821597968105</v>
      </c>
      <c r="AF122" s="28" t="n">
        <v>0.007621230831902243</v>
      </c>
      <c r="AG122" s="30" t="n">
        <v>0</v>
      </c>
      <c r="AH122" s="30" t="n">
        <v>1.228469691721989e-05</v>
      </c>
      <c r="AI122" s="30" t="n">
        <v>0.0002998350315635276</v>
      </c>
      <c r="AJ122" s="30" t="n">
        <v>0.0003750735787279196</v>
      </c>
      <c r="AK122" s="30" t="n">
        <v>0.0001912911384268503</v>
      </c>
      <c r="AL122" s="30" t="n">
        <v>0.01657752604065503</v>
      </c>
      <c r="AM122" s="30" t="n">
        <v>0.01745601048629055</v>
      </c>
      <c r="AN122" s="32" t="n">
        <v>0</v>
      </c>
      <c r="AO122" s="32" t="n">
        <v>8.750026411319886e-06</v>
      </c>
      <c r="AP122" s="32" t="n">
        <v>3.780625952663593e-07</v>
      </c>
      <c r="AQ122" s="32" t="n">
        <v>7.464152422116936e-07</v>
      </c>
      <c r="AR122" s="32" t="n">
        <v>7.769874356795028e-07</v>
      </c>
      <c r="AS122" s="32" t="n">
        <v>1.154459782110781e-05</v>
      </c>
      <c r="AT122" s="32" t="n">
        <v>2.219608950558525e-05</v>
      </c>
      <c r="AU122" s="34" t="n">
        <v>0</v>
      </c>
      <c r="AV122" s="34" t="n">
        <v>0</v>
      </c>
      <c r="AW122" s="34" t="n">
        <v>0.197837902508725</v>
      </c>
      <c r="AX122" s="34" t="n">
        <v>0.1764744841436473</v>
      </c>
      <c r="AY122" s="34" t="n">
        <v>0.1617916164111295</v>
      </c>
      <c r="AZ122" s="34" t="n">
        <v>0.8682437648482459</v>
      </c>
      <c r="BA122" s="34" t="n">
        <v>1.404347767911748</v>
      </c>
      <c r="BB122" s="6" t="n"/>
      <c r="BC122" s="6" t="n"/>
      <c r="BD122" t="inlineStr">
        <is>
          <t>transport, Scooter, battery electric, &lt;4kW, LFP battery, 2030/CH U</t>
        </is>
      </c>
      <c r="BF122" s="5" t="n">
        <v>0.076782684</v>
      </c>
      <c r="BG122" s="5">
        <f>BF122-R122</f>
        <v>-8.8709363007322545E-3</v>
      </c>
      <c r="BH122" s="2" t="n">
        <v>194.45586</v>
      </c>
    </row>
    <row r="123">
      <c r="A123" t="str">
        <f>B123&amp;" - "&amp;D123&amp;" - "&amp;IF(I123&lt;&gt;"",I123&amp;" - "&amp;E123,E123)</f>
        <v>Scooter, battery electric, &lt;4kW - 2040 - LFP - CH</v>
      </c>
      <c r="B123" t="inlineStr">
        <is>
          <t>Scooter, battery electric, &lt;4kW</t>
        </is>
      </c>
      <c r="D123" s="18" t="n">
        <v>2040</v>
      </c>
      <c r="E123" t="inlineStr">
        <is>
          <t>CH</t>
        </is>
      </c>
      <c r="F123" t="inlineStr">
        <is>
          <t>None</t>
        </is>
      </c>
      <c r="G123" t="inlineStr">
        <is>
          <t>vkm</t>
        </is>
      </c>
      <c r="H123" t="inlineStr">
        <is>
          <t>BEV</t>
        </is>
      </c>
      <c r="I123" t="inlineStr">
        <is>
          <t>LFP</t>
        </is>
      </c>
      <c r="J123" t="inlineStr">
        <is>
          <t>None</t>
        </is>
      </c>
      <c r="L123" s="24" t="n">
        <v>0</v>
      </c>
      <c r="M123" s="24" t="n">
        <v>0</v>
      </c>
      <c r="N123" s="24" t="n">
        <v>0.004230531998315014</v>
      </c>
      <c r="O123" s="24" t="n">
        <v>0.01230659169225786</v>
      </c>
      <c r="P123" s="24" t="n">
        <v>0.004644146343058137</v>
      </c>
      <c r="Q123" s="24" t="n">
        <v>0.06544086454614235</v>
      </c>
      <c r="R123" s="24" t="n">
        <v>0.08662213457977336</v>
      </c>
      <c r="S123" s="26" t="n">
        <v>0</v>
      </c>
      <c r="T123" s="26" t="n">
        <v>0</v>
      </c>
      <c r="U123" s="26" t="n">
        <v>0.000447774029853675</v>
      </c>
      <c r="V123" s="26" t="n">
        <v>0.0004722191823356421</v>
      </c>
      <c r="W123" s="26" t="n">
        <v>0.0003203983047216605</v>
      </c>
      <c r="X123" s="26" t="n">
        <v>0.03833065195668149</v>
      </c>
      <c r="Y123" s="26" t="n">
        <v>0.03957104347359247</v>
      </c>
      <c r="Z123" s="28" t="n">
        <v>0</v>
      </c>
      <c r="AA123" s="28" t="n">
        <v>0.002314547765857511</v>
      </c>
      <c r="AB123" s="28" t="n">
        <v>0.0001312248375622248</v>
      </c>
      <c r="AC123" s="28" t="n">
        <v>0.0001543898913344915</v>
      </c>
      <c r="AD123" s="28" t="n">
        <v>0.0001429623794175849</v>
      </c>
      <c r="AE123" s="28" t="n">
        <v>0.00488904650651375</v>
      </c>
      <c r="AF123" s="28" t="n">
        <v>0.007632171380685563</v>
      </c>
      <c r="AG123" s="30" t="n">
        <v>0</v>
      </c>
      <c r="AH123" s="30" t="n">
        <v>1.228469691721989e-05</v>
      </c>
      <c r="AI123" s="30" t="n">
        <v>0.0002998350315635276</v>
      </c>
      <c r="AJ123" s="30" t="n">
        <v>0.0003750735787279196</v>
      </c>
      <c r="AK123" s="30" t="n">
        <v>0.0001919590271827744</v>
      </c>
      <c r="AL123" s="30" t="n">
        <v>0.01660881184858444</v>
      </c>
      <c r="AM123" s="30" t="n">
        <v>0.01748796418297588</v>
      </c>
      <c r="AN123" s="32" t="n">
        <v>0</v>
      </c>
      <c r="AO123" s="32" t="n">
        <v>8.750026411319886e-06</v>
      </c>
      <c r="AP123" s="32" t="n">
        <v>3.780625952663593e-07</v>
      </c>
      <c r="AQ123" s="32" t="n">
        <v>7.464152422116936e-07</v>
      </c>
      <c r="AR123" s="32" t="n">
        <v>7.796246035454226e-07</v>
      </c>
      <c r="AS123" s="32" t="n">
        <v>1.147640647557148e-05</v>
      </c>
      <c r="AT123" s="32" t="n">
        <v>2.213053532791484e-05</v>
      </c>
      <c r="AU123" s="34" t="n">
        <v>0</v>
      </c>
      <c r="AV123" s="34" t="n">
        <v>0</v>
      </c>
      <c r="AW123" s="34" t="n">
        <v>0.197837902508725</v>
      </c>
      <c r="AX123" s="34" t="n">
        <v>0.1764744841436473</v>
      </c>
      <c r="AY123" s="34" t="n">
        <v>0.1626078248323135</v>
      </c>
      <c r="AZ123" s="34" t="n">
        <v>0.8755286429088789</v>
      </c>
      <c r="BA123" s="34" t="n">
        <v>1.412448854393565</v>
      </c>
      <c r="BB123" s="6" t="n"/>
      <c r="BC123" s="6" t="n"/>
      <c r="BD123" t="inlineStr">
        <is>
          <t>transport, Scooter, battery electric, &lt;4kW, LFP battery, 2040/CH U</t>
        </is>
      </c>
      <c r="BF123" s="5" t="n">
        <v>0.076949036</v>
      </c>
      <c r="BG123" s="5">
        <f>BF123-R123</f>
        <v>-9.6730985797733593E-3</v>
      </c>
      <c r="BH123" s="2" t="n">
        <v>191.62394</v>
      </c>
    </row>
    <row r="124">
      <c r="A124" t="str">
        <f>B124&amp;" - "&amp;D124&amp;" - "&amp;IF(I124&lt;&gt;"",I124&amp;" - "&amp;E124,E124)</f>
        <v>Scooter, battery electric, &lt;4kW - 2050 - LFP - CH</v>
      </c>
      <c r="B124" t="inlineStr">
        <is>
          <t>Scooter, battery electric, &lt;4kW</t>
        </is>
      </c>
      <c r="D124" s="18" t="n">
        <v>2050</v>
      </c>
      <c r="E124" t="inlineStr">
        <is>
          <t>CH</t>
        </is>
      </c>
      <c r="F124" t="inlineStr">
        <is>
          <t>None</t>
        </is>
      </c>
      <c r="G124" t="inlineStr">
        <is>
          <t>vkm</t>
        </is>
      </c>
      <c r="H124" t="inlineStr">
        <is>
          <t>BEV</t>
        </is>
      </c>
      <c r="I124" t="inlineStr">
        <is>
          <t>LFP</t>
        </is>
      </c>
      <c r="J124" t="inlineStr">
        <is>
          <t>None</t>
        </is>
      </c>
      <c r="L124" s="24" t="n">
        <v>0</v>
      </c>
      <c r="M124" s="24" t="n">
        <v>0</v>
      </c>
      <c r="N124" s="24" t="n">
        <v>0.004230531998315014</v>
      </c>
      <c r="O124" s="24" t="n">
        <v>0.01230659169225786</v>
      </c>
      <c r="P124" s="24" t="n">
        <v>0.004645390589814754</v>
      </c>
      <c r="Q124" s="24" t="n">
        <v>0.0619672857032913</v>
      </c>
      <c r="R124" s="24" t="n">
        <v>0.08314979998367893</v>
      </c>
      <c r="S124" s="26" t="n">
        <v>0</v>
      </c>
      <c r="T124" s="26" t="n">
        <v>0</v>
      </c>
      <c r="U124" s="26" t="n">
        <v>0.000447774029853675</v>
      </c>
      <c r="V124" s="26" t="n">
        <v>0.0004722191823356421</v>
      </c>
      <c r="W124" s="26" t="n">
        <v>0.0003204769257384566</v>
      </c>
      <c r="X124" s="26" t="n">
        <v>0.03499872519285516</v>
      </c>
      <c r="Y124" s="26" t="n">
        <v>0.03623919533078293</v>
      </c>
      <c r="Z124" s="28" t="n">
        <v>0</v>
      </c>
      <c r="AA124" s="28" t="n">
        <v>0.002314547765857511</v>
      </c>
      <c r="AB124" s="28" t="n">
        <v>0.0001312248375622248</v>
      </c>
      <c r="AC124" s="28" t="n">
        <v>0.0001543898913344915</v>
      </c>
      <c r="AD124" s="28" t="n">
        <v>0.0001429981178460193</v>
      </c>
      <c r="AE124" s="28" t="n">
        <v>0.004468802029398962</v>
      </c>
      <c r="AF124" s="28" t="n">
        <v>0.007211962641999208</v>
      </c>
      <c r="AG124" s="30" t="n">
        <v>0</v>
      </c>
      <c r="AH124" s="30" t="n">
        <v>1.228469691721989e-05</v>
      </c>
      <c r="AI124" s="30" t="n">
        <v>0.0002998350315635276</v>
      </c>
      <c r="AJ124" s="30" t="n">
        <v>0.0003750735787279196</v>
      </c>
      <c r="AK124" s="30" t="n">
        <v>0.0001919923809452505</v>
      </c>
      <c r="AL124" s="30" t="n">
        <v>0.01527339342867375</v>
      </c>
      <c r="AM124" s="30" t="n">
        <v>0.01615257911682767</v>
      </c>
      <c r="AN124" s="32" t="n">
        <v>0</v>
      </c>
      <c r="AO124" s="32" t="n">
        <v>8.750026411319886e-06</v>
      </c>
      <c r="AP124" s="32" t="n">
        <v>3.780625952663593e-07</v>
      </c>
      <c r="AQ124" s="32" t="n">
        <v>7.464152422116936e-07</v>
      </c>
      <c r="AR124" s="32" t="n">
        <v>7.797563013316622e-07</v>
      </c>
      <c r="AS124" s="32" t="n">
        <v>1.068917165979742e-05</v>
      </c>
      <c r="AT124" s="32" t="n">
        <v>2.134343220992702e-05</v>
      </c>
      <c r="AU124" s="34" t="n">
        <v>0</v>
      </c>
      <c r="AV124" s="34" t="n">
        <v>0</v>
      </c>
      <c r="AW124" s="34" t="n">
        <v>0.197837902508725</v>
      </c>
      <c r="AX124" s="34" t="n">
        <v>0.1764744841436473</v>
      </c>
      <c r="AY124" s="34" t="n">
        <v>0.1626485855451862</v>
      </c>
      <c r="AZ124" s="34" t="n">
        <v>0.8231182522872805</v>
      </c>
      <c r="BA124" s="34" t="n">
        <v>1.360079224484839</v>
      </c>
      <c r="BB124" s="6" t="n"/>
      <c r="BC124" s="6" t="n"/>
      <c r="BD124" t="inlineStr">
        <is>
          <t>transport, Scooter, battery electric, &lt;4kW, LFP battery, 2050/CH U</t>
        </is>
      </c>
      <c r="BF124" s="5" t="n">
        <v>0.07380828</v>
      </c>
      <c r="BG124" s="5">
        <f>BF124-R124</f>
        <v>-9.3415199836789226E-3</v>
      </c>
      <c r="BH124" s="2" t="n">
        <v>174.3762</v>
      </c>
    </row>
    <row r="125">
      <c r="A125" t="str">
        <f>B125&amp;" - "&amp;D125&amp;" - "&amp;IF(I125&lt;&gt;"",I125&amp;" - "&amp;E125,E125)</f>
        <v>Scooter, battery electric, 4-11kW - 2020 - LFP - CH</v>
      </c>
      <c r="B125" t="inlineStr">
        <is>
          <t>Scooter, battery electric, 4-11kW</t>
        </is>
      </c>
      <c r="D125" s="18" t="n">
        <v>2020</v>
      </c>
      <c r="E125" t="inlineStr">
        <is>
          <t>CH</t>
        </is>
      </c>
      <c r="F125" t="inlineStr">
        <is>
          <t>None</t>
        </is>
      </c>
      <c r="G125" t="inlineStr">
        <is>
          <t>vkm</t>
        </is>
      </c>
      <c r="H125" t="inlineStr">
        <is>
          <t>BEV</t>
        </is>
      </c>
      <c r="I125" t="inlineStr">
        <is>
          <t>LFP</t>
        </is>
      </c>
      <c r="J125" t="inlineStr">
        <is>
          <t>None</t>
        </is>
      </c>
      <c r="L125" s="24" t="n">
        <v>0</v>
      </c>
      <c r="M125" s="24" t="n">
        <v>0</v>
      </c>
      <c r="N125" s="24" t="n">
        <v>0.006005316500848137</v>
      </c>
      <c r="O125" s="24" t="n">
        <v>0.01476791003070943</v>
      </c>
      <c r="P125" s="24" t="n">
        <v>0.00473647855664362</v>
      </c>
      <c r="Q125" s="24" t="n">
        <v>0.06850398595314684</v>
      </c>
      <c r="R125" s="24" t="n">
        <v>0.09401369104134803</v>
      </c>
      <c r="S125" s="26" t="n">
        <v>0</v>
      </c>
      <c r="T125" s="26" t="n">
        <v>0</v>
      </c>
      <c r="U125" s="26" t="n">
        <v>0.0006356233143260842</v>
      </c>
      <c r="V125" s="26" t="n">
        <v>0.0005666630188027706</v>
      </c>
      <c r="W125" s="26" t="n">
        <v>0.0003262325594436656</v>
      </c>
      <c r="X125" s="26" t="n">
        <v>0.04418601565715325</v>
      </c>
      <c r="Y125" s="26" t="n">
        <v>0.04571453454972577</v>
      </c>
      <c r="Z125" s="28" t="n">
        <v>0</v>
      </c>
      <c r="AA125" s="28" t="n">
        <v>0.002314547765857511</v>
      </c>
      <c r="AB125" s="28" t="n">
        <v>0.0001862760245395656</v>
      </c>
      <c r="AC125" s="28" t="n">
        <v>0.0001852678696013898</v>
      </c>
      <c r="AD125" s="28" t="n">
        <v>0.0001456144323081142</v>
      </c>
      <c r="AE125" s="28" t="n">
        <v>0.005268761906268967</v>
      </c>
      <c r="AF125" s="28" t="n">
        <v>0.008100467998575549</v>
      </c>
      <c r="AG125" s="30" t="n">
        <v>0</v>
      </c>
      <c r="AH125" s="30" t="n">
        <v>1.228469691721989e-05</v>
      </c>
      <c r="AI125" s="30" t="n">
        <v>0.0004256212370685154</v>
      </c>
      <c r="AJ125" s="30" t="n">
        <v>0.0004500882944735035</v>
      </c>
      <c r="AK125" s="30" t="n">
        <v>0.0001944341204104222</v>
      </c>
      <c r="AL125" s="30" t="n">
        <v>0.01817765804369269</v>
      </c>
      <c r="AM125" s="30" t="n">
        <v>0.01926008639256235</v>
      </c>
      <c r="AN125" s="32" t="n">
        <v>0</v>
      </c>
      <c r="AO125" s="32" t="n">
        <v>8.750026411319886e-06</v>
      </c>
      <c r="AP125" s="32" t="n">
        <v>5.366666751630325e-07</v>
      </c>
      <c r="AQ125" s="32" t="n">
        <v>8.956982906540324e-07</v>
      </c>
      <c r="AR125" s="32" t="n">
        <v>7.893975429267393e-07</v>
      </c>
      <c r="AS125" s="32" t="n">
        <v>1.245653359270986e-05</v>
      </c>
      <c r="AT125" s="32" t="n">
        <v>2.342832251277355e-05</v>
      </c>
      <c r="AU125" s="34" t="n">
        <v>0</v>
      </c>
      <c r="AV125" s="34" t="n">
        <v>0</v>
      </c>
      <c r="AW125" s="34" t="n">
        <v>0.2808344720952432</v>
      </c>
      <c r="AX125" s="34" t="n">
        <v>0.2117693809723766</v>
      </c>
      <c r="AY125" s="34" t="n">
        <v>0.1656325679765914</v>
      </c>
      <c r="AZ125" s="34" t="n">
        <v>0.9304728369117751</v>
      </c>
      <c r="BA125" s="34" t="n">
        <v>1.588709257955986</v>
      </c>
      <c r="BB125" s="6" t="n"/>
      <c r="BC125" s="6" t="n"/>
      <c r="BD125" t="inlineStr">
        <is>
          <t>transport, Scooter, battery electric, 4-11kW, LFP battery/CH U</t>
        </is>
      </c>
      <c r="BF125" s="5" t="n">
        <v>0.08509820700000001</v>
      </c>
      <c r="BG125" s="5">
        <f>BF125-R125</f>
        <v>-8.9154840413480235E-3</v>
      </c>
      <c r="BH125" s="2" t="n">
        <v>216.7672</v>
      </c>
    </row>
    <row r="126">
      <c r="A126" t="str">
        <f>B126&amp;" - "&amp;D126&amp;" - "&amp;IF(I126&lt;&gt;"",I126&amp;" - "&amp;E126,E126)</f>
        <v>Scooter, battery electric, 4-11kW - 2030 - LFP - CH</v>
      </c>
      <c r="B126" t="inlineStr">
        <is>
          <t>Scooter, battery electric, 4-11kW</t>
        </is>
      </c>
      <c r="D126" s="18" t="n">
        <v>2030</v>
      </c>
      <c r="E126" t="inlineStr">
        <is>
          <t>CH</t>
        </is>
      </c>
      <c r="F126" t="inlineStr">
        <is>
          <t>None</t>
        </is>
      </c>
      <c r="G126" t="inlineStr">
        <is>
          <t>vkm</t>
        </is>
      </c>
      <c r="H126" t="inlineStr">
        <is>
          <t>BEV</t>
        </is>
      </c>
      <c r="I126" t="inlineStr">
        <is>
          <t>LFP</t>
        </is>
      </c>
      <c r="J126" t="inlineStr">
        <is>
          <t>None</t>
        </is>
      </c>
      <c r="L126" s="24" t="n">
        <v>0</v>
      </c>
      <c r="M126" s="24" t="n">
        <v>0</v>
      </c>
      <c r="N126" s="24" t="n">
        <v>0.006005316500848137</v>
      </c>
      <c r="O126" s="24" t="n">
        <v>0.01476791003070943</v>
      </c>
      <c r="P126" s="24" t="n">
        <v>0.004810814713480971</v>
      </c>
      <c r="Q126" s="24" t="n">
        <v>0.07398188192310844</v>
      </c>
      <c r="R126" s="24" t="n">
        <v>0.09956592316814697</v>
      </c>
      <c r="S126" s="26" t="n">
        <v>0</v>
      </c>
      <c r="T126" s="26" t="n">
        <v>0</v>
      </c>
      <c r="U126" s="26" t="n">
        <v>0.0006356233143260842</v>
      </c>
      <c r="V126" s="26" t="n">
        <v>0.0005666630188027706</v>
      </c>
      <c r="W126" s="26" t="n">
        <v>0.0003309296858007902</v>
      </c>
      <c r="X126" s="26" t="n">
        <v>0.04656325637402817</v>
      </c>
      <c r="Y126" s="26" t="n">
        <v>0.04809647239295781</v>
      </c>
      <c r="Z126" s="28" t="n">
        <v>0</v>
      </c>
      <c r="AA126" s="28" t="n">
        <v>0.002314547765857511</v>
      </c>
      <c r="AB126" s="28" t="n">
        <v>0.0001862760245395656</v>
      </c>
      <c r="AC126" s="28" t="n">
        <v>0.0001852678696013898</v>
      </c>
      <c r="AD126" s="28" t="n">
        <v>0.0001477495854898237</v>
      </c>
      <c r="AE126" s="28" t="n">
        <v>0.005699908956431858</v>
      </c>
      <c r="AF126" s="28" t="n">
        <v>0.008533750201920149</v>
      </c>
      <c r="AG126" s="30" t="n">
        <v>0</v>
      </c>
      <c r="AH126" s="30" t="n">
        <v>1.228469691721989e-05</v>
      </c>
      <c r="AI126" s="30" t="n">
        <v>0.0004256212370685154</v>
      </c>
      <c r="AJ126" s="30" t="n">
        <v>0.0004500882944735035</v>
      </c>
      <c r="AK126" s="30" t="n">
        <v>0.0001964268043417692</v>
      </c>
      <c r="AL126" s="30" t="n">
        <v>0.01954088052187002</v>
      </c>
      <c r="AM126" s="30" t="n">
        <v>0.02062530155467103</v>
      </c>
      <c r="AN126" s="32" t="n">
        <v>0</v>
      </c>
      <c r="AO126" s="32" t="n">
        <v>8.750026411319886e-06</v>
      </c>
      <c r="AP126" s="32" t="n">
        <v>5.366666751630325e-07</v>
      </c>
      <c r="AQ126" s="32" t="n">
        <v>8.956982906540324e-07</v>
      </c>
      <c r="AR126" s="32" t="n">
        <v>7.972656826192735e-07</v>
      </c>
      <c r="AS126" s="32" t="n">
        <v>1.307285901022128e-05</v>
      </c>
      <c r="AT126" s="32" t="n">
        <v>2.405251606997751e-05</v>
      </c>
      <c r="AU126" s="34" t="n">
        <v>0</v>
      </c>
      <c r="AV126" s="34" t="n">
        <v>0</v>
      </c>
      <c r="AW126" s="34" t="n">
        <v>0.2808344720952432</v>
      </c>
      <c r="AX126" s="34" t="n">
        <v>0.2117693809723766</v>
      </c>
      <c r="AY126" s="34" t="n">
        <v>0.1680677720298071</v>
      </c>
      <c r="AZ126" s="34" t="n">
        <v>0.9976959843438395</v>
      </c>
      <c r="BA126" s="34" t="n">
        <v>1.658367609441266</v>
      </c>
      <c r="BB126" s="6" t="n"/>
      <c r="BC126" s="6" t="n"/>
      <c r="BD126" t="inlineStr">
        <is>
          <t>transport, Scooter, battery electric, 4-11kW, LFP battery, 2030/CH U</t>
        </is>
      </c>
      <c r="BF126" s="5" t="n">
        <v>0.08857004</v>
      </c>
      <c r="BG126" s="5">
        <f>BF126-R126</f>
        <v>-1.0995883168146967E-2</v>
      </c>
      <c r="BH126" s="2" t="n">
        <v>227.32027</v>
      </c>
    </row>
    <row r="127">
      <c r="A127" t="str">
        <f>B127&amp;" - "&amp;D127&amp;" - "&amp;IF(I127&lt;&gt;"",I127&amp;" - "&amp;E127,E127)</f>
        <v>Scooter, battery electric, 4-11kW - 2040 - LFP - CH</v>
      </c>
      <c r="B127" t="inlineStr">
        <is>
          <t>Scooter, battery electric, 4-11kW</t>
        </is>
      </c>
      <c r="D127" s="18" t="n">
        <v>2040</v>
      </c>
      <c r="E127" t="inlineStr">
        <is>
          <t>CH</t>
        </is>
      </c>
      <c r="F127" t="inlineStr">
        <is>
          <t>None</t>
        </is>
      </c>
      <c r="G127" t="inlineStr">
        <is>
          <t>vkm</t>
        </is>
      </c>
      <c r="H127" t="inlineStr">
        <is>
          <t>BEV</t>
        </is>
      </c>
      <c r="I127" t="inlineStr">
        <is>
          <t>LFP</t>
        </is>
      </c>
      <c r="J127" t="inlineStr">
        <is>
          <t>None</t>
        </is>
      </c>
      <c r="L127" s="24" t="n">
        <v>0</v>
      </c>
      <c r="M127" s="24" t="n">
        <v>0</v>
      </c>
      <c r="N127" s="24" t="n">
        <v>0.006005316500848137</v>
      </c>
      <c r="O127" s="24" t="n">
        <v>0.01476791003070943</v>
      </c>
      <c r="P127" s="24" t="n">
        <v>0.004845577753961552</v>
      </c>
      <c r="Q127" s="24" t="n">
        <v>0.07410723503808637</v>
      </c>
      <c r="R127" s="24" t="n">
        <v>0.09972603932360549</v>
      </c>
      <c r="S127" s="26" t="n">
        <v>0</v>
      </c>
      <c r="T127" s="26" t="n">
        <v>0</v>
      </c>
      <c r="U127" s="26" t="n">
        <v>0.0006356233143260842</v>
      </c>
      <c r="V127" s="26" t="n">
        <v>0.0005666630188027706</v>
      </c>
      <c r="W127" s="26" t="n">
        <v>0.000333126280306643</v>
      </c>
      <c r="X127" s="26" t="n">
        <v>0.04578355217353369</v>
      </c>
      <c r="Y127" s="26" t="n">
        <v>0.04731896478696919</v>
      </c>
      <c r="Z127" s="28" t="n">
        <v>0</v>
      </c>
      <c r="AA127" s="28" t="n">
        <v>0.002314547765857511</v>
      </c>
      <c r="AB127" s="28" t="n">
        <v>0.0001862760245395656</v>
      </c>
      <c r="AC127" s="28" t="n">
        <v>0.0001852678696013898</v>
      </c>
      <c r="AD127" s="28" t="n">
        <v>0.0001487480823135218</v>
      </c>
      <c r="AE127" s="28" t="n">
        <v>0.005643211888988241</v>
      </c>
      <c r="AF127" s="28" t="n">
        <v>0.008478051631300229</v>
      </c>
      <c r="AG127" s="30" t="n">
        <v>0</v>
      </c>
      <c r="AH127" s="30" t="n">
        <v>1.228469691721989e-05</v>
      </c>
      <c r="AI127" s="30" t="n">
        <v>0.0004256212370685154</v>
      </c>
      <c r="AJ127" s="30" t="n">
        <v>0.0004500882944735035</v>
      </c>
      <c r="AK127" s="30" t="n">
        <v>0.0001973586759250956</v>
      </c>
      <c r="AL127" s="30" t="n">
        <v>0.0193535885047705</v>
      </c>
      <c r="AM127" s="30" t="n">
        <v>0.02043894140915484</v>
      </c>
      <c r="AN127" s="32" t="n">
        <v>0</v>
      </c>
      <c r="AO127" s="32" t="n">
        <v>8.750026411319886e-06</v>
      </c>
      <c r="AP127" s="32" t="n">
        <v>5.366666751630325e-07</v>
      </c>
      <c r="AQ127" s="32" t="n">
        <v>8.956982906540324e-07</v>
      </c>
      <c r="AR127" s="32" t="n">
        <v>8.009451902811628e-07</v>
      </c>
      <c r="AS127" s="32" t="n">
        <v>1.291124506359059e-05</v>
      </c>
      <c r="AT127" s="32" t="n">
        <v>2.38945816310087e-05</v>
      </c>
      <c r="AU127" s="34" t="n">
        <v>0</v>
      </c>
      <c r="AV127" s="34" t="n">
        <v>0</v>
      </c>
      <c r="AW127" s="34" t="n">
        <v>0.2808344720952432</v>
      </c>
      <c r="AX127" s="34" t="n">
        <v>0.2117693809723766</v>
      </c>
      <c r="AY127" s="34" t="n">
        <v>0.1692065865809231</v>
      </c>
      <c r="AZ127" s="34" t="n">
        <v>0.9948746807725045</v>
      </c>
      <c r="BA127" s="34" t="n">
        <v>1.656685120421047</v>
      </c>
      <c r="BB127" s="6" t="n"/>
      <c r="BC127" s="6" t="n"/>
      <c r="BD127" t="inlineStr">
        <is>
          <t>transport, Scooter, battery electric, 4-11kW, LFP battery, 2040/CH U</t>
        </is>
      </c>
      <c r="BF127" s="5" t="n">
        <v>0.08825635499999999</v>
      </c>
      <c r="BG127" s="5">
        <f>BF127-R127</f>
        <v>-1.1469684323605497E-2</v>
      </c>
      <c r="BH127" s="2" t="n">
        <v>222.82937</v>
      </c>
    </row>
    <row r="128">
      <c r="A128" t="str">
        <f>B128&amp;" - "&amp;D128&amp;" - "&amp;IF(I128&lt;&gt;"",I128&amp;" - "&amp;E128,E128)</f>
        <v>Scooter, battery electric, 4-11kW - 2050 - LFP - CH</v>
      </c>
      <c r="B128" t="inlineStr">
        <is>
          <t>Scooter, battery electric, 4-11kW</t>
        </is>
      </c>
      <c r="D128" s="18" t="n">
        <v>2050</v>
      </c>
      <c r="E128" t="inlineStr">
        <is>
          <t>CH</t>
        </is>
      </c>
      <c r="F128" t="inlineStr">
        <is>
          <t>None</t>
        </is>
      </c>
      <c r="G128" t="inlineStr">
        <is>
          <t>vkm</t>
        </is>
      </c>
      <c r="H128" t="inlineStr">
        <is>
          <t>BEV</t>
        </is>
      </c>
      <c r="I128" t="inlineStr">
        <is>
          <t>LFP</t>
        </is>
      </c>
      <c r="J128" t="inlineStr">
        <is>
          <t>None</t>
        </is>
      </c>
      <c r="L128" s="24" t="n">
        <v>0</v>
      </c>
      <c r="M128" s="24" t="n">
        <v>0</v>
      </c>
      <c r="N128" s="24" t="n">
        <v>0.006005316500848137</v>
      </c>
      <c r="O128" s="24" t="n">
        <v>0.01476791003070943</v>
      </c>
      <c r="P128" s="24" t="n">
        <v>0.004833985015887713</v>
      </c>
      <c r="Q128" s="24" t="n">
        <v>0.06791698192317557</v>
      </c>
      <c r="R128" s="24" t="n">
        <v>0.09352419347062085</v>
      </c>
      <c r="S128" s="26" t="n">
        <v>0</v>
      </c>
      <c r="T128" s="26" t="n">
        <v>0</v>
      </c>
      <c r="U128" s="26" t="n">
        <v>0.0006356233143260842</v>
      </c>
      <c r="V128" s="26" t="n">
        <v>0.0005666630188027706</v>
      </c>
      <c r="W128" s="26" t="n">
        <v>0.0003323937625403961</v>
      </c>
      <c r="X128" s="26" t="n">
        <v>0.04079598865565106</v>
      </c>
      <c r="Y128" s="26" t="n">
        <v>0.04233066875132031</v>
      </c>
      <c r="Z128" s="28" t="n">
        <v>0</v>
      </c>
      <c r="AA128" s="28" t="n">
        <v>0.002314547765857511</v>
      </c>
      <c r="AB128" s="28" t="n">
        <v>0.0001862760245395656</v>
      </c>
      <c r="AC128" s="28" t="n">
        <v>0.0001852678696013898</v>
      </c>
      <c r="AD128" s="28" t="n">
        <v>0.0001484151047607914</v>
      </c>
      <c r="AE128" s="28" t="n">
        <v>0.004971365517355946</v>
      </c>
      <c r="AF128" s="28" t="n">
        <v>0.007805872282115203</v>
      </c>
      <c r="AG128" s="30" t="n">
        <v>0</v>
      </c>
      <c r="AH128" s="30" t="n">
        <v>1.228469691721989e-05</v>
      </c>
      <c r="AI128" s="30" t="n">
        <v>0.0004256212370685154</v>
      </c>
      <c r="AJ128" s="30" t="n">
        <v>0.0004500882944735035</v>
      </c>
      <c r="AK128" s="30" t="n">
        <v>0.0001970479164795865</v>
      </c>
      <c r="AL128" s="30" t="n">
        <v>0.01721581872781659</v>
      </c>
      <c r="AM128" s="30" t="n">
        <v>0.01830086087275542</v>
      </c>
      <c r="AN128" s="32" t="n">
        <v>0</v>
      </c>
      <c r="AO128" s="32" t="n">
        <v>8.750026411319886e-06</v>
      </c>
      <c r="AP128" s="32" t="n">
        <v>5.366666751630325e-07</v>
      </c>
      <c r="AQ128" s="32" t="n">
        <v>8.956982906540324e-07</v>
      </c>
      <c r="AR128" s="32" t="n">
        <v>7.997181523703451e-07</v>
      </c>
      <c r="AS128" s="32" t="n">
        <v>1.172041058953059e-05</v>
      </c>
      <c r="AT128" s="32" t="n">
        <v>2.270252011903789e-05</v>
      </c>
      <c r="AU128" s="34" t="n">
        <v>0</v>
      </c>
      <c r="AV128" s="34" t="n">
        <v>0</v>
      </c>
      <c r="AW128" s="34" t="n">
        <v>0.2808344720952432</v>
      </c>
      <c r="AX128" s="34" t="n">
        <v>0.2117693809723766</v>
      </c>
      <c r="AY128" s="34" t="n">
        <v>0.1688268160365964</v>
      </c>
      <c r="AZ128" s="34" t="n">
        <v>0.9066855887612052</v>
      </c>
      <c r="BA128" s="34" t="n">
        <v>1.568116257865421</v>
      </c>
      <c r="BB128" s="6" t="n"/>
      <c r="BC128" s="6" t="n"/>
      <c r="BD128" t="inlineStr">
        <is>
          <t>transport, Scooter, battery electric, 4-11kW, LFP battery, 2050/CH U</t>
        </is>
      </c>
      <c r="BF128" s="5" t="n">
        <v>0.083188095</v>
      </c>
      <c r="BG128" s="5">
        <f>BF128-R128</f>
        <v>-1.033609847062085E-2</v>
      </c>
      <c r="BH128" s="2" t="n">
        <v>197.69713</v>
      </c>
    </row>
    <row r="129">
      <c r="A129" t="str">
        <f>B129&amp;" - "&amp;D129&amp;" - "&amp;IF(I129&lt;&gt;"",I129&amp;" - "&amp;E129,E129)</f>
        <v>Scooter, battery electric, &lt;4kW - 2020 - NCA - CH</v>
      </c>
      <c r="B129" t="inlineStr">
        <is>
          <t>Scooter, battery electric, &lt;4kW</t>
        </is>
      </c>
      <c r="D129" s="18" t="n">
        <v>2020</v>
      </c>
      <c r="E129" t="inlineStr">
        <is>
          <t>CH</t>
        </is>
      </c>
      <c r="F129" t="inlineStr">
        <is>
          <t>None</t>
        </is>
      </c>
      <c r="G129" t="inlineStr">
        <is>
          <t>vkm</t>
        </is>
      </c>
      <c r="H129" t="inlineStr">
        <is>
          <t>BEV</t>
        </is>
      </c>
      <c r="I129" t="inlineStr">
        <is>
          <t>NCA</t>
        </is>
      </c>
      <c r="J129" t="inlineStr">
        <is>
          <t>None</t>
        </is>
      </c>
      <c r="L129" s="24" t="n">
        <v>0</v>
      </c>
      <c r="M129" s="24" t="n">
        <v>0</v>
      </c>
      <c r="N129" s="24" t="n">
        <v>0.004230531998315014</v>
      </c>
      <c r="O129" s="24" t="n">
        <v>0.01230659169225786</v>
      </c>
      <c r="P129" s="24" t="n">
        <v>0.00449111916573528</v>
      </c>
      <c r="Q129" s="24" t="n">
        <v>0.04206783268099531</v>
      </c>
      <c r="R129" s="24" t="n">
        <v>0.06309607553730345</v>
      </c>
      <c r="S129" s="26" t="n">
        <v>0</v>
      </c>
      <c r="T129" s="26" t="n">
        <v>0</v>
      </c>
      <c r="U129" s="26" t="n">
        <v>0.000447774029853675</v>
      </c>
      <c r="V129" s="26" t="n">
        <v>0.0004722191823356421</v>
      </c>
      <c r="W129" s="26" t="n">
        <v>0.0003107288784486248</v>
      </c>
      <c r="X129" s="26" t="n">
        <v>0.02890499184582182</v>
      </c>
      <c r="Y129" s="26" t="n">
        <v>0.03013571393645976</v>
      </c>
      <c r="Z129" s="28" t="n">
        <v>0</v>
      </c>
      <c r="AA129" s="28" t="n">
        <v>0.002314547765857511</v>
      </c>
      <c r="AB129" s="28" t="n">
        <v>0.0001312248375622248</v>
      </c>
      <c r="AC129" s="28" t="n">
        <v>0.0001543898913344915</v>
      </c>
      <c r="AD129" s="28" t="n">
        <v>0.0001385669885546453</v>
      </c>
      <c r="AE129" s="28" t="n">
        <v>0.003075674854530667</v>
      </c>
      <c r="AF129" s="28" t="n">
        <v>0.00581440433783954</v>
      </c>
      <c r="AG129" s="30" t="n">
        <v>0</v>
      </c>
      <c r="AH129" s="30" t="n">
        <v>1.228469691721989e-05</v>
      </c>
      <c r="AI129" s="30" t="n">
        <v>0.0002998350315635276</v>
      </c>
      <c r="AJ129" s="30" t="n">
        <v>0.0003750735787279196</v>
      </c>
      <c r="AK129" s="30" t="n">
        <v>0.0001878569211514139</v>
      </c>
      <c r="AL129" s="30" t="n">
        <v>0.01057436942931865</v>
      </c>
      <c r="AM129" s="30" t="n">
        <v>0.01144941965767873</v>
      </c>
      <c r="AN129" s="32" t="n">
        <v>0</v>
      </c>
      <c r="AO129" s="32" t="n">
        <v>8.750026411319886e-06</v>
      </c>
      <c r="AP129" s="32" t="n">
        <v>3.780625952663593e-07</v>
      </c>
      <c r="AQ129" s="32" t="n">
        <v>7.464152422116936e-07</v>
      </c>
      <c r="AR129" s="32" t="n">
        <v>7.634273819085157e-07</v>
      </c>
      <c r="AS129" s="32" t="n">
        <v>9.260572067135122e-06</v>
      </c>
      <c r="AT129" s="32" t="n">
        <v>1.989850369784158e-05</v>
      </c>
      <c r="AU129" s="34" t="n">
        <v>0</v>
      </c>
      <c r="AV129" s="34" t="n">
        <v>0</v>
      </c>
      <c r="AW129" s="34" t="n">
        <v>0.197837902508725</v>
      </c>
      <c r="AX129" s="34" t="n">
        <v>0.1764744841436473</v>
      </c>
      <c r="AY129" s="34" t="n">
        <v>0.1575947542308274</v>
      </c>
      <c r="AZ129" s="34" t="n">
        <v>0.5839915891522655</v>
      </c>
      <c r="BA129" s="34" t="n">
        <v>1.115898730035465</v>
      </c>
      <c r="BB129" s="6" t="n"/>
      <c r="BC129" s="6" t="n"/>
      <c r="BD129" t="inlineStr">
        <is>
          <t>transport, Scooter, battery electric, &lt;4kW, NCA battery/CH U</t>
        </is>
      </c>
      <c r="BF129" s="5" t="n">
        <v>0.061868041</v>
      </c>
      <c r="BG129" s="5">
        <f>BF129-R129</f>
        <v>-1.2280345373034546E-3</v>
      </c>
      <c r="BH129" s="2" t="n">
        <v>143.05759</v>
      </c>
    </row>
    <row r="130">
      <c r="A130" t="str">
        <f>B130&amp;" - "&amp;D130&amp;" - "&amp;IF(I130&lt;&gt;"",I130&amp;" - "&amp;E130,E130)</f>
        <v>Scooter, battery electric, &lt;4kW - 2030 - NCA - CH</v>
      </c>
      <c r="B130" t="inlineStr">
        <is>
          <t>Scooter, battery electric, &lt;4kW</t>
        </is>
      </c>
      <c r="D130" s="18" t="n">
        <v>2030</v>
      </c>
      <c r="E130" t="inlineStr">
        <is>
          <t>CH</t>
        </is>
      </c>
      <c r="F130" t="inlineStr">
        <is>
          <t>None</t>
        </is>
      </c>
      <c r="G130" t="inlineStr">
        <is>
          <t>vkm</t>
        </is>
      </c>
      <c r="H130" t="inlineStr">
        <is>
          <t>BEV</t>
        </is>
      </c>
      <c r="I130" t="inlineStr">
        <is>
          <t>NCA</t>
        </is>
      </c>
      <c r="J130" t="inlineStr">
        <is>
          <t>None</t>
        </is>
      </c>
      <c r="L130" s="24" t="n">
        <v>0</v>
      </c>
      <c r="M130" s="24" t="n">
        <v>0</v>
      </c>
      <c r="N130" s="24" t="n">
        <v>0.004230531998315014</v>
      </c>
      <c r="O130" s="24" t="n">
        <v>0.01230659169225786</v>
      </c>
      <c r="P130" s="24" t="n">
        <v>0.004500875881156063</v>
      </c>
      <c r="Q130" s="24" t="n">
        <v>0.04549582107930619</v>
      </c>
      <c r="R130" s="24" t="n">
        <v>0.06653382065103514</v>
      </c>
      <c r="S130" s="26" t="n">
        <v>0</v>
      </c>
      <c r="T130" s="26" t="n">
        <v>0</v>
      </c>
      <c r="U130" s="26" t="n">
        <v>0.000447774029853675</v>
      </c>
      <c r="V130" s="26" t="n">
        <v>0.0004722191823356421</v>
      </c>
      <c r="W130" s="26" t="n">
        <v>0.000311345382275453</v>
      </c>
      <c r="X130" s="26" t="n">
        <v>0.02951311663845284</v>
      </c>
      <c r="Y130" s="26" t="n">
        <v>0.03074445523291761</v>
      </c>
      <c r="Z130" s="28" t="n">
        <v>0</v>
      </c>
      <c r="AA130" s="28" t="n">
        <v>0.002314547765857511</v>
      </c>
      <c r="AB130" s="28" t="n">
        <v>0.0001312248375622248</v>
      </c>
      <c r="AC130" s="28" t="n">
        <v>0.0001543898913344915</v>
      </c>
      <c r="AD130" s="28" t="n">
        <v>0.0001388472301337103</v>
      </c>
      <c r="AE130" s="28" t="n">
        <v>0.00327161117739709</v>
      </c>
      <c r="AF130" s="28" t="n">
        <v>0.006010620902285027</v>
      </c>
      <c r="AG130" s="30" t="n">
        <v>0</v>
      </c>
      <c r="AH130" s="30" t="n">
        <v>1.228469691721989e-05</v>
      </c>
      <c r="AI130" s="30" t="n">
        <v>0.0002998350315635276</v>
      </c>
      <c r="AJ130" s="30" t="n">
        <v>0.0003750735787279196</v>
      </c>
      <c r="AK130" s="30" t="n">
        <v>0.0001881184634596107</v>
      </c>
      <c r="AL130" s="30" t="n">
        <v>0.01121743894252497</v>
      </c>
      <c r="AM130" s="30" t="n">
        <v>0.01209275071319325</v>
      </c>
      <c r="AN130" s="32" t="n">
        <v>0</v>
      </c>
      <c r="AO130" s="32" t="n">
        <v>8.750026411319886e-06</v>
      </c>
      <c r="AP130" s="32" t="n">
        <v>3.780625952663593e-07</v>
      </c>
      <c r="AQ130" s="32" t="n">
        <v>7.464152422116936e-07</v>
      </c>
      <c r="AR130" s="32" t="n">
        <v>7.644600852811017e-07</v>
      </c>
      <c r="AS130" s="32" t="n">
        <v>9.425515633944907e-06</v>
      </c>
      <c r="AT130" s="32" t="n">
        <v>2.006447996802395e-05</v>
      </c>
      <c r="AU130" s="34" t="n">
        <v>0</v>
      </c>
      <c r="AV130" s="34" t="n">
        <v>0</v>
      </c>
      <c r="AW130" s="34" t="n">
        <v>0.197837902508725</v>
      </c>
      <c r="AX130" s="34" t="n">
        <v>0.1764744841436473</v>
      </c>
      <c r="AY130" s="34" t="n">
        <v>0.1579143778695736</v>
      </c>
      <c r="AZ130" s="34" t="n">
        <v>0.6207338249525631</v>
      </c>
      <c r="BA130" s="34" t="n">
        <v>1.152960589474509</v>
      </c>
      <c r="BB130" s="6" t="n"/>
      <c r="BC130" s="6" t="n"/>
      <c r="BD130" t="inlineStr">
        <is>
          <t>transport, Scooter, battery electric, &lt;4kW, NCA battery, 2030/CH U</t>
        </is>
      </c>
      <c r="BF130" s="5" t="n">
        <v>0.063372791</v>
      </c>
      <c r="BG130" s="5">
        <f>BF130-R130</f>
        <v>-3.1610296510351382E-3</v>
      </c>
      <c r="BH130" s="2" t="n">
        <v>143.99826</v>
      </c>
    </row>
    <row r="131">
      <c r="A131" t="str">
        <f>B131&amp;" - "&amp;D131&amp;" - "&amp;IF(I131&lt;&gt;"",I131&amp;" - "&amp;E131,E131)</f>
        <v>Scooter, battery electric, &lt;4kW - 2040 - NCA - CH</v>
      </c>
      <c r="B131" t="inlineStr">
        <is>
          <t>Scooter, battery electric, &lt;4kW</t>
        </is>
      </c>
      <c r="D131" s="18" t="n">
        <v>2040</v>
      </c>
      <c r="E131" t="inlineStr">
        <is>
          <t>CH</t>
        </is>
      </c>
      <c r="F131" t="inlineStr">
        <is>
          <t>None</t>
        </is>
      </c>
      <c r="G131" t="inlineStr">
        <is>
          <t>vkm</t>
        </is>
      </c>
      <c r="H131" t="inlineStr">
        <is>
          <t>BEV</t>
        </is>
      </c>
      <c r="I131" t="inlineStr">
        <is>
          <t>NCA</t>
        </is>
      </c>
      <c r="J131" t="inlineStr">
        <is>
          <t>None</t>
        </is>
      </c>
      <c r="L131" s="24" t="n">
        <v>0</v>
      </c>
      <c r="M131" s="24" t="n">
        <v>0</v>
      </c>
      <c r="N131" s="24" t="n">
        <v>0.004230531998315014</v>
      </c>
      <c r="O131" s="24" t="n">
        <v>0.01230659169225786</v>
      </c>
      <c r="P131" s="24" t="n">
        <v>0.004501133834751946</v>
      </c>
      <c r="Q131" s="24" t="n">
        <v>0.04649678503586869</v>
      </c>
      <c r="R131" s="24" t="n">
        <v>0.06753504256119351</v>
      </c>
      <c r="S131" s="26" t="n">
        <v>0</v>
      </c>
      <c r="T131" s="26" t="n">
        <v>0</v>
      </c>
      <c r="U131" s="26" t="n">
        <v>0.000447774029853675</v>
      </c>
      <c r="V131" s="26" t="n">
        <v>0.0004722191823356421</v>
      </c>
      <c r="W131" s="26" t="n">
        <v>0.0003113616817545449</v>
      </c>
      <c r="X131" s="26" t="n">
        <v>0.0287154632079984</v>
      </c>
      <c r="Y131" s="26" t="n">
        <v>0.02994681810194226</v>
      </c>
      <c r="Z131" s="28" t="n">
        <v>0</v>
      </c>
      <c r="AA131" s="28" t="n">
        <v>0.002314547765857511</v>
      </c>
      <c r="AB131" s="28" t="n">
        <v>0.0001312248375622248</v>
      </c>
      <c r="AC131" s="28" t="n">
        <v>0.0001543898913344915</v>
      </c>
      <c r="AD131" s="28" t="n">
        <v>0.000138854639320093</v>
      </c>
      <c r="AE131" s="28" t="n">
        <v>0.003252502711543282</v>
      </c>
      <c r="AF131" s="28" t="n">
        <v>0.005991519845617603</v>
      </c>
      <c r="AG131" s="30" t="n">
        <v>0</v>
      </c>
      <c r="AH131" s="30" t="n">
        <v>1.228469691721989e-05</v>
      </c>
      <c r="AI131" s="30" t="n">
        <v>0.0002998350315635276</v>
      </c>
      <c r="AJ131" s="30" t="n">
        <v>0.0003750735787279196</v>
      </c>
      <c r="AK131" s="30" t="n">
        <v>0.0001881253782640265</v>
      </c>
      <c r="AL131" s="30" t="n">
        <v>0.01119557819750775</v>
      </c>
      <c r="AM131" s="30" t="n">
        <v>0.01207089688298044</v>
      </c>
      <c r="AN131" s="32" t="n">
        <v>0</v>
      </c>
      <c r="AO131" s="32" t="n">
        <v>8.750026411319886e-06</v>
      </c>
      <c r="AP131" s="32" t="n">
        <v>3.780625952663593e-07</v>
      </c>
      <c r="AQ131" s="32" t="n">
        <v>7.464152422116936e-07</v>
      </c>
      <c r="AR131" s="32" t="n">
        <v>7.644873884806881e-07</v>
      </c>
      <c r="AS131" s="32" t="n">
        <v>9.23007031857047e-06</v>
      </c>
      <c r="AT131" s="32" t="n">
        <v>1.98690619558491e-05</v>
      </c>
      <c r="AU131" s="34" t="n">
        <v>0</v>
      </c>
      <c r="AV131" s="34" t="n">
        <v>0</v>
      </c>
      <c r="AW131" s="34" t="n">
        <v>0.197837902508725</v>
      </c>
      <c r="AX131" s="34" t="n">
        <v>0.1764744841436473</v>
      </c>
      <c r="AY131" s="34" t="n">
        <v>0.1579228282612667</v>
      </c>
      <c r="AZ131" s="34" t="n">
        <v>0.6268806615616495</v>
      </c>
      <c r="BA131" s="34" t="n">
        <v>1.159115876475288</v>
      </c>
      <c r="BB131" s="6" t="n"/>
      <c r="BC131" s="6" t="n"/>
      <c r="BD131" t="inlineStr">
        <is>
          <t>transport, Scooter, battery electric, &lt;4kW, NCA battery, 2040/CH U</t>
        </is>
      </c>
      <c r="BF131" s="5" t="n">
        <v>0.06331845999999999</v>
      </c>
      <c r="BG131" s="5">
        <f>BF131-R131</f>
        <v>-4.2165825611935187E-3</v>
      </c>
      <c r="BH131" s="2" t="n">
        <v>139.20174</v>
      </c>
    </row>
    <row r="132">
      <c r="A132" t="str">
        <f>B132&amp;" - "&amp;D132&amp;" - "&amp;IF(I132&lt;&gt;"",I132&amp;" - "&amp;E132,E132)</f>
        <v>Scooter, battery electric, &lt;4kW - 2050 - NCA - CH</v>
      </c>
      <c r="B132" t="inlineStr">
        <is>
          <t>Scooter, battery electric, &lt;4kW</t>
        </is>
      </c>
      <c r="D132" s="18" t="n">
        <v>2050</v>
      </c>
      <c r="E132" t="inlineStr">
        <is>
          <t>CH</t>
        </is>
      </c>
      <c r="F132" t="inlineStr">
        <is>
          <t>None</t>
        </is>
      </c>
      <c r="G132" t="inlineStr">
        <is>
          <t>vkm</t>
        </is>
      </c>
      <c r="H132" t="inlineStr">
        <is>
          <t>BEV</t>
        </is>
      </c>
      <c r="I132" t="inlineStr">
        <is>
          <t>NCA</t>
        </is>
      </c>
      <c r="J132" t="inlineStr">
        <is>
          <t>None</t>
        </is>
      </c>
      <c r="L132" s="24" t="n">
        <v>0</v>
      </c>
      <c r="M132" s="24" t="n">
        <v>0</v>
      </c>
      <c r="N132" s="24" t="n">
        <v>0.004230531998315014</v>
      </c>
      <c r="O132" s="24" t="n">
        <v>0.01230659169225786</v>
      </c>
      <c r="P132" s="24" t="n">
        <v>0.004503364374669295</v>
      </c>
      <c r="Q132" s="24" t="n">
        <v>0.0473333987136952</v>
      </c>
      <c r="R132" s="24" t="n">
        <v>0.06837388677893737</v>
      </c>
      <c r="S132" s="26" t="n">
        <v>0</v>
      </c>
      <c r="T132" s="26" t="n">
        <v>0</v>
      </c>
      <c r="U132" s="26" t="n">
        <v>0.000447774029853675</v>
      </c>
      <c r="V132" s="26" t="n">
        <v>0.0004722191823356421</v>
      </c>
      <c r="W132" s="26" t="n">
        <v>0.0003115026243090452</v>
      </c>
      <c r="X132" s="26" t="n">
        <v>0.02775754068532503</v>
      </c>
      <c r="Y132" s="26" t="n">
        <v>0.02898903652182339</v>
      </c>
      <c r="Z132" s="28" t="n">
        <v>0</v>
      </c>
      <c r="AA132" s="28" t="n">
        <v>0.002314547765857511</v>
      </c>
      <c r="AB132" s="28" t="n">
        <v>0.0001312248375622248</v>
      </c>
      <c r="AC132" s="28" t="n">
        <v>0.0001543898913344915</v>
      </c>
      <c r="AD132" s="28" t="n">
        <v>0.0001389187069905791</v>
      </c>
      <c r="AE132" s="28" t="n">
        <v>0.003213911966207217</v>
      </c>
      <c r="AF132" s="28" t="n">
        <v>0.005952993167952023</v>
      </c>
      <c r="AG132" s="30" t="n">
        <v>0</v>
      </c>
      <c r="AH132" s="30" t="n">
        <v>1.228469691721989e-05</v>
      </c>
      <c r="AI132" s="30" t="n">
        <v>0.0002998350315635276</v>
      </c>
      <c r="AJ132" s="30" t="n">
        <v>0.0003750735787279196</v>
      </c>
      <c r="AK132" s="30" t="n">
        <v>0.0001881851709845629</v>
      </c>
      <c r="AL132" s="30" t="n">
        <v>0.0111136847866592</v>
      </c>
      <c r="AM132" s="30" t="n">
        <v>0.01198906326485243</v>
      </c>
      <c r="AN132" s="32" t="n">
        <v>0</v>
      </c>
      <c r="AO132" s="32" t="n">
        <v>8.750026411319886e-06</v>
      </c>
      <c r="AP132" s="32" t="n">
        <v>3.780625952663593e-07</v>
      </c>
      <c r="AQ132" s="32" t="n">
        <v>7.464152422116936e-07</v>
      </c>
      <c r="AR132" s="32" t="n">
        <v>7.647234808535809e-07</v>
      </c>
      <c r="AS132" s="32" t="n">
        <v>8.995688737712976e-06</v>
      </c>
      <c r="AT132" s="32" t="n">
        <v>1.96349164673645e-05</v>
      </c>
      <c r="AU132" s="34" t="n">
        <v>0</v>
      </c>
      <c r="AV132" s="34" t="n">
        <v>0</v>
      </c>
      <c r="AW132" s="34" t="n">
        <v>0.197837902508725</v>
      </c>
      <c r="AX132" s="34" t="n">
        <v>0.1764744841436473</v>
      </c>
      <c r="AY132" s="34" t="n">
        <v>0.1579958992953191</v>
      </c>
      <c r="AZ132" s="34" t="n">
        <v>0.6306838649775803</v>
      </c>
      <c r="BA132" s="34" t="n">
        <v>1.162992150925272</v>
      </c>
      <c r="BB132" s="6" t="n"/>
      <c r="BC132" s="6" t="n"/>
      <c r="BD132" t="inlineStr">
        <is>
          <t>transport, Scooter, battery electric, &lt;4kW, NCA battery, 2050/CH U</t>
        </is>
      </c>
      <c r="BF132" s="5" t="n">
        <v>0.06314096699999999</v>
      </c>
      <c r="BG132" s="5">
        <f>BF132-R132</f>
        <v>-5.2329197789373755E-3</v>
      </c>
      <c r="BH132" s="2" t="n">
        <v>133.73525</v>
      </c>
    </row>
    <row r="133">
      <c r="A133" t="str">
        <f>B133&amp;" - "&amp;D133&amp;" - "&amp;IF(I133&lt;&gt;"",I133&amp;" - "&amp;E133,E133)</f>
        <v>Scooter, battery electric, 4-11kW - 2020 - NCA - CH</v>
      </c>
      <c r="B133" t="inlineStr">
        <is>
          <t>Scooter, battery electric, 4-11kW</t>
        </is>
      </c>
      <c r="D133" s="18" t="n">
        <v>2020</v>
      </c>
      <c r="E133" t="inlineStr">
        <is>
          <t>CH</t>
        </is>
      </c>
      <c r="F133" t="inlineStr">
        <is>
          <t>None</t>
        </is>
      </c>
      <c r="G133" t="inlineStr">
        <is>
          <t>vkm</t>
        </is>
      </c>
      <c r="H133" t="inlineStr">
        <is>
          <t>BEV</t>
        </is>
      </c>
      <c r="I133" t="inlineStr">
        <is>
          <t>NCA</t>
        </is>
      </c>
      <c r="J133" t="inlineStr">
        <is>
          <t>None</t>
        </is>
      </c>
      <c r="L133" s="24" t="n">
        <v>0</v>
      </c>
      <c r="M133" s="24" t="n">
        <v>0</v>
      </c>
      <c r="N133" s="24" t="n">
        <v>0.006005316500848137</v>
      </c>
      <c r="O133" s="24" t="n">
        <v>0.01230659169225786</v>
      </c>
      <c r="P133" s="24" t="n">
        <v>0.004626099487264269</v>
      </c>
      <c r="Q133" s="24" t="n">
        <v>0.04850063349761637</v>
      </c>
      <c r="R133" s="24" t="n">
        <v>0.07143864117798664</v>
      </c>
      <c r="S133" s="26" t="n">
        <v>0</v>
      </c>
      <c r="T133" s="26" t="n">
        <v>0</v>
      </c>
      <c r="U133" s="26" t="n">
        <v>0.0006356233143260842</v>
      </c>
      <c r="V133" s="26" t="n">
        <v>0.0004722191823356421</v>
      </c>
      <c r="W133" s="26" t="n">
        <v>0.0003192579664849383</v>
      </c>
      <c r="X133" s="26" t="n">
        <v>0.03520637703572009</v>
      </c>
      <c r="Y133" s="26" t="n">
        <v>0.03663347749886676</v>
      </c>
      <c r="Z133" s="28" t="n">
        <v>0</v>
      </c>
      <c r="AA133" s="28" t="n">
        <v>0.002314547765857511</v>
      </c>
      <c r="AB133" s="28" t="n">
        <v>0.0001862760245395656</v>
      </c>
      <c r="AC133" s="28" t="n">
        <v>0.0001543898913344915</v>
      </c>
      <c r="AD133" s="28" t="n">
        <v>0.0001424440206106796</v>
      </c>
      <c r="AE133" s="28" t="n">
        <v>0.003631083766850464</v>
      </c>
      <c r="AF133" s="28" t="n">
        <v>0.006428741469192712</v>
      </c>
      <c r="AG133" s="30" t="n">
        <v>0</v>
      </c>
      <c r="AH133" s="30" t="n">
        <v>1.228469691721989e-05</v>
      </c>
      <c r="AI133" s="30" t="n">
        <v>0.0004256212370685154</v>
      </c>
      <c r="AJ133" s="30" t="n">
        <v>0.0003750735787279196</v>
      </c>
      <c r="AK133" s="30" t="n">
        <v>0.0001914752561474966</v>
      </c>
      <c r="AL133" s="30" t="n">
        <v>0.01264915985634904</v>
      </c>
      <c r="AM133" s="30" t="n">
        <v>0.01365361462521019</v>
      </c>
      <c r="AN133" s="32" t="n">
        <v>0</v>
      </c>
      <c r="AO133" s="32" t="n">
        <v>8.750026411319886e-06</v>
      </c>
      <c r="AP133" s="32" t="n">
        <v>5.366666751630325e-07</v>
      </c>
      <c r="AQ133" s="32" t="n">
        <v>7.464152422116936e-07</v>
      </c>
      <c r="AR133" s="32" t="n">
        <v>7.777144270117088e-07</v>
      </c>
      <c r="AS133" s="32" t="n">
        <v>1.043451488642511e-05</v>
      </c>
      <c r="AT133" s="32" t="n">
        <v>2.124533764213143e-05</v>
      </c>
      <c r="AU133" s="34" t="n">
        <v>0</v>
      </c>
      <c r="AV133" s="34" t="n">
        <v>0</v>
      </c>
      <c r="AW133" s="34" t="n">
        <v>0.2808344720952432</v>
      </c>
      <c r="AX133" s="34" t="n">
        <v>0.1764744841436473</v>
      </c>
      <c r="AY133" s="34" t="n">
        <v>0.1620166215976186</v>
      </c>
      <c r="AZ133" s="34" t="n">
        <v>0.6728558052327722</v>
      </c>
      <c r="BA133" s="34" t="n">
        <v>1.292181383069281</v>
      </c>
      <c r="BB133" s="6" t="n"/>
      <c r="BC133" s="6" t="n"/>
      <c r="BD133" t="inlineStr">
        <is>
          <t>transport, Scooter, battery electric, 4-11kW, NCA battery/CH U</t>
        </is>
      </c>
      <c r="BF133" s="5" t="n">
        <v>0.06941907900000001</v>
      </c>
      <c r="BG133" s="5">
        <f>BF133-R133</f>
        <v>-2.019562177986628E-3</v>
      </c>
      <c r="BH133" s="2" t="n">
        <v>164.95419</v>
      </c>
    </row>
    <row r="134">
      <c r="A134" t="str">
        <f>B134&amp;" - "&amp;D134&amp;" - "&amp;IF(I134&lt;&gt;"",I134&amp;" - "&amp;E134,E134)</f>
        <v>Scooter, battery electric, 4-11kW - 2030 - NCA - CH</v>
      </c>
      <c r="B134" t="inlineStr">
        <is>
          <t>Scooter, battery electric, 4-11kW</t>
        </is>
      </c>
      <c r="D134" s="18" t="n">
        <v>2030</v>
      </c>
      <c r="E134" t="inlineStr">
        <is>
          <t>CH</t>
        </is>
      </c>
      <c r="F134" t="inlineStr">
        <is>
          <t>None</t>
        </is>
      </c>
      <c r="G134" t="inlineStr">
        <is>
          <t>vkm</t>
        </is>
      </c>
      <c r="H134" t="inlineStr">
        <is>
          <t>BEV</t>
        </is>
      </c>
      <c r="I134" t="inlineStr">
        <is>
          <t>NCA</t>
        </is>
      </c>
      <c r="J134" t="inlineStr">
        <is>
          <t>None</t>
        </is>
      </c>
      <c r="L134" s="24" t="n">
        <v>0</v>
      </c>
      <c r="M134" s="24" t="n">
        <v>0</v>
      </c>
      <c r="N134" s="24" t="n">
        <v>0.006005316500848137</v>
      </c>
      <c r="O134" s="24" t="n">
        <v>0.01230659169225786</v>
      </c>
      <c r="P134" s="24" t="n">
        <v>0.004642158582995738</v>
      </c>
      <c r="Q134" s="24" t="n">
        <v>0.05125975659002541</v>
      </c>
      <c r="R134" s="24" t="n">
        <v>0.07421382336612714</v>
      </c>
      <c r="S134" s="26" t="n">
        <v>0</v>
      </c>
      <c r="T134" s="26" t="n">
        <v>0</v>
      </c>
      <c r="U134" s="26" t="n">
        <v>0.0006356233143260842</v>
      </c>
      <c r="V134" s="26" t="n">
        <v>0.0004722191823356421</v>
      </c>
      <c r="W134" s="26" t="n">
        <v>0.0003202727028533642</v>
      </c>
      <c r="X134" s="26" t="n">
        <v>0.03560881118297076</v>
      </c>
      <c r="Y134" s="26" t="n">
        <v>0.03703692638248585</v>
      </c>
      <c r="Z134" s="28" t="n">
        <v>0</v>
      </c>
      <c r="AA134" s="28" t="n">
        <v>0.002314547765857511</v>
      </c>
      <c r="AB134" s="28" t="n">
        <v>0.0001862760245395656</v>
      </c>
      <c r="AC134" s="28" t="n">
        <v>0.0001543898913344915</v>
      </c>
      <c r="AD134" s="28" t="n">
        <v>0.0001429052850989885</v>
      </c>
      <c r="AE134" s="28" t="n">
        <v>0.003782335538154023</v>
      </c>
      <c r="AF134" s="28" t="n">
        <v>0.00658045450498458</v>
      </c>
      <c r="AG134" s="30" t="n">
        <v>0</v>
      </c>
      <c r="AH134" s="30" t="n">
        <v>1.228469691721989e-05</v>
      </c>
      <c r="AI134" s="30" t="n">
        <v>0.0004256212370685154</v>
      </c>
      <c r="AJ134" s="30" t="n">
        <v>0.0003750735787279196</v>
      </c>
      <c r="AK134" s="30" t="n">
        <v>0.0001919057425134528</v>
      </c>
      <c r="AL134" s="30" t="n">
        <v>0.01314595819128847</v>
      </c>
      <c r="AM134" s="30" t="n">
        <v>0.01415084344651558</v>
      </c>
      <c r="AN134" s="32" t="n">
        <v>0</v>
      </c>
      <c r="AO134" s="32" t="n">
        <v>8.750026411319886e-06</v>
      </c>
      <c r="AP134" s="32" t="n">
        <v>5.366666751630325e-07</v>
      </c>
      <c r="AQ134" s="32" t="n">
        <v>7.464152422116936e-07</v>
      </c>
      <c r="AR134" s="32" t="n">
        <v>7.794142083015521e-07</v>
      </c>
      <c r="AS134" s="32" t="n">
        <v>1.054908075775436e-05</v>
      </c>
      <c r="AT134" s="32" t="n">
        <v>2.136160329475053e-05</v>
      </c>
      <c r="AU134" s="34" t="n">
        <v>0</v>
      </c>
      <c r="AV134" s="34" t="n">
        <v>0</v>
      </c>
      <c r="AW134" s="34" t="n">
        <v>0.2808344720952432</v>
      </c>
      <c r="AX134" s="34" t="n">
        <v>0.1764744841436473</v>
      </c>
      <c r="AY134" s="34" t="n">
        <v>0.1625427071080899</v>
      </c>
      <c r="AZ134" s="34" t="n">
        <v>0.7020900405552021</v>
      </c>
      <c r="BA134" s="34" t="n">
        <v>1.321941703902183</v>
      </c>
      <c r="BB134" s="6" t="n"/>
      <c r="BC134" s="6" t="n"/>
      <c r="BD134" t="inlineStr">
        <is>
          <t>transport, Scooter, battery electric, 4-11kW, NCA battery, 2030/CH U</t>
        </is>
      </c>
      <c r="BF134" s="5" t="n">
        <v>0.07061152900000001</v>
      </c>
      <c r="BG134" s="5">
        <f>BF134-R134</f>
        <v>-3.6022943661271345E-3</v>
      </c>
      <c r="BH134" s="2" t="n">
        <v>165.31905</v>
      </c>
    </row>
    <row r="135">
      <c r="A135" t="str">
        <f>B135&amp;" - "&amp;D135&amp;" - "&amp;IF(I135&lt;&gt;"",I135&amp;" - "&amp;E135,E135)</f>
        <v>Scooter, battery electric, 4-11kW - 2040 - NCA - CH</v>
      </c>
      <c r="B135" t="inlineStr">
        <is>
          <t>Scooter, battery electric, 4-11kW</t>
        </is>
      </c>
      <c r="D135" s="18" t="n">
        <v>2040</v>
      </c>
      <c r="E135" t="inlineStr">
        <is>
          <t>CH</t>
        </is>
      </c>
      <c r="F135" t="inlineStr">
        <is>
          <t>None</t>
        </is>
      </c>
      <c r="G135" t="inlineStr">
        <is>
          <t>vkm</t>
        </is>
      </c>
      <c r="H135" t="inlineStr">
        <is>
          <t>BEV</t>
        </is>
      </c>
      <c r="I135" t="inlineStr">
        <is>
          <t>NCA</t>
        </is>
      </c>
      <c r="J135" t="inlineStr">
        <is>
          <t>None</t>
        </is>
      </c>
      <c r="L135" s="24" t="n">
        <v>0</v>
      </c>
      <c r="M135" s="24" t="n">
        <v>0</v>
      </c>
      <c r="N135" s="24" t="n">
        <v>0.006005316500848137</v>
      </c>
      <c r="O135" s="24" t="n">
        <v>0.01230659169225786</v>
      </c>
      <c r="P135" s="24" t="n">
        <v>0.00464338765601142</v>
      </c>
      <c r="Q135" s="24" t="n">
        <v>0.05153181573813944</v>
      </c>
      <c r="R135" s="24" t="n">
        <v>0.07448711158725686</v>
      </c>
      <c r="S135" s="26" t="n">
        <v>0</v>
      </c>
      <c r="T135" s="26" t="n">
        <v>0</v>
      </c>
      <c r="U135" s="26" t="n">
        <v>0.0006356233143260842</v>
      </c>
      <c r="V135" s="26" t="n">
        <v>0.0004722191823356421</v>
      </c>
      <c r="W135" s="26" t="n">
        <v>0.0003203503650772726</v>
      </c>
      <c r="X135" s="26" t="n">
        <v>0.03440957381013059</v>
      </c>
      <c r="Y135" s="26" t="n">
        <v>0.03583776667186959</v>
      </c>
      <c r="Z135" s="28" t="n">
        <v>0</v>
      </c>
      <c r="AA135" s="28" t="n">
        <v>0.002314547765857511</v>
      </c>
      <c r="AB135" s="28" t="n">
        <v>0.0001862760245395656</v>
      </c>
      <c r="AC135" s="28" t="n">
        <v>0.0001543898913344915</v>
      </c>
      <c r="AD135" s="28" t="n">
        <v>0.0001429405876929298</v>
      </c>
      <c r="AE135" s="28" t="n">
        <v>0.003700477368965883</v>
      </c>
      <c r="AF135" s="28" t="n">
        <v>0.006498631638390381</v>
      </c>
      <c r="AG135" s="30" t="n">
        <v>0</v>
      </c>
      <c r="AH135" s="30" t="n">
        <v>1.228469691721989e-05</v>
      </c>
      <c r="AI135" s="30" t="n">
        <v>0.0004256212370685154</v>
      </c>
      <c r="AJ135" s="30" t="n">
        <v>0.0003750735787279196</v>
      </c>
      <c r="AK135" s="30" t="n">
        <v>0.000191938689522728</v>
      </c>
      <c r="AL135" s="30" t="n">
        <v>0.01292753983247213</v>
      </c>
      <c r="AM135" s="30" t="n">
        <v>0.01393245803470851</v>
      </c>
      <c r="AN135" s="32" t="n">
        <v>0</v>
      </c>
      <c r="AO135" s="32" t="n">
        <v>8.750026411319886e-06</v>
      </c>
      <c r="AP135" s="32" t="n">
        <v>5.366666751630325e-07</v>
      </c>
      <c r="AQ135" s="32" t="n">
        <v>7.464152422116936e-07</v>
      </c>
      <c r="AR135" s="32" t="n">
        <v>7.795443000172277e-07</v>
      </c>
      <c r="AS135" s="32" t="n">
        <v>1.025274285720682e-05</v>
      </c>
      <c r="AT135" s="32" t="n">
        <v>2.106539548591866e-05</v>
      </c>
      <c r="AU135" s="34" t="n">
        <v>0</v>
      </c>
      <c r="AV135" s="34" t="n">
        <v>0</v>
      </c>
      <c r="AW135" s="34" t="n">
        <v>0.2808344720952432</v>
      </c>
      <c r="AX135" s="34" t="n">
        <v>0.1764744841436473</v>
      </c>
      <c r="AY135" s="34" t="n">
        <v>0.1625829707390984</v>
      </c>
      <c r="AZ135" s="34" t="n">
        <v>0.6991883525678331</v>
      </c>
      <c r="BA135" s="34" t="n">
        <v>1.319080279545822</v>
      </c>
      <c r="BB135" s="6" t="n"/>
      <c r="BC135" s="6" t="n"/>
      <c r="BD135" t="inlineStr">
        <is>
          <t>transport, Scooter, battery electric, 4-11kW, NCA battery, 2040/CH U</t>
        </is>
      </c>
      <c r="BF135" s="5" t="n">
        <v>0.070113234</v>
      </c>
      <c r="BG135" s="5">
        <f>BF135-R135</f>
        <v>-4.3738775872568664E-3</v>
      </c>
      <c r="BH135" s="2" t="n">
        <v>158.9487</v>
      </c>
    </row>
    <row r="136">
      <c r="A136" t="str">
        <f>B136&amp;" - "&amp;D136&amp;" - "&amp;IF(I136&lt;&gt;"",I136&amp;" - "&amp;E136,E136)</f>
        <v>Scooter, battery electric, 4-11kW - 2050 - NCA - CH</v>
      </c>
      <c r="B136" t="inlineStr">
        <is>
          <t>Scooter, battery electric, 4-11kW</t>
        </is>
      </c>
      <c r="D136" s="18" t="n">
        <v>2050</v>
      </c>
      <c r="E136" t="inlineStr">
        <is>
          <t>CH</t>
        </is>
      </c>
      <c r="F136" t="inlineStr">
        <is>
          <t>None</t>
        </is>
      </c>
      <c r="G136" t="inlineStr">
        <is>
          <t>vkm</t>
        </is>
      </c>
      <c r="H136" t="inlineStr">
        <is>
          <t>BEV</t>
        </is>
      </c>
      <c r="I136" t="inlineStr">
        <is>
          <t>NCA</t>
        </is>
      </c>
      <c r="J136" t="inlineStr">
        <is>
          <t>None</t>
        </is>
      </c>
      <c r="L136" s="24" t="n">
        <v>0</v>
      </c>
      <c r="M136" s="24" t="n">
        <v>0</v>
      </c>
      <c r="N136" s="24" t="n">
        <v>0.006005316500848137</v>
      </c>
      <c r="O136" s="24" t="n">
        <v>0.01230659169225786</v>
      </c>
      <c r="P136" s="24" t="n">
        <v>0.004642249625441345</v>
      </c>
      <c r="Q136" s="24" t="n">
        <v>0.05115042373911663</v>
      </c>
      <c r="R136" s="24" t="n">
        <v>0.07410458155766397</v>
      </c>
      <c r="S136" s="26" t="n">
        <v>0</v>
      </c>
      <c r="T136" s="26" t="n">
        <v>0</v>
      </c>
      <c r="U136" s="26" t="n">
        <v>0.0006356233143260842</v>
      </c>
      <c r="V136" s="26" t="n">
        <v>0.0004722191823356421</v>
      </c>
      <c r="W136" s="26" t="n">
        <v>0.0003202784556106908</v>
      </c>
      <c r="X136" s="26" t="n">
        <v>0.03259549526497878</v>
      </c>
      <c r="Y136" s="26" t="n">
        <v>0.0340236162172512</v>
      </c>
      <c r="Z136" s="28" t="n">
        <v>0</v>
      </c>
      <c r="AA136" s="28" t="n">
        <v>0.002314547765857511</v>
      </c>
      <c r="AB136" s="28" t="n">
        <v>0.0001862760245395656</v>
      </c>
      <c r="AC136" s="28" t="n">
        <v>0.0001543898913344915</v>
      </c>
      <c r="AD136" s="28" t="n">
        <v>0.0001429079001059471</v>
      </c>
      <c r="AE136" s="28" t="n">
        <v>0.003542298854682322</v>
      </c>
      <c r="AF136" s="28" t="n">
        <v>0.006340420436519837</v>
      </c>
      <c r="AG136" s="30" t="n">
        <v>0</v>
      </c>
      <c r="AH136" s="30" t="n">
        <v>1.228469691721989e-05</v>
      </c>
      <c r="AI136" s="30" t="n">
        <v>0.0004256212370685154</v>
      </c>
      <c r="AJ136" s="30" t="n">
        <v>0.0003750735787279196</v>
      </c>
      <c r="AK136" s="30" t="n">
        <v>0.0001919081830326583</v>
      </c>
      <c r="AL136" s="30" t="n">
        <v>0.01247884742641603</v>
      </c>
      <c r="AM136" s="30" t="n">
        <v>0.01348373512216234</v>
      </c>
      <c r="AN136" s="32" t="n">
        <v>0</v>
      </c>
      <c r="AO136" s="32" t="n">
        <v>8.750026411319886e-06</v>
      </c>
      <c r="AP136" s="32" t="n">
        <v>5.366666751630325e-07</v>
      </c>
      <c r="AQ136" s="32" t="n">
        <v>7.464152422116936e-07</v>
      </c>
      <c r="AR136" s="32" t="n">
        <v>7.794238447249354e-07</v>
      </c>
      <c r="AS136" s="32" t="n">
        <v>9.801083915974758e-06</v>
      </c>
      <c r="AT136" s="32" t="n">
        <v>2.06136160893943e-05</v>
      </c>
      <c r="AU136" s="34" t="n">
        <v>0</v>
      </c>
      <c r="AV136" s="34" t="n">
        <v>0</v>
      </c>
      <c r="AW136" s="34" t="n">
        <v>0.2808344720952432</v>
      </c>
      <c r="AX136" s="34" t="n">
        <v>0.1764744841436473</v>
      </c>
      <c r="AY136" s="34" t="n">
        <v>0.1625456895992757</v>
      </c>
      <c r="AZ136" s="34" t="n">
        <v>0.6869535020730939</v>
      </c>
      <c r="BA136" s="34" t="n">
        <v>1.30680814791126</v>
      </c>
      <c r="BB136" s="6" t="n"/>
      <c r="BC136" s="6" t="n"/>
      <c r="BD136" t="inlineStr">
        <is>
          <t>transport, Scooter, battery electric, 4-11kW, NCA battery, 2050/CH U</t>
        </is>
      </c>
      <c r="BF136" s="5" t="n">
        <v>0.06908624300000001</v>
      </c>
      <c r="BG136" s="5">
        <f>BF136-R136</f>
        <v>-5.0183385576639677E-3</v>
      </c>
      <c r="BH136" s="2" t="n">
        <v>149.84835</v>
      </c>
    </row>
    <row r="137">
      <c r="A137" t="str">
        <f>B137&amp;" - "&amp;D137&amp;" - "&amp;IF(I137&lt;&gt;"",I137&amp;" - "&amp;E137,E137)</f>
        <v>Scooter, battery electric, &lt;4kW - 2020 - NMC - CH</v>
      </c>
      <c r="B137" t="inlineStr">
        <is>
          <t>Scooter, battery electric, &lt;4kW</t>
        </is>
      </c>
      <c r="D137" s="18" t="n">
        <v>2020</v>
      </c>
      <c r="E137" t="inlineStr">
        <is>
          <t>CH</t>
        </is>
      </c>
      <c r="F137" t="inlineStr">
        <is>
          <t>None</t>
        </is>
      </c>
      <c r="G137" t="inlineStr">
        <is>
          <t>vkm</t>
        </is>
      </c>
      <c r="H137" t="inlineStr">
        <is>
          <t>BEV</t>
        </is>
      </c>
      <c r="I137" t="inlineStr">
        <is>
          <t>NMC</t>
        </is>
      </c>
      <c r="J137" t="inlineStr">
        <is>
          <t>label-certified electricity</t>
        </is>
      </c>
      <c r="L137" s="24" t="n">
        <v>0</v>
      </c>
      <c r="M137" s="24" t="n">
        <v>0</v>
      </c>
      <c r="N137" s="24" t="n">
        <v>0.0008206929002761456</v>
      </c>
      <c r="O137" s="24" t="n">
        <v>0.01230659169225786</v>
      </c>
      <c r="P137" s="24" t="n">
        <v>0.004499995804181871</v>
      </c>
      <c r="Q137" s="24" t="n">
        <v>0.04696066770506375</v>
      </c>
      <c r="R137" s="24" t="n">
        <v>0.06458794810177962</v>
      </c>
      <c r="S137" s="26" t="n">
        <v>0</v>
      </c>
      <c r="T137" s="26" t="n">
        <v>0</v>
      </c>
      <c r="U137" s="26" t="n">
        <v>0.0004678053135681222</v>
      </c>
      <c r="V137" s="26" t="n">
        <v>0.0004722191823356421</v>
      </c>
      <c r="W137" s="26" t="n">
        <v>0.000311289772287963</v>
      </c>
      <c r="X137" s="26" t="n">
        <v>0.05232880759930414</v>
      </c>
      <c r="Y137" s="26" t="n">
        <v>0.05358012186749587</v>
      </c>
      <c r="Z137" s="28" t="n">
        <v>0</v>
      </c>
      <c r="AA137" s="28" t="n">
        <v>0.002314547765857511</v>
      </c>
      <c r="AB137" s="28" t="n">
        <v>8.254743922525021e-05</v>
      </c>
      <c r="AC137" s="28" t="n">
        <v>0.0001543898913344915</v>
      </c>
      <c r="AD137" s="28" t="n">
        <v>0.0001388219517331103</v>
      </c>
      <c r="AE137" s="28" t="n">
        <v>0.004401766960808681</v>
      </c>
      <c r="AF137" s="28" t="n">
        <v>0.007092074008959044</v>
      </c>
      <c r="AG137" s="30" t="n">
        <v>0</v>
      </c>
      <c r="AH137" s="30" t="n">
        <v>1.228469691721989e-05</v>
      </c>
      <c r="AI137" s="30" t="n">
        <v>0.0003093545718453609</v>
      </c>
      <c r="AJ137" s="30" t="n">
        <v>0.0003750735787279196</v>
      </c>
      <c r="AK137" s="30" t="n">
        <v>0.0001880948717739569</v>
      </c>
      <c r="AL137" s="30" t="n">
        <v>0.01316560346465253</v>
      </c>
      <c r="AM137" s="30" t="n">
        <v>0.01405041118391699</v>
      </c>
      <c r="AN137" s="32" t="n">
        <v>0</v>
      </c>
      <c r="AO137" s="32" t="n">
        <v>8.750026411319886e-06</v>
      </c>
      <c r="AP137" s="32" t="n">
        <v>7.308690791712847e-07</v>
      </c>
      <c r="AQ137" s="32" t="n">
        <v>7.464152422116936e-07</v>
      </c>
      <c r="AR137" s="32" t="n">
        <v>7.643669331883957e-07</v>
      </c>
      <c r="AS137" s="32" t="n">
        <v>1.261345213330121e-05</v>
      </c>
      <c r="AT137" s="32" t="n">
        <v>2.360512979919247e-05</v>
      </c>
      <c r="AU137" s="34" t="n">
        <v>0</v>
      </c>
      <c r="AV137" s="34" t="n">
        <v>0</v>
      </c>
      <c r="AW137" s="34" t="n">
        <v>0.008176664394848992</v>
      </c>
      <c r="AX137" s="34" t="n">
        <v>0.1764744841436473</v>
      </c>
      <c r="AY137" s="34" t="n">
        <v>0.157885547121444</v>
      </c>
      <c r="AZ137" s="34" t="n">
        <v>0.6774069618901227</v>
      </c>
      <c r="BA137" s="34" t="n">
        <v>1.019943657550063</v>
      </c>
      <c r="BB137" s="6" t="n"/>
      <c r="BC137" s="6" t="n"/>
      <c r="BD137" t="inlineStr">
        <is>
          <t>transport, Scooter, battery electric, &lt;4kW, label-certified electricity/CH U</t>
        </is>
      </c>
      <c r="BF137" s="5" t="n">
        <v>0.057097881</v>
      </c>
      <c r="BG137" s="5">
        <f>BF137-R137</f>
        <v>-7.4900671017796155E-3</v>
      </c>
      <c r="BH137" s="2" t="n">
        <v>143.10151</v>
      </c>
    </row>
    <row r="138">
      <c r="A138" t="str">
        <f>B138&amp;" - "&amp;D138&amp;" - "&amp;IF(I138&lt;&gt;"",I138&amp;" - "&amp;E138,E138)</f>
        <v>Scooter, battery electric, &lt;4kW - 2030 - NMC - CH</v>
      </c>
      <c r="B138" t="inlineStr">
        <is>
          <t>Scooter, battery electric, &lt;4kW</t>
        </is>
      </c>
      <c r="D138" s="18" t="n">
        <v>2030</v>
      </c>
      <c r="E138" t="inlineStr">
        <is>
          <t>CH</t>
        </is>
      </c>
      <c r="F138" t="inlineStr">
        <is>
          <t>None</t>
        </is>
      </c>
      <c r="G138" t="inlineStr">
        <is>
          <t>vkm</t>
        </is>
      </c>
      <c r="H138" t="inlineStr">
        <is>
          <t>BEV</t>
        </is>
      </c>
      <c r="I138" t="inlineStr">
        <is>
          <t>NMC</t>
        </is>
      </c>
      <c r="J138" t="inlineStr">
        <is>
          <t>label-certified electricity</t>
        </is>
      </c>
      <c r="L138" s="24" t="n">
        <v>0</v>
      </c>
      <c r="M138" s="24" t="n">
        <v>0</v>
      </c>
      <c r="N138" s="24" t="n">
        <v>0.0008206929002761456</v>
      </c>
      <c r="O138" s="24" t="n">
        <v>0.01230659169225786</v>
      </c>
      <c r="P138" s="24" t="n">
        <v>0.004500875881156063</v>
      </c>
      <c r="Q138" s="24" t="n">
        <v>0.04752004847362317</v>
      </c>
      <c r="R138" s="24" t="n">
        <v>0.06514820894731324</v>
      </c>
      <c r="S138" s="26" t="n">
        <v>0</v>
      </c>
      <c r="T138" s="26" t="n">
        <v>0</v>
      </c>
      <c r="U138" s="26" t="n">
        <v>0.0004678053135681222</v>
      </c>
      <c r="V138" s="26" t="n">
        <v>0.0004722191823356421</v>
      </c>
      <c r="W138" s="26" t="n">
        <v>0.000311345382275453</v>
      </c>
      <c r="X138" s="26" t="n">
        <v>0.0481282810019204</v>
      </c>
      <c r="Y138" s="26" t="n">
        <v>0.04937965088009962</v>
      </c>
      <c r="Z138" s="28" t="n">
        <v>0</v>
      </c>
      <c r="AA138" s="28" t="n">
        <v>0.002314547765857511</v>
      </c>
      <c r="AB138" s="28" t="n">
        <v>8.254743922525021e-05</v>
      </c>
      <c r="AC138" s="28" t="n">
        <v>0.0001543898913344915</v>
      </c>
      <c r="AD138" s="28" t="n">
        <v>0.0001388472301337103</v>
      </c>
      <c r="AE138" s="28" t="n">
        <v>0.004191135098598754</v>
      </c>
      <c r="AF138" s="28" t="n">
        <v>0.006881467425149716</v>
      </c>
      <c r="AG138" s="30" t="n">
        <v>0</v>
      </c>
      <c r="AH138" s="30" t="n">
        <v>1.228469691721989e-05</v>
      </c>
      <c r="AI138" s="30" t="n">
        <v>0.0003093545718453609</v>
      </c>
      <c r="AJ138" s="30" t="n">
        <v>0.0003750735787279196</v>
      </c>
      <c r="AK138" s="30" t="n">
        <v>0.0001881184634596107</v>
      </c>
      <c r="AL138" s="30" t="n">
        <v>0.0127596213245302</v>
      </c>
      <c r="AM138" s="30" t="n">
        <v>0.01364445263548031</v>
      </c>
      <c r="AN138" s="32" t="n">
        <v>0</v>
      </c>
      <c r="AO138" s="32" t="n">
        <v>8.750026411319886e-06</v>
      </c>
      <c r="AP138" s="32" t="n">
        <v>7.308690791712847e-07</v>
      </c>
      <c r="AQ138" s="32" t="n">
        <v>7.464152422116936e-07</v>
      </c>
      <c r="AR138" s="32" t="n">
        <v>7.644600852811017e-07</v>
      </c>
      <c r="AS138" s="32" t="n">
        <v>1.189596265994029e-05</v>
      </c>
      <c r="AT138" s="32" t="n">
        <v>2.288773347792426e-05</v>
      </c>
      <c r="AU138" s="34" t="n">
        <v>0</v>
      </c>
      <c r="AV138" s="34" t="n">
        <v>0</v>
      </c>
      <c r="AW138" s="34" t="n">
        <v>0.008176664394848992</v>
      </c>
      <c r="AX138" s="34" t="n">
        <v>0.1764744841436473</v>
      </c>
      <c r="AY138" s="34" t="n">
        <v>0.1579143778695736</v>
      </c>
      <c r="AZ138" s="34" t="n">
        <v>0.6717067451039926</v>
      </c>
      <c r="BA138" s="34" t="n">
        <v>1.014272271512062</v>
      </c>
      <c r="BB138" s="6" t="n"/>
      <c r="BC138" s="6" t="n"/>
      <c r="BD138" t="inlineStr">
        <is>
          <t>transport, Scooter, battery electric, &lt;4kW, 2030, label-certified electricity/CH U</t>
        </is>
      </c>
      <c r="BF138" s="5" t="n">
        <v>0.056910385</v>
      </c>
      <c r="BG138" s="5">
        <f>BF138-R138</f>
        <v>-8.23782394731324E-3</v>
      </c>
      <c r="BH138" s="2" t="n">
        <v>135.17749</v>
      </c>
    </row>
    <row r="139">
      <c r="A139" t="str">
        <f>B139&amp;" - "&amp;D139&amp;" - "&amp;IF(I139&lt;&gt;"",I139&amp;" - "&amp;E139,E139)</f>
        <v>Scooter, battery electric, &lt;4kW - 2040 - NMC - CH</v>
      </c>
      <c r="B139" t="inlineStr">
        <is>
          <t>Scooter, battery electric, &lt;4kW</t>
        </is>
      </c>
      <c r="D139" s="18" t="n">
        <v>2040</v>
      </c>
      <c r="E139" t="inlineStr">
        <is>
          <t>CH</t>
        </is>
      </c>
      <c r="F139" t="inlineStr">
        <is>
          <t>None</t>
        </is>
      </c>
      <c r="G139" t="inlineStr">
        <is>
          <t>vkm</t>
        </is>
      </c>
      <c r="H139" t="inlineStr">
        <is>
          <t>BEV</t>
        </is>
      </c>
      <c r="I139" t="inlineStr">
        <is>
          <t>NMC</t>
        </is>
      </c>
      <c r="J139" t="inlineStr">
        <is>
          <t>label-certified electricity</t>
        </is>
      </c>
      <c r="L139" s="24" t="n">
        <v>0</v>
      </c>
      <c r="M139" s="24" t="n">
        <v>0</v>
      </c>
      <c r="N139" s="24" t="n">
        <v>0.0008206929002761456</v>
      </c>
      <c r="O139" s="24" t="n">
        <v>0.01230659169225786</v>
      </c>
      <c r="P139" s="24" t="n">
        <v>0.004501133834751946</v>
      </c>
      <c r="Q139" s="24" t="n">
        <v>0.04799219909347199</v>
      </c>
      <c r="R139" s="24" t="n">
        <v>0.06562061752075794</v>
      </c>
      <c r="S139" s="26" t="n">
        <v>0</v>
      </c>
      <c r="T139" s="26" t="n">
        <v>0</v>
      </c>
      <c r="U139" s="26" t="n">
        <v>0.0004678053135681222</v>
      </c>
      <c r="V139" s="26" t="n">
        <v>0.0004722191823356421</v>
      </c>
      <c r="W139" s="26" t="n">
        <v>0.0003113616817545449</v>
      </c>
      <c r="X139" s="26" t="n">
        <v>0.04552493958179026</v>
      </c>
      <c r="Y139" s="26" t="n">
        <v>0.04677632575944857</v>
      </c>
      <c r="Z139" s="28" t="n">
        <v>0</v>
      </c>
      <c r="AA139" s="28" t="n">
        <v>0.002314547765857511</v>
      </c>
      <c r="AB139" s="28" t="n">
        <v>8.254743922525021e-05</v>
      </c>
      <c r="AC139" s="28" t="n">
        <v>0.0001543898913344915</v>
      </c>
      <c r="AD139" s="28" t="n">
        <v>0.000138854639320093</v>
      </c>
      <c r="AE139" s="28" t="n">
        <v>0.004066474035519603</v>
      </c>
      <c r="AF139" s="28" t="n">
        <v>0.006756813771256948</v>
      </c>
      <c r="AG139" s="30" t="n">
        <v>0</v>
      </c>
      <c r="AH139" s="30" t="n">
        <v>1.228469691721989e-05</v>
      </c>
      <c r="AI139" s="30" t="n">
        <v>0.0003093545718453609</v>
      </c>
      <c r="AJ139" s="30" t="n">
        <v>0.0003750735787279196</v>
      </c>
      <c r="AK139" s="30" t="n">
        <v>0.0001881253782640265</v>
      </c>
      <c r="AL139" s="30" t="n">
        <v>0.01252915806510028</v>
      </c>
      <c r="AM139" s="30" t="n">
        <v>0.01341399629085481</v>
      </c>
      <c r="AN139" s="32" t="n">
        <v>0</v>
      </c>
      <c r="AO139" s="32" t="n">
        <v>8.750026411319886e-06</v>
      </c>
      <c r="AP139" s="32" t="n">
        <v>7.308690791712847e-07</v>
      </c>
      <c r="AQ139" s="32" t="n">
        <v>7.464152422116936e-07</v>
      </c>
      <c r="AR139" s="32" t="n">
        <v>7.644873884806881e-07</v>
      </c>
      <c r="AS139" s="32" t="n">
        <v>1.145309309929765e-05</v>
      </c>
      <c r="AT139" s="32" t="n">
        <v>2.24448912204812e-05</v>
      </c>
      <c r="AU139" s="34" t="n">
        <v>0</v>
      </c>
      <c r="AV139" s="34" t="n">
        <v>0</v>
      </c>
      <c r="AW139" s="34" t="n">
        <v>0.008176664394848992</v>
      </c>
      <c r="AX139" s="34" t="n">
        <v>0.1764744841436473</v>
      </c>
      <c r="AY139" s="34" t="n">
        <v>0.1579228282612667</v>
      </c>
      <c r="AZ139" s="34" t="n">
        <v>0.6694508718620975</v>
      </c>
      <c r="BA139" s="34" t="n">
        <v>1.012024848661861</v>
      </c>
      <c r="BB139" s="6" t="n"/>
      <c r="BC139" s="6" t="n"/>
      <c r="BD139" t="inlineStr">
        <is>
          <t>transport, Scooter, battery electric, &lt;4kW, 2040, label-certified electricity/CH U</t>
        </is>
      </c>
      <c r="BF139" s="5" t="n">
        <v>0.056843547</v>
      </c>
      <c r="BG139" s="5">
        <f>BF139-R139</f>
        <v>-8.7770705207579416E-3</v>
      </c>
      <c r="BH139" s="2" t="n">
        <v>130.24121</v>
      </c>
    </row>
    <row r="140">
      <c r="A140" t="str">
        <f>B140&amp;" - "&amp;D140&amp;" - "&amp;IF(I140&lt;&gt;"",I140&amp;" - "&amp;E140,E140)</f>
        <v>Scooter, battery electric, &lt;4kW - 2050 - NMC - CH</v>
      </c>
      <c r="B140" t="inlineStr">
        <is>
          <t>Scooter, battery electric, &lt;4kW</t>
        </is>
      </c>
      <c r="D140" s="18" t="n">
        <v>2050</v>
      </c>
      <c r="E140" t="inlineStr">
        <is>
          <t>CH</t>
        </is>
      </c>
      <c r="F140" t="inlineStr">
        <is>
          <t>None</t>
        </is>
      </c>
      <c r="G140" t="inlineStr">
        <is>
          <t>vkm</t>
        </is>
      </c>
      <c r="H140" t="inlineStr">
        <is>
          <t>BEV</t>
        </is>
      </c>
      <c r="I140" t="inlineStr">
        <is>
          <t>NMC</t>
        </is>
      </c>
      <c r="J140" t="inlineStr">
        <is>
          <t>label-certified electricity</t>
        </is>
      </c>
      <c r="L140" s="24" t="n">
        <v>0</v>
      </c>
      <c r="M140" s="24" t="n">
        <v>0</v>
      </c>
      <c r="N140" s="24" t="n">
        <v>0.0008206929002761456</v>
      </c>
      <c r="O140" s="24" t="n">
        <v>0.01230659169225786</v>
      </c>
      <c r="P140" s="24" t="n">
        <v>0.004503364374669295</v>
      </c>
      <c r="Q140" s="24" t="n">
        <v>0.04826912265091527</v>
      </c>
      <c r="R140" s="24" t="n">
        <v>0.06589977161811858</v>
      </c>
      <c r="S140" s="26" t="n">
        <v>0</v>
      </c>
      <c r="T140" s="26" t="n">
        <v>0</v>
      </c>
      <c r="U140" s="26" t="n">
        <v>0.0004678053135681222</v>
      </c>
      <c r="V140" s="26" t="n">
        <v>0.0004722191823356421</v>
      </c>
      <c r="W140" s="26" t="n">
        <v>0.0003115026243090452</v>
      </c>
      <c r="X140" s="26" t="n">
        <v>0.04252764461027689</v>
      </c>
      <c r="Y140" s="26" t="n">
        <v>0.0437791717304897</v>
      </c>
      <c r="Z140" s="28" t="n">
        <v>0</v>
      </c>
      <c r="AA140" s="28" t="n">
        <v>0.002314547765857511</v>
      </c>
      <c r="AB140" s="28" t="n">
        <v>8.254743922525021e-05</v>
      </c>
      <c r="AC140" s="28" t="n">
        <v>0.0001543898913344915</v>
      </c>
      <c r="AD140" s="28" t="n">
        <v>0.0001389187069905791</v>
      </c>
      <c r="AE140" s="28" t="n">
        <v>0.003910518570326481</v>
      </c>
      <c r="AF140" s="28" t="n">
        <v>0.006600922373734313</v>
      </c>
      <c r="AG140" s="30" t="n">
        <v>0</v>
      </c>
      <c r="AH140" s="30" t="n">
        <v>1.228469691721989e-05</v>
      </c>
      <c r="AI140" s="30" t="n">
        <v>0.0003093545718453609</v>
      </c>
      <c r="AJ140" s="30" t="n">
        <v>0.0003750735787279196</v>
      </c>
      <c r="AK140" s="30" t="n">
        <v>0.0001881851709845629</v>
      </c>
      <c r="AL140" s="30" t="n">
        <v>0.01221833230624189</v>
      </c>
      <c r="AM140" s="30" t="n">
        <v>0.01310323032471695</v>
      </c>
      <c r="AN140" s="32" t="n">
        <v>0</v>
      </c>
      <c r="AO140" s="32" t="n">
        <v>8.750026411319886e-06</v>
      </c>
      <c r="AP140" s="32" t="n">
        <v>7.308690791712847e-07</v>
      </c>
      <c r="AQ140" s="32" t="n">
        <v>7.464152422116936e-07</v>
      </c>
      <c r="AR140" s="32" t="n">
        <v>7.647234808535809e-07</v>
      </c>
      <c r="AS140" s="32" t="n">
        <v>1.094014660301449e-05</v>
      </c>
      <c r="AT140" s="32" t="n">
        <v>2.193218081657094e-05</v>
      </c>
      <c r="AU140" s="34" t="n">
        <v>0</v>
      </c>
      <c r="AV140" s="34" t="n">
        <v>0</v>
      </c>
      <c r="AW140" s="34" t="n">
        <v>0.008176664394848992</v>
      </c>
      <c r="AX140" s="34" t="n">
        <v>0.1764744841436473</v>
      </c>
      <c r="AY140" s="34" t="n">
        <v>0.1579958992953191</v>
      </c>
      <c r="AZ140" s="34" t="n">
        <v>0.664154624421501</v>
      </c>
      <c r="BA140" s="34" t="n">
        <v>1.006801672255316</v>
      </c>
      <c r="BB140" s="6" t="n"/>
      <c r="BC140" s="6" t="n"/>
      <c r="BD140" t="inlineStr">
        <is>
          <t>transport, Scooter, battery electric, &lt;4kW, 2050, label-certified electricity/CH U</t>
        </is>
      </c>
      <c r="BF140" s="5" t="n">
        <v>0.05666819</v>
      </c>
      <c r="BG140" s="5">
        <f>BF140-R140</f>
        <v>-9.2315816181185797E-3</v>
      </c>
      <c r="BH140" s="2" t="n">
        <v>124.62659</v>
      </c>
    </row>
    <row r="141">
      <c r="A141" t="str">
        <f>B141&amp;" - "&amp;D141&amp;" - "&amp;IF(I141&lt;&gt;"",I141&amp;" - "&amp;E141,E141)</f>
        <v>Scooter, battery electric, 4-11kW - 2020 - NMC - CH</v>
      </c>
      <c r="B141" t="inlineStr">
        <is>
          <t>Scooter, battery electric, 4-11kW</t>
        </is>
      </c>
      <c r="D141" s="18" t="n">
        <v>2020</v>
      </c>
      <c r="E141" t="inlineStr">
        <is>
          <t>CH</t>
        </is>
      </c>
      <c r="F141" t="inlineStr">
        <is>
          <t>None</t>
        </is>
      </c>
      <c r="G141" t="inlineStr">
        <is>
          <t>vkm</t>
        </is>
      </c>
      <c r="H141" t="inlineStr">
        <is>
          <t>BEV</t>
        </is>
      </c>
      <c r="I141" t="inlineStr">
        <is>
          <t>NMC</t>
        </is>
      </c>
      <c r="J141" t="inlineStr">
        <is>
          <t>label-certified electricity</t>
        </is>
      </c>
      <c r="L141" s="24" t="n">
        <v>0</v>
      </c>
      <c r="M141" s="24" t="n">
        <v>0</v>
      </c>
      <c r="N141" s="24" t="n">
        <v>0.001164988379267724</v>
      </c>
      <c r="O141" s="24" t="n">
        <v>0.01230659169225786</v>
      </c>
      <c r="P141" s="24" t="n">
        <v>0.004638835533731117</v>
      </c>
      <c r="Q141" s="24" t="n">
        <v>0.06522091449734307</v>
      </c>
      <c r="R141" s="24" t="n">
        <v>0.08333133010259977</v>
      </c>
      <c r="S141" s="26" t="n">
        <v>0</v>
      </c>
      <c r="T141" s="26" t="n">
        <v>0</v>
      </c>
      <c r="U141" s="26" t="n">
        <v>0.0006640580829725457</v>
      </c>
      <c r="V141" s="26" t="n">
        <v>0.0004722191823356421</v>
      </c>
      <c r="W141" s="26" t="n">
        <v>0.0003200627272109453</v>
      </c>
      <c r="X141" s="26" t="n">
        <v>0.07585573578384486</v>
      </c>
      <c r="Y141" s="26" t="n">
        <v>0.07731207577636399</v>
      </c>
      <c r="Z141" s="28" t="n">
        <v>0</v>
      </c>
      <c r="AA141" s="28" t="n">
        <v>0.002314547765857511</v>
      </c>
      <c r="AB141" s="28" t="n">
        <v>0.000117177579339808</v>
      </c>
      <c r="AC141" s="28" t="n">
        <v>0.0001543898913344915</v>
      </c>
      <c r="AD141" s="28" t="n">
        <v>0.000142809837344999</v>
      </c>
      <c r="AE141" s="28" t="n">
        <v>0.006259954406496352</v>
      </c>
      <c r="AF141" s="28" t="n">
        <v>0.008988879480373161</v>
      </c>
      <c r="AG141" s="30" t="n">
        <v>0</v>
      </c>
      <c r="AH141" s="30" t="n">
        <v>1.228469691721989e-05</v>
      </c>
      <c r="AI141" s="30" t="n">
        <v>0.0004391343962545825</v>
      </c>
      <c r="AJ141" s="30" t="n">
        <v>0.0003750735787279196</v>
      </c>
      <c r="AK141" s="30" t="n">
        <v>0.0001918166635624495</v>
      </c>
      <c r="AL141" s="30" t="n">
        <v>0.01889684933748047</v>
      </c>
      <c r="AM141" s="30" t="n">
        <v>0.01991515867294264</v>
      </c>
      <c r="AN141" s="32" t="n">
        <v>0</v>
      </c>
      <c r="AO141" s="32" t="n">
        <v>8.750026411319886e-06</v>
      </c>
      <c r="AP141" s="32" t="n">
        <v>1.037481844565918e-06</v>
      </c>
      <c r="AQ141" s="32" t="n">
        <v>7.464152422116936e-07</v>
      </c>
      <c r="AR141" s="32" t="n">
        <v>7.790624788480584e-07</v>
      </c>
      <c r="AS141" s="32" t="n">
        <v>1.733207187864361e-05</v>
      </c>
      <c r="AT141" s="32" t="n">
        <v>2.864505785558917e-05</v>
      </c>
      <c r="AU141" s="34" t="n">
        <v>0</v>
      </c>
      <c r="AV141" s="34" t="n">
        <v>0</v>
      </c>
      <c r="AW141" s="34" t="n">
        <v>0.01160692263569726</v>
      </c>
      <c r="AX141" s="34" t="n">
        <v>0.1764744841436473</v>
      </c>
      <c r="AY141" s="34" t="n">
        <v>0.1624338461798077</v>
      </c>
      <c r="AZ141" s="34" t="n">
        <v>0.9414577150301215</v>
      </c>
      <c r="BA141" s="34" t="n">
        <v>1.291972967989274</v>
      </c>
      <c r="BB141" s="6" t="n"/>
      <c r="BC141" s="6" t="n"/>
      <c r="BD141" t="inlineStr">
        <is>
          <t>transport, Scooter, battery electric, 4-11kW, label-certified electricity/CH U</t>
        </is>
      </c>
      <c r="BF141" s="5" t="n">
        <v>0.07051339</v>
      </c>
      <c r="BG141" s="5">
        <f>BF141-R141</f>
        <v>-1.2817940102599776E-2</v>
      </c>
      <c r="BH141" s="2" t="n">
        <v>187.63644</v>
      </c>
    </row>
    <row r="142">
      <c r="A142" t="str">
        <f>B142&amp;" - "&amp;D142&amp;" - "&amp;IF(I142&lt;&gt;"",I142&amp;" - "&amp;E142,E142)</f>
        <v>Scooter, battery electric, 4-11kW - 2030 - NMC - CH</v>
      </c>
      <c r="B142" t="inlineStr">
        <is>
          <t>Scooter, battery electric, 4-11kW</t>
        </is>
      </c>
      <c r="D142" s="18" t="n">
        <v>2030</v>
      </c>
      <c r="E142" t="inlineStr">
        <is>
          <t>CH</t>
        </is>
      </c>
      <c r="F142" t="inlineStr">
        <is>
          <t>None</t>
        </is>
      </c>
      <c r="G142" t="inlineStr">
        <is>
          <t>vkm</t>
        </is>
      </c>
      <c r="H142" t="inlineStr">
        <is>
          <t>BEV</t>
        </is>
      </c>
      <c r="I142" t="inlineStr">
        <is>
          <t>NMC</t>
        </is>
      </c>
      <c r="J142" t="inlineStr">
        <is>
          <t>label-certified electricity</t>
        </is>
      </c>
      <c r="L142" s="24" t="n">
        <v>0</v>
      </c>
      <c r="M142" s="24" t="n">
        <v>0</v>
      </c>
      <c r="N142" s="24" t="n">
        <v>0.001164988379267724</v>
      </c>
      <c r="O142" s="24" t="n">
        <v>0.01230659169225786</v>
      </c>
      <c r="P142" s="24" t="n">
        <v>0.004642158582995738</v>
      </c>
      <c r="Q142" s="24" t="n">
        <v>0.06503158780121078</v>
      </c>
      <c r="R142" s="24" t="n">
        <v>0.08314532645573211</v>
      </c>
      <c r="S142" s="26" t="n">
        <v>0</v>
      </c>
      <c r="T142" s="26" t="n">
        <v>0</v>
      </c>
      <c r="U142" s="26" t="n">
        <v>0.0006640580829725457</v>
      </c>
      <c r="V142" s="26" t="n">
        <v>0.0004722191823356421</v>
      </c>
      <c r="W142" s="26" t="n">
        <v>0.0003202727028533642</v>
      </c>
      <c r="X142" s="26" t="n">
        <v>0.06937058865490235</v>
      </c>
      <c r="Y142" s="26" t="n">
        <v>0.0708271386230639</v>
      </c>
      <c r="Z142" s="28" t="n">
        <v>0</v>
      </c>
      <c r="AA142" s="28" t="n">
        <v>0.002314547765857511</v>
      </c>
      <c r="AB142" s="28" t="n">
        <v>0.000117177579339808</v>
      </c>
      <c r="AC142" s="28" t="n">
        <v>0.0001543898913344915</v>
      </c>
      <c r="AD142" s="28" t="n">
        <v>0.0001429052850989885</v>
      </c>
      <c r="AE142" s="28" t="n">
        <v>0.005885380434695241</v>
      </c>
      <c r="AF142" s="28" t="n">
        <v>0.00861440095632604</v>
      </c>
      <c r="AG142" s="30" t="n">
        <v>0</v>
      </c>
      <c r="AH142" s="30" t="n">
        <v>1.228469691721989e-05</v>
      </c>
      <c r="AI142" s="30" t="n">
        <v>0.0004391343962545825</v>
      </c>
      <c r="AJ142" s="30" t="n">
        <v>0.0003750735787279196</v>
      </c>
      <c r="AK142" s="30" t="n">
        <v>0.0001919057425134528</v>
      </c>
      <c r="AL142" s="30" t="n">
        <v>0.0180927369906165</v>
      </c>
      <c r="AM142" s="30" t="n">
        <v>0.01911113540502967</v>
      </c>
      <c r="AN142" s="32" t="n">
        <v>0</v>
      </c>
      <c r="AO142" s="32" t="n">
        <v>8.750026411319886e-06</v>
      </c>
      <c r="AP142" s="32" t="n">
        <v>1.037481844565918e-06</v>
      </c>
      <c r="AQ142" s="32" t="n">
        <v>7.464152422116936e-07</v>
      </c>
      <c r="AR142" s="32" t="n">
        <v>7.794142083015521e-07</v>
      </c>
      <c r="AS142" s="32" t="n">
        <v>1.620892988045818e-05</v>
      </c>
      <c r="AT142" s="32" t="n">
        <v>2.752226758685723e-05</v>
      </c>
      <c r="AU142" s="34" t="n">
        <v>0</v>
      </c>
      <c r="AV142" s="34" t="n">
        <v>0</v>
      </c>
      <c r="AW142" s="34" t="n">
        <v>0.01160692263569726</v>
      </c>
      <c r="AX142" s="34" t="n">
        <v>0.1764744841436473</v>
      </c>
      <c r="AY142" s="34" t="n">
        <v>0.1625427071080899</v>
      </c>
      <c r="AZ142" s="34" t="n">
        <v>0.9219357382476792</v>
      </c>
      <c r="BA142" s="34" t="n">
        <v>1.272559852135114</v>
      </c>
      <c r="BB142" s="6" t="n"/>
      <c r="BC142" s="6" t="n"/>
      <c r="BD142" t="inlineStr">
        <is>
          <t>transport, Scooter, battery electric, 4-11kW, 2030, label-certified electricity/CH U</t>
        </is>
      </c>
      <c r="BF142" s="5" t="n">
        <v>0.06980132900000001</v>
      </c>
      <c r="BG142" s="5">
        <f>BF142-R142</f>
        <v>-1.3343997455732101E-2</v>
      </c>
      <c r="BH142" s="2" t="n">
        <v>175.51418</v>
      </c>
    </row>
    <row r="143">
      <c r="A143" t="str">
        <f>B143&amp;" - "&amp;D143&amp;" - "&amp;IF(I143&lt;&gt;"",I143&amp;" - "&amp;E143,E143)</f>
        <v>Scooter, battery electric, 4-11kW - 2040 - NMC - CH</v>
      </c>
      <c r="B143" t="inlineStr">
        <is>
          <t>Scooter, battery electric, 4-11kW</t>
        </is>
      </c>
      <c r="D143" s="18" t="n">
        <v>2040</v>
      </c>
      <c r="E143" t="inlineStr">
        <is>
          <t>CH</t>
        </is>
      </c>
      <c r="F143" t="inlineStr">
        <is>
          <t>None</t>
        </is>
      </c>
      <c r="G143" t="inlineStr">
        <is>
          <t>vkm</t>
        </is>
      </c>
      <c r="H143" t="inlineStr">
        <is>
          <t>BEV</t>
        </is>
      </c>
      <c r="I143" t="inlineStr">
        <is>
          <t>NMC</t>
        </is>
      </c>
      <c r="J143" t="inlineStr">
        <is>
          <t>label-certified electricity</t>
        </is>
      </c>
      <c r="L143" s="24" t="n">
        <v>0</v>
      </c>
      <c r="M143" s="24" t="n">
        <v>0</v>
      </c>
      <c r="N143" s="24" t="n">
        <v>0.001164988379267724</v>
      </c>
      <c r="O143" s="24" t="n">
        <v>0.01230659169225786</v>
      </c>
      <c r="P143" s="24" t="n">
        <v>0.00464338765601142</v>
      </c>
      <c r="Q143" s="24" t="n">
        <v>0.06500298317568816</v>
      </c>
      <c r="R143" s="24" t="n">
        <v>0.08311795090322516</v>
      </c>
      <c r="S143" s="26" t="n">
        <v>0</v>
      </c>
      <c r="T143" s="26" t="n">
        <v>0</v>
      </c>
      <c r="U143" s="26" t="n">
        <v>0.0006640580829725457</v>
      </c>
      <c r="V143" s="26" t="n">
        <v>0.0004722191823356421</v>
      </c>
      <c r="W143" s="26" t="n">
        <v>0.0003203503650772726</v>
      </c>
      <c r="X143" s="26" t="n">
        <v>0.06524413384954345</v>
      </c>
      <c r="Y143" s="26" t="n">
        <v>0.0667007614799289</v>
      </c>
      <c r="Z143" s="28" t="n">
        <v>0</v>
      </c>
      <c r="AA143" s="28" t="n">
        <v>0.002314547765857511</v>
      </c>
      <c r="AB143" s="28" t="n">
        <v>0.000117177579339808</v>
      </c>
      <c r="AC143" s="28" t="n">
        <v>0.0001543898913344915</v>
      </c>
      <c r="AD143" s="28" t="n">
        <v>0.0001429405876929298</v>
      </c>
      <c r="AE143" s="28" t="n">
        <v>0.005651311644191665</v>
      </c>
      <c r="AF143" s="28" t="n">
        <v>0.008380367468416406</v>
      </c>
      <c r="AG143" s="30" t="n">
        <v>0</v>
      </c>
      <c r="AH143" s="30" t="n">
        <v>1.228469691721989e-05</v>
      </c>
      <c r="AI143" s="30" t="n">
        <v>0.0004391343962545825</v>
      </c>
      <c r="AJ143" s="30" t="n">
        <v>0.0003750735787279196</v>
      </c>
      <c r="AK143" s="30" t="n">
        <v>0.000191938689522728</v>
      </c>
      <c r="AL143" s="30" t="n">
        <v>0.01759684327273594</v>
      </c>
      <c r="AM143" s="30" t="n">
        <v>0.01861527463415839</v>
      </c>
      <c r="AN143" s="32" t="n">
        <v>0</v>
      </c>
      <c r="AO143" s="32" t="n">
        <v>8.750026411319886e-06</v>
      </c>
      <c r="AP143" s="32" t="n">
        <v>1.037481844565918e-06</v>
      </c>
      <c r="AQ143" s="32" t="n">
        <v>7.464152422116936e-07</v>
      </c>
      <c r="AR143" s="32" t="n">
        <v>7.795443000172277e-07</v>
      </c>
      <c r="AS143" s="32" t="n">
        <v>1.549520703867477e-05</v>
      </c>
      <c r="AT143" s="32" t="n">
        <v>2.68086748367895e-05</v>
      </c>
      <c r="AU143" s="34" t="n">
        <v>0</v>
      </c>
      <c r="AV143" s="34" t="n">
        <v>0</v>
      </c>
      <c r="AW143" s="34" t="n">
        <v>0.01160692263569726</v>
      </c>
      <c r="AX143" s="34" t="n">
        <v>0.1764744841436473</v>
      </c>
      <c r="AY143" s="34" t="n">
        <v>0.1625829707390984</v>
      </c>
      <c r="AZ143" s="34" t="n">
        <v>0.9104412702927789</v>
      </c>
      <c r="BA143" s="34" t="n">
        <v>1.261105647811222</v>
      </c>
      <c r="BB143" s="6" t="n"/>
      <c r="BC143" s="6" t="n"/>
      <c r="BD143" t="inlineStr">
        <is>
          <t>transport, Scooter, battery electric, 4-11kW, 2040, label-certified electricity/CH U</t>
        </is>
      </c>
      <c r="BF143" s="5" t="n">
        <v>0.069378836</v>
      </c>
      <c r="BG143" s="5">
        <f>BF143-R143</f>
        <v>-1.3739114903225158E-2</v>
      </c>
      <c r="BH143" s="2" t="n">
        <v>167.7681</v>
      </c>
    </row>
    <row r="144">
      <c r="A144" t="str">
        <f>B144&amp;" - "&amp;D144&amp;" - "&amp;IF(I144&lt;&gt;"",I144&amp;" - "&amp;E144,E144)</f>
        <v>Scooter, battery electric, 4-11kW - 2050 - NMC - CH</v>
      </c>
      <c r="B144" t="inlineStr">
        <is>
          <t>Scooter, battery electric, 4-11kW</t>
        </is>
      </c>
      <c r="D144" s="18" t="n">
        <v>2050</v>
      </c>
      <c r="E144" t="inlineStr">
        <is>
          <t>CH</t>
        </is>
      </c>
      <c r="F144" t="inlineStr">
        <is>
          <t>None</t>
        </is>
      </c>
      <c r="G144" t="inlineStr">
        <is>
          <t>vkm</t>
        </is>
      </c>
      <c r="H144" t="inlineStr">
        <is>
          <t>BEV</t>
        </is>
      </c>
      <c r="I144" t="inlineStr">
        <is>
          <t>NMC</t>
        </is>
      </c>
      <c r="J144" t="inlineStr">
        <is>
          <t>label-certified electricity</t>
        </is>
      </c>
      <c r="L144" s="24" t="n">
        <v>0</v>
      </c>
      <c r="M144" s="24" t="n">
        <v>0</v>
      </c>
      <c r="N144" s="24" t="n">
        <v>0.001164988379267724</v>
      </c>
      <c r="O144" s="24" t="n">
        <v>0.01230659169225786</v>
      </c>
      <c r="P144" s="24" t="n">
        <v>0.004642249625441345</v>
      </c>
      <c r="Q144" s="24" t="n">
        <v>0.06404820697941088</v>
      </c>
      <c r="R144" s="24" t="n">
        <v>0.08216203667637781</v>
      </c>
      <c r="S144" s="26" t="n">
        <v>0</v>
      </c>
      <c r="T144" s="26" t="n">
        <v>0</v>
      </c>
      <c r="U144" s="26" t="n">
        <v>0.0006640580829725457</v>
      </c>
      <c r="V144" s="26" t="n">
        <v>0.0004722191823356421</v>
      </c>
      <c r="W144" s="26" t="n">
        <v>0.0003202784556106908</v>
      </c>
      <c r="X144" s="26" t="n">
        <v>0.05930492201080428</v>
      </c>
      <c r="Y144" s="26" t="n">
        <v>0.06076147773172316</v>
      </c>
      <c r="Z144" s="28" t="n">
        <v>0</v>
      </c>
      <c r="AA144" s="28" t="n">
        <v>0.002314547765857511</v>
      </c>
      <c r="AB144" s="28" t="n">
        <v>0.000117177579339808</v>
      </c>
      <c r="AC144" s="28" t="n">
        <v>0.0001543898913344915</v>
      </c>
      <c r="AD144" s="28" t="n">
        <v>0.0001429079001059471</v>
      </c>
      <c r="AE144" s="28" t="n">
        <v>0.005271322862606283</v>
      </c>
      <c r="AF144" s="28" t="n">
        <v>0.008000345999244041</v>
      </c>
      <c r="AG144" s="30" t="n">
        <v>0</v>
      </c>
      <c r="AH144" s="30" t="n">
        <v>1.228469691721989e-05</v>
      </c>
      <c r="AI144" s="30" t="n">
        <v>0.0004391343962545825</v>
      </c>
      <c r="AJ144" s="30" t="n">
        <v>0.0003750735787279196</v>
      </c>
      <c r="AK144" s="30" t="n">
        <v>0.0001919081830326583</v>
      </c>
      <c r="AL144" s="30" t="n">
        <v>0.01673110405426795</v>
      </c>
      <c r="AM144" s="30" t="n">
        <v>0.01774950490920033</v>
      </c>
      <c r="AN144" s="32" t="n">
        <v>0</v>
      </c>
      <c r="AO144" s="32" t="n">
        <v>8.750026411319886e-06</v>
      </c>
      <c r="AP144" s="32" t="n">
        <v>1.037481844565918e-06</v>
      </c>
      <c r="AQ144" s="32" t="n">
        <v>7.464152422116936e-07</v>
      </c>
      <c r="AR144" s="32" t="n">
        <v>7.794238447249354e-07</v>
      </c>
      <c r="AS144" s="32" t="n">
        <v>1.445185205113875e-05</v>
      </c>
      <c r="AT144" s="32" t="n">
        <v>2.576519939396118e-05</v>
      </c>
      <c r="AU144" s="34" t="n">
        <v>0</v>
      </c>
      <c r="AV144" s="34" t="n">
        <v>0</v>
      </c>
      <c r="AW144" s="34" t="n">
        <v>0.01160692263569726</v>
      </c>
      <c r="AX144" s="34" t="n">
        <v>0.1764744841436473</v>
      </c>
      <c r="AY144" s="34" t="n">
        <v>0.1625456895992757</v>
      </c>
      <c r="AZ144" s="34" t="n">
        <v>0.884542031444143</v>
      </c>
      <c r="BA144" s="34" t="n">
        <v>1.235169127822763</v>
      </c>
      <c r="BB144" s="6" t="n"/>
      <c r="BC144" s="6" t="n"/>
      <c r="BD144" t="inlineStr">
        <is>
          <t>transport, Scooter, battery electric, 4-11kW, 2050, label-certified electricity/CH U</t>
        </is>
      </c>
      <c r="BF144" s="5" t="n">
        <v>0.068391824</v>
      </c>
      <c r="BG144" s="5">
        <f>BF144-R144</f>
        <v>-1.3770212676377805E-2</v>
      </c>
      <c r="BH144" s="2" t="n">
        <v>156.7067</v>
      </c>
    </row>
    <row r="145">
      <c r="A145" t="str">
        <f>B145&amp;" - "&amp;D145&amp;" - "&amp;IF(I145&lt;&gt;"",I145&amp;" - "&amp;E145,E145)</f>
        <v>Scooter, battery electric, &lt;4kW - 2020 - LFP - CH</v>
      </c>
      <c r="B145" t="inlineStr">
        <is>
          <t>Scooter, battery electric, &lt;4kW</t>
        </is>
      </c>
      <c r="D145" s="18" t="n">
        <v>2020</v>
      </c>
      <c r="E145" t="inlineStr">
        <is>
          <t>CH</t>
        </is>
      </c>
      <c r="F145" t="inlineStr">
        <is>
          <t>None</t>
        </is>
      </c>
      <c r="G145" t="inlineStr">
        <is>
          <t>vkm</t>
        </is>
      </c>
      <c r="H145" t="inlineStr">
        <is>
          <t>BEV</t>
        </is>
      </c>
      <c r="I145" t="inlineStr">
        <is>
          <t>LFP</t>
        </is>
      </c>
      <c r="J145" t="inlineStr">
        <is>
          <t>label-certified electricity</t>
        </is>
      </c>
      <c r="L145" s="24" t="n">
        <v>0</v>
      </c>
      <c r="M145" s="24" t="n">
        <v>0</v>
      </c>
      <c r="N145" s="24" t="n">
        <v>0.0008206929002761456</v>
      </c>
      <c r="O145" s="24" t="n">
        <v>0.01230659169225786</v>
      </c>
      <c r="P145" s="24" t="n">
        <v>0.004568050032272403</v>
      </c>
      <c r="Q145" s="24" t="n">
        <v>0.05879790962131647</v>
      </c>
      <c r="R145" s="24" t="n">
        <v>0.07649324424612289</v>
      </c>
      <c r="S145" s="26" t="n">
        <v>0</v>
      </c>
      <c r="T145" s="26" t="n">
        <v>0</v>
      </c>
      <c r="U145" s="26" t="n">
        <v>0.0004678053135681222</v>
      </c>
      <c r="V145" s="26" t="n">
        <v>0.0004722191823356421</v>
      </c>
      <c r="W145" s="26" t="n">
        <v>0.000315589958389556</v>
      </c>
      <c r="X145" s="26" t="n">
        <v>0.03641523524177943</v>
      </c>
      <c r="Y145" s="26" t="n">
        <v>0.03767084969607275</v>
      </c>
      <c r="Z145" s="28" t="n">
        <v>0</v>
      </c>
      <c r="AA145" s="28" t="n">
        <v>0.002314547765857511</v>
      </c>
      <c r="AB145" s="28" t="n">
        <v>8.254743922525021e-05</v>
      </c>
      <c r="AC145" s="28" t="n">
        <v>0.0001543898913344915</v>
      </c>
      <c r="AD145" s="28" t="n">
        <v>0.0001407766694346754</v>
      </c>
      <c r="AE145" s="28" t="n">
        <v>0.004445369311497564</v>
      </c>
      <c r="AF145" s="28" t="n">
        <v>0.007137631077349492</v>
      </c>
      <c r="AG145" s="30" t="n">
        <v>0</v>
      </c>
      <c r="AH145" s="30" t="n">
        <v>1.228469691721989e-05</v>
      </c>
      <c r="AI145" s="30" t="n">
        <v>0.0003093545718453609</v>
      </c>
      <c r="AJ145" s="30" t="n">
        <v>0.0003750735787279196</v>
      </c>
      <c r="AK145" s="30" t="n">
        <v>0.0001899191598801197</v>
      </c>
      <c r="AL145" s="30" t="n">
        <v>0.01519820431262067</v>
      </c>
      <c r="AM145" s="30" t="n">
        <v>0.01608483631999129</v>
      </c>
      <c r="AN145" s="32" t="n">
        <v>0</v>
      </c>
      <c r="AO145" s="32" t="n">
        <v>8.750026411319886e-06</v>
      </c>
      <c r="AP145" s="32" t="n">
        <v>7.308690791712847e-07</v>
      </c>
      <c r="AQ145" s="32" t="n">
        <v>7.464152422116936e-07</v>
      </c>
      <c r="AR145" s="32" t="n">
        <v>7.715701596674763e-07</v>
      </c>
      <c r="AS145" s="32" t="n">
        <v>1.095171499273861e-05</v>
      </c>
      <c r="AT145" s="32" t="n">
        <v>2.195059588510895e-05</v>
      </c>
      <c r="AU145" s="34" t="n">
        <v>0</v>
      </c>
      <c r="AV145" s="34" t="n">
        <v>0</v>
      </c>
      <c r="AW145" s="34" t="n">
        <v>0.008176664394848992</v>
      </c>
      <c r="AX145" s="34" t="n">
        <v>0.1764744841436473</v>
      </c>
      <c r="AY145" s="34" t="n">
        <v>0.1601149592828387</v>
      </c>
      <c r="AZ145" s="34" t="n">
        <v>0.7994531106758759</v>
      </c>
      <c r="BA145" s="34" t="n">
        <v>1.144219218497211</v>
      </c>
      <c r="BB145" s="6" t="n"/>
      <c r="BC145" s="6" t="n"/>
      <c r="BD145" t="inlineStr">
        <is>
          <t>transport, Scooter, battery electric, &lt;4kW, LFP battery, label-certified electricity/CH U</t>
        </is>
      </c>
      <c r="BF145" s="5" t="n">
        <v>0.06829797</v>
      </c>
      <c r="BG145" s="5">
        <f>BF145-R145</f>
        <v>-8.1952742461228884E-3</v>
      </c>
      <c r="BH145" s="2" t="n">
        <v>175.3049</v>
      </c>
    </row>
    <row r="146">
      <c r="A146" t="str">
        <f>B146&amp;" - "&amp;D146&amp;" - "&amp;IF(I146&lt;&gt;"",I146&amp;" - "&amp;E146,E146)</f>
        <v>Scooter, battery electric, &lt;4kW - 2030 - LFP - CH</v>
      </c>
      <c r="B146" t="inlineStr">
        <is>
          <t>Scooter, battery electric, &lt;4kW</t>
        </is>
      </c>
      <c r="D146" s="18" t="n">
        <v>2030</v>
      </c>
      <c r="E146" t="inlineStr">
        <is>
          <t>CH</t>
        </is>
      </c>
      <c r="F146" t="inlineStr">
        <is>
          <t>None</t>
        </is>
      </c>
      <c r="G146" t="inlineStr">
        <is>
          <t>vkm</t>
        </is>
      </c>
      <c r="H146" t="inlineStr">
        <is>
          <t>BEV</t>
        </is>
      </c>
      <c r="I146" t="inlineStr">
        <is>
          <t>LFP</t>
        </is>
      </c>
      <c r="J146" t="inlineStr">
        <is>
          <t>label-certified electricity</t>
        </is>
      </c>
      <c r="L146" s="24" t="n">
        <v>0</v>
      </c>
      <c r="M146" s="24" t="n">
        <v>0</v>
      </c>
      <c r="N146" s="24" t="n">
        <v>0.0008206929002761456</v>
      </c>
      <c r="O146" s="24" t="n">
        <v>0.01230659169225786</v>
      </c>
      <c r="P146" s="24" t="n">
        <v>0.004619231060443945</v>
      </c>
      <c r="Q146" s="24" t="n">
        <v>0.06449726554971544</v>
      </c>
      <c r="R146" s="24" t="n">
        <v>0.08224378120269339</v>
      </c>
      <c r="S146" s="26" t="n">
        <v>0</v>
      </c>
      <c r="T146" s="26" t="n">
        <v>0</v>
      </c>
      <c r="U146" s="26" t="n">
        <v>0.0004678053135681222</v>
      </c>
      <c r="V146" s="26" t="n">
        <v>0.0004722191823356421</v>
      </c>
      <c r="W146" s="26" t="n">
        <v>0.0003188239667999624</v>
      </c>
      <c r="X146" s="26" t="n">
        <v>0.03871417729214565</v>
      </c>
      <c r="Y146" s="26" t="n">
        <v>0.03997302575484938</v>
      </c>
      <c r="Z146" s="28" t="n">
        <v>0</v>
      </c>
      <c r="AA146" s="28" t="n">
        <v>0.002314547765857511</v>
      </c>
      <c r="AB146" s="28" t="n">
        <v>8.254743922525021e-05</v>
      </c>
      <c r="AC146" s="28" t="n">
        <v>0.0001543898913344915</v>
      </c>
      <c r="AD146" s="28" t="n">
        <v>0.0001422467391799105</v>
      </c>
      <c r="AE146" s="28" t="n">
        <v>0.004878821597968105</v>
      </c>
      <c r="AF146" s="28" t="n">
        <v>0.007572553433565268</v>
      </c>
      <c r="AG146" s="30" t="n">
        <v>0</v>
      </c>
      <c r="AH146" s="30" t="n">
        <v>1.228469691721989e-05</v>
      </c>
      <c r="AI146" s="30" t="n">
        <v>0.0003093545718453609</v>
      </c>
      <c r="AJ146" s="30" t="n">
        <v>0.0003750735787279196</v>
      </c>
      <c r="AK146" s="30" t="n">
        <v>0.0001912911384268503</v>
      </c>
      <c r="AL146" s="30" t="n">
        <v>0.01657752604065503</v>
      </c>
      <c r="AM146" s="30" t="n">
        <v>0.01746553002657238</v>
      </c>
      <c r="AN146" s="32" t="n">
        <v>0</v>
      </c>
      <c r="AO146" s="32" t="n">
        <v>8.750026411319886e-06</v>
      </c>
      <c r="AP146" s="32" t="n">
        <v>7.308690791712847e-07</v>
      </c>
      <c r="AQ146" s="32" t="n">
        <v>7.464152422116936e-07</v>
      </c>
      <c r="AR146" s="32" t="n">
        <v>7.769874356795028e-07</v>
      </c>
      <c r="AS146" s="32" t="n">
        <v>1.154459782110781e-05</v>
      </c>
      <c r="AT146" s="32" t="n">
        <v>2.254889598949018e-05</v>
      </c>
      <c r="AU146" s="34" t="n">
        <v>0</v>
      </c>
      <c r="AV146" s="34" t="n">
        <v>0</v>
      </c>
      <c r="AW146" s="34" t="n">
        <v>0.008176664394848992</v>
      </c>
      <c r="AX146" s="34" t="n">
        <v>0.1764744841436473</v>
      </c>
      <c r="AY146" s="34" t="n">
        <v>0.1617916164111295</v>
      </c>
      <c r="AZ146" s="34" t="n">
        <v>0.8682437648482459</v>
      </c>
      <c r="BA146" s="34" t="n">
        <v>1.214686529797872</v>
      </c>
      <c r="BB146" s="6" t="n"/>
      <c r="BC146" s="6" t="n"/>
      <c r="BD146" t="inlineStr">
        <is>
          <t>transport, Scooter, battery electric, &lt;4kW, LFP battery, 2030, label-certified electricity/CH U</t>
        </is>
      </c>
      <c r="BF146" s="5" t="n">
        <v>0.07173146200000001</v>
      </c>
      <c r="BG146" s="5">
        <f>BF146-R146</f>
        <v>-1.0512319202693382E-2</v>
      </c>
      <c r="BH146" s="2" t="n">
        <v>185.04839</v>
      </c>
    </row>
    <row r="147">
      <c r="A147" t="str">
        <f>B147&amp;" - "&amp;D147&amp;" - "&amp;IF(I147&lt;&gt;"",I147&amp;" - "&amp;E147,E147)</f>
        <v>Scooter, battery electric, &lt;4kW - 2040 - LFP - CH</v>
      </c>
      <c r="B147" t="inlineStr">
        <is>
          <t>Scooter, battery electric, &lt;4kW</t>
        </is>
      </c>
      <c r="D147" s="18" t="n">
        <v>2040</v>
      </c>
      <c r="E147" t="inlineStr">
        <is>
          <t>CH</t>
        </is>
      </c>
      <c r="F147" t="inlineStr">
        <is>
          <t>None</t>
        </is>
      </c>
      <c r="G147" t="inlineStr">
        <is>
          <t>vkm</t>
        </is>
      </c>
      <c r="H147" t="inlineStr">
        <is>
          <t>BEV</t>
        </is>
      </c>
      <c r="I147" t="inlineStr">
        <is>
          <t>LFP</t>
        </is>
      </c>
      <c r="J147" t="inlineStr">
        <is>
          <t>label-certified electricity</t>
        </is>
      </c>
      <c r="L147" s="24" t="n">
        <v>0</v>
      </c>
      <c r="M147" s="24" t="n">
        <v>0</v>
      </c>
      <c r="N147" s="24" t="n">
        <v>0.0008206929002761456</v>
      </c>
      <c r="O147" s="24" t="n">
        <v>0.01230659169225786</v>
      </c>
      <c r="P147" s="24" t="n">
        <v>0.004644146343058137</v>
      </c>
      <c r="Q147" s="24" t="n">
        <v>0.06544086454614235</v>
      </c>
      <c r="R147" s="24" t="n">
        <v>0.08321229548173451</v>
      </c>
      <c r="S147" s="26" t="n">
        <v>0</v>
      </c>
      <c r="T147" s="26" t="n">
        <v>0</v>
      </c>
      <c r="U147" s="26" t="n">
        <v>0.0004678053135681222</v>
      </c>
      <c r="V147" s="26" t="n">
        <v>0.0004722191823356421</v>
      </c>
      <c r="W147" s="26" t="n">
        <v>0.0003203983047216605</v>
      </c>
      <c r="X147" s="26" t="n">
        <v>0.03833065195668149</v>
      </c>
      <c r="Y147" s="26" t="n">
        <v>0.03959107475730692</v>
      </c>
      <c r="Z147" s="28" t="n">
        <v>0</v>
      </c>
      <c r="AA147" s="28" t="n">
        <v>0.002314547765857511</v>
      </c>
      <c r="AB147" s="28" t="n">
        <v>8.254743922525021e-05</v>
      </c>
      <c r="AC147" s="28" t="n">
        <v>0.0001543898913344915</v>
      </c>
      <c r="AD147" s="28" t="n">
        <v>0.0001429623794175849</v>
      </c>
      <c r="AE147" s="28" t="n">
        <v>0.00488904650651375</v>
      </c>
      <c r="AF147" s="28" t="n">
        <v>0.007583493982348588</v>
      </c>
      <c r="AG147" s="30" t="n">
        <v>0</v>
      </c>
      <c r="AH147" s="30" t="n">
        <v>1.228469691721989e-05</v>
      </c>
      <c r="AI147" s="30" t="n">
        <v>0.0003093545718453609</v>
      </c>
      <c r="AJ147" s="30" t="n">
        <v>0.0003750735787279196</v>
      </c>
      <c r="AK147" s="30" t="n">
        <v>0.0001919590271827744</v>
      </c>
      <c r="AL147" s="30" t="n">
        <v>0.01660881184858444</v>
      </c>
      <c r="AM147" s="30" t="n">
        <v>0.01749748372325772</v>
      </c>
      <c r="AN147" s="32" t="n">
        <v>0</v>
      </c>
      <c r="AO147" s="32" t="n">
        <v>8.750026411319886e-06</v>
      </c>
      <c r="AP147" s="32" t="n">
        <v>7.308690791712847e-07</v>
      </c>
      <c r="AQ147" s="32" t="n">
        <v>7.464152422116936e-07</v>
      </c>
      <c r="AR147" s="32" t="n">
        <v>7.796246035454226e-07</v>
      </c>
      <c r="AS147" s="32" t="n">
        <v>1.147640647557148e-05</v>
      </c>
      <c r="AT147" s="32" t="n">
        <v>2.248334181181977e-05</v>
      </c>
      <c r="AU147" s="34" t="n">
        <v>0</v>
      </c>
      <c r="AV147" s="34" t="n">
        <v>0</v>
      </c>
      <c r="AW147" s="34" t="n">
        <v>0.008176664394848992</v>
      </c>
      <c r="AX147" s="34" t="n">
        <v>0.1764744841436473</v>
      </c>
      <c r="AY147" s="34" t="n">
        <v>0.1626078248323135</v>
      </c>
      <c r="AZ147" s="34" t="n">
        <v>0.8755286429088789</v>
      </c>
      <c r="BA147" s="34" t="n">
        <v>1.222787616279688</v>
      </c>
      <c r="BB147" s="6" t="n"/>
      <c r="BC147" s="6" t="n"/>
      <c r="BD147" t="inlineStr">
        <is>
          <t>transport, Scooter, battery electric, &lt;4kW, LFP battery, 2040, label-certified electricity/CH U</t>
        </is>
      </c>
      <c r="BF147" s="5" t="n">
        <v>0.07189781299999999</v>
      </c>
      <c r="BG147" s="5">
        <f>BF147-R147</f>
        <v>-1.1314482481734514E-2</v>
      </c>
      <c r="BH147" s="2" t="n">
        <v>182.21647</v>
      </c>
    </row>
    <row r="148">
      <c r="A148" t="str">
        <f>B148&amp;" - "&amp;D148&amp;" - "&amp;IF(I148&lt;&gt;"",I148&amp;" - "&amp;E148,E148)</f>
        <v>Scooter, battery electric, &lt;4kW - 2050 - LFP - CH</v>
      </c>
      <c r="B148" t="inlineStr">
        <is>
          <t>Scooter, battery electric, &lt;4kW</t>
        </is>
      </c>
      <c r="D148" s="18" t="n">
        <v>2050</v>
      </c>
      <c r="E148" t="inlineStr">
        <is>
          <t>CH</t>
        </is>
      </c>
      <c r="F148" t="inlineStr">
        <is>
          <t>None</t>
        </is>
      </c>
      <c r="G148" t="inlineStr">
        <is>
          <t>vkm</t>
        </is>
      </c>
      <c r="H148" t="inlineStr">
        <is>
          <t>BEV</t>
        </is>
      </c>
      <c r="I148" t="inlineStr">
        <is>
          <t>LFP</t>
        </is>
      </c>
      <c r="J148" t="inlineStr">
        <is>
          <t>label-certified electricity</t>
        </is>
      </c>
      <c r="L148" s="24" t="n">
        <v>0</v>
      </c>
      <c r="M148" s="24" t="n">
        <v>0</v>
      </c>
      <c r="N148" s="24" t="n">
        <v>0.0008206929002761456</v>
      </c>
      <c r="O148" s="24" t="n">
        <v>0.01230659169225786</v>
      </c>
      <c r="P148" s="24" t="n">
        <v>0.004645390589814754</v>
      </c>
      <c r="Q148" s="24" t="n">
        <v>0.0619672857032913</v>
      </c>
      <c r="R148" s="24" t="n">
        <v>0.07973996088564006</v>
      </c>
      <c r="S148" s="26" t="n">
        <v>0</v>
      </c>
      <c r="T148" s="26" t="n">
        <v>0</v>
      </c>
      <c r="U148" s="26" t="n">
        <v>0.0004678053135681222</v>
      </c>
      <c r="V148" s="26" t="n">
        <v>0.0004722191823356421</v>
      </c>
      <c r="W148" s="26" t="n">
        <v>0.0003204769257384566</v>
      </c>
      <c r="X148" s="26" t="n">
        <v>0.03499872519285516</v>
      </c>
      <c r="Y148" s="26" t="n">
        <v>0.03625922661449738</v>
      </c>
      <c r="Z148" s="28" t="n">
        <v>0</v>
      </c>
      <c r="AA148" s="28" t="n">
        <v>0.002314547765857511</v>
      </c>
      <c r="AB148" s="28" t="n">
        <v>8.254743922525021e-05</v>
      </c>
      <c r="AC148" s="28" t="n">
        <v>0.0001543898913344915</v>
      </c>
      <c r="AD148" s="28" t="n">
        <v>0.0001429981178460193</v>
      </c>
      <c r="AE148" s="28" t="n">
        <v>0.004468802029398962</v>
      </c>
      <c r="AF148" s="28" t="n">
        <v>0.007163285243662233</v>
      </c>
      <c r="AG148" s="30" t="n">
        <v>0</v>
      </c>
      <c r="AH148" s="30" t="n">
        <v>1.228469691721989e-05</v>
      </c>
      <c r="AI148" s="30" t="n">
        <v>0.0003093545718453609</v>
      </c>
      <c r="AJ148" s="30" t="n">
        <v>0.0003750735787279196</v>
      </c>
      <c r="AK148" s="30" t="n">
        <v>0.0001919923809452505</v>
      </c>
      <c r="AL148" s="30" t="n">
        <v>0.01527339342867375</v>
      </c>
      <c r="AM148" s="30" t="n">
        <v>0.0161620986571095</v>
      </c>
      <c r="AN148" s="32" t="n">
        <v>0</v>
      </c>
      <c r="AO148" s="32" t="n">
        <v>8.750026411319886e-06</v>
      </c>
      <c r="AP148" s="32" t="n">
        <v>7.308690791712847e-07</v>
      </c>
      <c r="AQ148" s="32" t="n">
        <v>7.464152422116936e-07</v>
      </c>
      <c r="AR148" s="32" t="n">
        <v>7.797563013316622e-07</v>
      </c>
      <c r="AS148" s="32" t="n">
        <v>1.068917165979742e-05</v>
      </c>
      <c r="AT148" s="32" t="n">
        <v>2.169623869383195e-05</v>
      </c>
      <c r="AU148" s="34" t="n">
        <v>0</v>
      </c>
      <c r="AV148" s="34" t="n">
        <v>0</v>
      </c>
      <c r="AW148" s="34" t="n">
        <v>0.008176664394848992</v>
      </c>
      <c r="AX148" s="34" t="n">
        <v>0.1764744841436473</v>
      </c>
      <c r="AY148" s="34" t="n">
        <v>0.1626485855451862</v>
      </c>
      <c r="AZ148" s="34" t="n">
        <v>0.8231182522872805</v>
      </c>
      <c r="BA148" s="34" t="n">
        <v>1.170417986370963</v>
      </c>
      <c r="BB148" s="6" t="n"/>
      <c r="BC148" s="6" t="n"/>
      <c r="BD148" t="inlineStr">
        <is>
          <t>transport, Scooter, battery electric, &lt;4kW, LFP battery, 2050, label-certified electricity/CH U</t>
        </is>
      </c>
      <c r="BF148" s="5" t="n">
        <v>0.06875705800000001</v>
      </c>
      <c r="BG148" s="5">
        <f>BF148-R148</f>
        <v>-1.098290288564005E-2</v>
      </c>
      <c r="BH148" s="2" t="n">
        <v>164.96872</v>
      </c>
    </row>
    <row r="149">
      <c r="A149" t="str">
        <f>B149&amp;" - "&amp;D149&amp;" - "&amp;IF(I149&lt;&gt;"",I149&amp;" - "&amp;E149,E149)</f>
        <v>Scooter, battery electric, 4-11kW - 2020 - LFP - CH</v>
      </c>
      <c r="B149" t="inlineStr">
        <is>
          <t>Scooter, battery electric, 4-11kW</t>
        </is>
      </c>
      <c r="D149" s="18" t="n">
        <v>2020</v>
      </c>
      <c r="E149" t="inlineStr">
        <is>
          <t>CH</t>
        </is>
      </c>
      <c r="F149" t="inlineStr">
        <is>
          <t>None</t>
        </is>
      </c>
      <c r="G149" t="inlineStr">
        <is>
          <t>vkm</t>
        </is>
      </c>
      <c r="H149" t="inlineStr">
        <is>
          <t>BEV</t>
        </is>
      </c>
      <c r="I149" t="inlineStr">
        <is>
          <t>LFP</t>
        </is>
      </c>
      <c r="J149" t="inlineStr">
        <is>
          <t>label-certified electricity</t>
        </is>
      </c>
      <c r="L149" s="24" t="n">
        <v>0</v>
      </c>
      <c r="M149" s="24" t="n">
        <v>0</v>
      </c>
      <c r="N149" s="24" t="n">
        <v>0.001164988379267724</v>
      </c>
      <c r="O149" s="24" t="n">
        <v>0.01476791003070943</v>
      </c>
      <c r="P149" s="24" t="n">
        <v>0.00473647855664362</v>
      </c>
      <c r="Q149" s="24" t="n">
        <v>0.06850398595314684</v>
      </c>
      <c r="R149" s="24" t="n">
        <v>0.08917336291976762</v>
      </c>
      <c r="S149" s="26" t="n">
        <v>0</v>
      </c>
      <c r="T149" s="26" t="n">
        <v>0</v>
      </c>
      <c r="U149" s="26" t="n">
        <v>0.0006640580829725457</v>
      </c>
      <c r="V149" s="26" t="n">
        <v>0.0005666630188027706</v>
      </c>
      <c r="W149" s="26" t="n">
        <v>0.0003262325594436656</v>
      </c>
      <c r="X149" s="26" t="n">
        <v>0.04418601565715325</v>
      </c>
      <c r="Y149" s="26" t="n">
        <v>0.04574296931837223</v>
      </c>
      <c r="Z149" s="28" t="n">
        <v>0</v>
      </c>
      <c r="AA149" s="28" t="n">
        <v>0.002314547765857511</v>
      </c>
      <c r="AB149" s="28" t="n">
        <v>0.000117177579339808</v>
      </c>
      <c r="AC149" s="28" t="n">
        <v>0.0001852678696013898</v>
      </c>
      <c r="AD149" s="28" t="n">
        <v>0.0001456144323081142</v>
      </c>
      <c r="AE149" s="28" t="n">
        <v>0.005268761906268967</v>
      </c>
      <c r="AF149" s="28" t="n">
        <v>0.00803136955337579</v>
      </c>
      <c r="AG149" s="30" t="n">
        <v>0</v>
      </c>
      <c r="AH149" s="30" t="n">
        <v>1.228469691721989e-05</v>
      </c>
      <c r="AI149" s="30" t="n">
        <v>0.0004391343962545825</v>
      </c>
      <c r="AJ149" s="30" t="n">
        <v>0.0004500882944735035</v>
      </c>
      <c r="AK149" s="30" t="n">
        <v>0.0001944341204104222</v>
      </c>
      <c r="AL149" s="30" t="n">
        <v>0.01817765804369269</v>
      </c>
      <c r="AM149" s="30" t="n">
        <v>0.01927359955174842</v>
      </c>
      <c r="AN149" s="32" t="n">
        <v>0</v>
      </c>
      <c r="AO149" s="32" t="n">
        <v>8.750026411319886e-06</v>
      </c>
      <c r="AP149" s="32" t="n">
        <v>1.037481844565918e-06</v>
      </c>
      <c r="AQ149" s="32" t="n">
        <v>8.956982906540324e-07</v>
      </c>
      <c r="AR149" s="32" t="n">
        <v>7.893975429267393e-07</v>
      </c>
      <c r="AS149" s="32" t="n">
        <v>1.245653359270986e-05</v>
      </c>
      <c r="AT149" s="32" t="n">
        <v>2.392913768217644e-05</v>
      </c>
      <c r="AU149" s="34" t="n">
        <v>0</v>
      </c>
      <c r="AV149" s="34" t="n">
        <v>0</v>
      </c>
      <c r="AW149" s="34" t="n">
        <v>0.01160692263569726</v>
      </c>
      <c r="AX149" s="34" t="n">
        <v>0.2117693809723766</v>
      </c>
      <c r="AY149" s="34" t="n">
        <v>0.1656325679765914</v>
      </c>
      <c r="AZ149" s="34" t="n">
        <v>0.9304728369117751</v>
      </c>
      <c r="BA149" s="34" t="n">
        <v>1.31948170849644</v>
      </c>
      <c r="BB149" s="6" t="n"/>
      <c r="BC149" s="6" t="n"/>
      <c r="BD149" t="inlineStr">
        <is>
          <t>transport, Scooter, battery electric, 4-11kW, LFP battery, label-certified electricity/CH U</t>
        </is>
      </c>
      <c r="BF149" s="5" t="n">
        <v>0.07792713100000001</v>
      </c>
      <c r="BG149" s="5">
        <f>BF149-R149</f>
        <v>-1.1246231919767605E-2</v>
      </c>
      <c r="BH149" s="2" t="n">
        <v>203.41168</v>
      </c>
    </row>
    <row r="150">
      <c r="A150" t="str">
        <f>B150&amp;" - "&amp;D150&amp;" - "&amp;IF(I150&lt;&gt;"",I150&amp;" - "&amp;E150,E150)</f>
        <v>Scooter, battery electric, 4-11kW - 2030 - LFP - CH</v>
      </c>
      <c r="B150" t="inlineStr">
        <is>
          <t>Scooter, battery electric, 4-11kW</t>
        </is>
      </c>
      <c r="D150" s="18" t="n">
        <v>2030</v>
      </c>
      <c r="E150" t="inlineStr">
        <is>
          <t>CH</t>
        </is>
      </c>
      <c r="F150" t="inlineStr">
        <is>
          <t>None</t>
        </is>
      </c>
      <c r="G150" t="inlineStr">
        <is>
          <t>vkm</t>
        </is>
      </c>
      <c r="H150" t="inlineStr">
        <is>
          <t>BEV</t>
        </is>
      </c>
      <c r="I150" t="inlineStr">
        <is>
          <t>LFP</t>
        </is>
      </c>
      <c r="J150" t="inlineStr">
        <is>
          <t>label-certified electricity</t>
        </is>
      </c>
      <c r="L150" s="24" t="n">
        <v>0</v>
      </c>
      <c r="M150" s="24" t="n">
        <v>0</v>
      </c>
      <c r="N150" s="24" t="n">
        <v>0.001164988379267724</v>
      </c>
      <c r="O150" s="24" t="n">
        <v>0.01476791003070943</v>
      </c>
      <c r="P150" s="24" t="n">
        <v>0.004810814713480971</v>
      </c>
      <c r="Q150" s="24" t="n">
        <v>0.07398188192310844</v>
      </c>
      <c r="R150" s="24" t="n">
        <v>0.09472559504656657</v>
      </c>
      <c r="S150" s="26" t="n">
        <v>0</v>
      </c>
      <c r="T150" s="26" t="n">
        <v>0</v>
      </c>
      <c r="U150" s="26" t="n">
        <v>0.0006640580829725457</v>
      </c>
      <c r="V150" s="26" t="n">
        <v>0.0005666630188027706</v>
      </c>
      <c r="W150" s="26" t="n">
        <v>0.0003309296858007902</v>
      </c>
      <c r="X150" s="26" t="n">
        <v>0.04656325637402817</v>
      </c>
      <c r="Y150" s="26" t="n">
        <v>0.04812490716160427</v>
      </c>
      <c r="Z150" s="28" t="n">
        <v>0</v>
      </c>
      <c r="AA150" s="28" t="n">
        <v>0.002314547765857511</v>
      </c>
      <c r="AB150" s="28" t="n">
        <v>0.000117177579339808</v>
      </c>
      <c r="AC150" s="28" t="n">
        <v>0.0001852678696013898</v>
      </c>
      <c r="AD150" s="28" t="n">
        <v>0.0001477495854898237</v>
      </c>
      <c r="AE150" s="28" t="n">
        <v>0.005699908956431858</v>
      </c>
      <c r="AF150" s="28" t="n">
        <v>0.008464651756720391</v>
      </c>
      <c r="AG150" s="30" t="n">
        <v>0</v>
      </c>
      <c r="AH150" s="30" t="n">
        <v>1.228469691721989e-05</v>
      </c>
      <c r="AI150" s="30" t="n">
        <v>0.0004391343962545825</v>
      </c>
      <c r="AJ150" s="30" t="n">
        <v>0.0004500882944735035</v>
      </c>
      <c r="AK150" s="30" t="n">
        <v>0.0001964268043417692</v>
      </c>
      <c r="AL150" s="30" t="n">
        <v>0.01954088052187002</v>
      </c>
      <c r="AM150" s="30" t="n">
        <v>0.02063881471385709</v>
      </c>
      <c r="AN150" s="32" t="n">
        <v>0</v>
      </c>
      <c r="AO150" s="32" t="n">
        <v>8.750026411319886e-06</v>
      </c>
      <c r="AP150" s="32" t="n">
        <v>1.037481844565918e-06</v>
      </c>
      <c r="AQ150" s="32" t="n">
        <v>8.956982906540324e-07</v>
      </c>
      <c r="AR150" s="32" t="n">
        <v>7.972656826192735e-07</v>
      </c>
      <c r="AS150" s="32" t="n">
        <v>1.307285901022128e-05</v>
      </c>
      <c r="AT150" s="32" t="n">
        <v>2.455333123938039e-05</v>
      </c>
      <c r="AU150" s="34" t="n">
        <v>0</v>
      </c>
      <c r="AV150" s="34" t="n">
        <v>0</v>
      </c>
      <c r="AW150" s="34" t="n">
        <v>0.01160692263569726</v>
      </c>
      <c r="AX150" s="34" t="n">
        <v>0.2117693809723766</v>
      </c>
      <c r="AY150" s="34" t="n">
        <v>0.1680677720298071</v>
      </c>
      <c r="AZ150" s="34" t="n">
        <v>0.9976959843438395</v>
      </c>
      <c r="BA150" s="34" t="n">
        <v>1.389140059981721</v>
      </c>
      <c r="BB150" s="6" t="n"/>
      <c r="BC150" s="6" t="n"/>
      <c r="BD150" t="inlineStr">
        <is>
          <t>transport, Scooter, battery electric, 4-11kW, LFP battery, 2030, label-certified electricity/CH U</t>
        </is>
      </c>
      <c r="BF150" s="5" t="n">
        <v>0.081398964</v>
      </c>
      <c r="BG150" s="5">
        <f>BF150-R150</f>
        <v>-1.3326631046566562E-2</v>
      </c>
      <c r="BH150" s="2" t="n">
        <v>213.96475</v>
      </c>
    </row>
    <row r="151">
      <c r="A151" t="str">
        <f>B151&amp;" - "&amp;D151&amp;" - "&amp;IF(I151&lt;&gt;"",I151&amp;" - "&amp;E151,E151)</f>
        <v>Scooter, battery electric, 4-11kW - 2040 - LFP - CH</v>
      </c>
      <c r="B151" t="inlineStr">
        <is>
          <t>Scooter, battery electric, 4-11kW</t>
        </is>
      </c>
      <c r="D151" s="18" t="n">
        <v>2040</v>
      </c>
      <c r="E151" t="inlineStr">
        <is>
          <t>CH</t>
        </is>
      </c>
      <c r="F151" t="inlineStr">
        <is>
          <t>None</t>
        </is>
      </c>
      <c r="G151" t="inlineStr">
        <is>
          <t>vkm</t>
        </is>
      </c>
      <c r="H151" t="inlineStr">
        <is>
          <t>BEV</t>
        </is>
      </c>
      <c r="I151" t="inlineStr">
        <is>
          <t>LFP</t>
        </is>
      </c>
      <c r="J151" t="inlineStr">
        <is>
          <t>label-certified electricity</t>
        </is>
      </c>
      <c r="L151" s="24" t="n">
        <v>0</v>
      </c>
      <c r="M151" s="24" t="n">
        <v>0</v>
      </c>
      <c r="N151" s="24" t="n">
        <v>0.001164988379267724</v>
      </c>
      <c r="O151" s="24" t="n">
        <v>0.01476791003070943</v>
      </c>
      <c r="P151" s="24" t="n">
        <v>0.004845577753961552</v>
      </c>
      <c r="Q151" s="24" t="n">
        <v>0.07410723503808637</v>
      </c>
      <c r="R151" s="24" t="n">
        <v>0.09488571120202507</v>
      </c>
      <c r="S151" s="26" t="n">
        <v>0</v>
      </c>
      <c r="T151" s="26" t="n">
        <v>0</v>
      </c>
      <c r="U151" s="26" t="n">
        <v>0.0006640580829725457</v>
      </c>
      <c r="V151" s="26" t="n">
        <v>0.0005666630188027706</v>
      </c>
      <c r="W151" s="26" t="n">
        <v>0.000333126280306643</v>
      </c>
      <c r="X151" s="26" t="n">
        <v>0.04578355217353369</v>
      </c>
      <c r="Y151" s="26" t="n">
        <v>0.04734739955561565</v>
      </c>
      <c r="Z151" s="28" t="n">
        <v>0</v>
      </c>
      <c r="AA151" s="28" t="n">
        <v>0.002314547765857511</v>
      </c>
      <c r="AB151" s="28" t="n">
        <v>0.000117177579339808</v>
      </c>
      <c r="AC151" s="28" t="n">
        <v>0.0001852678696013898</v>
      </c>
      <c r="AD151" s="28" t="n">
        <v>0.0001487480823135218</v>
      </c>
      <c r="AE151" s="28" t="n">
        <v>0.005643211888988241</v>
      </c>
      <c r="AF151" s="28" t="n">
        <v>0.008408953186100472</v>
      </c>
      <c r="AG151" s="30" t="n">
        <v>0</v>
      </c>
      <c r="AH151" s="30" t="n">
        <v>1.228469691721989e-05</v>
      </c>
      <c r="AI151" s="30" t="n">
        <v>0.0004391343962545825</v>
      </c>
      <c r="AJ151" s="30" t="n">
        <v>0.0004500882944735035</v>
      </c>
      <c r="AK151" s="30" t="n">
        <v>0.0001973586759250956</v>
      </c>
      <c r="AL151" s="30" t="n">
        <v>0.0193535885047705</v>
      </c>
      <c r="AM151" s="30" t="n">
        <v>0.0204524545683409</v>
      </c>
      <c r="AN151" s="32" t="n">
        <v>0</v>
      </c>
      <c r="AO151" s="32" t="n">
        <v>8.750026411319886e-06</v>
      </c>
      <c r="AP151" s="32" t="n">
        <v>1.037481844565918e-06</v>
      </c>
      <c r="AQ151" s="32" t="n">
        <v>8.956982906540324e-07</v>
      </c>
      <c r="AR151" s="32" t="n">
        <v>8.009451902811628e-07</v>
      </c>
      <c r="AS151" s="32" t="n">
        <v>1.291124506359059e-05</v>
      </c>
      <c r="AT151" s="32" t="n">
        <v>2.439539680041159e-05</v>
      </c>
      <c r="AU151" s="34" t="n">
        <v>0</v>
      </c>
      <c r="AV151" s="34" t="n">
        <v>0</v>
      </c>
      <c r="AW151" s="34" t="n">
        <v>0.01160692263569726</v>
      </c>
      <c r="AX151" s="34" t="n">
        <v>0.2117693809723766</v>
      </c>
      <c r="AY151" s="34" t="n">
        <v>0.1692065865809231</v>
      </c>
      <c r="AZ151" s="34" t="n">
        <v>0.9948746807725045</v>
      </c>
      <c r="BA151" s="34" t="n">
        <v>1.387457570961502</v>
      </c>
      <c r="BB151" s="6" t="n"/>
      <c r="BC151" s="6" t="n"/>
      <c r="BD151" t="inlineStr">
        <is>
          <t>transport, Scooter, battery electric, 4-11kW, LFP battery, 2040, label-certified electricity/CH U</t>
        </is>
      </c>
      <c r="BF151" s="5" t="n">
        <v>0.08108528000000001</v>
      </c>
      <c r="BG151" s="5">
        <f>BF151-R151</f>
        <v>-1.3800431202025065E-2</v>
      </c>
      <c r="BH151" s="2" t="n">
        <v>209.47385</v>
      </c>
    </row>
    <row r="152">
      <c r="A152" t="str">
        <f>B152&amp;" - "&amp;D152&amp;" - "&amp;IF(I152&lt;&gt;"",I152&amp;" - "&amp;E152,E152)</f>
        <v>Scooter, battery electric, 4-11kW - 2050 - LFP - CH</v>
      </c>
      <c r="B152" t="inlineStr">
        <is>
          <t>Scooter, battery electric, 4-11kW</t>
        </is>
      </c>
      <c r="D152" s="18" t="n">
        <v>2050</v>
      </c>
      <c r="E152" t="inlineStr">
        <is>
          <t>CH</t>
        </is>
      </c>
      <c r="F152" t="inlineStr">
        <is>
          <t>None</t>
        </is>
      </c>
      <c r="G152" t="inlineStr">
        <is>
          <t>vkm</t>
        </is>
      </c>
      <c r="H152" t="inlineStr">
        <is>
          <t>BEV</t>
        </is>
      </c>
      <c r="I152" t="inlineStr">
        <is>
          <t>LFP</t>
        </is>
      </c>
      <c r="J152" t="inlineStr">
        <is>
          <t>label-certified electricity</t>
        </is>
      </c>
      <c r="L152" s="24" t="n">
        <v>0</v>
      </c>
      <c r="M152" s="24" t="n">
        <v>0</v>
      </c>
      <c r="N152" s="24" t="n">
        <v>0.001164988379267724</v>
      </c>
      <c r="O152" s="24" t="n">
        <v>0.01476791003070943</v>
      </c>
      <c r="P152" s="24" t="n">
        <v>0.004833985015887713</v>
      </c>
      <c r="Q152" s="24" t="n">
        <v>0.06791698192317557</v>
      </c>
      <c r="R152" s="24" t="n">
        <v>0.08868386534904044</v>
      </c>
      <c r="S152" s="26" t="n">
        <v>0</v>
      </c>
      <c r="T152" s="26" t="n">
        <v>0</v>
      </c>
      <c r="U152" s="26" t="n">
        <v>0.0006640580829725457</v>
      </c>
      <c r="V152" s="26" t="n">
        <v>0.0005666630188027706</v>
      </c>
      <c r="W152" s="26" t="n">
        <v>0.0003323937625403961</v>
      </c>
      <c r="X152" s="26" t="n">
        <v>0.04079598865565106</v>
      </c>
      <c r="Y152" s="26" t="n">
        <v>0.04235910351996677</v>
      </c>
      <c r="Z152" s="28" t="n">
        <v>0</v>
      </c>
      <c r="AA152" s="28" t="n">
        <v>0.002314547765857511</v>
      </c>
      <c r="AB152" s="28" t="n">
        <v>0.000117177579339808</v>
      </c>
      <c r="AC152" s="28" t="n">
        <v>0.0001852678696013898</v>
      </c>
      <c r="AD152" s="28" t="n">
        <v>0.0001484151047607914</v>
      </c>
      <c r="AE152" s="28" t="n">
        <v>0.004971365517355946</v>
      </c>
      <c r="AF152" s="28" t="n">
        <v>0.007736773836915446</v>
      </c>
      <c r="AG152" s="30" t="n">
        <v>0</v>
      </c>
      <c r="AH152" s="30" t="n">
        <v>1.228469691721989e-05</v>
      </c>
      <c r="AI152" s="30" t="n">
        <v>0.0004391343962545825</v>
      </c>
      <c r="AJ152" s="30" t="n">
        <v>0.0004500882944735035</v>
      </c>
      <c r="AK152" s="30" t="n">
        <v>0.0001970479164795865</v>
      </c>
      <c r="AL152" s="30" t="n">
        <v>0.01721581872781659</v>
      </c>
      <c r="AM152" s="30" t="n">
        <v>0.01831437403194148</v>
      </c>
      <c r="AN152" s="32" t="n">
        <v>0</v>
      </c>
      <c r="AO152" s="32" t="n">
        <v>8.750026411319886e-06</v>
      </c>
      <c r="AP152" s="32" t="n">
        <v>1.037481844565918e-06</v>
      </c>
      <c r="AQ152" s="32" t="n">
        <v>8.956982906540324e-07</v>
      </c>
      <c r="AR152" s="32" t="n">
        <v>7.997181523703451e-07</v>
      </c>
      <c r="AS152" s="32" t="n">
        <v>1.172041058953059e-05</v>
      </c>
      <c r="AT152" s="32" t="n">
        <v>2.320333528844077e-05</v>
      </c>
      <c r="AU152" s="34" t="n">
        <v>0</v>
      </c>
      <c r="AV152" s="34" t="n">
        <v>0</v>
      </c>
      <c r="AW152" s="34" t="n">
        <v>0.01160692263569726</v>
      </c>
      <c r="AX152" s="34" t="n">
        <v>0.2117693809723766</v>
      </c>
      <c r="AY152" s="34" t="n">
        <v>0.1688268160365964</v>
      </c>
      <c r="AZ152" s="34" t="n">
        <v>0.9066855887612052</v>
      </c>
      <c r="BA152" s="34" t="n">
        <v>1.298888708405876</v>
      </c>
      <c r="BB152" s="6" t="n"/>
      <c r="BC152" s="6" t="n"/>
      <c r="BD152" t="inlineStr">
        <is>
          <t>transport, Scooter, battery electric, 4-11kW, LFP battery, 2050, label-certified electricity/CH U</t>
        </is>
      </c>
      <c r="BF152" s="5" t="n">
        <v>0.07601701900000001</v>
      </c>
      <c r="BG152" s="5">
        <f>BF152-R152</f>
        <v>-1.2666846349040431E-2</v>
      </c>
      <c r="BH152" s="2" t="n">
        <v>184.34161</v>
      </c>
    </row>
    <row r="153">
      <c r="A153" t="str">
        <f>B153&amp;" - "&amp;D153&amp;" - "&amp;IF(I153&lt;&gt;"",I153&amp;" - "&amp;E153,E153)</f>
        <v>Scooter, battery electric, &lt;4kW - 2020 - NCA - CH</v>
      </c>
      <c r="B153" t="inlineStr">
        <is>
          <t>Scooter, battery electric, &lt;4kW</t>
        </is>
      </c>
      <c r="D153" s="18" t="n">
        <v>2020</v>
      </c>
      <c r="E153" t="inlineStr">
        <is>
          <t>CH</t>
        </is>
      </c>
      <c r="F153" t="inlineStr">
        <is>
          <t>None</t>
        </is>
      </c>
      <c r="G153" t="inlineStr">
        <is>
          <t>vkm</t>
        </is>
      </c>
      <c r="H153" t="inlineStr">
        <is>
          <t>BEV</t>
        </is>
      </c>
      <c r="I153" t="inlineStr">
        <is>
          <t>NCA</t>
        </is>
      </c>
      <c r="J153" t="inlineStr">
        <is>
          <t>label-certified electricity</t>
        </is>
      </c>
      <c r="L153" s="24" t="n">
        <v>0</v>
      </c>
      <c r="M153" s="24" t="n">
        <v>0</v>
      </c>
      <c r="N153" s="24" t="n">
        <v>0.0008206929002761456</v>
      </c>
      <c r="O153" s="24" t="n">
        <v>0.01230659169225786</v>
      </c>
      <c r="P153" s="24" t="n">
        <v>0.00449111916573528</v>
      </c>
      <c r="Q153" s="24" t="n">
        <v>0.04206783268099531</v>
      </c>
      <c r="R153" s="24" t="n">
        <v>0.05968623643926459</v>
      </c>
      <c r="S153" s="26" t="n">
        <v>0</v>
      </c>
      <c r="T153" s="26" t="n">
        <v>0</v>
      </c>
      <c r="U153" s="26" t="n">
        <v>0.0004678053135681222</v>
      </c>
      <c r="V153" s="26" t="n">
        <v>0.0004722191823356421</v>
      </c>
      <c r="W153" s="26" t="n">
        <v>0.0003107288784486248</v>
      </c>
      <c r="X153" s="26" t="n">
        <v>0.02890499184582182</v>
      </c>
      <c r="Y153" s="26" t="n">
        <v>0.03015574522017421</v>
      </c>
      <c r="Z153" s="28" t="n">
        <v>0</v>
      </c>
      <c r="AA153" s="28" t="n">
        <v>0.002314547765857511</v>
      </c>
      <c r="AB153" s="28" t="n">
        <v>8.254743922525021e-05</v>
      </c>
      <c r="AC153" s="28" t="n">
        <v>0.0001543898913344915</v>
      </c>
      <c r="AD153" s="28" t="n">
        <v>0.0001385669885546453</v>
      </c>
      <c r="AE153" s="28" t="n">
        <v>0.003075674854530667</v>
      </c>
      <c r="AF153" s="28" t="n">
        <v>0.005765726939502565</v>
      </c>
      <c r="AG153" s="30" t="n">
        <v>0</v>
      </c>
      <c r="AH153" s="30" t="n">
        <v>1.228469691721989e-05</v>
      </c>
      <c r="AI153" s="30" t="n">
        <v>0.0003093545718453609</v>
      </c>
      <c r="AJ153" s="30" t="n">
        <v>0.0003750735787279196</v>
      </c>
      <c r="AK153" s="30" t="n">
        <v>0.0001878569211514139</v>
      </c>
      <c r="AL153" s="30" t="n">
        <v>0.01057436942931865</v>
      </c>
      <c r="AM153" s="30" t="n">
        <v>0.01145893919796056</v>
      </c>
      <c r="AN153" s="32" t="n">
        <v>0</v>
      </c>
      <c r="AO153" s="32" t="n">
        <v>8.750026411319886e-06</v>
      </c>
      <c r="AP153" s="32" t="n">
        <v>7.308690791712847e-07</v>
      </c>
      <c r="AQ153" s="32" t="n">
        <v>7.464152422116936e-07</v>
      </c>
      <c r="AR153" s="32" t="n">
        <v>7.634273819085157e-07</v>
      </c>
      <c r="AS153" s="32" t="n">
        <v>9.260572067135122e-06</v>
      </c>
      <c r="AT153" s="32" t="n">
        <v>2.02513101817465e-05</v>
      </c>
      <c r="AU153" s="34" t="n">
        <v>0</v>
      </c>
      <c r="AV153" s="34" t="n">
        <v>0</v>
      </c>
      <c r="AW153" s="34" t="n">
        <v>0.008176664394848992</v>
      </c>
      <c r="AX153" s="34" t="n">
        <v>0.1764744841436473</v>
      </c>
      <c r="AY153" s="34" t="n">
        <v>0.1575947542308274</v>
      </c>
      <c r="AZ153" s="34" t="n">
        <v>0.5839915891522655</v>
      </c>
      <c r="BA153" s="34" t="n">
        <v>0.9262374919215891</v>
      </c>
      <c r="BB153" s="6" t="n"/>
      <c r="BC153" s="6" t="n"/>
      <c r="BD153" t="inlineStr">
        <is>
          <t>transport, Scooter, battery electric, &lt;4kW, NCA battery, label-certified electricity/CH U</t>
        </is>
      </c>
      <c r="BF153" s="5" t="n">
        <v>0.056816818</v>
      </c>
      <c r="BG153" s="5">
        <f>BF153-R153</f>
        <v>-2.8694184392645955E-3</v>
      </c>
      <c r="BH153" s="2" t="n">
        <v>133.65012</v>
      </c>
    </row>
    <row r="154">
      <c r="A154" t="str">
        <f>B154&amp;" - "&amp;D154&amp;" - "&amp;IF(I154&lt;&gt;"",I154&amp;" - "&amp;E154,E154)</f>
        <v>Scooter, battery electric, &lt;4kW - 2030 - NCA - CH</v>
      </c>
      <c r="B154" t="inlineStr">
        <is>
          <t>Scooter, battery electric, &lt;4kW</t>
        </is>
      </c>
      <c r="D154" s="18" t="n">
        <v>2030</v>
      </c>
      <c r="E154" t="inlineStr">
        <is>
          <t>CH</t>
        </is>
      </c>
      <c r="F154" t="inlineStr">
        <is>
          <t>None</t>
        </is>
      </c>
      <c r="G154" t="inlineStr">
        <is>
          <t>vkm</t>
        </is>
      </c>
      <c r="H154" t="inlineStr">
        <is>
          <t>BEV</t>
        </is>
      </c>
      <c r="I154" t="inlineStr">
        <is>
          <t>NCA</t>
        </is>
      </c>
      <c r="J154" t="inlineStr">
        <is>
          <t>label-certified electricity</t>
        </is>
      </c>
      <c r="L154" s="24" t="n">
        <v>0</v>
      </c>
      <c r="M154" s="24" t="n">
        <v>0</v>
      </c>
      <c r="N154" s="24" t="n">
        <v>0.0008206929002761456</v>
      </c>
      <c r="O154" s="24" t="n">
        <v>0.01230659169225786</v>
      </c>
      <c r="P154" s="24" t="n">
        <v>0.004500875881156063</v>
      </c>
      <c r="Q154" s="24" t="n">
        <v>0.04549582107930619</v>
      </c>
      <c r="R154" s="24" t="n">
        <v>0.06312398155299626</v>
      </c>
      <c r="S154" s="26" t="n">
        <v>0</v>
      </c>
      <c r="T154" s="26" t="n">
        <v>0</v>
      </c>
      <c r="U154" s="26" t="n">
        <v>0.0004678053135681222</v>
      </c>
      <c r="V154" s="26" t="n">
        <v>0.0004722191823356421</v>
      </c>
      <c r="W154" s="26" t="n">
        <v>0.000311345382275453</v>
      </c>
      <c r="X154" s="26" t="n">
        <v>0.02951311663845284</v>
      </c>
      <c r="Y154" s="26" t="n">
        <v>0.03076448651663206</v>
      </c>
      <c r="Z154" s="28" t="n">
        <v>0</v>
      </c>
      <c r="AA154" s="28" t="n">
        <v>0.002314547765857511</v>
      </c>
      <c r="AB154" s="28" t="n">
        <v>8.254743922525021e-05</v>
      </c>
      <c r="AC154" s="28" t="n">
        <v>0.0001543898913344915</v>
      </c>
      <c r="AD154" s="28" t="n">
        <v>0.0001388472301337103</v>
      </c>
      <c r="AE154" s="28" t="n">
        <v>0.00327161117739709</v>
      </c>
      <c r="AF154" s="28" t="n">
        <v>0.005961943503948052</v>
      </c>
      <c r="AG154" s="30" t="n">
        <v>0</v>
      </c>
      <c r="AH154" s="30" t="n">
        <v>1.228469691721989e-05</v>
      </c>
      <c r="AI154" s="30" t="n">
        <v>0.0003093545718453609</v>
      </c>
      <c r="AJ154" s="30" t="n">
        <v>0.0003750735787279196</v>
      </c>
      <c r="AK154" s="30" t="n">
        <v>0.0001881184634596107</v>
      </c>
      <c r="AL154" s="30" t="n">
        <v>0.01121743894252497</v>
      </c>
      <c r="AM154" s="30" t="n">
        <v>0.01210227025347508</v>
      </c>
      <c r="AN154" s="32" t="n">
        <v>0</v>
      </c>
      <c r="AO154" s="32" t="n">
        <v>8.750026411319886e-06</v>
      </c>
      <c r="AP154" s="32" t="n">
        <v>7.308690791712847e-07</v>
      </c>
      <c r="AQ154" s="32" t="n">
        <v>7.464152422116936e-07</v>
      </c>
      <c r="AR154" s="32" t="n">
        <v>7.644600852811017e-07</v>
      </c>
      <c r="AS154" s="32" t="n">
        <v>9.425515633944907e-06</v>
      </c>
      <c r="AT154" s="32" t="n">
        <v>2.041728645192887e-05</v>
      </c>
      <c r="AU154" s="34" t="n">
        <v>0</v>
      </c>
      <c r="AV154" s="34" t="n">
        <v>0</v>
      </c>
      <c r="AW154" s="34" t="n">
        <v>0.008176664394848992</v>
      </c>
      <c r="AX154" s="34" t="n">
        <v>0.1764744841436473</v>
      </c>
      <c r="AY154" s="34" t="n">
        <v>0.1579143778695736</v>
      </c>
      <c r="AZ154" s="34" t="n">
        <v>0.6207338249525631</v>
      </c>
      <c r="BA154" s="34" t="n">
        <v>0.9632993513606329</v>
      </c>
      <c r="BB154" s="6" t="n"/>
      <c r="BC154" s="6" t="n"/>
      <c r="BD154" t="inlineStr">
        <is>
          <t>transport, Scooter, battery electric, &lt;4kW, NCA battery, 2030, label-certified electricity/CH U</t>
        </is>
      </c>
      <c r="BF154" s="5" t="n">
        <v>0.058321568</v>
      </c>
      <c r="BG154" s="5">
        <f>BF154-R154</f>
        <v>-4.8024135529962583E-3</v>
      </c>
      <c r="BH154" s="2" t="n">
        <v>134.59079</v>
      </c>
    </row>
    <row r="155">
      <c r="A155" t="str">
        <f>B155&amp;" - "&amp;D155&amp;" - "&amp;IF(I155&lt;&gt;"",I155&amp;" - "&amp;E155,E155)</f>
        <v>Scooter, battery electric, &lt;4kW - 2040 - NCA - CH</v>
      </c>
      <c r="B155" t="inlineStr">
        <is>
          <t>Scooter, battery electric, &lt;4kW</t>
        </is>
      </c>
      <c r="D155" s="18" t="n">
        <v>2040</v>
      </c>
      <c r="E155" t="inlineStr">
        <is>
          <t>CH</t>
        </is>
      </c>
      <c r="F155" t="inlineStr">
        <is>
          <t>None</t>
        </is>
      </c>
      <c r="G155" t="inlineStr">
        <is>
          <t>vkm</t>
        </is>
      </c>
      <c r="H155" t="inlineStr">
        <is>
          <t>BEV</t>
        </is>
      </c>
      <c r="I155" t="inlineStr">
        <is>
          <t>NCA</t>
        </is>
      </c>
      <c r="J155" t="inlineStr">
        <is>
          <t>label-certified electricity</t>
        </is>
      </c>
      <c r="L155" s="24" t="n">
        <v>0</v>
      </c>
      <c r="M155" s="24" t="n">
        <v>0</v>
      </c>
      <c r="N155" s="24" t="n">
        <v>0.0008206929002761456</v>
      </c>
      <c r="O155" s="24" t="n">
        <v>0.01230659169225786</v>
      </c>
      <c r="P155" s="24" t="n">
        <v>0.004501133834751946</v>
      </c>
      <c r="Q155" s="24" t="n">
        <v>0.04649678503586869</v>
      </c>
      <c r="R155" s="24" t="n">
        <v>0.06412520346315465</v>
      </c>
      <c r="S155" s="26" t="n">
        <v>0</v>
      </c>
      <c r="T155" s="26" t="n">
        <v>0</v>
      </c>
      <c r="U155" s="26" t="n">
        <v>0.0004678053135681222</v>
      </c>
      <c r="V155" s="26" t="n">
        <v>0.0004722191823356421</v>
      </c>
      <c r="W155" s="26" t="n">
        <v>0.0003113616817545449</v>
      </c>
      <c r="X155" s="26" t="n">
        <v>0.0287154632079984</v>
      </c>
      <c r="Y155" s="26" t="n">
        <v>0.02996684938565671</v>
      </c>
      <c r="Z155" s="28" t="n">
        <v>0</v>
      </c>
      <c r="AA155" s="28" t="n">
        <v>0.002314547765857511</v>
      </c>
      <c r="AB155" s="28" t="n">
        <v>8.254743922525021e-05</v>
      </c>
      <c r="AC155" s="28" t="n">
        <v>0.0001543898913344915</v>
      </c>
      <c r="AD155" s="28" t="n">
        <v>0.000138854639320093</v>
      </c>
      <c r="AE155" s="28" t="n">
        <v>0.003252502711543282</v>
      </c>
      <c r="AF155" s="28" t="n">
        <v>0.005942842447280628</v>
      </c>
      <c r="AG155" s="30" t="n">
        <v>0</v>
      </c>
      <c r="AH155" s="30" t="n">
        <v>1.228469691721989e-05</v>
      </c>
      <c r="AI155" s="30" t="n">
        <v>0.0003093545718453609</v>
      </c>
      <c r="AJ155" s="30" t="n">
        <v>0.0003750735787279196</v>
      </c>
      <c r="AK155" s="30" t="n">
        <v>0.0001881253782640265</v>
      </c>
      <c r="AL155" s="30" t="n">
        <v>0.01119557819750775</v>
      </c>
      <c r="AM155" s="30" t="n">
        <v>0.01208041642326228</v>
      </c>
      <c r="AN155" s="32" t="n">
        <v>0</v>
      </c>
      <c r="AO155" s="32" t="n">
        <v>8.750026411319886e-06</v>
      </c>
      <c r="AP155" s="32" t="n">
        <v>7.308690791712847e-07</v>
      </c>
      <c r="AQ155" s="32" t="n">
        <v>7.464152422116936e-07</v>
      </c>
      <c r="AR155" s="32" t="n">
        <v>7.644873884806881e-07</v>
      </c>
      <c r="AS155" s="32" t="n">
        <v>9.23007031857047e-06</v>
      </c>
      <c r="AT155" s="32" t="n">
        <v>2.022186843975402e-05</v>
      </c>
      <c r="AU155" s="34" t="n">
        <v>0</v>
      </c>
      <c r="AV155" s="34" t="n">
        <v>0</v>
      </c>
      <c r="AW155" s="34" t="n">
        <v>0.008176664394848992</v>
      </c>
      <c r="AX155" s="34" t="n">
        <v>0.1764744841436473</v>
      </c>
      <c r="AY155" s="34" t="n">
        <v>0.1579228282612667</v>
      </c>
      <c r="AZ155" s="34" t="n">
        <v>0.6268806615616495</v>
      </c>
      <c r="BA155" s="34" t="n">
        <v>0.9694546383614124</v>
      </c>
      <c r="BB155" s="6" t="n"/>
      <c r="BC155" s="6" t="n"/>
      <c r="BD155" t="inlineStr">
        <is>
          <t>transport, Scooter, battery electric, &lt;4kW, NCA battery, 2040, label-certified electricity/CH U</t>
        </is>
      </c>
      <c r="BF155" s="5" t="n">
        <v>0.058267238</v>
      </c>
      <c r="BG155" s="5">
        <f>BF155-R155</f>
        <v>-5.8579654631546463E-3</v>
      </c>
      <c r="BH155" s="2" t="n">
        <v>129.79426</v>
      </c>
    </row>
    <row r="156">
      <c r="A156" t="str">
        <f>B156&amp;" - "&amp;D156&amp;" - "&amp;IF(I156&lt;&gt;"",I156&amp;" - "&amp;E156,E156)</f>
        <v>Scooter, battery electric, &lt;4kW - 2050 - NCA - CH</v>
      </c>
      <c r="B156" t="inlineStr">
        <is>
          <t>Scooter, battery electric, &lt;4kW</t>
        </is>
      </c>
      <c r="D156" s="18" t="n">
        <v>2050</v>
      </c>
      <c r="E156" t="inlineStr">
        <is>
          <t>CH</t>
        </is>
      </c>
      <c r="F156" t="inlineStr">
        <is>
          <t>None</t>
        </is>
      </c>
      <c r="G156" t="inlineStr">
        <is>
          <t>vkm</t>
        </is>
      </c>
      <c r="H156" t="inlineStr">
        <is>
          <t>BEV</t>
        </is>
      </c>
      <c r="I156" t="inlineStr">
        <is>
          <t>NCA</t>
        </is>
      </c>
      <c r="J156" t="inlineStr">
        <is>
          <t>label-certified electricity</t>
        </is>
      </c>
      <c r="L156" s="24" t="n">
        <v>0</v>
      </c>
      <c r="M156" s="24" t="n">
        <v>0</v>
      </c>
      <c r="N156" s="24" t="n">
        <v>0.0008206929002761456</v>
      </c>
      <c r="O156" s="24" t="n">
        <v>0.01230659169225786</v>
      </c>
      <c r="P156" s="24" t="n">
        <v>0.004503364374669295</v>
      </c>
      <c r="Q156" s="24" t="n">
        <v>0.0473333987136952</v>
      </c>
      <c r="R156" s="24" t="n">
        <v>0.0649640476808985</v>
      </c>
      <c r="S156" s="26" t="n">
        <v>0</v>
      </c>
      <c r="T156" s="26" t="n">
        <v>0</v>
      </c>
      <c r="U156" s="26" t="n">
        <v>0.0004678053135681222</v>
      </c>
      <c r="V156" s="26" t="n">
        <v>0.0004722191823356421</v>
      </c>
      <c r="W156" s="26" t="n">
        <v>0.0003115026243090452</v>
      </c>
      <c r="X156" s="26" t="n">
        <v>0.02775754068532503</v>
      </c>
      <c r="Y156" s="26" t="n">
        <v>0.02900906780553784</v>
      </c>
      <c r="Z156" s="28" t="n">
        <v>0</v>
      </c>
      <c r="AA156" s="28" t="n">
        <v>0.002314547765857511</v>
      </c>
      <c r="AB156" s="28" t="n">
        <v>8.254743922525021e-05</v>
      </c>
      <c r="AC156" s="28" t="n">
        <v>0.0001543898913344915</v>
      </c>
      <c r="AD156" s="28" t="n">
        <v>0.0001389187069905791</v>
      </c>
      <c r="AE156" s="28" t="n">
        <v>0.003213911966207217</v>
      </c>
      <c r="AF156" s="28" t="n">
        <v>0.005904315769615048</v>
      </c>
      <c r="AG156" s="30" t="n">
        <v>0</v>
      </c>
      <c r="AH156" s="30" t="n">
        <v>1.228469691721989e-05</v>
      </c>
      <c r="AI156" s="30" t="n">
        <v>0.0003093545718453609</v>
      </c>
      <c r="AJ156" s="30" t="n">
        <v>0.0003750735787279196</v>
      </c>
      <c r="AK156" s="30" t="n">
        <v>0.0001881851709845629</v>
      </c>
      <c r="AL156" s="30" t="n">
        <v>0.0111136847866592</v>
      </c>
      <c r="AM156" s="30" t="n">
        <v>0.01199858280513426</v>
      </c>
      <c r="AN156" s="32" t="n">
        <v>0</v>
      </c>
      <c r="AO156" s="32" t="n">
        <v>8.750026411319886e-06</v>
      </c>
      <c r="AP156" s="32" t="n">
        <v>7.308690791712847e-07</v>
      </c>
      <c r="AQ156" s="32" t="n">
        <v>7.464152422116936e-07</v>
      </c>
      <c r="AR156" s="32" t="n">
        <v>7.647234808535809e-07</v>
      </c>
      <c r="AS156" s="32" t="n">
        <v>8.995688737712976e-06</v>
      </c>
      <c r="AT156" s="32" t="n">
        <v>1.998772295126942e-05</v>
      </c>
      <c r="AU156" s="34" t="n">
        <v>0</v>
      </c>
      <c r="AV156" s="34" t="n">
        <v>0</v>
      </c>
      <c r="AW156" s="34" t="n">
        <v>0.008176664394848992</v>
      </c>
      <c r="AX156" s="34" t="n">
        <v>0.1764744841436473</v>
      </c>
      <c r="AY156" s="34" t="n">
        <v>0.1579958992953191</v>
      </c>
      <c r="AZ156" s="34" t="n">
        <v>0.6306838649775803</v>
      </c>
      <c r="BA156" s="34" t="n">
        <v>0.9733309128113957</v>
      </c>
      <c r="BB156" s="6" t="n"/>
      <c r="BC156" s="6" t="n"/>
      <c r="BD156" t="inlineStr">
        <is>
          <t>transport, Scooter, battery electric, &lt;4kW, NCA battery, 2050, label-certified electricity/CH U</t>
        </is>
      </c>
      <c r="BF156" s="5" t="n">
        <v>0.058089744</v>
      </c>
      <c r="BG156" s="5">
        <f>BF156-R156</f>
        <v>-6.8743036808985025E-3</v>
      </c>
      <c r="BH156" s="2" t="n">
        <v>124.32777</v>
      </c>
    </row>
    <row r="157">
      <c r="A157" t="str">
        <f>B157&amp;" - "&amp;D157&amp;" - "&amp;IF(I157&lt;&gt;"",I157&amp;" - "&amp;E157,E157)</f>
        <v>Scooter, battery electric, 4-11kW - 2020 - NCA - CH</v>
      </c>
      <c r="B157" t="inlineStr">
        <is>
          <t>Scooter, battery electric, 4-11kW</t>
        </is>
      </c>
      <c r="D157" s="18" t="n">
        <v>2020</v>
      </c>
      <c r="E157" t="inlineStr">
        <is>
          <t>CH</t>
        </is>
      </c>
      <c r="F157" t="inlineStr">
        <is>
          <t>None</t>
        </is>
      </c>
      <c r="G157" t="inlineStr">
        <is>
          <t>vkm</t>
        </is>
      </c>
      <c r="H157" t="inlineStr">
        <is>
          <t>BEV</t>
        </is>
      </c>
      <c r="I157" t="inlineStr">
        <is>
          <t>NCA</t>
        </is>
      </c>
      <c r="J157" t="inlineStr">
        <is>
          <t>label-certified electricity</t>
        </is>
      </c>
      <c r="L157" s="24" t="n">
        <v>0</v>
      </c>
      <c r="M157" s="24" t="n">
        <v>0</v>
      </c>
      <c r="N157" s="24" t="n">
        <v>0.001164988379267724</v>
      </c>
      <c r="O157" s="24" t="n">
        <v>0.01230659169225786</v>
      </c>
      <c r="P157" s="24" t="n">
        <v>0.004626099487264269</v>
      </c>
      <c r="Q157" s="24" t="n">
        <v>0.04850063349761637</v>
      </c>
      <c r="R157" s="24" t="n">
        <v>0.06659831305640623</v>
      </c>
      <c r="S157" s="26" t="n">
        <v>0</v>
      </c>
      <c r="T157" s="26" t="n">
        <v>0</v>
      </c>
      <c r="U157" s="26" t="n">
        <v>0.0006640580829725457</v>
      </c>
      <c r="V157" s="26" t="n">
        <v>0.0004722191823356421</v>
      </c>
      <c r="W157" s="26" t="n">
        <v>0.0003192579664849383</v>
      </c>
      <c r="X157" s="26" t="n">
        <v>0.03520637703572009</v>
      </c>
      <c r="Y157" s="26" t="n">
        <v>0.03666191226751322</v>
      </c>
      <c r="Z157" s="28" t="n">
        <v>0</v>
      </c>
      <c r="AA157" s="28" t="n">
        <v>0.002314547765857511</v>
      </c>
      <c r="AB157" s="28" t="n">
        <v>0.000117177579339808</v>
      </c>
      <c r="AC157" s="28" t="n">
        <v>0.0001543898913344915</v>
      </c>
      <c r="AD157" s="28" t="n">
        <v>0.0001424440206106796</v>
      </c>
      <c r="AE157" s="28" t="n">
        <v>0.003631083766850464</v>
      </c>
      <c r="AF157" s="28" t="n">
        <v>0.006359643023992953</v>
      </c>
      <c r="AG157" s="30" t="n">
        <v>0</v>
      </c>
      <c r="AH157" s="30" t="n">
        <v>1.228469691721989e-05</v>
      </c>
      <c r="AI157" s="30" t="n">
        <v>0.0004391343962545825</v>
      </c>
      <c r="AJ157" s="30" t="n">
        <v>0.0003750735787279196</v>
      </c>
      <c r="AK157" s="30" t="n">
        <v>0.0001914752561474966</v>
      </c>
      <c r="AL157" s="30" t="n">
        <v>0.01264915985634904</v>
      </c>
      <c r="AM157" s="30" t="n">
        <v>0.01366712778439626</v>
      </c>
      <c r="AN157" s="32" t="n">
        <v>0</v>
      </c>
      <c r="AO157" s="32" t="n">
        <v>8.750026411319886e-06</v>
      </c>
      <c r="AP157" s="32" t="n">
        <v>1.037481844565918e-06</v>
      </c>
      <c r="AQ157" s="32" t="n">
        <v>7.464152422116936e-07</v>
      </c>
      <c r="AR157" s="32" t="n">
        <v>7.777144270117088e-07</v>
      </c>
      <c r="AS157" s="32" t="n">
        <v>1.043451488642511e-05</v>
      </c>
      <c r="AT157" s="32" t="n">
        <v>2.174615281153432e-05</v>
      </c>
      <c r="AU157" s="34" t="n">
        <v>0</v>
      </c>
      <c r="AV157" s="34" t="n">
        <v>0</v>
      </c>
      <c r="AW157" s="34" t="n">
        <v>0.01160692263569726</v>
      </c>
      <c r="AX157" s="34" t="n">
        <v>0.1764744841436473</v>
      </c>
      <c r="AY157" s="34" t="n">
        <v>0.1620166215976186</v>
      </c>
      <c r="AZ157" s="34" t="n">
        <v>0.6728558052327722</v>
      </c>
      <c r="BA157" s="34" t="n">
        <v>1.022953833609735</v>
      </c>
      <c r="BB157" s="6" t="n"/>
      <c r="BC157" s="6" t="n"/>
      <c r="BD157" t="inlineStr">
        <is>
          <t>transport, Scooter, battery electric, 4-11kW, NCA battery, label-certified electricity/CH U</t>
        </is>
      </c>
      <c r="BF157" s="5" t="n">
        <v>0.062248003</v>
      </c>
      <c r="BG157" s="5">
        <f>BF157-R157</f>
        <v>-4.35031005640623E-3</v>
      </c>
      <c r="BH157" s="2" t="n">
        <v>151.59866</v>
      </c>
    </row>
    <row r="158">
      <c r="A158" t="str">
        <f>B158&amp;" - "&amp;D158&amp;" - "&amp;IF(I158&lt;&gt;"",I158&amp;" - "&amp;E158,E158)</f>
        <v>Scooter, battery electric, 4-11kW - 2030 - NCA - CH</v>
      </c>
      <c r="B158" t="inlineStr">
        <is>
          <t>Scooter, battery electric, 4-11kW</t>
        </is>
      </c>
      <c r="D158" s="18" t="n">
        <v>2030</v>
      </c>
      <c r="E158" t="inlineStr">
        <is>
          <t>CH</t>
        </is>
      </c>
      <c r="F158" t="inlineStr">
        <is>
          <t>None</t>
        </is>
      </c>
      <c r="G158" t="inlineStr">
        <is>
          <t>vkm</t>
        </is>
      </c>
      <c r="H158" t="inlineStr">
        <is>
          <t>BEV</t>
        </is>
      </c>
      <c r="I158" t="inlineStr">
        <is>
          <t>NCA</t>
        </is>
      </c>
      <c r="J158" t="inlineStr">
        <is>
          <t>label-certified electricity</t>
        </is>
      </c>
      <c r="L158" s="24" t="n">
        <v>0</v>
      </c>
      <c r="M158" s="24" t="n">
        <v>0</v>
      </c>
      <c r="N158" s="24" t="n">
        <v>0.001164988379267724</v>
      </c>
      <c r="O158" s="24" t="n">
        <v>0.01230659169225786</v>
      </c>
      <c r="P158" s="24" t="n">
        <v>0.004642158582995738</v>
      </c>
      <c r="Q158" s="24" t="n">
        <v>0.05125975659002541</v>
      </c>
      <c r="R158" s="24" t="n">
        <v>0.06937349524454672</v>
      </c>
      <c r="S158" s="26" t="n">
        <v>0</v>
      </c>
      <c r="T158" s="26" t="n">
        <v>0</v>
      </c>
      <c r="U158" s="26" t="n">
        <v>0.0006640580829725457</v>
      </c>
      <c r="V158" s="26" t="n">
        <v>0.0004722191823356421</v>
      </c>
      <c r="W158" s="26" t="n">
        <v>0.0003202727028533642</v>
      </c>
      <c r="X158" s="26" t="n">
        <v>0.03560881118297076</v>
      </c>
      <c r="Y158" s="26" t="n">
        <v>0.03706536115113231</v>
      </c>
      <c r="Z158" s="28" t="n">
        <v>0</v>
      </c>
      <c r="AA158" s="28" t="n">
        <v>0.002314547765857511</v>
      </c>
      <c r="AB158" s="28" t="n">
        <v>0.000117177579339808</v>
      </c>
      <c r="AC158" s="28" t="n">
        <v>0.0001543898913344915</v>
      </c>
      <c r="AD158" s="28" t="n">
        <v>0.0001429052850989885</v>
      </c>
      <c r="AE158" s="28" t="n">
        <v>0.003782335538154023</v>
      </c>
      <c r="AF158" s="28" t="n">
        <v>0.006511356059784822</v>
      </c>
      <c r="AG158" s="30" t="n">
        <v>0</v>
      </c>
      <c r="AH158" s="30" t="n">
        <v>1.228469691721989e-05</v>
      </c>
      <c r="AI158" s="30" t="n">
        <v>0.0004391343962545825</v>
      </c>
      <c r="AJ158" s="30" t="n">
        <v>0.0003750735787279196</v>
      </c>
      <c r="AK158" s="30" t="n">
        <v>0.0001919057425134528</v>
      </c>
      <c r="AL158" s="30" t="n">
        <v>0.01314595819128847</v>
      </c>
      <c r="AM158" s="30" t="n">
        <v>0.01416435660570164</v>
      </c>
      <c r="AN158" s="32" t="n">
        <v>0</v>
      </c>
      <c r="AO158" s="32" t="n">
        <v>8.750026411319886e-06</v>
      </c>
      <c r="AP158" s="32" t="n">
        <v>1.037481844565918e-06</v>
      </c>
      <c r="AQ158" s="32" t="n">
        <v>7.464152422116936e-07</v>
      </c>
      <c r="AR158" s="32" t="n">
        <v>7.794142083015521e-07</v>
      </c>
      <c r="AS158" s="32" t="n">
        <v>1.054908075775436e-05</v>
      </c>
      <c r="AT158" s="32" t="n">
        <v>2.186241846415341e-05</v>
      </c>
      <c r="AU158" s="34" t="n">
        <v>0</v>
      </c>
      <c r="AV158" s="34" t="n">
        <v>0</v>
      </c>
      <c r="AW158" s="34" t="n">
        <v>0.01160692263569726</v>
      </c>
      <c r="AX158" s="34" t="n">
        <v>0.1764744841436473</v>
      </c>
      <c r="AY158" s="34" t="n">
        <v>0.1625427071080899</v>
      </c>
      <c r="AZ158" s="34" t="n">
        <v>0.7020900405552021</v>
      </c>
      <c r="BA158" s="34" t="n">
        <v>1.052714154442636</v>
      </c>
      <c r="BB158" s="6" t="n"/>
      <c r="BC158" s="6" t="n"/>
      <c r="BD158" t="inlineStr">
        <is>
          <t>transport, Scooter, battery electric, 4-11kW, NCA battery, 2030, label-certified electricity/CH U</t>
        </is>
      </c>
      <c r="BF158" s="5" t="n">
        <v>0.06344045299999999</v>
      </c>
      <c r="BG158" s="5">
        <f>BF158-R158</f>
        <v>-5.9330422445467296E-3</v>
      </c>
      <c r="BH158" s="2" t="n">
        <v>151.96353</v>
      </c>
    </row>
    <row r="159">
      <c r="A159" t="str">
        <f>B159&amp;" - "&amp;D159&amp;" - "&amp;IF(I159&lt;&gt;"",I159&amp;" - "&amp;E159,E159)</f>
        <v>Scooter, battery electric, 4-11kW - 2040 - NCA - CH</v>
      </c>
      <c r="B159" t="inlineStr">
        <is>
          <t>Scooter, battery electric, 4-11kW</t>
        </is>
      </c>
      <c r="D159" s="18" t="n">
        <v>2040</v>
      </c>
      <c r="E159" t="inlineStr">
        <is>
          <t>CH</t>
        </is>
      </c>
      <c r="F159" t="inlineStr">
        <is>
          <t>None</t>
        </is>
      </c>
      <c r="G159" t="inlineStr">
        <is>
          <t>vkm</t>
        </is>
      </c>
      <c r="H159" t="inlineStr">
        <is>
          <t>BEV</t>
        </is>
      </c>
      <c r="I159" t="inlineStr">
        <is>
          <t>NCA</t>
        </is>
      </c>
      <c r="J159" t="inlineStr">
        <is>
          <t>label-certified electricity</t>
        </is>
      </c>
      <c r="L159" s="24" t="n">
        <v>0</v>
      </c>
      <c r="M159" s="24" t="n">
        <v>0</v>
      </c>
      <c r="N159" s="24" t="n">
        <v>0.001164988379267724</v>
      </c>
      <c r="O159" s="24" t="n">
        <v>0.01230659169225786</v>
      </c>
      <c r="P159" s="24" t="n">
        <v>0.00464338765601142</v>
      </c>
      <c r="Q159" s="24" t="n">
        <v>0.05153181573813944</v>
      </c>
      <c r="R159" s="24" t="n">
        <v>0.06964678346567645</v>
      </c>
      <c r="S159" s="26" t="n">
        <v>0</v>
      </c>
      <c r="T159" s="26" t="n">
        <v>0</v>
      </c>
      <c r="U159" s="26" t="n">
        <v>0.0006640580829725457</v>
      </c>
      <c r="V159" s="26" t="n">
        <v>0.0004722191823356421</v>
      </c>
      <c r="W159" s="26" t="n">
        <v>0.0003203503650772726</v>
      </c>
      <c r="X159" s="26" t="n">
        <v>0.03440957381013059</v>
      </c>
      <c r="Y159" s="26" t="n">
        <v>0.03586620144051605</v>
      </c>
      <c r="Z159" s="28" t="n">
        <v>0</v>
      </c>
      <c r="AA159" s="28" t="n">
        <v>0.002314547765857511</v>
      </c>
      <c r="AB159" s="28" t="n">
        <v>0.000117177579339808</v>
      </c>
      <c r="AC159" s="28" t="n">
        <v>0.0001543898913344915</v>
      </c>
      <c r="AD159" s="28" t="n">
        <v>0.0001429405876929298</v>
      </c>
      <c r="AE159" s="28" t="n">
        <v>0.003700477368965883</v>
      </c>
      <c r="AF159" s="28" t="n">
        <v>0.006429533193190623</v>
      </c>
      <c r="AG159" s="30" t="n">
        <v>0</v>
      </c>
      <c r="AH159" s="30" t="n">
        <v>1.228469691721989e-05</v>
      </c>
      <c r="AI159" s="30" t="n">
        <v>0.0004391343962545825</v>
      </c>
      <c r="AJ159" s="30" t="n">
        <v>0.0003750735787279196</v>
      </c>
      <c r="AK159" s="30" t="n">
        <v>0.000191938689522728</v>
      </c>
      <c r="AL159" s="30" t="n">
        <v>0.01292753983247213</v>
      </c>
      <c r="AM159" s="30" t="n">
        <v>0.01394597119389458</v>
      </c>
      <c r="AN159" s="32" t="n">
        <v>0</v>
      </c>
      <c r="AO159" s="32" t="n">
        <v>8.750026411319886e-06</v>
      </c>
      <c r="AP159" s="32" t="n">
        <v>1.037481844565918e-06</v>
      </c>
      <c r="AQ159" s="32" t="n">
        <v>7.464152422116936e-07</v>
      </c>
      <c r="AR159" s="32" t="n">
        <v>7.795443000172277e-07</v>
      </c>
      <c r="AS159" s="32" t="n">
        <v>1.025274285720682e-05</v>
      </c>
      <c r="AT159" s="32" t="n">
        <v>2.156621065532155e-05</v>
      </c>
      <c r="AU159" s="34" t="n">
        <v>0</v>
      </c>
      <c r="AV159" s="34" t="n">
        <v>0</v>
      </c>
      <c r="AW159" s="34" t="n">
        <v>0.01160692263569726</v>
      </c>
      <c r="AX159" s="34" t="n">
        <v>0.1764744841436473</v>
      </c>
      <c r="AY159" s="34" t="n">
        <v>0.1625829707390984</v>
      </c>
      <c r="AZ159" s="34" t="n">
        <v>0.6991883525678331</v>
      </c>
      <c r="BA159" s="34" t="n">
        <v>1.049852730086276</v>
      </c>
      <c r="BB159" s="6" t="n"/>
      <c r="BC159" s="6" t="n"/>
      <c r="BD159" t="inlineStr">
        <is>
          <t>transport, Scooter, battery electric, 4-11kW, NCA battery, 2040, label-certified electricity/CH U</t>
        </is>
      </c>
      <c r="BF159" s="5" t="n">
        <v>0.062942158</v>
      </c>
      <c r="BG159" s="5">
        <f>BF159-R159</f>
        <v>-6.7046254656764476E-3</v>
      </c>
      <c r="BH159" s="2" t="n">
        <v>145.59318</v>
      </c>
    </row>
    <row r="160">
      <c r="A160" t="str">
        <f>B160&amp;" - "&amp;D160&amp;" - "&amp;IF(I160&lt;&gt;"",I160&amp;" - "&amp;E160,E160)</f>
        <v>Scooter, battery electric, 4-11kW - 2050 - NCA - CH</v>
      </c>
      <c r="B160" t="inlineStr">
        <is>
          <t>Scooter, battery electric, 4-11kW</t>
        </is>
      </c>
      <c r="D160" s="18" t="n">
        <v>2050</v>
      </c>
      <c r="E160" t="inlineStr">
        <is>
          <t>CH</t>
        </is>
      </c>
      <c r="F160" t="inlineStr">
        <is>
          <t>None</t>
        </is>
      </c>
      <c r="G160" t="inlineStr">
        <is>
          <t>vkm</t>
        </is>
      </c>
      <c r="H160" t="inlineStr">
        <is>
          <t>BEV</t>
        </is>
      </c>
      <c r="I160" t="inlineStr">
        <is>
          <t>NCA</t>
        </is>
      </c>
      <c r="J160" t="inlineStr">
        <is>
          <t>label-certified electricity</t>
        </is>
      </c>
      <c r="L160" s="24" t="n">
        <v>0</v>
      </c>
      <c r="M160" s="24" t="n">
        <v>0</v>
      </c>
      <c r="N160" s="24" t="n">
        <v>0.001164988379267724</v>
      </c>
      <c r="O160" s="24" t="n">
        <v>0.01230659169225786</v>
      </c>
      <c r="P160" s="24" t="n">
        <v>0.004642249625441345</v>
      </c>
      <c r="Q160" s="24" t="n">
        <v>0.05115042373911663</v>
      </c>
      <c r="R160" s="24" t="n">
        <v>0.06926425343608356</v>
      </c>
      <c r="S160" s="26" t="n">
        <v>0</v>
      </c>
      <c r="T160" s="26" t="n">
        <v>0</v>
      </c>
      <c r="U160" s="26" t="n">
        <v>0.0006640580829725457</v>
      </c>
      <c r="V160" s="26" t="n">
        <v>0.0004722191823356421</v>
      </c>
      <c r="W160" s="26" t="n">
        <v>0.0003202784556106908</v>
      </c>
      <c r="X160" s="26" t="n">
        <v>0.03259549526497878</v>
      </c>
      <c r="Y160" s="26" t="n">
        <v>0.03405205098589766</v>
      </c>
      <c r="Z160" s="28" t="n">
        <v>0</v>
      </c>
      <c r="AA160" s="28" t="n">
        <v>0.002314547765857511</v>
      </c>
      <c r="AB160" s="28" t="n">
        <v>0.000117177579339808</v>
      </c>
      <c r="AC160" s="28" t="n">
        <v>0.0001543898913344915</v>
      </c>
      <c r="AD160" s="28" t="n">
        <v>0.0001429079001059471</v>
      </c>
      <c r="AE160" s="28" t="n">
        <v>0.003542298854682322</v>
      </c>
      <c r="AF160" s="28" t="n">
        <v>0.00627132199132008</v>
      </c>
      <c r="AG160" s="30" t="n">
        <v>0</v>
      </c>
      <c r="AH160" s="30" t="n">
        <v>1.228469691721989e-05</v>
      </c>
      <c r="AI160" s="30" t="n">
        <v>0.0004391343962545825</v>
      </c>
      <c r="AJ160" s="30" t="n">
        <v>0.0003750735787279196</v>
      </c>
      <c r="AK160" s="30" t="n">
        <v>0.0001919081830326583</v>
      </c>
      <c r="AL160" s="30" t="n">
        <v>0.01247884742641603</v>
      </c>
      <c r="AM160" s="30" t="n">
        <v>0.01349724828134841</v>
      </c>
      <c r="AN160" s="32" t="n">
        <v>0</v>
      </c>
      <c r="AO160" s="32" t="n">
        <v>8.750026411319886e-06</v>
      </c>
      <c r="AP160" s="32" t="n">
        <v>1.037481844565918e-06</v>
      </c>
      <c r="AQ160" s="32" t="n">
        <v>7.464152422116936e-07</v>
      </c>
      <c r="AR160" s="32" t="n">
        <v>7.794238447249354e-07</v>
      </c>
      <c r="AS160" s="32" t="n">
        <v>9.801083915974758e-06</v>
      </c>
      <c r="AT160" s="32" t="n">
        <v>2.111443125879719e-05</v>
      </c>
      <c r="AU160" s="34" t="n">
        <v>0</v>
      </c>
      <c r="AV160" s="34" t="n">
        <v>0</v>
      </c>
      <c r="AW160" s="34" t="n">
        <v>0.01160692263569726</v>
      </c>
      <c r="AX160" s="34" t="n">
        <v>0.1764744841436473</v>
      </c>
      <c r="AY160" s="34" t="n">
        <v>0.1625456895992757</v>
      </c>
      <c r="AZ160" s="34" t="n">
        <v>0.6869535020730939</v>
      </c>
      <c r="BA160" s="34" t="n">
        <v>1.037580598451714</v>
      </c>
      <c r="BB160" s="6" t="n"/>
      <c r="BC160" s="6" t="n"/>
      <c r="BD160" t="inlineStr">
        <is>
          <t>transport, Scooter, battery electric, 4-11kW, NCA battery, 2050, label-certified electricity/CH U</t>
        </is>
      </c>
      <c r="BF160" s="5" t="n">
        <v>0.061915167</v>
      </c>
      <c r="BG160" s="5">
        <f>BF160-R160</f>
        <v>-7.3490864360835559E-3</v>
      </c>
      <c r="BH160" s="2" t="n">
        <v>136.49283</v>
      </c>
    </row>
    <row r="161">
      <c r="A161" t="str">
        <f>B161&amp;" - "&amp;D161&amp;" - "&amp;IF(I161&lt;&gt;"",I161&amp;" - "&amp;E161,E161)</f>
        <v>Motorbike, gasoline, 4-11kW, EURO-3 - 2006 - None - CH</v>
      </c>
      <c r="B161" t="inlineStr">
        <is>
          <t>Motorbike, gasoline, 4-11kW, EURO-3</t>
        </is>
      </c>
      <c r="D161" s="18" t="n">
        <v>2006</v>
      </c>
      <c r="E161" t="inlineStr">
        <is>
          <t>CH</t>
        </is>
      </c>
      <c r="F161" t="inlineStr">
        <is>
          <t>EURO-3</t>
        </is>
      </c>
      <c r="G161" t="inlineStr">
        <is>
          <t>vkm</t>
        </is>
      </c>
      <c r="H161" t="inlineStr">
        <is>
          <t>ICEV-p</t>
        </is>
      </c>
      <c r="I161" t="inlineStr">
        <is>
          <t>None</t>
        </is>
      </c>
      <c r="J161" t="inlineStr">
        <is>
          <t>None</t>
        </is>
      </c>
      <c r="L161" s="24" t="n">
        <v>0.0795410190791544</v>
      </c>
      <c r="M161" s="24" t="n">
        <v>0</v>
      </c>
      <c r="N161" s="24" t="n">
        <v>0.01312245238226133</v>
      </c>
      <c r="O161" s="24" t="n">
        <v>0.009511897518254223</v>
      </c>
      <c r="P161" s="24" t="n">
        <v>0.004640299938634323</v>
      </c>
      <c r="Q161" s="24" t="n">
        <v>0.02272027667316388</v>
      </c>
      <c r="R161" s="24" t="n">
        <v>0.1295359455914681</v>
      </c>
      <c r="S161" s="26" t="n">
        <v>0</v>
      </c>
      <c r="T161" s="26" t="n">
        <v>0</v>
      </c>
      <c r="U161" s="26" t="n">
        <v>0.0003214061973388377</v>
      </c>
      <c r="V161" s="26" t="n">
        <v>0.0005414964349838285</v>
      </c>
      <c r="W161" s="26" t="n">
        <v>0.0003201552595015693</v>
      </c>
      <c r="X161" s="26" t="n">
        <v>0.005254707501780043</v>
      </c>
      <c r="Y161" s="26" t="n">
        <v>0.006437765393604278</v>
      </c>
      <c r="Z161" s="28" t="n">
        <v>0.001011366430143216</v>
      </c>
      <c r="AA161" s="28" t="n">
        <v>0.006250912695722444</v>
      </c>
      <c r="AB161" s="28" t="n">
        <v>0.0006411520379894874</v>
      </c>
      <c r="AC161" s="28" t="n">
        <v>0.0001891362620619139</v>
      </c>
      <c r="AD161" s="28" t="n">
        <v>0.0001428518993632875</v>
      </c>
      <c r="AE161" s="28" t="n">
        <v>0.001106278765622044</v>
      </c>
      <c r="AF161" s="28" t="n">
        <v>0.009341698090902392</v>
      </c>
      <c r="AG161" s="30" t="n">
        <v>2.645217723686952e-07</v>
      </c>
      <c r="AH161" s="30" t="n">
        <v>3.234643766999301e-05</v>
      </c>
      <c r="AI161" s="30" t="n">
        <v>0.0001219580555120935</v>
      </c>
      <c r="AJ161" s="30" t="n">
        <v>0.0003749623808400174</v>
      </c>
      <c r="AK161" s="30" t="n">
        <v>0.000191855918969828</v>
      </c>
      <c r="AL161" s="30" t="n">
        <v>0.002424527918433302</v>
      </c>
      <c r="AM161" s="30" t="n">
        <v>0.003145915233197603</v>
      </c>
      <c r="AN161" s="32" t="n">
        <v>4.396777421653598e-07</v>
      </c>
      <c r="AO161" s="32" t="n">
        <v>2.344157748409402e-05</v>
      </c>
      <c r="AP161" s="32" t="n">
        <v>2.523803058299747e-06</v>
      </c>
      <c r="AQ161" s="32" t="n">
        <v>5.707316173412414e-07</v>
      </c>
      <c r="AR161" s="32" t="n">
        <v>7.792174793597215e-07</v>
      </c>
      <c r="AS161" s="32" t="n">
        <v>4.72054401599171e-06</v>
      </c>
      <c r="AT161" s="32" t="n">
        <v>3.24755513972518e-05</v>
      </c>
      <c r="AU161" s="34" t="n">
        <v>0</v>
      </c>
      <c r="AV161" s="34" t="n">
        <v>0</v>
      </c>
      <c r="AW161" s="34" t="n">
        <v>1.305147335570347</v>
      </c>
      <c r="AX161" s="34" t="n">
        <v>0.1774307493518501</v>
      </c>
      <c r="AY161" s="34" t="n">
        <v>0.162481819130086</v>
      </c>
      <c r="AZ161" s="34" t="n">
        <v>0.3367398383770196</v>
      </c>
      <c r="BA161" s="34" t="n">
        <v>1.981799742429303</v>
      </c>
      <c r="BB161" s="6" t="n"/>
      <c r="BC161" s="6" t="n"/>
      <c r="BD161" t="inlineStr">
        <is>
          <t>transport, Motorbike, gasoline, 4-11kW, EURO-3/CH U</t>
        </is>
      </c>
      <c r="BF161" s="5" t="n">
        <v>0.13600823</v>
      </c>
      <c r="BG161" s="5">
        <f>BF161-R161</f>
        <v>6.4722844085318421E-3</v>
      </c>
      <c r="BH161" s="2" t="n">
        <v>145.84573</v>
      </c>
    </row>
    <row r="162">
      <c r="A162" t="str">
        <f>B162&amp;" - "&amp;D162&amp;" - "&amp;IF(I162&lt;&gt;"",I162&amp;" - "&amp;E162,E162)</f>
        <v>Motorbike, gasoline, 4-11kW, EURO-4 - 2016 - None - CH</v>
      </c>
      <c r="B162" t="inlineStr">
        <is>
          <t>Motorbike, gasoline, 4-11kW, EURO-4</t>
        </is>
      </c>
      <c r="D162" s="18" t="n">
        <v>2016</v>
      </c>
      <c r="E162" t="inlineStr">
        <is>
          <t>CH</t>
        </is>
      </c>
      <c r="F162" t="inlineStr">
        <is>
          <t>EURO-4</t>
        </is>
      </c>
      <c r="G162" t="inlineStr">
        <is>
          <t>vkm</t>
        </is>
      </c>
      <c r="H162" t="inlineStr">
        <is>
          <t>ICEV-p</t>
        </is>
      </c>
      <c r="I162" t="inlineStr">
        <is>
          <t>None</t>
        </is>
      </c>
      <c r="J162" t="inlineStr">
        <is>
          <t>None</t>
        </is>
      </c>
      <c r="L162" s="24" t="n">
        <v>0.07952705656374626</v>
      </c>
      <c r="M162" s="24" t="n">
        <v>0</v>
      </c>
      <c r="N162" s="24" t="n">
        <v>0.01299252711114983</v>
      </c>
      <c r="O162" s="24" t="n">
        <v>0.009511897518254223</v>
      </c>
      <c r="P162" s="24" t="n">
        <v>0.004631364055186574</v>
      </c>
      <c r="Q162" s="24" t="n">
        <v>0.02269830801002082</v>
      </c>
      <c r="R162" s="24" t="n">
        <v>0.1293611532583577</v>
      </c>
      <c r="S162" s="26" t="n">
        <v>0</v>
      </c>
      <c r="T162" s="26" t="n">
        <v>0</v>
      </c>
      <c r="U162" s="26" t="n">
        <v>0.0003182239577612254</v>
      </c>
      <c r="V162" s="26" t="n">
        <v>0.0005414964349838285</v>
      </c>
      <c r="W162" s="26" t="n">
        <v>0.0003195906221103944</v>
      </c>
      <c r="X162" s="26" t="n">
        <v>0.005254261369195472</v>
      </c>
      <c r="Y162" s="26" t="n">
        <v>0.00643357238405092</v>
      </c>
      <c r="Z162" s="28" t="n">
        <v>0.001384564871707926</v>
      </c>
      <c r="AA162" s="28" t="n">
        <v>0.006250912695722444</v>
      </c>
      <c r="AB162" s="28" t="n">
        <v>0.0006348039980093934</v>
      </c>
      <c r="AC162" s="28" t="n">
        <v>0.0001891362620619139</v>
      </c>
      <c r="AD162" s="28" t="n">
        <v>0.0001425952344940423</v>
      </c>
      <c r="AE162" s="28" t="n">
        <v>0.001104743413245362</v>
      </c>
      <c r="AF162" s="28" t="n">
        <v>0.009706756475241081</v>
      </c>
      <c r="AG162" s="30" t="n">
        <v>2.952163640002229e-07</v>
      </c>
      <c r="AH162" s="30" t="n">
        <v>3.234643766999301e-05</v>
      </c>
      <c r="AI162" s="30" t="n">
        <v>0.0001207505500119738</v>
      </c>
      <c r="AJ162" s="30" t="n">
        <v>0.0003749623808400174</v>
      </c>
      <c r="AK162" s="30" t="n">
        <v>0.0001916163802027422</v>
      </c>
      <c r="AL162" s="30" t="n">
        <v>0.002424388740527163</v>
      </c>
      <c r="AM162" s="30" t="n">
        <v>0.00314435970561589</v>
      </c>
      <c r="AN162" s="32" t="n">
        <v>5.179551449264486e-07</v>
      </c>
      <c r="AO162" s="32" t="n">
        <v>2.344157748409402e-05</v>
      </c>
      <c r="AP162" s="32" t="n">
        <v>2.49881490920767e-06</v>
      </c>
      <c r="AQ162" s="32" t="n">
        <v>5.707316173412414e-07</v>
      </c>
      <c r="AR162" s="32" t="n">
        <v>7.782716572694442e-07</v>
      </c>
      <c r="AS162" s="32" t="n">
        <v>4.71485940756839e-06</v>
      </c>
      <c r="AT162" s="32" t="n">
        <v>3.252221022040721e-05</v>
      </c>
      <c r="AU162" s="34" t="n">
        <v>0</v>
      </c>
      <c r="AV162" s="34" t="n">
        <v>0</v>
      </c>
      <c r="AW162" s="34" t="n">
        <v>1.292225084723116</v>
      </c>
      <c r="AX162" s="34" t="n">
        <v>0.1774307493518501</v>
      </c>
      <c r="AY162" s="34" t="n">
        <v>0.1621890854118413</v>
      </c>
      <c r="AZ162" s="34" t="n">
        <v>0.336412541172334</v>
      </c>
      <c r="BA162" s="34" t="n">
        <v>1.968257460659141</v>
      </c>
      <c r="BB162" s="6" t="n"/>
      <c r="BC162" s="6" t="n"/>
      <c r="BD162" t="inlineStr">
        <is>
          <t>transport, Motorbike, gasoline, 4-11kW, EURO-4/CH U</t>
        </is>
      </c>
      <c r="BF162" s="5" t="n">
        <v>0.13499356</v>
      </c>
      <c r="BG162" s="5">
        <f>BF162-R162</f>
        <v>5.6324067416423096E-3</v>
      </c>
      <c r="BH162" s="2" t="n">
        <v>144.30684</v>
      </c>
    </row>
    <row r="163">
      <c r="A163" t="str">
        <f>B163&amp;" - "&amp;D163&amp;" - "&amp;IF(I163&lt;&gt;"",I163&amp;" - "&amp;E163,E163)</f>
        <v>Motorbike, gasoline, 4-11kW, EURO-5 - 2020 - None - CH</v>
      </c>
      <c r="B163" t="inlineStr">
        <is>
          <t>Motorbike, gasoline, 4-11kW, EURO-5</t>
        </is>
      </c>
      <c r="D163" s="18" t="n">
        <v>2020</v>
      </c>
      <c r="E163" t="inlineStr">
        <is>
          <t>CH</t>
        </is>
      </c>
      <c r="F163" t="inlineStr">
        <is>
          <t>EURO-5</t>
        </is>
      </c>
      <c r="G163" t="inlineStr">
        <is>
          <t>vkm</t>
        </is>
      </c>
      <c r="H163" t="inlineStr">
        <is>
          <t>ICEV-p</t>
        </is>
      </c>
      <c r="I163" t="inlineStr">
        <is>
          <t>None</t>
        </is>
      </c>
      <c r="J163" t="inlineStr">
        <is>
          <t>None</t>
        </is>
      </c>
      <c r="L163" s="24" t="n">
        <v>0.07832093538124482</v>
      </c>
      <c r="M163" s="24" t="n">
        <v>0</v>
      </c>
      <c r="N163" s="24" t="n">
        <v>0.01286260184003834</v>
      </c>
      <c r="O163" s="24" t="n">
        <v>0.009511897518254223</v>
      </c>
      <c r="P163" s="24" t="n">
        <v>0.004625406799554742</v>
      </c>
      <c r="Q163" s="24" t="n">
        <v>0.02268366220603593</v>
      </c>
      <c r="R163" s="24" t="n">
        <v>0.1280045037451281</v>
      </c>
      <c r="S163" s="26" t="n">
        <v>0</v>
      </c>
      <c r="T163" s="26" t="n">
        <v>0</v>
      </c>
      <c r="U163" s="26" t="n">
        <v>0.0003150417181836132</v>
      </c>
      <c r="V163" s="26" t="n">
        <v>0.0005414964349838285</v>
      </c>
      <c r="W163" s="26" t="n">
        <v>0.0003192141971829445</v>
      </c>
      <c r="X163" s="26" t="n">
        <v>0.005253963946892396</v>
      </c>
      <c r="Y163" s="26" t="n">
        <v>0.006429716297242782</v>
      </c>
      <c r="Z163" s="28" t="n">
        <v>0.0008483952187273103</v>
      </c>
      <c r="AA163" s="28" t="n">
        <v>0.006250912695722444</v>
      </c>
      <c r="AB163" s="28" t="n">
        <v>0.0006284559580292995</v>
      </c>
      <c r="AC163" s="28" t="n">
        <v>0.0001891362620619139</v>
      </c>
      <c r="AD163" s="28" t="n">
        <v>0.0001424241245812123</v>
      </c>
      <c r="AE163" s="28" t="n">
        <v>0.001103719843004387</v>
      </c>
      <c r="AF163" s="28" t="n">
        <v>0.009163044102126566</v>
      </c>
      <c r="AG163" s="30" t="n">
        <v>2.468559135726818e-07</v>
      </c>
      <c r="AH163" s="30" t="n">
        <v>3.234643766999301e-05</v>
      </c>
      <c r="AI163" s="30" t="n">
        <v>0.000119543044511854</v>
      </c>
      <c r="AJ163" s="30" t="n">
        <v>0.0003749623808400174</v>
      </c>
      <c r="AK163" s="30" t="n">
        <v>0.0001914566876913516</v>
      </c>
      <c r="AL163" s="30" t="n">
        <v>0.00242429595507562</v>
      </c>
      <c r="AM163" s="30" t="n">
        <v>0.003142851361702409</v>
      </c>
      <c r="AN163" s="32" t="n">
        <v>4.001468018854989e-07</v>
      </c>
      <c r="AO163" s="32" t="n">
        <v>2.344157748409402e-05</v>
      </c>
      <c r="AP163" s="32" t="n">
        <v>2.473826760115594e-06</v>
      </c>
      <c r="AQ163" s="32" t="n">
        <v>5.707316173412414e-07</v>
      </c>
      <c r="AR163" s="32" t="n">
        <v>7.776411092092592e-07</v>
      </c>
      <c r="AS163" s="32" t="n">
        <v>4.7110696612503e-06</v>
      </c>
      <c r="AT163" s="32" t="n">
        <v>3.237499343389592e-05</v>
      </c>
      <c r="AU163" s="34" t="n">
        <v>0</v>
      </c>
      <c r="AV163" s="34" t="n">
        <v>0</v>
      </c>
      <c r="AW163" s="34" t="n">
        <v>1.279302833875885</v>
      </c>
      <c r="AX163" s="34" t="n">
        <v>0.1774307493518501</v>
      </c>
      <c r="AY163" s="34" t="n">
        <v>0.1619939295996781</v>
      </c>
      <c r="AZ163" s="34" t="n">
        <v>0.3361943426105581</v>
      </c>
      <c r="BA163" s="34" t="n">
        <v>1.954921855437972</v>
      </c>
      <c r="BB163" s="6" t="n"/>
      <c r="BC163" s="6" t="n"/>
      <c r="BD163" t="inlineStr">
        <is>
          <t>transport, Motorbike, gasoline, 4-11kW, EURO-5/CH U</t>
        </is>
      </c>
      <c r="BF163" s="5" t="n">
        <v>0.13399081</v>
      </c>
      <c r="BG163" s="5">
        <f>BF163-R163</f>
        <v>5.9863062548719259E-3</v>
      </c>
      <c r="BH163" s="2" t="n">
        <v>140.88633</v>
      </c>
    </row>
    <row r="164">
      <c r="A164" t="str">
        <f>B164&amp;" - "&amp;D164&amp;" - "&amp;IF(I164&lt;&gt;"",I164&amp;" - "&amp;E164,E164)</f>
        <v>Motorbike, gasoline, 4-11kW, EURO-5 - 2030 - None - CH</v>
      </c>
      <c r="B164" t="inlineStr">
        <is>
          <t>Motorbike, gasoline, 4-11kW, EURO-5</t>
        </is>
      </c>
      <c r="D164" s="18" t="n">
        <v>2030</v>
      </c>
      <c r="E164" t="inlineStr">
        <is>
          <t>CH</t>
        </is>
      </c>
      <c r="F164" t="inlineStr">
        <is>
          <t>EURO-5</t>
        </is>
      </c>
      <c r="G164" t="inlineStr">
        <is>
          <t>vkm</t>
        </is>
      </c>
      <c r="H164" t="inlineStr">
        <is>
          <t>ICEV-p</t>
        </is>
      </c>
      <c r="I164" t="inlineStr">
        <is>
          <t>None</t>
        </is>
      </c>
      <c r="J164" t="inlineStr">
        <is>
          <t>None</t>
        </is>
      </c>
      <c r="L164" s="24" t="n">
        <v>0.07753772602743238</v>
      </c>
      <c r="M164" s="24" t="n">
        <v>0</v>
      </c>
      <c r="N164" s="24" t="n">
        <v>0.01273397582163795</v>
      </c>
      <c r="O164" s="24" t="n">
        <v>0.009511897518254223</v>
      </c>
      <c r="P164" s="24" t="n">
        <v>0.004616470916106993</v>
      </c>
      <c r="Q164" s="24" t="n">
        <v>0.02531392798158032</v>
      </c>
      <c r="R164" s="24" t="n">
        <v>0.1297139982650119</v>
      </c>
      <c r="S164" s="26" t="n">
        <v>0</v>
      </c>
      <c r="T164" s="26" t="n">
        <v>0</v>
      </c>
      <c r="U164" s="26" t="n">
        <v>0.0003118913010017771</v>
      </c>
      <c r="V164" s="26" t="n">
        <v>0.0005414964349838285</v>
      </c>
      <c r="W164" s="26" t="n">
        <v>0.0003186495597917695</v>
      </c>
      <c r="X164" s="26" t="n">
        <v>0.005726920783641696</v>
      </c>
      <c r="Y164" s="26" t="n">
        <v>0.00689895807941907</v>
      </c>
      <c r="Z164" s="28" t="n">
        <v>0.0008399112665400372</v>
      </c>
      <c r="AA164" s="28" t="n">
        <v>0.006250912695722444</v>
      </c>
      <c r="AB164" s="28" t="n">
        <v>0.0006221713984490066</v>
      </c>
      <c r="AC164" s="28" t="n">
        <v>0.0001891362620619139</v>
      </c>
      <c r="AD164" s="28" t="n">
        <v>0.0001421674597119671</v>
      </c>
      <c r="AE164" s="28" t="n">
        <v>0.001253532656184164</v>
      </c>
      <c r="AF164" s="28" t="n">
        <v>0.009297831738669533</v>
      </c>
      <c r="AG164" s="30" t="n">
        <v>2.443873544369549e-07</v>
      </c>
      <c r="AH164" s="30" t="n">
        <v>3.234643766999301e-05</v>
      </c>
      <c r="AI164" s="30" t="n">
        <v>0.0001183476140667355</v>
      </c>
      <c r="AJ164" s="30" t="n">
        <v>0.0003749623808400174</v>
      </c>
      <c r="AK164" s="30" t="n">
        <v>0.0001912171489242658</v>
      </c>
      <c r="AL164" s="30" t="n">
        <v>0.002924990821725087</v>
      </c>
      <c r="AM164" s="30" t="n">
        <v>0.003642108790580536</v>
      </c>
      <c r="AN164" s="32" t="n">
        <v>3.961453338666438e-07</v>
      </c>
      <c r="AO164" s="32" t="n">
        <v>2.344157748409402e-05</v>
      </c>
      <c r="AP164" s="32" t="n">
        <v>2.449088492514438e-06</v>
      </c>
      <c r="AQ164" s="32" t="n">
        <v>5.707316173412414e-07</v>
      </c>
      <c r="AR164" s="32" t="n">
        <v>7.766952871189818e-07</v>
      </c>
      <c r="AS164" s="32" t="n">
        <v>4.82913935760534e-06</v>
      </c>
      <c r="AT164" s="32" t="n">
        <v>3.246337757254066e-05</v>
      </c>
      <c r="AU164" s="34" t="n">
        <v>0</v>
      </c>
      <c r="AV164" s="34" t="n">
        <v>0</v>
      </c>
      <c r="AW164" s="34" t="n">
        <v>1.266509805537126</v>
      </c>
      <c r="AX164" s="34" t="n">
        <v>0.1774307493518501</v>
      </c>
      <c r="AY164" s="34" t="n">
        <v>0.1617011958814334</v>
      </c>
      <c r="AZ164" s="34" t="n">
        <v>0.3642166105232569</v>
      </c>
      <c r="BA164" s="34" t="n">
        <v>1.969858361293666</v>
      </c>
      <c r="BB164" s="6" t="n"/>
      <c r="BC164" s="6" t="n"/>
      <c r="BD164" t="inlineStr">
        <is>
          <t>transport, Motorbike, gasoline, 4-11kW, EURO-5, 2030/CH U</t>
        </is>
      </c>
      <c r="BF164" s="5" t="n">
        <v>0.13387144</v>
      </c>
      <c r="BG164" s="5">
        <f>BF164-R164</f>
        <v>4.1574417349881376E-3</v>
      </c>
      <c r="BH164" s="2" t="n">
        <v>140.75148</v>
      </c>
    </row>
    <row r="165">
      <c r="A165" t="str">
        <f>B165&amp;" - "&amp;D165&amp;" - "&amp;IF(I165&lt;&gt;"",I165&amp;" - "&amp;E165,E165)</f>
        <v>Motorbike, gasoline, 4-11kW, EURO-5 - 2040 - None - CH</v>
      </c>
      <c r="B165" t="inlineStr">
        <is>
          <t>Motorbike, gasoline, 4-11kW, EURO-5</t>
        </is>
      </c>
      <c r="D165" s="18" t="n">
        <v>2040</v>
      </c>
      <c r="E165" t="inlineStr">
        <is>
          <t>CH</t>
        </is>
      </c>
      <c r="F165" t="inlineStr">
        <is>
          <t>EURO-5</t>
        </is>
      </c>
      <c r="G165" t="inlineStr">
        <is>
          <t>vkm</t>
        </is>
      </c>
      <c r="H165" t="inlineStr">
        <is>
          <t>ICEV-p</t>
        </is>
      </c>
      <c r="I165" t="inlineStr">
        <is>
          <t>None</t>
        </is>
      </c>
      <c r="J165" t="inlineStr">
        <is>
          <t>None</t>
        </is>
      </c>
      <c r="L165" s="24" t="n">
        <v>0.07676234876715805</v>
      </c>
      <c r="M165" s="24" t="n">
        <v>0</v>
      </c>
      <c r="N165" s="24" t="n">
        <v>0.01260663606342157</v>
      </c>
      <c r="O165" s="24" t="n">
        <v>0.009511897518254223</v>
      </c>
      <c r="P165" s="24" t="n">
        <v>0.004610513660475161</v>
      </c>
      <c r="Q165" s="24" t="n">
        <v>0.02706743842930013</v>
      </c>
      <c r="R165" s="24" t="n">
        <v>0.1305588344386091</v>
      </c>
      <c r="S165" s="26" t="n">
        <v>0</v>
      </c>
      <c r="T165" s="26" t="n">
        <v>0</v>
      </c>
      <c r="U165" s="26" t="n">
        <v>0.0003087723879917592</v>
      </c>
      <c r="V165" s="26" t="n">
        <v>0.0005414964349838285</v>
      </c>
      <c r="W165" s="26" t="n">
        <v>0.0003182731348643196</v>
      </c>
      <c r="X165" s="26" t="n">
        <v>0.006042225322987103</v>
      </c>
      <c r="Y165" s="26" t="n">
        <v>0.007210767280827011</v>
      </c>
      <c r="Z165" s="28" t="n">
        <v>0.0008315121538746368</v>
      </c>
      <c r="AA165" s="28" t="n">
        <v>0.006250912695722444</v>
      </c>
      <c r="AB165" s="28" t="n">
        <v>0.0006159496844645164</v>
      </c>
      <c r="AC165" s="28" t="n">
        <v>0.0001891362620619139</v>
      </c>
      <c r="AD165" s="28" t="n">
        <v>0.000141996349799137</v>
      </c>
      <c r="AE165" s="28" t="n">
        <v>0.001353407866190402</v>
      </c>
      <c r="AF165" s="28" t="n">
        <v>0.00938291501211305</v>
      </c>
      <c r="AG165" s="30" t="n">
        <v>2.419434808925854e-07</v>
      </c>
      <c r="AH165" s="30" t="n">
        <v>3.234643766999301e-05</v>
      </c>
      <c r="AI165" s="30" t="n">
        <v>0.0001171641379260681</v>
      </c>
      <c r="AJ165" s="30" t="n">
        <v>0.0003749623808400174</v>
      </c>
      <c r="AK165" s="30" t="n">
        <v>0.0001910574564128753</v>
      </c>
      <c r="AL165" s="30" t="n">
        <v>0.003258787379556794</v>
      </c>
      <c r="AM165" s="30" t="n">
        <v>0.003974559735886641</v>
      </c>
      <c r="AN165" s="32" t="n">
        <v>3.921838805279774e-07</v>
      </c>
      <c r="AO165" s="32" t="n">
        <v>2.344157748409402e-05</v>
      </c>
      <c r="AP165" s="32" t="n">
        <v>2.424597607589293e-06</v>
      </c>
      <c r="AQ165" s="32" t="n">
        <v>5.707316173412414e-07</v>
      </c>
      <c r="AR165" s="32" t="n">
        <v>7.76064739058797e-07</v>
      </c>
      <c r="AS165" s="32" t="n">
        <v>4.90785250923856e-06</v>
      </c>
      <c r="AT165" s="32" t="n">
        <v>3.251300783784989e-05</v>
      </c>
      <c r="AU165" s="34" t="n">
        <v>0</v>
      </c>
      <c r="AV165" s="34" t="n">
        <v>0</v>
      </c>
      <c r="AW165" s="34" t="n">
        <v>1.253844707481754</v>
      </c>
      <c r="AX165" s="34" t="n">
        <v>0.1774307493518501</v>
      </c>
      <c r="AY165" s="34" t="n">
        <v>0.1615060400692703</v>
      </c>
      <c r="AZ165" s="34" t="n">
        <v>0.3828981219813457</v>
      </c>
      <c r="BA165" s="34" t="n">
        <v>1.975679618884221</v>
      </c>
      <c r="BB165" s="6" t="n"/>
      <c r="BC165" s="6" t="n"/>
      <c r="BD165" t="inlineStr">
        <is>
          <t>transport, Motorbike, gasoline, 4-11kW, EURO-5, 2040/CH U</t>
        </is>
      </c>
      <c r="BF165" s="5" t="n">
        <v>0.13343829</v>
      </c>
      <c r="BG165" s="5">
        <f>BF165-R165</f>
        <v>2.8794555613908535E-3</v>
      </c>
      <c r="BH165" s="2" t="n">
        <v>140.44142</v>
      </c>
    </row>
    <row r="166">
      <c r="A166" t="str">
        <f>B166&amp;" - "&amp;D166&amp;" - "&amp;IF(I166&lt;&gt;"",I166&amp;" - "&amp;E166,E166)</f>
        <v>Motorbike, gasoline, 4-11kW, EURO-5 - 2050 - None - CH</v>
      </c>
      <c r="B166" t="inlineStr">
        <is>
          <t>Motorbike, gasoline, 4-11kW, EURO-5</t>
        </is>
      </c>
      <c r="D166" s="18" t="n">
        <v>2050</v>
      </c>
      <c r="E166" t="inlineStr">
        <is>
          <t>CH</t>
        </is>
      </c>
      <c r="F166" t="inlineStr">
        <is>
          <t>EURO-5</t>
        </is>
      </c>
      <c r="G166" t="inlineStr">
        <is>
          <t>vkm</t>
        </is>
      </c>
      <c r="H166" t="inlineStr">
        <is>
          <t>ICEV-p</t>
        </is>
      </c>
      <c r="I166" t="inlineStr">
        <is>
          <t>None</t>
        </is>
      </c>
      <c r="J166" t="inlineStr">
        <is>
          <t>None</t>
        </is>
      </c>
      <c r="L166" s="24" t="n">
        <v>0.07599472527948647</v>
      </c>
      <c r="M166" s="24" t="n">
        <v>0</v>
      </c>
      <c r="N166" s="24" t="n">
        <v>0.01248056970278736</v>
      </c>
      <c r="O166" s="24" t="n">
        <v>0.009511897518254223</v>
      </c>
      <c r="P166" s="24" t="n">
        <v>0.004604556404843329</v>
      </c>
      <c r="Q166" s="24" t="n">
        <v>0.02882094915917451</v>
      </c>
      <c r="R166" s="24" t="n">
        <v>0.1314126980645459</v>
      </c>
      <c r="S166" s="26" t="n">
        <v>0</v>
      </c>
      <c r="T166" s="26" t="n">
        <v>0</v>
      </c>
      <c r="U166" s="26" t="n">
        <v>0.0003056846641118417</v>
      </c>
      <c r="V166" s="26" t="n">
        <v>0.0005414964349838285</v>
      </c>
      <c r="W166" s="26" t="n">
        <v>0.0003178967099368696</v>
      </c>
      <c r="X166" s="26" t="n">
        <v>0.006357529919074806</v>
      </c>
      <c r="Y166" s="26" t="n">
        <v>0.007522607728107346</v>
      </c>
      <c r="Z166" s="28" t="n">
        <v>0.0008231970323358905</v>
      </c>
      <c r="AA166" s="28" t="n">
        <v>0.006250912695722444</v>
      </c>
      <c r="AB166" s="28" t="n">
        <v>0.0006097901876198713</v>
      </c>
      <c r="AC166" s="28" t="n">
        <v>0.0001891362620619139</v>
      </c>
      <c r="AD166" s="28" t="n">
        <v>0.0001418252398863069</v>
      </c>
      <c r="AE166" s="28" t="n">
        <v>0.001453283088976526</v>
      </c>
      <c r="AF166" s="28" t="n">
        <v>0.009468144506602952</v>
      </c>
      <c r="AG166" s="30" t="n">
        <v>2.395240460836596e-07</v>
      </c>
      <c r="AH166" s="30" t="n">
        <v>3.234643766999301e-05</v>
      </c>
      <c r="AI166" s="30" t="n">
        <v>0.0001159924965468075</v>
      </c>
      <c r="AJ166" s="30" t="n">
        <v>0.0003749623808400174</v>
      </c>
      <c r="AK166" s="30" t="n">
        <v>0.0001908977639014847</v>
      </c>
      <c r="AL166" s="30" t="n">
        <v>0.003592583997903952</v>
      </c>
      <c r="AM166" s="30" t="n">
        <v>0.004307022600908338</v>
      </c>
      <c r="AN166" s="32" t="n">
        <v>3.882620417226977e-07</v>
      </c>
      <c r="AO166" s="32" t="n">
        <v>2.344157748409402e-05</v>
      </c>
      <c r="AP166" s="32" t="n">
        <v>2.400351631513401e-06</v>
      </c>
      <c r="AQ166" s="32" t="n">
        <v>5.707316173412414e-07</v>
      </c>
      <c r="AR166" s="32" t="n">
        <v>7.754341909986121e-07</v>
      </c>
      <c r="AS166" s="32" t="n">
        <v>4.986565656036825e-06</v>
      </c>
      <c r="AT166" s="32" t="n">
        <v>3.25629226217068e-05</v>
      </c>
      <c r="AU166" s="34" t="n">
        <v>0</v>
      </c>
      <c r="AV166" s="34" t="n">
        <v>0</v>
      </c>
      <c r="AW166" s="34" t="n">
        <v>1.241306260406937</v>
      </c>
      <c r="AX166" s="34" t="n">
        <v>0.1774307493518501</v>
      </c>
      <c r="AY166" s="34" t="n">
        <v>0.1613108842571071</v>
      </c>
      <c r="AZ166" s="34" t="n">
        <v>0.401579636229034</v>
      </c>
      <c r="BA166" s="34" t="n">
        <v>1.981627530244928</v>
      </c>
      <c r="BB166" s="6" t="n"/>
      <c r="BC166" s="6" t="n"/>
      <c r="BD166" t="inlineStr">
        <is>
          <t>transport, Motorbike, gasoline, 4-11kW, EURO-5, 2050/CH U</t>
        </is>
      </c>
      <c r="BF166" s="5" t="n">
        <v>0.13314013</v>
      </c>
      <c r="BG166" s="5">
        <f>BF166-R166</f>
        <v>1.7274319354541323E-3</v>
      </c>
      <c r="BH166" s="2" t="n">
        <v>140.13261</v>
      </c>
    </row>
    <row r="167">
      <c r="A167" t="str">
        <f>B167&amp;" - "&amp;D167&amp;" - "&amp;IF(I167&lt;&gt;"",I167&amp;" - "&amp;E167,E167)</f>
        <v>Motorbike, gasoline, 11-35kW, EURO-3 - 2006 - None - CH</v>
      </c>
      <c r="B167" t="inlineStr">
        <is>
          <t>Motorbike, gasoline, 11-35kW, EURO-3</t>
        </is>
      </c>
      <c r="D167" s="18" t="n">
        <v>2006</v>
      </c>
      <c r="E167" t="inlineStr">
        <is>
          <t>CH</t>
        </is>
      </c>
      <c r="F167" t="inlineStr">
        <is>
          <t>EURO-3</t>
        </is>
      </c>
      <c r="G167" t="inlineStr">
        <is>
          <t>vkm</t>
        </is>
      </c>
      <c r="H167" t="inlineStr">
        <is>
          <t>ICEV-p</t>
        </is>
      </c>
      <c r="I167" t="inlineStr">
        <is>
          <t>None</t>
        </is>
      </c>
      <c r="J167" t="inlineStr">
        <is>
          <t>None</t>
        </is>
      </c>
      <c r="L167" s="24" t="n">
        <v>0.1101095264701177</v>
      </c>
      <c r="M167" s="24" t="n">
        <v>0</v>
      </c>
      <c r="N167" s="24" t="n">
        <v>0.01903307841195461</v>
      </c>
      <c r="O167" s="24" t="n">
        <v>0.009511897518254223</v>
      </c>
      <c r="P167" s="24" t="n">
        <v>0.004811986884968148</v>
      </c>
      <c r="Q167" s="24" t="n">
        <v>0.01901533443829942</v>
      </c>
      <c r="R167" s="24" t="n">
        <v>0.1624818237235941</v>
      </c>
      <c r="S167" s="26" t="n">
        <v>0</v>
      </c>
      <c r="T167" s="26" t="n">
        <v>0</v>
      </c>
      <c r="U167" s="26" t="n">
        <v>0.0004661742468433389</v>
      </c>
      <c r="V167" s="26" t="n">
        <v>0.0005414964349838285</v>
      </c>
      <c r="W167" s="26" t="n">
        <v>0.0003310037525513695</v>
      </c>
      <c r="X167" s="26" t="n">
        <v>0.004387465913038198</v>
      </c>
      <c r="Y167" s="26" t="n">
        <v>0.005726140347416735</v>
      </c>
      <c r="Z167" s="28" t="n">
        <v>0.001502397285462156</v>
      </c>
      <c r="AA167" s="28" t="n">
        <v>0.006250912695722444</v>
      </c>
      <c r="AB167" s="28" t="n">
        <v>0.0009299402777436873</v>
      </c>
      <c r="AC167" s="28" t="n">
        <v>0.0001891362620619139</v>
      </c>
      <c r="AD167" s="28" t="n">
        <v>0.0001477832537044159</v>
      </c>
      <c r="AE167" s="28" t="n">
        <v>0.0009251876367186159</v>
      </c>
      <c r="AF167" s="28" t="n">
        <v>0.009945357411413233</v>
      </c>
      <c r="AG167" s="30" t="n">
        <v>3.867532849392941e-07</v>
      </c>
      <c r="AH167" s="30" t="n">
        <v>3.234643766999301e-05</v>
      </c>
      <c r="AI167" s="30" t="n">
        <v>0.0001768905053653684</v>
      </c>
      <c r="AJ167" s="30" t="n">
        <v>0.0003749623808400174</v>
      </c>
      <c r="AK167" s="30" t="n">
        <v>0.0001964582260265409</v>
      </c>
      <c r="AL167" s="30" t="n">
        <v>0.002024519834393168</v>
      </c>
      <c r="AM167" s="30" t="n">
        <v>0.002805564137580027</v>
      </c>
      <c r="AN167" s="32" t="n">
        <v>6.453706018336735e-07</v>
      </c>
      <c r="AO167" s="32" t="n">
        <v>2.344157748409402e-05</v>
      </c>
      <c r="AP167" s="32" t="n">
        <v>3.660576552739767e-06</v>
      </c>
      <c r="AQ167" s="32" t="n">
        <v>5.707316173412414e-07</v>
      </c>
      <c r="AR167" s="32" t="n">
        <v>7.973897515703346e-07</v>
      </c>
      <c r="AS167" s="32" t="n">
        <v>3.946384256587612e-06</v>
      </c>
      <c r="AT167" s="32" t="n">
        <v>3.306203026416665e-05</v>
      </c>
      <c r="AU167" s="34" t="n">
        <v>0</v>
      </c>
      <c r="AV167" s="34" t="n">
        <v>0</v>
      </c>
      <c r="AW167" s="34" t="n">
        <v>1.893012895260613</v>
      </c>
      <c r="AX167" s="34" t="n">
        <v>0.1774307493518501</v>
      </c>
      <c r="AY167" s="34" t="n">
        <v>0.1681061716038244</v>
      </c>
      <c r="AZ167" s="34" t="n">
        <v>0.2823819203081942</v>
      </c>
      <c r="BA167" s="34" t="n">
        <v>2.520931736524481</v>
      </c>
      <c r="BB167" s="6" t="n"/>
      <c r="BC167" s="6" t="n"/>
      <c r="BD167" t="inlineStr">
        <is>
          <t>transport, Motorbike, gasoline, 11-35kW, EURO-3/CH U</t>
        </is>
      </c>
      <c r="BF167" s="5" t="n">
        <v>0.17401239</v>
      </c>
      <c r="BG167" s="5">
        <f>BF167-R167</f>
        <v>1.1530566276405918E-2</v>
      </c>
      <c r="BH167" s="2" t="n">
        <v>169.18773</v>
      </c>
    </row>
    <row r="168">
      <c r="A168" t="str">
        <f>B168&amp;" - "&amp;D168&amp;" - "&amp;IF(I168&lt;&gt;"",I168&amp;" - "&amp;E168,E168)</f>
        <v>Motorbike, gasoline, 11-35kW, EURO-4 - 2016 - None - CH</v>
      </c>
      <c r="B168" t="inlineStr">
        <is>
          <t>Motorbike, gasoline, 11-35kW, EURO-4</t>
        </is>
      </c>
      <c r="D168" s="18" t="n">
        <v>2016</v>
      </c>
      <c r="E168" t="inlineStr">
        <is>
          <t>CH</t>
        </is>
      </c>
      <c r="F168" t="inlineStr">
        <is>
          <t>EURO-4</t>
        </is>
      </c>
      <c r="G168" t="inlineStr">
        <is>
          <t>vkm</t>
        </is>
      </c>
      <c r="H168" t="inlineStr">
        <is>
          <t>ICEV-p</t>
        </is>
      </c>
      <c r="I168" t="inlineStr">
        <is>
          <t>None</t>
        </is>
      </c>
      <c r="J168" t="inlineStr">
        <is>
          <t>None</t>
        </is>
      </c>
      <c r="L168" s="24" t="n">
        <v>0.108920498676729</v>
      </c>
      <c r="M168" s="24" t="n">
        <v>0</v>
      </c>
      <c r="N168" s="24" t="n">
        <v>0.01884463209104417</v>
      </c>
      <c r="O168" s="24" t="n">
        <v>0.009511897518254223</v>
      </c>
      <c r="P168" s="24" t="n">
        <v>0.004800925227827012</v>
      </c>
      <c r="Q168" s="24" t="n">
        <v>0.01899767542531749</v>
      </c>
      <c r="R168" s="24" t="n">
        <v>0.1610756289391719</v>
      </c>
      <c r="S168" s="26" t="n">
        <v>0</v>
      </c>
      <c r="T168" s="26" t="n">
        <v>0</v>
      </c>
      <c r="U168" s="26" t="n">
        <v>0.0004615586602409296</v>
      </c>
      <c r="V168" s="26" t="n">
        <v>0.0005414964349838285</v>
      </c>
      <c r="W168" s="26" t="n">
        <v>0.0003303047925361942</v>
      </c>
      <c r="X168" s="26" t="n">
        <v>0.00438710729950488</v>
      </c>
      <c r="Y168" s="26" t="n">
        <v>0.005720467187265833</v>
      </c>
      <c r="Z168" s="28" t="n">
        <v>0.0006264240714508435</v>
      </c>
      <c r="AA168" s="28" t="n">
        <v>0.006250912695722444</v>
      </c>
      <c r="AB168" s="28" t="n">
        <v>0.0009207329482610766</v>
      </c>
      <c r="AC168" s="28" t="n">
        <v>0.0001891362620619139</v>
      </c>
      <c r="AD168" s="28" t="n">
        <v>0.0001474655303589441</v>
      </c>
      <c r="AE168" s="28" t="n">
        <v>0.0009239534757554159</v>
      </c>
      <c r="AF168" s="28" t="n">
        <v>0.009058624983610639</v>
      </c>
      <c r="AG168" s="30" t="n">
        <v>3.080629938454747e-07</v>
      </c>
      <c r="AH168" s="30" t="n">
        <v>3.234643766999301e-05</v>
      </c>
      <c r="AI168" s="30" t="n">
        <v>0.000175139114223137</v>
      </c>
      <c r="AJ168" s="30" t="n">
        <v>0.0003749623808400174</v>
      </c>
      <c r="AK168" s="30" t="n">
        <v>0.0001961617029430643</v>
      </c>
      <c r="AL168" s="30" t="n">
        <v>0.002024407959323697</v>
      </c>
      <c r="AM168" s="30" t="n">
        <v>0.002803325657993754</v>
      </c>
      <c r="AN168" s="32" t="n">
        <v>4.533000408195055e-07</v>
      </c>
      <c r="AO168" s="32" t="n">
        <v>2.344157748409402e-05</v>
      </c>
      <c r="AP168" s="32" t="n">
        <v>3.624333220534424e-06</v>
      </c>
      <c r="AQ168" s="32" t="n">
        <v>5.707316173412414e-07</v>
      </c>
      <c r="AR168" s="32" t="n">
        <v>7.962189261292532e-07</v>
      </c>
      <c r="AS168" s="32" t="n">
        <v>3.941814803588414e-06</v>
      </c>
      <c r="AT168" s="32" t="n">
        <v>3.282797609250686e-05</v>
      </c>
      <c r="AU168" s="34" t="n">
        <v>0</v>
      </c>
      <c r="AV168" s="34" t="n">
        <v>0</v>
      </c>
      <c r="AW168" s="34" t="n">
        <v>1.874270193327339</v>
      </c>
      <c r="AX168" s="34" t="n">
        <v>0.1774307493518501</v>
      </c>
      <c r="AY168" s="34" t="n">
        <v>0.1677437989247482</v>
      </c>
      <c r="AZ168" s="34" t="n">
        <v>0.2821188297975465</v>
      </c>
      <c r="BA168" s="34" t="n">
        <v>2.501563571401484</v>
      </c>
      <c r="BB168" s="6" t="n"/>
      <c r="BC168" s="6" t="n"/>
      <c r="BD168" t="inlineStr">
        <is>
          <t>transport, Motorbike, gasoline, 11-35kW, EURO-4/CH U</t>
        </is>
      </c>
      <c r="BF168" s="5" t="n">
        <v>0.17280902</v>
      </c>
      <c r="BG168" s="5">
        <f>BF168-R168</f>
        <v>1.1733391060828102E-2</v>
      </c>
      <c r="BH168" s="2" t="n">
        <v>164.06079</v>
      </c>
    </row>
    <row r="169">
      <c r="A169" t="str">
        <f>B169&amp;" - "&amp;D169&amp;" - "&amp;IF(I169&lt;&gt;"",I169&amp;" - "&amp;E169,E169)</f>
        <v>Motorbike, gasoline, 11-35kW, EURO-5 - 2020 - None - CH</v>
      </c>
      <c r="B169" t="inlineStr">
        <is>
          <t>Motorbike, gasoline, 11-35kW, EURO-5</t>
        </is>
      </c>
      <c r="D169" s="18" t="n">
        <v>2020</v>
      </c>
      <c r="E169" t="inlineStr">
        <is>
          <t>CH</t>
        </is>
      </c>
      <c r="F169" t="inlineStr">
        <is>
          <t>EURO-5</t>
        </is>
      </c>
      <c r="G169" t="inlineStr">
        <is>
          <t>vkm</t>
        </is>
      </c>
      <c r="H169" t="inlineStr">
        <is>
          <t>ICEV-p</t>
        </is>
      </c>
      <c r="I169" t="inlineStr">
        <is>
          <t>None</t>
        </is>
      </c>
      <c r="J169" t="inlineStr">
        <is>
          <t>None</t>
        </is>
      </c>
      <c r="L169" s="24" t="n">
        <v>0.1077619834576486</v>
      </c>
      <c r="M169" s="24" t="n">
        <v>0</v>
      </c>
      <c r="N169" s="24" t="n">
        <v>0.01865618577013373</v>
      </c>
      <c r="O169" s="24" t="n">
        <v>0.009511897518254223</v>
      </c>
      <c r="P169" s="24" t="n">
        <v>0.00479355078973292</v>
      </c>
      <c r="Q169" s="24" t="n">
        <v>0.01898590276482386</v>
      </c>
      <c r="R169" s="24" t="n">
        <v>0.1597095203005934</v>
      </c>
      <c r="S169" s="26" t="n">
        <v>0</v>
      </c>
      <c r="T169" s="26" t="n">
        <v>0</v>
      </c>
      <c r="U169" s="26" t="n">
        <v>0.0004569430736385203</v>
      </c>
      <c r="V169" s="26" t="n">
        <v>0.0005414964349838285</v>
      </c>
      <c r="W169" s="26" t="n">
        <v>0.000329838819192744</v>
      </c>
      <c r="X169" s="26" t="n">
        <v>0.004386868224043267</v>
      </c>
      <c r="Y169" s="26" t="n">
        <v>0.00571514655185836</v>
      </c>
      <c r="Z169" s="28" t="n">
        <v>0.0004281256131963768</v>
      </c>
      <c r="AA169" s="28" t="n">
        <v>0.006250912695722444</v>
      </c>
      <c r="AB169" s="28" t="n">
        <v>0.0009115256187784659</v>
      </c>
      <c r="AC169" s="28" t="n">
        <v>0.0001891362620619139</v>
      </c>
      <c r="AD169" s="28" t="n">
        <v>0.0001472537147952963</v>
      </c>
      <c r="AE169" s="28" t="n">
        <v>0.0009231307064712474</v>
      </c>
      <c r="AF169" s="28" t="n">
        <v>0.008850084611025745</v>
      </c>
      <c r="AG169" s="30" t="n">
        <v>2.882878510148354e-07</v>
      </c>
      <c r="AH169" s="30" t="n">
        <v>3.234643766999301e-05</v>
      </c>
      <c r="AI169" s="30" t="n">
        <v>0.0001733877230809056</v>
      </c>
      <c r="AJ169" s="30" t="n">
        <v>0.0003749623808400174</v>
      </c>
      <c r="AK169" s="30" t="n">
        <v>0.0001959640208874132</v>
      </c>
      <c r="AL169" s="30" t="n">
        <v>0.002024333376116411</v>
      </c>
      <c r="AM169" s="30" t="n">
        <v>0.002801282226445755</v>
      </c>
      <c r="AN169" s="32" t="n">
        <v>4.07358677614973e-07</v>
      </c>
      <c r="AO169" s="32" t="n">
        <v>2.344157748409402e-05</v>
      </c>
      <c r="AP169" s="32" t="n">
        <v>3.58808988832908e-06</v>
      </c>
      <c r="AQ169" s="32" t="n">
        <v>5.707316173412414e-07</v>
      </c>
      <c r="AR169" s="32" t="n">
        <v>7.954383758351991e-07</v>
      </c>
      <c r="AS169" s="32" t="n">
        <v>3.938768517817905e-06</v>
      </c>
      <c r="AT169" s="32" t="n">
        <v>3.274196456103242e-05</v>
      </c>
      <c r="AU169" s="34" t="n">
        <v>0</v>
      </c>
      <c r="AV169" s="34" t="n">
        <v>0</v>
      </c>
      <c r="AW169" s="34" t="n">
        <v>1.855527491394066</v>
      </c>
      <c r="AX169" s="34" t="n">
        <v>0.1774307493518501</v>
      </c>
      <c r="AY169" s="34" t="n">
        <v>0.1675022171386975</v>
      </c>
      <c r="AZ169" s="34" t="n">
        <v>0.2819434364202588</v>
      </c>
      <c r="BA169" s="34" t="n">
        <v>2.482403894304872</v>
      </c>
      <c r="BB169" s="6" t="n"/>
      <c r="BC169" s="6" t="n"/>
      <c r="BD169" t="inlineStr">
        <is>
          <t>transport, Motorbike, gasoline, 11-35kW, EURO-5/CH U</t>
        </is>
      </c>
      <c r="BF169" s="5" t="n">
        <v>0.17139077</v>
      </c>
      <c r="BG169" s="5">
        <f>BF169-R169</f>
        <v>1.1681249699406621E-2</v>
      </c>
      <c r="BH169" s="2" t="n">
        <v>162.0116</v>
      </c>
    </row>
    <row r="170">
      <c r="A170" t="str">
        <f>B170&amp;" - "&amp;D170&amp;" - "&amp;IF(I170&lt;&gt;"",I170&amp;" - "&amp;E170,E170)</f>
        <v>Motorbike, gasoline, 11-35kW, EURO-5 - 2030 - None - CH</v>
      </c>
      <c r="B170" t="inlineStr">
        <is>
          <t>Motorbike, gasoline, 11-35kW, EURO-5</t>
        </is>
      </c>
      <c r="D170" s="18" t="n">
        <v>2030</v>
      </c>
      <c r="E170" t="inlineStr">
        <is>
          <t>CH</t>
        </is>
      </c>
      <c r="F170" t="inlineStr">
        <is>
          <t>EURO-5</t>
        </is>
      </c>
      <c r="G170" t="inlineStr">
        <is>
          <t>vkm</t>
        </is>
      </c>
      <c r="H170" t="inlineStr">
        <is>
          <t>ICEV-p</t>
        </is>
      </c>
      <c r="I170" t="inlineStr">
        <is>
          <t>None</t>
        </is>
      </c>
      <c r="J170" t="inlineStr">
        <is>
          <t>None</t>
        </is>
      </c>
      <c r="L170" s="24" t="n">
        <v>0.1066843636230721</v>
      </c>
      <c r="M170" s="24" t="n">
        <v>0</v>
      </c>
      <c r="N170" s="24" t="n">
        <v>0.01846962391243239</v>
      </c>
      <c r="O170" s="24" t="n">
        <v>0.009511897518254223</v>
      </c>
      <c r="P170" s="24" t="n">
        <v>0.004782489132591784</v>
      </c>
      <c r="Q170" s="24" t="n">
        <v>0.02110017850292186</v>
      </c>
      <c r="R170" s="24" t="n">
        <v>0.1605485526892723</v>
      </c>
      <c r="S170" s="26" t="n">
        <v>0</v>
      </c>
      <c r="T170" s="26" t="n">
        <v>0</v>
      </c>
      <c r="U170" s="26" t="n">
        <v>0.0004523736429021351</v>
      </c>
      <c r="V170" s="26" t="n">
        <v>0.0005414964349838285</v>
      </c>
      <c r="W170" s="26" t="n">
        <v>0.0003291398591775687</v>
      </c>
      <c r="X170" s="26" t="n">
        <v>0.004767043167909065</v>
      </c>
      <c r="Y170" s="26" t="n">
        <v>0.006090053104972597</v>
      </c>
      <c r="Z170" s="28" t="n">
        <v>0.0004238443570644131</v>
      </c>
      <c r="AA170" s="28" t="n">
        <v>0.006250912695722444</v>
      </c>
      <c r="AB170" s="28" t="n">
        <v>0.0009024103625906812</v>
      </c>
      <c r="AC170" s="28" t="n">
        <v>0.0001891362620619139</v>
      </c>
      <c r="AD170" s="28" t="n">
        <v>0.0001469359914498245</v>
      </c>
      <c r="AE170" s="28" t="n">
        <v>0.001043554128817841</v>
      </c>
      <c r="AF170" s="28" t="n">
        <v>0.008956793797707118</v>
      </c>
      <c r="AG170" s="30" t="n">
        <v>2.854049725046871e-07</v>
      </c>
      <c r="AH170" s="30" t="n">
        <v>3.234643766999301e-05</v>
      </c>
      <c r="AI170" s="30" t="n">
        <v>0.0001716538458500966</v>
      </c>
      <c r="AJ170" s="30" t="n">
        <v>0.0003749623808400174</v>
      </c>
      <c r="AK170" s="30" t="n">
        <v>0.0001956674978039366</v>
      </c>
      <c r="AL170" s="30" t="n">
        <v>0.002426804865546155</v>
      </c>
      <c r="AM170" s="30" t="n">
        <v>0.003201720432682703</v>
      </c>
      <c r="AN170" s="32" t="n">
        <v>4.032850908388232e-07</v>
      </c>
      <c r="AO170" s="32" t="n">
        <v>2.344157748409402e-05</v>
      </c>
      <c r="AP170" s="32" t="n">
        <v>3.552208989445789e-06</v>
      </c>
      <c r="AQ170" s="32" t="n">
        <v>5.707316173412414e-07</v>
      </c>
      <c r="AR170" s="32" t="n">
        <v>7.942675503941176e-07</v>
      </c>
      <c r="AS170" s="32" t="n">
        <v>4.033676018847124e-06</v>
      </c>
      <c r="AT170" s="32" t="n">
        <v>3.279574675096112e-05</v>
      </c>
      <c r="AU170" s="34" t="n">
        <v>0</v>
      </c>
      <c r="AV170" s="34" t="n">
        <v>0</v>
      </c>
      <c r="AW170" s="34" t="n">
        <v>1.836972216480125</v>
      </c>
      <c r="AX170" s="34" t="n">
        <v>0.1774307493518501</v>
      </c>
      <c r="AY170" s="34" t="n">
        <v>0.1671398444596213</v>
      </c>
      <c r="AZ170" s="34" t="n">
        <v>0.3044684612557733</v>
      </c>
      <c r="BA170" s="34" t="n">
        <v>2.48601127154737</v>
      </c>
      <c r="BB170" s="6" t="n"/>
      <c r="BC170" s="6" t="n"/>
      <c r="BD170" t="inlineStr">
        <is>
          <t>transport, Motorbike, gasoline, 11-35kW, EURO-5, 2030/CH U</t>
        </is>
      </c>
      <c r="BF170" s="5" t="n">
        <v>0.17097999</v>
      </c>
      <c r="BG170" s="5">
        <f>BF170-R170</f>
        <v>1.0431437310727654E-2</v>
      </c>
      <c r="BH170" s="2" t="n">
        <v>161.53639</v>
      </c>
    </row>
    <row r="171">
      <c r="A171" t="str">
        <f>B171&amp;" - "&amp;D171&amp;" - "&amp;IF(I171&lt;&gt;"",I171&amp;" - "&amp;E171,E171)</f>
        <v>Motorbike, gasoline, 11-35kW, EURO-5 - 2040 - None - CH</v>
      </c>
      <c r="B171" t="inlineStr">
        <is>
          <t>Motorbike, gasoline, 11-35kW, EURO-5</t>
        </is>
      </c>
      <c r="D171" s="18" t="n">
        <v>2040</v>
      </c>
      <c r="E171" t="inlineStr">
        <is>
          <t>CH</t>
        </is>
      </c>
      <c r="F171" t="inlineStr">
        <is>
          <t>EURO-5</t>
        </is>
      </c>
      <c r="G171" t="inlineStr">
        <is>
          <t>vkm</t>
        </is>
      </c>
      <c r="H171" t="inlineStr">
        <is>
          <t>ICEV-p</t>
        </is>
      </c>
      <c r="I171" t="inlineStr">
        <is>
          <t>None</t>
        </is>
      </c>
      <c r="J171" t="inlineStr">
        <is>
          <t>None</t>
        </is>
      </c>
      <c r="L171" s="24" t="n">
        <v>0.1056175199868414</v>
      </c>
      <c r="M171" s="24" t="n">
        <v>0</v>
      </c>
      <c r="N171" s="24" t="n">
        <v>0.01828492767330806</v>
      </c>
      <c r="O171" s="24" t="n">
        <v>0.009511897518254223</v>
      </c>
      <c r="P171" s="24" t="n">
        <v>0.004775114694497692</v>
      </c>
      <c r="Q171" s="24" t="n">
        <v>0.0225096956596836</v>
      </c>
      <c r="R171" s="24" t="n">
        <v>0.160699155532585</v>
      </c>
      <c r="S171" s="26" t="n">
        <v>0</v>
      </c>
      <c r="T171" s="26" t="n">
        <v>0</v>
      </c>
      <c r="U171" s="26" t="n">
        <v>0.0004478499064731137</v>
      </c>
      <c r="V171" s="26" t="n">
        <v>0.0005414964349838285</v>
      </c>
      <c r="W171" s="26" t="n">
        <v>0.0003286738858341185</v>
      </c>
      <c r="X171" s="26" t="n">
        <v>0.005020493141524631</v>
      </c>
      <c r="Y171" s="26" t="n">
        <v>0.006338513368815692</v>
      </c>
      <c r="Z171" s="28" t="n">
        <v>0.0004196059134937689</v>
      </c>
      <c r="AA171" s="28" t="n">
        <v>0.006250912695722444</v>
      </c>
      <c r="AB171" s="28" t="n">
        <v>0.0008933862589647742</v>
      </c>
      <c r="AC171" s="28" t="n">
        <v>0.0001891362620619139</v>
      </c>
      <c r="AD171" s="28" t="n">
        <v>0.0001467241758861766</v>
      </c>
      <c r="AE171" s="28" t="n">
        <v>0.001123836406926465</v>
      </c>
      <c r="AF171" s="28" t="n">
        <v>0.009023601713055543</v>
      </c>
      <c r="AG171" s="30" t="n">
        <v>2.825509227796402e-07</v>
      </c>
      <c r="AH171" s="30" t="n">
        <v>3.234643766999301e-05</v>
      </c>
      <c r="AI171" s="30" t="n">
        <v>0.0001699373073915956</v>
      </c>
      <c r="AJ171" s="30" t="n">
        <v>0.0003749623808400174</v>
      </c>
      <c r="AK171" s="30" t="n">
        <v>0.0001954698157482855</v>
      </c>
      <c r="AL171" s="30" t="n">
        <v>0.002695119204492887</v>
      </c>
      <c r="AM171" s="30" t="n">
        <v>0.003468117697065559</v>
      </c>
      <c r="AN171" s="32" t="n">
        <v>3.992522399304349e-07</v>
      </c>
      <c r="AO171" s="32" t="n">
        <v>2.344157748409402e-05</v>
      </c>
      <c r="AP171" s="32" t="n">
        <v>3.516686899551331e-06</v>
      </c>
      <c r="AQ171" s="32" t="n">
        <v>5.707316173412414e-07</v>
      </c>
      <c r="AR171" s="32" t="n">
        <v>7.934870001000635e-07</v>
      </c>
      <c r="AS171" s="32" t="n">
        <v>4.096947662683289e-06</v>
      </c>
      <c r="AT171" s="32" t="n">
        <v>3.281868290370038e-05</v>
      </c>
      <c r="AU171" s="34" t="n">
        <v>0</v>
      </c>
      <c r="AV171" s="34" t="n">
        <v>0</v>
      </c>
      <c r="AW171" s="34" t="n">
        <v>1.818602494315325</v>
      </c>
      <c r="AX171" s="34" t="n">
        <v>0.1774307493518501</v>
      </c>
      <c r="AY171" s="34" t="n">
        <v>0.1668982626735705</v>
      </c>
      <c r="AZ171" s="34" t="n">
        <v>0.3194851441064781</v>
      </c>
      <c r="BA171" s="34" t="n">
        <v>2.482416650447223</v>
      </c>
      <c r="BB171" s="6" t="n"/>
      <c r="BC171" s="6" t="n"/>
      <c r="BD171" t="inlineStr">
        <is>
          <t>transport, Motorbike, gasoline, 11-35kW, EURO-5, 2040/CH U</t>
        </is>
      </c>
      <c r="BF171" s="5" t="n">
        <v>0.17017774</v>
      </c>
      <c r="BG171" s="5">
        <f>BF171-R171</f>
        <v>9.4785844674150355E-3</v>
      </c>
      <c r="BH171" s="2" t="n">
        <v>160.86219</v>
      </c>
    </row>
    <row r="172">
      <c r="A172" t="str">
        <f>B172&amp;" - "&amp;D172&amp;" - "&amp;IF(I172&lt;&gt;"",I172&amp;" - "&amp;E172,E172)</f>
        <v>Motorbike, gasoline, 11-35kW, EURO-5 - 2050 - None - CH</v>
      </c>
      <c r="B172" t="inlineStr">
        <is>
          <t>Motorbike, gasoline, 11-35kW, EURO-5</t>
        </is>
      </c>
      <c r="D172" s="18" t="n">
        <v>2050</v>
      </c>
      <c r="E172" t="inlineStr">
        <is>
          <t>CH</t>
        </is>
      </c>
      <c r="F172" t="inlineStr">
        <is>
          <t>EURO-5</t>
        </is>
      </c>
      <c r="G172" t="inlineStr">
        <is>
          <t>vkm</t>
        </is>
      </c>
      <c r="H172" t="inlineStr">
        <is>
          <t>ICEV-p</t>
        </is>
      </c>
      <c r="I172" t="inlineStr">
        <is>
          <t>None</t>
        </is>
      </c>
      <c r="J172" t="inlineStr">
        <is>
          <t>None</t>
        </is>
      </c>
      <c r="L172" s="24" t="n">
        <v>0.104561344786973</v>
      </c>
      <c r="M172" s="24" t="n">
        <v>0</v>
      </c>
      <c r="N172" s="24" t="n">
        <v>0.01810207839657499</v>
      </c>
      <c r="O172" s="24" t="n">
        <v>0.009511897518254223</v>
      </c>
      <c r="P172" s="24" t="n">
        <v>0.004767740256403602</v>
      </c>
      <c r="Q172" s="24" t="n">
        <v>0.02391921265918484</v>
      </c>
      <c r="R172" s="24" t="n">
        <v>0.1608622736173907</v>
      </c>
      <c r="S172" s="26" t="n">
        <v>0</v>
      </c>
      <c r="T172" s="26" t="n">
        <v>0</v>
      </c>
      <c r="U172" s="26" t="n">
        <v>0.0004433714074083827</v>
      </c>
      <c r="V172" s="26" t="n">
        <v>0.0005414964349838285</v>
      </c>
      <c r="W172" s="26" t="n">
        <v>0.0003282079124906683</v>
      </c>
      <c r="X172" s="26" t="n">
        <v>0.005273943078784795</v>
      </c>
      <c r="Y172" s="26" t="n">
        <v>0.006587018833667675</v>
      </c>
      <c r="Z172" s="28" t="n">
        <v>0.0004154098543588312</v>
      </c>
      <c r="AA172" s="28" t="n">
        <v>0.006250912695722444</v>
      </c>
      <c r="AB172" s="28" t="n">
        <v>0.0008844523963751266</v>
      </c>
      <c r="AC172" s="28" t="n">
        <v>0.0001891362620619139</v>
      </c>
      <c r="AD172" s="28" t="n">
        <v>0.0001465123603225288</v>
      </c>
      <c r="AE172" s="28" t="n">
        <v>0.00120411868037422</v>
      </c>
      <c r="AF172" s="28" t="n">
        <v>0.009090542249215064</v>
      </c>
      <c r="AG172" s="30" t="n">
        <v>2.797254135518438e-07</v>
      </c>
      <c r="AH172" s="30" t="n">
        <v>3.234643766999301e-05</v>
      </c>
      <c r="AI172" s="30" t="n">
        <v>0.0001682379343176797</v>
      </c>
      <c r="AJ172" s="30" t="n">
        <v>0.0003749623808400174</v>
      </c>
      <c r="AK172" s="30" t="n">
        <v>0.0001952721336926344</v>
      </c>
      <c r="AL172" s="30" t="n">
        <v>0.002963433504347434</v>
      </c>
      <c r="AM172" s="30" t="n">
        <v>0.003734532116281311</v>
      </c>
      <c r="AN172" s="32" t="n">
        <v>3.952597175311306e-07</v>
      </c>
      <c r="AO172" s="32" t="n">
        <v>2.344157748409402e-05</v>
      </c>
      <c r="AP172" s="32" t="n">
        <v>3.481520030555818e-06</v>
      </c>
      <c r="AQ172" s="32" t="n">
        <v>5.707316173412414e-07</v>
      </c>
      <c r="AR172" s="32" t="n">
        <v>7.927064498060093e-07</v>
      </c>
      <c r="AS172" s="32" t="n">
        <v>4.160219322558651e-06</v>
      </c>
      <c r="AT172" s="32" t="n">
        <v>3.284201462188687e-05</v>
      </c>
      <c r="AU172" s="34" t="n">
        <v>0</v>
      </c>
      <c r="AV172" s="34" t="n">
        <v>0</v>
      </c>
      <c r="AW172" s="34" t="n">
        <v>1.800416469372171</v>
      </c>
      <c r="AX172" s="34" t="n">
        <v>0.1774307493518501</v>
      </c>
      <c r="AY172" s="34" t="n">
        <v>0.1666566808875197</v>
      </c>
      <c r="AZ172" s="34" t="n">
        <v>0.3345018255701743</v>
      </c>
      <c r="BA172" s="34" t="n">
        <v>2.479005725181715</v>
      </c>
      <c r="BB172" s="6" t="n"/>
      <c r="BC172" s="6" t="n"/>
      <c r="BD172" t="inlineStr">
        <is>
          <t>transport, Motorbike, gasoline, 11-35kW, EURO-5, 2050/CH U</t>
        </is>
      </c>
      <c r="BF172" s="5" t="n">
        <v>0.16948352</v>
      </c>
      <c r="BG172" s="5">
        <f>BF172-R172</f>
        <v>8.6212463826093599E-3</v>
      </c>
      <c r="BH172" s="2" t="n">
        <v>160.24704</v>
      </c>
    </row>
    <row r="173">
      <c r="A173" t="str">
        <f>B173&amp;" - "&amp;D173&amp;" - "&amp;IF(I173&lt;&gt;"",I173&amp;" - "&amp;E173,E173)</f>
        <v>Motorbike, gasoline, &gt;35kW, EURO-3 - 2006 - None - CH</v>
      </c>
      <c r="B173" t="inlineStr">
        <is>
          <t>Motorbike, gasoline, &gt;35kW, EURO-3</t>
        </is>
      </c>
      <c r="D173" s="18" t="n">
        <v>2006</v>
      </c>
      <c r="E173" t="inlineStr">
        <is>
          <t>CH</t>
        </is>
      </c>
      <c r="F173" t="inlineStr">
        <is>
          <t>EURO-3</t>
        </is>
      </c>
      <c r="G173" t="inlineStr">
        <is>
          <t>vkm</t>
        </is>
      </c>
      <c r="H173" t="inlineStr">
        <is>
          <t>ICEV-p</t>
        </is>
      </c>
      <c r="I173" t="inlineStr">
        <is>
          <t>None</t>
        </is>
      </c>
      <c r="J173" t="inlineStr">
        <is>
          <t>None</t>
        </is>
      </c>
      <c r="L173" s="24" t="n">
        <v>0.1456373689159301</v>
      </c>
      <c r="M173" s="24" t="n">
        <v>0</v>
      </c>
      <c r="N173" s="24" t="n">
        <v>0.02523813400887162</v>
      </c>
      <c r="O173" s="24" t="n">
        <v>0.009511897518254223</v>
      </c>
      <c r="P173" s="24" t="n">
        <v>0.005276701668258597</v>
      </c>
      <c r="Q173" s="24" t="n">
        <v>0.03035380700288924</v>
      </c>
      <c r="R173" s="24" t="n">
        <v>0.2160179091142038</v>
      </c>
      <c r="S173" s="26" t="n">
        <v>0</v>
      </c>
      <c r="T173" s="26" t="n">
        <v>0</v>
      </c>
      <c r="U173" s="26" t="n">
        <v>0.000618153714216151</v>
      </c>
      <c r="V173" s="26" t="n">
        <v>0.0005414964349838285</v>
      </c>
      <c r="W173" s="26" t="n">
        <v>0.0003603679832300565</v>
      </c>
      <c r="X173" s="26" t="n">
        <v>0.00702682564653619</v>
      </c>
      <c r="Y173" s="26" t="n">
        <v>0.008546843778966225</v>
      </c>
      <c r="Z173" s="28" t="n">
        <v>0.001997655960959231</v>
      </c>
      <c r="AA173" s="28" t="n">
        <v>0.006250912695722444</v>
      </c>
      <c r="AB173" s="28" t="n">
        <v>0.00123311409967192</v>
      </c>
      <c r="AC173" s="28" t="n">
        <v>0.0001891362620619139</v>
      </c>
      <c r="AD173" s="28" t="n">
        <v>0.0001611312298487991</v>
      </c>
      <c r="AE173" s="28" t="n">
        <v>0.001478017499955907</v>
      </c>
      <c r="AF173" s="28" t="n">
        <v>0.01130996774822022</v>
      </c>
      <c r="AG173" s="30" t="n">
        <v>5.133146800537322e-07</v>
      </c>
      <c r="AH173" s="30" t="n">
        <v>3.234643766999301e-05</v>
      </c>
      <c r="AI173" s="30" t="n">
        <v>0.0002345593383624231</v>
      </c>
      <c r="AJ173" s="30" t="n">
        <v>0.0003749623808400174</v>
      </c>
      <c r="AK173" s="30" t="n">
        <v>0.0002089155512464669</v>
      </c>
      <c r="AL173" s="30" t="n">
        <v>0.003242161502048399</v>
      </c>
      <c r="AM173" s="30" t="n">
        <v>0.004093458524847353</v>
      </c>
      <c r="AN173" s="32" t="n">
        <v>8.569470611639673e-07</v>
      </c>
      <c r="AO173" s="32" t="n">
        <v>2.344157748409402e-05</v>
      </c>
      <c r="AP173" s="32" t="n">
        <v>4.853976828559281e-06</v>
      </c>
      <c r="AQ173" s="32" t="n">
        <v>5.707316173412414e-07</v>
      </c>
      <c r="AR173" s="32" t="n">
        <v>8.465776701779024e-07</v>
      </c>
      <c r="AS173" s="32" t="n">
        <v>6.307804886837684e-06</v>
      </c>
      <c r="AT173" s="32" t="n">
        <v>3.68776155481741e-05</v>
      </c>
      <c r="AU173" s="34" t="n">
        <v>0</v>
      </c>
      <c r="AV173" s="34" t="n">
        <v>0</v>
      </c>
      <c r="AW173" s="34" t="n">
        <v>2.510162155434688</v>
      </c>
      <c r="AX173" s="34" t="n">
        <v>0.1774307493518501</v>
      </c>
      <c r="AY173" s="34" t="n">
        <v>0.1833299250504049</v>
      </c>
      <c r="AZ173" s="34" t="n">
        <v>0.449646521142474</v>
      </c>
      <c r="BA173" s="34" t="n">
        <v>3.320569350979417</v>
      </c>
      <c r="BB173" s="6" t="n"/>
      <c r="BC173" s="6" t="n"/>
      <c r="BD173" t="inlineStr">
        <is>
          <t>transport, Motorbike, gasoline, &gt;35kW, EURO-3/CH U</t>
        </is>
      </c>
      <c r="BF173" s="5" t="n">
        <v>0.22708182</v>
      </c>
      <c r="BG173" s="5">
        <f>BF173-R173</f>
        <v>1.1063910885796169E-2</v>
      </c>
      <c r="BH173" s="2" t="n">
        <v>217.98249</v>
      </c>
    </row>
    <row r="174">
      <c r="A174" t="str">
        <f>B174&amp;" - "&amp;D174&amp;" - "&amp;IF(I174&lt;&gt;"",I174&amp;" - "&amp;E174,E174)</f>
        <v>Motorbike, gasoline, &gt;35kW, EURO-4 - 2016 - None - CH</v>
      </c>
      <c r="B174" t="inlineStr">
        <is>
          <t>Motorbike, gasoline, &gt;35kW, EURO-4</t>
        </is>
      </c>
      <c r="D174" s="18" t="n">
        <v>2016</v>
      </c>
      <c r="E174" t="inlineStr">
        <is>
          <t>CH</t>
        </is>
      </c>
      <c r="F174" t="inlineStr">
        <is>
          <t>EURO-4</t>
        </is>
      </c>
      <c r="G174" t="inlineStr">
        <is>
          <t>vkm</t>
        </is>
      </c>
      <c r="H174" t="inlineStr">
        <is>
          <t>ICEV-p</t>
        </is>
      </c>
      <c r="I174" t="inlineStr">
        <is>
          <t>None</t>
        </is>
      </c>
      <c r="J174" t="inlineStr">
        <is>
          <t>None</t>
        </is>
      </c>
      <c r="L174" s="24" t="n">
        <v>0.1439626271515917</v>
      </c>
      <c r="M174" s="24" t="n">
        <v>0</v>
      </c>
      <c r="N174" s="24" t="n">
        <v>0.0249882514939323</v>
      </c>
      <c r="O174" s="24" t="n">
        <v>0.009511897518254223</v>
      </c>
      <c r="P174" s="24" t="n">
        <v>0.005261543101065187</v>
      </c>
      <c r="Q174" s="24" t="n">
        <v>0.03033080255300869</v>
      </c>
      <c r="R174" s="24" t="n">
        <v>0.2140551218178521</v>
      </c>
      <c r="S174" s="26" t="n">
        <v>0</v>
      </c>
      <c r="T174" s="26" t="n">
        <v>0</v>
      </c>
      <c r="U174" s="26" t="n">
        <v>0.0006120333804120308</v>
      </c>
      <c r="V174" s="26" t="n">
        <v>0.0005414964349838285</v>
      </c>
      <c r="W174" s="26" t="n">
        <v>0.0003594101491351866</v>
      </c>
      <c r="X174" s="26" t="n">
        <v>0.007026358479533591</v>
      </c>
      <c r="Y174" s="26" t="n">
        <v>0.008539298444064636</v>
      </c>
      <c r="Z174" s="28" t="n">
        <v>0.0008304638261079822</v>
      </c>
      <c r="AA174" s="28" t="n">
        <v>0.006250912695722444</v>
      </c>
      <c r="AB174" s="28" t="n">
        <v>0.001220905049180119</v>
      </c>
      <c r="AC174" s="28" t="n">
        <v>0.0001891362620619139</v>
      </c>
      <c r="AD174" s="28" t="n">
        <v>0.0001606958311901896</v>
      </c>
      <c r="AE174" s="28" t="n">
        <v>0.001476409757828589</v>
      </c>
      <c r="AF174" s="28" t="n">
        <v>0.01012852342209124</v>
      </c>
      <c r="AG174" s="30" t="n">
        <v>4.08479985009192e-07</v>
      </c>
      <c r="AH174" s="30" t="n">
        <v>3.234643766999301e-05</v>
      </c>
      <c r="AI174" s="30" t="n">
        <v>0.0002322369686756664</v>
      </c>
      <c r="AJ174" s="30" t="n">
        <v>0.0003749623808400174</v>
      </c>
      <c r="AK174" s="30" t="n">
        <v>0.0002085092047987397</v>
      </c>
      <c r="AL174" s="30" t="n">
        <v>0.003242015762122126</v>
      </c>
      <c r="AM174" s="30" t="n">
        <v>0.004090479234091552</v>
      </c>
      <c r="AN174" s="32" t="n">
        <v>6.010427765485382e-07</v>
      </c>
      <c r="AO174" s="32" t="n">
        <v>2.344157748409402e-05</v>
      </c>
      <c r="AP174" s="32" t="n">
        <v>4.805917652038892e-06</v>
      </c>
      <c r="AQ174" s="32" t="n">
        <v>5.707316173412414e-07</v>
      </c>
      <c r="AR174" s="32" t="n">
        <v>8.449732056845687e-07</v>
      </c>
      <c r="AS174" s="32" t="n">
        <v>6.301852257073498e-06</v>
      </c>
      <c r="AT174" s="32" t="n">
        <v>3.656609499278076e-05</v>
      </c>
      <c r="AU174" s="34" t="n">
        <v>0</v>
      </c>
      <c r="AV174" s="34" t="n">
        <v>0</v>
      </c>
      <c r="AW174" s="34" t="n">
        <v>2.48530906478682</v>
      </c>
      <c r="AX174" s="34" t="n">
        <v>0.1774307493518501</v>
      </c>
      <c r="AY174" s="34" t="n">
        <v>0.1828333402679672</v>
      </c>
      <c r="AZ174" s="34" t="n">
        <v>0.4493037923989793</v>
      </c>
      <c r="BA174" s="34" t="n">
        <v>3.294876946805616</v>
      </c>
      <c r="BB174" s="6" t="n"/>
      <c r="BC174" s="6" t="n"/>
      <c r="BD174" t="inlineStr">
        <is>
          <t>transport, Motorbike, gasoline, &gt;35kW, EURO-4/CH U</t>
        </is>
      </c>
      <c r="BF174" s="5" t="n">
        <v>0.22545673</v>
      </c>
      <c r="BG174" s="5">
        <f>BF174-R174</f>
        <v>1.1401608182147915E-2</v>
      </c>
      <c r="BH174" s="2" t="n">
        <v>211.14079</v>
      </c>
    </row>
    <row r="175">
      <c r="A175" t="str">
        <f>B175&amp;" - "&amp;D175&amp;" - "&amp;IF(I175&lt;&gt;"",I175&amp;" - "&amp;E175,E175)</f>
        <v>Motorbike, gasoline, &gt;35kW, EURO-5 - 2020 - None - CH</v>
      </c>
      <c r="B175" t="inlineStr">
        <is>
          <t>Motorbike, gasoline, &gt;35kW, EURO-5</t>
        </is>
      </c>
      <c r="D175" s="18" t="n">
        <v>2020</v>
      </c>
      <c r="E175" t="inlineStr">
        <is>
          <t>CH</t>
        </is>
      </c>
      <c r="F175" t="inlineStr">
        <is>
          <t>EURO-5</t>
        </is>
      </c>
      <c r="G175" t="inlineStr">
        <is>
          <t>vkm</t>
        </is>
      </c>
      <c r="H175" t="inlineStr">
        <is>
          <t>ICEV-p</t>
        </is>
      </c>
      <c r="I175" t="inlineStr">
        <is>
          <t>None</t>
        </is>
      </c>
      <c r="J175" t="inlineStr">
        <is>
          <t>None</t>
        </is>
      </c>
      <c r="L175" s="24" t="n">
        <v>0.1424310956800646</v>
      </c>
      <c r="M175" s="24" t="n">
        <v>0</v>
      </c>
      <c r="N175" s="24" t="n">
        <v>0.02473836897899297</v>
      </c>
      <c r="O175" s="24" t="n">
        <v>0.009511897518254223</v>
      </c>
      <c r="P175" s="24" t="n">
        <v>0.005251437389602914</v>
      </c>
      <c r="Q175" s="24" t="n">
        <v>0.03031546636120637</v>
      </c>
      <c r="R175" s="24" t="n">
        <v>0.2122482659281211</v>
      </c>
      <c r="S175" s="26" t="n">
        <v>0</v>
      </c>
      <c r="T175" s="26" t="n">
        <v>0</v>
      </c>
      <c r="U175" s="26" t="n">
        <v>0.0006059130466079104</v>
      </c>
      <c r="V175" s="26" t="n">
        <v>0.0005414964349838285</v>
      </c>
      <c r="W175" s="26" t="n">
        <v>0.00035877159307194</v>
      </c>
      <c r="X175" s="26" t="n">
        <v>0.007026047037108117</v>
      </c>
      <c r="Y175" s="26" t="n">
        <v>0.008532228111771796</v>
      </c>
      <c r="Z175" s="28" t="n">
        <v>0.0005675452293863315</v>
      </c>
      <c r="AA175" s="28" t="n">
        <v>0.006250912695722444</v>
      </c>
      <c r="AB175" s="28" t="n">
        <v>0.001208695998688318</v>
      </c>
      <c r="AC175" s="28" t="n">
        <v>0.0001891362620619139</v>
      </c>
      <c r="AD175" s="28" t="n">
        <v>0.0001604055654177833</v>
      </c>
      <c r="AE175" s="28" t="n">
        <v>0.001475337934959318</v>
      </c>
      <c r="AF175" s="28" t="n">
        <v>0.009852033686236107</v>
      </c>
      <c r="AG175" s="30" t="n">
        <v>3.822602965621464e-07</v>
      </c>
      <c r="AH175" s="30" t="n">
        <v>3.234643766999301e-05</v>
      </c>
      <c r="AI175" s="30" t="n">
        <v>0.0002299145989889097</v>
      </c>
      <c r="AJ175" s="30" t="n">
        <v>0.0003749623808400174</v>
      </c>
      <c r="AK175" s="30" t="n">
        <v>0.0002082383071669215</v>
      </c>
      <c r="AL175" s="30" t="n">
        <v>0.003241918602806012</v>
      </c>
      <c r="AM175" s="30" t="n">
        <v>0.004087762587768416</v>
      </c>
      <c r="AN175" s="32" t="n">
        <v>5.401299084783548e-07</v>
      </c>
      <c r="AO175" s="32" t="n">
        <v>2.344157748409402e-05</v>
      </c>
      <c r="AP175" s="32" t="n">
        <v>4.757858475518504e-06</v>
      </c>
      <c r="AQ175" s="32" t="n">
        <v>5.707316173412414e-07</v>
      </c>
      <c r="AR175" s="32" t="n">
        <v>8.439035626890129e-07</v>
      </c>
      <c r="AS175" s="32" t="n">
        <v>6.297883857271734e-06</v>
      </c>
      <c r="AT175" s="32" t="n">
        <v>3.645208490539287e-05</v>
      </c>
      <c r="AU175" s="34" t="n">
        <v>0</v>
      </c>
      <c r="AV175" s="34" t="n">
        <v>0</v>
      </c>
      <c r="AW175" s="34" t="n">
        <v>2.460455974138951</v>
      </c>
      <c r="AX175" s="34" t="n">
        <v>0.1774307493518501</v>
      </c>
      <c r="AY175" s="34" t="n">
        <v>0.182502283746342</v>
      </c>
      <c r="AZ175" s="34" t="n">
        <v>0.4490753081323725</v>
      </c>
      <c r="BA175" s="34" t="n">
        <v>3.269464315369516</v>
      </c>
      <c r="BB175" s="6" t="n"/>
      <c r="BC175" s="6" t="n"/>
      <c r="BD175" t="inlineStr">
        <is>
          <t>transport, Motorbike, gasoline, &gt;35kW, EURO-5/CH U</t>
        </is>
      </c>
      <c r="BF175" s="5" t="n">
        <v>0.22364267</v>
      </c>
      <c r="BG175" s="5">
        <f>BF175-R175</f>
        <v>1.1394404071878944E-2</v>
      </c>
      <c r="BH175" s="2" t="n">
        <v>208.5179</v>
      </c>
    </row>
    <row r="176">
      <c r="A176" t="str">
        <f>B176&amp;" - "&amp;D176&amp;" - "&amp;IF(I176&lt;&gt;"",I176&amp;" - "&amp;E176,E176)</f>
        <v>Motorbike, gasoline, &gt;35kW, EURO-5 - 2030 - None - CH</v>
      </c>
      <c r="B176" t="inlineStr">
        <is>
          <t>Motorbike, gasoline, &gt;35kW, EURO-5</t>
        </is>
      </c>
      <c r="D176" s="18" t="n">
        <v>2030</v>
      </c>
      <c r="E176" t="inlineStr">
        <is>
          <t>CH</t>
        </is>
      </c>
      <c r="F176" t="inlineStr">
        <is>
          <t>EURO-5</t>
        </is>
      </c>
      <c r="G176" t="inlineStr">
        <is>
          <t>vkm</t>
        </is>
      </c>
      <c r="H176" t="inlineStr">
        <is>
          <t>ICEV-p</t>
        </is>
      </c>
      <c r="I176" t="inlineStr">
        <is>
          <t>None</t>
        </is>
      </c>
      <c r="J176" t="inlineStr">
        <is>
          <t>None</t>
        </is>
      </c>
      <c r="L176" s="24" t="n">
        <v>0.141006784723264</v>
      </c>
      <c r="M176" s="24" t="n">
        <v>0</v>
      </c>
      <c r="N176" s="24" t="n">
        <v>0.02449098528920304</v>
      </c>
      <c r="O176" s="24" t="n">
        <v>0.009511897518254223</v>
      </c>
      <c r="P176" s="24" t="n">
        <v>0.005236278822409505</v>
      </c>
      <c r="Q176" s="24" t="n">
        <v>0.03306972848249018</v>
      </c>
      <c r="R176" s="24" t="n">
        <v>0.213315674835621</v>
      </c>
      <c r="S176" s="26" t="n">
        <v>0</v>
      </c>
      <c r="T176" s="26" t="n">
        <v>0</v>
      </c>
      <c r="U176" s="26" t="n">
        <v>0.0005998539161418314</v>
      </c>
      <c r="V176" s="26" t="n">
        <v>0.0005414964349838285</v>
      </c>
      <c r="W176" s="26" t="n">
        <v>0.0003578137589770702</v>
      </c>
      <c r="X176" s="26" t="n">
        <v>0.007521300059566385</v>
      </c>
      <c r="Y176" s="26" t="n">
        <v>0.009020464169669114</v>
      </c>
      <c r="Z176" s="28" t="n">
        <v>0.0005618697770924682</v>
      </c>
      <c r="AA176" s="28" t="n">
        <v>0.006250912695722444</v>
      </c>
      <c r="AB176" s="28" t="n">
        <v>0.001196609038701435</v>
      </c>
      <c r="AC176" s="28" t="n">
        <v>0.0001891362620619139</v>
      </c>
      <c r="AD176" s="28" t="n">
        <v>0.0001599701667591738</v>
      </c>
      <c r="AE176" s="28" t="n">
        <v>0.001632213250857753</v>
      </c>
      <c r="AF176" s="28" t="n">
        <v>0.009990711191195187</v>
      </c>
      <c r="AG176" s="30" t="n">
        <v>3.784376935965249e-07</v>
      </c>
      <c r="AH176" s="30" t="n">
        <v>3.234643766999301e-05</v>
      </c>
      <c r="AI176" s="30" t="n">
        <v>0.0002276154529990206</v>
      </c>
      <c r="AJ176" s="30" t="n">
        <v>0.0003749623808400174</v>
      </c>
      <c r="AK176" s="30" t="n">
        <v>0.0002078319607191943</v>
      </c>
      <c r="AL176" s="30" t="n">
        <v>0.003766217283923009</v>
      </c>
      <c r="AM176" s="30" t="n">
        <v>0.004609351953844831</v>
      </c>
      <c r="AN176" s="32" t="n">
        <v>5.347286093935713e-07</v>
      </c>
      <c r="AO176" s="32" t="n">
        <v>2.344157748409402e-05</v>
      </c>
      <c r="AP176" s="32" t="n">
        <v>4.710279890763318e-06</v>
      </c>
      <c r="AQ176" s="32" t="n">
        <v>5.707316173412414e-07</v>
      </c>
      <c r="AR176" s="32" t="n">
        <v>8.422990981956793e-07</v>
      </c>
      <c r="AS176" s="32" t="n">
        <v>6.421519644321827e-06</v>
      </c>
      <c r="AT176" s="32" t="n">
        <v>3.652113634410965e-05</v>
      </c>
      <c r="AU176" s="34" t="n">
        <v>0</v>
      </c>
      <c r="AV176" s="34" t="n">
        <v>0</v>
      </c>
      <c r="AW176" s="34" t="n">
        <v>2.435851414397561</v>
      </c>
      <c r="AX176" s="34" t="n">
        <v>0.1774307493518501</v>
      </c>
      <c r="AY176" s="34" t="n">
        <v>0.1820056989639043</v>
      </c>
      <c r="AZ176" s="34" t="n">
        <v>0.4784186059739916</v>
      </c>
      <c r="BA176" s="34" t="n">
        <v>3.273706468687307</v>
      </c>
      <c r="BB176" s="6" t="n"/>
      <c r="BC176" s="6" t="n"/>
      <c r="BD176" t="inlineStr">
        <is>
          <t>transport, Motorbike, gasoline, &gt;35kW, EURO-5, 2030/CH U</t>
        </is>
      </c>
      <c r="BF176" s="5" t="n">
        <v>0.22299941</v>
      </c>
      <c r="BG176" s="5">
        <f>BF176-R176</f>
        <v>9.683735164379037E-3</v>
      </c>
      <c r="BH176" s="2" t="n">
        <v>207.83074</v>
      </c>
    </row>
    <row r="177">
      <c r="A177" t="str">
        <f>B177&amp;" - "&amp;D177&amp;" - "&amp;IF(I177&lt;&gt;"",I177&amp;" - "&amp;E177,E177)</f>
        <v>Motorbike, gasoline, &gt;35kW, EURO-5 - 2040 - None - CH</v>
      </c>
      <c r="B177" t="inlineStr">
        <is>
          <t>Motorbike, gasoline, &gt;35kW, EURO-5</t>
        </is>
      </c>
      <c r="D177" s="18" t="n">
        <v>2040</v>
      </c>
      <c r="E177" t="inlineStr">
        <is>
          <t>CH</t>
        </is>
      </c>
      <c r="F177" t="inlineStr">
        <is>
          <t>EURO-5</t>
        </is>
      </c>
      <c r="G177" t="inlineStr">
        <is>
          <t>vkm</t>
        </is>
      </c>
      <c r="H177" t="inlineStr">
        <is>
          <t>ICEV-p</t>
        </is>
      </c>
      <c r="I177" t="inlineStr">
        <is>
          <t>None</t>
        </is>
      </c>
      <c r="J177" t="inlineStr">
        <is>
          <t>None</t>
        </is>
      </c>
      <c r="L177" s="24" t="n">
        <v>0.1395967168760313</v>
      </c>
      <c r="M177" s="24" t="n">
        <v>0</v>
      </c>
      <c r="N177" s="24" t="n">
        <v>0.02424607543631101</v>
      </c>
      <c r="O177" s="24" t="n">
        <v>0.009511897518254223</v>
      </c>
      <c r="P177" s="24" t="n">
        <v>0.005226173110947231</v>
      </c>
      <c r="Q177" s="24" t="n">
        <v>0.03490590344343417</v>
      </c>
      <c r="R177" s="24" t="n">
        <v>0.2134867663849779</v>
      </c>
      <c r="S177" s="26" t="n">
        <v>0</v>
      </c>
      <c r="T177" s="26" t="n">
        <v>0</v>
      </c>
      <c r="U177" s="26" t="n">
        <v>0.0005938553769804129</v>
      </c>
      <c r="V177" s="26" t="n">
        <v>0.0005414964349838285</v>
      </c>
      <c r="W177" s="26" t="n">
        <v>0.0003571752029138236</v>
      </c>
      <c r="X177" s="26" t="n">
        <v>0.007851468787501332</v>
      </c>
      <c r="Y177" s="26" t="n">
        <v>0.009343995802379396</v>
      </c>
      <c r="Z177" s="28" t="n">
        <v>0.0005562510793215435</v>
      </c>
      <c r="AA177" s="28" t="n">
        <v>0.006250912695722444</v>
      </c>
      <c r="AB177" s="28" t="n">
        <v>0.00118464294831442</v>
      </c>
      <c r="AC177" s="28" t="n">
        <v>0.0001891362620619139</v>
      </c>
      <c r="AD177" s="28" t="n">
        <v>0.0001596799009867675</v>
      </c>
      <c r="AE177" s="28" t="n">
        <v>0.001736796805157277</v>
      </c>
      <c r="AF177" s="28" t="n">
        <v>0.01007741969156436</v>
      </c>
      <c r="AG177" s="30" t="n">
        <v>3.746533166605597e-07</v>
      </c>
      <c r="AH177" s="30" t="n">
        <v>3.234643766999301e-05</v>
      </c>
      <c r="AI177" s="30" t="n">
        <v>0.0002253392984690304</v>
      </c>
      <c r="AJ177" s="30" t="n">
        <v>0.0003749623808400174</v>
      </c>
      <c r="AK177" s="30" t="n">
        <v>0.0002075610630873761</v>
      </c>
      <c r="AL177" s="30" t="n">
        <v>0.004115749787713783</v>
      </c>
      <c r="AM177" s="30" t="n">
        <v>0.004956333621096861</v>
      </c>
      <c r="AN177" s="32" t="n">
        <v>5.293813232996354e-07</v>
      </c>
      <c r="AO177" s="32" t="n">
        <v>2.344157748409402e-05</v>
      </c>
      <c r="AP177" s="32" t="n">
        <v>4.663177091855684e-06</v>
      </c>
      <c r="AQ177" s="32" t="n">
        <v>5.707316173412414e-07</v>
      </c>
      <c r="AR177" s="32" t="n">
        <v>8.412294552001235e-07</v>
      </c>
      <c r="AS177" s="32" t="n">
        <v>6.503943497453426e-06</v>
      </c>
      <c r="AT177" s="32" t="n">
        <v>3.655004046924413e-05</v>
      </c>
      <c r="AU177" s="34" t="n">
        <v>0</v>
      </c>
      <c r="AV177" s="34" t="n">
        <v>0</v>
      </c>
      <c r="AW177" s="34" t="n">
        <v>2.411492900253585</v>
      </c>
      <c r="AX177" s="34" t="n">
        <v>0.1774307493518501</v>
      </c>
      <c r="AY177" s="34" t="n">
        <v>0.1816746424422791</v>
      </c>
      <c r="AZ177" s="34" t="n">
        <v>0.4979808065749267</v>
      </c>
      <c r="BA177" s="34" t="n">
        <v>3.268579098622641</v>
      </c>
      <c r="BB177" s="6" t="n"/>
      <c r="BC177" s="6" t="n"/>
      <c r="BD177" t="inlineStr">
        <is>
          <t>transport, Motorbike, gasoline, &gt;35kW, EURO-5, 2040/CH U</t>
        </is>
      </c>
      <c r="BF177" s="5" t="n">
        <v>0.2219858</v>
      </c>
      <c r="BG177" s="5">
        <f>BF177-R177</f>
        <v>8.499033615022078E-3</v>
      </c>
      <c r="BH177" s="2" t="n">
        <v>206.96094</v>
      </c>
    </row>
    <row r="178">
      <c r="A178" t="str">
        <f>B178&amp;" - "&amp;D178&amp;" - "&amp;IF(I178&lt;&gt;"",I178&amp;" - "&amp;E178,E178)</f>
        <v>Motorbike, gasoline, &gt;35kW, EURO-5 - 2050 - None - CH</v>
      </c>
      <c r="B178" t="inlineStr">
        <is>
          <t>Motorbike, gasoline, &gt;35kW, EURO-5</t>
        </is>
      </c>
      <c r="D178" s="18" t="n">
        <v>2050</v>
      </c>
      <c r="E178" t="inlineStr">
        <is>
          <t>CH</t>
        </is>
      </c>
      <c r="F178" t="inlineStr">
        <is>
          <t>EURO-5</t>
        </is>
      </c>
      <c r="G178" t="inlineStr">
        <is>
          <t>vkm</t>
        </is>
      </c>
      <c r="H178" t="inlineStr">
        <is>
          <t>ICEV-p</t>
        </is>
      </c>
      <c r="I178" t="inlineStr">
        <is>
          <t>None</t>
        </is>
      </c>
      <c r="J178" t="inlineStr">
        <is>
          <t>None</t>
        </is>
      </c>
      <c r="L178" s="24" t="n">
        <v>0.138200749707271</v>
      </c>
      <c r="M178" s="24" t="n">
        <v>0</v>
      </c>
      <c r="N178" s="24" t="n">
        <v>0.0240036146819479</v>
      </c>
      <c r="O178" s="24" t="n">
        <v>0.009511897518254223</v>
      </c>
      <c r="P178" s="24" t="n">
        <v>0.005216067399484959</v>
      </c>
      <c r="Q178" s="24" t="n">
        <v>0.03674207806310284</v>
      </c>
      <c r="R178" s="24" t="n">
        <v>0.2136744073700609</v>
      </c>
      <c r="S178" s="26" t="n">
        <v>0</v>
      </c>
      <c r="T178" s="26" t="n">
        <v>0</v>
      </c>
      <c r="U178" s="26" t="n">
        <v>0.0005879168232106088</v>
      </c>
      <c r="V178" s="26" t="n">
        <v>0.0005414964349838285</v>
      </c>
      <c r="W178" s="26" t="n">
        <v>0.000356536646850577</v>
      </c>
      <c r="X178" s="26" t="n">
        <v>0.008181637445668103</v>
      </c>
      <c r="Y178" s="26" t="n">
        <v>0.009667587350713118</v>
      </c>
      <c r="Z178" s="28" t="n">
        <v>0.000550688568528328</v>
      </c>
      <c r="AA178" s="28" t="n">
        <v>0.006250912695722444</v>
      </c>
      <c r="AB178" s="28" t="n">
        <v>0.001172796518831276</v>
      </c>
      <c r="AC178" s="28" t="n">
        <v>0.0001891362620619139</v>
      </c>
      <c r="AD178" s="28" t="n">
        <v>0.0001593896352143611</v>
      </c>
      <c r="AE178" s="28" t="n">
        <v>0.00184138033721651</v>
      </c>
      <c r="AF178" s="28" t="n">
        <v>0.01016430401757483</v>
      </c>
      <c r="AG178" s="30" t="n">
        <v>3.70906783493954e-07</v>
      </c>
      <c r="AH178" s="30" t="n">
        <v>3.234643766999301e-05</v>
      </c>
      <c r="AI178" s="30" t="n">
        <v>0.0002230859054843401</v>
      </c>
      <c r="AJ178" s="30" t="n">
        <v>0.0003749623808400174</v>
      </c>
      <c r="AK178" s="30" t="n">
        <v>0.0002072901654555579</v>
      </c>
      <c r="AL178" s="30" t="n">
        <v>0.004465282216689625</v>
      </c>
      <c r="AM178" s="30" t="n">
        <v>0.005303338012923027</v>
      </c>
      <c r="AN178" s="32" t="n">
        <v>5.240875100666391e-07</v>
      </c>
      <c r="AO178" s="32" t="n">
        <v>2.344157748409402e-05</v>
      </c>
      <c r="AP178" s="32" t="n">
        <v>4.616545320937128e-06</v>
      </c>
      <c r="AQ178" s="32" t="n">
        <v>5.707316173412414e-07</v>
      </c>
      <c r="AR178" s="32" t="n">
        <v>8.401598122045677e-07</v>
      </c>
      <c r="AS178" s="32" t="n">
        <v>6.586367334796385e-06</v>
      </c>
      <c r="AT178" s="32" t="n">
        <v>3.657946907943998e-05</v>
      </c>
      <c r="AU178" s="34" t="n">
        <v>0</v>
      </c>
      <c r="AV178" s="34" t="n">
        <v>0</v>
      </c>
      <c r="AW178" s="34" t="n">
        <v>2.38737797125105</v>
      </c>
      <c r="AX178" s="34" t="n">
        <v>0.1774307493518501</v>
      </c>
      <c r="AY178" s="34" t="n">
        <v>0.1813435859206539</v>
      </c>
      <c r="AZ178" s="34" t="n">
        <v>0.5175430036933224</v>
      </c>
      <c r="BA178" s="34" t="n">
        <v>3.263695310216876</v>
      </c>
      <c r="BB178" s="6" t="n"/>
      <c r="BC178" s="6" t="n"/>
      <c r="BD178" t="inlineStr">
        <is>
          <t>transport, Motorbike, gasoline, &gt;35kW, EURO-5, 2050/CH U</t>
        </is>
      </c>
      <c r="BF178" s="5" t="n">
        <v>0.22098014</v>
      </c>
      <c r="BG178" s="5">
        <f>BF178-R178</f>
        <v>7.3057326299390546E-3</v>
      </c>
      <c r="BH178" s="2" t="n">
        <v>206.10285</v>
      </c>
    </row>
    <row r="179">
      <c r="A179" t="str">
        <f>B179&amp;" - "&amp;D179&amp;" - "&amp;IF(I179&lt;&gt;"",I179&amp;" - "&amp;E179,E179)</f>
        <v>Motorbike, battery electric, &lt;4kW - 2020 - NMC - CH</v>
      </c>
      <c r="B179" t="inlineStr">
        <is>
          <t>Motorbike, battery electric, &lt;4kW</t>
        </is>
      </c>
      <c r="D179" s="18" t="n">
        <v>2020</v>
      </c>
      <c r="E179" t="inlineStr">
        <is>
          <t>CH</t>
        </is>
      </c>
      <c r="F179" t="inlineStr">
        <is>
          <t>None</t>
        </is>
      </c>
      <c r="G179" t="inlineStr">
        <is>
          <t>vkm</t>
        </is>
      </c>
      <c r="H179" t="inlineStr">
        <is>
          <t>BEV</t>
        </is>
      </c>
      <c r="I179" t="inlineStr">
        <is>
          <t>NMC</t>
        </is>
      </c>
      <c r="J179" t="inlineStr">
        <is>
          <t>None</t>
        </is>
      </c>
      <c r="L179" s="24" t="n">
        <v>0</v>
      </c>
      <c r="M179" s="24" t="n">
        <v>0</v>
      </c>
      <c r="N179" s="24" t="n">
        <v>0.003836250793656903</v>
      </c>
      <c r="O179" s="24" t="n">
        <v>0.01230659169225786</v>
      </c>
      <c r="P179" s="24" t="n">
        <v>0.004432852000547399</v>
      </c>
      <c r="Q179" s="24" t="n">
        <v>0.03773161271426356</v>
      </c>
      <c r="R179" s="24" t="n">
        <v>0.05830730720072573</v>
      </c>
      <c r="S179" s="26" t="n">
        <v>0</v>
      </c>
      <c r="T179" s="26" t="n">
        <v>0</v>
      </c>
      <c r="U179" s="26" t="n">
        <v>0.0004060419536099208</v>
      </c>
      <c r="V179" s="26" t="n">
        <v>0.0004722191823356421</v>
      </c>
      <c r="W179" s="26" t="n">
        <v>0.0003070471137596356</v>
      </c>
      <c r="X179" s="26" t="n">
        <v>0.04307313122072114</v>
      </c>
      <c r="Y179" s="26" t="n">
        <v>0.04425843947042634</v>
      </c>
      <c r="Z179" s="28" t="n">
        <v>0</v>
      </c>
      <c r="AA179" s="28" t="n">
        <v>0.003127173544286591</v>
      </c>
      <c r="AB179" s="28" t="n">
        <v>0.0001189948184876246</v>
      </c>
      <c r="AC179" s="28" t="n">
        <v>0.0001543898913344915</v>
      </c>
      <c r="AD179" s="28" t="n">
        <v>0.0001368933841011313</v>
      </c>
      <c r="AE179" s="28" t="n">
        <v>0.003513144467429068</v>
      </c>
      <c r="AF179" s="28" t="n">
        <v>0.007050596105638907</v>
      </c>
      <c r="AG179" s="30" t="n">
        <v>0</v>
      </c>
      <c r="AH179" s="30" t="n">
        <v>1.649105312647228e-05</v>
      </c>
      <c r="AI179" s="30" t="n">
        <v>0.0002718907168790728</v>
      </c>
      <c r="AJ179" s="30" t="n">
        <v>0.0003750735787279196</v>
      </c>
      <c r="AK179" s="30" t="n">
        <v>0.0001862949888598498</v>
      </c>
      <c r="AL179" s="30" t="n">
        <v>0.01062083337966883</v>
      </c>
      <c r="AM179" s="30" t="n">
        <v>0.01147058371726214</v>
      </c>
      <c r="AN179" s="32" t="n">
        <v>0</v>
      </c>
      <c r="AO179" s="32" t="n">
        <v>1.179775095002105e-05</v>
      </c>
      <c r="AP179" s="32" t="n">
        <v>3.428275525915461e-07</v>
      </c>
      <c r="AQ179" s="32" t="n">
        <v>7.464152422116936e-07</v>
      </c>
      <c r="AR179" s="32" t="n">
        <v>7.57260070943149e-07</v>
      </c>
      <c r="AS179" s="32" t="n">
        <v>9.874007547004985e-06</v>
      </c>
      <c r="AT179" s="32" t="n">
        <v>2.351826136277242e-05</v>
      </c>
      <c r="AU179" s="34" t="n">
        <v>0</v>
      </c>
      <c r="AV179" s="34" t="n">
        <v>0</v>
      </c>
      <c r="AW179" s="34" t="n">
        <v>0.1793996147096391</v>
      </c>
      <c r="AX179" s="34" t="n">
        <v>0.1764744841436473</v>
      </c>
      <c r="AY179" s="34" t="n">
        <v>0.1556859598719075</v>
      </c>
      <c r="AZ179" s="34" t="n">
        <v>0.5437084877875138</v>
      </c>
      <c r="BA179" s="34" t="n">
        <v>1.055268546512708</v>
      </c>
      <c r="BB179" s="6" t="n"/>
      <c r="BC179" s="6" t="n"/>
      <c r="BD179" t="inlineStr">
        <is>
          <t>transport, Motorbike, battery electric, &lt;4kW/CH U</t>
        </is>
      </c>
      <c r="BF179" s="5" t="n">
        <v>0.057933417</v>
      </c>
      <c r="BG179" s="5">
        <f>BF179-R179</f>
        <v>-3.7389020072572943E-4</v>
      </c>
      <c r="BH179" s="2" t="n">
        <v>133.77883</v>
      </c>
    </row>
    <row r="180">
      <c r="A180" t="str">
        <f>B180&amp;" - "&amp;D180&amp;" - "&amp;IF(I180&lt;&gt;"",I180&amp;" - "&amp;E180,E180)</f>
        <v>Motorbike, battery electric, &lt;4kW - 2030 - NMC - CH</v>
      </c>
      <c r="B180" t="inlineStr">
        <is>
          <t>Motorbike, battery electric, &lt;4kW</t>
        </is>
      </c>
      <c r="D180" s="18" t="n">
        <v>2030</v>
      </c>
      <c r="E180" t="inlineStr">
        <is>
          <t>CH</t>
        </is>
      </c>
      <c r="F180" t="inlineStr">
        <is>
          <t>None</t>
        </is>
      </c>
      <c r="G180" t="inlineStr">
        <is>
          <t>vkm</t>
        </is>
      </c>
      <c r="H180" t="inlineStr">
        <is>
          <t>BEV</t>
        </is>
      </c>
      <c r="I180" t="inlineStr">
        <is>
          <t>NMC</t>
        </is>
      </c>
      <c r="J180" t="inlineStr">
        <is>
          <t>None</t>
        </is>
      </c>
      <c r="L180" s="24" t="n">
        <v>0</v>
      </c>
      <c r="M180" s="24" t="n">
        <v>0</v>
      </c>
      <c r="N180" s="24" t="n">
        <v>0.003836250793656903</v>
      </c>
      <c r="O180" s="24" t="n">
        <v>0.01230659169225786</v>
      </c>
      <c r="P180" s="24" t="n">
        <v>0.00443547705772904</v>
      </c>
      <c r="Q180" s="24" t="n">
        <v>0.03615098963098499</v>
      </c>
      <c r="R180" s="24" t="n">
        <v>0.05672930917462879</v>
      </c>
      <c r="S180" s="26" t="n">
        <v>0</v>
      </c>
      <c r="T180" s="26" t="n">
        <v>0</v>
      </c>
      <c r="U180" s="26" t="n">
        <v>0.0004060419536099208</v>
      </c>
      <c r="V180" s="26" t="n">
        <v>0.0004722191823356421</v>
      </c>
      <c r="W180" s="26" t="n">
        <v>0.0003072129849292176</v>
      </c>
      <c r="X180" s="26" t="n">
        <v>0.03610100489932701</v>
      </c>
      <c r="Y180" s="26" t="n">
        <v>0.03728647902020179</v>
      </c>
      <c r="Z180" s="28" t="n">
        <v>0</v>
      </c>
      <c r="AA180" s="28" t="n">
        <v>0.003127173544286591</v>
      </c>
      <c r="AB180" s="28" t="n">
        <v>0.0001189948184876246</v>
      </c>
      <c r="AC180" s="28" t="n">
        <v>0.0001543898913344915</v>
      </c>
      <c r="AD180" s="28" t="n">
        <v>0.0001369687834684381</v>
      </c>
      <c r="AE180" s="28" t="n">
        <v>0.003045672236259228</v>
      </c>
      <c r="AF180" s="28" t="n">
        <v>0.006583199273836373</v>
      </c>
      <c r="AG180" s="30" t="n">
        <v>0</v>
      </c>
      <c r="AH180" s="30" t="n">
        <v>1.649105312647228e-05</v>
      </c>
      <c r="AI180" s="30" t="n">
        <v>0.0002718907168790728</v>
      </c>
      <c r="AJ180" s="30" t="n">
        <v>0.0003750735787279196</v>
      </c>
      <c r="AK180" s="30" t="n">
        <v>0.0001863653571636104</v>
      </c>
      <c r="AL180" s="30" t="n">
        <v>0.009525848634062275</v>
      </c>
      <c r="AM180" s="30" t="n">
        <v>0.01037566933995935</v>
      </c>
      <c r="AN180" s="32" t="n">
        <v>0</v>
      </c>
      <c r="AO180" s="32" t="n">
        <v>1.179775095002105e-05</v>
      </c>
      <c r="AP180" s="32" t="n">
        <v>3.428275525915461e-07</v>
      </c>
      <c r="AQ180" s="32" t="n">
        <v>7.464152422116936e-07</v>
      </c>
      <c r="AR180" s="32" t="n">
        <v>7.575379211507033e-07</v>
      </c>
      <c r="AS180" s="32" t="n">
        <v>8.644292799893347e-06</v>
      </c>
      <c r="AT180" s="32" t="n">
        <v>2.228882446586834e-05</v>
      </c>
      <c r="AU180" s="34" t="n">
        <v>0</v>
      </c>
      <c r="AV180" s="34" t="n">
        <v>0</v>
      </c>
      <c r="AW180" s="34" t="n">
        <v>0.1793996147096391</v>
      </c>
      <c r="AX180" s="34" t="n">
        <v>0.1764744841436473</v>
      </c>
      <c r="AY180" s="34" t="n">
        <v>0.1557719550344318</v>
      </c>
      <c r="AZ180" s="34" t="n">
        <v>0.5086585824669252</v>
      </c>
      <c r="BA180" s="34" t="n">
        <v>1.020304636354643</v>
      </c>
      <c r="BB180" s="6" t="n"/>
      <c r="BC180" s="6" t="n"/>
      <c r="BD180" t="inlineStr">
        <is>
          <t>transport, Motorbike, battery electric, &lt;4kW, 2030/CH U</t>
        </is>
      </c>
      <c r="BF180" s="5" t="n">
        <v>0.05652021</v>
      </c>
      <c r="BG180" s="5">
        <f>BF180-R180</f>
        <v>-2.0909917462878791E-4</v>
      </c>
      <c r="BH180" s="2" t="n">
        <v>120.77919</v>
      </c>
    </row>
    <row r="181">
      <c r="A181" t="str">
        <f>B181&amp;" - "&amp;D181&amp;" - "&amp;IF(I181&lt;&gt;"",I181&amp;" - "&amp;E181,E181)</f>
        <v>Motorbike, battery electric, &lt;4kW - 2040 - NMC - CH</v>
      </c>
      <c r="B181" t="inlineStr">
        <is>
          <t>Motorbike, battery electric, &lt;4kW</t>
        </is>
      </c>
      <c r="D181" s="18" t="n">
        <v>2040</v>
      </c>
      <c r="E181" t="inlineStr">
        <is>
          <t>CH</t>
        </is>
      </c>
      <c r="F181" t="inlineStr">
        <is>
          <t>None</t>
        </is>
      </c>
      <c r="G181" t="inlineStr">
        <is>
          <t>vkm</t>
        </is>
      </c>
      <c r="H181" t="inlineStr">
        <is>
          <t>BEV</t>
        </is>
      </c>
      <c r="I181" t="inlineStr">
        <is>
          <t>NMC</t>
        </is>
      </c>
      <c r="J181" t="inlineStr">
        <is>
          <t>None</t>
        </is>
      </c>
      <c r="L181" s="24" t="n">
        <v>0</v>
      </c>
      <c r="M181" s="24" t="n">
        <v>0</v>
      </c>
      <c r="N181" s="24" t="n">
        <v>0.003836250793656903</v>
      </c>
      <c r="O181" s="24" t="n">
        <v>0.01230659169225786</v>
      </c>
      <c r="P181" s="24" t="n">
        <v>0.004434103834174483</v>
      </c>
      <c r="Q181" s="24" t="n">
        <v>0.03591210046770336</v>
      </c>
      <c r="R181" s="24" t="n">
        <v>0.0564890467877926</v>
      </c>
      <c r="S181" s="26" t="n">
        <v>0</v>
      </c>
      <c r="T181" s="26" t="n">
        <v>0</v>
      </c>
      <c r="U181" s="26" t="n">
        <v>0.0004060419536099208</v>
      </c>
      <c r="V181" s="26" t="n">
        <v>0.0004722191823356421</v>
      </c>
      <c r="W181" s="26" t="n">
        <v>0.0003071262141728756</v>
      </c>
      <c r="X181" s="26" t="n">
        <v>0.03307275747297306</v>
      </c>
      <c r="Y181" s="26" t="n">
        <v>0.0342581448230915</v>
      </c>
      <c r="Z181" s="28" t="n">
        <v>0</v>
      </c>
      <c r="AA181" s="28" t="n">
        <v>0.003127173544286591</v>
      </c>
      <c r="AB181" s="28" t="n">
        <v>0.0001189948184876246</v>
      </c>
      <c r="AC181" s="28" t="n">
        <v>0.0001543898913344915</v>
      </c>
      <c r="AD181" s="28" t="n">
        <v>0.0001369293404468123</v>
      </c>
      <c r="AE181" s="28" t="n">
        <v>0.002863535677281057</v>
      </c>
      <c r="AF181" s="28" t="n">
        <v>0.006401023271836576</v>
      </c>
      <c r="AG181" s="30" t="n">
        <v>0</v>
      </c>
      <c r="AH181" s="30" t="n">
        <v>1.649105312647228e-05</v>
      </c>
      <c r="AI181" s="30" t="n">
        <v>0.0002718907168790728</v>
      </c>
      <c r="AJ181" s="30" t="n">
        <v>0.0003750735787279196</v>
      </c>
      <c r="AK181" s="30" t="n">
        <v>0.0001863285459989264</v>
      </c>
      <c r="AL181" s="30" t="n">
        <v>0.009126315850038091</v>
      </c>
      <c r="AM181" s="30" t="n">
        <v>0.009976099744770482</v>
      </c>
      <c r="AN181" s="32" t="n">
        <v>0</v>
      </c>
      <c r="AO181" s="32" t="n">
        <v>1.179775095002105e-05</v>
      </c>
      <c r="AP181" s="32" t="n">
        <v>3.428275525915461e-07</v>
      </c>
      <c r="AQ181" s="32" t="n">
        <v>7.464152422116936e-07</v>
      </c>
      <c r="AR181" s="32" t="n">
        <v>7.573925717646705e-07</v>
      </c>
      <c r="AS181" s="32" t="n">
        <v>8.115749281033047e-06</v>
      </c>
      <c r="AT181" s="32" t="n">
        <v>2.176013559762201e-05</v>
      </c>
      <c r="AU181" s="34" t="n">
        <v>0</v>
      </c>
      <c r="AV181" s="34" t="n">
        <v>0</v>
      </c>
      <c r="AW181" s="34" t="n">
        <v>0.1793996147096391</v>
      </c>
      <c r="AX181" s="34" t="n">
        <v>0.1764744841436473</v>
      </c>
      <c r="AY181" s="34" t="n">
        <v>0.1557269691257124</v>
      </c>
      <c r="AZ181" s="34" t="n">
        <v>0.4979739403004872</v>
      </c>
      <c r="BA181" s="34" t="n">
        <v>1.009575008279486</v>
      </c>
      <c r="BB181" s="6" t="n"/>
      <c r="BC181" s="6" t="n"/>
      <c r="BD181" t="inlineStr">
        <is>
          <t>transport, Motorbike, battery electric, &lt;4kW, 2040/CH U</t>
        </is>
      </c>
      <c r="BF181" s="5" t="n">
        <v>0.056064012</v>
      </c>
      <c r="BG181" s="5">
        <f>BF181-R181</f>
        <v>-4.2503478779260667E-4</v>
      </c>
      <c r="BH181" s="2" t="n">
        <v>115.06788</v>
      </c>
    </row>
    <row r="182">
      <c r="A182" t="str">
        <f>B182&amp;" - "&amp;D182&amp;" - "&amp;IF(I182&lt;&gt;"",I182&amp;" - "&amp;E182,E182)</f>
        <v>Motorbike, battery electric, &lt;4kW - 2050 - NMC - CH</v>
      </c>
      <c r="B182" t="inlineStr">
        <is>
          <t>Motorbike, battery electric, &lt;4kW</t>
        </is>
      </c>
      <c r="D182" s="18" t="n">
        <v>2050</v>
      </c>
      <c r="E182" t="inlineStr">
        <is>
          <t>CH</t>
        </is>
      </c>
      <c r="F182" t="inlineStr">
        <is>
          <t>None</t>
        </is>
      </c>
      <c r="G182" t="inlineStr">
        <is>
          <t>vkm</t>
        </is>
      </c>
      <c r="H182" t="inlineStr">
        <is>
          <t>BEV</t>
        </is>
      </c>
      <c r="I182" t="inlineStr">
        <is>
          <t>NMC</t>
        </is>
      </c>
      <c r="J182" t="inlineStr">
        <is>
          <t>None</t>
        </is>
      </c>
      <c r="L182" s="24" t="n">
        <v>0</v>
      </c>
      <c r="M182" s="24" t="n">
        <v>0</v>
      </c>
      <c r="N182" s="24" t="n">
        <v>0.003836250793656903</v>
      </c>
      <c r="O182" s="24" t="n">
        <v>0.01230659169225786</v>
      </c>
      <c r="P182" s="24" t="n">
        <v>0.004433716903780657</v>
      </c>
      <c r="Q182" s="24" t="n">
        <v>0.04872281185778106</v>
      </c>
      <c r="R182" s="24" t="n">
        <v>0.06929937124747648</v>
      </c>
      <c r="S182" s="26" t="n">
        <v>0</v>
      </c>
      <c r="T182" s="26" t="n">
        <v>0</v>
      </c>
      <c r="U182" s="26" t="n">
        <v>0.0004060419536099208</v>
      </c>
      <c r="V182" s="26" t="n">
        <v>0.0004722191823356421</v>
      </c>
      <c r="W182" s="26" t="n">
        <v>0.0003071017649542378</v>
      </c>
      <c r="X182" s="26" t="n">
        <v>0.05363488142234965</v>
      </c>
      <c r="Y182" s="26" t="n">
        <v>0.05482024432324945</v>
      </c>
      <c r="Z182" s="28" t="n">
        <v>0</v>
      </c>
      <c r="AA182" s="28" t="n">
        <v>0.003127173544286591</v>
      </c>
      <c r="AB182" s="28" t="n">
        <v>0.0001189948184876246</v>
      </c>
      <c r="AC182" s="28" t="n">
        <v>0.0001543898913344915</v>
      </c>
      <c r="AD182" s="28" t="n">
        <v>0.0001369182266672382</v>
      </c>
      <c r="AE182" s="28" t="n">
        <v>0.004625585213035077</v>
      </c>
      <c r="AF182" s="28" t="n">
        <v>0.008163061693811022</v>
      </c>
      <c r="AG182" s="30" t="n">
        <v>0</v>
      </c>
      <c r="AH182" s="30" t="n">
        <v>1.649105312647228e-05</v>
      </c>
      <c r="AI182" s="30" t="n">
        <v>0.0002718907168790728</v>
      </c>
      <c r="AJ182" s="30" t="n">
        <v>0.0003750735787279196</v>
      </c>
      <c r="AK182" s="30" t="n">
        <v>0.0001863181737923027</v>
      </c>
      <c r="AL182" s="30" t="n">
        <v>0.01371885835088588</v>
      </c>
      <c r="AM182" s="30" t="n">
        <v>0.01456863187341165</v>
      </c>
      <c r="AN182" s="32" t="n">
        <v>0</v>
      </c>
      <c r="AO182" s="32" t="n">
        <v>1.179775095002105e-05</v>
      </c>
      <c r="AP182" s="32" t="n">
        <v>3.428275525915461e-07</v>
      </c>
      <c r="AQ182" s="32" t="n">
        <v>7.464152422116936e-07</v>
      </c>
      <c r="AR182" s="32" t="n">
        <v>7.573516169652912e-07</v>
      </c>
      <c r="AS182" s="32" t="n">
        <v>1.187505888308293e-05</v>
      </c>
      <c r="AT182" s="32" t="n">
        <v>2.551940424487251e-05</v>
      </c>
      <c r="AU182" s="34" t="n">
        <v>0</v>
      </c>
      <c r="AV182" s="34" t="n">
        <v>0</v>
      </c>
      <c r="AW182" s="34" t="n">
        <v>0.1793996147096391</v>
      </c>
      <c r="AX182" s="34" t="n">
        <v>0.1764744841436473</v>
      </c>
      <c r="AY182" s="34" t="n">
        <v>0.1557142935381727</v>
      </c>
      <c r="AZ182" s="34" t="n">
        <v>0.6845776363685483</v>
      </c>
      <c r="BA182" s="34" t="n">
        <v>1.196166028760007</v>
      </c>
      <c r="BB182" s="6" t="n"/>
      <c r="BC182" s="6" t="n"/>
      <c r="BD182" t="inlineStr">
        <is>
          <t>transport, Motorbike, battery electric, &lt;4kW, 2050/CH U</t>
        </is>
      </c>
      <c r="BF182" s="5" t="n">
        <v>0.06332270399999999</v>
      </c>
      <c r="BG182" s="5">
        <f>BF182-R182</f>
        <v>-5.9766672474764887E-3</v>
      </c>
      <c r="BH182" s="2" t="n">
        <v>152.51779</v>
      </c>
    </row>
    <row r="183">
      <c r="A183" t="str">
        <f>B183&amp;" - "&amp;D183&amp;" - "&amp;IF(I183&lt;&gt;"",I183&amp;" - "&amp;E183,E183)</f>
        <v>Motorbike, battery electric, 4-11kW - 2020 - NMC - CH</v>
      </c>
      <c r="B183" t="inlineStr">
        <is>
          <t>Motorbike, battery electric, 4-11kW</t>
        </is>
      </c>
      <c r="D183" s="18" t="n">
        <v>2020</v>
      </c>
      <c r="E183" t="inlineStr">
        <is>
          <t>CH</t>
        </is>
      </c>
      <c r="F183" t="inlineStr">
        <is>
          <t>None</t>
        </is>
      </c>
      <c r="G183" t="inlineStr">
        <is>
          <t>vkm</t>
        </is>
      </c>
      <c r="H183" t="inlineStr">
        <is>
          <t>BEV</t>
        </is>
      </c>
      <c r="I183" t="inlineStr">
        <is>
          <t>NMC</t>
        </is>
      </c>
      <c r="J183" t="inlineStr">
        <is>
          <t>None</t>
        </is>
      </c>
      <c r="L183" s="24" t="n">
        <v>0</v>
      </c>
      <c r="M183" s="24" t="n">
        <v>0</v>
      </c>
      <c r="N183" s="24" t="n">
        <v>0.0057702284664922</v>
      </c>
      <c r="O183" s="24" t="n">
        <v>0.01230659169225786</v>
      </c>
      <c r="P183" s="24" t="n">
        <v>0.00456205865165378</v>
      </c>
      <c r="Q183" s="24" t="n">
        <v>0.04892026228221471</v>
      </c>
      <c r="R183" s="24" t="n">
        <v>0.07155914109261854</v>
      </c>
      <c r="S183" s="26" t="n">
        <v>0</v>
      </c>
      <c r="T183" s="26" t="n">
        <v>0</v>
      </c>
      <c r="U183" s="26" t="n">
        <v>0.0006107407897273188</v>
      </c>
      <c r="V183" s="26" t="n">
        <v>0.0004722191823356421</v>
      </c>
      <c r="W183" s="26" t="n">
        <v>0.0003152113771847074</v>
      </c>
      <c r="X183" s="26" t="n">
        <v>0.05453859052114347</v>
      </c>
      <c r="Y183" s="26" t="n">
        <v>0.05593676187039114</v>
      </c>
      <c r="Z183" s="28" t="n">
        <v>0</v>
      </c>
      <c r="AA183" s="28" t="n">
        <v>0.003127173544286591</v>
      </c>
      <c r="AB183" s="28" t="n">
        <v>0.0001789839418574189</v>
      </c>
      <c r="AC183" s="28" t="n">
        <v>0.0001543898913344915</v>
      </c>
      <c r="AD183" s="28" t="n">
        <v>0.0001406045793518013</v>
      </c>
      <c r="AE183" s="28" t="n">
        <v>0.004449929621706356</v>
      </c>
      <c r="AF183" s="28" t="n">
        <v>0.008051081578536658</v>
      </c>
      <c r="AG183" s="30" t="n">
        <v>0</v>
      </c>
      <c r="AH183" s="30" t="n">
        <v>1.649105312647228e-05</v>
      </c>
      <c r="AI183" s="30" t="n">
        <v>0.0004089595906776136</v>
      </c>
      <c r="AJ183" s="30" t="n">
        <v>0.0003750735787279196</v>
      </c>
      <c r="AK183" s="30" t="n">
        <v>0.0001897585526010612</v>
      </c>
      <c r="AL183" s="30" t="n">
        <v>0.01374556755101566</v>
      </c>
      <c r="AM183" s="30" t="n">
        <v>0.01473585032614873</v>
      </c>
      <c r="AN183" s="32" t="n">
        <v>0</v>
      </c>
      <c r="AO183" s="32" t="n">
        <v>1.179775095002105e-05</v>
      </c>
      <c r="AP183" s="32" t="n">
        <v>5.156579716666231e-07</v>
      </c>
      <c r="AQ183" s="32" t="n">
        <v>7.464152422116936e-07</v>
      </c>
      <c r="AR183" s="32" t="n">
        <v>7.709359996346727e-07</v>
      </c>
      <c r="AS183" s="32" t="n">
        <v>1.252257206232182e-05</v>
      </c>
      <c r="AT183" s="32" t="n">
        <v>2.635333222585586e-05</v>
      </c>
      <c r="AU183" s="34" t="n">
        <v>0</v>
      </c>
      <c r="AV183" s="34" t="n">
        <v>0</v>
      </c>
      <c r="AW183" s="34" t="n">
        <v>0.2698407427863993</v>
      </c>
      <c r="AX183" s="34" t="n">
        <v>0.1764744841436473</v>
      </c>
      <c r="AY183" s="34" t="n">
        <v>0.1599186855583475</v>
      </c>
      <c r="AZ183" s="34" t="n">
        <v>0.7018944944193094</v>
      </c>
      <c r="BA183" s="34" t="n">
        <v>1.308128406907703</v>
      </c>
      <c r="BB183" s="6" t="n"/>
      <c r="BC183" s="6" t="n"/>
      <c r="BD183" t="inlineStr">
        <is>
          <t>transport, Motorbike, battery electric, 4-11kW/CH U</t>
        </is>
      </c>
      <c r="BF183" s="5" t="n">
        <v>0.07001666400000001</v>
      </c>
      <c r="BG183" s="5">
        <f>BF183-R183</f>
        <v>-1.5424770926185383E-3</v>
      </c>
      <c r="BH183" s="2" t="n">
        <v>162.0766</v>
      </c>
    </row>
    <row r="184">
      <c r="A184" t="str">
        <f>B184&amp;" - "&amp;D184&amp;" - "&amp;IF(I184&lt;&gt;"",I184&amp;" - "&amp;E184,E184)</f>
        <v>Motorbike, battery electric, 4-11kW - 2030 - NMC - CH</v>
      </c>
      <c r="B184" t="inlineStr">
        <is>
          <t>Motorbike, battery electric, 4-11kW</t>
        </is>
      </c>
      <c r="D184" s="18" t="n">
        <v>2030</v>
      </c>
      <c r="E184" t="inlineStr">
        <is>
          <t>CH</t>
        </is>
      </c>
      <c r="F184" t="inlineStr">
        <is>
          <t>None</t>
        </is>
      </c>
      <c r="G184" t="inlineStr">
        <is>
          <t>vkm</t>
        </is>
      </c>
      <c r="H184" t="inlineStr">
        <is>
          <t>BEV</t>
        </is>
      </c>
      <c r="I184" t="inlineStr">
        <is>
          <t>NMC</t>
        </is>
      </c>
      <c r="J184" t="inlineStr">
        <is>
          <t>None</t>
        </is>
      </c>
      <c r="L184" s="24" t="n">
        <v>0</v>
      </c>
      <c r="M184" s="24" t="n">
        <v>0</v>
      </c>
      <c r="N184" s="24" t="n">
        <v>0.0057702284664922</v>
      </c>
      <c r="O184" s="24" t="n">
        <v>0.01230659169225786</v>
      </c>
      <c r="P184" s="24" t="n">
        <v>0.004565944579295552</v>
      </c>
      <c r="Q184" s="24" t="n">
        <v>0.05084773957487971</v>
      </c>
      <c r="R184" s="24" t="n">
        <v>0.07349050431292532</v>
      </c>
      <c r="S184" s="26" t="n">
        <v>0</v>
      </c>
      <c r="T184" s="26" t="n">
        <v>0</v>
      </c>
      <c r="U184" s="26" t="n">
        <v>0.0006107407897273188</v>
      </c>
      <c r="V184" s="26" t="n">
        <v>0.0004722191823356421</v>
      </c>
      <c r="W184" s="26" t="n">
        <v>0.0003154569197836876</v>
      </c>
      <c r="X184" s="26" t="n">
        <v>0.05356725146828236</v>
      </c>
      <c r="Y184" s="26" t="n">
        <v>0.05496566836012901</v>
      </c>
      <c r="Z184" s="28" t="n">
        <v>0</v>
      </c>
      <c r="AA184" s="28" t="n">
        <v>0.003127173544286591</v>
      </c>
      <c r="AB184" s="28" t="n">
        <v>0.0001789839418574189</v>
      </c>
      <c r="AC184" s="28" t="n">
        <v>0.0001543898913344915</v>
      </c>
      <c r="AD184" s="28" t="n">
        <v>0.0001407161946292278</v>
      </c>
      <c r="AE184" s="28" t="n">
        <v>0.004485928208278203</v>
      </c>
      <c r="AF184" s="28" t="n">
        <v>0.008087191780385933</v>
      </c>
      <c r="AG184" s="30" t="n">
        <v>0</v>
      </c>
      <c r="AH184" s="30" t="n">
        <v>1.649105312647228e-05</v>
      </c>
      <c r="AI184" s="30" t="n">
        <v>0.0004089595906776136</v>
      </c>
      <c r="AJ184" s="30" t="n">
        <v>0.0003750735787279196</v>
      </c>
      <c r="AK184" s="30" t="n">
        <v>0.0001898627202887596</v>
      </c>
      <c r="AL184" s="30" t="n">
        <v>0.01395166652116028</v>
      </c>
      <c r="AM184" s="30" t="n">
        <v>0.01494205346398104</v>
      </c>
      <c r="AN184" s="32" t="n">
        <v>0</v>
      </c>
      <c r="AO184" s="32" t="n">
        <v>1.179775095002105e-05</v>
      </c>
      <c r="AP184" s="32" t="n">
        <v>5.156579716666231e-07</v>
      </c>
      <c r="AQ184" s="32" t="n">
        <v>7.464152422116936e-07</v>
      </c>
      <c r="AR184" s="32" t="n">
        <v>7.713473071708888e-07</v>
      </c>
      <c r="AS184" s="32" t="n">
        <v>1.238713065550492e-05</v>
      </c>
      <c r="AT184" s="32" t="n">
        <v>2.621830212657517e-05</v>
      </c>
      <c r="AU184" s="34" t="n">
        <v>0</v>
      </c>
      <c r="AV184" s="34" t="n">
        <v>0</v>
      </c>
      <c r="AW184" s="34" t="n">
        <v>0.2698407427863993</v>
      </c>
      <c r="AX184" s="34" t="n">
        <v>0.1764744841436473</v>
      </c>
      <c r="AY184" s="34" t="n">
        <v>0.160045986015438</v>
      </c>
      <c r="AZ184" s="34" t="n">
        <v>0.7189657363235833</v>
      </c>
      <c r="BA184" s="34" t="n">
        <v>1.325326949269068</v>
      </c>
      <c r="BB184" s="6" t="n"/>
      <c r="BC184" s="6" t="n"/>
      <c r="BD184" t="inlineStr">
        <is>
          <t>transport, Motorbike, battery electric, 4-11kW, 2030/CH U</t>
        </is>
      </c>
      <c r="BF184" s="5" t="n">
        <v>0.070628498</v>
      </c>
      <c r="BG184" s="5">
        <f>BF184-R184</f>
        <v>-2.8620063129253248E-3</v>
      </c>
      <c r="BH184" s="2" t="n">
        <v>160.03427</v>
      </c>
    </row>
    <row r="185">
      <c r="A185" t="str">
        <f>B185&amp;" - "&amp;D185&amp;" - "&amp;IF(I185&lt;&gt;"",I185&amp;" - "&amp;E185,E185)</f>
        <v>Motorbike, battery electric, 4-11kW - 2040 - NMC - CH</v>
      </c>
      <c r="B185" t="inlineStr">
        <is>
          <t>Motorbike, battery electric, 4-11kW</t>
        </is>
      </c>
      <c r="D185" s="18" t="n">
        <v>2040</v>
      </c>
      <c r="E185" t="inlineStr">
        <is>
          <t>CH</t>
        </is>
      </c>
      <c r="F185" t="inlineStr">
        <is>
          <t>None</t>
        </is>
      </c>
      <c r="G185" t="inlineStr">
        <is>
          <t>vkm</t>
        </is>
      </c>
      <c r="H185" t="inlineStr">
        <is>
          <t>BEV</t>
        </is>
      </c>
      <c r="I185" t="inlineStr">
        <is>
          <t>NMC</t>
        </is>
      </c>
      <c r="J185" t="inlineStr">
        <is>
          <t>None</t>
        </is>
      </c>
      <c r="L185" s="24" t="n">
        <v>0</v>
      </c>
      <c r="M185" s="24" t="n">
        <v>0</v>
      </c>
      <c r="N185" s="24" t="n">
        <v>0.0057702284664922</v>
      </c>
      <c r="O185" s="24" t="n">
        <v>0.01230659169225786</v>
      </c>
      <c r="P185" s="24" t="n">
        <v>0.004564918789467381</v>
      </c>
      <c r="Q185" s="24" t="n">
        <v>0.0499452195185618</v>
      </c>
      <c r="R185" s="24" t="n">
        <v>0.07258695846677923</v>
      </c>
      <c r="S185" s="26" t="n">
        <v>0</v>
      </c>
      <c r="T185" s="26" t="n">
        <v>0</v>
      </c>
      <c r="U185" s="26" t="n">
        <v>0.0006107407897273188</v>
      </c>
      <c r="V185" s="26" t="n">
        <v>0.0004722191823356421</v>
      </c>
      <c r="W185" s="26" t="n">
        <v>0.0003153921025447589</v>
      </c>
      <c r="X185" s="26" t="n">
        <v>0.04862872059039389</v>
      </c>
      <c r="Y185" s="26" t="n">
        <v>0.05002707266500161</v>
      </c>
      <c r="Z185" s="28" t="n">
        <v>0</v>
      </c>
      <c r="AA185" s="28" t="n">
        <v>0.003127173544286591</v>
      </c>
      <c r="AB185" s="28" t="n">
        <v>0.0001789839418574189</v>
      </c>
      <c r="AC185" s="28" t="n">
        <v>0.0001543898913344915</v>
      </c>
      <c r="AD185" s="28" t="n">
        <v>0.000140686730926656</v>
      </c>
      <c r="AE185" s="28" t="n">
        <v>0.004164853860023532</v>
      </c>
      <c r="AF185" s="28" t="n">
        <v>0.007766087968428689</v>
      </c>
      <c r="AG185" s="30" t="n">
        <v>0</v>
      </c>
      <c r="AH185" s="30" t="n">
        <v>1.649105312647228e-05</v>
      </c>
      <c r="AI185" s="30" t="n">
        <v>0.0004089595906776136</v>
      </c>
      <c r="AJ185" s="30" t="n">
        <v>0.0003750735787279196</v>
      </c>
      <c r="AK185" s="30" t="n">
        <v>0.0001898352225676707</v>
      </c>
      <c r="AL185" s="30" t="n">
        <v>0.01321361617131683</v>
      </c>
      <c r="AM185" s="30" t="n">
        <v>0.01420397561641651</v>
      </c>
      <c r="AN185" s="32" t="n">
        <v>0</v>
      </c>
      <c r="AO185" s="32" t="n">
        <v>1.179775095002105e-05</v>
      </c>
      <c r="AP185" s="32" t="n">
        <v>5.156579716666231e-07</v>
      </c>
      <c r="AQ185" s="32" t="n">
        <v>7.464152422116936e-07</v>
      </c>
      <c r="AR185" s="32" t="n">
        <v>7.712387320439706e-07</v>
      </c>
      <c r="AS185" s="32" t="n">
        <v>1.151781114469897e-05</v>
      </c>
      <c r="AT185" s="32" t="n">
        <v>2.534887404064231e-05</v>
      </c>
      <c r="AU185" s="34" t="n">
        <v>0</v>
      </c>
      <c r="AV185" s="34" t="n">
        <v>0</v>
      </c>
      <c r="AW185" s="34" t="n">
        <v>0.2698407427863993</v>
      </c>
      <c r="AX185" s="34" t="n">
        <v>0.1764744841436473</v>
      </c>
      <c r="AY185" s="34" t="n">
        <v>0.160012381809173</v>
      </c>
      <c r="AZ185" s="34" t="n">
        <v>0.6963210516714687</v>
      </c>
      <c r="BA185" s="34" t="n">
        <v>1.302648660410688</v>
      </c>
      <c r="BB185" s="6" t="n"/>
      <c r="BC185" s="6" t="n"/>
      <c r="BD185" t="inlineStr">
        <is>
          <t>transport, Motorbike, battery electric, 4-11kW, 2040/CH U</t>
        </is>
      </c>
      <c r="BF185" s="5" t="n">
        <v>0.069700043</v>
      </c>
      <c r="BG185" s="5">
        <f>BF185-R185</f>
        <v>-2.8869154667792302E-3</v>
      </c>
      <c r="BH185" s="2" t="n">
        <v>150.78993</v>
      </c>
    </row>
    <row r="186">
      <c r="A186" t="str">
        <f>B186&amp;" - "&amp;D186&amp;" - "&amp;IF(I186&lt;&gt;"",I186&amp;" - "&amp;E186,E186)</f>
        <v>Motorbike, battery electric, 4-11kW - 2050 - NMC - CH</v>
      </c>
      <c r="B186" t="inlineStr">
        <is>
          <t>Motorbike, battery electric, 4-11kW</t>
        </is>
      </c>
      <c r="D186" s="18" t="n">
        <v>2050</v>
      </c>
      <c r="E186" t="inlineStr">
        <is>
          <t>CH</t>
        </is>
      </c>
      <c r="F186" t="inlineStr">
        <is>
          <t>None</t>
        </is>
      </c>
      <c r="G186" t="inlineStr">
        <is>
          <t>vkm</t>
        </is>
      </c>
      <c r="H186" t="inlineStr">
        <is>
          <t>BEV</t>
        </is>
      </c>
      <c r="I186" t="inlineStr">
        <is>
          <t>NMC</t>
        </is>
      </c>
      <c r="J186" t="inlineStr">
        <is>
          <t>None</t>
        </is>
      </c>
      <c r="L186" s="24" t="n">
        <v>0</v>
      </c>
      <c r="M186" s="24" t="n">
        <v>0</v>
      </c>
      <c r="N186" s="24" t="n">
        <v>0.0057702284664922</v>
      </c>
      <c r="O186" s="24" t="n">
        <v>0.00799129330666095</v>
      </c>
      <c r="P186" s="24" t="n">
        <v>0.004567838172282141</v>
      </c>
      <c r="Q186" s="24" t="n">
        <v>0.06959858596808385</v>
      </c>
      <c r="R186" s="24" t="n">
        <v>0.08792794591351914</v>
      </c>
      <c r="S186" s="26" t="n">
        <v>0</v>
      </c>
      <c r="T186" s="26" t="n">
        <v>0</v>
      </c>
      <c r="U186" s="26" t="n">
        <v>0.0006107407897273188</v>
      </c>
      <c r="V186" s="26" t="n">
        <v>0.0003066358326854819</v>
      </c>
      <c r="W186" s="26" t="n">
        <v>0.0003155765714566472</v>
      </c>
      <c r="X186" s="26" t="n">
        <v>0.0815194633056387</v>
      </c>
      <c r="Y186" s="26" t="n">
        <v>0.08275241649950814</v>
      </c>
      <c r="Z186" s="28" t="n">
        <v>0</v>
      </c>
      <c r="AA186" s="28" t="n">
        <v>0.003127173544286591</v>
      </c>
      <c r="AB186" s="28" t="n">
        <v>0.0001789839418574189</v>
      </c>
      <c r="AC186" s="28" t="n">
        <v>0.0001002531761912283</v>
      </c>
      <c r="AD186" s="28" t="n">
        <v>0.0001407705841922909</v>
      </c>
      <c r="AE186" s="28" t="n">
        <v>0.006944179549057917</v>
      </c>
      <c r="AF186" s="28" t="n">
        <v>0.01049136079558545</v>
      </c>
      <c r="AG186" s="30" t="n">
        <v>0</v>
      </c>
      <c r="AH186" s="30" t="n">
        <v>1.649105312647228e-05</v>
      </c>
      <c r="AI186" s="30" t="n">
        <v>0.0004089595906776136</v>
      </c>
      <c r="AJ186" s="30" t="n">
        <v>0.0002435542719012465</v>
      </c>
      <c r="AK186" s="30" t="n">
        <v>0.0001899134806788231</v>
      </c>
      <c r="AL186" s="30" t="n">
        <v>0.02041778596969117</v>
      </c>
      <c r="AM186" s="30" t="n">
        <v>0.02127670436607532</v>
      </c>
      <c r="AN186" s="32" t="n">
        <v>0</v>
      </c>
      <c r="AO186" s="32" t="n">
        <v>1.179775095002105e-05</v>
      </c>
      <c r="AP186" s="32" t="n">
        <v>5.156579716666231e-07</v>
      </c>
      <c r="AQ186" s="32" t="n">
        <v>4.846852222153855e-07</v>
      </c>
      <c r="AR186" s="32" t="n">
        <v>7.715477352636658e-07</v>
      </c>
      <c r="AS186" s="32" t="n">
        <v>1.751999621691411e-05</v>
      </c>
      <c r="AT186" s="32" t="n">
        <v>3.108963809608084e-05</v>
      </c>
      <c r="AU186" s="34" t="n">
        <v>0</v>
      </c>
      <c r="AV186" s="34" t="n">
        <v>0</v>
      </c>
      <c r="AW186" s="34" t="n">
        <v>0.2698407427863993</v>
      </c>
      <c r="AX186" s="34" t="n">
        <v>0.1145938208724982</v>
      </c>
      <c r="AY186" s="34" t="n">
        <v>0.1601080188876266</v>
      </c>
      <c r="AZ186" s="34" t="n">
        <v>0.9862942191740769</v>
      </c>
      <c r="BA186" s="34" t="n">
        <v>1.530836801720601</v>
      </c>
      <c r="BB186" s="6" t="n"/>
      <c r="BC186" s="6" t="n"/>
      <c r="BD186" t="inlineStr">
        <is>
          <t>transport, Motorbike, battery electric, 4-11kW, 2050/CH U</t>
        </is>
      </c>
      <c r="BF186" s="5" t="n">
        <v>0.077607837</v>
      </c>
      <c r="BG186" s="5">
        <f>BF186-R186</f>
        <v>-1.0320108913519144E-2</v>
      </c>
      <c r="BH186" s="2" t="n">
        <v>207.33561</v>
      </c>
    </row>
    <row r="187">
      <c r="A187" t="str">
        <f>B187&amp;" - "&amp;D187&amp;" - "&amp;IF(I187&lt;&gt;"",I187&amp;" - "&amp;E187,E187)</f>
        <v>Motorbike, battery electric, 11-35kW - 2020 - NMC - CH</v>
      </c>
      <c r="B187" t="inlineStr">
        <is>
          <t>Motorbike, battery electric, 11-35kW</t>
        </is>
      </c>
      <c r="D187" s="18" t="n">
        <v>2020</v>
      </c>
      <c r="E187" t="inlineStr">
        <is>
          <t>CH</t>
        </is>
      </c>
      <c r="F187" t="inlineStr">
        <is>
          <t>None</t>
        </is>
      </c>
      <c r="G187" t="inlineStr">
        <is>
          <t>vkm</t>
        </is>
      </c>
      <c r="H187" t="inlineStr">
        <is>
          <t>BEV</t>
        </is>
      </c>
      <c r="I187" t="inlineStr">
        <is>
          <t>NMC</t>
        </is>
      </c>
      <c r="J187" t="inlineStr">
        <is>
          <t>None</t>
        </is>
      </c>
      <c r="L187" s="24" t="n">
        <v>0</v>
      </c>
      <c r="M187" s="24" t="n">
        <v>0</v>
      </c>
      <c r="N187" s="24" t="n">
        <v>0.007810600247623645</v>
      </c>
      <c r="O187" s="24" t="n">
        <v>0.01230659169225786</v>
      </c>
      <c r="P187" s="24" t="n">
        <v>0.004837763277380364</v>
      </c>
      <c r="Q187" s="24" t="n">
        <v>0.05856905301842857</v>
      </c>
      <c r="R187" s="24" t="n">
        <v>0.08352400823569044</v>
      </c>
      <c r="S187" s="26" t="n">
        <v>0</v>
      </c>
      <c r="T187" s="26" t="n">
        <v>0</v>
      </c>
      <c r="U187" s="26" t="n">
        <v>0.000826700743511107</v>
      </c>
      <c r="V187" s="26" t="n">
        <v>0.0004722191823356421</v>
      </c>
      <c r="W187" s="26" t="n">
        <v>0.0003326325019694477</v>
      </c>
      <c r="X187" s="26" t="n">
        <v>0.07937690219313978</v>
      </c>
      <c r="Y187" s="26" t="n">
        <v>0.08100845462095597</v>
      </c>
      <c r="Z187" s="28" t="n">
        <v>0</v>
      </c>
      <c r="AA187" s="28" t="n">
        <v>0.003127173544286591</v>
      </c>
      <c r="AB187" s="28" t="n">
        <v>0.0002422732529067532</v>
      </c>
      <c r="AC187" s="28" t="n">
        <v>0.0001543898913344915</v>
      </c>
      <c r="AD187" s="28" t="n">
        <v>0.000148523627549574</v>
      </c>
      <c r="AE187" s="28" t="n">
        <v>0.006460650222909915</v>
      </c>
      <c r="AF187" s="28" t="n">
        <v>0.01013301053898732</v>
      </c>
      <c r="AG187" s="30" t="n">
        <v>0</v>
      </c>
      <c r="AH187" s="30" t="n">
        <v>1.649105312647228e-05</v>
      </c>
      <c r="AI187" s="30" t="n">
        <v>0.000553569048221143</v>
      </c>
      <c r="AJ187" s="30" t="n">
        <v>0.0003750735787279196</v>
      </c>
      <c r="AK187" s="30" t="n">
        <v>0.0001971491980266176</v>
      </c>
      <c r="AL187" s="30" t="n">
        <v>0.01852338648764937</v>
      </c>
      <c r="AM187" s="30" t="n">
        <v>0.01966566936575152</v>
      </c>
      <c r="AN187" s="32" t="n">
        <v>0</v>
      </c>
      <c r="AO187" s="32" t="n">
        <v>1.179775095002105e-05</v>
      </c>
      <c r="AP187" s="32" t="n">
        <v>6.979963279750106e-07</v>
      </c>
      <c r="AQ187" s="32" t="n">
        <v>7.464152422116936e-07</v>
      </c>
      <c r="AR187" s="32" t="n">
        <v>8.001180639407555e-07</v>
      </c>
      <c r="AS187" s="32" t="n">
        <v>1.666699152436914e-05</v>
      </c>
      <c r="AT187" s="32" t="n">
        <v>3.070927210851765e-05</v>
      </c>
      <c r="AU187" s="34" t="n">
        <v>0</v>
      </c>
      <c r="AV187" s="34" t="n">
        <v>0</v>
      </c>
      <c r="AW187" s="34" t="n">
        <v>0.3652573177414669</v>
      </c>
      <c r="AX187" s="34" t="n">
        <v>0.1764744841436473</v>
      </c>
      <c r="AY187" s="34" t="n">
        <v>0.1689505894208075</v>
      </c>
      <c r="AZ187" s="34" t="n">
        <v>0.8603445450532011</v>
      </c>
      <c r="BA187" s="34" t="n">
        <v>1.571026936359123</v>
      </c>
      <c r="BB187" s="6" t="n"/>
      <c r="BC187" s="6" t="n"/>
      <c r="BD187" t="inlineStr">
        <is>
          <t>transport, Motorbike, battery electric, 11-35kW/CH U</t>
        </is>
      </c>
      <c r="BF187" s="5" t="n">
        <v>0.077377615</v>
      </c>
      <c r="BG187" s="5">
        <f>BF187-R187</f>
        <v>-6.1463932356904394E-3</v>
      </c>
      <c r="BH187" s="2" t="n">
        <v>212.40737</v>
      </c>
    </row>
    <row r="188">
      <c r="A188" t="str">
        <f>B188&amp;" - "&amp;D188&amp;" - "&amp;IF(I188&lt;&gt;"",I188&amp;" - "&amp;E188,E188)</f>
        <v>Motorbike, battery electric, 11-35kW - 2030 - NMC - CH</v>
      </c>
      <c r="B188" t="inlineStr">
        <is>
          <t>Motorbike, battery electric, 11-35kW</t>
        </is>
      </c>
      <c r="D188" s="18" t="n">
        <v>2030</v>
      </c>
      <c r="E188" t="inlineStr">
        <is>
          <t>CH</t>
        </is>
      </c>
      <c r="F188" t="inlineStr">
        <is>
          <t>None</t>
        </is>
      </c>
      <c r="G188" t="inlineStr">
        <is>
          <t>vkm</t>
        </is>
      </c>
      <c r="H188" t="inlineStr">
        <is>
          <t>BEV</t>
        </is>
      </c>
      <c r="I188" t="inlineStr">
        <is>
          <t>NMC</t>
        </is>
      </c>
      <c r="J188" t="inlineStr">
        <is>
          <t>None</t>
        </is>
      </c>
      <c r="L188" s="24" t="n">
        <v>0</v>
      </c>
      <c r="M188" s="24" t="n">
        <v>0</v>
      </c>
      <c r="N188" s="24" t="n">
        <v>0.007810600247623645</v>
      </c>
      <c r="O188" s="24" t="n">
        <v>0.01230659169225786</v>
      </c>
      <c r="P188" s="24" t="n">
        <v>0.004839523431328749</v>
      </c>
      <c r="Q188" s="24" t="n">
        <v>0.05684894537364832</v>
      </c>
      <c r="R188" s="24" t="n">
        <v>0.08180566074485857</v>
      </c>
      <c r="S188" s="26" t="n">
        <v>0</v>
      </c>
      <c r="T188" s="26" t="n">
        <v>0</v>
      </c>
      <c r="U188" s="26" t="n">
        <v>0.000826700743511107</v>
      </c>
      <c r="V188" s="26" t="n">
        <v>0.0004722191823356421</v>
      </c>
      <c r="W188" s="26" t="n">
        <v>0.0003327437219444277</v>
      </c>
      <c r="X188" s="26" t="n">
        <v>0.07216638110704394</v>
      </c>
      <c r="Y188" s="26" t="n">
        <v>0.07379804475483512</v>
      </c>
      <c r="Z188" s="28" t="n">
        <v>0</v>
      </c>
      <c r="AA188" s="28" t="n">
        <v>0.003127173544286591</v>
      </c>
      <c r="AB188" s="28" t="n">
        <v>0.0002422732529067532</v>
      </c>
      <c r="AC188" s="28" t="n">
        <v>0.0001543898913344915</v>
      </c>
      <c r="AD188" s="28" t="n">
        <v>0.0001485741843507739</v>
      </c>
      <c r="AE188" s="28" t="n">
        <v>0.005973094415369105</v>
      </c>
      <c r="AF188" s="28" t="n">
        <v>0.009645505288247716</v>
      </c>
      <c r="AG188" s="30" t="n">
        <v>0</v>
      </c>
      <c r="AH188" s="30" t="n">
        <v>1.649105312647228e-05</v>
      </c>
      <c r="AI188" s="30" t="n">
        <v>0.000553569048221143</v>
      </c>
      <c r="AJ188" s="30" t="n">
        <v>0.0003750735787279196</v>
      </c>
      <c r="AK188" s="30" t="n">
        <v>0.0001971963813979253</v>
      </c>
      <c r="AL188" s="30" t="n">
        <v>0.0173772699987046</v>
      </c>
      <c r="AM188" s="30" t="n">
        <v>0.01851960006017806</v>
      </c>
      <c r="AN188" s="32" t="n">
        <v>0</v>
      </c>
      <c r="AO188" s="32" t="n">
        <v>1.179775095002105e-05</v>
      </c>
      <c r="AP188" s="32" t="n">
        <v>6.979963279750106e-07</v>
      </c>
      <c r="AQ188" s="32" t="n">
        <v>7.464152422116936e-07</v>
      </c>
      <c r="AR188" s="32" t="n">
        <v>8.003043681261676e-07</v>
      </c>
      <c r="AS188" s="32" t="n">
        <v>1.539295930416039e-05</v>
      </c>
      <c r="AT188" s="32" t="n">
        <v>2.943542619249431e-05</v>
      </c>
      <c r="AU188" s="34" t="n">
        <v>0</v>
      </c>
      <c r="AV188" s="34" t="n">
        <v>0</v>
      </c>
      <c r="AW188" s="34" t="n">
        <v>0.3652573177414669</v>
      </c>
      <c r="AX188" s="34" t="n">
        <v>0.1764744841436473</v>
      </c>
      <c r="AY188" s="34" t="n">
        <v>0.1690082509170666</v>
      </c>
      <c r="AZ188" s="34" t="n">
        <v>0.8232064786684002</v>
      </c>
      <c r="BA188" s="34" t="n">
        <v>1.533946531470581</v>
      </c>
      <c r="BB188" s="6" t="n"/>
      <c r="BC188" s="6" t="n"/>
      <c r="BD188" t="inlineStr">
        <is>
          <t>transport, Motorbike, battery electric, 11-35kW, 2030/CH U</t>
        </is>
      </c>
      <c r="BF188" s="5" t="n">
        <v>0.07588078600000001</v>
      </c>
      <c r="BG188" s="5">
        <f>BF188-R188</f>
        <v>-5.9248747448585604E-3</v>
      </c>
      <c r="BH188" s="2" t="n">
        <v>198.96776</v>
      </c>
    </row>
    <row r="189">
      <c r="A189" t="str">
        <f>B189&amp;" - "&amp;D189&amp;" - "&amp;IF(I189&lt;&gt;"",I189&amp;" - "&amp;E189,E189)</f>
        <v>Motorbike, battery electric, 11-35kW - 2040 - NMC - CH</v>
      </c>
      <c r="B189" t="inlineStr">
        <is>
          <t>Motorbike, battery electric, 11-35kW</t>
        </is>
      </c>
      <c r="D189" s="18" t="n">
        <v>2040</v>
      </c>
      <c r="E189" t="inlineStr">
        <is>
          <t>CH</t>
        </is>
      </c>
      <c r="F189" t="inlineStr">
        <is>
          <t>None</t>
        </is>
      </c>
      <c r="G189" t="inlineStr">
        <is>
          <t>vkm</t>
        </is>
      </c>
      <c r="H189" t="inlineStr">
        <is>
          <t>BEV</t>
        </is>
      </c>
      <c r="I189" t="inlineStr">
        <is>
          <t>NMC</t>
        </is>
      </c>
      <c r="J189" t="inlineStr">
        <is>
          <t>None</t>
        </is>
      </c>
      <c r="L189" s="24" t="n">
        <v>0</v>
      </c>
      <c r="M189" s="24" t="n">
        <v>0</v>
      </c>
      <c r="N189" s="24" t="n">
        <v>0.007810600247623645</v>
      </c>
      <c r="O189" s="24" t="n">
        <v>0.01230659169225786</v>
      </c>
      <c r="P189" s="24" t="n">
        <v>0.004842998218002713</v>
      </c>
      <c r="Q189" s="24" t="n">
        <v>0.05368490465788553</v>
      </c>
      <c r="R189" s="24" t="n">
        <v>0.07864509481576976</v>
      </c>
      <c r="S189" s="26" t="n">
        <v>0</v>
      </c>
      <c r="T189" s="26" t="n">
        <v>0</v>
      </c>
      <c r="U189" s="26" t="n">
        <v>0.000826700743511107</v>
      </c>
      <c r="V189" s="26" t="n">
        <v>0.0004722191823356421</v>
      </c>
      <c r="W189" s="26" t="n">
        <v>0.0003329632855157242</v>
      </c>
      <c r="X189" s="26" t="n">
        <v>0.06337911973557539</v>
      </c>
      <c r="Y189" s="26" t="n">
        <v>0.06501100294693786</v>
      </c>
      <c r="Z189" s="28" t="n">
        <v>0</v>
      </c>
      <c r="AA189" s="28" t="n">
        <v>0.003127173544286591</v>
      </c>
      <c r="AB189" s="28" t="n">
        <v>0.0002422732529067532</v>
      </c>
      <c r="AC189" s="28" t="n">
        <v>0.0001543898913344915</v>
      </c>
      <c r="AD189" s="28" t="n">
        <v>0.0001486739904496943</v>
      </c>
      <c r="AE189" s="28" t="n">
        <v>0.005328785458283026</v>
      </c>
      <c r="AF189" s="28" t="n">
        <v>0.009001296137260556</v>
      </c>
      <c r="AG189" s="30" t="n">
        <v>0</v>
      </c>
      <c r="AH189" s="30" t="n">
        <v>1.649105312647228e-05</v>
      </c>
      <c r="AI189" s="30" t="n">
        <v>0.000553569048221143</v>
      </c>
      <c r="AJ189" s="30" t="n">
        <v>0.0003750735787279196</v>
      </c>
      <c r="AK189" s="30" t="n">
        <v>0.0001972895278809378</v>
      </c>
      <c r="AL189" s="30" t="n">
        <v>0.01580116318138546</v>
      </c>
      <c r="AM189" s="30" t="n">
        <v>0.01694358638934193</v>
      </c>
      <c r="AN189" s="32" t="n">
        <v>0</v>
      </c>
      <c r="AO189" s="32" t="n">
        <v>1.179775095002105e-05</v>
      </c>
      <c r="AP189" s="32" t="n">
        <v>6.979963279750106e-07</v>
      </c>
      <c r="AQ189" s="32" t="n">
        <v>7.464152422116936e-07</v>
      </c>
      <c r="AR189" s="32" t="n">
        <v>8.006721582853002e-07</v>
      </c>
      <c r="AS189" s="32" t="n">
        <v>1.382403194090753e-05</v>
      </c>
      <c r="AT189" s="32" t="n">
        <v>2.786686661940058e-05</v>
      </c>
      <c r="AU189" s="34" t="n">
        <v>0</v>
      </c>
      <c r="AV189" s="34" t="n">
        <v>0</v>
      </c>
      <c r="AW189" s="34" t="n">
        <v>0.3652573177414669</v>
      </c>
      <c r="AX189" s="34" t="n">
        <v>0.1764744841436473</v>
      </c>
      <c r="AY189" s="34" t="n">
        <v>0.1691220826639917</v>
      </c>
      <c r="AZ189" s="34" t="n">
        <v>0.7670618483671925</v>
      </c>
      <c r="BA189" s="34" t="n">
        <v>1.477915732916298</v>
      </c>
      <c r="BB189" s="6" t="n"/>
      <c r="BC189" s="6" t="n"/>
      <c r="BD189" t="inlineStr">
        <is>
          <t>transport, Motorbike, battery electric, 11-35kW, 2040/CH U</t>
        </is>
      </c>
      <c r="BF189" s="5" t="n">
        <v>0.07366526600000001</v>
      </c>
      <c r="BG189" s="5">
        <f>BF189-R189</f>
        <v>-4.979828815769749E-3</v>
      </c>
      <c r="BH189" s="2" t="n">
        <v>182.73556</v>
      </c>
    </row>
    <row r="190">
      <c r="A190" t="str">
        <f>B190&amp;" - "&amp;D190&amp;" - "&amp;IF(I190&lt;&gt;"",I190&amp;" - "&amp;E190,E190)</f>
        <v>Motorbike, battery electric, 11-35kW - 2050 - NMC - CH</v>
      </c>
      <c r="B190" t="inlineStr">
        <is>
          <t>Motorbike, battery electric, 11-35kW</t>
        </is>
      </c>
      <c r="D190" s="18" t="n">
        <v>2050</v>
      </c>
      <c r="E190" t="inlineStr">
        <is>
          <t>CH</t>
        </is>
      </c>
      <c r="F190" t="inlineStr">
        <is>
          <t>None</t>
        </is>
      </c>
      <c r="G190" t="inlineStr">
        <is>
          <t>vkm</t>
        </is>
      </c>
      <c r="H190" t="inlineStr">
        <is>
          <t>BEV</t>
        </is>
      </c>
      <c r="I190" t="inlineStr">
        <is>
          <t>NMC</t>
        </is>
      </c>
      <c r="J190" t="inlineStr">
        <is>
          <t>None</t>
        </is>
      </c>
      <c r="L190" s="24" t="n">
        <v>0</v>
      </c>
      <c r="M190" s="24" t="n">
        <v>0</v>
      </c>
      <c r="N190" s="24" t="n">
        <v>0.007810600247623645</v>
      </c>
      <c r="O190" s="24" t="n">
        <v>0.0116988587691834</v>
      </c>
      <c r="P190" s="24" t="n">
        <v>0.004842133314769455</v>
      </c>
      <c r="Q190" s="24" t="n">
        <v>0.08121590004714117</v>
      </c>
      <c r="R190" s="24" t="n">
        <v>0.1055674923787177</v>
      </c>
      <c r="S190" s="26" t="n">
        <v>0</v>
      </c>
      <c r="T190" s="26" t="n">
        <v>0</v>
      </c>
      <c r="U190" s="26" t="n">
        <v>0.000826700743511107</v>
      </c>
      <c r="V190" s="26" t="n">
        <v>0.0004488997165412894</v>
      </c>
      <c r="W190" s="26" t="n">
        <v>0.000332908634321122</v>
      </c>
      <c r="X190" s="26" t="n">
        <v>0.1117595975810074</v>
      </c>
      <c r="Y190" s="26" t="n">
        <v>0.1133681066753809</v>
      </c>
      <c r="Z190" s="28" t="n">
        <v>0</v>
      </c>
      <c r="AA190" s="28" t="n">
        <v>0.003127173544286591</v>
      </c>
      <c r="AB190" s="28" t="n">
        <v>0.0002422732529067532</v>
      </c>
      <c r="AC190" s="28" t="n">
        <v>0.0001467656991698253</v>
      </c>
      <c r="AD190" s="28" t="n">
        <v>0.0001486491478835875</v>
      </c>
      <c r="AE190" s="28" t="n">
        <v>0.009351997603932164</v>
      </c>
      <c r="AF190" s="28" t="n">
        <v>0.01301685924817892</v>
      </c>
      <c r="AG190" s="30" t="n">
        <v>0</v>
      </c>
      <c r="AH190" s="30" t="n">
        <v>1.649105312647228e-05</v>
      </c>
      <c r="AI190" s="30" t="n">
        <v>0.000553569048221143</v>
      </c>
      <c r="AJ190" s="30" t="n">
        <v>0.0003565514266919729</v>
      </c>
      <c r="AK190" s="30" t="n">
        <v>0.0001972663429484849</v>
      </c>
      <c r="AL190" s="30" t="n">
        <v>0.02616903821518649</v>
      </c>
      <c r="AM190" s="30" t="n">
        <v>0.02729291608617456</v>
      </c>
      <c r="AN190" s="32" t="n">
        <v>0</v>
      </c>
      <c r="AO190" s="32" t="n">
        <v>1.179775095002105e-05</v>
      </c>
      <c r="AP190" s="32" t="n">
        <v>6.979963279750106e-07</v>
      </c>
      <c r="AQ190" s="32" t="n">
        <v>7.095552302506223e-07</v>
      </c>
      <c r="AR190" s="32" t="n">
        <v>8.005806122631581e-07</v>
      </c>
      <c r="AS190" s="32" t="n">
        <v>2.262835477236926e-05</v>
      </c>
      <c r="AT190" s="32" t="n">
        <v>3.66342378928791e-05</v>
      </c>
      <c r="AU190" s="34" t="n">
        <v>0</v>
      </c>
      <c r="AV190" s="34" t="n">
        <v>0</v>
      </c>
      <c r="AW190" s="34" t="n">
        <v>0.3652573177414669</v>
      </c>
      <c r="AX190" s="34" t="n">
        <v>0.1677596948032202</v>
      </c>
      <c r="AY190" s="34" t="n">
        <v>0.1690937489977265</v>
      </c>
      <c r="AZ190" s="34" t="n">
        <v>1.179480166452196</v>
      </c>
      <c r="BA190" s="34" t="n">
        <v>1.881590927994609</v>
      </c>
      <c r="BB190" s="6" t="n"/>
      <c r="BC190" s="6" t="n"/>
      <c r="BD190" t="inlineStr">
        <is>
          <t>transport, Motorbike, battery electric, 11-35kW, 2050/CH U</t>
        </is>
      </c>
      <c r="BF190" s="5" t="n">
        <v>0.089262224</v>
      </c>
      <c r="BG190" s="5">
        <f>BF190-R190</f>
        <v>-1.630526837871768E-2</v>
      </c>
      <c r="BH190" s="2" t="n">
        <v>270.63082</v>
      </c>
    </row>
    <row r="191">
      <c r="A191" t="str">
        <f>B191&amp;" - "&amp;D191&amp;" - "&amp;IF(I191&lt;&gt;"",I191&amp;" - "&amp;E191,E191)</f>
        <v>Motorbike, battery electric, &gt;35kW - 2020 - NMC - CH</v>
      </c>
      <c r="B191" t="inlineStr">
        <is>
          <t>Motorbike, battery electric, &gt;35kW</t>
        </is>
      </c>
      <c r="D191" s="18" t="n">
        <v>2020</v>
      </c>
      <c r="E191" t="inlineStr">
        <is>
          <t>CH</t>
        </is>
      </c>
      <c r="F191" t="inlineStr">
        <is>
          <t>None</t>
        </is>
      </c>
      <c r="G191" t="inlineStr">
        <is>
          <t>vkm</t>
        </is>
      </c>
      <c r="H191" t="inlineStr">
        <is>
          <t>BEV</t>
        </is>
      </c>
      <c r="I191" t="inlineStr">
        <is>
          <t>NMC</t>
        </is>
      </c>
      <c r="J191" t="inlineStr">
        <is>
          <t>None</t>
        </is>
      </c>
      <c r="L191" s="24" t="n">
        <v>0</v>
      </c>
      <c r="M191" s="24" t="n">
        <v>0</v>
      </c>
      <c r="N191" s="24" t="n">
        <v>0.008710249309141712</v>
      </c>
      <c r="O191" s="24" t="n">
        <v>0.01230659169225786</v>
      </c>
      <c r="P191" s="24" t="n">
        <v>0.005243994669674618</v>
      </c>
      <c r="Q191" s="24" t="n">
        <v>0.09354922122940545</v>
      </c>
      <c r="R191" s="24" t="n">
        <v>0.1198100569004796</v>
      </c>
      <c r="S191" s="26" t="n">
        <v>0</v>
      </c>
      <c r="T191" s="26" t="n">
        <v>0</v>
      </c>
      <c r="U191" s="26" t="n">
        <v>0.0009219226886211946</v>
      </c>
      <c r="V191" s="26" t="n">
        <v>0.0004722191823356421</v>
      </c>
      <c r="W191" s="26" t="n">
        <v>0.0003583013051604949</v>
      </c>
      <c r="X191" s="26" t="n">
        <v>0.1397432492731298</v>
      </c>
      <c r="Y191" s="26" t="n">
        <v>0.1414956924492471</v>
      </c>
      <c r="Z191" s="28" t="n">
        <v>0</v>
      </c>
      <c r="AA191" s="28" t="n">
        <v>0.003127173544286591</v>
      </c>
      <c r="AB191" s="28" t="n">
        <v>0.0002701790344982262</v>
      </c>
      <c r="AC191" s="28" t="n">
        <v>0.0001543898913344915</v>
      </c>
      <c r="AD191" s="28" t="n">
        <v>0.0001601917885989165</v>
      </c>
      <c r="AE191" s="28" t="n">
        <v>0.01142293073770173</v>
      </c>
      <c r="AF191" s="28" t="n">
        <v>0.01513486499641996</v>
      </c>
      <c r="AG191" s="30" t="n">
        <v>0</v>
      </c>
      <c r="AH191" s="30" t="n">
        <v>1.649105312647228e-05</v>
      </c>
      <c r="AI191" s="30" t="n">
        <v>0.0006173308410320248</v>
      </c>
      <c r="AJ191" s="30" t="n">
        <v>0.0003750735787279196</v>
      </c>
      <c r="AK191" s="30" t="n">
        <v>0.0002080387947218662</v>
      </c>
      <c r="AL191" s="30" t="n">
        <v>0.0314395456808026</v>
      </c>
      <c r="AM191" s="30" t="n">
        <v>0.03265647994841089</v>
      </c>
      <c r="AN191" s="32" t="n">
        <v>0</v>
      </c>
      <c r="AO191" s="32" t="n">
        <v>1.179775095002105e-05</v>
      </c>
      <c r="AP191" s="32" t="n">
        <v>7.783937009678004e-07</v>
      </c>
      <c r="AQ191" s="32" t="n">
        <v>7.464152422116936e-07</v>
      </c>
      <c r="AR191" s="32" t="n">
        <v>8.431157850774211e-07</v>
      </c>
      <c r="AS191" s="32" t="n">
        <v>2.84559530699819e-05</v>
      </c>
      <c r="AT191" s="32" t="n">
        <v>4.262162874825987e-05</v>
      </c>
      <c r="AU191" s="34" t="n">
        <v>0</v>
      </c>
      <c r="AV191" s="34" t="n">
        <v>0</v>
      </c>
      <c r="AW191" s="34" t="n">
        <v>0.4073287837877151</v>
      </c>
      <c r="AX191" s="34" t="n">
        <v>0.1764744841436473</v>
      </c>
      <c r="AY191" s="34" t="n">
        <v>0.1822584650919019</v>
      </c>
      <c r="AZ191" s="34" t="n">
        <v>1.394535777830567</v>
      </c>
      <c r="BA191" s="34" t="n">
        <v>2.160597510853831</v>
      </c>
      <c r="BB191" s="6" t="n"/>
      <c r="BC191" s="6" t="n"/>
      <c r="BD191" t="inlineStr">
        <is>
          <t>transport, Motorbike, battery electric, &gt;35kW/CH U</t>
        </is>
      </c>
      <c r="BF191" s="5" t="n">
        <v>0.10250206</v>
      </c>
      <c r="BG191" s="5">
        <f>BF191-R191</f>
        <v>-1.7307996900479641E-2</v>
      </c>
      <c r="BH191" s="2" t="n">
        <v>330.59538</v>
      </c>
    </row>
    <row r="192">
      <c r="A192" t="str">
        <f>B192&amp;" - "&amp;D192&amp;" - "&amp;IF(I192&lt;&gt;"",I192&amp;" - "&amp;E192,E192)</f>
        <v>Motorbike, battery electric, &gt;35kW - 2030 - NMC - CH</v>
      </c>
      <c r="B192" t="inlineStr">
        <is>
          <t>Motorbike, battery electric, &gt;35kW</t>
        </is>
      </c>
      <c r="D192" s="18" t="n">
        <v>2030</v>
      </c>
      <c r="E192" t="inlineStr">
        <is>
          <t>CH</t>
        </is>
      </c>
      <c r="F192" t="inlineStr">
        <is>
          <t>None</t>
        </is>
      </c>
      <c r="G192" t="inlineStr">
        <is>
          <t>vkm</t>
        </is>
      </c>
      <c r="H192" t="inlineStr">
        <is>
          <t>BEV</t>
        </is>
      </c>
      <c r="I192" t="inlineStr">
        <is>
          <t>NMC</t>
        </is>
      </c>
      <c r="J192" t="inlineStr">
        <is>
          <t>None</t>
        </is>
      </c>
      <c r="L192" s="24" t="n">
        <v>0</v>
      </c>
      <c r="M192" s="24" t="n">
        <v>0</v>
      </c>
      <c r="N192" s="24" t="n">
        <v>0.008710249309141712</v>
      </c>
      <c r="O192" s="24" t="n">
        <v>0.01230659169225786</v>
      </c>
      <c r="P192" s="24" t="n">
        <v>0.005245603086213659</v>
      </c>
      <c r="Q192" s="24" t="n">
        <v>0.08788874783758996</v>
      </c>
      <c r="R192" s="24" t="n">
        <v>0.1141511919252032</v>
      </c>
      <c r="S192" s="26" t="n">
        <v>0</v>
      </c>
      <c r="T192" s="26" t="n">
        <v>0</v>
      </c>
      <c r="U192" s="26" t="n">
        <v>0.0009219226886211946</v>
      </c>
      <c r="V192" s="26" t="n">
        <v>0.0004722191823356421</v>
      </c>
      <c r="W192" s="26" t="n">
        <v>0.0003584029372065972</v>
      </c>
      <c r="X192" s="26" t="n">
        <v>0.1236173950741264</v>
      </c>
      <c r="Y192" s="26" t="n">
        <v>0.1253699398822898</v>
      </c>
      <c r="Z192" s="28" t="n">
        <v>0</v>
      </c>
      <c r="AA192" s="28" t="n">
        <v>0.003127173544286591</v>
      </c>
      <c r="AB192" s="28" t="n">
        <v>0.0002701790344982262</v>
      </c>
      <c r="AC192" s="28" t="n">
        <v>0.0001543898913344915</v>
      </c>
      <c r="AD192" s="28" t="n">
        <v>0.0001602379870551853</v>
      </c>
      <c r="AE192" s="28" t="n">
        <v>0.01024722636653862</v>
      </c>
      <c r="AF192" s="28" t="n">
        <v>0.01395920682371311</v>
      </c>
      <c r="AG192" s="30" t="n">
        <v>0</v>
      </c>
      <c r="AH192" s="30" t="n">
        <v>1.649105312647228e-05</v>
      </c>
      <c r="AI192" s="30" t="n">
        <v>0.0006173308410320248</v>
      </c>
      <c r="AJ192" s="30" t="n">
        <v>0.0003750735787279196</v>
      </c>
      <c r="AK192" s="30" t="n">
        <v>0.0002080819105611646</v>
      </c>
      <c r="AL192" s="30" t="n">
        <v>0.0285729108748459</v>
      </c>
      <c r="AM192" s="30" t="n">
        <v>0.02978988825829348</v>
      </c>
      <c r="AN192" s="32" t="n">
        <v>0</v>
      </c>
      <c r="AO192" s="32" t="n">
        <v>1.179775095002105e-05</v>
      </c>
      <c r="AP192" s="32" t="n">
        <v>7.783937009678004e-07</v>
      </c>
      <c r="AQ192" s="32" t="n">
        <v>7.464152422116936e-07</v>
      </c>
      <c r="AR192" s="32" t="n">
        <v>8.432860285571943e-07</v>
      </c>
      <c r="AS192" s="32" t="n">
        <v>2.557719635596229e-05</v>
      </c>
      <c r="AT192" s="32" t="n">
        <v>3.974304227772003e-05</v>
      </c>
      <c r="AU192" s="34" t="n">
        <v>0</v>
      </c>
      <c r="AV192" s="34" t="n">
        <v>0</v>
      </c>
      <c r="AW192" s="34" t="n">
        <v>0.4073287837877151</v>
      </c>
      <c r="AX192" s="34" t="n">
        <v>0.1764744841436473</v>
      </c>
      <c r="AY192" s="34" t="n">
        <v>0.1823111557695179</v>
      </c>
      <c r="AZ192" s="34" t="n">
        <v>1.292956185038838</v>
      </c>
      <c r="BA192" s="34" t="n">
        <v>2.059070608739718</v>
      </c>
      <c r="BB192" s="6" t="n"/>
      <c r="BC192" s="6" t="n"/>
      <c r="BD192" t="inlineStr">
        <is>
          <t>transport, Motorbike, battery electric, &gt;35kW, 2030/CH U</t>
        </is>
      </c>
      <c r="BF192" s="5" t="n">
        <v>0.098470921</v>
      </c>
      <c r="BG192" s="5">
        <f>BF192-R192</f>
        <v>-1.5680270925203188E-2</v>
      </c>
      <c r="BH192" s="2" t="n">
        <v>300.71695</v>
      </c>
    </row>
    <row r="193">
      <c r="A193" t="str">
        <f>B193&amp;" - "&amp;D193&amp;" - "&amp;IF(I193&lt;&gt;"",I193&amp;" - "&amp;E193,E193)</f>
        <v>Motorbike, battery electric, &gt;35kW - 2040 - NMC - CH</v>
      </c>
      <c r="B193" t="inlineStr">
        <is>
          <t>Motorbike, battery electric, &gt;35kW</t>
        </is>
      </c>
      <c r="D193" s="18" t="n">
        <v>2040</v>
      </c>
      <c r="E193" t="inlineStr">
        <is>
          <t>CH</t>
        </is>
      </c>
      <c r="F193" t="inlineStr">
        <is>
          <t>None</t>
        </is>
      </c>
      <c r="G193" t="inlineStr">
        <is>
          <t>vkm</t>
        </is>
      </c>
      <c r="H193" t="inlineStr">
        <is>
          <t>BEV</t>
        </is>
      </c>
      <c r="I193" t="inlineStr">
        <is>
          <t>NMC</t>
        </is>
      </c>
      <c r="J193" t="inlineStr">
        <is>
          <t>None</t>
        </is>
      </c>
      <c r="L193" s="24" t="n">
        <v>0</v>
      </c>
      <c r="M193" s="24" t="n">
        <v>0</v>
      </c>
      <c r="N193" s="24" t="n">
        <v>0.008710249309141712</v>
      </c>
      <c r="O193" s="24" t="n">
        <v>0.01230659169225786</v>
      </c>
      <c r="P193" s="24" t="n">
        <v>0.005248319185840906</v>
      </c>
      <c r="Q193" s="24" t="n">
        <v>0.08027524353908473</v>
      </c>
      <c r="R193" s="24" t="n">
        <v>0.1065404037263252</v>
      </c>
      <c r="S193" s="26" t="n">
        <v>0</v>
      </c>
      <c r="T193" s="26" t="n">
        <v>0</v>
      </c>
      <c r="U193" s="26" t="n">
        <v>0.0009219226886211946</v>
      </c>
      <c r="V193" s="26" t="n">
        <v>0.0004722191823356421</v>
      </c>
      <c r="W193" s="26" t="n">
        <v>0.0003585745611335058</v>
      </c>
      <c r="X193" s="26" t="n">
        <v>0.1052993504565712</v>
      </c>
      <c r="Y193" s="26" t="n">
        <v>0.1070520668886615</v>
      </c>
      <c r="Z193" s="28" t="n">
        <v>0</v>
      </c>
      <c r="AA193" s="28" t="n">
        <v>0.003127173544286591</v>
      </c>
      <c r="AB193" s="28" t="n">
        <v>0.0002701790344982262</v>
      </c>
      <c r="AC193" s="28" t="n">
        <v>0.0001543898913344915</v>
      </c>
      <c r="AD193" s="28" t="n">
        <v>0.0001603160014294507</v>
      </c>
      <c r="AE193" s="28" t="n">
        <v>0.00885609913637175</v>
      </c>
      <c r="AF193" s="28" t="n">
        <v>0.01256815760792051</v>
      </c>
      <c r="AG193" s="30" t="n">
        <v>0</v>
      </c>
      <c r="AH193" s="30" t="n">
        <v>1.649105312647228e-05</v>
      </c>
      <c r="AI193" s="30" t="n">
        <v>0.0006173308410320248</v>
      </c>
      <c r="AJ193" s="30" t="n">
        <v>0.0003750735787279196</v>
      </c>
      <c r="AK193" s="30" t="n">
        <v>0.0002081547193841308</v>
      </c>
      <c r="AL193" s="30" t="n">
        <v>0.02511793462766259</v>
      </c>
      <c r="AM193" s="30" t="n">
        <v>0.02633498481993314</v>
      </c>
      <c r="AN193" s="32" t="n">
        <v>0</v>
      </c>
      <c r="AO193" s="32" t="n">
        <v>1.179775095002105e-05</v>
      </c>
      <c r="AP193" s="32" t="n">
        <v>7.783937009678004e-07</v>
      </c>
      <c r="AQ193" s="32" t="n">
        <v>7.464152422116936e-07</v>
      </c>
      <c r="AR193" s="32" t="n">
        <v>8.43573515188132e-07</v>
      </c>
      <c r="AS193" s="32" t="n">
        <v>2.228878710164987e-05</v>
      </c>
      <c r="AT193" s="32" t="n">
        <v>3.645492051003854e-05</v>
      </c>
      <c r="AU193" s="34" t="n">
        <v>0</v>
      </c>
      <c r="AV193" s="34" t="n">
        <v>0</v>
      </c>
      <c r="AW193" s="34" t="n">
        <v>0.4073287837877151</v>
      </c>
      <c r="AX193" s="34" t="n">
        <v>0.1764744841436473</v>
      </c>
      <c r="AY193" s="34" t="n">
        <v>0.1824001334232279</v>
      </c>
      <c r="AZ193" s="34" t="n">
        <v>1.165497560317826</v>
      </c>
      <c r="BA193" s="34" t="n">
        <v>1.931700961672416</v>
      </c>
      <c r="BB193" s="6" t="n"/>
      <c r="BC193" s="6" t="n"/>
      <c r="BD193" t="inlineStr">
        <is>
          <t>transport, Motorbike, battery electric, &gt;35kW, 2040/CH U</t>
        </is>
      </c>
      <c r="BF193" s="5" t="n">
        <v>0.093453468</v>
      </c>
      <c r="BG193" s="5">
        <f>BF193-R193</f>
        <v>-1.3086935726325216E-2</v>
      </c>
      <c r="BH193" s="2" t="n">
        <v>266.90017</v>
      </c>
    </row>
    <row r="194">
      <c r="A194" t="str">
        <f>B194&amp;" - "&amp;D194&amp;" - "&amp;IF(I194&lt;&gt;"",I194&amp;" - "&amp;E194,E194)</f>
        <v>Motorbike, battery electric, &gt;35kW - 2050 - NMC - CH</v>
      </c>
      <c r="B194" t="inlineStr">
        <is>
          <t>Motorbike, battery electric, &gt;35kW</t>
        </is>
      </c>
      <c r="D194" s="18" t="n">
        <v>2050</v>
      </c>
      <c r="E194" t="inlineStr">
        <is>
          <t>CH</t>
        </is>
      </c>
      <c r="F194" t="inlineStr">
        <is>
          <t>None</t>
        </is>
      </c>
      <c r="G194" t="inlineStr">
        <is>
          <t>vkm</t>
        </is>
      </c>
      <c r="H194" t="inlineStr">
        <is>
          <t>BEV</t>
        </is>
      </c>
      <c r="I194" t="inlineStr">
        <is>
          <t>NMC</t>
        </is>
      </c>
      <c r="J194" t="inlineStr">
        <is>
          <t>None</t>
        </is>
      </c>
      <c r="L194" s="24" t="n">
        <v>0</v>
      </c>
      <c r="M194" s="24" t="n">
        <v>0</v>
      </c>
      <c r="N194" s="24" t="n">
        <v>0.008710249309141712</v>
      </c>
      <c r="O194" s="24" t="n">
        <v>0.01993667854145774</v>
      </c>
      <c r="P194" s="24" t="n">
        <v>0.005247090112825224</v>
      </c>
      <c r="Q194" s="24" t="n">
        <v>0.1234468118432987</v>
      </c>
      <c r="R194" s="24" t="n">
        <v>0.1573408298067234</v>
      </c>
      <c r="S194" s="26" t="n">
        <v>0</v>
      </c>
      <c r="T194" s="26" t="n">
        <v>0</v>
      </c>
      <c r="U194" s="26" t="n">
        <v>0.0009219226886211946</v>
      </c>
      <c r="V194" s="26" t="n">
        <v>0.0007649950753837402</v>
      </c>
      <c r="W194" s="26" t="n">
        <v>0.0003584968989095975</v>
      </c>
      <c r="X194" s="26" t="n">
        <v>0.1930789600354458</v>
      </c>
      <c r="Y194" s="26" t="n">
        <v>0.1951243746983603</v>
      </c>
      <c r="Z194" s="28" t="n">
        <v>0</v>
      </c>
      <c r="AA194" s="28" t="n">
        <v>0.003127173544286591</v>
      </c>
      <c r="AB194" s="28" t="n">
        <v>0.0002701790344982262</v>
      </c>
      <c r="AC194" s="28" t="n">
        <v>0.0002501116239618763</v>
      </c>
      <c r="AD194" s="28" t="n">
        <v>0.0001602806988355094</v>
      </c>
      <c r="AE194" s="28" t="n">
        <v>0.0158370630389519</v>
      </c>
      <c r="AF194" s="28" t="n">
        <v>0.0196448079405341</v>
      </c>
      <c r="AG194" s="30" t="n">
        <v>0</v>
      </c>
      <c r="AH194" s="30" t="n">
        <v>1.649105312647228e-05</v>
      </c>
      <c r="AI194" s="30" t="n">
        <v>0.0006173308410320248</v>
      </c>
      <c r="AJ194" s="30" t="n">
        <v>0.0006076191975392298</v>
      </c>
      <c r="AK194" s="30" t="n">
        <v>0.0002081217723748556</v>
      </c>
      <c r="AL194" s="30" t="n">
        <v>0.0427925395877819</v>
      </c>
      <c r="AM194" s="30" t="n">
        <v>0.04424210245185448</v>
      </c>
      <c r="AN194" s="32" t="n">
        <v>0</v>
      </c>
      <c r="AO194" s="32" t="n">
        <v>1.179775095002105e-05</v>
      </c>
      <c r="AP194" s="32" t="n">
        <v>7.783937009678004e-07</v>
      </c>
      <c r="AQ194" s="32" t="n">
        <v>1.209192692382944e-06</v>
      </c>
      <c r="AR194" s="32" t="n">
        <v>8.434434234724563e-07</v>
      </c>
      <c r="AS194" s="32" t="n">
        <v>3.815619918652316e-05</v>
      </c>
      <c r="AT194" s="32" t="n">
        <v>5.278497995336741e-05</v>
      </c>
      <c r="AU194" s="34" t="n">
        <v>0</v>
      </c>
      <c r="AV194" s="34" t="n">
        <v>0</v>
      </c>
      <c r="AW194" s="34" t="n">
        <v>0.4073287837877151</v>
      </c>
      <c r="AX194" s="34" t="n">
        <v>0.2858886643127085</v>
      </c>
      <c r="AY194" s="34" t="n">
        <v>0.1823598697922195</v>
      </c>
      <c r="AZ194" s="34" t="n">
        <v>1.844598793175267</v>
      </c>
      <c r="BA194" s="34" t="n">
        <v>2.72017611106791</v>
      </c>
      <c r="BB194" s="6" t="n"/>
      <c r="BC194" s="6" t="n"/>
      <c r="BD194" t="inlineStr">
        <is>
          <t>transport, Motorbike, battery electric, &gt;35kW, 2050/CH U</t>
        </is>
      </c>
      <c r="BF194" s="5" t="n">
        <v>0.1258591</v>
      </c>
      <c r="BG194" s="5">
        <f>BF194-R194</f>
        <v>-3.1481729806723369E-2</v>
      </c>
      <c r="BH194" s="2" t="n">
        <v>434.02947</v>
      </c>
    </row>
    <row r="195">
      <c r="A195" t="str">
        <f>B195&amp;" - "&amp;D195&amp;" - "&amp;IF(I195&lt;&gt;"",I195&amp;" - "&amp;E195,E195)</f>
        <v>Motorbike, battery electric, &lt;4kW - 2020 - LFP - CH</v>
      </c>
      <c r="B195" t="inlineStr">
        <is>
          <t>Motorbike, battery electric, &lt;4kW</t>
        </is>
      </c>
      <c r="D195" s="18" t="n">
        <v>2020</v>
      </c>
      <c r="E195" t="inlineStr">
        <is>
          <t>CH</t>
        </is>
      </c>
      <c r="F195" t="inlineStr">
        <is>
          <t>None</t>
        </is>
      </c>
      <c r="G195" t="inlineStr">
        <is>
          <t>vkm</t>
        </is>
      </c>
      <c r="H195" t="inlineStr">
        <is>
          <t>BEV</t>
        </is>
      </c>
      <c r="I195" t="inlineStr">
        <is>
          <t>LFP</t>
        </is>
      </c>
      <c r="J195" t="inlineStr">
        <is>
          <t>None</t>
        </is>
      </c>
      <c r="L195" s="24" t="n">
        <v>0</v>
      </c>
      <c r="M195" s="24" t="n">
        <v>0</v>
      </c>
      <c r="N195" s="24" t="n">
        <v>0.003836250793656903</v>
      </c>
      <c r="O195" s="24" t="n">
        <v>0.01230659169225786</v>
      </c>
      <c r="P195" s="24" t="n">
        <v>0.004486111831226946</v>
      </c>
      <c r="Q195" s="24" t="n">
        <v>0.04111091243896036</v>
      </c>
      <c r="R195" s="24" t="n">
        <v>0.06173986675610207</v>
      </c>
      <c r="S195" s="26" t="n">
        <v>0</v>
      </c>
      <c r="T195" s="26" t="n">
        <v>0</v>
      </c>
      <c r="U195" s="26" t="n">
        <v>0.0004060419536099208</v>
      </c>
      <c r="V195" s="26" t="n">
        <v>0.0004722191823356421</v>
      </c>
      <c r="W195" s="26" t="n">
        <v>0.0003104124767956648</v>
      </c>
      <c r="X195" s="26" t="n">
        <v>0.02664028343289539</v>
      </c>
      <c r="Y195" s="26" t="n">
        <v>0.02782895704563662</v>
      </c>
      <c r="Z195" s="28" t="n">
        <v>0</v>
      </c>
      <c r="AA195" s="28" t="n">
        <v>0.003127173544286591</v>
      </c>
      <c r="AB195" s="28" t="n">
        <v>0.0001189948184876246</v>
      </c>
      <c r="AC195" s="28" t="n">
        <v>0.0001543898913344915</v>
      </c>
      <c r="AD195" s="28" t="n">
        <v>0.0001384231631719214</v>
      </c>
      <c r="AE195" s="28" t="n">
        <v>0.002971624822696412</v>
      </c>
      <c r="AF195" s="28" t="n">
        <v>0.00651060623997704</v>
      </c>
      <c r="AG195" s="30" t="n">
        <v>0</v>
      </c>
      <c r="AH195" s="30" t="n">
        <v>1.649105312647228e-05</v>
      </c>
      <c r="AI195" s="30" t="n">
        <v>0.0002718907168790728</v>
      </c>
      <c r="AJ195" s="30" t="n">
        <v>0.0003750735787279196</v>
      </c>
      <c r="AK195" s="30" t="n">
        <v>0.0001877226925951076</v>
      </c>
      <c r="AL195" s="30" t="n">
        <v>0.01036701087183492</v>
      </c>
      <c r="AM195" s="30" t="n">
        <v>0.01121818891316349</v>
      </c>
      <c r="AN195" s="32" t="n">
        <v>0</v>
      </c>
      <c r="AO195" s="32" t="n">
        <v>1.179775095002105e-05</v>
      </c>
      <c r="AP195" s="32" t="n">
        <v>3.428275525915461e-07</v>
      </c>
      <c r="AQ195" s="32" t="n">
        <v>7.464152422116936e-07</v>
      </c>
      <c r="AR195" s="32" t="n">
        <v>7.628973786224294e-07</v>
      </c>
      <c r="AS195" s="32" t="n">
        <v>7.623137571744916e-06</v>
      </c>
      <c r="AT195" s="32" t="n">
        <v>2.127302869519163e-05</v>
      </c>
      <c r="AU195" s="34" t="n">
        <v>0</v>
      </c>
      <c r="AV195" s="34" t="n">
        <v>0</v>
      </c>
      <c r="AW195" s="34" t="n">
        <v>0.1793996147096391</v>
      </c>
      <c r="AX195" s="34" t="n">
        <v>0.1764744841436473</v>
      </c>
      <c r="AY195" s="34" t="n">
        <v>0.1574307172156077</v>
      </c>
      <c r="AZ195" s="34" t="n">
        <v>0.5598046896299951</v>
      </c>
      <c r="BA195" s="34" t="n">
        <v>1.073109505698889</v>
      </c>
      <c r="BB195" s="6" t="n"/>
      <c r="BC195" s="6" t="n"/>
      <c r="BD195" t="inlineStr">
        <is>
          <t>transport, Motorbike, battery electric, &lt;4kW, LFP battery/CH U</t>
        </is>
      </c>
      <c r="BF195" s="5" t="n">
        <v>0.06238615000000001</v>
      </c>
      <c r="BG195" s="5">
        <f>BF195-R195</f>
        <v>6.4628324389793407E-4</v>
      </c>
      <c r="BH195" s="2" t="n">
        <v>139.80157</v>
      </c>
    </row>
    <row r="196">
      <c r="A196" t="str">
        <f>B196&amp;" - "&amp;D196&amp;" - "&amp;IF(I196&lt;&gt;"",I196&amp;" - "&amp;E196,E196)</f>
        <v>Motorbike, battery electric, &lt;4kW - 2030 - LFP - CH</v>
      </c>
      <c r="B196" t="inlineStr">
        <is>
          <t>Motorbike, battery electric, &lt;4kW</t>
        </is>
      </c>
      <c r="D196" s="18" t="n">
        <v>2030</v>
      </c>
      <c r="E196" t="inlineStr">
        <is>
          <t>CH</t>
        </is>
      </c>
      <c r="F196" t="inlineStr">
        <is>
          <t>None</t>
        </is>
      </c>
      <c r="G196" t="inlineStr">
        <is>
          <t>vkm</t>
        </is>
      </c>
      <c r="H196" t="inlineStr">
        <is>
          <t>BEV</t>
        </is>
      </c>
      <c r="I196" t="inlineStr">
        <is>
          <t>LFP</t>
        </is>
      </c>
      <c r="J196" t="inlineStr">
        <is>
          <t>None</t>
        </is>
      </c>
      <c r="L196" s="24" t="n">
        <v>0</v>
      </c>
      <c r="M196" s="24" t="n">
        <v>0</v>
      </c>
      <c r="N196" s="24" t="n">
        <v>0.003836250793656903</v>
      </c>
      <c r="O196" s="24" t="n">
        <v>0.01230659169225786</v>
      </c>
      <c r="P196" s="24" t="n">
        <v>0.004530161201159347</v>
      </c>
      <c r="Q196" s="24" t="n">
        <v>0.0475079303803492</v>
      </c>
      <c r="R196" s="24" t="n">
        <v>0.06818093406742332</v>
      </c>
      <c r="S196" s="26" t="n">
        <v>0</v>
      </c>
      <c r="T196" s="26" t="n">
        <v>0</v>
      </c>
      <c r="U196" s="26" t="n">
        <v>0.0004060419536099208</v>
      </c>
      <c r="V196" s="26" t="n">
        <v>0.0004722191823356421</v>
      </c>
      <c r="W196" s="26" t="n">
        <v>0.0003131958525488252</v>
      </c>
      <c r="X196" s="26" t="n">
        <v>0.02982572364024798</v>
      </c>
      <c r="Y196" s="26" t="n">
        <v>0.03101718062874237</v>
      </c>
      <c r="Z196" s="28" t="n">
        <v>0</v>
      </c>
      <c r="AA196" s="28" t="n">
        <v>0.003127173544286591</v>
      </c>
      <c r="AB196" s="28" t="n">
        <v>0.0001189948184876246</v>
      </c>
      <c r="AC196" s="28" t="n">
        <v>0.0001543898913344915</v>
      </c>
      <c r="AD196" s="28" t="n">
        <v>0.0001396883907053982</v>
      </c>
      <c r="AE196" s="28" t="n">
        <v>0.003506841290186575</v>
      </c>
      <c r="AF196" s="28" t="n">
        <v>0.007047087935000681</v>
      </c>
      <c r="AG196" s="30" t="n">
        <v>0</v>
      </c>
      <c r="AH196" s="30" t="n">
        <v>1.649105312647228e-05</v>
      </c>
      <c r="AI196" s="30" t="n">
        <v>0.0002718907168790728</v>
      </c>
      <c r="AJ196" s="30" t="n">
        <v>0.0003750735787279196</v>
      </c>
      <c r="AK196" s="30" t="n">
        <v>0.000188903497137402</v>
      </c>
      <c r="AL196" s="30" t="n">
        <v>0.0120713640920822</v>
      </c>
      <c r="AM196" s="30" t="n">
        <v>0.01292372293795307</v>
      </c>
      <c r="AN196" s="32" t="n">
        <v>0</v>
      </c>
      <c r="AO196" s="32" t="n">
        <v>1.179775095002105e-05</v>
      </c>
      <c r="AP196" s="32" t="n">
        <v>3.428275525915461e-07</v>
      </c>
      <c r="AQ196" s="32" t="n">
        <v>7.464152422116936e-07</v>
      </c>
      <c r="AR196" s="32" t="n">
        <v>7.675598014694241e-07</v>
      </c>
      <c r="AS196" s="32" t="n">
        <v>8.420088519170645e-06</v>
      </c>
      <c r="AT196" s="32" t="n">
        <v>2.207464206546436e-05</v>
      </c>
      <c r="AU196" s="34" t="n">
        <v>0</v>
      </c>
      <c r="AV196" s="34" t="n">
        <v>0</v>
      </c>
      <c r="AW196" s="34" t="n">
        <v>0.1793996147096391</v>
      </c>
      <c r="AX196" s="34" t="n">
        <v>0.1764744841436473</v>
      </c>
      <c r="AY196" s="34" t="n">
        <v>0.1588737458676765</v>
      </c>
      <c r="AZ196" s="34" t="n">
        <v>0.6402612608871259</v>
      </c>
      <c r="BA196" s="34" t="n">
        <v>1.155009105608089</v>
      </c>
      <c r="BB196" s="6" t="n"/>
      <c r="BC196" s="6" t="n"/>
      <c r="BD196" t="inlineStr">
        <is>
          <t>transport, Motorbike, battery electric, &lt;4kW, LFP battery, 2030/CH U</t>
        </is>
      </c>
      <c r="BF196" s="5" t="n">
        <v>0.06647777299999999</v>
      </c>
      <c r="BG196" s="5">
        <f>BF196-R196</f>
        <v>-1.7031610674233255E-3</v>
      </c>
      <c r="BH196" s="2" t="n">
        <v>154.17625</v>
      </c>
    </row>
    <row r="197">
      <c r="A197" t="str">
        <f>B197&amp;" - "&amp;D197&amp;" - "&amp;IF(I197&lt;&gt;"",I197&amp;" - "&amp;E197,E197)</f>
        <v>Motorbike, battery electric, &lt;4kW - 2040 - LFP - CH</v>
      </c>
      <c r="B197" t="inlineStr">
        <is>
          <t>Motorbike, battery electric, &lt;4kW</t>
        </is>
      </c>
      <c r="D197" s="18" t="n">
        <v>2040</v>
      </c>
      <c r="E197" t="inlineStr">
        <is>
          <t>CH</t>
        </is>
      </c>
      <c r="F197" t="inlineStr">
        <is>
          <t>None</t>
        </is>
      </c>
      <c r="G197" t="inlineStr">
        <is>
          <t>vkm</t>
        </is>
      </c>
      <c r="H197" t="inlineStr">
        <is>
          <t>BEV</t>
        </is>
      </c>
      <c r="I197" t="inlineStr">
        <is>
          <t>LFP</t>
        </is>
      </c>
      <c r="J197" t="inlineStr">
        <is>
          <t>None</t>
        </is>
      </c>
      <c r="L197" s="24" t="n">
        <v>0</v>
      </c>
      <c r="M197" s="24" t="n">
        <v>0</v>
      </c>
      <c r="N197" s="24" t="n">
        <v>0.003836250793656903</v>
      </c>
      <c r="O197" s="24" t="n">
        <v>0.01230659169225786</v>
      </c>
      <c r="P197" s="24" t="n">
        <v>0.004545061814756872</v>
      </c>
      <c r="Q197" s="24" t="n">
        <v>0.0467968645475782</v>
      </c>
      <c r="R197" s="24" t="n">
        <v>0.06748476884824983</v>
      </c>
      <c r="S197" s="26" t="n">
        <v>0</v>
      </c>
      <c r="T197" s="26" t="n">
        <v>0</v>
      </c>
      <c r="U197" s="26" t="n">
        <v>0.0004060419536099208</v>
      </c>
      <c r="V197" s="26" t="n">
        <v>0.0004722191823356421</v>
      </c>
      <c r="W197" s="26" t="n">
        <v>0.0003141373871646032</v>
      </c>
      <c r="X197" s="26" t="n">
        <v>0.02860844579004407</v>
      </c>
      <c r="Y197" s="26" t="n">
        <v>0.02980084431315424</v>
      </c>
      <c r="Z197" s="28" t="n">
        <v>0</v>
      </c>
      <c r="AA197" s="28" t="n">
        <v>0.003127173544286591</v>
      </c>
      <c r="AB197" s="28" t="n">
        <v>0.0001189948184876246</v>
      </c>
      <c r="AC197" s="28" t="n">
        <v>0.0001543898913344915</v>
      </c>
      <c r="AD197" s="28" t="n">
        <v>0.000140116380177625</v>
      </c>
      <c r="AE197" s="28" t="n">
        <v>0.003377910878294295</v>
      </c>
      <c r="AF197" s="28" t="n">
        <v>0.006918585512580627</v>
      </c>
      <c r="AG197" s="30" t="n">
        <v>0</v>
      </c>
      <c r="AH197" s="30" t="n">
        <v>1.649105312647228e-05</v>
      </c>
      <c r="AI197" s="30" t="n">
        <v>0.0002718907168790728</v>
      </c>
      <c r="AJ197" s="30" t="n">
        <v>0.0003750735787279196</v>
      </c>
      <c r="AK197" s="30" t="n">
        <v>0.0001893029287807135</v>
      </c>
      <c r="AL197" s="30" t="n">
        <v>0.01165886053324375</v>
      </c>
      <c r="AM197" s="30" t="n">
        <v>0.01251161881075793</v>
      </c>
      <c r="AN197" s="32" t="n">
        <v>0</v>
      </c>
      <c r="AO197" s="32" t="n">
        <v>1.179775095002105e-05</v>
      </c>
      <c r="AP197" s="32" t="n">
        <v>3.428275525915461e-07</v>
      </c>
      <c r="AQ197" s="32" t="n">
        <v>7.464152422116936e-07</v>
      </c>
      <c r="AR197" s="32" t="n">
        <v>7.691369627631715e-07</v>
      </c>
      <c r="AS197" s="32" t="n">
        <v>8.144337026673224e-06</v>
      </c>
      <c r="AT197" s="32" t="n">
        <v>2.180046773426069e-05</v>
      </c>
      <c r="AU197" s="34" t="n">
        <v>0</v>
      </c>
      <c r="AV197" s="34" t="n">
        <v>0</v>
      </c>
      <c r="AW197" s="34" t="n">
        <v>0.1793996147096391</v>
      </c>
      <c r="AX197" s="34" t="n">
        <v>0.1764744841436473</v>
      </c>
      <c r="AY197" s="34" t="n">
        <v>0.1593618802584211</v>
      </c>
      <c r="AZ197" s="34" t="n">
        <v>0.6266971047557952</v>
      </c>
      <c r="BA197" s="34" t="n">
        <v>1.141933083867503</v>
      </c>
      <c r="BB197" s="6" t="n"/>
      <c r="BC197" s="6" t="n"/>
      <c r="BD197" t="inlineStr">
        <is>
          <t>transport, Motorbike, battery electric, &lt;4kW, LFP battery, 2040/CH U</t>
        </is>
      </c>
      <c r="BF197" s="5" t="n">
        <v>0.06551575</v>
      </c>
      <c r="BG197" s="5">
        <f>BF197-R197</f>
        <v>-1.9690188482498344E-3</v>
      </c>
      <c r="BH197" s="2" t="n">
        <v>147.53152</v>
      </c>
    </row>
    <row r="198">
      <c r="A198" t="str">
        <f>B198&amp;" - "&amp;D198&amp;" - "&amp;IF(I198&lt;&gt;"",I198&amp;" - "&amp;E198,E198)</f>
        <v>Motorbike, battery electric, &lt;4kW - 2050 - LFP - CH</v>
      </c>
      <c r="B198" t="inlineStr">
        <is>
          <t>Motorbike, battery electric, &lt;4kW</t>
        </is>
      </c>
      <c r="D198" s="18" t="n">
        <v>2050</v>
      </c>
      <c r="E198" t="inlineStr">
        <is>
          <t>CH</t>
        </is>
      </c>
      <c r="F198" t="inlineStr">
        <is>
          <t>None</t>
        </is>
      </c>
      <c r="G198" t="inlineStr">
        <is>
          <t>vkm</t>
        </is>
      </c>
      <c r="H198" t="inlineStr">
        <is>
          <t>BEV</t>
        </is>
      </c>
      <c r="I198" t="inlineStr">
        <is>
          <t>LFP</t>
        </is>
      </c>
      <c r="J198" t="inlineStr">
        <is>
          <t>None</t>
        </is>
      </c>
      <c r="L198" s="24" t="n">
        <v>0</v>
      </c>
      <c r="M198" s="24" t="n">
        <v>0</v>
      </c>
      <c r="N198" s="24" t="n">
        <v>0.003836250793656903</v>
      </c>
      <c r="O198" s="24" t="n">
        <v>0.01230659169225786</v>
      </c>
      <c r="P198" s="24" t="n">
        <v>0.004540236565139751</v>
      </c>
      <c r="Q198" s="24" t="n">
        <v>0.06900818026394887</v>
      </c>
      <c r="R198" s="24" t="n">
        <v>0.08969125931500338</v>
      </c>
      <c r="S198" s="26" t="n">
        <v>0</v>
      </c>
      <c r="T198" s="26" t="n">
        <v>0</v>
      </c>
      <c r="U198" s="26" t="n">
        <v>0.0004060419536099208</v>
      </c>
      <c r="V198" s="26" t="n">
        <v>0.0004722191823356421</v>
      </c>
      <c r="W198" s="26" t="n">
        <v>0.0003138324910262963</v>
      </c>
      <c r="X198" s="26" t="n">
        <v>0.04233618431894347</v>
      </c>
      <c r="Y198" s="26" t="n">
        <v>0.04352827794591533</v>
      </c>
      <c r="Z198" s="28" t="n">
        <v>0</v>
      </c>
      <c r="AA198" s="28" t="n">
        <v>0.003127173544286591</v>
      </c>
      <c r="AB198" s="28" t="n">
        <v>0.0001189948184876246</v>
      </c>
      <c r="AC198" s="28" t="n">
        <v>0.0001543898913344915</v>
      </c>
      <c r="AD198" s="28" t="n">
        <v>0.0001399777848088184</v>
      </c>
      <c r="AE198" s="28" t="n">
        <v>0.005444708317217105</v>
      </c>
      <c r="AF198" s="28" t="n">
        <v>0.008985244356134632</v>
      </c>
      <c r="AG198" s="30" t="n">
        <v>0</v>
      </c>
      <c r="AH198" s="30" t="n">
        <v>1.649105312647228e-05</v>
      </c>
      <c r="AI198" s="30" t="n">
        <v>0.0002718907168790728</v>
      </c>
      <c r="AJ198" s="30" t="n">
        <v>0.0003750735787279196</v>
      </c>
      <c r="AK198" s="30" t="n">
        <v>0.0001891735812628183</v>
      </c>
      <c r="AL198" s="30" t="n">
        <v>0.01829979100072312</v>
      </c>
      <c r="AM198" s="30" t="n">
        <v>0.0191524199307194</v>
      </c>
      <c r="AN198" s="32" t="n">
        <v>0</v>
      </c>
      <c r="AO198" s="32" t="n">
        <v>1.179775095002105e-05</v>
      </c>
      <c r="AP198" s="32" t="n">
        <v>3.428275525915461e-07</v>
      </c>
      <c r="AQ198" s="32" t="n">
        <v>7.464152422116936e-07</v>
      </c>
      <c r="AR198" s="32" t="n">
        <v>7.68626232323852e-07</v>
      </c>
      <c r="AS198" s="32" t="n">
        <v>1.143083337548367e-05</v>
      </c>
      <c r="AT198" s="32" t="n">
        <v>2.508645335263181e-05</v>
      </c>
      <c r="AU198" s="34" t="n">
        <v>0</v>
      </c>
      <c r="AV198" s="34" t="n">
        <v>0</v>
      </c>
      <c r="AW198" s="34" t="n">
        <v>0.1793996147096391</v>
      </c>
      <c r="AX198" s="34" t="n">
        <v>0.1764744841436473</v>
      </c>
      <c r="AY198" s="34" t="n">
        <v>0.1592038082255731</v>
      </c>
      <c r="AZ198" s="34" t="n">
        <v>0.9191215504092944</v>
      </c>
      <c r="BA198" s="34" t="n">
        <v>1.434199457488154</v>
      </c>
      <c r="BB198" s="6" t="n"/>
      <c r="BC198" s="6" t="n"/>
      <c r="BD198" t="inlineStr">
        <is>
          <t>transport, Motorbike, battery electric, &lt;4kW, LFP battery, 2050/CH U</t>
        </is>
      </c>
      <c r="BF198" s="5" t="n">
        <v>0.08093373600000001</v>
      </c>
      <c r="BG198" s="5">
        <f>BF198-R198</f>
        <v>-8.7575233150033738E-3</v>
      </c>
      <c r="BH198" s="2" t="n">
        <v>212.02798</v>
      </c>
    </row>
    <row r="199">
      <c r="A199" t="str">
        <f>B199&amp;" - "&amp;D199&amp;" - "&amp;IF(I199&lt;&gt;"",I199&amp;" - "&amp;E199,E199)</f>
        <v>Motorbike, battery electric, 4-11kW - 2020 - LFP - CH</v>
      </c>
      <c r="B199" t="inlineStr">
        <is>
          <t>Motorbike, battery electric, 4-11kW</t>
        </is>
      </c>
      <c r="D199" s="18" t="n">
        <v>2020</v>
      </c>
      <c r="E199" t="inlineStr">
        <is>
          <t>CH</t>
        </is>
      </c>
      <c r="F199" t="inlineStr">
        <is>
          <t>None</t>
        </is>
      </c>
      <c r="G199" t="inlineStr">
        <is>
          <t>vkm</t>
        </is>
      </c>
      <c r="H199" t="inlineStr">
        <is>
          <t>BEV</t>
        </is>
      </c>
      <c r="I199" t="inlineStr">
        <is>
          <t>LFP</t>
        </is>
      </c>
      <c r="J199" t="inlineStr">
        <is>
          <t>None</t>
        </is>
      </c>
      <c r="L199" s="24" t="n">
        <v>0</v>
      </c>
      <c r="M199" s="24" t="n">
        <v>0</v>
      </c>
      <c r="N199" s="24" t="n">
        <v>0.0057702284664922</v>
      </c>
      <c r="O199" s="24" t="n">
        <v>0.01230659169225786</v>
      </c>
      <c r="P199" s="24" t="n">
        <v>0.004647866156637494</v>
      </c>
      <c r="Q199" s="24" t="n">
        <v>0.06016691479221362</v>
      </c>
      <c r="R199" s="24" t="n">
        <v>0.08289160110760119</v>
      </c>
      <c r="S199" s="26" t="n">
        <v>0</v>
      </c>
      <c r="T199" s="26" t="n">
        <v>0</v>
      </c>
      <c r="U199" s="26" t="n">
        <v>0.0006107407897273188</v>
      </c>
      <c r="V199" s="26" t="n">
        <v>0.0004722191823356421</v>
      </c>
      <c r="W199" s="26" t="n">
        <v>0.0003206333509649768</v>
      </c>
      <c r="X199" s="26" t="n">
        <v>0.0394909572336636</v>
      </c>
      <c r="Y199" s="26" t="n">
        <v>0.04089455055669154</v>
      </c>
      <c r="Z199" s="28" t="n">
        <v>0</v>
      </c>
      <c r="AA199" s="28" t="n">
        <v>0.003127173544286591</v>
      </c>
      <c r="AB199" s="28" t="n">
        <v>0.0001789839418574189</v>
      </c>
      <c r="AC199" s="28" t="n">
        <v>0.0001543898913344915</v>
      </c>
      <c r="AD199" s="28" t="n">
        <v>0.0001430692234102964</v>
      </c>
      <c r="AE199" s="28" t="n">
        <v>0.004494848119034634</v>
      </c>
      <c r="AF199" s="28" t="n">
        <v>0.008098464719923431</v>
      </c>
      <c r="AG199" s="30" t="n">
        <v>0</v>
      </c>
      <c r="AH199" s="30" t="n">
        <v>1.649105312647228e-05</v>
      </c>
      <c r="AI199" s="30" t="n">
        <v>0.0004089595906776136</v>
      </c>
      <c r="AJ199" s="30" t="n">
        <v>0.0003750735787279196</v>
      </c>
      <c r="AK199" s="30" t="n">
        <v>0.0001920587419523099</v>
      </c>
      <c r="AL199" s="30" t="n">
        <v>0.0156680350787129</v>
      </c>
      <c r="AM199" s="30" t="n">
        <v>0.01666061804319722</v>
      </c>
      <c r="AN199" s="32" t="n">
        <v>0</v>
      </c>
      <c r="AO199" s="32" t="n">
        <v>1.179775095002105e-05</v>
      </c>
      <c r="AP199" s="32" t="n">
        <v>5.156579716666231e-07</v>
      </c>
      <c r="AQ199" s="32" t="n">
        <v>7.464152422116936e-07</v>
      </c>
      <c r="AR199" s="32" t="n">
        <v>7.800183286735134e-07</v>
      </c>
      <c r="AS199" s="32" t="n">
        <v>1.096479346151333e-05</v>
      </c>
      <c r="AT199" s="32" t="n">
        <v>2.480463595408621e-05</v>
      </c>
      <c r="AU199" s="34" t="n">
        <v>0</v>
      </c>
      <c r="AV199" s="34" t="n">
        <v>0</v>
      </c>
      <c r="AW199" s="34" t="n">
        <v>0.2698407427863993</v>
      </c>
      <c r="AX199" s="34" t="n">
        <v>0.1764744841436473</v>
      </c>
      <c r="AY199" s="34" t="n">
        <v>0.1627296835009756</v>
      </c>
      <c r="AZ199" s="34" t="n">
        <v>0.8180934247705551</v>
      </c>
      <c r="BA199" s="34" t="n">
        <v>1.427138335201577</v>
      </c>
      <c r="BB199" s="6" t="n"/>
      <c r="BC199" s="6" t="n"/>
      <c r="BD199" t="inlineStr">
        <is>
          <t>transport, Motorbike, battery electric, 4-11kW, LFP battery/CH U</t>
        </is>
      </c>
      <c r="BF199" s="5" t="n">
        <v>0.08071276699999999</v>
      </c>
      <c r="BG199" s="5">
        <f>BF199-R199</f>
        <v>-2.1788341076011963E-3</v>
      </c>
      <c r="BH199" s="2" t="n">
        <v>192.73079</v>
      </c>
    </row>
    <row r="200">
      <c r="A200" t="str">
        <f>B200&amp;" - "&amp;D200&amp;" - "&amp;IF(I200&lt;&gt;"",I200&amp;" - "&amp;E200,E200)</f>
        <v>Motorbike, battery electric, 4-11kW - 2030 - LFP - CH</v>
      </c>
      <c r="B200" t="inlineStr">
        <is>
          <t>Motorbike, battery electric, 4-11kW</t>
        </is>
      </c>
      <c r="D200" s="18" t="n">
        <v>2030</v>
      </c>
      <c r="E200" t="inlineStr">
        <is>
          <t>CH</t>
        </is>
      </c>
      <c r="F200" t="inlineStr">
        <is>
          <t>None</t>
        </is>
      </c>
      <c r="G200" t="inlineStr">
        <is>
          <t>vkm</t>
        </is>
      </c>
      <c r="H200" t="inlineStr">
        <is>
          <t>BEV</t>
        </is>
      </c>
      <c r="I200" t="inlineStr">
        <is>
          <t>LFP</t>
        </is>
      </c>
      <c r="J200" t="inlineStr">
        <is>
          <t>None</t>
        </is>
      </c>
      <c r="L200" s="24" t="n">
        <v>0</v>
      </c>
      <c r="M200" s="24" t="n">
        <v>0</v>
      </c>
      <c r="N200" s="24" t="n">
        <v>0.0057702284664922</v>
      </c>
      <c r="O200" s="24" t="n">
        <v>0.01230659169225786</v>
      </c>
      <c r="P200" s="24" t="n">
        <v>0.004713888553405404</v>
      </c>
      <c r="Q200" s="24" t="n">
        <v>0.06859295945713448</v>
      </c>
      <c r="R200" s="24" t="n">
        <v>0.09138366816928994</v>
      </c>
      <c r="S200" s="26" t="n">
        <v>0</v>
      </c>
      <c r="T200" s="26" t="n">
        <v>0</v>
      </c>
      <c r="U200" s="26" t="n">
        <v>0.0006107407897273188</v>
      </c>
      <c r="V200" s="26" t="n">
        <v>0.0004722191823356421</v>
      </c>
      <c r="W200" s="26" t="n">
        <v>0.0003248051504393245</v>
      </c>
      <c r="X200" s="26" t="n">
        <v>0.04376212307962078</v>
      </c>
      <c r="Y200" s="26" t="n">
        <v>0.04516988820212307</v>
      </c>
      <c r="Z200" s="28" t="n">
        <v>0</v>
      </c>
      <c r="AA200" s="28" t="n">
        <v>0.003127173544286591</v>
      </c>
      <c r="AB200" s="28" t="n">
        <v>0.0001789839418574189</v>
      </c>
      <c r="AC200" s="28" t="n">
        <v>0.0001543898913344915</v>
      </c>
      <c r="AD200" s="28" t="n">
        <v>0.000144965580936978</v>
      </c>
      <c r="AE200" s="28" t="n">
        <v>0.005206504781361798</v>
      </c>
      <c r="AF200" s="28" t="n">
        <v>0.008812017739777278</v>
      </c>
      <c r="AG200" s="30" t="n">
        <v>0</v>
      </c>
      <c r="AH200" s="30" t="n">
        <v>1.649105312647228e-05</v>
      </c>
      <c r="AI200" s="30" t="n">
        <v>0.0004089595906776136</v>
      </c>
      <c r="AJ200" s="30" t="n">
        <v>0.0003750735787279196</v>
      </c>
      <c r="AK200" s="30" t="n">
        <v>0.0001938285639978091</v>
      </c>
      <c r="AL200" s="30" t="n">
        <v>0.01792903422555724</v>
      </c>
      <c r="AM200" s="30" t="n">
        <v>0.01892338701208705</v>
      </c>
      <c r="AN200" s="32" t="n">
        <v>0</v>
      </c>
      <c r="AO200" s="32" t="n">
        <v>1.179775095002105e-05</v>
      </c>
      <c r="AP200" s="32" t="n">
        <v>5.156579716666231e-07</v>
      </c>
      <c r="AQ200" s="32" t="n">
        <v>7.464152422116936e-07</v>
      </c>
      <c r="AR200" s="32" t="n">
        <v>7.870064951688901e-07</v>
      </c>
      <c r="AS200" s="32" t="n">
        <v>1.203681131145154e-05</v>
      </c>
      <c r="AT200" s="32" t="n">
        <v>2.58836419705198e-05</v>
      </c>
      <c r="AU200" s="34" t="n">
        <v>0</v>
      </c>
      <c r="AV200" s="34" t="n">
        <v>0</v>
      </c>
      <c r="AW200" s="34" t="n">
        <v>0.2698407427863993</v>
      </c>
      <c r="AX200" s="34" t="n">
        <v>0.1764744841436473</v>
      </c>
      <c r="AY200" s="34" t="n">
        <v>0.164892534192383</v>
      </c>
      <c r="AZ200" s="34" t="n">
        <v>0.9245949185632911</v>
      </c>
      <c r="BA200" s="34" t="n">
        <v>1.53580267968572</v>
      </c>
      <c r="BB200" s="6" t="n"/>
      <c r="BC200" s="6" t="n"/>
      <c r="BD200" t="inlineStr">
        <is>
          <t>transport, Motorbike, battery electric, 4-11kW, LFP battery, 2030/CH U</t>
        </is>
      </c>
      <c r="BF200" s="5" t="n">
        <v>0.086189918</v>
      </c>
      <c r="BG200" s="5">
        <f>BF200-R200</f>
        <v>-5.1937501692899402E-3</v>
      </c>
      <c r="BH200" s="2" t="n">
        <v>212.22204</v>
      </c>
    </row>
    <row r="201">
      <c r="A201" t="str">
        <f>B201&amp;" - "&amp;D201&amp;" - "&amp;IF(I201&lt;&gt;"",I201&amp;" - "&amp;E201,E201)</f>
        <v>Motorbike, battery electric, 4-11kW - 2040 - LFP - CH</v>
      </c>
      <c r="B201" t="inlineStr">
        <is>
          <t>Motorbike, battery electric, 4-11kW</t>
        </is>
      </c>
      <c r="D201" s="18" t="n">
        <v>2040</v>
      </c>
      <c r="E201" t="inlineStr">
        <is>
          <t>CH</t>
        </is>
      </c>
      <c r="F201" t="inlineStr">
        <is>
          <t>None</t>
        </is>
      </c>
      <c r="G201" t="inlineStr">
        <is>
          <t>vkm</t>
        </is>
      </c>
      <c r="H201" t="inlineStr">
        <is>
          <t>BEV</t>
        </is>
      </c>
      <c r="I201" t="inlineStr">
        <is>
          <t>LFP</t>
        </is>
      </c>
      <c r="J201" t="inlineStr">
        <is>
          <t>None</t>
        </is>
      </c>
      <c r="L201" s="24" t="n">
        <v>0</v>
      </c>
      <c r="M201" s="24" t="n">
        <v>0</v>
      </c>
      <c r="N201" s="24" t="n">
        <v>0.0057702284664922</v>
      </c>
      <c r="O201" s="24" t="n">
        <v>0.01230659169225786</v>
      </c>
      <c r="P201" s="24" t="n">
        <v>0.004737520092595543</v>
      </c>
      <c r="Q201" s="24" t="n">
        <v>0.06687707536082832</v>
      </c>
      <c r="R201" s="24" t="n">
        <v>0.08969141561217392</v>
      </c>
      <c r="S201" s="26" t="n">
        <v>0</v>
      </c>
      <c r="T201" s="26" t="n">
        <v>0</v>
      </c>
      <c r="U201" s="26" t="n">
        <v>0.0006107407897273188</v>
      </c>
      <c r="V201" s="26" t="n">
        <v>0.0004722191823356421</v>
      </c>
      <c r="W201" s="26" t="n">
        <v>0.0003262983716430019</v>
      </c>
      <c r="X201" s="26" t="n">
        <v>0.04168423620918951</v>
      </c>
      <c r="Y201" s="26" t="n">
        <v>0.04309349455289548</v>
      </c>
      <c r="Z201" s="28" t="n">
        <v>0</v>
      </c>
      <c r="AA201" s="28" t="n">
        <v>0.003127173544286591</v>
      </c>
      <c r="AB201" s="28" t="n">
        <v>0.0001789839418574189</v>
      </c>
      <c r="AC201" s="28" t="n">
        <v>0.0001543898913344915</v>
      </c>
      <c r="AD201" s="28" t="n">
        <v>0.000145644348285698</v>
      </c>
      <c r="AE201" s="28" t="n">
        <v>0.004964993129898738</v>
      </c>
      <c r="AF201" s="28" t="n">
        <v>0.008571184855662937</v>
      </c>
      <c r="AG201" s="30" t="n">
        <v>0</v>
      </c>
      <c r="AH201" s="30" t="n">
        <v>1.649105312647228e-05</v>
      </c>
      <c r="AI201" s="30" t="n">
        <v>0.0004089595906776136</v>
      </c>
      <c r="AJ201" s="30" t="n">
        <v>0.0003750735787279196</v>
      </c>
      <c r="AK201" s="30" t="n">
        <v>0.0001944620402282285</v>
      </c>
      <c r="AL201" s="30" t="n">
        <v>0.01715313035658461</v>
      </c>
      <c r="AM201" s="30" t="n">
        <v>0.01814811661934485</v>
      </c>
      <c r="AN201" s="32" t="n">
        <v>0</v>
      </c>
      <c r="AO201" s="32" t="n">
        <v>1.179775095002105e-05</v>
      </c>
      <c r="AP201" s="32" t="n">
        <v>5.156579716666231e-07</v>
      </c>
      <c r="AQ201" s="32" t="n">
        <v>7.464152422116936e-07</v>
      </c>
      <c r="AR201" s="32" t="n">
        <v>7.895077847083055e-07</v>
      </c>
      <c r="AS201" s="32" t="n">
        <v>1.156228107659039e-05</v>
      </c>
      <c r="AT201" s="32" t="n">
        <v>2.541161302519806e-05</v>
      </c>
      <c r="AU201" s="34" t="n">
        <v>0</v>
      </c>
      <c r="AV201" s="34" t="n">
        <v>0</v>
      </c>
      <c r="AW201" s="34" t="n">
        <v>0.2698407427863993</v>
      </c>
      <c r="AX201" s="34" t="n">
        <v>0.1764744841436473</v>
      </c>
      <c r="AY201" s="34" t="n">
        <v>0.1656666880156088</v>
      </c>
      <c r="AZ201" s="34" t="n">
        <v>0.8965570937197715</v>
      </c>
      <c r="BA201" s="34" t="n">
        <v>1.508539008665427</v>
      </c>
      <c r="BB201" s="6" t="n"/>
      <c r="BC201" s="6" t="n"/>
      <c r="BD201" t="inlineStr">
        <is>
          <t>transport, Motorbike, battery electric, 4-11kW, LFP battery, 2040/CH U</t>
        </is>
      </c>
      <c r="BF201" s="5" t="n">
        <v>0.08440595099999999</v>
      </c>
      <c r="BG201" s="5">
        <f>BF201-R201</f>
        <v>-5.2854646121739263E-3</v>
      </c>
      <c r="BH201" s="2" t="n">
        <v>201.29917</v>
      </c>
    </row>
    <row r="202">
      <c r="A202" t="str">
        <f>B202&amp;" - "&amp;D202&amp;" - "&amp;IF(I202&lt;&gt;"",I202&amp;" - "&amp;E202,E202)</f>
        <v>Motorbike, battery electric, 4-11kW - 2050 - LFP - CH</v>
      </c>
      <c r="B202" t="inlineStr">
        <is>
          <t>Motorbike, battery electric, 4-11kW</t>
        </is>
      </c>
      <c r="D202" s="18" t="n">
        <v>2050</v>
      </c>
      <c r="E202" t="inlineStr">
        <is>
          <t>CH</t>
        </is>
      </c>
      <c r="F202" t="inlineStr">
        <is>
          <t>None</t>
        </is>
      </c>
      <c r="G202" t="inlineStr">
        <is>
          <t>vkm</t>
        </is>
      </c>
      <c r="H202" t="inlineStr">
        <is>
          <t>BEV</t>
        </is>
      </c>
      <c r="I202" t="inlineStr">
        <is>
          <t>LFP</t>
        </is>
      </c>
      <c r="J202" t="inlineStr">
        <is>
          <t>None</t>
        </is>
      </c>
      <c r="L202" s="24" t="n">
        <v>0</v>
      </c>
      <c r="M202" s="24" t="n">
        <v>0</v>
      </c>
      <c r="N202" s="24" t="n">
        <v>0.0057702284664922</v>
      </c>
      <c r="O202" s="24" t="n">
        <v>0.00799129330666095</v>
      </c>
      <c r="P202" s="24" t="n">
        <v>0.004736494302767373</v>
      </c>
      <c r="Q202" s="24" t="n">
        <v>0.1017170859595791</v>
      </c>
      <c r="R202" s="24" t="n">
        <v>0.1202151020354996</v>
      </c>
      <c r="S202" s="26" t="n">
        <v>0</v>
      </c>
      <c r="T202" s="26" t="n">
        <v>0</v>
      </c>
      <c r="U202" s="26" t="n">
        <v>0.0006107407897273188</v>
      </c>
      <c r="V202" s="26" t="n">
        <v>0.0003066358326854819</v>
      </c>
      <c r="W202" s="26" t="n">
        <v>0.0003262335544040732</v>
      </c>
      <c r="X202" s="26" t="n">
        <v>0.06362985957901225</v>
      </c>
      <c r="Y202" s="26" t="n">
        <v>0.06487346975582912</v>
      </c>
      <c r="Z202" s="28" t="n">
        <v>0</v>
      </c>
      <c r="AA202" s="28" t="n">
        <v>0.003127173544286591</v>
      </c>
      <c r="AB202" s="28" t="n">
        <v>0.0001789839418574189</v>
      </c>
      <c r="AC202" s="28" t="n">
        <v>0.0001002531761912283</v>
      </c>
      <c r="AD202" s="28" t="n">
        <v>0.0001456148845831262</v>
      </c>
      <c r="AE202" s="28" t="n">
        <v>0.008241124460098963</v>
      </c>
      <c r="AF202" s="28" t="n">
        <v>0.01179315000701733</v>
      </c>
      <c r="AG202" s="30" t="n">
        <v>0</v>
      </c>
      <c r="AH202" s="30" t="n">
        <v>1.649105312647228e-05</v>
      </c>
      <c r="AI202" s="30" t="n">
        <v>0.0004089595906776136</v>
      </c>
      <c r="AJ202" s="30" t="n">
        <v>0.0002435542719012465</v>
      </c>
      <c r="AK202" s="30" t="n">
        <v>0.0001944345425071396</v>
      </c>
      <c r="AL202" s="30" t="n">
        <v>0.02767092933666445</v>
      </c>
      <c r="AM202" s="30" t="n">
        <v>0.02853436879487692</v>
      </c>
      <c r="AN202" s="32" t="n">
        <v>0</v>
      </c>
      <c r="AO202" s="32" t="n">
        <v>1.179775095002105e-05</v>
      </c>
      <c r="AP202" s="32" t="n">
        <v>5.156579716666231e-07</v>
      </c>
      <c r="AQ202" s="32" t="n">
        <v>4.846852222153855e-07</v>
      </c>
      <c r="AR202" s="32" t="n">
        <v>7.893992095813872e-07</v>
      </c>
      <c r="AS202" s="32" t="n">
        <v>1.681663914539291e-05</v>
      </c>
      <c r="AT202" s="32" t="n">
        <v>3.040413249887736e-05</v>
      </c>
      <c r="AU202" s="34" t="n">
        <v>0</v>
      </c>
      <c r="AV202" s="34" t="n">
        <v>0</v>
      </c>
      <c r="AW202" s="34" t="n">
        <v>0.2698407427863993</v>
      </c>
      <c r="AX202" s="34" t="n">
        <v>0.1145938208724982</v>
      </c>
      <c r="AY202" s="34" t="n">
        <v>0.1656330838093438</v>
      </c>
      <c r="AZ202" s="34" t="n">
        <v>1.357655416471629</v>
      </c>
      <c r="BA202" s="34" t="n">
        <v>1.907723063939871</v>
      </c>
      <c r="BB202" s="6" t="n"/>
      <c r="BC202" s="6" t="n"/>
      <c r="BD202" t="inlineStr">
        <is>
          <t>transport, Motorbike, battery electric, 4-11kW, LFP battery, 2050/CH U</t>
        </is>
      </c>
      <c r="BF202" s="5" t="n">
        <v>0.10549116</v>
      </c>
      <c r="BG202" s="5">
        <f>BF202-R202</f>
        <v>-1.4723942035499621E-2</v>
      </c>
      <c r="BH202" s="2" t="n">
        <v>301.55876</v>
      </c>
    </row>
    <row r="203">
      <c r="A203" t="str">
        <f>B203&amp;" - "&amp;D203&amp;" - "&amp;IF(I203&lt;&gt;"",I203&amp;" - "&amp;E203,E203)</f>
        <v>Motorbike, battery electric, 11-35kW - 2020 - LFP - CH</v>
      </c>
      <c r="B203" t="inlineStr">
        <is>
          <t>Motorbike, battery electric, 11-35kW</t>
        </is>
      </c>
      <c r="D203" s="18" t="n">
        <v>2020</v>
      </c>
      <c r="E203" t="inlineStr">
        <is>
          <t>CH</t>
        </is>
      </c>
      <c r="F203" t="inlineStr">
        <is>
          <t>None</t>
        </is>
      </c>
      <c r="G203" t="inlineStr">
        <is>
          <t>vkm</t>
        </is>
      </c>
      <c r="H203" t="inlineStr">
        <is>
          <t>BEV</t>
        </is>
      </c>
      <c r="I203" t="inlineStr">
        <is>
          <t>LFP</t>
        </is>
      </c>
      <c r="J203" t="inlineStr">
        <is>
          <t>None</t>
        </is>
      </c>
      <c r="L203" s="24" t="n">
        <v>0</v>
      </c>
      <c r="M203" s="24" t="n">
        <v>0</v>
      </c>
      <c r="N203" s="24" t="n">
        <v>0.007810600247623645</v>
      </c>
      <c r="O203" s="24" t="n">
        <v>0.01230659169225786</v>
      </c>
      <c r="P203" s="24" t="n">
        <v>0.005077432515438325</v>
      </c>
      <c r="Q203" s="24" t="n">
        <v>0.07896714648697269</v>
      </c>
      <c r="R203" s="24" t="n">
        <v>0.1041617709422925</v>
      </c>
      <c r="S203" s="26" t="n">
        <v>0</v>
      </c>
      <c r="T203" s="26" t="n">
        <v>0</v>
      </c>
      <c r="U203" s="26" t="n">
        <v>0.000826700743511107</v>
      </c>
      <c r="V203" s="26" t="n">
        <v>0.0004722191823356421</v>
      </c>
      <c r="W203" s="26" t="n">
        <v>0.0003477766356315794</v>
      </c>
      <c r="X203" s="26" t="n">
        <v>0.05208495648286749</v>
      </c>
      <c r="Y203" s="26" t="n">
        <v>0.05373165304434582</v>
      </c>
      <c r="Z203" s="28" t="n">
        <v>0</v>
      </c>
      <c r="AA203" s="28" t="n">
        <v>0.003127173544286591</v>
      </c>
      <c r="AB203" s="28" t="n">
        <v>0.0002422732529067532</v>
      </c>
      <c r="AC203" s="28" t="n">
        <v>0.0001543898913344915</v>
      </c>
      <c r="AD203" s="28" t="n">
        <v>0.0001554076333681293</v>
      </c>
      <c r="AE203" s="28" t="n">
        <v>0.006542119057818362</v>
      </c>
      <c r="AF203" s="28" t="n">
        <v>0.01022136337971433</v>
      </c>
      <c r="AG203" s="30" t="n">
        <v>0</v>
      </c>
      <c r="AH203" s="30" t="n">
        <v>1.649105312647228e-05</v>
      </c>
      <c r="AI203" s="30" t="n">
        <v>0.000553569048221143</v>
      </c>
      <c r="AJ203" s="30" t="n">
        <v>0.0003750735787279196</v>
      </c>
      <c r="AK203" s="30" t="n">
        <v>0.0002035738648352779</v>
      </c>
      <c r="AL203" s="30" t="n">
        <v>0.02201017264853068</v>
      </c>
      <c r="AM203" s="30" t="n">
        <v>0.02315888019344149</v>
      </c>
      <c r="AN203" s="32" t="n">
        <v>0</v>
      </c>
      <c r="AO203" s="32" t="n">
        <v>1.179775095002105e-05</v>
      </c>
      <c r="AP203" s="32" t="n">
        <v>6.979963279750106e-07</v>
      </c>
      <c r="AQ203" s="32" t="n">
        <v>7.464152422116936e-07</v>
      </c>
      <c r="AR203" s="32" t="n">
        <v>8.254859484975175e-07</v>
      </c>
      <c r="AS203" s="32" t="n">
        <v>1.384164295195637e-05</v>
      </c>
      <c r="AT203" s="32" t="n">
        <v>2.790929142066164e-05</v>
      </c>
      <c r="AU203" s="34" t="n">
        <v>0</v>
      </c>
      <c r="AV203" s="34" t="n">
        <v>0</v>
      </c>
      <c r="AW203" s="34" t="n">
        <v>0.3652573177414669</v>
      </c>
      <c r="AX203" s="34" t="n">
        <v>0.1764744841436473</v>
      </c>
      <c r="AY203" s="34" t="n">
        <v>0.1768019974674583</v>
      </c>
      <c r="AZ203" s="34" t="n">
        <v>1.071094956318437</v>
      </c>
      <c r="BA203" s="34" t="n">
        <v>1.789628755671009</v>
      </c>
      <c r="BB203" s="6" t="n"/>
      <c r="BC203" s="6" t="n"/>
      <c r="BD203" t="inlineStr">
        <is>
          <t>transport, Motorbike, battery electric, 11-35kW, LFP battery/CH U</t>
        </is>
      </c>
      <c r="BF203" s="5" t="n">
        <v>0.096879242</v>
      </c>
      <c r="BG203" s="5">
        <f>BF203-R203</f>
        <v>-7.2825289422925044E-3</v>
      </c>
      <c r="BH203" s="2" t="n">
        <v>268.1937</v>
      </c>
    </row>
    <row r="204">
      <c r="A204" t="str">
        <f>B204&amp;" - "&amp;D204&amp;" - "&amp;IF(I204&lt;&gt;"",I204&amp;" - "&amp;E204,E204)</f>
        <v>Motorbike, battery electric, 11-35kW - 2030 - LFP - CH</v>
      </c>
      <c r="B204" t="inlineStr">
        <is>
          <t>Motorbike, battery electric, 11-35kW</t>
        </is>
      </c>
      <c r="D204" s="18" t="n">
        <v>2030</v>
      </c>
      <c r="E204" t="inlineStr">
        <is>
          <t>CH</t>
        </is>
      </c>
      <c r="F204" t="inlineStr">
        <is>
          <t>None</t>
        </is>
      </c>
      <c r="G204" t="inlineStr">
        <is>
          <t>vkm</t>
        </is>
      </c>
      <c r="H204" t="inlineStr">
        <is>
          <t>BEV</t>
        </is>
      </c>
      <c r="I204" t="inlineStr">
        <is>
          <t>LFP</t>
        </is>
      </c>
      <c r="J204" t="inlineStr">
        <is>
          <t>None</t>
        </is>
      </c>
      <c r="L204" s="24" t="n">
        <v>0</v>
      </c>
      <c r="M204" s="24" t="n">
        <v>0</v>
      </c>
      <c r="N204" s="24" t="n">
        <v>0.007810600247623645</v>
      </c>
      <c r="O204" s="24" t="n">
        <v>0.01230659169225786</v>
      </c>
      <c r="P204" s="24" t="n">
        <v>0.005218260005049971</v>
      </c>
      <c r="Q204" s="24" t="n">
        <v>0.08634749278202478</v>
      </c>
      <c r="R204" s="24" t="n">
        <v>0.1116829447269563</v>
      </c>
      <c r="S204" s="26" t="n">
        <v>0</v>
      </c>
      <c r="T204" s="26" t="n">
        <v>0</v>
      </c>
      <c r="U204" s="26" t="n">
        <v>0.000826700743511107</v>
      </c>
      <c r="V204" s="26" t="n">
        <v>0.0004722191823356421</v>
      </c>
      <c r="W204" s="26" t="n">
        <v>0.000356675192422858</v>
      </c>
      <c r="X204" s="26" t="n">
        <v>0.05586694926557905</v>
      </c>
      <c r="Y204" s="26" t="n">
        <v>0.05752254438384866</v>
      </c>
      <c r="Z204" s="28" t="n">
        <v>0</v>
      </c>
      <c r="AA204" s="28" t="n">
        <v>0.003127173544286591</v>
      </c>
      <c r="AB204" s="28" t="n">
        <v>0.0002422732529067532</v>
      </c>
      <c r="AC204" s="28" t="n">
        <v>0.0001543898913344915</v>
      </c>
      <c r="AD204" s="28" t="n">
        <v>0.0001594526132986145</v>
      </c>
      <c r="AE204" s="28" t="n">
        <v>0.007170936107083328</v>
      </c>
      <c r="AF204" s="28" t="n">
        <v>0.01085422540890978</v>
      </c>
      <c r="AG204" s="30" t="n">
        <v>0</v>
      </c>
      <c r="AH204" s="30" t="n">
        <v>1.649105312647228e-05</v>
      </c>
      <c r="AI204" s="30" t="n">
        <v>0.000553569048221143</v>
      </c>
      <c r="AJ204" s="30" t="n">
        <v>0.0003750735787279196</v>
      </c>
      <c r="AK204" s="30" t="n">
        <v>0.0002073489412930921</v>
      </c>
      <c r="AL204" s="30" t="n">
        <v>0.02398899846098413</v>
      </c>
      <c r="AM204" s="30" t="n">
        <v>0.02514148108235276</v>
      </c>
      <c r="AN204" s="32" t="n">
        <v>0</v>
      </c>
      <c r="AO204" s="32" t="n">
        <v>1.179775095002105e-05</v>
      </c>
      <c r="AP204" s="32" t="n">
        <v>6.979963279750106e-07</v>
      </c>
      <c r="AQ204" s="32" t="n">
        <v>7.464152422116936e-07</v>
      </c>
      <c r="AR204" s="32" t="n">
        <v>8.40391889401051e-07</v>
      </c>
      <c r="AS204" s="32" t="n">
        <v>1.481061050017246e-05</v>
      </c>
      <c r="AT204" s="32" t="n">
        <v>2.889316490978126e-05</v>
      </c>
      <c r="AU204" s="34" t="n">
        <v>0</v>
      </c>
      <c r="AV204" s="34" t="n">
        <v>0</v>
      </c>
      <c r="AW204" s="34" t="n">
        <v>0.3652573177414669</v>
      </c>
      <c r="AX204" s="34" t="n">
        <v>0.1764744841436473</v>
      </c>
      <c r="AY204" s="34" t="n">
        <v>0.1814154142500456</v>
      </c>
      <c r="AZ204" s="34" t="n">
        <v>1.165031617381573</v>
      </c>
      <c r="BA204" s="34" t="n">
        <v>1.888178833516732</v>
      </c>
      <c r="BB204" s="6" t="n"/>
      <c r="BC204" s="6" t="n"/>
      <c r="BD204" t="inlineStr">
        <is>
          <t>transport, Motorbike, battery electric, 11-35kW, LFP battery, 2030/CH U</t>
        </is>
      </c>
      <c r="BF204" s="5" t="n">
        <v>0.10189909</v>
      </c>
      <c r="BG204" s="5">
        <f>BF204-R204</f>
        <v>-9.7838547269562537E-3</v>
      </c>
      <c r="BH204" s="2" t="n">
        <v>285.96847</v>
      </c>
    </row>
    <row r="205">
      <c r="A205" t="str">
        <f>B205&amp;" - "&amp;D205&amp;" - "&amp;IF(I205&lt;&gt;"",I205&amp;" - "&amp;E205,E205)</f>
        <v>Motorbike, battery electric, 11-35kW - 2040 - LFP - CH</v>
      </c>
      <c r="B205" t="inlineStr">
        <is>
          <t>Motorbike, battery electric, 11-35kW</t>
        </is>
      </c>
      <c r="D205" s="18" t="n">
        <v>2040</v>
      </c>
      <c r="E205" t="inlineStr">
        <is>
          <t>CH</t>
        </is>
      </c>
      <c r="F205" t="inlineStr">
        <is>
          <t>None</t>
        </is>
      </c>
      <c r="G205" t="inlineStr">
        <is>
          <t>vkm</t>
        </is>
      </c>
      <c r="H205" t="inlineStr">
        <is>
          <t>BEV</t>
        </is>
      </c>
      <c r="I205" t="inlineStr">
        <is>
          <t>LFP</t>
        </is>
      </c>
      <c r="J205" t="inlineStr">
        <is>
          <t>None</t>
        </is>
      </c>
      <c r="L205" s="24" t="n">
        <v>0</v>
      </c>
      <c r="M205" s="24" t="n">
        <v>0</v>
      </c>
      <c r="N205" s="24" t="n">
        <v>0.007810600247623645</v>
      </c>
      <c r="O205" s="24" t="n">
        <v>0.01230659169225786</v>
      </c>
      <c r="P205" s="24" t="n">
        <v>0.005281898674528609</v>
      </c>
      <c r="Q205" s="24" t="n">
        <v>0.08164288310706302</v>
      </c>
      <c r="R205" s="24" t="n">
        <v>0.1070419737214731</v>
      </c>
      <c r="S205" s="26" t="n">
        <v>0</v>
      </c>
      <c r="T205" s="26" t="n">
        <v>0</v>
      </c>
      <c r="U205" s="26" t="n">
        <v>0.000826700743511107</v>
      </c>
      <c r="V205" s="26" t="n">
        <v>0.0004722191823356421</v>
      </c>
      <c r="W205" s="26" t="n">
        <v>0.0003606963697941134</v>
      </c>
      <c r="X205" s="26" t="n">
        <v>0.05191234421070373</v>
      </c>
      <c r="Y205" s="26" t="n">
        <v>0.05357196050634459</v>
      </c>
      <c r="Z205" s="28" t="n">
        <v>0</v>
      </c>
      <c r="AA205" s="28" t="n">
        <v>0.003127173544286591</v>
      </c>
      <c r="AB205" s="28" t="n">
        <v>0.0002422732529067532</v>
      </c>
      <c r="AC205" s="28" t="n">
        <v>0.0001543898913344915</v>
      </c>
      <c r="AD205" s="28" t="n">
        <v>0.0001612805031626867</v>
      </c>
      <c r="AE205" s="28" t="n">
        <v>0.006649979937262329</v>
      </c>
      <c r="AF205" s="28" t="n">
        <v>0.01033509712895285</v>
      </c>
      <c r="AG205" s="30" t="n">
        <v>0</v>
      </c>
      <c r="AH205" s="30" t="n">
        <v>1.649105312647228e-05</v>
      </c>
      <c r="AI205" s="30" t="n">
        <v>0.000553569048221143</v>
      </c>
      <c r="AJ205" s="30" t="n">
        <v>0.0003750735787279196</v>
      </c>
      <c r="AK205" s="30" t="n">
        <v>0.0002090548642177848</v>
      </c>
      <c r="AL205" s="30" t="n">
        <v>0.02230611161835405</v>
      </c>
      <c r="AM205" s="30" t="n">
        <v>0.02346030016264737</v>
      </c>
      <c r="AN205" s="32" t="n">
        <v>0</v>
      </c>
      <c r="AO205" s="32" t="n">
        <v>1.179775095002105e-05</v>
      </c>
      <c r="AP205" s="32" t="n">
        <v>6.979963279750106e-07</v>
      </c>
      <c r="AQ205" s="32" t="n">
        <v>7.464152422116936e-07</v>
      </c>
      <c r="AR205" s="32" t="n">
        <v>8.471277493460373e-07</v>
      </c>
      <c r="AS205" s="32" t="n">
        <v>1.38974605894596e-05</v>
      </c>
      <c r="AT205" s="32" t="n">
        <v>2.798675085901339e-05</v>
      </c>
      <c r="AU205" s="34" t="n">
        <v>0</v>
      </c>
      <c r="AV205" s="34" t="n">
        <v>0</v>
      </c>
      <c r="AW205" s="34" t="n">
        <v>0.3652573177414669</v>
      </c>
      <c r="AX205" s="34" t="n">
        <v>0.1764744841436473</v>
      </c>
      <c r="AY205" s="34" t="n">
        <v>0.1835001755889284</v>
      </c>
      <c r="AZ205" s="34" t="n">
        <v>1.097692756959076</v>
      </c>
      <c r="BA205" s="34" t="n">
        <v>1.822924734433119</v>
      </c>
      <c r="BB205" s="6" t="n"/>
      <c r="BC205" s="6" t="n"/>
      <c r="BD205" t="inlineStr">
        <is>
          <t>transport, Motorbike, battery electric, 11-35kW, LFP battery, 2040/CH U</t>
        </is>
      </c>
      <c r="BF205" s="5" t="n">
        <v>0.098140874</v>
      </c>
      <c r="BG205" s="5">
        <f>BF205-R205</f>
        <v>-8.9010997214731408E-3</v>
      </c>
      <c r="BH205" s="2" t="n">
        <v>266.51057</v>
      </c>
    </row>
    <row r="206">
      <c r="A206" t="str">
        <f>B206&amp;" - "&amp;D206&amp;" - "&amp;IF(I206&lt;&gt;"",I206&amp;" - "&amp;E206,E206)</f>
        <v>Motorbike, battery electric, 11-35kW - 2050 - LFP - CH</v>
      </c>
      <c r="B206" t="inlineStr">
        <is>
          <t>Motorbike, battery electric, 11-35kW</t>
        </is>
      </c>
      <c r="D206" s="18" t="n">
        <v>2050</v>
      </c>
      <c r="E206" t="inlineStr">
        <is>
          <t>CH</t>
        </is>
      </c>
      <c r="F206" t="inlineStr">
        <is>
          <t>None</t>
        </is>
      </c>
      <c r="G206" t="inlineStr">
        <is>
          <t>vkm</t>
        </is>
      </c>
      <c r="H206" t="inlineStr">
        <is>
          <t>BEV</t>
        </is>
      </c>
      <c r="I206" t="inlineStr">
        <is>
          <t>LFP</t>
        </is>
      </c>
      <c r="J206" t="inlineStr">
        <is>
          <t>None</t>
        </is>
      </c>
      <c r="L206" s="24" t="n">
        <v>0</v>
      </c>
      <c r="M206" s="24" t="n">
        <v>0</v>
      </c>
      <c r="N206" s="24" t="n">
        <v>0.007810600247623645</v>
      </c>
      <c r="O206" s="24" t="n">
        <v>0.0116988587691834</v>
      </c>
      <c r="P206" s="24" t="n">
        <v>0.005246908027934013</v>
      </c>
      <c r="Q206" s="24" t="n">
        <v>0.1312707064103128</v>
      </c>
      <c r="R206" s="24" t="n">
        <v>0.1560270734550538</v>
      </c>
      <c r="S206" s="26" t="n">
        <v>0</v>
      </c>
      <c r="T206" s="26" t="n">
        <v>0</v>
      </c>
      <c r="U206" s="26" t="n">
        <v>0.000826700743511107</v>
      </c>
      <c r="V206" s="26" t="n">
        <v>0.0004488997165412894</v>
      </c>
      <c r="W206" s="26" t="n">
        <v>0.0003584853933949444</v>
      </c>
      <c r="X206" s="26" t="n">
        <v>0.08387969862823444</v>
      </c>
      <c r="Y206" s="26" t="n">
        <v>0.08551378448168177</v>
      </c>
      <c r="Z206" s="28" t="n">
        <v>0</v>
      </c>
      <c r="AA206" s="28" t="n">
        <v>0.003127173544286591</v>
      </c>
      <c r="AB206" s="28" t="n">
        <v>0.0002422732529067532</v>
      </c>
      <c r="AC206" s="28" t="n">
        <v>0.0001467656991698253</v>
      </c>
      <c r="AD206" s="28" t="n">
        <v>0.0001602754688215921</v>
      </c>
      <c r="AE206" s="28" t="n">
        <v>0.01137321068335082</v>
      </c>
      <c r="AF206" s="28" t="n">
        <v>0.01504969864853558</v>
      </c>
      <c r="AG206" s="30" t="n">
        <v>0</v>
      </c>
      <c r="AH206" s="30" t="n">
        <v>1.649105312647228e-05</v>
      </c>
      <c r="AI206" s="30" t="n">
        <v>0.000553569048221143</v>
      </c>
      <c r="AJ206" s="30" t="n">
        <v>0.0003565514266919729</v>
      </c>
      <c r="AK206" s="30" t="n">
        <v>0.0002081168913364444</v>
      </c>
      <c r="AL206" s="30" t="n">
        <v>0.03747263885956553</v>
      </c>
      <c r="AM206" s="30" t="n">
        <v>0.03860736727894157</v>
      </c>
      <c r="AN206" s="32" t="n">
        <v>0</v>
      </c>
      <c r="AO206" s="32" t="n">
        <v>1.179775095002105e-05</v>
      </c>
      <c r="AP206" s="32" t="n">
        <v>6.979963279750106e-07</v>
      </c>
      <c r="AQ206" s="32" t="n">
        <v>7.095552302506223e-07</v>
      </c>
      <c r="AR206" s="32" t="n">
        <v>8.434241506256895e-07</v>
      </c>
      <c r="AS206" s="32" t="n">
        <v>2.153221439947024e-05</v>
      </c>
      <c r="AT206" s="32" t="n">
        <v>3.558094105834262e-05</v>
      </c>
      <c r="AU206" s="34" t="n">
        <v>0</v>
      </c>
      <c r="AV206" s="34" t="n">
        <v>0</v>
      </c>
      <c r="AW206" s="34" t="n">
        <v>0.3652573177414669</v>
      </c>
      <c r="AX206" s="34" t="n">
        <v>0.1677596948032202</v>
      </c>
      <c r="AY206" s="34" t="n">
        <v>0.1823539048098478</v>
      </c>
      <c r="AZ206" s="34" t="n">
        <v>1.758224909414623</v>
      </c>
      <c r="BA206" s="34" t="n">
        <v>2.473595826769158</v>
      </c>
      <c r="BB206" s="6" t="n"/>
      <c r="BC206" s="6" t="n"/>
      <c r="BD206" t="inlineStr">
        <is>
          <t>transport, Motorbike, battery electric, 11-35kW, LFP battery, 2050/CH U</t>
        </is>
      </c>
      <c r="BF206" s="5" t="n">
        <v>0.13288535</v>
      </c>
      <c r="BG206" s="5">
        <f>BF206-R206</f>
        <v>-2.3141723455053859E-2</v>
      </c>
      <c r="BH206" s="2" t="n">
        <v>417.77734</v>
      </c>
    </row>
    <row r="207">
      <c r="A207" t="str">
        <f>B207&amp;" - "&amp;D207&amp;" - "&amp;IF(I207&lt;&gt;"",I207&amp;" - "&amp;E207,E207)</f>
        <v>Motorbike, battery electric, &gt;35kW - 2020 - LFP - CH</v>
      </c>
      <c r="B207" t="inlineStr">
        <is>
          <t>Motorbike, battery electric, &gt;35kW</t>
        </is>
      </c>
      <c r="D207" s="18" t="n">
        <v>2020</v>
      </c>
      <c r="E207" t="inlineStr">
        <is>
          <t>CH</t>
        </is>
      </c>
      <c r="F207" t="inlineStr">
        <is>
          <t>None</t>
        </is>
      </c>
      <c r="G207" t="inlineStr">
        <is>
          <t>vkm</t>
        </is>
      </c>
      <c r="H207" t="inlineStr">
        <is>
          <t>BEV</t>
        </is>
      </c>
      <c r="I207" t="inlineStr">
        <is>
          <t>LFP</t>
        </is>
      </c>
      <c r="J207" t="inlineStr">
        <is>
          <t>None</t>
        </is>
      </c>
      <c r="L207" s="24" t="n">
        <v>0</v>
      </c>
      <c r="M207" s="24" t="n">
        <v>0</v>
      </c>
      <c r="N207" s="24" t="n">
        <v>0.008710249309141712</v>
      </c>
      <c r="O207" s="24" t="n">
        <v>0.01230659169225786</v>
      </c>
      <c r="P207" s="24" t="n">
        <v>0.005732209784237132</v>
      </c>
      <c r="Q207" s="24" t="n">
        <v>0.1330489585066062</v>
      </c>
      <c r="R207" s="24" t="n">
        <v>0.1597980092922429</v>
      </c>
      <c r="S207" s="26" t="n">
        <v>0</v>
      </c>
      <c r="T207" s="26" t="n">
        <v>0</v>
      </c>
      <c r="U207" s="26" t="n">
        <v>0.0009219226886211946</v>
      </c>
      <c r="V207" s="26" t="n">
        <v>0.0004722191823356421</v>
      </c>
      <c r="W207" s="26" t="n">
        <v>0.0003891504663240965</v>
      </c>
      <c r="X207" s="26" t="n">
        <v>0.0868939624162452</v>
      </c>
      <c r="Y207" s="26" t="n">
        <v>0.08867725475352613</v>
      </c>
      <c r="Z207" s="28" t="n">
        <v>0</v>
      </c>
      <c r="AA207" s="28" t="n">
        <v>0.003127173544286591</v>
      </c>
      <c r="AB207" s="28" t="n">
        <v>0.0002701790344982262</v>
      </c>
      <c r="AC207" s="28" t="n">
        <v>0.0001543898913344915</v>
      </c>
      <c r="AD207" s="28" t="n">
        <v>0.0001742147634144923</v>
      </c>
      <c r="AE207" s="28" t="n">
        <v>0.01158069045361577</v>
      </c>
      <c r="AF207" s="28" t="n">
        <v>0.01530664768714957</v>
      </c>
      <c r="AG207" s="30" t="n">
        <v>0</v>
      </c>
      <c r="AH207" s="30" t="n">
        <v>1.649105312647228e-05</v>
      </c>
      <c r="AI207" s="30" t="n">
        <v>0.0006173308410320248</v>
      </c>
      <c r="AJ207" s="30" t="n">
        <v>0.0003750735787279196</v>
      </c>
      <c r="AK207" s="30" t="n">
        <v>0.0002211260789617297</v>
      </c>
      <c r="AL207" s="30" t="n">
        <v>0.03819150696400604</v>
      </c>
      <c r="AM207" s="30" t="n">
        <v>0.03942152851585419</v>
      </c>
      <c r="AN207" s="32" t="n">
        <v>0</v>
      </c>
      <c r="AO207" s="32" t="n">
        <v>1.179775095002105e-05</v>
      </c>
      <c r="AP207" s="32" t="n">
        <v>7.783937009678004e-07</v>
      </c>
      <c r="AQ207" s="32" t="n">
        <v>7.464152422116936e-07</v>
      </c>
      <c r="AR207" s="32" t="n">
        <v>8.947911054708254e-07</v>
      </c>
      <c r="AS207" s="32" t="n">
        <v>2.298482768960763e-05</v>
      </c>
      <c r="AT207" s="32" t="n">
        <v>3.7202178688279e-05</v>
      </c>
      <c r="AU207" s="34" t="n">
        <v>0</v>
      </c>
      <c r="AV207" s="34" t="n">
        <v>0</v>
      </c>
      <c r="AW207" s="34" t="n">
        <v>0.4073287837877151</v>
      </c>
      <c r="AX207" s="34" t="n">
        <v>0.1764744841436473</v>
      </c>
      <c r="AY207" s="34" t="n">
        <v>0.1982520740758201</v>
      </c>
      <c r="AZ207" s="34" t="n">
        <v>1.802641853054337</v>
      </c>
      <c r="BA207" s="34" t="n">
        <v>2.58469719506152</v>
      </c>
      <c r="BB207" s="6" t="n"/>
      <c r="BC207" s="6" t="n"/>
      <c r="BD207" t="inlineStr">
        <is>
          <t>transport, Motorbike, battery electric, &gt;35kW, LFP battery/CH U</t>
        </is>
      </c>
      <c r="BF207" s="5" t="n">
        <v>0.14028906</v>
      </c>
      <c r="BG207" s="5">
        <f>BF207-R207</f>
        <v>-1.9508949292242922E-2</v>
      </c>
      <c r="BH207" s="2" t="n">
        <v>438.60675</v>
      </c>
    </row>
    <row r="208">
      <c r="A208" t="str">
        <f>B208&amp;" - "&amp;D208&amp;" - "&amp;IF(I208&lt;&gt;"",I208&amp;" - "&amp;E208,E208)</f>
        <v>Motorbike, battery electric, &gt;35kW - 2030 - LFP - CH</v>
      </c>
      <c r="B208" t="inlineStr">
        <is>
          <t>Motorbike, battery electric, &gt;35kW</t>
        </is>
      </c>
      <c r="D208" s="18" t="n">
        <v>2030</v>
      </c>
      <c r="E208" t="inlineStr">
        <is>
          <t>CH</t>
        </is>
      </c>
      <c r="F208" t="inlineStr">
        <is>
          <t>None</t>
        </is>
      </c>
      <c r="G208" t="inlineStr">
        <is>
          <t>vkm</t>
        </is>
      </c>
      <c r="H208" t="inlineStr">
        <is>
          <t>BEV</t>
        </is>
      </c>
      <c r="I208" t="inlineStr">
        <is>
          <t>LFP</t>
        </is>
      </c>
      <c r="J208" t="inlineStr">
        <is>
          <t>None</t>
        </is>
      </c>
      <c r="L208" s="24" t="n">
        <v>0</v>
      </c>
      <c r="M208" s="24" t="n">
        <v>0</v>
      </c>
      <c r="N208" s="24" t="n">
        <v>0.008710249309141712</v>
      </c>
      <c r="O208" s="24" t="n">
        <v>0.01230659169225786</v>
      </c>
      <c r="P208" s="24" t="n">
        <v>0.006003076233656104</v>
      </c>
      <c r="Q208" s="24" t="n">
        <v>0.143972405866205</v>
      </c>
      <c r="R208" s="24" t="n">
        <v>0.1709923231012607</v>
      </c>
      <c r="S208" s="26" t="n">
        <v>0</v>
      </c>
      <c r="T208" s="26" t="n">
        <v>0</v>
      </c>
      <c r="U208" s="26" t="n">
        <v>0.0009219226886211946</v>
      </c>
      <c r="V208" s="26" t="n">
        <v>0.0004722191823356421</v>
      </c>
      <c r="W208" s="26" t="n">
        <v>0.0004062658781634578</v>
      </c>
      <c r="X208" s="26" t="n">
        <v>0.09262835181969922</v>
      </c>
      <c r="Y208" s="26" t="n">
        <v>0.09442875956881952</v>
      </c>
      <c r="Z208" s="28" t="n">
        <v>0</v>
      </c>
      <c r="AA208" s="28" t="n">
        <v>0.003127173544286591</v>
      </c>
      <c r="AB208" s="28" t="n">
        <v>0.0002701790344982262</v>
      </c>
      <c r="AC208" s="28" t="n">
        <v>0.0001543898913344915</v>
      </c>
      <c r="AD208" s="28" t="n">
        <v>0.0001819948449508666</v>
      </c>
      <c r="AE208" s="28" t="n">
        <v>0.01252460440416163</v>
      </c>
      <c r="AF208" s="28" t="n">
        <v>0.01625834171923181</v>
      </c>
      <c r="AG208" s="30" t="n">
        <v>0</v>
      </c>
      <c r="AH208" s="30" t="n">
        <v>1.649105312647228e-05</v>
      </c>
      <c r="AI208" s="30" t="n">
        <v>0.0006173308410320248</v>
      </c>
      <c r="AJ208" s="30" t="n">
        <v>0.0003750735787279196</v>
      </c>
      <c r="AK208" s="30" t="n">
        <v>0.0002283870303514982</v>
      </c>
      <c r="AL208" s="30" t="n">
        <v>0.04114335758101269</v>
      </c>
      <c r="AM208" s="30" t="n">
        <v>0.0423806400842506</v>
      </c>
      <c r="AN208" s="32" t="n">
        <v>0</v>
      </c>
      <c r="AO208" s="32" t="n">
        <v>1.179775095002105e-05</v>
      </c>
      <c r="AP208" s="32" t="n">
        <v>7.783937009678004e-07</v>
      </c>
      <c r="AQ208" s="32" t="n">
        <v>7.464152422116936e-07</v>
      </c>
      <c r="AR208" s="32" t="n">
        <v>9.234610711069608e-07</v>
      </c>
      <c r="AS208" s="32" t="n">
        <v>2.447001470099895e-05</v>
      </c>
      <c r="AT208" s="32" t="n">
        <v>3.871603566530646e-05</v>
      </c>
      <c r="AU208" s="34" t="n">
        <v>0</v>
      </c>
      <c r="AV208" s="34" t="n">
        <v>0</v>
      </c>
      <c r="AW208" s="34" t="n">
        <v>0.4073287837877151</v>
      </c>
      <c r="AX208" s="34" t="n">
        <v>0.1764744841436473</v>
      </c>
      <c r="AY208" s="34" t="n">
        <v>0.207125482435476</v>
      </c>
      <c r="AZ208" s="34" t="n">
        <v>1.942845954976546</v>
      </c>
      <c r="BA208" s="34" t="n">
        <v>2.733774705343384</v>
      </c>
      <c r="BB208" s="6" t="n"/>
      <c r="BC208" s="6" t="n"/>
      <c r="BD208" t="inlineStr">
        <is>
          <t>transport, Motorbike, battery electric, &gt;35kW, LFP battery, 2030/CH U</t>
        </is>
      </c>
      <c r="BF208" s="5" t="n">
        <v>0.14800218</v>
      </c>
      <c r="BG208" s="5">
        <f>BF208-R208</f>
        <v>-2.2990143101260657E-2</v>
      </c>
      <c r="BH208" s="2" t="n">
        <v>466.27882</v>
      </c>
    </row>
    <row r="209">
      <c r="A209" t="str">
        <f>B209&amp;" - "&amp;D209&amp;" - "&amp;IF(I209&lt;&gt;"",I209&amp;" - "&amp;E209,E209)</f>
        <v>Motorbike, battery electric, &gt;35kW - 2040 - LFP - CH</v>
      </c>
      <c r="B209" t="inlineStr">
        <is>
          <t>Motorbike, battery electric, &gt;35kW</t>
        </is>
      </c>
      <c r="D209" s="18" t="n">
        <v>2040</v>
      </c>
      <c r="E209" t="inlineStr">
        <is>
          <t>CH</t>
        </is>
      </c>
      <c r="F209" t="inlineStr">
        <is>
          <t>None</t>
        </is>
      </c>
      <c r="G209" t="inlineStr">
        <is>
          <t>vkm</t>
        </is>
      </c>
      <c r="H209" t="inlineStr">
        <is>
          <t>BEV</t>
        </is>
      </c>
      <c r="I209" t="inlineStr">
        <is>
          <t>LFP</t>
        </is>
      </c>
      <c r="J209" t="inlineStr">
        <is>
          <t>None</t>
        </is>
      </c>
      <c r="L209" s="24" t="n">
        <v>0</v>
      </c>
      <c r="M209" s="24" t="n">
        <v>0</v>
      </c>
      <c r="N209" s="24" t="n">
        <v>0.008710249309141712</v>
      </c>
      <c r="O209" s="24" t="n">
        <v>0.01230659169225786</v>
      </c>
      <c r="P209" s="24" t="n">
        <v>0.006111325701481713</v>
      </c>
      <c r="Q209" s="24" t="n">
        <v>0.1325340549444599</v>
      </c>
      <c r="R209" s="24" t="n">
        <v>0.1596622216473412</v>
      </c>
      <c r="S209" s="26" t="n">
        <v>0</v>
      </c>
      <c r="T209" s="26" t="n">
        <v>0</v>
      </c>
      <c r="U209" s="26" t="n">
        <v>0.0009219226886211946</v>
      </c>
      <c r="V209" s="26" t="n">
        <v>0.0004722191823356421</v>
      </c>
      <c r="W209" s="26" t="n">
        <v>0.0004131059066247207</v>
      </c>
      <c r="X209" s="26" t="n">
        <v>0.08386575415934402</v>
      </c>
      <c r="Y209" s="26" t="n">
        <v>0.08567300193692558</v>
      </c>
      <c r="Z209" s="28" t="n">
        <v>0</v>
      </c>
      <c r="AA209" s="28" t="n">
        <v>0.003127173544286591</v>
      </c>
      <c r="AB209" s="28" t="n">
        <v>0.0002701790344982262</v>
      </c>
      <c r="AC209" s="28" t="n">
        <v>0.0001543898913344915</v>
      </c>
      <c r="AD209" s="28" t="n">
        <v>0.0001851040882246605</v>
      </c>
      <c r="AE209" s="28" t="n">
        <v>0.01132566443595009</v>
      </c>
      <c r="AF209" s="28" t="n">
        <v>0.01506251099429406</v>
      </c>
      <c r="AG209" s="30" t="n">
        <v>0</v>
      </c>
      <c r="AH209" s="30" t="n">
        <v>1.649105312647228e-05</v>
      </c>
      <c r="AI209" s="30" t="n">
        <v>0.0006173308410320248</v>
      </c>
      <c r="AJ209" s="30" t="n">
        <v>0.0003750735787279196</v>
      </c>
      <c r="AK209" s="30" t="n">
        <v>0.0002312888076869197</v>
      </c>
      <c r="AL209" s="30" t="n">
        <v>0.03727692774577315</v>
      </c>
      <c r="AM209" s="30" t="n">
        <v>0.03851711202634649</v>
      </c>
      <c r="AN209" s="32" t="n">
        <v>0</v>
      </c>
      <c r="AO209" s="32" t="n">
        <v>1.179775095002105e-05</v>
      </c>
      <c r="AP209" s="32" t="n">
        <v>7.783937009678004e-07</v>
      </c>
      <c r="AQ209" s="32" t="n">
        <v>7.464152422116936e-07</v>
      </c>
      <c r="AR209" s="32" t="n">
        <v>9.349187785098061e-07</v>
      </c>
      <c r="AS209" s="32" t="n">
        <v>2.242603952460592e-05</v>
      </c>
      <c r="AT209" s="32" t="n">
        <v>3.668351819631627e-05</v>
      </c>
      <c r="AU209" s="34" t="n">
        <v>0</v>
      </c>
      <c r="AV209" s="34" t="n">
        <v>0</v>
      </c>
      <c r="AW209" s="34" t="n">
        <v>0.4073287837877151</v>
      </c>
      <c r="AX209" s="34" t="n">
        <v>0.1764744841436473</v>
      </c>
      <c r="AY209" s="34" t="n">
        <v>0.2106716644554066</v>
      </c>
      <c r="AZ209" s="34" t="n">
        <v>1.78350999425529</v>
      </c>
      <c r="BA209" s="34" t="n">
        <v>2.577984926642059</v>
      </c>
      <c r="BB209" s="6" t="n"/>
      <c r="BC209" s="6" t="n"/>
      <c r="BD209" t="inlineStr">
        <is>
          <t>transport, Motorbike, battery electric, &gt;35kW, LFP battery, 2040/CH U</t>
        </is>
      </c>
      <c r="BF209" s="5" t="n">
        <v>0.13923536</v>
      </c>
      <c r="BG209" s="5">
        <f>BF209-R209</f>
        <v>-2.0426861647341199E-2</v>
      </c>
      <c r="BH209" s="2" t="n">
        <v>423.48726</v>
      </c>
    </row>
    <row r="210">
      <c r="A210" t="str">
        <f>B210&amp;" - "&amp;D210&amp;" - "&amp;IF(I210&lt;&gt;"",I210&amp;" - "&amp;E210,E210)</f>
        <v>Motorbike, battery electric, &gt;35kW - 2050 - LFP - CH</v>
      </c>
      <c r="B210" t="inlineStr">
        <is>
          <t>Motorbike, battery electric, &gt;35kW</t>
        </is>
      </c>
      <c r="D210" s="18" t="n">
        <v>2050</v>
      </c>
      <c r="E210" t="inlineStr">
        <is>
          <t>CH</t>
        </is>
      </c>
      <c r="F210" t="inlineStr">
        <is>
          <t>None</t>
        </is>
      </c>
      <c r="G210" t="inlineStr">
        <is>
          <t>vkm</t>
        </is>
      </c>
      <c r="H210" t="inlineStr">
        <is>
          <t>BEV</t>
        </is>
      </c>
      <c r="I210" t="inlineStr">
        <is>
          <t>LFP</t>
        </is>
      </c>
      <c r="J210" t="inlineStr">
        <is>
          <t>None</t>
        </is>
      </c>
      <c r="L210" s="24" t="n">
        <v>0</v>
      </c>
      <c r="M210" s="24" t="n">
        <v>0</v>
      </c>
      <c r="N210" s="24" t="n">
        <v>0.008710249309141712</v>
      </c>
      <c r="O210" s="24" t="n">
        <v>0.01993667854145774</v>
      </c>
      <c r="P210" s="24" t="n">
        <v>0.006037110934571837</v>
      </c>
      <c r="Q210" s="24" t="n">
        <v>0.2163170678552802</v>
      </c>
      <c r="R210" s="24" t="n">
        <v>0.2510011066404515</v>
      </c>
      <c r="S210" s="26" t="n">
        <v>0</v>
      </c>
      <c r="T210" s="26" t="n">
        <v>0</v>
      </c>
      <c r="U210" s="26" t="n">
        <v>0.0009219226886211946</v>
      </c>
      <c r="V210" s="26" t="n">
        <v>0.0007649950753837402</v>
      </c>
      <c r="W210" s="26" t="n">
        <v>0.0004084164506106982</v>
      </c>
      <c r="X210" s="26" t="n">
        <v>0.1413513853787046</v>
      </c>
      <c r="Y210" s="26" t="n">
        <v>0.1434467195933202</v>
      </c>
      <c r="Z210" s="28" t="n">
        <v>0</v>
      </c>
      <c r="AA210" s="28" t="n">
        <v>0.003127173544286591</v>
      </c>
      <c r="AB210" s="28" t="n">
        <v>0.0002701790344982262</v>
      </c>
      <c r="AC210" s="28" t="n">
        <v>0.0002501116239618763</v>
      </c>
      <c r="AD210" s="28" t="n">
        <v>0.0001829724217188957</v>
      </c>
      <c r="AE210" s="28" t="n">
        <v>0.01958716363712074</v>
      </c>
      <c r="AF210" s="28" t="n">
        <v>0.02341760026158633</v>
      </c>
      <c r="AG210" s="30" t="n">
        <v>0</v>
      </c>
      <c r="AH210" s="30" t="n">
        <v>1.649105312647228e-05</v>
      </c>
      <c r="AI210" s="30" t="n">
        <v>0.0006173308410320248</v>
      </c>
      <c r="AJ210" s="30" t="n">
        <v>0.0006076191975392298</v>
      </c>
      <c r="AK210" s="30" t="n">
        <v>0.00022929937778118</v>
      </c>
      <c r="AL210" s="30" t="n">
        <v>0.06376491631934836</v>
      </c>
      <c r="AM210" s="30" t="n">
        <v>0.06523565678882727</v>
      </c>
      <c r="AN210" s="32" t="n">
        <v>0</v>
      </c>
      <c r="AO210" s="32" t="n">
        <v>1.179775095002105e-05</v>
      </c>
      <c r="AP210" s="32" t="n">
        <v>7.783937009678004e-07</v>
      </c>
      <c r="AQ210" s="32" t="n">
        <v>1.209192692382944e-06</v>
      </c>
      <c r="AR210" s="32" t="n">
        <v>9.270634873817831e-07</v>
      </c>
      <c r="AS210" s="32" t="n">
        <v>3.612245070716783e-05</v>
      </c>
      <c r="AT210" s="32" t="n">
        <v>5.083485153792141e-05</v>
      </c>
      <c r="AU210" s="34" t="n">
        <v>0</v>
      </c>
      <c r="AV210" s="34" t="n">
        <v>0</v>
      </c>
      <c r="AW210" s="34" t="n">
        <v>0.4073287837877151</v>
      </c>
      <c r="AX210" s="34" t="n">
        <v>0.2858886643127085</v>
      </c>
      <c r="AY210" s="34" t="n">
        <v>0.2082404370571053</v>
      </c>
      <c r="AZ210" s="34" t="n">
        <v>2.918385223689273</v>
      </c>
      <c r="BA210" s="34" t="n">
        <v>3.819843108846801</v>
      </c>
      <c r="BB210" s="6" t="n"/>
      <c r="BC210" s="6" t="n"/>
      <c r="BD210" t="inlineStr">
        <is>
          <t>transport, Motorbike, battery electric, &gt;35kW, LFP battery, 2050/CH U</t>
        </is>
      </c>
      <c r="BF210" s="5" t="n">
        <v>0.20685503</v>
      </c>
      <c r="BG210" s="5">
        <f>BF210-R210</f>
        <v>-4.4146076640451504E-2</v>
      </c>
      <c r="BH210" s="2" t="n">
        <v>707.16159</v>
      </c>
    </row>
    <row r="211">
      <c r="A211" t="str">
        <f>B211&amp;" - "&amp;D211&amp;" - "&amp;IF(I211&lt;&gt;"",I211&amp;" - "&amp;E211,E211)</f>
        <v>Motorbike, battery electric, &lt;4kW - 2020 - NCA - CH</v>
      </c>
      <c r="B211" t="inlineStr">
        <is>
          <t>Motorbike, battery electric, &lt;4kW</t>
        </is>
      </c>
      <c r="D211" s="18" t="n">
        <v>2020</v>
      </c>
      <c r="E211" t="inlineStr">
        <is>
          <t>CH</t>
        </is>
      </c>
      <c r="F211" t="inlineStr">
        <is>
          <t>None</t>
        </is>
      </c>
      <c r="G211" t="inlineStr">
        <is>
          <t>vkm</t>
        </is>
      </c>
      <c r="H211" t="inlineStr">
        <is>
          <t>BEV</t>
        </is>
      </c>
      <c r="I211" t="inlineStr">
        <is>
          <t>NCA</t>
        </is>
      </c>
      <c r="J211" t="inlineStr">
        <is>
          <t>None</t>
        </is>
      </c>
      <c r="L211" s="24" t="n">
        <v>0</v>
      </c>
      <c r="M211" s="24" t="n">
        <v>0</v>
      </c>
      <c r="N211" s="24" t="n">
        <v>0.003836250793656903</v>
      </c>
      <c r="O211" s="24" t="n">
        <v>0.01230659169225786</v>
      </c>
      <c r="P211" s="24" t="n">
        <v>0.004425905066110937</v>
      </c>
      <c r="Q211" s="24" t="n">
        <v>0.03390243742625951</v>
      </c>
      <c r="R211" s="24" t="n">
        <v>0.05447118497828521</v>
      </c>
      <c r="S211" s="26" t="n">
        <v>0</v>
      </c>
      <c r="T211" s="26" t="n">
        <v>0</v>
      </c>
      <c r="U211" s="26" t="n">
        <v>0.0004060419536099208</v>
      </c>
      <c r="V211" s="26" t="n">
        <v>0.0004722191823356421</v>
      </c>
      <c r="W211" s="26" t="n">
        <v>0.0003066081533636317</v>
      </c>
      <c r="X211" s="26" t="n">
        <v>0.0247414493231328</v>
      </c>
      <c r="Y211" s="26" t="n">
        <v>0.025926318612442</v>
      </c>
      <c r="Z211" s="28" t="n">
        <v>0</v>
      </c>
      <c r="AA211" s="28" t="n">
        <v>0.003127173544286591</v>
      </c>
      <c r="AB211" s="28" t="n">
        <v>0.0001189948184876246</v>
      </c>
      <c r="AC211" s="28" t="n">
        <v>0.0001543898913344915</v>
      </c>
      <c r="AD211" s="28" t="n">
        <v>0.0001366938477005935</v>
      </c>
      <c r="AE211" s="28" t="n">
        <v>0.002475333254355087</v>
      </c>
      <c r="AF211" s="28" t="n">
        <v>0.006012585356164388</v>
      </c>
      <c r="AG211" s="30" t="n">
        <v>0</v>
      </c>
      <c r="AH211" s="30" t="n">
        <v>1.649105312647228e-05</v>
      </c>
      <c r="AI211" s="30" t="n">
        <v>0.0002718907168790728</v>
      </c>
      <c r="AJ211" s="30" t="n">
        <v>0.0003750735787279196</v>
      </c>
      <c r="AK211" s="30" t="n">
        <v>0.0001861087666335118</v>
      </c>
      <c r="AL211" s="30" t="n">
        <v>0.00859291109636794</v>
      </c>
      <c r="AM211" s="30" t="n">
        <v>0.009442475211734917</v>
      </c>
      <c r="AN211" s="32" t="n">
        <v>0</v>
      </c>
      <c r="AO211" s="32" t="n">
        <v>1.179775095002105e-05</v>
      </c>
      <c r="AP211" s="32" t="n">
        <v>3.428275525915461e-07</v>
      </c>
      <c r="AQ211" s="32" t="n">
        <v>7.464152422116936e-07</v>
      </c>
      <c r="AR211" s="32" t="n">
        <v>7.565247699415037e-07</v>
      </c>
      <c r="AS211" s="32" t="n">
        <v>7.250014453586742e-06</v>
      </c>
      <c r="AT211" s="32" t="n">
        <v>2.089353296835253e-05</v>
      </c>
      <c r="AU211" s="34" t="n">
        <v>0</v>
      </c>
      <c r="AV211" s="34" t="n">
        <v>0</v>
      </c>
      <c r="AW211" s="34" t="n">
        <v>0.1793996147096391</v>
      </c>
      <c r="AX211" s="34" t="n">
        <v>0.1764744841436473</v>
      </c>
      <c r="AY211" s="34" t="n">
        <v>0.155458382827077</v>
      </c>
      <c r="AZ211" s="34" t="n">
        <v>0.4706008042747231</v>
      </c>
      <c r="BA211" s="34" t="n">
        <v>0.9819332859550864</v>
      </c>
      <c r="BB211" s="6" t="n"/>
      <c r="BC211" s="6" t="n"/>
      <c r="BD211" t="inlineStr">
        <is>
          <t>transport, Motorbike, battery electric, &lt;4kW, NCA battery/CH U</t>
        </is>
      </c>
      <c r="BF211" s="5" t="n">
        <v>0.057712445</v>
      </c>
      <c r="BG211" s="5">
        <f>BF211-R211</f>
        <v>3.2412600217147924E-3</v>
      </c>
      <c r="BH211" s="2" t="n">
        <v>126.37596</v>
      </c>
    </row>
    <row r="212">
      <c r="A212" t="str">
        <f>B212&amp;" - "&amp;D212&amp;" - "&amp;IF(I212&lt;&gt;"",I212&amp;" - "&amp;E212,E212)</f>
        <v>Motorbike, battery electric, &lt;4kW - 2030 - NCA - CH</v>
      </c>
      <c r="B212" t="inlineStr">
        <is>
          <t>Motorbike, battery electric, &lt;4kW</t>
        </is>
      </c>
      <c r="D212" s="18" t="n">
        <v>2030</v>
      </c>
      <c r="E212" t="inlineStr">
        <is>
          <t>CH</t>
        </is>
      </c>
      <c r="F212" t="inlineStr">
        <is>
          <t>None</t>
        </is>
      </c>
      <c r="G212" t="inlineStr">
        <is>
          <t>vkm</t>
        </is>
      </c>
      <c r="H212" t="inlineStr">
        <is>
          <t>BEV</t>
        </is>
      </c>
      <c r="I212" t="inlineStr">
        <is>
          <t>NCA</t>
        </is>
      </c>
      <c r="J212" t="inlineStr">
        <is>
          <t>None</t>
        </is>
      </c>
      <c r="L212" s="24" t="n">
        <v>0</v>
      </c>
      <c r="M212" s="24" t="n">
        <v>0</v>
      </c>
      <c r="N212" s="24" t="n">
        <v>0.003836250793656903</v>
      </c>
      <c r="O212" s="24" t="n">
        <v>0.01230659169225786</v>
      </c>
      <c r="P212" s="24" t="n">
        <v>0.00443547705772904</v>
      </c>
      <c r="Q212" s="24" t="n">
        <v>0.03630906876958861</v>
      </c>
      <c r="R212" s="24" t="n">
        <v>0.05688738831323241</v>
      </c>
      <c r="S212" s="26" t="n">
        <v>0</v>
      </c>
      <c r="T212" s="26" t="n">
        <v>0</v>
      </c>
      <c r="U212" s="26" t="n">
        <v>0.0004060419536099208</v>
      </c>
      <c r="V212" s="26" t="n">
        <v>0.0004722191823356421</v>
      </c>
      <c r="W212" s="26" t="n">
        <v>0.0003072129849292176</v>
      </c>
      <c r="X212" s="26" t="n">
        <v>0.02534842963531138</v>
      </c>
      <c r="Y212" s="26" t="n">
        <v>0.02653390375618616</v>
      </c>
      <c r="Z212" s="28" t="n">
        <v>0</v>
      </c>
      <c r="AA212" s="28" t="n">
        <v>0.003127173544286591</v>
      </c>
      <c r="AB212" s="28" t="n">
        <v>0.0001189948184876246</v>
      </c>
      <c r="AC212" s="28" t="n">
        <v>0.0001543898913344915</v>
      </c>
      <c r="AD212" s="28" t="n">
        <v>0.0001369687834684381</v>
      </c>
      <c r="AE212" s="28" t="n">
        <v>0.00262712105590948</v>
      </c>
      <c r="AF212" s="28" t="n">
        <v>0.006164648093486625</v>
      </c>
      <c r="AG212" s="30" t="n">
        <v>0</v>
      </c>
      <c r="AH212" s="30" t="n">
        <v>1.649105312647228e-05</v>
      </c>
      <c r="AI212" s="30" t="n">
        <v>0.0002718907168790728</v>
      </c>
      <c r="AJ212" s="30" t="n">
        <v>0.0003750735787279196</v>
      </c>
      <c r="AK212" s="30" t="n">
        <v>0.0001863653571636104</v>
      </c>
      <c r="AL212" s="30" t="n">
        <v>0.009082275014720875</v>
      </c>
      <c r="AM212" s="30" t="n">
        <v>0.009932095720617949</v>
      </c>
      <c r="AN212" s="32" t="n">
        <v>0</v>
      </c>
      <c r="AO212" s="32" t="n">
        <v>1.179775095002105e-05</v>
      </c>
      <c r="AP212" s="32" t="n">
        <v>3.428275525915461e-07</v>
      </c>
      <c r="AQ212" s="32" t="n">
        <v>7.464152422116936e-07</v>
      </c>
      <c r="AR212" s="32" t="n">
        <v>7.575379211507033e-07</v>
      </c>
      <c r="AS212" s="32" t="n">
        <v>7.412164740555179e-06</v>
      </c>
      <c r="AT212" s="32" t="n">
        <v>2.105669640653017e-05</v>
      </c>
      <c r="AU212" s="34" t="n">
        <v>0</v>
      </c>
      <c r="AV212" s="34" t="n">
        <v>0</v>
      </c>
      <c r="AW212" s="34" t="n">
        <v>0.1793996147096391</v>
      </c>
      <c r="AX212" s="34" t="n">
        <v>0.1764744841436473</v>
      </c>
      <c r="AY212" s="34" t="n">
        <v>0.1557719550344318</v>
      </c>
      <c r="AZ212" s="34" t="n">
        <v>0.4972689495131143</v>
      </c>
      <c r="BA212" s="34" t="n">
        <v>1.008915003400833</v>
      </c>
      <c r="BB212" s="6" t="n"/>
      <c r="BC212" s="6" t="n"/>
      <c r="BD212" t="inlineStr">
        <is>
          <t>transport, Motorbike, battery electric, &lt;4kW, NCA battery, 2030/CH U</t>
        </is>
      </c>
      <c r="BF212" s="5" t="n">
        <v>0.058793456</v>
      </c>
      <c r="BG212" s="5">
        <f>BF212-R212</f>
        <v>1.9060676867675916E-3</v>
      </c>
      <c r="BH212" s="2" t="n">
        <v>127.936</v>
      </c>
    </row>
    <row r="213">
      <c r="A213" t="str">
        <f>B213&amp;" - "&amp;D213&amp;" - "&amp;IF(I213&lt;&gt;"",I213&amp;" - "&amp;E213,E213)</f>
        <v>Motorbike, battery electric, &lt;4kW - 2040 - NCA - CH</v>
      </c>
      <c r="B213" t="inlineStr">
        <is>
          <t>Motorbike, battery electric, &lt;4kW</t>
        </is>
      </c>
      <c r="D213" s="18" t="n">
        <v>2040</v>
      </c>
      <c r="E213" t="inlineStr">
        <is>
          <t>CH</t>
        </is>
      </c>
      <c r="F213" t="inlineStr">
        <is>
          <t>None</t>
        </is>
      </c>
      <c r="G213" t="inlineStr">
        <is>
          <t>vkm</t>
        </is>
      </c>
      <c r="H213" t="inlineStr">
        <is>
          <t>BEV</t>
        </is>
      </c>
      <c r="I213" t="inlineStr">
        <is>
          <t>NCA</t>
        </is>
      </c>
      <c r="J213" t="inlineStr">
        <is>
          <t>None</t>
        </is>
      </c>
      <c r="L213" s="24" t="n">
        <v>0</v>
      </c>
      <c r="M213" s="24" t="n">
        <v>0</v>
      </c>
      <c r="N213" s="24" t="n">
        <v>0.003836250793656903</v>
      </c>
      <c r="O213" s="24" t="n">
        <v>0.01230659169225786</v>
      </c>
      <c r="P213" s="24" t="n">
        <v>0.004434103834174483</v>
      </c>
      <c r="Q213" s="24" t="n">
        <v>0.0364261808995134</v>
      </c>
      <c r="R213" s="24" t="n">
        <v>0.05700312721960264</v>
      </c>
      <c r="S213" s="26" t="n">
        <v>0</v>
      </c>
      <c r="T213" s="26" t="n">
        <v>0</v>
      </c>
      <c r="U213" s="26" t="n">
        <v>0.0004060419536099208</v>
      </c>
      <c r="V213" s="26" t="n">
        <v>0.0004722191823356421</v>
      </c>
      <c r="W213" s="26" t="n">
        <v>0.0003071262141728756</v>
      </c>
      <c r="X213" s="26" t="n">
        <v>0.02436109907006942</v>
      </c>
      <c r="Y213" s="26" t="n">
        <v>0.02554648642018786</v>
      </c>
      <c r="Z213" s="28" t="n">
        <v>0</v>
      </c>
      <c r="AA213" s="28" t="n">
        <v>0.003127173544286591</v>
      </c>
      <c r="AB213" s="28" t="n">
        <v>0.0001189948184876246</v>
      </c>
      <c r="AC213" s="28" t="n">
        <v>0.0001543898913344915</v>
      </c>
      <c r="AD213" s="28" t="n">
        <v>0.0001369293404468123</v>
      </c>
      <c r="AE213" s="28" t="n">
        <v>0.00255498090657492</v>
      </c>
      <c r="AF213" s="28" t="n">
        <v>0.006092468501130439</v>
      </c>
      <c r="AG213" s="30" t="n">
        <v>0</v>
      </c>
      <c r="AH213" s="30" t="n">
        <v>1.649105312647228e-05</v>
      </c>
      <c r="AI213" s="30" t="n">
        <v>0.0002718907168790728</v>
      </c>
      <c r="AJ213" s="30" t="n">
        <v>0.0003750735787279196</v>
      </c>
      <c r="AK213" s="30" t="n">
        <v>0.0001863285459989264</v>
      </c>
      <c r="AL213" s="30" t="n">
        <v>0.008887193446429107</v>
      </c>
      <c r="AM213" s="30" t="n">
        <v>0.009736977341161497</v>
      </c>
      <c r="AN213" s="32" t="n">
        <v>0</v>
      </c>
      <c r="AO213" s="32" t="n">
        <v>1.179775095002105e-05</v>
      </c>
      <c r="AP213" s="32" t="n">
        <v>3.428275525915461e-07</v>
      </c>
      <c r="AQ213" s="32" t="n">
        <v>7.464152422116936e-07</v>
      </c>
      <c r="AR213" s="32" t="n">
        <v>7.573925717646705e-07</v>
      </c>
      <c r="AS213" s="32" t="n">
        <v>7.166571346186573e-06</v>
      </c>
      <c r="AT213" s="32" t="n">
        <v>2.081095766277553e-05</v>
      </c>
      <c r="AU213" s="34" t="n">
        <v>0</v>
      </c>
      <c r="AV213" s="34" t="n">
        <v>0</v>
      </c>
      <c r="AW213" s="34" t="n">
        <v>0.1793996147096391</v>
      </c>
      <c r="AX213" s="34" t="n">
        <v>0.1764744841436473</v>
      </c>
      <c r="AY213" s="34" t="n">
        <v>0.1557269691257124</v>
      </c>
      <c r="AZ213" s="34" t="n">
        <v>0.4937996919474914</v>
      </c>
      <c r="BA213" s="34" t="n">
        <v>1.00540075992649</v>
      </c>
      <c r="BB213" s="6" t="n"/>
      <c r="BC213" s="6" t="n"/>
      <c r="BD213" t="inlineStr">
        <is>
          <t>transport, Motorbike, battery electric, &lt;4kW, NCA battery, 2040/CH U</t>
        </is>
      </c>
      <c r="BF213" s="5" t="n">
        <v>0.058287747</v>
      </c>
      <c r="BG213" s="5">
        <f>BF213-R213</f>
        <v>1.2846197803973586E-3</v>
      </c>
      <c r="BH213" s="2" t="n">
        <v>122.69869</v>
      </c>
    </row>
    <row r="214">
      <c r="A214" t="str">
        <f>B214&amp;" - "&amp;D214&amp;" - "&amp;IF(I214&lt;&gt;"",I214&amp;" - "&amp;E214,E214)</f>
        <v>Motorbike, battery electric, &lt;4kW - 2050 - NCA - CH</v>
      </c>
      <c r="B214" t="inlineStr">
        <is>
          <t>Motorbike, battery electric, &lt;4kW</t>
        </is>
      </c>
      <c r="D214" s="18" t="n">
        <v>2050</v>
      </c>
      <c r="E214" t="inlineStr">
        <is>
          <t>CH</t>
        </is>
      </c>
      <c r="F214" t="inlineStr">
        <is>
          <t>None</t>
        </is>
      </c>
      <c r="G214" t="inlineStr">
        <is>
          <t>vkm</t>
        </is>
      </c>
      <c r="H214" t="inlineStr">
        <is>
          <t>BEV</t>
        </is>
      </c>
      <c r="I214" t="inlineStr">
        <is>
          <t>NCA</t>
        </is>
      </c>
      <c r="J214" t="inlineStr">
        <is>
          <t>None</t>
        </is>
      </c>
      <c r="L214" s="24" t="n">
        <v>0</v>
      </c>
      <c r="M214" s="24" t="n">
        <v>0</v>
      </c>
      <c r="N214" s="24" t="n">
        <v>0.003836250793656903</v>
      </c>
      <c r="O214" s="24" t="n">
        <v>0.01230659169225786</v>
      </c>
      <c r="P214" s="24" t="n">
        <v>0.004433716903780657</v>
      </c>
      <c r="Q214" s="24" t="n">
        <v>0.03646111741109211</v>
      </c>
      <c r="R214" s="24" t="n">
        <v>0.05703767680078754</v>
      </c>
      <c r="S214" s="26" t="n">
        <v>0</v>
      </c>
      <c r="T214" s="26" t="n">
        <v>0</v>
      </c>
      <c r="U214" s="26" t="n">
        <v>0.0004060419536099208</v>
      </c>
      <c r="V214" s="26" t="n">
        <v>0.0004722191823356421</v>
      </c>
      <c r="W214" s="26" t="n">
        <v>0.0003071017649542378</v>
      </c>
      <c r="X214" s="26" t="n">
        <v>0.02329363387274118</v>
      </c>
      <c r="Y214" s="26" t="n">
        <v>0.02447899677364098</v>
      </c>
      <c r="Z214" s="28" t="n">
        <v>0</v>
      </c>
      <c r="AA214" s="28" t="n">
        <v>0.003127173544286591</v>
      </c>
      <c r="AB214" s="28" t="n">
        <v>0.0001189948184876246</v>
      </c>
      <c r="AC214" s="28" t="n">
        <v>0.0001543898913344915</v>
      </c>
      <c r="AD214" s="28" t="n">
        <v>0.0001369182266672382</v>
      </c>
      <c r="AE214" s="28" t="n">
        <v>0.002473099587364041</v>
      </c>
      <c r="AF214" s="28" t="n">
        <v>0.006010576068139987</v>
      </c>
      <c r="AG214" s="30" t="n">
        <v>0</v>
      </c>
      <c r="AH214" s="30" t="n">
        <v>1.649105312647228e-05</v>
      </c>
      <c r="AI214" s="30" t="n">
        <v>0.0002718907168790728</v>
      </c>
      <c r="AJ214" s="30" t="n">
        <v>0.0003750735787279196</v>
      </c>
      <c r="AK214" s="30" t="n">
        <v>0.0001863181737923027</v>
      </c>
      <c r="AL214" s="30" t="n">
        <v>0.008662095453975919</v>
      </c>
      <c r="AM214" s="30" t="n">
        <v>0.009511868976501687</v>
      </c>
      <c r="AN214" s="32" t="n">
        <v>0</v>
      </c>
      <c r="AO214" s="32" t="n">
        <v>1.179775095002105e-05</v>
      </c>
      <c r="AP214" s="32" t="n">
        <v>3.428275525915461e-07</v>
      </c>
      <c r="AQ214" s="32" t="n">
        <v>7.464152422116936e-07</v>
      </c>
      <c r="AR214" s="32" t="n">
        <v>7.573516169652912e-07</v>
      </c>
      <c r="AS214" s="32" t="n">
        <v>6.901509787947373e-06</v>
      </c>
      <c r="AT214" s="32" t="n">
        <v>2.054585514973696e-05</v>
      </c>
      <c r="AU214" s="34" t="n">
        <v>0</v>
      </c>
      <c r="AV214" s="34" t="n">
        <v>0</v>
      </c>
      <c r="AW214" s="34" t="n">
        <v>0.1793996147096391</v>
      </c>
      <c r="AX214" s="34" t="n">
        <v>0.1764744841436473</v>
      </c>
      <c r="AY214" s="34" t="n">
        <v>0.1557142935381727</v>
      </c>
      <c r="AZ214" s="34" t="n">
        <v>0.4891586126198126</v>
      </c>
      <c r="BA214" s="34" t="n">
        <v>1.000747005011272</v>
      </c>
      <c r="BB214" s="6" t="n"/>
      <c r="BC214" s="6" t="n"/>
      <c r="BD214" t="inlineStr">
        <is>
          <t>transport, Motorbike, battery electric, &lt;4kW, NCA battery, 2050/CH U</t>
        </is>
      </c>
      <c r="BF214" s="5" t="n">
        <v>0.057721351</v>
      </c>
      <c r="BG214" s="5">
        <f>BF214-R214</f>
        <v>6.836741992124612E-4</v>
      </c>
      <c r="BH214" s="2" t="n">
        <v>117.12768</v>
      </c>
    </row>
    <row r="215">
      <c r="A215" t="str">
        <f>B215&amp;" - "&amp;D215&amp;" - "&amp;IF(I215&lt;&gt;"",I215&amp;" - "&amp;E215,E215)</f>
        <v>Motorbike, battery electric, 4-11kW - 2020 - NCA - CH</v>
      </c>
      <c r="B215" t="inlineStr">
        <is>
          <t>Motorbike, battery electric, 4-11kW</t>
        </is>
      </c>
      <c r="D215" s="18" t="n">
        <v>2020</v>
      </c>
      <c r="E215" t="inlineStr">
        <is>
          <t>CH</t>
        </is>
      </c>
      <c r="F215" t="inlineStr">
        <is>
          <t>None</t>
        </is>
      </c>
      <c r="G215" t="inlineStr">
        <is>
          <t>vkm</t>
        </is>
      </c>
      <c r="H215" t="inlineStr">
        <is>
          <t>BEV</t>
        </is>
      </c>
      <c r="I215" t="inlineStr">
        <is>
          <t>NCA</t>
        </is>
      </c>
      <c r="J215" t="inlineStr">
        <is>
          <t>None</t>
        </is>
      </c>
      <c r="L215" s="24" t="n">
        <v>0</v>
      </c>
      <c r="M215" s="24" t="n">
        <v>0</v>
      </c>
      <c r="N215" s="24" t="n">
        <v>0.0057702284664922</v>
      </c>
      <c r="O215" s="24" t="n">
        <v>0.01230659169225786</v>
      </c>
      <c r="P215" s="24" t="n">
        <v>0.004550866368395035</v>
      </c>
      <c r="Q215" s="24" t="n">
        <v>0.04855326116478913</v>
      </c>
      <c r="R215" s="24" t="n">
        <v>0.07118094769193423</v>
      </c>
      <c r="S215" s="26" t="n">
        <v>0</v>
      </c>
      <c r="T215" s="26" t="n">
        <v>0</v>
      </c>
      <c r="U215" s="26" t="n">
        <v>0.0006107407897273188</v>
      </c>
      <c r="V215" s="26" t="n">
        <v>0.0004722191823356421</v>
      </c>
      <c r="W215" s="26" t="n">
        <v>0.0003145041632133679</v>
      </c>
      <c r="X215" s="26" t="n">
        <v>0.03643172500510355</v>
      </c>
      <c r="Y215" s="26" t="n">
        <v>0.03782918914037987</v>
      </c>
      <c r="Z215" s="28" t="n">
        <v>0</v>
      </c>
      <c r="AA215" s="28" t="n">
        <v>0.003127173544286591</v>
      </c>
      <c r="AB215" s="28" t="n">
        <v>0.0001789839418574189</v>
      </c>
      <c r="AC215" s="28" t="n">
        <v>0.0001543898913344915</v>
      </c>
      <c r="AD215" s="28" t="n">
        <v>0.0001402831040398236</v>
      </c>
      <c r="AE215" s="28" t="n">
        <v>0.003695267307323648</v>
      </c>
      <c r="AF215" s="28" t="n">
        <v>0.007296097788841974</v>
      </c>
      <c r="AG215" s="30" t="n">
        <v>0</v>
      </c>
      <c r="AH215" s="30" t="n">
        <v>1.649105312647228e-05</v>
      </c>
      <c r="AI215" s="30" t="n">
        <v>0.0004089595906776136</v>
      </c>
      <c r="AJ215" s="30" t="n">
        <v>0.0003750735787279196</v>
      </c>
      <c r="AK215" s="30" t="n">
        <v>0.0001894585279030722</v>
      </c>
      <c r="AL215" s="30" t="n">
        <v>0.01280976338401918</v>
      </c>
      <c r="AM215" s="30" t="n">
        <v>0.01379974613445426</v>
      </c>
      <c r="AN215" s="32" t="n">
        <v>0</v>
      </c>
      <c r="AO215" s="32" t="n">
        <v>1.179775095002105e-05</v>
      </c>
      <c r="AP215" s="32" t="n">
        <v>5.156579716666231e-07</v>
      </c>
      <c r="AQ215" s="32" t="n">
        <v>7.464152422116936e-07</v>
      </c>
      <c r="AR215" s="32" t="n">
        <v>7.697513480209108e-07</v>
      </c>
      <c r="AS215" s="32" t="n">
        <v>1.036365073158282e-05</v>
      </c>
      <c r="AT215" s="32" t="n">
        <v>2.41932262435031e-05</v>
      </c>
      <c r="AU215" s="34" t="n">
        <v>0</v>
      </c>
      <c r="AV215" s="34" t="n">
        <v>0</v>
      </c>
      <c r="AW215" s="34" t="n">
        <v>0.2698407427863993</v>
      </c>
      <c r="AX215" s="34" t="n">
        <v>0.1764744841436473</v>
      </c>
      <c r="AY215" s="34" t="n">
        <v>0.1595520336527873</v>
      </c>
      <c r="AZ215" s="34" t="n">
        <v>0.674376061484857</v>
      </c>
      <c r="BA215" s="34" t="n">
        <v>1.280243322067691</v>
      </c>
      <c r="BB215" s="6" t="n"/>
      <c r="BC215" s="6" t="n"/>
      <c r="BD215" t="inlineStr">
        <is>
          <t>transport, Motorbike, battery electric, 4-11kW, NCA battery/CH U</t>
        </is>
      </c>
      <c r="BF215" s="5" t="n">
        <v>0.073185236</v>
      </c>
      <c r="BG215" s="5">
        <f>BF215-R215</f>
        <v>2.0042883080657742E-3</v>
      </c>
      <c r="BH215" s="2" t="n">
        <v>171.11629</v>
      </c>
    </row>
    <row r="216">
      <c r="A216" t="str">
        <f>B216&amp;" - "&amp;D216&amp;" - "&amp;IF(I216&lt;&gt;"",I216&amp;" - "&amp;E216,E216)</f>
        <v>Motorbike, battery electric, 4-11kW - 2030 - NCA - CH</v>
      </c>
      <c r="B216" t="inlineStr">
        <is>
          <t>Motorbike, battery electric, 4-11kW</t>
        </is>
      </c>
      <c r="D216" s="18" t="n">
        <v>2030</v>
      </c>
      <c r="E216" t="inlineStr">
        <is>
          <t>CH</t>
        </is>
      </c>
      <c r="F216" t="inlineStr">
        <is>
          <t>None</t>
        </is>
      </c>
      <c r="G216" t="inlineStr">
        <is>
          <t>vkm</t>
        </is>
      </c>
      <c r="H216" t="inlineStr">
        <is>
          <t>BEV</t>
        </is>
      </c>
      <c r="I216" t="inlineStr">
        <is>
          <t>NCA</t>
        </is>
      </c>
      <c r="J216" t="inlineStr">
        <is>
          <t>None</t>
        </is>
      </c>
      <c r="L216" s="24" t="n">
        <v>0</v>
      </c>
      <c r="M216" s="24" t="n">
        <v>0</v>
      </c>
      <c r="N216" s="24" t="n">
        <v>0.0057702284664922</v>
      </c>
      <c r="O216" s="24" t="n">
        <v>0.01230659169225786</v>
      </c>
      <c r="P216" s="24" t="n">
        <v>0.004565944579295552</v>
      </c>
      <c r="Q216" s="24" t="n">
        <v>0.05109473748780233</v>
      </c>
      <c r="R216" s="24" t="n">
        <v>0.07373750222584793</v>
      </c>
      <c r="S216" s="26" t="n">
        <v>0</v>
      </c>
      <c r="T216" s="26" t="n">
        <v>0</v>
      </c>
      <c r="U216" s="26" t="n">
        <v>0.0006107407897273188</v>
      </c>
      <c r="V216" s="26" t="n">
        <v>0.0004722191823356421</v>
      </c>
      <c r="W216" s="26" t="n">
        <v>0.0003154569197836876</v>
      </c>
      <c r="X216" s="26" t="n">
        <v>0.03676635085125734</v>
      </c>
      <c r="Y216" s="26" t="n">
        <v>0.03816476774310399</v>
      </c>
      <c r="Z216" s="28" t="n">
        <v>0</v>
      </c>
      <c r="AA216" s="28" t="n">
        <v>0.003127173544286591</v>
      </c>
      <c r="AB216" s="28" t="n">
        <v>0.0001789839418574189</v>
      </c>
      <c r="AC216" s="28" t="n">
        <v>0.0001543898913344915</v>
      </c>
      <c r="AD216" s="28" t="n">
        <v>0.0001407161946292278</v>
      </c>
      <c r="AE216" s="28" t="n">
        <v>0.003831941856794318</v>
      </c>
      <c r="AF216" s="28" t="n">
        <v>0.007433205428902048</v>
      </c>
      <c r="AG216" s="30" t="n">
        <v>0</v>
      </c>
      <c r="AH216" s="30" t="n">
        <v>1.649105312647228e-05</v>
      </c>
      <c r="AI216" s="30" t="n">
        <v>0.0004089595906776136</v>
      </c>
      <c r="AJ216" s="30" t="n">
        <v>0.0003750735787279196</v>
      </c>
      <c r="AK216" s="30" t="n">
        <v>0.0001898627202887596</v>
      </c>
      <c r="AL216" s="30" t="n">
        <v>0.01325858238507989</v>
      </c>
      <c r="AM216" s="30" t="n">
        <v>0.01424896932790065</v>
      </c>
      <c r="AN216" s="32" t="n">
        <v>0</v>
      </c>
      <c r="AO216" s="32" t="n">
        <v>1.179775095002105e-05</v>
      </c>
      <c r="AP216" s="32" t="n">
        <v>5.156579716666231e-07</v>
      </c>
      <c r="AQ216" s="32" t="n">
        <v>7.464152422116936e-07</v>
      </c>
      <c r="AR216" s="32" t="n">
        <v>7.713473071708888e-07</v>
      </c>
      <c r="AS216" s="32" t="n">
        <v>1.04619302838531e-05</v>
      </c>
      <c r="AT216" s="32" t="n">
        <v>2.429310175492335e-05</v>
      </c>
      <c r="AU216" s="34" t="n">
        <v>0</v>
      </c>
      <c r="AV216" s="34" t="n">
        <v>0</v>
      </c>
      <c r="AW216" s="34" t="n">
        <v>0.2698407427863993</v>
      </c>
      <c r="AX216" s="34" t="n">
        <v>0.1764744841436473</v>
      </c>
      <c r="AY216" s="34" t="n">
        <v>0.160045986015438</v>
      </c>
      <c r="AZ216" s="34" t="n">
        <v>0.7011694227305612</v>
      </c>
      <c r="BA216" s="34" t="n">
        <v>1.307530635676046</v>
      </c>
      <c r="BB216" s="6" t="n"/>
      <c r="BC216" s="6" t="n"/>
      <c r="BD216" t="inlineStr">
        <is>
          <t>transport, Motorbike, battery electric, 4-11kW, NCA battery, 2030/CH U</t>
        </is>
      </c>
      <c r="BF216" s="5" t="n">
        <v>0.07417971000000001</v>
      </c>
      <c r="BG216" s="5">
        <f>BF216-R216</f>
        <v>4.4220777415207579E-4</v>
      </c>
      <c r="BH216" s="2" t="n">
        <v>171.21178</v>
      </c>
    </row>
    <row r="217">
      <c r="A217" t="str">
        <f>B217&amp;" - "&amp;D217&amp;" - "&amp;IF(I217&lt;&gt;"",I217&amp;" - "&amp;E217,E217)</f>
        <v>Motorbike, battery electric, 4-11kW - 2040 - NCA - CH</v>
      </c>
      <c r="B217" t="inlineStr">
        <is>
          <t>Motorbike, battery electric, 4-11kW</t>
        </is>
      </c>
      <c r="D217" s="18" t="n">
        <v>2040</v>
      </c>
      <c r="E217" t="inlineStr">
        <is>
          <t>CH</t>
        </is>
      </c>
      <c r="F217" t="inlineStr">
        <is>
          <t>None</t>
        </is>
      </c>
      <c r="G217" t="inlineStr">
        <is>
          <t>vkm</t>
        </is>
      </c>
      <c r="H217" t="inlineStr">
        <is>
          <t>BEV</t>
        </is>
      </c>
      <c r="I217" t="inlineStr">
        <is>
          <t>NCA</t>
        </is>
      </c>
      <c r="J217" t="inlineStr">
        <is>
          <t>None</t>
        </is>
      </c>
      <c r="L217" s="24" t="n">
        <v>0</v>
      </c>
      <c r="M217" s="24" t="n">
        <v>0</v>
      </c>
      <c r="N217" s="24" t="n">
        <v>0.0057702284664922</v>
      </c>
      <c r="O217" s="24" t="n">
        <v>0.01230659169225786</v>
      </c>
      <c r="P217" s="24" t="n">
        <v>0.004564918789467381</v>
      </c>
      <c r="Q217" s="24" t="n">
        <v>0.05074490019026609</v>
      </c>
      <c r="R217" s="24" t="n">
        <v>0.07338663913848353</v>
      </c>
      <c r="S217" s="26" t="n">
        <v>0</v>
      </c>
      <c r="T217" s="26" t="n">
        <v>0</v>
      </c>
      <c r="U217" s="26" t="n">
        <v>0.0006107407897273188</v>
      </c>
      <c r="V217" s="26" t="n">
        <v>0.0004722191823356421</v>
      </c>
      <c r="W217" s="26" t="n">
        <v>0.0003153921025447589</v>
      </c>
      <c r="X217" s="26" t="n">
        <v>0.03507725196365487</v>
      </c>
      <c r="Y217" s="26" t="n">
        <v>0.03647560403826259</v>
      </c>
      <c r="Z217" s="28" t="n">
        <v>0</v>
      </c>
      <c r="AA217" s="28" t="n">
        <v>0.003127173544286591</v>
      </c>
      <c r="AB217" s="28" t="n">
        <v>0.0001789839418574189</v>
      </c>
      <c r="AC217" s="28" t="n">
        <v>0.0001543898913344915</v>
      </c>
      <c r="AD217" s="28" t="n">
        <v>0.000140686730926656</v>
      </c>
      <c r="AE217" s="28" t="n">
        <v>0.003684879772258432</v>
      </c>
      <c r="AF217" s="28" t="n">
        <v>0.007286113880663589</v>
      </c>
      <c r="AG217" s="30" t="n">
        <v>0</v>
      </c>
      <c r="AH217" s="30" t="n">
        <v>1.649105312647228e-05</v>
      </c>
      <c r="AI217" s="30" t="n">
        <v>0.0004089595906776136</v>
      </c>
      <c r="AJ217" s="30" t="n">
        <v>0.0003750735787279196</v>
      </c>
      <c r="AK217" s="30" t="n">
        <v>0.0001898352225676707</v>
      </c>
      <c r="AL217" s="30" t="n">
        <v>0.01284164798792508</v>
      </c>
      <c r="AM217" s="30" t="n">
        <v>0.01383200743302476</v>
      </c>
      <c r="AN217" s="32" t="n">
        <v>0</v>
      </c>
      <c r="AO217" s="32" t="n">
        <v>1.179775095002105e-05</v>
      </c>
      <c r="AP217" s="32" t="n">
        <v>5.156579716666231e-07</v>
      </c>
      <c r="AQ217" s="32" t="n">
        <v>7.464152422116936e-07</v>
      </c>
      <c r="AR217" s="32" t="n">
        <v>7.712387320439706e-07</v>
      </c>
      <c r="AS217" s="32" t="n">
        <v>1.004131213493747e-05</v>
      </c>
      <c r="AT217" s="32" t="n">
        <v>2.387237503088081e-05</v>
      </c>
      <c r="AU217" s="34" t="n">
        <v>0</v>
      </c>
      <c r="AV217" s="34" t="n">
        <v>0</v>
      </c>
      <c r="AW217" s="34" t="n">
        <v>0.2698407427863993</v>
      </c>
      <c r="AX217" s="34" t="n">
        <v>0.1764744841436473</v>
      </c>
      <c r="AY217" s="34" t="n">
        <v>0.160012381809173</v>
      </c>
      <c r="AZ217" s="34" t="n">
        <v>0.6898277764556963</v>
      </c>
      <c r="BA217" s="34" t="n">
        <v>1.296155385194916</v>
      </c>
      <c r="BB217" s="6" t="n"/>
      <c r="BC217" s="6" t="n"/>
      <c r="BD217" t="inlineStr">
        <is>
          <t>transport, Motorbike, battery electric, 4-11kW, NCA battery, 2040/CH U</t>
        </is>
      </c>
      <c r="BF217" s="5" t="n">
        <v>0.073162528</v>
      </c>
      <c r="BG217" s="5">
        <f>BF217-R217</f>
        <v>-2.2411113848352926E-4</v>
      </c>
      <c r="BH217" s="2" t="n">
        <v>162.68235</v>
      </c>
    </row>
    <row r="218">
      <c r="A218" t="str">
        <f>B218&amp;" - "&amp;D218&amp;" - "&amp;IF(I218&lt;&gt;"",I218&amp;" - "&amp;E218,E218)</f>
        <v>Motorbike, battery electric, 4-11kW - 2050 - NCA - CH</v>
      </c>
      <c r="B218" t="inlineStr">
        <is>
          <t>Motorbike, battery electric, 4-11kW</t>
        </is>
      </c>
      <c r="D218" s="18" t="n">
        <v>2050</v>
      </c>
      <c r="E218" t="inlineStr">
        <is>
          <t>CH</t>
        </is>
      </c>
      <c r="F218" t="inlineStr">
        <is>
          <t>None</t>
        </is>
      </c>
      <c r="G218" t="inlineStr">
        <is>
          <t>vkm</t>
        </is>
      </c>
      <c r="H218" t="inlineStr">
        <is>
          <t>BEV</t>
        </is>
      </c>
      <c r="I218" t="inlineStr">
        <is>
          <t>NCA</t>
        </is>
      </c>
      <c r="J218" t="inlineStr">
        <is>
          <t>None</t>
        </is>
      </c>
      <c r="L218" s="24" t="n">
        <v>0</v>
      </c>
      <c r="M218" s="24" t="n">
        <v>0</v>
      </c>
      <c r="N218" s="24" t="n">
        <v>0.0057702284664922</v>
      </c>
      <c r="O218" s="24" t="n">
        <v>0.01230659169225786</v>
      </c>
      <c r="P218" s="24" t="n">
        <v>0.004567838172282141</v>
      </c>
      <c r="Q218" s="24" t="n">
        <v>0.05057396285098904</v>
      </c>
      <c r="R218" s="24" t="n">
        <v>0.07321862118202124</v>
      </c>
      <c r="S218" s="26" t="n">
        <v>0</v>
      </c>
      <c r="T218" s="26" t="n">
        <v>0</v>
      </c>
      <c r="U218" s="26" t="n">
        <v>0.0006107407897273188</v>
      </c>
      <c r="V218" s="26" t="n">
        <v>0.0004722191823356421</v>
      </c>
      <c r="W218" s="26" t="n">
        <v>0.0003155765714566472</v>
      </c>
      <c r="X218" s="26" t="n">
        <v>0.03354871779125662</v>
      </c>
      <c r="Y218" s="26" t="n">
        <v>0.03494725433477623</v>
      </c>
      <c r="Z218" s="28" t="n">
        <v>0</v>
      </c>
      <c r="AA218" s="28" t="n">
        <v>0.003127173544286591</v>
      </c>
      <c r="AB218" s="28" t="n">
        <v>0.0001789839418574189</v>
      </c>
      <c r="AC218" s="28" t="n">
        <v>0.0001543898913344915</v>
      </c>
      <c r="AD218" s="28" t="n">
        <v>0.0001407705841922909</v>
      </c>
      <c r="AE218" s="28" t="n">
        <v>0.003558316813012054</v>
      </c>
      <c r="AF218" s="28" t="n">
        <v>0.007159634774682847</v>
      </c>
      <c r="AG218" s="30" t="n">
        <v>0</v>
      </c>
      <c r="AH218" s="30" t="n">
        <v>1.649105312647228e-05</v>
      </c>
      <c r="AI218" s="30" t="n">
        <v>0.0004089595906776136</v>
      </c>
      <c r="AJ218" s="30" t="n">
        <v>0.0003750735787279196</v>
      </c>
      <c r="AK218" s="30" t="n">
        <v>0.0001899134806788231</v>
      </c>
      <c r="AL218" s="30" t="n">
        <v>0.01248483860956842</v>
      </c>
      <c r="AM218" s="30" t="n">
        <v>0.01347527631277925</v>
      </c>
      <c r="AN218" s="32" t="n">
        <v>0</v>
      </c>
      <c r="AO218" s="32" t="n">
        <v>1.179775095002105e-05</v>
      </c>
      <c r="AP218" s="32" t="n">
        <v>5.156579716666231e-07</v>
      </c>
      <c r="AQ218" s="32" t="n">
        <v>7.464152422116936e-07</v>
      </c>
      <c r="AR218" s="32" t="n">
        <v>7.715477352636658e-07</v>
      </c>
      <c r="AS218" s="32" t="n">
        <v>9.663394939818036e-06</v>
      </c>
      <c r="AT218" s="32" t="n">
        <v>2.349476683898107e-05</v>
      </c>
      <c r="AU218" s="34" t="n">
        <v>0</v>
      </c>
      <c r="AV218" s="34" t="n">
        <v>0</v>
      </c>
      <c r="AW218" s="34" t="n">
        <v>0.2698407427863993</v>
      </c>
      <c r="AX218" s="34" t="n">
        <v>0.1764744841436473</v>
      </c>
      <c r="AY218" s="34" t="n">
        <v>0.1601080188876266</v>
      </c>
      <c r="AZ218" s="34" t="n">
        <v>0.6810465258930191</v>
      </c>
      <c r="BA218" s="34" t="n">
        <v>1.287469771710692</v>
      </c>
      <c r="BB218" s="6" t="n"/>
      <c r="BC218" s="6" t="n"/>
      <c r="BD218" t="inlineStr">
        <is>
          <t>transport, Motorbike, battery electric, 4-11kW, NCA battery, 2050/CH U</t>
        </is>
      </c>
      <c r="BF218" s="5" t="n">
        <v>0.07229539</v>
      </c>
      <c r="BG218" s="5">
        <f>BF218-R218</f>
        <v>-9.2323118202124188E-4</v>
      </c>
      <c r="BH218" s="2" t="n">
        <v>154.87563</v>
      </c>
    </row>
    <row r="219">
      <c r="A219" t="str">
        <f>B219&amp;" - "&amp;D219&amp;" - "&amp;IF(I219&lt;&gt;"",I219&amp;" - "&amp;E219,E219)</f>
        <v>Motorbike, battery electric, 11-35kW - 2020 - NCA - CH</v>
      </c>
      <c r="B219" t="inlineStr">
        <is>
          <t>Motorbike, battery electric, 11-35kW</t>
        </is>
      </c>
      <c r="D219" s="18" t="n">
        <v>2020</v>
      </c>
      <c r="E219" t="inlineStr">
        <is>
          <t>CH</t>
        </is>
      </c>
      <c r="F219" t="inlineStr">
        <is>
          <t>None</t>
        </is>
      </c>
      <c r="G219" t="inlineStr">
        <is>
          <t>vkm</t>
        </is>
      </c>
      <c r="H219" t="inlineStr">
        <is>
          <t>BEV</t>
        </is>
      </c>
      <c r="I219" t="inlineStr">
        <is>
          <t>NCA</t>
        </is>
      </c>
      <c r="J219" t="inlineStr">
        <is>
          <t>None</t>
        </is>
      </c>
      <c r="L219" s="24" t="n">
        <v>0</v>
      </c>
      <c r="M219" s="24" t="n">
        <v>0</v>
      </c>
      <c r="N219" s="24" t="n">
        <v>0.007810600247623645</v>
      </c>
      <c r="O219" s="24" t="n">
        <v>0.01230659169225786</v>
      </c>
      <c r="P219" s="24" t="n">
        <v>0.004806502072416283</v>
      </c>
      <c r="Q219" s="24" t="n">
        <v>0.05790342132339036</v>
      </c>
      <c r="R219" s="24" t="n">
        <v>0.08282711533568815</v>
      </c>
      <c r="S219" s="26" t="n">
        <v>0</v>
      </c>
      <c r="T219" s="26" t="n">
        <v>0</v>
      </c>
      <c r="U219" s="26" t="n">
        <v>0.000826700743511107</v>
      </c>
      <c r="V219" s="26" t="n">
        <v>0.0004722191823356421</v>
      </c>
      <c r="W219" s="26" t="n">
        <v>0.0003306571801874306</v>
      </c>
      <c r="X219" s="26" t="n">
        <v>0.04653641575890345</v>
      </c>
      <c r="Y219" s="26" t="n">
        <v>0.04816599286493763</v>
      </c>
      <c r="Z219" s="28" t="n">
        <v>0</v>
      </c>
      <c r="AA219" s="28" t="n">
        <v>0.003127173544286591</v>
      </c>
      <c r="AB219" s="28" t="n">
        <v>0.0002422732529067532</v>
      </c>
      <c r="AC219" s="28" t="n">
        <v>0.0001543898913344915</v>
      </c>
      <c r="AD219" s="28" t="n">
        <v>0.0001476257137471537</v>
      </c>
      <c r="AE219" s="28" t="n">
        <v>0.005091916474450555</v>
      </c>
      <c r="AF219" s="28" t="n">
        <v>0.008763378876725545</v>
      </c>
      <c r="AG219" s="30" t="n">
        <v>0</v>
      </c>
      <c r="AH219" s="30" t="n">
        <v>1.649105312647228e-05</v>
      </c>
      <c r="AI219" s="30" t="n">
        <v>0.000553569048221143</v>
      </c>
      <c r="AJ219" s="30" t="n">
        <v>0.0003750735787279196</v>
      </c>
      <c r="AK219" s="30" t="n">
        <v>0.0001963111980080967</v>
      </c>
      <c r="AL219" s="30" t="n">
        <v>0.01682611503501791</v>
      </c>
      <c r="AM219" s="30" t="n">
        <v>0.01796755991310154</v>
      </c>
      <c r="AN219" s="32" t="n">
        <v>0</v>
      </c>
      <c r="AO219" s="32" t="n">
        <v>1.179775095002105e-05</v>
      </c>
      <c r="AP219" s="32" t="n">
        <v>6.979963279750106e-07</v>
      </c>
      <c r="AQ219" s="32" t="n">
        <v>7.464152422116936e-07</v>
      </c>
      <c r="AR219" s="32" t="n">
        <v>7.968092094333518e-07</v>
      </c>
      <c r="AS219" s="32" t="n">
        <v>1.275134820543323e-05</v>
      </c>
      <c r="AT219" s="32" t="n">
        <v>2.679031993507434e-05</v>
      </c>
      <c r="AU219" s="34" t="n">
        <v>0</v>
      </c>
      <c r="AV219" s="34" t="n">
        <v>0</v>
      </c>
      <c r="AW219" s="34" t="n">
        <v>0.3652573177414669</v>
      </c>
      <c r="AX219" s="34" t="n">
        <v>0.1764744841436473</v>
      </c>
      <c r="AY219" s="34" t="n">
        <v>0.1679264927190705</v>
      </c>
      <c r="AZ219" s="34" t="n">
        <v>0.8104342597733819</v>
      </c>
      <c r="BA219" s="34" t="n">
        <v>1.520092554377567</v>
      </c>
      <c r="BB219" s="6" t="n"/>
      <c r="BC219" s="6" t="n"/>
      <c r="BD219" t="inlineStr">
        <is>
          <t>transport, Motorbike, battery electric, 11-35kW, NCA battery/CH U</t>
        </is>
      </c>
      <c r="BF219" s="5" t="n">
        <v>0.083109875</v>
      </c>
      <c r="BG219" s="5">
        <f>BF219-R219</f>
        <v>2.8275966431184907E-4</v>
      </c>
      <c r="BH219" s="2" t="n">
        <v>228.76056</v>
      </c>
    </row>
    <row r="220">
      <c r="A220" t="str">
        <f>B220&amp;" - "&amp;D220&amp;" - "&amp;IF(I220&lt;&gt;"",I220&amp;" - "&amp;E220,E220)</f>
        <v>Motorbike, battery electric, 11-35kW - 2030 - NCA - CH</v>
      </c>
      <c r="B220" t="inlineStr">
        <is>
          <t>Motorbike, battery electric, 11-35kW</t>
        </is>
      </c>
      <c r="D220" s="18" t="n">
        <v>2030</v>
      </c>
      <c r="E220" t="inlineStr">
        <is>
          <t>CH</t>
        </is>
      </c>
      <c r="F220" t="inlineStr">
        <is>
          <t>None</t>
        </is>
      </c>
      <c r="G220" t="inlineStr">
        <is>
          <t>vkm</t>
        </is>
      </c>
      <c r="H220" t="inlineStr">
        <is>
          <t>BEV</t>
        </is>
      </c>
      <c r="I220" t="inlineStr">
        <is>
          <t>NCA</t>
        </is>
      </c>
      <c r="J220" t="inlineStr">
        <is>
          <t>None</t>
        </is>
      </c>
      <c r="L220" s="24" t="n">
        <v>0</v>
      </c>
      <c r="M220" s="24" t="n">
        <v>0</v>
      </c>
      <c r="N220" s="24" t="n">
        <v>0.007810600247623645</v>
      </c>
      <c r="O220" s="24" t="n">
        <v>0.01230659169225786</v>
      </c>
      <c r="P220" s="24" t="n">
        <v>0.004839523431328749</v>
      </c>
      <c r="Q220" s="24" t="n">
        <v>0.05725954053885249</v>
      </c>
      <c r="R220" s="24" t="n">
        <v>0.08221625591006274</v>
      </c>
      <c r="S220" s="26" t="n">
        <v>0</v>
      </c>
      <c r="T220" s="26" t="n">
        <v>0</v>
      </c>
      <c r="U220" s="26" t="n">
        <v>0.000826700743511107</v>
      </c>
      <c r="V220" s="26" t="n">
        <v>0.0004722191823356421</v>
      </c>
      <c r="W220" s="26" t="n">
        <v>0.0003327437219444277</v>
      </c>
      <c r="X220" s="26" t="n">
        <v>0.04423761418752283</v>
      </c>
      <c r="Y220" s="26" t="n">
        <v>0.04586927783531401</v>
      </c>
      <c r="Z220" s="28" t="n">
        <v>0</v>
      </c>
      <c r="AA220" s="28" t="n">
        <v>0.003127173544286591</v>
      </c>
      <c r="AB220" s="28" t="n">
        <v>0.0002422732529067532</v>
      </c>
      <c r="AC220" s="28" t="n">
        <v>0.0001543898913344915</v>
      </c>
      <c r="AD220" s="28" t="n">
        <v>0.0001485741843507739</v>
      </c>
      <c r="AE220" s="28" t="n">
        <v>0.004885948492382748</v>
      </c>
      <c r="AF220" s="28" t="n">
        <v>0.008558359365261357</v>
      </c>
      <c r="AG220" s="30" t="n">
        <v>0</v>
      </c>
      <c r="AH220" s="30" t="n">
        <v>1.649105312647228e-05</v>
      </c>
      <c r="AI220" s="30" t="n">
        <v>0.000553569048221143</v>
      </c>
      <c r="AJ220" s="30" t="n">
        <v>0.0003750735787279196</v>
      </c>
      <c r="AK220" s="30" t="n">
        <v>0.0001971963813979253</v>
      </c>
      <c r="AL220" s="30" t="n">
        <v>0.016225130727688</v>
      </c>
      <c r="AM220" s="30" t="n">
        <v>0.01736746078916146</v>
      </c>
      <c r="AN220" s="32" t="n">
        <v>0</v>
      </c>
      <c r="AO220" s="32" t="n">
        <v>1.179775095002105e-05</v>
      </c>
      <c r="AP220" s="32" t="n">
        <v>6.979963279750106e-07</v>
      </c>
      <c r="AQ220" s="32" t="n">
        <v>7.464152422116936e-07</v>
      </c>
      <c r="AR220" s="32" t="n">
        <v>8.003043681261676e-07</v>
      </c>
      <c r="AS220" s="32" t="n">
        <v>1.21926266825028e-05</v>
      </c>
      <c r="AT220" s="32" t="n">
        <v>2.623509357083672e-05</v>
      </c>
      <c r="AU220" s="34" t="n">
        <v>0</v>
      </c>
      <c r="AV220" s="34" t="n">
        <v>0</v>
      </c>
      <c r="AW220" s="34" t="n">
        <v>0.3652573177414669</v>
      </c>
      <c r="AX220" s="34" t="n">
        <v>0.1764744841436473</v>
      </c>
      <c r="AY220" s="34" t="n">
        <v>0.1690082509170666</v>
      </c>
      <c r="AZ220" s="34" t="n">
        <v>0.7936230164507098</v>
      </c>
      <c r="BA220" s="34" t="n">
        <v>1.504363069252891</v>
      </c>
      <c r="BB220" s="6" t="n"/>
      <c r="BC220" s="6" t="n"/>
      <c r="BD220" t="inlineStr">
        <is>
          <t>transport, Motorbike, battery electric, 11-35kW, NCA battery, 2030/CH U</t>
        </is>
      </c>
      <c r="BF220" s="5" t="n">
        <v>0.08178186</v>
      </c>
      <c r="BG220" s="5">
        <f>BF220-R220</f>
        <v>-4.3439591006273759E-4</v>
      </c>
      <c r="BH220" s="2" t="n">
        <v>217.53667</v>
      </c>
    </row>
    <row r="221">
      <c r="A221" t="str">
        <f>B221&amp;" - "&amp;D221&amp;" - "&amp;IF(I221&lt;&gt;"",I221&amp;" - "&amp;E221,E221)</f>
        <v>Motorbike, battery electric, 11-35kW - 2040 - NCA - CH</v>
      </c>
      <c r="B221" t="inlineStr">
        <is>
          <t>Motorbike, battery electric, 11-35kW</t>
        </is>
      </c>
      <c r="D221" s="18" t="n">
        <v>2040</v>
      </c>
      <c r="E221" t="inlineStr">
        <is>
          <t>CH</t>
        </is>
      </c>
      <c r="F221" t="inlineStr">
        <is>
          <t>None</t>
        </is>
      </c>
      <c r="G221" t="inlineStr">
        <is>
          <t>vkm</t>
        </is>
      </c>
      <c r="H221" t="inlineStr">
        <is>
          <t>BEV</t>
        </is>
      </c>
      <c r="I221" t="inlineStr">
        <is>
          <t>NCA</t>
        </is>
      </c>
      <c r="J221" t="inlineStr">
        <is>
          <t>None</t>
        </is>
      </c>
      <c r="L221" s="24" t="n">
        <v>0</v>
      </c>
      <c r="M221" s="24" t="n">
        <v>0</v>
      </c>
      <c r="N221" s="24" t="n">
        <v>0.007810600247623645</v>
      </c>
      <c r="O221" s="24" t="n">
        <v>0.01230659169225786</v>
      </c>
      <c r="P221" s="24" t="n">
        <v>0.004842998218002713</v>
      </c>
      <c r="Q221" s="24" t="n">
        <v>0.05500534205256671</v>
      </c>
      <c r="R221" s="24" t="n">
        <v>0.07996553221045093</v>
      </c>
      <c r="S221" s="26" t="n">
        <v>0</v>
      </c>
      <c r="T221" s="26" t="n">
        <v>0</v>
      </c>
      <c r="U221" s="26" t="n">
        <v>0.000826700743511107</v>
      </c>
      <c r="V221" s="26" t="n">
        <v>0.0004722191823356421</v>
      </c>
      <c r="W221" s="26" t="n">
        <v>0.0003329632855157242</v>
      </c>
      <c r="X221" s="26" t="n">
        <v>0.04100285422106154</v>
      </c>
      <c r="Y221" s="26" t="n">
        <v>0.04263473743242402</v>
      </c>
      <c r="Z221" s="28" t="n">
        <v>0</v>
      </c>
      <c r="AA221" s="28" t="n">
        <v>0.003127173544286591</v>
      </c>
      <c r="AB221" s="28" t="n">
        <v>0.0002422732529067532</v>
      </c>
      <c r="AC221" s="28" t="n">
        <v>0.0001543898913344915</v>
      </c>
      <c r="AD221" s="28" t="n">
        <v>0.0001486739904496943</v>
      </c>
      <c r="AE221" s="28" t="n">
        <v>0.004536249391858259</v>
      </c>
      <c r="AF221" s="28" t="n">
        <v>0.008208760070835789</v>
      </c>
      <c r="AG221" s="30" t="n">
        <v>0</v>
      </c>
      <c r="AH221" s="30" t="n">
        <v>1.649105312647228e-05</v>
      </c>
      <c r="AI221" s="30" t="n">
        <v>0.000553569048221143</v>
      </c>
      <c r="AJ221" s="30" t="n">
        <v>0.0003750735787279196</v>
      </c>
      <c r="AK221" s="30" t="n">
        <v>0.0001972895278809378</v>
      </c>
      <c r="AL221" s="30" t="n">
        <v>0.0151869670933979</v>
      </c>
      <c r="AM221" s="30" t="n">
        <v>0.01632939030135437</v>
      </c>
      <c r="AN221" s="32" t="n">
        <v>0</v>
      </c>
      <c r="AO221" s="32" t="n">
        <v>1.179775095002105e-05</v>
      </c>
      <c r="AP221" s="32" t="n">
        <v>6.979963279750106e-07</v>
      </c>
      <c r="AQ221" s="32" t="n">
        <v>7.464152422116936e-07</v>
      </c>
      <c r="AR221" s="32" t="n">
        <v>8.006721582853002e-07</v>
      </c>
      <c r="AS221" s="32" t="n">
        <v>1.138602801299429e-05</v>
      </c>
      <c r="AT221" s="32" t="n">
        <v>2.542886269148735e-05</v>
      </c>
      <c r="AU221" s="34" t="n">
        <v>0</v>
      </c>
      <c r="AV221" s="34" t="n">
        <v>0</v>
      </c>
      <c r="AW221" s="34" t="n">
        <v>0.3652573177414669</v>
      </c>
      <c r="AX221" s="34" t="n">
        <v>0.1764744841436473</v>
      </c>
      <c r="AY221" s="34" t="n">
        <v>0.1691220826639917</v>
      </c>
      <c r="AZ221" s="34" t="n">
        <v>0.7563401128380741</v>
      </c>
      <c r="BA221" s="34" t="n">
        <v>1.46719399738718</v>
      </c>
      <c r="BB221" s="6" t="n"/>
      <c r="BC221" s="6" t="n"/>
      <c r="BD221" t="inlineStr">
        <is>
          <t>transport, Motorbike, battery electric, 11-35kW, NCA battery, 2040/CH U</t>
        </is>
      </c>
      <c r="BF221" s="5" t="n">
        <v>0.07937733000000001</v>
      </c>
      <c r="BG221" s="5">
        <f>BF221-R221</f>
        <v>-5.8820221045091658E-4</v>
      </c>
      <c r="BH221" s="2" t="n">
        <v>202.34105</v>
      </c>
    </row>
    <row r="222">
      <c r="A222" t="str">
        <f>B222&amp;" - "&amp;D222&amp;" - "&amp;IF(I222&lt;&gt;"",I222&amp;" - "&amp;E222,E222)</f>
        <v>Motorbike, battery electric, 11-35kW - 2050 - NCA - CH</v>
      </c>
      <c r="B222" t="inlineStr">
        <is>
          <t>Motorbike, battery electric, 11-35kW</t>
        </is>
      </c>
      <c r="D222" s="18" t="n">
        <v>2050</v>
      </c>
      <c r="E222" t="inlineStr">
        <is>
          <t>CH</t>
        </is>
      </c>
      <c r="F222" t="inlineStr">
        <is>
          <t>None</t>
        </is>
      </c>
      <c r="G222" t="inlineStr">
        <is>
          <t>vkm</t>
        </is>
      </c>
      <c r="H222" t="inlineStr">
        <is>
          <t>BEV</t>
        </is>
      </c>
      <c r="I222" t="inlineStr">
        <is>
          <t>NCA</t>
        </is>
      </c>
      <c r="J222" t="inlineStr">
        <is>
          <t>None</t>
        </is>
      </c>
      <c r="L222" s="24" t="n">
        <v>0</v>
      </c>
      <c r="M222" s="24" t="n">
        <v>0</v>
      </c>
      <c r="N222" s="24" t="n">
        <v>0.007810600247623645</v>
      </c>
      <c r="O222" s="24" t="n">
        <v>0.01230659169225786</v>
      </c>
      <c r="P222" s="24" t="n">
        <v>0.004842133314769455</v>
      </c>
      <c r="Q222" s="24" t="n">
        <v>0.0520190696938027</v>
      </c>
      <c r="R222" s="24" t="n">
        <v>0.07697839494845365</v>
      </c>
      <c r="S222" s="26" t="n">
        <v>0</v>
      </c>
      <c r="T222" s="26" t="n">
        <v>0</v>
      </c>
      <c r="U222" s="26" t="n">
        <v>0.000826700743511107</v>
      </c>
      <c r="V222" s="26" t="n">
        <v>0.0004722191823356421</v>
      </c>
      <c r="W222" s="26" t="n">
        <v>0.000332908634321122</v>
      </c>
      <c r="X222" s="26" t="n">
        <v>0.03708066283381804</v>
      </c>
      <c r="Y222" s="26" t="n">
        <v>0.03871249139398591</v>
      </c>
      <c r="Z222" s="28" t="n">
        <v>0</v>
      </c>
      <c r="AA222" s="28" t="n">
        <v>0.003127173544286591</v>
      </c>
      <c r="AB222" s="28" t="n">
        <v>0.0002422732529067532</v>
      </c>
      <c r="AC222" s="28" t="n">
        <v>0.0001543898913344915</v>
      </c>
      <c r="AD222" s="28" t="n">
        <v>0.0001486491478835875</v>
      </c>
      <c r="AE222" s="28" t="n">
        <v>0.004101117810328513</v>
      </c>
      <c r="AF222" s="28" t="n">
        <v>0.007773603646739936</v>
      </c>
      <c r="AG222" s="30" t="n">
        <v>0</v>
      </c>
      <c r="AH222" s="30" t="n">
        <v>1.649105312647228e-05</v>
      </c>
      <c r="AI222" s="30" t="n">
        <v>0.000553569048221143</v>
      </c>
      <c r="AJ222" s="30" t="n">
        <v>0.0003750735787279196</v>
      </c>
      <c r="AK222" s="30" t="n">
        <v>0.0001972663429484849</v>
      </c>
      <c r="AL222" s="30" t="n">
        <v>0.01389134425749195</v>
      </c>
      <c r="AM222" s="30" t="n">
        <v>0.01503374428051597</v>
      </c>
      <c r="AN222" s="32" t="n">
        <v>0</v>
      </c>
      <c r="AO222" s="32" t="n">
        <v>1.179775095002105e-05</v>
      </c>
      <c r="AP222" s="32" t="n">
        <v>6.979963279750106e-07</v>
      </c>
      <c r="AQ222" s="32" t="n">
        <v>7.464152422116936e-07</v>
      </c>
      <c r="AR222" s="32" t="n">
        <v>8.005806122631581e-07</v>
      </c>
      <c r="AS222" s="32" t="n">
        <v>1.040538856162617e-05</v>
      </c>
      <c r="AT222" s="32" t="n">
        <v>2.444813169409708e-05</v>
      </c>
      <c r="AU222" s="34" t="n">
        <v>0</v>
      </c>
      <c r="AV222" s="34" t="n">
        <v>0</v>
      </c>
      <c r="AW222" s="34" t="n">
        <v>0.3652573177414669</v>
      </c>
      <c r="AX222" s="34" t="n">
        <v>0.1764744841436473</v>
      </c>
      <c r="AY222" s="34" t="n">
        <v>0.1690937489977265</v>
      </c>
      <c r="AZ222" s="34" t="n">
        <v>0.7086001629622728</v>
      </c>
      <c r="BA222" s="34" t="n">
        <v>1.419425713845114</v>
      </c>
      <c r="BB222" s="6" t="n"/>
      <c r="BC222" s="6" t="n"/>
      <c r="BD222" t="inlineStr">
        <is>
          <t>transport, Motorbike, battery electric, 11-35kW, NCA battery, 2050/CH U</t>
        </is>
      </c>
      <c r="BF222" s="5" t="n">
        <v>0.07637313700000001</v>
      </c>
      <c r="BG222" s="5">
        <f>BF222-R222</f>
        <v>-6.0525794845364689E-4</v>
      </c>
      <c r="BH222" s="2" t="n">
        <v>184.07173</v>
      </c>
    </row>
    <row r="223">
      <c r="A223" t="str">
        <f>B223&amp;" - "&amp;D223&amp;" - "&amp;IF(I223&lt;&gt;"",I223&amp;" - "&amp;E223,E223)</f>
        <v>Motorbike, battery electric, &gt;35kW - 2020 - NCA - CH</v>
      </c>
      <c r="B223" t="inlineStr">
        <is>
          <t>Motorbike, battery electric, &gt;35kW</t>
        </is>
      </c>
      <c r="D223" s="18" t="n">
        <v>2020</v>
      </c>
      <c r="E223" t="inlineStr">
        <is>
          <t>CH</t>
        </is>
      </c>
      <c r="F223" t="inlineStr">
        <is>
          <t>None</t>
        </is>
      </c>
      <c r="G223" t="inlineStr">
        <is>
          <t>vkm</t>
        </is>
      </c>
      <c r="H223" t="inlineStr">
        <is>
          <t>BEV</t>
        </is>
      </c>
      <c r="I223" t="inlineStr">
        <is>
          <t>NCA</t>
        </is>
      </c>
      <c r="J223" t="inlineStr">
        <is>
          <t>None</t>
        </is>
      </c>
      <c r="L223" s="24" t="n">
        <v>0</v>
      </c>
      <c r="M223" s="24" t="n">
        <v>0</v>
      </c>
      <c r="N223" s="24" t="n">
        <v>0.008710249309141712</v>
      </c>
      <c r="O223" s="24" t="n">
        <v>0.01230659169225786</v>
      </c>
      <c r="P223" s="24" t="n">
        <v>0.005180314437340378</v>
      </c>
      <c r="Q223" s="24" t="n">
        <v>0.09226026278512707</v>
      </c>
      <c r="R223" s="24" t="n">
        <v>0.118457418223867</v>
      </c>
      <c r="S223" s="26" t="n">
        <v>0</v>
      </c>
      <c r="T223" s="26" t="n">
        <v>0</v>
      </c>
      <c r="U223" s="26" t="n">
        <v>0.0009219226886211946</v>
      </c>
      <c r="V223" s="26" t="n">
        <v>0.0004722191823356421</v>
      </c>
      <c r="W223" s="26" t="n">
        <v>0.0003542775015304599</v>
      </c>
      <c r="X223" s="26" t="n">
        <v>0.0761495299551456</v>
      </c>
      <c r="Y223" s="26" t="n">
        <v>0.07789794932763289</v>
      </c>
      <c r="Z223" s="28" t="n">
        <v>0</v>
      </c>
      <c r="AA223" s="28" t="n">
        <v>0.003127173544286591</v>
      </c>
      <c r="AB223" s="28" t="n">
        <v>0.0002701790344982262</v>
      </c>
      <c r="AC223" s="28" t="n">
        <v>0.0001543898913344915</v>
      </c>
      <c r="AD223" s="28" t="n">
        <v>0.0001583627049273196</v>
      </c>
      <c r="AE223" s="28" t="n">
        <v>0.008772456137313832</v>
      </c>
      <c r="AF223" s="28" t="n">
        <v>0.01248256131236046</v>
      </c>
      <c r="AG223" s="30" t="n">
        <v>0</v>
      </c>
      <c r="AH223" s="30" t="n">
        <v>1.649105312647228e-05</v>
      </c>
      <c r="AI223" s="30" t="n">
        <v>0.0006173308410320248</v>
      </c>
      <c r="AJ223" s="30" t="n">
        <v>0.0003750735787279196</v>
      </c>
      <c r="AK223" s="30" t="n">
        <v>0.0002063317576471014</v>
      </c>
      <c r="AL223" s="30" t="n">
        <v>0.02815287609611515</v>
      </c>
      <c r="AM223" s="30" t="n">
        <v>0.02936810332664867</v>
      </c>
      <c r="AN223" s="32" t="n">
        <v>0</v>
      </c>
      <c r="AO223" s="32" t="n">
        <v>1.179775095002105e-05</v>
      </c>
      <c r="AP223" s="32" t="n">
        <v>7.783937009678004e-07</v>
      </c>
      <c r="AQ223" s="32" t="n">
        <v>7.464152422116936e-07</v>
      </c>
      <c r="AR223" s="32" t="n">
        <v>8.363755258956728e-07</v>
      </c>
      <c r="AS223" s="32" t="n">
        <v>2.087353400977265e-05</v>
      </c>
      <c r="AT223" s="32" t="n">
        <v>3.503246942886886e-05</v>
      </c>
      <c r="AU223" s="34" t="n">
        <v>0</v>
      </c>
      <c r="AV223" s="34" t="n">
        <v>0</v>
      </c>
      <c r="AW223" s="34" t="n">
        <v>0.4073287837877151</v>
      </c>
      <c r="AX223" s="34" t="n">
        <v>0.1764744841436473</v>
      </c>
      <c r="AY223" s="34" t="n">
        <v>0.180172342180956</v>
      </c>
      <c r="AZ223" s="34" t="n">
        <v>1.297887356955377</v>
      </c>
      <c r="BA223" s="34" t="n">
        <v>2.061862967067696</v>
      </c>
      <c r="BB223" s="6" t="n"/>
      <c r="BC223" s="6" t="n"/>
      <c r="BD223" t="inlineStr">
        <is>
          <t>transport, Motorbike, battery electric, &gt;35kW, NCA battery/CH U</t>
        </is>
      </c>
      <c r="BF223" s="5" t="n">
        <v>0.11359316</v>
      </c>
      <c r="BG223" s="5">
        <f>BF223-R223</f>
        <v>-4.8642582238670046E-3</v>
      </c>
      <c r="BH223" s="2" t="n">
        <v>362.22152</v>
      </c>
    </row>
    <row r="224">
      <c r="A224" t="str">
        <f>B224&amp;" - "&amp;D224&amp;" - "&amp;IF(I224&lt;&gt;"",I224&amp;" - "&amp;E224,E224)</f>
        <v>Motorbike, battery electric, &gt;35kW - 2030 - NCA - CH</v>
      </c>
      <c r="B224" t="inlineStr">
        <is>
          <t>Motorbike, battery electric, &gt;35kW</t>
        </is>
      </c>
      <c r="D224" s="18" t="n">
        <v>2030</v>
      </c>
      <c r="E224" t="inlineStr">
        <is>
          <t>CH</t>
        </is>
      </c>
      <c r="F224" t="inlineStr">
        <is>
          <t>None</t>
        </is>
      </c>
      <c r="G224" t="inlineStr">
        <is>
          <t>vkm</t>
        </is>
      </c>
      <c r="H224" t="inlineStr">
        <is>
          <t>BEV</t>
        </is>
      </c>
      <c r="I224" t="inlineStr">
        <is>
          <t>NCA</t>
        </is>
      </c>
      <c r="J224" t="inlineStr">
        <is>
          <t>None</t>
        </is>
      </c>
      <c r="L224" s="24" t="n">
        <v>0</v>
      </c>
      <c r="M224" s="24" t="n">
        <v>0</v>
      </c>
      <c r="N224" s="24" t="n">
        <v>0.008710249309141712</v>
      </c>
      <c r="O224" s="24" t="n">
        <v>0.01230659169225786</v>
      </c>
      <c r="P224" s="24" t="n">
        <v>0.005245603086213659</v>
      </c>
      <c r="Q224" s="24" t="n">
        <v>0.08866938555908926</v>
      </c>
      <c r="R224" s="24" t="n">
        <v>0.1149318296467025</v>
      </c>
      <c r="S224" s="26" t="n">
        <v>0</v>
      </c>
      <c r="T224" s="26" t="n">
        <v>0</v>
      </c>
      <c r="U224" s="26" t="n">
        <v>0.0009219226886211946</v>
      </c>
      <c r="V224" s="26" t="n">
        <v>0.0004722191823356421</v>
      </c>
      <c r="W224" s="26" t="n">
        <v>0.0003584029372065972</v>
      </c>
      <c r="X224" s="26" t="n">
        <v>0.07051825796787638</v>
      </c>
      <c r="Y224" s="26" t="n">
        <v>0.07227080277603981</v>
      </c>
      <c r="Z224" s="28" t="n">
        <v>0</v>
      </c>
      <c r="AA224" s="28" t="n">
        <v>0.003127173544286591</v>
      </c>
      <c r="AB224" s="28" t="n">
        <v>0.0002701790344982262</v>
      </c>
      <c r="AC224" s="28" t="n">
        <v>0.0001543898913344915</v>
      </c>
      <c r="AD224" s="28" t="n">
        <v>0.0001602379870551853</v>
      </c>
      <c r="AE224" s="28" t="n">
        <v>0.008180306957404062</v>
      </c>
      <c r="AF224" s="28" t="n">
        <v>0.01189228741457856</v>
      </c>
      <c r="AG224" s="30" t="n">
        <v>0</v>
      </c>
      <c r="AH224" s="30" t="n">
        <v>1.649105312647228e-05</v>
      </c>
      <c r="AI224" s="30" t="n">
        <v>0.0006173308410320248</v>
      </c>
      <c r="AJ224" s="30" t="n">
        <v>0.0003750735787279196</v>
      </c>
      <c r="AK224" s="30" t="n">
        <v>0.0002080819105611646</v>
      </c>
      <c r="AL224" s="30" t="n">
        <v>0.02638242386575264</v>
      </c>
      <c r="AM224" s="30" t="n">
        <v>0.02759940124920022</v>
      </c>
      <c r="AN224" s="32" t="n">
        <v>0</v>
      </c>
      <c r="AO224" s="32" t="n">
        <v>1.179775095002105e-05</v>
      </c>
      <c r="AP224" s="32" t="n">
        <v>7.783937009678004e-07</v>
      </c>
      <c r="AQ224" s="32" t="n">
        <v>7.464152422116936e-07</v>
      </c>
      <c r="AR224" s="32" t="n">
        <v>8.432860285571943e-07</v>
      </c>
      <c r="AS224" s="32" t="n">
        <v>1.949261334688263e-05</v>
      </c>
      <c r="AT224" s="32" t="n">
        <v>3.365845926864037e-05</v>
      </c>
      <c r="AU224" s="34" t="n">
        <v>0</v>
      </c>
      <c r="AV224" s="34" t="n">
        <v>0</v>
      </c>
      <c r="AW224" s="34" t="n">
        <v>0.4073287837877151</v>
      </c>
      <c r="AX224" s="34" t="n">
        <v>0.1764744841436473</v>
      </c>
      <c r="AY224" s="34" t="n">
        <v>0.1823111557695179</v>
      </c>
      <c r="AZ224" s="34" t="n">
        <v>1.236711084032365</v>
      </c>
      <c r="BA224" s="34" t="n">
        <v>2.002825507733245</v>
      </c>
      <c r="BB224" s="6" t="n"/>
      <c r="BC224" s="6" t="n"/>
      <c r="BD224" t="inlineStr">
        <is>
          <t>transport, Motorbike, battery electric, &gt;35kW, NCA battery, 2030/CH U</t>
        </is>
      </c>
      <c r="BF224" s="5" t="n">
        <v>0.10968169</v>
      </c>
      <c r="BG224" s="5">
        <f>BF224-R224</f>
        <v>-5.250139646702498E-3</v>
      </c>
      <c r="BH224" s="2" t="n">
        <v>335.95848</v>
      </c>
    </row>
    <row r="225">
      <c r="A225" t="str">
        <f>B225&amp;" - "&amp;D225&amp;" - "&amp;IF(I225&lt;&gt;"",I225&amp;" - "&amp;E225,E225)</f>
        <v>Motorbike, battery electric, &gt;35kW - 2040 - NCA - CH</v>
      </c>
      <c r="B225" t="inlineStr">
        <is>
          <t>Motorbike, battery electric, &gt;35kW</t>
        </is>
      </c>
      <c r="D225" s="18" t="n">
        <v>2040</v>
      </c>
      <c r="E225" t="inlineStr">
        <is>
          <t>CH</t>
        </is>
      </c>
      <c r="F225" t="inlineStr">
        <is>
          <t>None</t>
        </is>
      </c>
      <c r="G225" t="inlineStr">
        <is>
          <t>vkm</t>
        </is>
      </c>
      <c r="H225" t="inlineStr">
        <is>
          <t>BEV</t>
        </is>
      </c>
      <c r="I225" t="inlineStr">
        <is>
          <t>NCA</t>
        </is>
      </c>
      <c r="J225" t="inlineStr">
        <is>
          <t>None</t>
        </is>
      </c>
      <c r="L225" s="24" t="n">
        <v>0</v>
      </c>
      <c r="M225" s="24" t="n">
        <v>0</v>
      </c>
      <c r="N225" s="24" t="n">
        <v>0.008710249309141712</v>
      </c>
      <c r="O225" s="24" t="n">
        <v>0.01230659169225786</v>
      </c>
      <c r="P225" s="24" t="n">
        <v>0.005248319185840906</v>
      </c>
      <c r="Q225" s="24" t="n">
        <v>0.08274339376039468</v>
      </c>
      <c r="R225" s="24" t="n">
        <v>0.1090085539476352</v>
      </c>
      <c r="S225" s="26" t="n">
        <v>0</v>
      </c>
      <c r="T225" s="26" t="n">
        <v>0</v>
      </c>
      <c r="U225" s="26" t="n">
        <v>0.0009219226886211946</v>
      </c>
      <c r="V225" s="26" t="n">
        <v>0.0004722191823356421</v>
      </c>
      <c r="W225" s="26" t="n">
        <v>0.0003585745611335058</v>
      </c>
      <c r="X225" s="26" t="n">
        <v>0.06347383000367299</v>
      </c>
      <c r="Y225" s="26" t="n">
        <v>0.06522654643576332</v>
      </c>
      <c r="Z225" s="28" t="n">
        <v>0</v>
      </c>
      <c r="AA225" s="28" t="n">
        <v>0.003127173544286591</v>
      </c>
      <c r="AB225" s="28" t="n">
        <v>0.0002701790344982262</v>
      </c>
      <c r="AC225" s="28" t="n">
        <v>0.0001543898913344915</v>
      </c>
      <c r="AD225" s="28" t="n">
        <v>0.0001603160014294507</v>
      </c>
      <c r="AE225" s="28" t="n">
        <v>0.007374697630923919</v>
      </c>
      <c r="AF225" s="28" t="n">
        <v>0.01108675610247268</v>
      </c>
      <c r="AG225" s="30" t="n">
        <v>0</v>
      </c>
      <c r="AH225" s="30" t="n">
        <v>1.649105312647228e-05</v>
      </c>
      <c r="AI225" s="30" t="n">
        <v>0.0006173308410320248</v>
      </c>
      <c r="AJ225" s="30" t="n">
        <v>0.0003750735787279196</v>
      </c>
      <c r="AK225" s="30" t="n">
        <v>0.0002081547193841308</v>
      </c>
      <c r="AL225" s="30" t="n">
        <v>0.02396988467892259</v>
      </c>
      <c r="AM225" s="30" t="n">
        <v>0.02518693487119314</v>
      </c>
      <c r="AN225" s="32" t="n">
        <v>0</v>
      </c>
      <c r="AO225" s="32" t="n">
        <v>1.179775095002105e-05</v>
      </c>
      <c r="AP225" s="32" t="n">
        <v>7.783937009678004e-07</v>
      </c>
      <c r="AQ225" s="32" t="n">
        <v>7.464152422116936e-07</v>
      </c>
      <c r="AR225" s="32" t="n">
        <v>8.43573515188132e-07</v>
      </c>
      <c r="AS225" s="32" t="n">
        <v>1.773169139251321e-05</v>
      </c>
      <c r="AT225" s="32" t="n">
        <v>3.189782480090189e-05</v>
      </c>
      <c r="AU225" s="34" t="n">
        <v>0</v>
      </c>
      <c r="AV225" s="34" t="n">
        <v>0</v>
      </c>
      <c r="AW225" s="34" t="n">
        <v>0.4073287837877151</v>
      </c>
      <c r="AX225" s="34" t="n">
        <v>0.1764744841436473</v>
      </c>
      <c r="AY225" s="34" t="n">
        <v>0.1824001334232279</v>
      </c>
      <c r="AZ225" s="34" t="n">
        <v>1.145456587429641</v>
      </c>
      <c r="BA225" s="34" t="n">
        <v>1.911659988784231</v>
      </c>
      <c r="BB225" s="6" t="n"/>
      <c r="BC225" s="6" t="n"/>
      <c r="BD225" t="inlineStr">
        <is>
          <t>transport, Motorbike, battery electric, &gt;35kW, NCA battery, 2040/CH U</t>
        </is>
      </c>
      <c r="BF225" s="5" t="n">
        <v>0.10413846</v>
      </c>
      <c r="BG225" s="5">
        <f>BF225-R225</f>
        <v>-4.8700939476351568E-3</v>
      </c>
      <c r="BH225" s="2" t="n">
        <v>303.60194</v>
      </c>
    </row>
    <row r="226">
      <c r="A226" t="str">
        <f>B226&amp;" - "&amp;D226&amp;" - "&amp;IF(I226&lt;&gt;"",I226&amp;" - "&amp;E226,E226)</f>
        <v>Motorbike, battery electric, &gt;35kW - 2050 - NCA - CH</v>
      </c>
      <c r="B226" t="inlineStr">
        <is>
          <t>Motorbike, battery electric, &gt;35kW</t>
        </is>
      </c>
      <c r="D226" s="18" t="n">
        <v>2050</v>
      </c>
      <c r="E226" t="inlineStr">
        <is>
          <t>CH</t>
        </is>
      </c>
      <c r="F226" t="inlineStr">
        <is>
          <t>None</t>
        </is>
      </c>
      <c r="G226" t="inlineStr">
        <is>
          <t>vkm</t>
        </is>
      </c>
      <c r="H226" t="inlineStr">
        <is>
          <t>BEV</t>
        </is>
      </c>
      <c r="I226" t="inlineStr">
        <is>
          <t>NCA</t>
        </is>
      </c>
      <c r="J226" t="inlineStr">
        <is>
          <t>None</t>
        </is>
      </c>
      <c r="L226" s="24" t="n">
        <v>0</v>
      </c>
      <c r="M226" s="24" t="n">
        <v>0</v>
      </c>
      <c r="N226" s="24" t="n">
        <v>0.008710249309141712</v>
      </c>
      <c r="O226" s="24" t="n">
        <v>0.01230659169225786</v>
      </c>
      <c r="P226" s="24" t="n">
        <v>0.005247090112825224</v>
      </c>
      <c r="Q226" s="24" t="n">
        <v>0.07608030124667282</v>
      </c>
      <c r="R226" s="24" t="n">
        <v>0.1023442323608976</v>
      </c>
      <c r="S226" s="26" t="n">
        <v>0</v>
      </c>
      <c r="T226" s="26" t="n">
        <v>0</v>
      </c>
      <c r="U226" s="26" t="n">
        <v>0.0009219226886211946</v>
      </c>
      <c r="V226" s="26" t="n">
        <v>0.0004722191823356421</v>
      </c>
      <c r="W226" s="26" t="n">
        <v>0.0003584968989095975</v>
      </c>
      <c r="X226" s="26" t="n">
        <v>0.05573633372186609</v>
      </c>
      <c r="Y226" s="26" t="n">
        <v>0.05748897249173252</v>
      </c>
      <c r="Z226" s="28" t="n">
        <v>0</v>
      </c>
      <c r="AA226" s="28" t="n">
        <v>0.003127173544286591</v>
      </c>
      <c r="AB226" s="28" t="n">
        <v>0.0002701790344982262</v>
      </c>
      <c r="AC226" s="28" t="n">
        <v>0.0001543898913344915</v>
      </c>
      <c r="AD226" s="28" t="n">
        <v>0.0001602806988355094</v>
      </c>
      <c r="AE226" s="28" t="n">
        <v>0.006483022488035057</v>
      </c>
      <c r="AF226" s="28" t="n">
        <v>0.01019504565698988</v>
      </c>
      <c r="AG226" s="30" t="n">
        <v>0</v>
      </c>
      <c r="AH226" s="30" t="n">
        <v>1.649105312647228e-05</v>
      </c>
      <c r="AI226" s="30" t="n">
        <v>0.0006173308410320248</v>
      </c>
      <c r="AJ226" s="30" t="n">
        <v>0.0003750735787279196</v>
      </c>
      <c r="AK226" s="30" t="n">
        <v>0.0002081217723748556</v>
      </c>
      <c r="AL226" s="30" t="n">
        <v>0.02129777383274865</v>
      </c>
      <c r="AM226" s="30" t="n">
        <v>0.02251479107800992</v>
      </c>
      <c r="AN226" s="32" t="n">
        <v>0</v>
      </c>
      <c r="AO226" s="32" t="n">
        <v>1.179775095002105e-05</v>
      </c>
      <c r="AP226" s="32" t="n">
        <v>7.783937009678004e-07</v>
      </c>
      <c r="AQ226" s="32" t="n">
        <v>7.464152422116936e-07</v>
      </c>
      <c r="AR226" s="32" t="n">
        <v>8.434434234724563e-07</v>
      </c>
      <c r="AS226" s="32" t="n">
        <v>1.579555457051699e-05</v>
      </c>
      <c r="AT226" s="32" t="n">
        <v>2.996155788718999e-05</v>
      </c>
      <c r="AU226" s="34" t="n">
        <v>0</v>
      </c>
      <c r="AV226" s="34" t="n">
        <v>0</v>
      </c>
      <c r="AW226" s="34" t="n">
        <v>0.4073287837877151</v>
      </c>
      <c r="AX226" s="34" t="n">
        <v>0.1764744841436473</v>
      </c>
      <c r="AY226" s="34" t="n">
        <v>0.1823598697922195</v>
      </c>
      <c r="AZ226" s="34" t="n">
        <v>1.043673854082307</v>
      </c>
      <c r="BA226" s="34" t="n">
        <v>1.809836991805889</v>
      </c>
      <c r="BB226" s="6" t="n"/>
      <c r="BC226" s="6" t="n"/>
      <c r="BD226" t="inlineStr">
        <is>
          <t>transport, Motorbike, battery electric, &gt;35kW, NCA battery, 2050/CH U</t>
        </is>
      </c>
      <c r="BF226" s="5" t="n">
        <v>0.097976305</v>
      </c>
      <c r="BG226" s="5">
        <f>BF226-R226</f>
        <v>-4.3679273608976249E-3</v>
      </c>
      <c r="BH226" s="2" t="n">
        <v>268.05585</v>
      </c>
    </row>
    <row r="227">
      <c r="A227" t="str">
        <f>B227&amp;" - "&amp;D227&amp;" - "&amp;IF(I227&lt;&gt;"",I227&amp;" - "&amp;E227,E227)</f>
        <v>Motorbike, battery electric, &lt;4kW - 2020 - NMC - CH</v>
      </c>
      <c r="B227" t="inlineStr">
        <is>
          <t>Motorbike, battery electric, &lt;4kW</t>
        </is>
      </c>
      <c r="D227" s="18" t="n">
        <v>2020</v>
      </c>
      <c r="E227" t="inlineStr">
        <is>
          <t>CH</t>
        </is>
      </c>
      <c r="F227" t="inlineStr">
        <is>
          <t>None</t>
        </is>
      </c>
      <c r="G227" t="inlineStr">
        <is>
          <t>vkm</t>
        </is>
      </c>
      <c r="H227" t="inlineStr">
        <is>
          <t>BEV</t>
        </is>
      </c>
      <c r="I227" t="inlineStr">
        <is>
          <t>NMC</t>
        </is>
      </c>
      <c r="J227" t="inlineStr">
        <is>
          <t>label-certified electricity</t>
        </is>
      </c>
      <c r="L227" s="24" t="n">
        <v>0</v>
      </c>
      <c r="M227" s="24" t="n">
        <v>0</v>
      </c>
      <c r="N227" s="24" t="n">
        <v>0.0007442051711905084</v>
      </c>
      <c r="O227" s="24" t="n">
        <v>0.01230659169225786</v>
      </c>
      <c r="P227" s="24" t="n">
        <v>0.004432852000547399</v>
      </c>
      <c r="Q227" s="24" t="n">
        <v>0.03773161271426356</v>
      </c>
      <c r="R227" s="24" t="n">
        <v>0.05521526157825933</v>
      </c>
      <c r="S227" s="26" t="n">
        <v>0</v>
      </c>
      <c r="T227" s="26" t="n">
        <v>0</v>
      </c>
      <c r="U227" s="26" t="n">
        <v>0.0004242063424097505</v>
      </c>
      <c r="V227" s="26" t="n">
        <v>0.0004722191823356421</v>
      </c>
      <c r="W227" s="26" t="n">
        <v>0.0003070471137596356</v>
      </c>
      <c r="X227" s="26" t="n">
        <v>0.04307313122072114</v>
      </c>
      <c r="Y227" s="26" t="n">
        <v>0.04427660385922617</v>
      </c>
      <c r="Z227" s="28" t="n">
        <v>0</v>
      </c>
      <c r="AA227" s="28" t="n">
        <v>0.003127173544286591</v>
      </c>
      <c r="AB227" s="28" t="n">
        <v>7.485410330623648e-05</v>
      </c>
      <c r="AC227" s="28" t="n">
        <v>0.0001543898913344915</v>
      </c>
      <c r="AD227" s="28" t="n">
        <v>0.0001368933841011313</v>
      </c>
      <c r="AE227" s="28" t="n">
        <v>0.003513144467429068</v>
      </c>
      <c r="AF227" s="28" t="n">
        <v>0.007006455390457519</v>
      </c>
      <c r="AG227" s="30" t="n">
        <v>0</v>
      </c>
      <c r="AH227" s="30" t="n">
        <v>1.649105312647228e-05</v>
      </c>
      <c r="AI227" s="30" t="n">
        <v>0.0002805230458570776</v>
      </c>
      <c r="AJ227" s="30" t="n">
        <v>0.0003750735787279196</v>
      </c>
      <c r="AK227" s="30" t="n">
        <v>0.0001862949888598498</v>
      </c>
      <c r="AL227" s="30" t="n">
        <v>0.01062083337966883</v>
      </c>
      <c r="AM227" s="30" t="n">
        <v>0.01147921604624015</v>
      </c>
      <c r="AN227" s="32" t="n">
        <v>0</v>
      </c>
      <c r="AO227" s="32" t="n">
        <v>1.179775095002105e-05</v>
      </c>
      <c r="AP227" s="32" t="n">
        <v>6.627528372665328e-07</v>
      </c>
      <c r="AQ227" s="32" t="n">
        <v>7.464152422116936e-07</v>
      </c>
      <c r="AR227" s="32" t="n">
        <v>7.57260070943149e-07</v>
      </c>
      <c r="AS227" s="32" t="n">
        <v>9.874007547004985e-06</v>
      </c>
      <c r="AT227" s="32" t="n">
        <v>2.383818664744741e-05</v>
      </c>
      <c r="AU227" s="34" t="n">
        <v>0</v>
      </c>
      <c r="AV227" s="34" t="n">
        <v>0</v>
      </c>
      <c r="AW227" s="34" t="n">
        <v>0.00741460773413346</v>
      </c>
      <c r="AX227" s="34" t="n">
        <v>0.1764744841436473</v>
      </c>
      <c r="AY227" s="34" t="n">
        <v>0.1556859598719075</v>
      </c>
      <c r="AZ227" s="34" t="n">
        <v>0.5437084877875138</v>
      </c>
      <c r="BA227" s="34" t="n">
        <v>0.8832835395372021</v>
      </c>
      <c r="BB227" s="6" t="n"/>
      <c r="BC227" s="6" t="n"/>
      <c r="BD227" t="inlineStr">
        <is>
          <t>transport, Motorbike, battery electric, &lt;4kW, label-certified electricity/CH U</t>
        </is>
      </c>
      <c r="BF227" s="5" t="n">
        <v>0.053352998</v>
      </c>
      <c r="BG227" s="5">
        <f>BF227-R227</f>
        <v>-1.8622635782593322E-3</v>
      </c>
      <c r="BH227" s="2" t="n">
        <v>125.24819</v>
      </c>
    </row>
    <row r="228">
      <c r="A228" t="str">
        <f>B228&amp;" - "&amp;D228&amp;" - "&amp;IF(I228&lt;&gt;"",I228&amp;" - "&amp;E228,E228)</f>
        <v>Motorbike, battery electric, &lt;4kW - 2030 - NMC - CH</v>
      </c>
      <c r="B228" t="inlineStr">
        <is>
          <t>Motorbike, battery electric, &lt;4kW</t>
        </is>
      </c>
      <c r="D228" s="18" t="n">
        <v>2030</v>
      </c>
      <c r="E228" t="inlineStr">
        <is>
          <t>CH</t>
        </is>
      </c>
      <c r="F228" t="inlineStr">
        <is>
          <t>None</t>
        </is>
      </c>
      <c r="G228" t="inlineStr">
        <is>
          <t>vkm</t>
        </is>
      </c>
      <c r="H228" t="inlineStr">
        <is>
          <t>BEV</t>
        </is>
      </c>
      <c r="I228" t="inlineStr">
        <is>
          <t>NMC</t>
        </is>
      </c>
      <c r="J228" t="inlineStr">
        <is>
          <t>label-certified electricity</t>
        </is>
      </c>
      <c r="L228" s="24" t="n">
        <v>0</v>
      </c>
      <c r="M228" s="24" t="n">
        <v>0</v>
      </c>
      <c r="N228" s="24" t="n">
        <v>0.0007442051711905084</v>
      </c>
      <c r="O228" s="24" t="n">
        <v>0.01230659169225786</v>
      </c>
      <c r="P228" s="24" t="n">
        <v>0.00443547705772904</v>
      </c>
      <c r="Q228" s="24" t="n">
        <v>0.03615098963098499</v>
      </c>
      <c r="R228" s="24" t="n">
        <v>0.0536372635521624</v>
      </c>
      <c r="S228" s="26" t="n">
        <v>0</v>
      </c>
      <c r="T228" s="26" t="n">
        <v>0</v>
      </c>
      <c r="U228" s="26" t="n">
        <v>0.0004242063424097505</v>
      </c>
      <c r="V228" s="26" t="n">
        <v>0.0004722191823356421</v>
      </c>
      <c r="W228" s="26" t="n">
        <v>0.0003072129849292176</v>
      </c>
      <c r="X228" s="26" t="n">
        <v>0.03610100489932701</v>
      </c>
      <c r="Y228" s="26" t="n">
        <v>0.03730464340900162</v>
      </c>
      <c r="Z228" s="28" t="n">
        <v>0</v>
      </c>
      <c r="AA228" s="28" t="n">
        <v>0.003127173544286591</v>
      </c>
      <c r="AB228" s="28" t="n">
        <v>7.485410330623648e-05</v>
      </c>
      <c r="AC228" s="28" t="n">
        <v>0.0001543898913344915</v>
      </c>
      <c r="AD228" s="28" t="n">
        <v>0.0001369687834684381</v>
      </c>
      <c r="AE228" s="28" t="n">
        <v>0.003045672236259228</v>
      </c>
      <c r="AF228" s="28" t="n">
        <v>0.006539058558654985</v>
      </c>
      <c r="AG228" s="30" t="n">
        <v>0</v>
      </c>
      <c r="AH228" s="30" t="n">
        <v>1.649105312647228e-05</v>
      </c>
      <c r="AI228" s="30" t="n">
        <v>0.0002805230458570776</v>
      </c>
      <c r="AJ228" s="30" t="n">
        <v>0.0003750735787279196</v>
      </c>
      <c r="AK228" s="30" t="n">
        <v>0.0001863653571636104</v>
      </c>
      <c r="AL228" s="30" t="n">
        <v>0.009525848634062275</v>
      </c>
      <c r="AM228" s="30" t="n">
        <v>0.01038430166893736</v>
      </c>
      <c r="AN228" s="32" t="n">
        <v>0</v>
      </c>
      <c r="AO228" s="32" t="n">
        <v>1.179775095002105e-05</v>
      </c>
      <c r="AP228" s="32" t="n">
        <v>6.627528372665328e-07</v>
      </c>
      <c r="AQ228" s="32" t="n">
        <v>7.464152422116936e-07</v>
      </c>
      <c r="AR228" s="32" t="n">
        <v>7.575379211507033e-07</v>
      </c>
      <c r="AS228" s="32" t="n">
        <v>8.644292799893347e-06</v>
      </c>
      <c r="AT228" s="32" t="n">
        <v>2.260874975054332e-05</v>
      </c>
      <c r="AU228" s="34" t="n">
        <v>0</v>
      </c>
      <c r="AV228" s="34" t="n">
        <v>0</v>
      </c>
      <c r="AW228" s="34" t="n">
        <v>0.00741460773413346</v>
      </c>
      <c r="AX228" s="34" t="n">
        <v>0.1764744841436473</v>
      </c>
      <c r="AY228" s="34" t="n">
        <v>0.1557719550344318</v>
      </c>
      <c r="AZ228" s="34" t="n">
        <v>0.5086585824669252</v>
      </c>
      <c r="BA228" s="34" t="n">
        <v>0.8483196293791377</v>
      </c>
      <c r="BB228" s="6" t="n"/>
      <c r="BC228" s="6" t="n"/>
      <c r="BD228" t="inlineStr">
        <is>
          <t>transport, Motorbike, battery electric, &lt;4kW, 2030, label-certified electricity/CH U</t>
        </is>
      </c>
      <c r="BF228" s="5" t="n">
        <v>0.05193979</v>
      </c>
      <c r="BG228" s="5">
        <f>BF228-R228</f>
        <v>-1.6974735521623971E-3</v>
      </c>
      <c r="BH228" s="2" t="n">
        <v>112.24855</v>
      </c>
    </row>
    <row r="229">
      <c r="A229" t="str">
        <f>B229&amp;" - "&amp;D229&amp;" - "&amp;IF(I229&lt;&gt;"",I229&amp;" - "&amp;E229,E229)</f>
        <v>Motorbike, battery electric, &lt;4kW - 2040 - NMC - CH</v>
      </c>
      <c r="B229" t="inlineStr">
        <is>
          <t>Motorbike, battery electric, &lt;4kW</t>
        </is>
      </c>
      <c r="D229" s="18" t="n">
        <v>2040</v>
      </c>
      <c r="E229" t="inlineStr">
        <is>
          <t>CH</t>
        </is>
      </c>
      <c r="F229" t="inlineStr">
        <is>
          <t>None</t>
        </is>
      </c>
      <c r="G229" t="inlineStr">
        <is>
          <t>vkm</t>
        </is>
      </c>
      <c r="H229" t="inlineStr">
        <is>
          <t>BEV</t>
        </is>
      </c>
      <c r="I229" t="inlineStr">
        <is>
          <t>NMC</t>
        </is>
      </c>
      <c r="J229" t="inlineStr">
        <is>
          <t>label-certified electricity</t>
        </is>
      </c>
      <c r="L229" s="24" t="n">
        <v>0</v>
      </c>
      <c r="M229" s="24" t="n">
        <v>0</v>
      </c>
      <c r="N229" s="24" t="n">
        <v>0.0007442051711905084</v>
      </c>
      <c r="O229" s="24" t="n">
        <v>0.01230659169225786</v>
      </c>
      <c r="P229" s="24" t="n">
        <v>0.004434103834174483</v>
      </c>
      <c r="Q229" s="24" t="n">
        <v>0.03591210046770336</v>
      </c>
      <c r="R229" s="24" t="n">
        <v>0.05339700116532621</v>
      </c>
      <c r="S229" s="26" t="n">
        <v>0</v>
      </c>
      <c r="T229" s="26" t="n">
        <v>0</v>
      </c>
      <c r="U229" s="26" t="n">
        <v>0.0004242063424097505</v>
      </c>
      <c r="V229" s="26" t="n">
        <v>0.0004722191823356421</v>
      </c>
      <c r="W229" s="26" t="n">
        <v>0.0003071262141728756</v>
      </c>
      <c r="X229" s="26" t="n">
        <v>0.03307275747297306</v>
      </c>
      <c r="Y229" s="26" t="n">
        <v>0.03427630921189133</v>
      </c>
      <c r="Z229" s="28" t="n">
        <v>0</v>
      </c>
      <c r="AA229" s="28" t="n">
        <v>0.003127173544286591</v>
      </c>
      <c r="AB229" s="28" t="n">
        <v>7.485410330623648e-05</v>
      </c>
      <c r="AC229" s="28" t="n">
        <v>0.0001543898913344915</v>
      </c>
      <c r="AD229" s="28" t="n">
        <v>0.0001369293404468123</v>
      </c>
      <c r="AE229" s="28" t="n">
        <v>0.002863535677281057</v>
      </c>
      <c r="AF229" s="28" t="n">
        <v>0.006356882556655188</v>
      </c>
      <c r="AG229" s="30" t="n">
        <v>0</v>
      </c>
      <c r="AH229" s="30" t="n">
        <v>1.649105312647228e-05</v>
      </c>
      <c r="AI229" s="30" t="n">
        <v>0.0002805230458570776</v>
      </c>
      <c r="AJ229" s="30" t="n">
        <v>0.0003750735787279196</v>
      </c>
      <c r="AK229" s="30" t="n">
        <v>0.0001863285459989264</v>
      </c>
      <c r="AL229" s="30" t="n">
        <v>0.009126315850038091</v>
      </c>
      <c r="AM229" s="30" t="n">
        <v>0.009984732073748488</v>
      </c>
      <c r="AN229" s="32" t="n">
        <v>0</v>
      </c>
      <c r="AO229" s="32" t="n">
        <v>1.179775095002105e-05</v>
      </c>
      <c r="AP229" s="32" t="n">
        <v>6.627528372665328e-07</v>
      </c>
      <c r="AQ229" s="32" t="n">
        <v>7.464152422116936e-07</v>
      </c>
      <c r="AR229" s="32" t="n">
        <v>7.573925717646705e-07</v>
      </c>
      <c r="AS229" s="32" t="n">
        <v>8.115749281033047e-06</v>
      </c>
      <c r="AT229" s="32" t="n">
        <v>2.208006088229699e-05</v>
      </c>
      <c r="AU229" s="34" t="n">
        <v>0</v>
      </c>
      <c r="AV229" s="34" t="n">
        <v>0</v>
      </c>
      <c r="AW229" s="34" t="n">
        <v>0.00741460773413346</v>
      </c>
      <c r="AX229" s="34" t="n">
        <v>0.1764744841436473</v>
      </c>
      <c r="AY229" s="34" t="n">
        <v>0.1557269691257124</v>
      </c>
      <c r="AZ229" s="34" t="n">
        <v>0.4979739403004872</v>
      </c>
      <c r="BA229" s="34" t="n">
        <v>0.8375900013039804</v>
      </c>
      <c r="BB229" s="6" t="n"/>
      <c r="BC229" s="6" t="n"/>
      <c r="BD229" t="inlineStr">
        <is>
          <t>transport, Motorbike, battery electric, &lt;4kW, 2040, label-certified electricity/CH U</t>
        </is>
      </c>
      <c r="BF229" s="5" t="n">
        <v>0.05148359299999999</v>
      </c>
      <c r="BG229" s="5">
        <f>BF229-R229</f>
        <v>-1.9134081653262164E-3</v>
      </c>
      <c r="BH229" s="2" t="n">
        <v>106.53724</v>
      </c>
    </row>
    <row r="230">
      <c r="A230" t="str">
        <f>B230&amp;" - "&amp;D230&amp;" - "&amp;IF(I230&lt;&gt;"",I230&amp;" - "&amp;E230,E230)</f>
        <v>Motorbike, battery electric, &lt;4kW - 2050 - NMC - CH</v>
      </c>
      <c r="B230" t="inlineStr">
        <is>
          <t>Motorbike, battery electric, &lt;4kW</t>
        </is>
      </c>
      <c r="D230" s="18" t="n">
        <v>2050</v>
      </c>
      <c r="E230" t="inlineStr">
        <is>
          <t>CH</t>
        </is>
      </c>
      <c r="F230" t="inlineStr">
        <is>
          <t>None</t>
        </is>
      </c>
      <c r="G230" t="inlineStr">
        <is>
          <t>vkm</t>
        </is>
      </c>
      <c r="H230" t="inlineStr">
        <is>
          <t>BEV</t>
        </is>
      </c>
      <c r="I230" t="inlineStr">
        <is>
          <t>NMC</t>
        </is>
      </c>
      <c r="J230" t="inlineStr">
        <is>
          <t>label-certified electricity</t>
        </is>
      </c>
      <c r="L230" s="24" t="n">
        <v>0</v>
      </c>
      <c r="M230" s="24" t="n">
        <v>0</v>
      </c>
      <c r="N230" s="24" t="n">
        <v>0.0007442051711905084</v>
      </c>
      <c r="O230" s="24" t="n">
        <v>0.01230659169225786</v>
      </c>
      <c r="P230" s="24" t="n">
        <v>0.004433716903780657</v>
      </c>
      <c r="Q230" s="24" t="n">
        <v>0.04872281185778106</v>
      </c>
      <c r="R230" s="24" t="n">
        <v>0.06620732562501008</v>
      </c>
      <c r="S230" s="26" t="n">
        <v>0</v>
      </c>
      <c r="T230" s="26" t="n">
        <v>0</v>
      </c>
      <c r="U230" s="26" t="n">
        <v>0.0004242063424097505</v>
      </c>
      <c r="V230" s="26" t="n">
        <v>0.0004722191823356421</v>
      </c>
      <c r="W230" s="26" t="n">
        <v>0.0003071017649542378</v>
      </c>
      <c r="X230" s="26" t="n">
        <v>0.05363488142234965</v>
      </c>
      <c r="Y230" s="26" t="n">
        <v>0.05483840871204928</v>
      </c>
      <c r="Z230" s="28" t="n">
        <v>0</v>
      </c>
      <c r="AA230" s="28" t="n">
        <v>0.003127173544286591</v>
      </c>
      <c r="AB230" s="28" t="n">
        <v>7.485410330623648e-05</v>
      </c>
      <c r="AC230" s="28" t="n">
        <v>0.0001543898913344915</v>
      </c>
      <c r="AD230" s="28" t="n">
        <v>0.0001369182266672382</v>
      </c>
      <c r="AE230" s="28" t="n">
        <v>0.004625585213035077</v>
      </c>
      <c r="AF230" s="28" t="n">
        <v>0.008118920978629634</v>
      </c>
      <c r="AG230" s="30" t="n">
        <v>0</v>
      </c>
      <c r="AH230" s="30" t="n">
        <v>1.649105312647228e-05</v>
      </c>
      <c r="AI230" s="30" t="n">
        <v>0.0002805230458570776</v>
      </c>
      <c r="AJ230" s="30" t="n">
        <v>0.0003750735787279196</v>
      </c>
      <c r="AK230" s="30" t="n">
        <v>0.0001863181737923027</v>
      </c>
      <c r="AL230" s="30" t="n">
        <v>0.01371885835088588</v>
      </c>
      <c r="AM230" s="30" t="n">
        <v>0.01457726420238965</v>
      </c>
      <c r="AN230" s="32" t="n">
        <v>0</v>
      </c>
      <c r="AO230" s="32" t="n">
        <v>1.179775095002105e-05</v>
      </c>
      <c r="AP230" s="32" t="n">
        <v>6.627528372665328e-07</v>
      </c>
      <c r="AQ230" s="32" t="n">
        <v>7.464152422116936e-07</v>
      </c>
      <c r="AR230" s="32" t="n">
        <v>7.573516169652912e-07</v>
      </c>
      <c r="AS230" s="32" t="n">
        <v>1.187505888308293e-05</v>
      </c>
      <c r="AT230" s="32" t="n">
        <v>2.58393295295475e-05</v>
      </c>
      <c r="AU230" s="34" t="n">
        <v>0</v>
      </c>
      <c r="AV230" s="34" t="n">
        <v>0</v>
      </c>
      <c r="AW230" s="34" t="n">
        <v>0.00741460773413346</v>
      </c>
      <c r="AX230" s="34" t="n">
        <v>0.1764744841436473</v>
      </c>
      <c r="AY230" s="34" t="n">
        <v>0.1557142935381727</v>
      </c>
      <c r="AZ230" s="34" t="n">
        <v>0.6845776363685483</v>
      </c>
      <c r="BA230" s="34" t="n">
        <v>1.024181021784502</v>
      </c>
      <c r="BB230" s="6" t="n"/>
      <c r="BC230" s="6" t="n"/>
      <c r="BD230" t="inlineStr">
        <is>
          <t>transport, Motorbike, battery electric, &lt;4kW, 2050, label-certified electricity/CH U</t>
        </is>
      </c>
      <c r="BF230" s="5" t="n">
        <v>0.058742285</v>
      </c>
      <c r="BG230" s="5">
        <f>BF230-R230</f>
        <v>-7.4650406250100845E-3</v>
      </c>
      <c r="BH230" s="2" t="n">
        <v>143.98715</v>
      </c>
    </row>
    <row r="231">
      <c r="A231" t="str">
        <f>B231&amp;" - "&amp;D231&amp;" - "&amp;IF(I231&lt;&gt;"",I231&amp;" - "&amp;E231,E231)</f>
        <v>Motorbike, battery electric, 4-11kW - 2020 - NMC - CH</v>
      </c>
      <c r="B231" t="inlineStr">
        <is>
          <t>Motorbike, battery electric, 4-11kW</t>
        </is>
      </c>
      <c r="D231" s="18" t="n">
        <v>2020</v>
      </c>
      <c r="E231" t="inlineStr">
        <is>
          <t>CH</t>
        </is>
      </c>
      <c r="F231" t="inlineStr">
        <is>
          <t>None</t>
        </is>
      </c>
      <c r="G231" t="inlineStr">
        <is>
          <t>vkm</t>
        </is>
      </c>
      <c r="H231" t="inlineStr">
        <is>
          <t>BEV</t>
        </is>
      </c>
      <c r="I231" t="inlineStr">
        <is>
          <t>NMC</t>
        </is>
      </c>
      <c r="J231" t="inlineStr">
        <is>
          <t>label-certified electricity</t>
        </is>
      </c>
      <c r="L231" s="24" t="n">
        <v>0</v>
      </c>
      <c r="M231" s="24" t="n">
        <v>0</v>
      </c>
      <c r="N231" s="24" t="n">
        <v>0.001119382984765889</v>
      </c>
      <c r="O231" s="24" t="n">
        <v>0.01230659169225786</v>
      </c>
      <c r="P231" s="24" t="n">
        <v>0.00456205865165378</v>
      </c>
      <c r="Q231" s="24" t="n">
        <v>0.04892026228221471</v>
      </c>
      <c r="R231" s="24" t="n">
        <v>0.06690829561089223</v>
      </c>
      <c r="S231" s="26" t="n">
        <v>0</v>
      </c>
      <c r="T231" s="26" t="n">
        <v>0</v>
      </c>
      <c r="U231" s="26" t="n">
        <v>0.0006380624323849139</v>
      </c>
      <c r="V231" s="26" t="n">
        <v>0.0004722191823356421</v>
      </c>
      <c r="W231" s="26" t="n">
        <v>0.0003152113771847074</v>
      </c>
      <c r="X231" s="26" t="n">
        <v>0.05453859052114347</v>
      </c>
      <c r="Y231" s="26" t="n">
        <v>0.05596408351304873</v>
      </c>
      <c r="Z231" s="28" t="n">
        <v>0</v>
      </c>
      <c r="AA231" s="28" t="n">
        <v>0.003127173544286591</v>
      </c>
      <c r="AB231" s="28" t="n">
        <v>0.0001125904694358268</v>
      </c>
      <c r="AC231" s="28" t="n">
        <v>0.0001543898913344915</v>
      </c>
      <c r="AD231" s="28" t="n">
        <v>0.0001406045793518013</v>
      </c>
      <c r="AE231" s="28" t="n">
        <v>0.004449929621706356</v>
      </c>
      <c r="AF231" s="28" t="n">
        <v>0.007984688106115067</v>
      </c>
      <c r="AG231" s="30" t="n">
        <v>0</v>
      </c>
      <c r="AH231" s="30" t="n">
        <v>1.649105312647228e-05</v>
      </c>
      <c r="AI231" s="30" t="n">
        <v>0.0004219437549255217</v>
      </c>
      <c r="AJ231" s="30" t="n">
        <v>0.0003750735787279196</v>
      </c>
      <c r="AK231" s="30" t="n">
        <v>0.0001897585526010612</v>
      </c>
      <c r="AL231" s="30" t="n">
        <v>0.01374556755101566</v>
      </c>
      <c r="AM231" s="30" t="n">
        <v>0.01474883449039664</v>
      </c>
      <c r="AN231" s="32" t="n">
        <v>0</v>
      </c>
      <c r="AO231" s="32" t="n">
        <v>1.179775095002105e-05</v>
      </c>
      <c r="AP231" s="32" t="n">
        <v>9.968679039876773e-07</v>
      </c>
      <c r="AQ231" s="32" t="n">
        <v>7.464152422116936e-07</v>
      </c>
      <c r="AR231" s="32" t="n">
        <v>7.709359996346727e-07</v>
      </c>
      <c r="AS231" s="32" t="n">
        <v>1.252257206232182e-05</v>
      </c>
      <c r="AT231" s="32" t="n">
        <v>2.683454215817691e-05</v>
      </c>
      <c r="AU231" s="34" t="n">
        <v>0</v>
      </c>
      <c r="AV231" s="34" t="n">
        <v>0</v>
      </c>
      <c r="AW231" s="34" t="n">
        <v>0.01115255047613462</v>
      </c>
      <c r="AX231" s="34" t="n">
        <v>0.1764744841436473</v>
      </c>
      <c r="AY231" s="34" t="n">
        <v>0.1599186855583475</v>
      </c>
      <c r="AZ231" s="34" t="n">
        <v>0.7018944944193094</v>
      </c>
      <c r="BA231" s="34" t="n">
        <v>1.049440214597439</v>
      </c>
      <c r="BB231" s="6" t="n"/>
      <c r="BC231" s="6" t="n"/>
      <c r="BD231" t="inlineStr">
        <is>
          <t>transport, Motorbike, battery electric, 4-11kW, label-certified electricity/CH U</t>
        </is>
      </c>
      <c r="BF231" s="5" t="n">
        <v>0.06312683100000001</v>
      </c>
      <c r="BG231" s="5">
        <f>BF231-R231</f>
        <v>-3.781464610892224E-3</v>
      </c>
      <c r="BH231" s="2" t="n">
        <v>149.24487</v>
      </c>
    </row>
    <row r="232">
      <c r="A232" t="str">
        <f>B232&amp;" - "&amp;D232&amp;" - "&amp;IF(I232&lt;&gt;"",I232&amp;" - "&amp;E232,E232)</f>
        <v>Motorbike, battery electric, 4-11kW - 2030 - NMC - CH</v>
      </c>
      <c r="B232" t="inlineStr">
        <is>
          <t>Motorbike, battery electric, 4-11kW</t>
        </is>
      </c>
      <c r="D232" s="18" t="n">
        <v>2030</v>
      </c>
      <c r="E232" t="inlineStr">
        <is>
          <t>CH</t>
        </is>
      </c>
      <c r="F232" t="inlineStr">
        <is>
          <t>None</t>
        </is>
      </c>
      <c r="G232" t="inlineStr">
        <is>
          <t>vkm</t>
        </is>
      </c>
      <c r="H232" t="inlineStr">
        <is>
          <t>BEV</t>
        </is>
      </c>
      <c r="I232" t="inlineStr">
        <is>
          <t>NMC</t>
        </is>
      </c>
      <c r="J232" t="inlineStr">
        <is>
          <t>label-certified electricity</t>
        </is>
      </c>
      <c r="L232" s="24" t="n">
        <v>0</v>
      </c>
      <c r="M232" s="24" t="n">
        <v>0</v>
      </c>
      <c r="N232" s="24" t="n">
        <v>0.001119382984765889</v>
      </c>
      <c r="O232" s="24" t="n">
        <v>0.01230659169225786</v>
      </c>
      <c r="P232" s="24" t="n">
        <v>0.004565944579295552</v>
      </c>
      <c r="Q232" s="24" t="n">
        <v>0.05084773957487971</v>
      </c>
      <c r="R232" s="24" t="n">
        <v>0.06883965883119901</v>
      </c>
      <c r="S232" s="26" t="n">
        <v>0</v>
      </c>
      <c r="T232" s="26" t="n">
        <v>0</v>
      </c>
      <c r="U232" s="26" t="n">
        <v>0.0006380624323849139</v>
      </c>
      <c r="V232" s="26" t="n">
        <v>0.0004722191823356421</v>
      </c>
      <c r="W232" s="26" t="n">
        <v>0.0003154569197836876</v>
      </c>
      <c r="X232" s="26" t="n">
        <v>0.05356725146828236</v>
      </c>
      <c r="Y232" s="26" t="n">
        <v>0.0549929900027866</v>
      </c>
      <c r="Z232" s="28" t="n">
        <v>0</v>
      </c>
      <c r="AA232" s="28" t="n">
        <v>0.003127173544286591</v>
      </c>
      <c r="AB232" s="28" t="n">
        <v>0.0001125904694358268</v>
      </c>
      <c r="AC232" s="28" t="n">
        <v>0.0001543898913344915</v>
      </c>
      <c r="AD232" s="28" t="n">
        <v>0.0001407161946292278</v>
      </c>
      <c r="AE232" s="28" t="n">
        <v>0.004485928208278203</v>
      </c>
      <c r="AF232" s="28" t="n">
        <v>0.008020798307964341</v>
      </c>
      <c r="AG232" s="30" t="n">
        <v>0</v>
      </c>
      <c r="AH232" s="30" t="n">
        <v>1.649105312647228e-05</v>
      </c>
      <c r="AI232" s="30" t="n">
        <v>0.0004219437549255217</v>
      </c>
      <c r="AJ232" s="30" t="n">
        <v>0.0003750735787279196</v>
      </c>
      <c r="AK232" s="30" t="n">
        <v>0.0001898627202887596</v>
      </c>
      <c r="AL232" s="30" t="n">
        <v>0.01395166652116028</v>
      </c>
      <c r="AM232" s="30" t="n">
        <v>0.01495503762822895</v>
      </c>
      <c r="AN232" s="32" t="n">
        <v>0</v>
      </c>
      <c r="AO232" s="32" t="n">
        <v>1.179775095002105e-05</v>
      </c>
      <c r="AP232" s="32" t="n">
        <v>9.968679039876773e-07</v>
      </c>
      <c r="AQ232" s="32" t="n">
        <v>7.464152422116936e-07</v>
      </c>
      <c r="AR232" s="32" t="n">
        <v>7.713473071708888e-07</v>
      </c>
      <c r="AS232" s="32" t="n">
        <v>1.238713065550492e-05</v>
      </c>
      <c r="AT232" s="32" t="n">
        <v>2.669951205889623e-05</v>
      </c>
      <c r="AU232" s="34" t="n">
        <v>0</v>
      </c>
      <c r="AV232" s="34" t="n">
        <v>0</v>
      </c>
      <c r="AW232" s="34" t="n">
        <v>0.01115255047613462</v>
      </c>
      <c r="AX232" s="34" t="n">
        <v>0.1764744841436473</v>
      </c>
      <c r="AY232" s="34" t="n">
        <v>0.160045986015438</v>
      </c>
      <c r="AZ232" s="34" t="n">
        <v>0.7189657363235833</v>
      </c>
      <c r="BA232" s="34" t="n">
        <v>1.066638756958803</v>
      </c>
      <c r="BB232" s="6" t="n"/>
      <c r="BC232" s="6" t="n"/>
      <c r="BD232" t="inlineStr">
        <is>
          <t>transport, Motorbike, battery electric, 4-11kW, 2030, label-certified electricity/CH U</t>
        </is>
      </c>
      <c r="BF232" s="5" t="n">
        <v>0.063738665</v>
      </c>
      <c r="BG232" s="5">
        <f>BF232-R232</f>
        <v>-5.1009938311990105E-3</v>
      </c>
      <c r="BH232" s="2" t="n">
        <v>147.20254</v>
      </c>
    </row>
    <row r="233">
      <c r="A233" t="str">
        <f>B233&amp;" - "&amp;D233&amp;" - "&amp;IF(I233&lt;&gt;"",I233&amp;" - "&amp;E233,E233)</f>
        <v>Motorbike, battery electric, 4-11kW - 2040 - NMC - CH</v>
      </c>
      <c r="B233" t="inlineStr">
        <is>
          <t>Motorbike, battery electric, 4-11kW</t>
        </is>
      </c>
      <c r="D233" s="18" t="n">
        <v>2040</v>
      </c>
      <c r="E233" t="inlineStr">
        <is>
          <t>CH</t>
        </is>
      </c>
      <c r="F233" t="inlineStr">
        <is>
          <t>None</t>
        </is>
      </c>
      <c r="G233" t="inlineStr">
        <is>
          <t>vkm</t>
        </is>
      </c>
      <c r="H233" t="inlineStr">
        <is>
          <t>BEV</t>
        </is>
      </c>
      <c r="I233" t="inlineStr">
        <is>
          <t>NMC</t>
        </is>
      </c>
      <c r="J233" t="inlineStr">
        <is>
          <t>label-certified electricity</t>
        </is>
      </c>
      <c r="L233" s="24" t="n">
        <v>0</v>
      </c>
      <c r="M233" s="24" t="n">
        <v>0</v>
      </c>
      <c r="N233" s="24" t="n">
        <v>0.001119382984765889</v>
      </c>
      <c r="O233" s="24" t="n">
        <v>0.01230659169225786</v>
      </c>
      <c r="P233" s="24" t="n">
        <v>0.004564918789467381</v>
      </c>
      <c r="Q233" s="24" t="n">
        <v>0.0499452195185618</v>
      </c>
      <c r="R233" s="24" t="n">
        <v>0.06793611298505292</v>
      </c>
      <c r="S233" s="26" t="n">
        <v>0</v>
      </c>
      <c r="T233" s="26" t="n">
        <v>0</v>
      </c>
      <c r="U233" s="26" t="n">
        <v>0.0006380624323849139</v>
      </c>
      <c r="V233" s="26" t="n">
        <v>0.0004722191823356421</v>
      </c>
      <c r="W233" s="26" t="n">
        <v>0.0003153921025447589</v>
      </c>
      <c r="X233" s="26" t="n">
        <v>0.04862872059039389</v>
      </c>
      <c r="Y233" s="26" t="n">
        <v>0.0500543943076592</v>
      </c>
      <c r="Z233" s="28" t="n">
        <v>0</v>
      </c>
      <c r="AA233" s="28" t="n">
        <v>0.003127173544286591</v>
      </c>
      <c r="AB233" s="28" t="n">
        <v>0.0001125904694358268</v>
      </c>
      <c r="AC233" s="28" t="n">
        <v>0.0001543898913344915</v>
      </c>
      <c r="AD233" s="28" t="n">
        <v>0.000140686730926656</v>
      </c>
      <c r="AE233" s="28" t="n">
        <v>0.004164853860023532</v>
      </c>
      <c r="AF233" s="28" t="n">
        <v>0.007699694496007097</v>
      </c>
      <c r="AG233" s="30" t="n">
        <v>0</v>
      </c>
      <c r="AH233" s="30" t="n">
        <v>1.649105312647228e-05</v>
      </c>
      <c r="AI233" s="30" t="n">
        <v>0.0004219437549255217</v>
      </c>
      <c r="AJ233" s="30" t="n">
        <v>0.0003750735787279196</v>
      </c>
      <c r="AK233" s="30" t="n">
        <v>0.0001898352225676707</v>
      </c>
      <c r="AL233" s="30" t="n">
        <v>0.01321361617131683</v>
      </c>
      <c r="AM233" s="30" t="n">
        <v>0.01421695978066441</v>
      </c>
      <c r="AN233" s="32" t="n">
        <v>0</v>
      </c>
      <c r="AO233" s="32" t="n">
        <v>1.179775095002105e-05</v>
      </c>
      <c r="AP233" s="32" t="n">
        <v>9.968679039876773e-07</v>
      </c>
      <c r="AQ233" s="32" t="n">
        <v>7.464152422116936e-07</v>
      </c>
      <c r="AR233" s="32" t="n">
        <v>7.712387320439706e-07</v>
      </c>
      <c r="AS233" s="32" t="n">
        <v>1.151781114469897e-05</v>
      </c>
      <c r="AT233" s="32" t="n">
        <v>2.583008397296336e-05</v>
      </c>
      <c r="AU233" s="34" t="n">
        <v>0</v>
      </c>
      <c r="AV233" s="34" t="n">
        <v>0</v>
      </c>
      <c r="AW233" s="34" t="n">
        <v>0.01115255047613462</v>
      </c>
      <c r="AX233" s="34" t="n">
        <v>0.1764744841436473</v>
      </c>
      <c r="AY233" s="34" t="n">
        <v>0.160012381809173</v>
      </c>
      <c r="AZ233" s="34" t="n">
        <v>0.6963210516714687</v>
      </c>
      <c r="BA233" s="34" t="n">
        <v>1.043960468100424</v>
      </c>
      <c r="BB233" s="6" t="n"/>
      <c r="BC233" s="6" t="n"/>
      <c r="BD233" t="inlineStr">
        <is>
          <t>transport, Motorbike, battery electric, 4-11kW, 2040, label-certified electricity/CH U</t>
        </is>
      </c>
      <c r="BF233" s="5" t="n">
        <v>0.06281021000000001</v>
      </c>
      <c r="BG233" s="5">
        <f>BF233-R233</f>
        <v>-5.1259029850529159E-3</v>
      </c>
      <c r="BH233" s="2" t="n">
        <v>137.9582</v>
      </c>
    </row>
    <row r="234">
      <c r="A234" t="str">
        <f>B234&amp;" - "&amp;D234&amp;" - "&amp;IF(I234&lt;&gt;"",I234&amp;" - "&amp;E234,E234)</f>
        <v>Motorbike, battery electric, 4-11kW - 2050 - NMC - CH</v>
      </c>
      <c r="B234" t="inlineStr">
        <is>
          <t>Motorbike, battery electric, 4-11kW</t>
        </is>
      </c>
      <c r="D234" s="18" t="n">
        <v>2050</v>
      </c>
      <c r="E234" t="inlineStr">
        <is>
          <t>CH</t>
        </is>
      </c>
      <c r="F234" t="inlineStr">
        <is>
          <t>None</t>
        </is>
      </c>
      <c r="G234" t="inlineStr">
        <is>
          <t>vkm</t>
        </is>
      </c>
      <c r="H234" t="inlineStr">
        <is>
          <t>BEV</t>
        </is>
      </c>
      <c r="I234" t="inlineStr">
        <is>
          <t>NMC</t>
        </is>
      </c>
      <c r="J234" t="inlineStr">
        <is>
          <t>label-certified electricity</t>
        </is>
      </c>
      <c r="L234" s="24" t="n">
        <v>0</v>
      </c>
      <c r="M234" s="24" t="n">
        <v>0</v>
      </c>
      <c r="N234" s="24" t="n">
        <v>0.001119382984765889</v>
      </c>
      <c r="O234" s="24" t="n">
        <v>0.00799129330666095</v>
      </c>
      <c r="P234" s="24" t="n">
        <v>0.004567838172282141</v>
      </c>
      <c r="Q234" s="24" t="n">
        <v>0.06959858596808385</v>
      </c>
      <c r="R234" s="24" t="n">
        <v>0.08327710043179283</v>
      </c>
      <c r="S234" s="26" t="n">
        <v>0</v>
      </c>
      <c r="T234" s="26" t="n">
        <v>0</v>
      </c>
      <c r="U234" s="26" t="n">
        <v>0.0006380624323849139</v>
      </c>
      <c r="V234" s="26" t="n">
        <v>0.0003066358326854819</v>
      </c>
      <c r="W234" s="26" t="n">
        <v>0.0003155765714566472</v>
      </c>
      <c r="X234" s="26" t="n">
        <v>0.0815194633056387</v>
      </c>
      <c r="Y234" s="26" t="n">
        <v>0.08277973814216574</v>
      </c>
      <c r="Z234" s="28" t="n">
        <v>0</v>
      </c>
      <c r="AA234" s="28" t="n">
        <v>0.003127173544286591</v>
      </c>
      <c r="AB234" s="28" t="n">
        <v>0.0001125904694358268</v>
      </c>
      <c r="AC234" s="28" t="n">
        <v>0.0001002531761912283</v>
      </c>
      <c r="AD234" s="28" t="n">
        <v>0.0001407705841922909</v>
      </c>
      <c r="AE234" s="28" t="n">
        <v>0.006944179549057917</v>
      </c>
      <c r="AF234" s="28" t="n">
        <v>0.01042496732316385</v>
      </c>
      <c r="AG234" s="30" t="n">
        <v>0</v>
      </c>
      <c r="AH234" s="30" t="n">
        <v>1.649105312647228e-05</v>
      </c>
      <c r="AI234" s="30" t="n">
        <v>0.0004219437549255217</v>
      </c>
      <c r="AJ234" s="30" t="n">
        <v>0.0002435542719012465</v>
      </c>
      <c r="AK234" s="30" t="n">
        <v>0.0001899134806788231</v>
      </c>
      <c r="AL234" s="30" t="n">
        <v>0.02041778596969117</v>
      </c>
      <c r="AM234" s="30" t="n">
        <v>0.02128968853032323</v>
      </c>
      <c r="AN234" s="32" t="n">
        <v>0</v>
      </c>
      <c r="AO234" s="32" t="n">
        <v>1.179775095002105e-05</v>
      </c>
      <c r="AP234" s="32" t="n">
        <v>9.968679039876773e-07</v>
      </c>
      <c r="AQ234" s="32" t="n">
        <v>4.846852222153855e-07</v>
      </c>
      <c r="AR234" s="32" t="n">
        <v>7.715477352636658e-07</v>
      </c>
      <c r="AS234" s="32" t="n">
        <v>1.751999621691411e-05</v>
      </c>
      <c r="AT234" s="32" t="n">
        <v>3.157084802840189e-05</v>
      </c>
      <c r="AU234" s="34" t="n">
        <v>0</v>
      </c>
      <c r="AV234" s="34" t="n">
        <v>0</v>
      </c>
      <c r="AW234" s="34" t="n">
        <v>0.01115255047613462</v>
      </c>
      <c r="AX234" s="34" t="n">
        <v>0.1145938208724982</v>
      </c>
      <c r="AY234" s="34" t="n">
        <v>0.1601080188876266</v>
      </c>
      <c r="AZ234" s="34" t="n">
        <v>0.9862942191740769</v>
      </c>
      <c r="BA234" s="34" t="n">
        <v>1.272148609410336</v>
      </c>
      <c r="BB234" s="6" t="n"/>
      <c r="BC234" s="6" t="n"/>
      <c r="BD234" t="inlineStr">
        <is>
          <t>transport, Motorbike, battery electric, 4-11kW, 2050, label-certified electricity/CH U</t>
        </is>
      </c>
      <c r="BF234" s="5" t="n">
        <v>0.07071800399999999</v>
      </c>
      <c r="BG234" s="5">
        <f>BF234-R234</f>
        <v>-1.2559096431792843E-2</v>
      </c>
      <c r="BH234" s="2" t="n">
        <v>194.50388</v>
      </c>
    </row>
    <row r="235">
      <c r="A235" t="str">
        <f>B235&amp;" - "&amp;D235&amp;" - "&amp;IF(I235&lt;&gt;"",I235&amp;" - "&amp;E235,E235)</f>
        <v>Motorbike, battery electric, 11-35kW - 2020 - NMC - CH</v>
      </c>
      <c r="B235" t="inlineStr">
        <is>
          <t>Motorbike, battery electric, 11-35kW</t>
        </is>
      </c>
      <c r="D235" s="18" t="n">
        <v>2020</v>
      </c>
      <c r="E235" t="inlineStr">
        <is>
          <t>CH</t>
        </is>
      </c>
      <c r="F235" t="inlineStr">
        <is>
          <t>None</t>
        </is>
      </c>
      <c r="G235" t="inlineStr">
        <is>
          <t>vkm</t>
        </is>
      </c>
      <c r="H235" t="inlineStr">
        <is>
          <t>BEV</t>
        </is>
      </c>
      <c r="I235" t="inlineStr">
        <is>
          <t>NMC</t>
        </is>
      </c>
      <c r="J235" t="inlineStr">
        <is>
          <t>label-certified electricity</t>
        </is>
      </c>
      <c r="L235" s="24" t="n">
        <v>0</v>
      </c>
      <c r="M235" s="24" t="n">
        <v>0</v>
      </c>
      <c r="N235" s="24" t="n">
        <v>0.001515200493146706</v>
      </c>
      <c r="O235" s="24" t="n">
        <v>0.01230659169225786</v>
      </c>
      <c r="P235" s="24" t="n">
        <v>0.004837763277380364</v>
      </c>
      <c r="Q235" s="24" t="n">
        <v>0.05856905301842857</v>
      </c>
      <c r="R235" s="24" t="n">
        <v>0.07722860848121349</v>
      </c>
      <c r="S235" s="26" t="n">
        <v>0</v>
      </c>
      <c r="T235" s="26" t="n">
        <v>0</v>
      </c>
      <c r="U235" s="26" t="n">
        <v>0.00086368340895427</v>
      </c>
      <c r="V235" s="26" t="n">
        <v>0.0004722191823356421</v>
      </c>
      <c r="W235" s="26" t="n">
        <v>0.0003326325019694477</v>
      </c>
      <c r="X235" s="26" t="n">
        <v>0.07937690219313978</v>
      </c>
      <c r="Y235" s="26" t="n">
        <v>0.08104543728639914</v>
      </c>
      <c r="Z235" s="28" t="n">
        <v>0</v>
      </c>
      <c r="AA235" s="28" t="n">
        <v>0.003127173544286591</v>
      </c>
      <c r="AB235" s="28" t="n">
        <v>0.0001524028300720178</v>
      </c>
      <c r="AC235" s="28" t="n">
        <v>0.0001543898913344915</v>
      </c>
      <c r="AD235" s="28" t="n">
        <v>0.000148523627549574</v>
      </c>
      <c r="AE235" s="28" t="n">
        <v>0.006460650222909915</v>
      </c>
      <c r="AF235" s="28" t="n">
        <v>0.01004314011615259</v>
      </c>
      <c r="AG235" s="30" t="n">
        <v>0</v>
      </c>
      <c r="AH235" s="30" t="n">
        <v>1.649105312647228e-05</v>
      </c>
      <c r="AI235" s="30" t="n">
        <v>0.0005711444556905024</v>
      </c>
      <c r="AJ235" s="30" t="n">
        <v>0.0003750735787279196</v>
      </c>
      <c r="AK235" s="30" t="n">
        <v>0.0001971491980266176</v>
      </c>
      <c r="AL235" s="30" t="n">
        <v>0.01852338648764937</v>
      </c>
      <c r="AM235" s="30" t="n">
        <v>0.01968324477322088</v>
      </c>
      <c r="AN235" s="32" t="n">
        <v>0</v>
      </c>
      <c r="AO235" s="32" t="n">
        <v>1.179775095002105e-05</v>
      </c>
      <c r="AP235" s="32" t="n">
        <v>1.349363676490181e-06</v>
      </c>
      <c r="AQ235" s="32" t="n">
        <v>7.464152422116936e-07</v>
      </c>
      <c r="AR235" s="32" t="n">
        <v>8.001180639407555e-07</v>
      </c>
      <c r="AS235" s="32" t="n">
        <v>1.666699152436914e-05</v>
      </c>
      <c r="AT235" s="32" t="n">
        <v>3.136063945703282e-05</v>
      </c>
      <c r="AU235" s="34" t="n">
        <v>0</v>
      </c>
      <c r="AV235" s="34" t="n">
        <v>0</v>
      </c>
      <c r="AW235" s="34" t="n">
        <v>0.01509612903828165</v>
      </c>
      <c r="AX235" s="34" t="n">
        <v>0.1764744841436473</v>
      </c>
      <c r="AY235" s="34" t="n">
        <v>0.1689505894208075</v>
      </c>
      <c r="AZ235" s="34" t="n">
        <v>0.8603445450532011</v>
      </c>
      <c r="BA235" s="34" t="n">
        <v>1.220865747655937</v>
      </c>
      <c r="BB235" s="6" t="n"/>
      <c r="BC235" s="6" t="n"/>
      <c r="BD235" t="inlineStr">
        <is>
          <t>transport, Motorbike, battery electric, 11-35kW, label-certified electricity/CH U</t>
        </is>
      </c>
      <c r="BF235" s="5" t="n">
        <v>0.068050756</v>
      </c>
      <c r="BG235" s="5">
        <f>BF235-R235</f>
        <v>-9.177852481213486E-3</v>
      </c>
      <c r="BH235" s="2" t="n">
        <v>195.03688</v>
      </c>
    </row>
    <row r="236">
      <c r="A236" t="str">
        <f>B236&amp;" - "&amp;D236&amp;" - "&amp;IF(I236&lt;&gt;"",I236&amp;" - "&amp;E236,E236)</f>
        <v>Motorbike, battery electric, 11-35kW - 2030 - NMC - CH</v>
      </c>
      <c r="B236" t="inlineStr">
        <is>
          <t>Motorbike, battery electric, 11-35kW</t>
        </is>
      </c>
      <c r="D236" s="18" t="n">
        <v>2030</v>
      </c>
      <c r="E236" t="inlineStr">
        <is>
          <t>CH</t>
        </is>
      </c>
      <c r="F236" t="inlineStr">
        <is>
          <t>None</t>
        </is>
      </c>
      <c r="G236" t="inlineStr">
        <is>
          <t>vkm</t>
        </is>
      </c>
      <c r="H236" t="inlineStr">
        <is>
          <t>BEV</t>
        </is>
      </c>
      <c r="I236" t="inlineStr">
        <is>
          <t>NMC</t>
        </is>
      </c>
      <c r="J236" t="inlineStr">
        <is>
          <t>label-certified electricity</t>
        </is>
      </c>
      <c r="L236" s="24" t="n">
        <v>0</v>
      </c>
      <c r="M236" s="24" t="n">
        <v>0</v>
      </c>
      <c r="N236" s="24" t="n">
        <v>0.001515200493146706</v>
      </c>
      <c r="O236" s="24" t="n">
        <v>0.01230659169225786</v>
      </c>
      <c r="P236" s="24" t="n">
        <v>0.004839523431328749</v>
      </c>
      <c r="Q236" s="24" t="n">
        <v>0.05684894537364832</v>
      </c>
      <c r="R236" s="24" t="n">
        <v>0.07551026099038163</v>
      </c>
      <c r="S236" s="26" t="n">
        <v>0</v>
      </c>
      <c r="T236" s="26" t="n">
        <v>0</v>
      </c>
      <c r="U236" s="26" t="n">
        <v>0.00086368340895427</v>
      </c>
      <c r="V236" s="26" t="n">
        <v>0.0004722191823356421</v>
      </c>
      <c r="W236" s="26" t="n">
        <v>0.0003327437219444277</v>
      </c>
      <c r="X236" s="26" t="n">
        <v>0.07216638110704394</v>
      </c>
      <c r="Y236" s="26" t="n">
        <v>0.07383502742027828</v>
      </c>
      <c r="Z236" s="28" t="n">
        <v>0</v>
      </c>
      <c r="AA236" s="28" t="n">
        <v>0.003127173544286591</v>
      </c>
      <c r="AB236" s="28" t="n">
        <v>0.0001524028300720178</v>
      </c>
      <c r="AC236" s="28" t="n">
        <v>0.0001543898913344915</v>
      </c>
      <c r="AD236" s="28" t="n">
        <v>0.0001485741843507739</v>
      </c>
      <c r="AE236" s="28" t="n">
        <v>0.005973094415369105</v>
      </c>
      <c r="AF236" s="28" t="n">
        <v>0.009555634865412979</v>
      </c>
      <c r="AG236" s="30" t="n">
        <v>0</v>
      </c>
      <c r="AH236" s="30" t="n">
        <v>1.649105312647228e-05</v>
      </c>
      <c r="AI236" s="30" t="n">
        <v>0.0005711444556905024</v>
      </c>
      <c r="AJ236" s="30" t="n">
        <v>0.0003750735787279196</v>
      </c>
      <c r="AK236" s="30" t="n">
        <v>0.0001971963813979253</v>
      </c>
      <c r="AL236" s="30" t="n">
        <v>0.0173772699987046</v>
      </c>
      <c r="AM236" s="30" t="n">
        <v>0.01853717546764742</v>
      </c>
      <c r="AN236" s="32" t="n">
        <v>0</v>
      </c>
      <c r="AO236" s="32" t="n">
        <v>1.179775095002105e-05</v>
      </c>
      <c r="AP236" s="32" t="n">
        <v>1.349363676490181e-06</v>
      </c>
      <c r="AQ236" s="32" t="n">
        <v>7.464152422116936e-07</v>
      </c>
      <c r="AR236" s="32" t="n">
        <v>8.003043681261676e-07</v>
      </c>
      <c r="AS236" s="32" t="n">
        <v>1.539295930416039e-05</v>
      </c>
      <c r="AT236" s="32" t="n">
        <v>3.008679354100948e-05</v>
      </c>
      <c r="AU236" s="34" t="n">
        <v>0</v>
      </c>
      <c r="AV236" s="34" t="n">
        <v>0</v>
      </c>
      <c r="AW236" s="34" t="n">
        <v>0.01509612903828165</v>
      </c>
      <c r="AX236" s="34" t="n">
        <v>0.1764744841436473</v>
      </c>
      <c r="AY236" s="34" t="n">
        <v>0.1690082509170666</v>
      </c>
      <c r="AZ236" s="34" t="n">
        <v>0.8232064786684002</v>
      </c>
      <c r="BA236" s="34" t="n">
        <v>1.183785342767396</v>
      </c>
      <c r="BB236" s="6" t="n"/>
      <c r="BC236" s="6" t="n"/>
      <c r="BD236" t="inlineStr">
        <is>
          <t>transport, Motorbike, battery electric, 11-35kW, 2030, label-certified electricity/CH U</t>
        </is>
      </c>
      <c r="BF236" s="5" t="n">
        <v>0.066553927</v>
      </c>
      <c r="BG236" s="5">
        <f>BF236-R236</f>
        <v>-8.9563339903816347E-3</v>
      </c>
      <c r="BH236" s="2" t="n">
        <v>181.59727</v>
      </c>
    </row>
    <row r="237">
      <c r="A237" t="str">
        <f>B237&amp;" - "&amp;D237&amp;" - "&amp;IF(I237&lt;&gt;"",I237&amp;" - "&amp;E237,E237)</f>
        <v>Motorbike, battery electric, 11-35kW - 2040 - NMC - CH</v>
      </c>
      <c r="B237" t="inlineStr">
        <is>
          <t>Motorbike, battery electric, 11-35kW</t>
        </is>
      </c>
      <c r="D237" s="18" t="n">
        <v>2040</v>
      </c>
      <c r="E237" t="inlineStr">
        <is>
          <t>CH</t>
        </is>
      </c>
      <c r="F237" t="inlineStr">
        <is>
          <t>None</t>
        </is>
      </c>
      <c r="G237" t="inlineStr">
        <is>
          <t>vkm</t>
        </is>
      </c>
      <c r="H237" t="inlineStr">
        <is>
          <t>BEV</t>
        </is>
      </c>
      <c r="I237" t="inlineStr">
        <is>
          <t>NMC</t>
        </is>
      </c>
      <c r="J237" t="inlineStr">
        <is>
          <t>label-certified electricity</t>
        </is>
      </c>
      <c r="L237" s="24" t="n">
        <v>0</v>
      </c>
      <c r="M237" s="24" t="n">
        <v>0</v>
      </c>
      <c r="N237" s="24" t="n">
        <v>0.001515200493146706</v>
      </c>
      <c r="O237" s="24" t="n">
        <v>0.01230659169225786</v>
      </c>
      <c r="P237" s="24" t="n">
        <v>0.004842998218002713</v>
      </c>
      <c r="Q237" s="24" t="n">
        <v>0.05368490465788553</v>
      </c>
      <c r="R237" s="24" t="n">
        <v>0.07234969506129281</v>
      </c>
      <c r="S237" s="26" t="n">
        <v>0</v>
      </c>
      <c r="T237" s="26" t="n">
        <v>0</v>
      </c>
      <c r="U237" s="26" t="n">
        <v>0.00086368340895427</v>
      </c>
      <c r="V237" s="26" t="n">
        <v>0.0004722191823356421</v>
      </c>
      <c r="W237" s="26" t="n">
        <v>0.0003329632855157242</v>
      </c>
      <c r="X237" s="26" t="n">
        <v>0.06337911973557539</v>
      </c>
      <c r="Y237" s="26" t="n">
        <v>0.06504798561238102</v>
      </c>
      <c r="Z237" s="28" t="n">
        <v>0</v>
      </c>
      <c r="AA237" s="28" t="n">
        <v>0.003127173544286591</v>
      </c>
      <c r="AB237" s="28" t="n">
        <v>0.0001524028300720178</v>
      </c>
      <c r="AC237" s="28" t="n">
        <v>0.0001543898913344915</v>
      </c>
      <c r="AD237" s="28" t="n">
        <v>0.0001486739904496943</v>
      </c>
      <c r="AE237" s="28" t="n">
        <v>0.005328785458283026</v>
      </c>
      <c r="AF237" s="28" t="n">
        <v>0.008911425714425821</v>
      </c>
      <c r="AG237" s="30" t="n">
        <v>0</v>
      </c>
      <c r="AH237" s="30" t="n">
        <v>1.649105312647228e-05</v>
      </c>
      <c r="AI237" s="30" t="n">
        <v>0.0005711444556905024</v>
      </c>
      <c r="AJ237" s="30" t="n">
        <v>0.0003750735787279196</v>
      </c>
      <c r="AK237" s="30" t="n">
        <v>0.0001972895278809378</v>
      </c>
      <c r="AL237" s="30" t="n">
        <v>0.01580116318138546</v>
      </c>
      <c r="AM237" s="30" t="n">
        <v>0.01696116179681129</v>
      </c>
      <c r="AN237" s="32" t="n">
        <v>0</v>
      </c>
      <c r="AO237" s="32" t="n">
        <v>1.179775095002105e-05</v>
      </c>
      <c r="AP237" s="32" t="n">
        <v>1.349363676490181e-06</v>
      </c>
      <c r="AQ237" s="32" t="n">
        <v>7.464152422116936e-07</v>
      </c>
      <c r="AR237" s="32" t="n">
        <v>8.006721582853002e-07</v>
      </c>
      <c r="AS237" s="32" t="n">
        <v>1.382403194090753e-05</v>
      </c>
      <c r="AT237" s="32" t="n">
        <v>2.851823396791575e-05</v>
      </c>
      <c r="AU237" s="34" t="n">
        <v>0</v>
      </c>
      <c r="AV237" s="34" t="n">
        <v>0</v>
      </c>
      <c r="AW237" s="34" t="n">
        <v>0.01509612903828165</v>
      </c>
      <c r="AX237" s="34" t="n">
        <v>0.1764744841436473</v>
      </c>
      <c r="AY237" s="34" t="n">
        <v>0.1691220826639917</v>
      </c>
      <c r="AZ237" s="34" t="n">
        <v>0.7670618483671925</v>
      </c>
      <c r="BA237" s="34" t="n">
        <v>1.127754544213113</v>
      </c>
      <c r="BB237" s="6" t="n"/>
      <c r="BC237" s="6" t="n"/>
      <c r="BD237" t="inlineStr">
        <is>
          <t>transport, Motorbike, battery electric, 11-35kW, 2040, label-certified electricity/CH U</t>
        </is>
      </c>
      <c r="BF237" s="5" t="n">
        <v>0.064338407</v>
      </c>
      <c r="BG237" s="5">
        <f>BF237-R237</f>
        <v>-8.0112880612928095E-3</v>
      </c>
      <c r="BH237" s="2" t="n">
        <v>165.36508</v>
      </c>
    </row>
    <row r="238">
      <c r="A238" t="str">
        <f>B238&amp;" - "&amp;D238&amp;" - "&amp;IF(I238&lt;&gt;"",I238&amp;" - "&amp;E238,E238)</f>
        <v>Motorbike, battery electric, 11-35kW - 2050 - NMC - CH</v>
      </c>
      <c r="B238" t="inlineStr">
        <is>
          <t>Motorbike, battery electric, 11-35kW</t>
        </is>
      </c>
      <c r="D238" s="18" t="n">
        <v>2050</v>
      </c>
      <c r="E238" t="inlineStr">
        <is>
          <t>CH</t>
        </is>
      </c>
      <c r="F238" t="inlineStr">
        <is>
          <t>None</t>
        </is>
      </c>
      <c r="G238" t="inlineStr">
        <is>
          <t>vkm</t>
        </is>
      </c>
      <c r="H238" t="inlineStr">
        <is>
          <t>BEV</t>
        </is>
      </c>
      <c r="I238" t="inlineStr">
        <is>
          <t>NMC</t>
        </is>
      </c>
      <c r="J238" t="inlineStr">
        <is>
          <t>label-certified electricity</t>
        </is>
      </c>
      <c r="L238" s="24" t="n">
        <v>0</v>
      </c>
      <c r="M238" s="24" t="n">
        <v>0</v>
      </c>
      <c r="N238" s="24" t="n">
        <v>0.001515200493146706</v>
      </c>
      <c r="O238" s="24" t="n">
        <v>0.0116988587691834</v>
      </c>
      <c r="P238" s="24" t="n">
        <v>0.004842133314769455</v>
      </c>
      <c r="Q238" s="24" t="n">
        <v>0.08121590004714117</v>
      </c>
      <c r="R238" s="24" t="n">
        <v>0.09927209262424073</v>
      </c>
      <c r="S238" s="26" t="n">
        <v>0</v>
      </c>
      <c r="T238" s="26" t="n">
        <v>0</v>
      </c>
      <c r="U238" s="26" t="n">
        <v>0.00086368340895427</v>
      </c>
      <c r="V238" s="26" t="n">
        <v>0.0004488997165412894</v>
      </c>
      <c r="W238" s="26" t="n">
        <v>0.000332908634321122</v>
      </c>
      <c r="X238" s="26" t="n">
        <v>0.1117595975810074</v>
      </c>
      <c r="Y238" s="26" t="n">
        <v>0.1134050893408241</v>
      </c>
      <c r="Z238" s="28" t="n">
        <v>0</v>
      </c>
      <c r="AA238" s="28" t="n">
        <v>0.003127173544286591</v>
      </c>
      <c r="AB238" s="28" t="n">
        <v>0.0001524028300720178</v>
      </c>
      <c r="AC238" s="28" t="n">
        <v>0.0001467656991698253</v>
      </c>
      <c r="AD238" s="28" t="n">
        <v>0.0001486491478835875</v>
      </c>
      <c r="AE238" s="28" t="n">
        <v>0.009351997603932164</v>
      </c>
      <c r="AF238" s="28" t="n">
        <v>0.01292698882534419</v>
      </c>
      <c r="AG238" s="30" t="n">
        <v>0</v>
      </c>
      <c r="AH238" s="30" t="n">
        <v>1.649105312647228e-05</v>
      </c>
      <c r="AI238" s="30" t="n">
        <v>0.0005711444556905024</v>
      </c>
      <c r="AJ238" s="30" t="n">
        <v>0.0003565514266919729</v>
      </c>
      <c r="AK238" s="30" t="n">
        <v>0.0001972663429484849</v>
      </c>
      <c r="AL238" s="30" t="n">
        <v>0.02616903821518649</v>
      </c>
      <c r="AM238" s="30" t="n">
        <v>0.02731049149364392</v>
      </c>
      <c r="AN238" s="32" t="n">
        <v>0</v>
      </c>
      <c r="AO238" s="32" t="n">
        <v>1.179775095002105e-05</v>
      </c>
      <c r="AP238" s="32" t="n">
        <v>1.349363676490181e-06</v>
      </c>
      <c r="AQ238" s="32" t="n">
        <v>7.095552302506223e-07</v>
      </c>
      <c r="AR238" s="32" t="n">
        <v>8.005806122631581e-07</v>
      </c>
      <c r="AS238" s="32" t="n">
        <v>2.262835477236926e-05</v>
      </c>
      <c r="AT238" s="32" t="n">
        <v>3.728560524139427e-05</v>
      </c>
      <c r="AU238" s="34" t="n">
        <v>0</v>
      </c>
      <c r="AV238" s="34" t="n">
        <v>0</v>
      </c>
      <c r="AW238" s="34" t="n">
        <v>0.01509612903828165</v>
      </c>
      <c r="AX238" s="34" t="n">
        <v>0.1677596948032202</v>
      </c>
      <c r="AY238" s="34" t="n">
        <v>0.1690937489977265</v>
      </c>
      <c r="AZ238" s="34" t="n">
        <v>1.179480166452196</v>
      </c>
      <c r="BA238" s="34" t="n">
        <v>1.531429739291424</v>
      </c>
      <c r="BB238" s="6" t="n"/>
      <c r="BC238" s="6" t="n"/>
      <c r="BD238" t="inlineStr">
        <is>
          <t>transport, Motorbike, battery electric, 11-35kW, 2050, label-certified electricity/CH U</t>
        </is>
      </c>
      <c r="BF238" s="5" t="n">
        <v>0.07993536500000001</v>
      </c>
      <c r="BG238" s="5">
        <f>BF238-R238</f>
        <v>-1.9336727624240727E-2</v>
      </c>
      <c r="BH238" s="2" t="n">
        <v>253.26034</v>
      </c>
    </row>
    <row r="239">
      <c r="A239" t="str">
        <f>B239&amp;" - "&amp;D239&amp;" - "&amp;IF(I239&lt;&gt;"",I239&amp;" - "&amp;E239,E239)</f>
        <v>Motorbike, battery electric, &gt;35kW - 2020 - NMC - CH</v>
      </c>
      <c r="B239" t="inlineStr">
        <is>
          <t>Motorbike, battery electric, &gt;35kW</t>
        </is>
      </c>
      <c r="D239" s="18" t="n">
        <v>2020</v>
      </c>
      <c r="E239" t="inlineStr">
        <is>
          <t>CH</t>
        </is>
      </c>
      <c r="F239" t="inlineStr">
        <is>
          <t>None</t>
        </is>
      </c>
      <c r="G239" t="inlineStr">
        <is>
          <t>vkm</t>
        </is>
      </c>
      <c r="H239" t="inlineStr">
        <is>
          <t>BEV</t>
        </is>
      </c>
      <c r="I239" t="inlineStr">
        <is>
          <t>NMC</t>
        </is>
      </c>
      <c r="J239" t="inlineStr">
        <is>
          <t>label-certified electricity</t>
        </is>
      </c>
      <c r="L239" s="24" t="n">
        <v>0</v>
      </c>
      <c r="M239" s="24" t="n">
        <v>0</v>
      </c>
      <c r="N239" s="24" t="n">
        <v>0.001689725966023888</v>
      </c>
      <c r="O239" s="24" t="n">
        <v>0.01230659169225786</v>
      </c>
      <c r="P239" s="24" t="n">
        <v>0.005243994669674618</v>
      </c>
      <c r="Q239" s="24" t="n">
        <v>0.09354922122940545</v>
      </c>
      <c r="R239" s="24" t="n">
        <v>0.1127895335573618</v>
      </c>
      <c r="S239" s="26" t="n">
        <v>0</v>
      </c>
      <c r="T239" s="26" t="n">
        <v>0</v>
      </c>
      <c r="U239" s="26" t="n">
        <v>0.000963165131700334</v>
      </c>
      <c r="V239" s="26" t="n">
        <v>0.0004722191823356421</v>
      </c>
      <c r="W239" s="26" t="n">
        <v>0.0003583013051604949</v>
      </c>
      <c r="X239" s="26" t="n">
        <v>0.1397432492731298</v>
      </c>
      <c r="Y239" s="26" t="n">
        <v>0.1415369348923263</v>
      </c>
      <c r="Z239" s="28" t="n">
        <v>0</v>
      </c>
      <c r="AA239" s="28" t="n">
        <v>0.003127173544286591</v>
      </c>
      <c r="AB239" s="28" t="n">
        <v>0.0001699570587740569</v>
      </c>
      <c r="AC239" s="28" t="n">
        <v>0.0001543898913344915</v>
      </c>
      <c r="AD239" s="28" t="n">
        <v>0.0001601917885989165</v>
      </c>
      <c r="AE239" s="28" t="n">
        <v>0.01142293073770173</v>
      </c>
      <c r="AF239" s="28" t="n">
        <v>0.01503464302069579</v>
      </c>
      <c r="AG239" s="30" t="n">
        <v>0</v>
      </c>
      <c r="AH239" s="30" t="n">
        <v>1.649105312647228e-05</v>
      </c>
      <c r="AI239" s="30" t="n">
        <v>0.0006369306382197566</v>
      </c>
      <c r="AJ239" s="30" t="n">
        <v>0.0003750735787279196</v>
      </c>
      <c r="AK239" s="30" t="n">
        <v>0.0002080387947218662</v>
      </c>
      <c r="AL239" s="30" t="n">
        <v>0.0314395456808026</v>
      </c>
      <c r="AM239" s="30" t="n">
        <v>0.03267607974559861</v>
      </c>
      <c r="AN239" s="32" t="n">
        <v>0</v>
      </c>
      <c r="AO239" s="32" t="n">
        <v>1.179775095002105e-05</v>
      </c>
      <c r="AP239" s="32" t="n">
        <v>1.504787552596285e-06</v>
      </c>
      <c r="AQ239" s="32" t="n">
        <v>7.464152422116936e-07</v>
      </c>
      <c r="AR239" s="32" t="n">
        <v>8.431157850774211e-07</v>
      </c>
      <c r="AS239" s="32" t="n">
        <v>2.84559530699819e-05</v>
      </c>
      <c r="AT239" s="32" t="n">
        <v>4.334802259988835e-05</v>
      </c>
      <c r="AU239" s="34" t="n">
        <v>0</v>
      </c>
      <c r="AV239" s="34" t="n">
        <v>0</v>
      </c>
      <c r="AW239" s="34" t="n">
        <v>0.01683494780908967</v>
      </c>
      <c r="AX239" s="34" t="n">
        <v>0.1764744841436473</v>
      </c>
      <c r="AY239" s="34" t="n">
        <v>0.1822584650919019</v>
      </c>
      <c r="AZ239" s="34" t="n">
        <v>1.394535777830567</v>
      </c>
      <c r="BA239" s="34" t="n">
        <v>1.770103674875205</v>
      </c>
      <c r="BB239" s="6" t="n"/>
      <c r="BC239" s="6" t="n"/>
      <c r="BD239" t="inlineStr">
        <is>
          <t>transport, Motorbike, battery electric, &gt;35kW, label-certified electricity/CH U</t>
        </is>
      </c>
      <c r="BF239" s="5" t="n">
        <v>0.092101022</v>
      </c>
      <c r="BG239" s="5">
        <f>BF239-R239</f>
        <v>-2.0688511557361816E-2</v>
      </c>
      <c r="BH239" s="2" t="n">
        <v>311.22434</v>
      </c>
    </row>
    <row r="240">
      <c r="A240" t="str">
        <f>B240&amp;" - "&amp;D240&amp;" - "&amp;IF(I240&lt;&gt;"",I240&amp;" - "&amp;E240,E240)</f>
        <v>Motorbike, battery electric, &gt;35kW - 2030 - NMC - CH</v>
      </c>
      <c r="B240" t="inlineStr">
        <is>
          <t>Motorbike, battery electric, &gt;35kW</t>
        </is>
      </c>
      <c r="D240" s="18" t="n">
        <v>2030</v>
      </c>
      <c r="E240" t="inlineStr">
        <is>
          <t>CH</t>
        </is>
      </c>
      <c r="F240" t="inlineStr">
        <is>
          <t>None</t>
        </is>
      </c>
      <c r="G240" t="inlineStr">
        <is>
          <t>vkm</t>
        </is>
      </c>
      <c r="H240" t="inlineStr">
        <is>
          <t>BEV</t>
        </is>
      </c>
      <c r="I240" t="inlineStr">
        <is>
          <t>NMC</t>
        </is>
      </c>
      <c r="J240" t="inlineStr">
        <is>
          <t>label-certified electricity</t>
        </is>
      </c>
      <c r="L240" s="24" t="n">
        <v>0</v>
      </c>
      <c r="M240" s="24" t="n">
        <v>0</v>
      </c>
      <c r="N240" s="24" t="n">
        <v>0.001689725966023888</v>
      </c>
      <c r="O240" s="24" t="n">
        <v>0.01230659169225786</v>
      </c>
      <c r="P240" s="24" t="n">
        <v>0.005245603086213659</v>
      </c>
      <c r="Q240" s="24" t="n">
        <v>0.08788874783758996</v>
      </c>
      <c r="R240" s="24" t="n">
        <v>0.1071306685820854</v>
      </c>
      <c r="S240" s="26" t="n">
        <v>0</v>
      </c>
      <c r="T240" s="26" t="n">
        <v>0</v>
      </c>
      <c r="U240" s="26" t="n">
        <v>0.000963165131700334</v>
      </c>
      <c r="V240" s="26" t="n">
        <v>0.0004722191823356421</v>
      </c>
      <c r="W240" s="26" t="n">
        <v>0.0003584029372065972</v>
      </c>
      <c r="X240" s="26" t="n">
        <v>0.1236173950741264</v>
      </c>
      <c r="Y240" s="26" t="n">
        <v>0.125411182325369</v>
      </c>
      <c r="Z240" s="28" t="n">
        <v>0</v>
      </c>
      <c r="AA240" s="28" t="n">
        <v>0.003127173544286591</v>
      </c>
      <c r="AB240" s="28" t="n">
        <v>0.0001699570587740569</v>
      </c>
      <c r="AC240" s="28" t="n">
        <v>0.0001543898913344915</v>
      </c>
      <c r="AD240" s="28" t="n">
        <v>0.0001602379870551853</v>
      </c>
      <c r="AE240" s="28" t="n">
        <v>0.01024722636653862</v>
      </c>
      <c r="AF240" s="28" t="n">
        <v>0.01385898484798894</v>
      </c>
      <c r="AG240" s="30" t="n">
        <v>0</v>
      </c>
      <c r="AH240" s="30" t="n">
        <v>1.649105312647228e-05</v>
      </c>
      <c r="AI240" s="30" t="n">
        <v>0.0006369306382197566</v>
      </c>
      <c r="AJ240" s="30" t="n">
        <v>0.0003750735787279196</v>
      </c>
      <c r="AK240" s="30" t="n">
        <v>0.0002080819105611646</v>
      </c>
      <c r="AL240" s="30" t="n">
        <v>0.0285729108748459</v>
      </c>
      <c r="AM240" s="30" t="n">
        <v>0.02980948805548121</v>
      </c>
      <c r="AN240" s="32" t="n">
        <v>0</v>
      </c>
      <c r="AO240" s="32" t="n">
        <v>1.179775095002105e-05</v>
      </c>
      <c r="AP240" s="32" t="n">
        <v>1.504787552596285e-06</v>
      </c>
      <c r="AQ240" s="32" t="n">
        <v>7.464152422116936e-07</v>
      </c>
      <c r="AR240" s="32" t="n">
        <v>8.432860285571943e-07</v>
      </c>
      <c r="AS240" s="32" t="n">
        <v>2.557719635596229e-05</v>
      </c>
      <c r="AT240" s="32" t="n">
        <v>4.046943612934851e-05</v>
      </c>
      <c r="AU240" s="34" t="n">
        <v>0</v>
      </c>
      <c r="AV240" s="34" t="n">
        <v>0</v>
      </c>
      <c r="AW240" s="34" t="n">
        <v>0.01683494780908967</v>
      </c>
      <c r="AX240" s="34" t="n">
        <v>0.1764744841436473</v>
      </c>
      <c r="AY240" s="34" t="n">
        <v>0.1823111557695179</v>
      </c>
      <c r="AZ240" s="34" t="n">
        <v>1.292956185038838</v>
      </c>
      <c r="BA240" s="34" t="n">
        <v>1.668576772761093</v>
      </c>
      <c r="BB240" s="6" t="n"/>
      <c r="BC240" s="6" t="n"/>
      <c r="BD240" t="inlineStr">
        <is>
          <t>transport, Motorbike, battery electric, &gt;35kW, 2030, label-certified electricity/CH U</t>
        </is>
      </c>
      <c r="BF240" s="5" t="n">
        <v>0.08806988700000001</v>
      </c>
      <c r="BG240" s="5">
        <f>BF240-R240</f>
        <v>-1.9060781582085351E-2</v>
      </c>
      <c r="BH240" s="2" t="n">
        <v>281.3459</v>
      </c>
    </row>
    <row r="241">
      <c r="A241" t="str">
        <f>B241&amp;" - "&amp;D241&amp;" - "&amp;IF(I241&lt;&gt;"",I241&amp;" - "&amp;E241,E241)</f>
        <v>Motorbike, battery electric, &gt;35kW - 2040 - NMC - CH</v>
      </c>
      <c r="B241" t="inlineStr">
        <is>
          <t>Motorbike, battery electric, &gt;35kW</t>
        </is>
      </c>
      <c r="D241" s="18" t="n">
        <v>2040</v>
      </c>
      <c r="E241" t="inlineStr">
        <is>
          <t>CH</t>
        </is>
      </c>
      <c r="F241" t="inlineStr">
        <is>
          <t>None</t>
        </is>
      </c>
      <c r="G241" t="inlineStr">
        <is>
          <t>vkm</t>
        </is>
      </c>
      <c r="H241" t="inlineStr">
        <is>
          <t>BEV</t>
        </is>
      </c>
      <c r="I241" t="inlineStr">
        <is>
          <t>NMC</t>
        </is>
      </c>
      <c r="J241" t="inlineStr">
        <is>
          <t>label-certified electricity</t>
        </is>
      </c>
      <c r="L241" s="24" t="n">
        <v>0</v>
      </c>
      <c r="M241" s="24" t="n">
        <v>0</v>
      </c>
      <c r="N241" s="24" t="n">
        <v>0.001689725966023888</v>
      </c>
      <c r="O241" s="24" t="n">
        <v>0.01230659169225786</v>
      </c>
      <c r="P241" s="24" t="n">
        <v>0.005248319185840906</v>
      </c>
      <c r="Q241" s="24" t="n">
        <v>0.08027524353908473</v>
      </c>
      <c r="R241" s="24" t="n">
        <v>0.09951988038320739</v>
      </c>
      <c r="S241" s="26" t="n">
        <v>0</v>
      </c>
      <c r="T241" s="26" t="n">
        <v>0</v>
      </c>
      <c r="U241" s="26" t="n">
        <v>0.000963165131700334</v>
      </c>
      <c r="V241" s="26" t="n">
        <v>0.0004722191823356421</v>
      </c>
      <c r="W241" s="26" t="n">
        <v>0.0003585745611335058</v>
      </c>
      <c r="X241" s="26" t="n">
        <v>0.1052993504565712</v>
      </c>
      <c r="Y241" s="26" t="n">
        <v>0.1070933093317407</v>
      </c>
      <c r="Z241" s="28" t="n">
        <v>0</v>
      </c>
      <c r="AA241" s="28" t="n">
        <v>0.003127173544286591</v>
      </c>
      <c r="AB241" s="28" t="n">
        <v>0.0001699570587740569</v>
      </c>
      <c r="AC241" s="28" t="n">
        <v>0.0001543898913344915</v>
      </c>
      <c r="AD241" s="28" t="n">
        <v>0.0001603160014294507</v>
      </c>
      <c r="AE241" s="28" t="n">
        <v>0.00885609913637175</v>
      </c>
      <c r="AF241" s="28" t="n">
        <v>0.01246793563219634</v>
      </c>
      <c r="AG241" s="30" t="n">
        <v>0</v>
      </c>
      <c r="AH241" s="30" t="n">
        <v>1.649105312647228e-05</v>
      </c>
      <c r="AI241" s="30" t="n">
        <v>0.0006369306382197566</v>
      </c>
      <c r="AJ241" s="30" t="n">
        <v>0.0003750735787279196</v>
      </c>
      <c r="AK241" s="30" t="n">
        <v>0.0002081547193841308</v>
      </c>
      <c r="AL241" s="30" t="n">
        <v>0.02511793462766259</v>
      </c>
      <c r="AM241" s="30" t="n">
        <v>0.02635458461712087</v>
      </c>
      <c r="AN241" s="32" t="n">
        <v>0</v>
      </c>
      <c r="AO241" s="32" t="n">
        <v>1.179775095002105e-05</v>
      </c>
      <c r="AP241" s="32" t="n">
        <v>1.504787552596285e-06</v>
      </c>
      <c r="AQ241" s="32" t="n">
        <v>7.464152422116936e-07</v>
      </c>
      <c r="AR241" s="32" t="n">
        <v>8.43573515188132e-07</v>
      </c>
      <c r="AS241" s="32" t="n">
        <v>2.228878710164987e-05</v>
      </c>
      <c r="AT241" s="32" t="n">
        <v>3.718131436166703e-05</v>
      </c>
      <c r="AU241" s="34" t="n">
        <v>0</v>
      </c>
      <c r="AV241" s="34" t="n">
        <v>0</v>
      </c>
      <c r="AW241" s="34" t="n">
        <v>0.01683494780908967</v>
      </c>
      <c r="AX241" s="34" t="n">
        <v>0.1764744841436473</v>
      </c>
      <c r="AY241" s="34" t="n">
        <v>0.1824001334232279</v>
      </c>
      <c r="AZ241" s="34" t="n">
        <v>1.165497560317826</v>
      </c>
      <c r="BA241" s="34" t="n">
        <v>1.54120712569379</v>
      </c>
      <c r="BB241" s="6" t="n"/>
      <c r="BC241" s="6" t="n"/>
      <c r="BD241" t="inlineStr">
        <is>
          <t>transport, Motorbike, battery electric, &gt;35kW, 2040, label-certified electricity/CH U</t>
        </is>
      </c>
      <c r="BF241" s="5" t="n">
        <v>0.08305243499999999</v>
      </c>
      <c r="BG241" s="5">
        <f>BF241-R241</f>
        <v>-1.6467445383207394E-2</v>
      </c>
      <c r="BH241" s="2" t="n">
        <v>247.52912</v>
      </c>
    </row>
    <row r="242">
      <c r="A242" t="str">
        <f>B242&amp;" - "&amp;D242&amp;" - "&amp;IF(I242&lt;&gt;"",I242&amp;" - "&amp;E242,E242)</f>
        <v>Motorbike, battery electric, &gt;35kW - 2050 - NMC - CH</v>
      </c>
      <c r="B242" t="inlineStr">
        <is>
          <t>Motorbike, battery electric, &gt;35kW</t>
        </is>
      </c>
      <c r="D242" s="18" t="n">
        <v>2050</v>
      </c>
      <c r="E242" t="inlineStr">
        <is>
          <t>CH</t>
        </is>
      </c>
      <c r="F242" t="inlineStr">
        <is>
          <t>None</t>
        </is>
      </c>
      <c r="G242" t="inlineStr">
        <is>
          <t>vkm</t>
        </is>
      </c>
      <c r="H242" t="inlineStr">
        <is>
          <t>BEV</t>
        </is>
      </c>
      <c r="I242" t="inlineStr">
        <is>
          <t>NMC</t>
        </is>
      </c>
      <c r="J242" t="inlineStr">
        <is>
          <t>label-certified electricity</t>
        </is>
      </c>
      <c r="L242" s="24" t="n">
        <v>0</v>
      </c>
      <c r="M242" s="24" t="n">
        <v>0</v>
      </c>
      <c r="N242" s="24" t="n">
        <v>0.001689725966023888</v>
      </c>
      <c r="O242" s="24" t="n">
        <v>0.01993667854145774</v>
      </c>
      <c r="P242" s="24" t="n">
        <v>0.005247090112825224</v>
      </c>
      <c r="Q242" s="24" t="n">
        <v>0.1234468118432987</v>
      </c>
      <c r="R242" s="24" t="n">
        <v>0.1503203064636056</v>
      </c>
      <c r="S242" s="26" t="n">
        <v>0</v>
      </c>
      <c r="T242" s="26" t="n">
        <v>0</v>
      </c>
      <c r="U242" s="26" t="n">
        <v>0.000963165131700334</v>
      </c>
      <c r="V242" s="26" t="n">
        <v>0.0007649950753837402</v>
      </c>
      <c r="W242" s="26" t="n">
        <v>0.0003584968989095975</v>
      </c>
      <c r="X242" s="26" t="n">
        <v>0.1930789600354458</v>
      </c>
      <c r="Y242" s="26" t="n">
        <v>0.1951656171414395</v>
      </c>
      <c r="Z242" s="28" t="n">
        <v>0</v>
      </c>
      <c r="AA242" s="28" t="n">
        <v>0.003127173544286591</v>
      </c>
      <c r="AB242" s="28" t="n">
        <v>0.0001699570587740569</v>
      </c>
      <c r="AC242" s="28" t="n">
        <v>0.0002501116239618763</v>
      </c>
      <c r="AD242" s="28" t="n">
        <v>0.0001602806988355094</v>
      </c>
      <c r="AE242" s="28" t="n">
        <v>0.0158370630389519</v>
      </c>
      <c r="AF242" s="28" t="n">
        <v>0.01954458596480993</v>
      </c>
      <c r="AG242" s="30" t="n">
        <v>0</v>
      </c>
      <c r="AH242" s="30" t="n">
        <v>1.649105312647228e-05</v>
      </c>
      <c r="AI242" s="30" t="n">
        <v>0.0006369306382197566</v>
      </c>
      <c r="AJ242" s="30" t="n">
        <v>0.0006076191975392298</v>
      </c>
      <c r="AK242" s="30" t="n">
        <v>0.0002081217723748556</v>
      </c>
      <c r="AL242" s="30" t="n">
        <v>0.0427925395877819</v>
      </c>
      <c r="AM242" s="30" t="n">
        <v>0.04426170224904221</v>
      </c>
      <c r="AN242" s="32" t="n">
        <v>0</v>
      </c>
      <c r="AO242" s="32" t="n">
        <v>1.179775095002105e-05</v>
      </c>
      <c r="AP242" s="32" t="n">
        <v>1.504787552596285e-06</v>
      </c>
      <c r="AQ242" s="32" t="n">
        <v>1.209192692382944e-06</v>
      </c>
      <c r="AR242" s="32" t="n">
        <v>8.434434234724563e-07</v>
      </c>
      <c r="AS242" s="32" t="n">
        <v>3.815619918652316e-05</v>
      </c>
      <c r="AT242" s="32" t="n">
        <v>5.35113738049959e-05</v>
      </c>
      <c r="AU242" s="34" t="n">
        <v>0</v>
      </c>
      <c r="AV242" s="34" t="n">
        <v>0</v>
      </c>
      <c r="AW242" s="34" t="n">
        <v>0.01683494780908967</v>
      </c>
      <c r="AX242" s="34" t="n">
        <v>0.2858886643127085</v>
      </c>
      <c r="AY242" s="34" t="n">
        <v>0.1823598697922195</v>
      </c>
      <c r="AZ242" s="34" t="n">
        <v>1.844598793175267</v>
      </c>
      <c r="BA242" s="34" t="n">
        <v>2.329682275089284</v>
      </c>
      <c r="BB242" s="6" t="n"/>
      <c r="BC242" s="6" t="n"/>
      <c r="BD242" t="inlineStr">
        <is>
          <t>transport, Motorbike, battery electric, &gt;35kW, 2050, label-certified electricity/CH U</t>
        </is>
      </c>
      <c r="BF242" s="5" t="n">
        <v>0.11545806</v>
      </c>
      <c r="BG242" s="5">
        <f>BF242-R242</f>
        <v>-3.4862246463605556E-2</v>
      </c>
      <c r="BH242" s="2" t="n">
        <v>414.65843</v>
      </c>
    </row>
    <row r="243">
      <c r="A243" t="str">
        <f>B243&amp;" - "&amp;D243&amp;" - "&amp;IF(I243&lt;&gt;"",I243&amp;" - "&amp;E243,E243)</f>
        <v>Motorbike, battery electric, &lt;4kW - 2020 - LFP - CH</v>
      </c>
      <c r="B243" t="inlineStr">
        <is>
          <t>Motorbike, battery electric, &lt;4kW</t>
        </is>
      </c>
      <c r="D243" s="18" t="n">
        <v>2020</v>
      </c>
      <c r="E243" t="inlineStr">
        <is>
          <t>CH</t>
        </is>
      </c>
      <c r="F243" t="inlineStr">
        <is>
          <t>None</t>
        </is>
      </c>
      <c r="G243" t="inlineStr">
        <is>
          <t>vkm</t>
        </is>
      </c>
      <c r="H243" t="inlineStr">
        <is>
          <t>BEV</t>
        </is>
      </c>
      <c r="I243" t="inlineStr">
        <is>
          <t>LFP</t>
        </is>
      </c>
      <c r="J243" t="inlineStr">
        <is>
          <t>label-certified electricity</t>
        </is>
      </c>
      <c r="L243" s="24" t="n">
        <v>0</v>
      </c>
      <c r="M243" s="24" t="n">
        <v>0</v>
      </c>
      <c r="N243" s="24" t="n">
        <v>0.0007442051711905084</v>
      </c>
      <c r="O243" s="24" t="n">
        <v>0.01230659169225786</v>
      </c>
      <c r="P243" s="24" t="n">
        <v>0.004486111831226946</v>
      </c>
      <c r="Q243" s="24" t="n">
        <v>0.04111091243896036</v>
      </c>
      <c r="R243" s="24" t="n">
        <v>0.05864782113363567</v>
      </c>
      <c r="S243" s="26" t="n">
        <v>0</v>
      </c>
      <c r="T243" s="26" t="n">
        <v>0</v>
      </c>
      <c r="U243" s="26" t="n">
        <v>0.0004242063424097505</v>
      </c>
      <c r="V243" s="26" t="n">
        <v>0.0004722191823356421</v>
      </c>
      <c r="W243" s="26" t="n">
        <v>0.0003104124767956648</v>
      </c>
      <c r="X243" s="26" t="n">
        <v>0.02664028343289539</v>
      </c>
      <c r="Y243" s="26" t="n">
        <v>0.02784712143443645</v>
      </c>
      <c r="Z243" s="28" t="n">
        <v>0</v>
      </c>
      <c r="AA243" s="28" t="n">
        <v>0.003127173544286591</v>
      </c>
      <c r="AB243" s="28" t="n">
        <v>7.485410330623648e-05</v>
      </c>
      <c r="AC243" s="28" t="n">
        <v>0.0001543898913344915</v>
      </c>
      <c r="AD243" s="28" t="n">
        <v>0.0001384231631719214</v>
      </c>
      <c r="AE243" s="28" t="n">
        <v>0.002971624822696412</v>
      </c>
      <c r="AF243" s="28" t="n">
        <v>0.006466465524795652</v>
      </c>
      <c r="AG243" s="30" t="n">
        <v>0</v>
      </c>
      <c r="AH243" s="30" t="n">
        <v>1.649105312647228e-05</v>
      </c>
      <c r="AI243" s="30" t="n">
        <v>0.0002805230458570776</v>
      </c>
      <c r="AJ243" s="30" t="n">
        <v>0.0003750735787279196</v>
      </c>
      <c r="AK243" s="30" t="n">
        <v>0.0001877226925951076</v>
      </c>
      <c r="AL243" s="30" t="n">
        <v>0.01036701087183492</v>
      </c>
      <c r="AM243" s="30" t="n">
        <v>0.0112268212421415</v>
      </c>
      <c r="AN243" s="32" t="n">
        <v>0</v>
      </c>
      <c r="AO243" s="32" t="n">
        <v>1.179775095002105e-05</v>
      </c>
      <c r="AP243" s="32" t="n">
        <v>6.627528372665328e-07</v>
      </c>
      <c r="AQ243" s="32" t="n">
        <v>7.464152422116936e-07</v>
      </c>
      <c r="AR243" s="32" t="n">
        <v>7.628973786224294e-07</v>
      </c>
      <c r="AS243" s="32" t="n">
        <v>7.623137571744916e-06</v>
      </c>
      <c r="AT243" s="32" t="n">
        <v>2.159295397986662e-05</v>
      </c>
      <c r="AU243" s="34" t="n">
        <v>0</v>
      </c>
      <c r="AV243" s="34" t="n">
        <v>0</v>
      </c>
      <c r="AW243" s="34" t="n">
        <v>0.00741460773413346</v>
      </c>
      <c r="AX243" s="34" t="n">
        <v>0.1764744841436473</v>
      </c>
      <c r="AY243" s="34" t="n">
        <v>0.1574307172156077</v>
      </c>
      <c r="AZ243" s="34" t="n">
        <v>0.5598046896299951</v>
      </c>
      <c r="BA243" s="34" t="n">
        <v>0.9011244987233835</v>
      </c>
      <c r="BB243" s="6" t="n"/>
      <c r="BC243" s="6" t="n"/>
      <c r="BD243" t="inlineStr">
        <is>
          <t>transport, Motorbike, battery electric, &lt;4kW, LFP battery, label-certified electricity/CH U</t>
        </is>
      </c>
      <c r="BF243" s="5" t="n">
        <v>0.057805731</v>
      </c>
      <c r="BG243" s="5">
        <f>BF243-R243</f>
        <v>-8.4209013363567564E-4</v>
      </c>
      <c r="BH243" s="2" t="n">
        <v>131.27093</v>
      </c>
    </row>
    <row r="244">
      <c r="A244" t="str">
        <f>B244&amp;" - "&amp;D244&amp;" - "&amp;IF(I244&lt;&gt;"",I244&amp;" - "&amp;E244,E244)</f>
        <v>Motorbike, battery electric, &lt;4kW - 2030 - LFP - CH</v>
      </c>
      <c r="B244" t="inlineStr">
        <is>
          <t>Motorbike, battery electric, &lt;4kW</t>
        </is>
      </c>
      <c r="D244" s="18" t="n">
        <v>2030</v>
      </c>
      <c r="E244" t="inlineStr">
        <is>
          <t>CH</t>
        </is>
      </c>
      <c r="F244" t="inlineStr">
        <is>
          <t>None</t>
        </is>
      </c>
      <c r="G244" t="inlineStr">
        <is>
          <t>vkm</t>
        </is>
      </c>
      <c r="H244" t="inlineStr">
        <is>
          <t>BEV</t>
        </is>
      </c>
      <c r="I244" t="inlineStr">
        <is>
          <t>LFP</t>
        </is>
      </c>
      <c r="J244" t="inlineStr">
        <is>
          <t>label-certified electricity</t>
        </is>
      </c>
      <c r="L244" s="24" t="n">
        <v>0</v>
      </c>
      <c r="M244" s="24" t="n">
        <v>0</v>
      </c>
      <c r="N244" s="24" t="n">
        <v>0.0007442051711905084</v>
      </c>
      <c r="O244" s="24" t="n">
        <v>0.01230659169225786</v>
      </c>
      <c r="P244" s="24" t="n">
        <v>0.004530161201159347</v>
      </c>
      <c r="Q244" s="24" t="n">
        <v>0.0475079303803492</v>
      </c>
      <c r="R244" s="24" t="n">
        <v>0.06508888844495692</v>
      </c>
      <c r="S244" s="26" t="n">
        <v>0</v>
      </c>
      <c r="T244" s="26" t="n">
        <v>0</v>
      </c>
      <c r="U244" s="26" t="n">
        <v>0.0004242063424097505</v>
      </c>
      <c r="V244" s="26" t="n">
        <v>0.0004722191823356421</v>
      </c>
      <c r="W244" s="26" t="n">
        <v>0.0003131958525488252</v>
      </c>
      <c r="X244" s="26" t="n">
        <v>0.02982572364024798</v>
      </c>
      <c r="Y244" s="26" t="n">
        <v>0.0310353450175422</v>
      </c>
      <c r="Z244" s="28" t="n">
        <v>0</v>
      </c>
      <c r="AA244" s="28" t="n">
        <v>0.003127173544286591</v>
      </c>
      <c r="AB244" s="28" t="n">
        <v>7.485410330623648e-05</v>
      </c>
      <c r="AC244" s="28" t="n">
        <v>0.0001543898913344915</v>
      </c>
      <c r="AD244" s="28" t="n">
        <v>0.0001396883907053982</v>
      </c>
      <c r="AE244" s="28" t="n">
        <v>0.003506841290186575</v>
      </c>
      <c r="AF244" s="28" t="n">
        <v>0.007002947219819292</v>
      </c>
      <c r="AG244" s="30" t="n">
        <v>0</v>
      </c>
      <c r="AH244" s="30" t="n">
        <v>1.649105312647228e-05</v>
      </c>
      <c r="AI244" s="30" t="n">
        <v>0.0002805230458570776</v>
      </c>
      <c r="AJ244" s="30" t="n">
        <v>0.0003750735787279196</v>
      </c>
      <c r="AK244" s="30" t="n">
        <v>0.000188903497137402</v>
      </c>
      <c r="AL244" s="30" t="n">
        <v>0.0120713640920822</v>
      </c>
      <c r="AM244" s="30" t="n">
        <v>0.01293235526693107</v>
      </c>
      <c r="AN244" s="32" t="n">
        <v>0</v>
      </c>
      <c r="AO244" s="32" t="n">
        <v>1.179775095002105e-05</v>
      </c>
      <c r="AP244" s="32" t="n">
        <v>6.627528372665328e-07</v>
      </c>
      <c r="AQ244" s="32" t="n">
        <v>7.464152422116936e-07</v>
      </c>
      <c r="AR244" s="32" t="n">
        <v>7.675598014694241e-07</v>
      </c>
      <c r="AS244" s="32" t="n">
        <v>8.420088519170645e-06</v>
      </c>
      <c r="AT244" s="32" t="n">
        <v>2.239456735013934e-05</v>
      </c>
      <c r="AU244" s="34" t="n">
        <v>0</v>
      </c>
      <c r="AV244" s="34" t="n">
        <v>0</v>
      </c>
      <c r="AW244" s="34" t="n">
        <v>0.00741460773413346</v>
      </c>
      <c r="AX244" s="34" t="n">
        <v>0.1764744841436473</v>
      </c>
      <c r="AY244" s="34" t="n">
        <v>0.1588737458676765</v>
      </c>
      <c r="AZ244" s="34" t="n">
        <v>0.6402612608871259</v>
      </c>
      <c r="BA244" s="34" t="n">
        <v>0.9830240986325831</v>
      </c>
      <c r="BB244" s="6" t="n"/>
      <c r="BC244" s="6" t="n"/>
      <c r="BD244" t="inlineStr">
        <is>
          <t>transport, Motorbike, battery electric, &lt;4kW, LFP battery, 2030, label-certified electricity/CH U</t>
        </is>
      </c>
      <c r="BF244" s="5" t="n">
        <v>0.061897354</v>
      </c>
      <c r="BG244" s="5">
        <f>BF244-R244</f>
        <v>-3.1915344449569144E-3</v>
      </c>
      <c r="BH244" s="2" t="n">
        <v>145.64561</v>
      </c>
    </row>
    <row r="245">
      <c r="A245" t="str">
        <f>B245&amp;" - "&amp;D245&amp;" - "&amp;IF(I245&lt;&gt;"",I245&amp;" - "&amp;E245,E245)</f>
        <v>Motorbike, battery electric, &lt;4kW - 2040 - LFP - CH</v>
      </c>
      <c r="B245" t="inlineStr">
        <is>
          <t>Motorbike, battery electric, &lt;4kW</t>
        </is>
      </c>
      <c r="D245" s="18" t="n">
        <v>2040</v>
      </c>
      <c r="E245" t="inlineStr">
        <is>
          <t>CH</t>
        </is>
      </c>
      <c r="F245" t="inlineStr">
        <is>
          <t>None</t>
        </is>
      </c>
      <c r="G245" t="inlineStr">
        <is>
          <t>vkm</t>
        </is>
      </c>
      <c r="H245" t="inlineStr">
        <is>
          <t>BEV</t>
        </is>
      </c>
      <c r="I245" t="inlineStr">
        <is>
          <t>LFP</t>
        </is>
      </c>
      <c r="J245" t="inlineStr">
        <is>
          <t>label-certified electricity</t>
        </is>
      </c>
      <c r="L245" s="24" t="n">
        <v>0</v>
      </c>
      <c r="M245" s="24" t="n">
        <v>0</v>
      </c>
      <c r="N245" s="24" t="n">
        <v>0.0007442051711905084</v>
      </c>
      <c r="O245" s="24" t="n">
        <v>0.01230659169225786</v>
      </c>
      <c r="P245" s="24" t="n">
        <v>0.004545061814756872</v>
      </c>
      <c r="Q245" s="24" t="n">
        <v>0.0467968645475782</v>
      </c>
      <c r="R245" s="24" t="n">
        <v>0.06439272322578343</v>
      </c>
      <c r="S245" s="26" t="n">
        <v>0</v>
      </c>
      <c r="T245" s="26" t="n">
        <v>0</v>
      </c>
      <c r="U245" s="26" t="n">
        <v>0.0004242063424097505</v>
      </c>
      <c r="V245" s="26" t="n">
        <v>0.0004722191823356421</v>
      </c>
      <c r="W245" s="26" t="n">
        <v>0.0003141373871646032</v>
      </c>
      <c r="X245" s="26" t="n">
        <v>0.02860844579004407</v>
      </c>
      <c r="Y245" s="26" t="n">
        <v>0.02981900870195407</v>
      </c>
      <c r="Z245" s="28" t="n">
        <v>0</v>
      </c>
      <c r="AA245" s="28" t="n">
        <v>0.003127173544286591</v>
      </c>
      <c r="AB245" s="28" t="n">
        <v>7.485410330623648e-05</v>
      </c>
      <c r="AC245" s="28" t="n">
        <v>0.0001543898913344915</v>
      </c>
      <c r="AD245" s="28" t="n">
        <v>0.000140116380177625</v>
      </c>
      <c r="AE245" s="28" t="n">
        <v>0.003377910878294295</v>
      </c>
      <c r="AF245" s="28" t="n">
        <v>0.006874444797399239</v>
      </c>
      <c r="AG245" s="30" t="n">
        <v>0</v>
      </c>
      <c r="AH245" s="30" t="n">
        <v>1.649105312647228e-05</v>
      </c>
      <c r="AI245" s="30" t="n">
        <v>0.0002805230458570776</v>
      </c>
      <c r="AJ245" s="30" t="n">
        <v>0.0003750735787279196</v>
      </c>
      <c r="AK245" s="30" t="n">
        <v>0.0001893029287807135</v>
      </c>
      <c r="AL245" s="30" t="n">
        <v>0.01165886053324375</v>
      </c>
      <c r="AM245" s="30" t="n">
        <v>0.01252025113973593</v>
      </c>
      <c r="AN245" s="32" t="n">
        <v>0</v>
      </c>
      <c r="AO245" s="32" t="n">
        <v>1.179775095002105e-05</v>
      </c>
      <c r="AP245" s="32" t="n">
        <v>6.627528372665328e-07</v>
      </c>
      <c r="AQ245" s="32" t="n">
        <v>7.464152422116936e-07</v>
      </c>
      <c r="AR245" s="32" t="n">
        <v>7.691369627631715e-07</v>
      </c>
      <c r="AS245" s="32" t="n">
        <v>8.144337026673224e-06</v>
      </c>
      <c r="AT245" s="32" t="n">
        <v>2.212039301893567e-05</v>
      </c>
      <c r="AU245" s="34" t="n">
        <v>0</v>
      </c>
      <c r="AV245" s="34" t="n">
        <v>0</v>
      </c>
      <c r="AW245" s="34" t="n">
        <v>0.00741460773413346</v>
      </c>
      <c r="AX245" s="34" t="n">
        <v>0.1764744841436473</v>
      </c>
      <c r="AY245" s="34" t="n">
        <v>0.1593618802584211</v>
      </c>
      <c r="AZ245" s="34" t="n">
        <v>0.6266971047557952</v>
      </c>
      <c r="BA245" s="34" t="n">
        <v>0.969948076891997</v>
      </c>
      <c r="BB245" s="6" t="n"/>
      <c r="BC245" s="6" t="n"/>
      <c r="BD245" t="inlineStr">
        <is>
          <t>transport, Motorbike, battery electric, &lt;4kW, LFP battery, 2040, label-certified electricity/CH U</t>
        </is>
      </c>
      <c r="BF245" s="5" t="n">
        <v>0.060935331</v>
      </c>
      <c r="BG245" s="5">
        <f>BF245-R245</f>
        <v>-3.4573922257834372E-3</v>
      </c>
      <c r="BH245" s="2" t="n">
        <v>139.00088</v>
      </c>
    </row>
    <row r="246">
      <c r="A246" t="str">
        <f>B246&amp;" - "&amp;D246&amp;" - "&amp;IF(I246&lt;&gt;"",I246&amp;" - "&amp;E246,E246)</f>
        <v>Motorbike, battery electric, &lt;4kW - 2050 - LFP - CH</v>
      </c>
      <c r="B246" t="inlineStr">
        <is>
          <t>Motorbike, battery electric, &lt;4kW</t>
        </is>
      </c>
      <c r="D246" s="18" t="n">
        <v>2050</v>
      </c>
      <c r="E246" t="inlineStr">
        <is>
          <t>CH</t>
        </is>
      </c>
      <c r="F246" t="inlineStr">
        <is>
          <t>None</t>
        </is>
      </c>
      <c r="G246" t="inlineStr">
        <is>
          <t>vkm</t>
        </is>
      </c>
      <c r="H246" t="inlineStr">
        <is>
          <t>BEV</t>
        </is>
      </c>
      <c r="I246" t="inlineStr">
        <is>
          <t>LFP</t>
        </is>
      </c>
      <c r="J246" t="inlineStr">
        <is>
          <t>label-certified electricity</t>
        </is>
      </c>
      <c r="L246" s="24" t="n">
        <v>0</v>
      </c>
      <c r="M246" s="24" t="n">
        <v>0</v>
      </c>
      <c r="N246" s="24" t="n">
        <v>0.0007442051711905084</v>
      </c>
      <c r="O246" s="24" t="n">
        <v>0.01230659169225786</v>
      </c>
      <c r="P246" s="24" t="n">
        <v>0.004540236565139751</v>
      </c>
      <c r="Q246" s="24" t="n">
        <v>0.06900818026394887</v>
      </c>
      <c r="R246" s="24" t="n">
        <v>0.08659921369253698</v>
      </c>
      <c r="S246" s="26" t="n">
        <v>0</v>
      </c>
      <c r="T246" s="26" t="n">
        <v>0</v>
      </c>
      <c r="U246" s="26" t="n">
        <v>0.0004242063424097505</v>
      </c>
      <c r="V246" s="26" t="n">
        <v>0.0004722191823356421</v>
      </c>
      <c r="W246" s="26" t="n">
        <v>0.0003138324910262963</v>
      </c>
      <c r="X246" s="26" t="n">
        <v>0.04233618431894347</v>
      </c>
      <c r="Y246" s="26" t="n">
        <v>0.04354644233471516</v>
      </c>
      <c r="Z246" s="28" t="n">
        <v>0</v>
      </c>
      <c r="AA246" s="28" t="n">
        <v>0.003127173544286591</v>
      </c>
      <c r="AB246" s="28" t="n">
        <v>7.485410330623648e-05</v>
      </c>
      <c r="AC246" s="28" t="n">
        <v>0.0001543898913344915</v>
      </c>
      <c r="AD246" s="28" t="n">
        <v>0.0001399777848088184</v>
      </c>
      <c r="AE246" s="28" t="n">
        <v>0.005444708317217105</v>
      </c>
      <c r="AF246" s="28" t="n">
        <v>0.008941103640953242</v>
      </c>
      <c r="AG246" s="30" t="n">
        <v>0</v>
      </c>
      <c r="AH246" s="30" t="n">
        <v>1.649105312647228e-05</v>
      </c>
      <c r="AI246" s="30" t="n">
        <v>0.0002805230458570776</v>
      </c>
      <c r="AJ246" s="30" t="n">
        <v>0.0003750735787279196</v>
      </c>
      <c r="AK246" s="30" t="n">
        <v>0.0001891735812628183</v>
      </c>
      <c r="AL246" s="30" t="n">
        <v>0.01829979100072312</v>
      </c>
      <c r="AM246" s="30" t="n">
        <v>0.01916105225969741</v>
      </c>
      <c r="AN246" s="32" t="n">
        <v>0</v>
      </c>
      <c r="AO246" s="32" t="n">
        <v>1.179775095002105e-05</v>
      </c>
      <c r="AP246" s="32" t="n">
        <v>6.627528372665328e-07</v>
      </c>
      <c r="AQ246" s="32" t="n">
        <v>7.464152422116936e-07</v>
      </c>
      <c r="AR246" s="32" t="n">
        <v>7.68626232323852e-07</v>
      </c>
      <c r="AS246" s="32" t="n">
        <v>1.143083337548367e-05</v>
      </c>
      <c r="AT246" s="32" t="n">
        <v>2.54063786373068e-05</v>
      </c>
      <c r="AU246" s="34" t="n">
        <v>0</v>
      </c>
      <c r="AV246" s="34" t="n">
        <v>0</v>
      </c>
      <c r="AW246" s="34" t="n">
        <v>0.00741460773413346</v>
      </c>
      <c r="AX246" s="34" t="n">
        <v>0.1764744841436473</v>
      </c>
      <c r="AY246" s="34" t="n">
        <v>0.1592038082255731</v>
      </c>
      <c r="AZ246" s="34" t="n">
        <v>0.9191215504092944</v>
      </c>
      <c r="BA246" s="34" t="n">
        <v>1.262214450512648</v>
      </c>
      <c r="BB246" s="6" t="n"/>
      <c r="BC246" s="6" t="n"/>
      <c r="BD246" t="inlineStr">
        <is>
          <t>transport, Motorbike, battery electric, &lt;4kW, LFP battery, 2050, label-certified electricity/CH U</t>
        </is>
      </c>
      <c r="BF246" s="5" t="n">
        <v>0.076353316</v>
      </c>
      <c r="BG246" s="5">
        <f>BF246-R246</f>
        <v>-1.0245897692536976E-2</v>
      </c>
      <c r="BH246" s="2" t="n">
        <v>203.49734</v>
      </c>
    </row>
    <row r="247">
      <c r="A247" t="str">
        <f>B247&amp;" - "&amp;D247&amp;" - "&amp;IF(I247&lt;&gt;"",I247&amp;" - "&amp;E247,E247)</f>
        <v>Motorbike, battery electric, 4-11kW - 2020 - LFP - CH</v>
      </c>
      <c r="B247" t="inlineStr">
        <is>
          <t>Motorbike, battery electric, 4-11kW</t>
        </is>
      </c>
      <c r="D247" s="18" t="n">
        <v>2020</v>
      </c>
      <c r="E247" t="inlineStr">
        <is>
          <t>CH</t>
        </is>
      </c>
      <c r="F247" t="inlineStr">
        <is>
          <t>None</t>
        </is>
      </c>
      <c r="G247" t="inlineStr">
        <is>
          <t>vkm</t>
        </is>
      </c>
      <c r="H247" t="inlineStr">
        <is>
          <t>BEV</t>
        </is>
      </c>
      <c r="I247" t="inlineStr">
        <is>
          <t>LFP</t>
        </is>
      </c>
      <c r="J247" t="inlineStr">
        <is>
          <t>label-certified electricity</t>
        </is>
      </c>
      <c r="L247" s="24" t="n">
        <v>0</v>
      </c>
      <c r="M247" s="24" t="n">
        <v>0</v>
      </c>
      <c r="N247" s="24" t="n">
        <v>0.001119382984765889</v>
      </c>
      <c r="O247" s="24" t="n">
        <v>0.01230659169225786</v>
      </c>
      <c r="P247" s="24" t="n">
        <v>0.004647866156637494</v>
      </c>
      <c r="Q247" s="24" t="n">
        <v>0.06016691479221362</v>
      </c>
      <c r="R247" s="24" t="n">
        <v>0.07824075562587487</v>
      </c>
      <c r="S247" s="26" t="n">
        <v>0</v>
      </c>
      <c r="T247" s="26" t="n">
        <v>0</v>
      </c>
      <c r="U247" s="26" t="n">
        <v>0.0006380624323849139</v>
      </c>
      <c r="V247" s="26" t="n">
        <v>0.0004722191823356421</v>
      </c>
      <c r="W247" s="26" t="n">
        <v>0.0003206333509649768</v>
      </c>
      <c r="X247" s="26" t="n">
        <v>0.0394909572336636</v>
      </c>
      <c r="Y247" s="26" t="n">
        <v>0.04092187219934913</v>
      </c>
      <c r="Z247" s="28" t="n">
        <v>0</v>
      </c>
      <c r="AA247" s="28" t="n">
        <v>0.003127173544286591</v>
      </c>
      <c r="AB247" s="28" t="n">
        <v>0.0001125904694358268</v>
      </c>
      <c r="AC247" s="28" t="n">
        <v>0.0001543898913344915</v>
      </c>
      <c r="AD247" s="28" t="n">
        <v>0.0001430692234102964</v>
      </c>
      <c r="AE247" s="28" t="n">
        <v>0.004494848119034634</v>
      </c>
      <c r="AF247" s="28" t="n">
        <v>0.00803207124750184</v>
      </c>
      <c r="AG247" s="30" t="n">
        <v>0</v>
      </c>
      <c r="AH247" s="30" t="n">
        <v>1.649105312647228e-05</v>
      </c>
      <c r="AI247" s="30" t="n">
        <v>0.0004219437549255217</v>
      </c>
      <c r="AJ247" s="30" t="n">
        <v>0.0003750735787279196</v>
      </c>
      <c r="AK247" s="30" t="n">
        <v>0.0001920587419523099</v>
      </c>
      <c r="AL247" s="30" t="n">
        <v>0.0156680350787129</v>
      </c>
      <c r="AM247" s="30" t="n">
        <v>0.01667360220744513</v>
      </c>
      <c r="AN247" s="32" t="n">
        <v>0</v>
      </c>
      <c r="AO247" s="32" t="n">
        <v>1.179775095002105e-05</v>
      </c>
      <c r="AP247" s="32" t="n">
        <v>9.968679039876773e-07</v>
      </c>
      <c r="AQ247" s="32" t="n">
        <v>7.464152422116936e-07</v>
      </c>
      <c r="AR247" s="32" t="n">
        <v>7.800183286735134e-07</v>
      </c>
      <c r="AS247" s="32" t="n">
        <v>1.096479346151333e-05</v>
      </c>
      <c r="AT247" s="32" t="n">
        <v>2.528584588640726e-05</v>
      </c>
      <c r="AU247" s="34" t="n">
        <v>0</v>
      </c>
      <c r="AV247" s="34" t="n">
        <v>0</v>
      </c>
      <c r="AW247" s="34" t="n">
        <v>0.01115255047613462</v>
      </c>
      <c r="AX247" s="34" t="n">
        <v>0.1764744841436473</v>
      </c>
      <c r="AY247" s="34" t="n">
        <v>0.1627296835009756</v>
      </c>
      <c r="AZ247" s="34" t="n">
        <v>0.8180934247705551</v>
      </c>
      <c r="BA247" s="34" t="n">
        <v>1.168450142891313</v>
      </c>
      <c r="BB247" s="6" t="n"/>
      <c r="BC247" s="6" t="n"/>
      <c r="BD247" t="inlineStr">
        <is>
          <t>transport, Motorbike, battery electric, 4-11kW, LFP battery, label-certified electricity/CH U</t>
        </is>
      </c>
      <c r="BF247" s="5" t="n">
        <v>0.07382293500000001</v>
      </c>
      <c r="BG247" s="5">
        <f>BF247-R247</f>
        <v>-4.4178206258748687E-3</v>
      </c>
      <c r="BH247" s="2" t="n">
        <v>179.89906</v>
      </c>
    </row>
    <row r="248">
      <c r="A248" t="str">
        <f>B248&amp;" - "&amp;D248&amp;" - "&amp;IF(I248&lt;&gt;"",I248&amp;" - "&amp;E248,E248)</f>
        <v>Motorbike, battery electric, 4-11kW - 2030 - LFP - CH</v>
      </c>
      <c r="B248" t="inlineStr">
        <is>
          <t>Motorbike, battery electric, 4-11kW</t>
        </is>
      </c>
      <c r="D248" s="18" t="n">
        <v>2030</v>
      </c>
      <c r="E248" t="inlineStr">
        <is>
          <t>CH</t>
        </is>
      </c>
      <c r="F248" t="inlineStr">
        <is>
          <t>None</t>
        </is>
      </c>
      <c r="G248" t="inlineStr">
        <is>
          <t>vkm</t>
        </is>
      </c>
      <c r="H248" t="inlineStr">
        <is>
          <t>BEV</t>
        </is>
      </c>
      <c r="I248" t="inlineStr">
        <is>
          <t>LFP</t>
        </is>
      </c>
      <c r="J248" t="inlineStr">
        <is>
          <t>label-certified electricity</t>
        </is>
      </c>
      <c r="L248" s="24" t="n">
        <v>0</v>
      </c>
      <c r="M248" s="24" t="n">
        <v>0</v>
      </c>
      <c r="N248" s="24" t="n">
        <v>0.001119382984765889</v>
      </c>
      <c r="O248" s="24" t="n">
        <v>0.01230659169225786</v>
      </c>
      <c r="P248" s="24" t="n">
        <v>0.004713888553405404</v>
      </c>
      <c r="Q248" s="24" t="n">
        <v>0.06859295945713448</v>
      </c>
      <c r="R248" s="24" t="n">
        <v>0.08673282268756363</v>
      </c>
      <c r="S248" s="26" t="n">
        <v>0</v>
      </c>
      <c r="T248" s="26" t="n">
        <v>0</v>
      </c>
      <c r="U248" s="26" t="n">
        <v>0.0006380624323849139</v>
      </c>
      <c r="V248" s="26" t="n">
        <v>0.0004722191823356421</v>
      </c>
      <c r="W248" s="26" t="n">
        <v>0.0003248051504393245</v>
      </c>
      <c r="X248" s="26" t="n">
        <v>0.04376212307962078</v>
      </c>
      <c r="Y248" s="26" t="n">
        <v>0.04519720984478066</v>
      </c>
      <c r="Z248" s="28" t="n">
        <v>0</v>
      </c>
      <c r="AA248" s="28" t="n">
        <v>0.003127173544286591</v>
      </c>
      <c r="AB248" s="28" t="n">
        <v>0.0001125904694358268</v>
      </c>
      <c r="AC248" s="28" t="n">
        <v>0.0001543898913344915</v>
      </c>
      <c r="AD248" s="28" t="n">
        <v>0.000144965580936978</v>
      </c>
      <c r="AE248" s="28" t="n">
        <v>0.005206504781361798</v>
      </c>
      <c r="AF248" s="28" t="n">
        <v>0.008745624267355685</v>
      </c>
      <c r="AG248" s="30" t="n">
        <v>0</v>
      </c>
      <c r="AH248" s="30" t="n">
        <v>1.649105312647228e-05</v>
      </c>
      <c r="AI248" s="30" t="n">
        <v>0.0004219437549255217</v>
      </c>
      <c r="AJ248" s="30" t="n">
        <v>0.0003750735787279196</v>
      </c>
      <c r="AK248" s="30" t="n">
        <v>0.0001938285639978091</v>
      </c>
      <c r="AL248" s="30" t="n">
        <v>0.01792903422555724</v>
      </c>
      <c r="AM248" s="30" t="n">
        <v>0.01893637117633496</v>
      </c>
      <c r="AN248" s="32" t="n">
        <v>0</v>
      </c>
      <c r="AO248" s="32" t="n">
        <v>1.179775095002105e-05</v>
      </c>
      <c r="AP248" s="32" t="n">
        <v>9.968679039876773e-07</v>
      </c>
      <c r="AQ248" s="32" t="n">
        <v>7.464152422116936e-07</v>
      </c>
      <c r="AR248" s="32" t="n">
        <v>7.870064951688901e-07</v>
      </c>
      <c r="AS248" s="32" t="n">
        <v>1.203681131145154e-05</v>
      </c>
      <c r="AT248" s="32" t="n">
        <v>2.636485190284085e-05</v>
      </c>
      <c r="AU248" s="34" t="n">
        <v>0</v>
      </c>
      <c r="AV248" s="34" t="n">
        <v>0</v>
      </c>
      <c r="AW248" s="34" t="n">
        <v>0.01115255047613462</v>
      </c>
      <c r="AX248" s="34" t="n">
        <v>0.1764744841436473</v>
      </c>
      <c r="AY248" s="34" t="n">
        <v>0.164892534192383</v>
      </c>
      <c r="AZ248" s="34" t="n">
        <v>0.9245949185632911</v>
      </c>
      <c r="BA248" s="34" t="n">
        <v>1.277114487375456</v>
      </c>
      <c r="BB248" s="6" t="n"/>
      <c r="BC248" s="6" t="n"/>
      <c r="BD248" t="inlineStr">
        <is>
          <t>transport, Motorbike, battery electric, 4-11kW, LFP battery, 2030, label-certified electricity/CH U</t>
        </is>
      </c>
      <c r="BF248" s="5" t="n">
        <v>0.07930008500000001</v>
      </c>
      <c r="BG248" s="5">
        <f>BF248-R248</f>
        <v>-7.4327376875636259E-3</v>
      </c>
      <c r="BH248" s="2" t="n">
        <v>199.39031</v>
      </c>
    </row>
    <row r="249">
      <c r="A249" t="str">
        <f>B249&amp;" - "&amp;D249&amp;" - "&amp;IF(I249&lt;&gt;"",I249&amp;" - "&amp;E249,E249)</f>
        <v>Motorbike, battery electric, 4-11kW - 2040 - LFP - CH</v>
      </c>
      <c r="B249" t="inlineStr">
        <is>
          <t>Motorbike, battery electric, 4-11kW</t>
        </is>
      </c>
      <c r="D249" s="18" t="n">
        <v>2040</v>
      </c>
      <c r="E249" t="inlineStr">
        <is>
          <t>CH</t>
        </is>
      </c>
      <c r="F249" t="inlineStr">
        <is>
          <t>None</t>
        </is>
      </c>
      <c r="G249" t="inlineStr">
        <is>
          <t>vkm</t>
        </is>
      </c>
      <c r="H249" t="inlineStr">
        <is>
          <t>BEV</t>
        </is>
      </c>
      <c r="I249" t="inlineStr">
        <is>
          <t>LFP</t>
        </is>
      </c>
      <c r="J249" t="inlineStr">
        <is>
          <t>label-certified electricity</t>
        </is>
      </c>
      <c r="L249" s="24" t="n">
        <v>0</v>
      </c>
      <c r="M249" s="24" t="n">
        <v>0</v>
      </c>
      <c r="N249" s="24" t="n">
        <v>0.001119382984765889</v>
      </c>
      <c r="O249" s="24" t="n">
        <v>0.01230659169225786</v>
      </c>
      <c r="P249" s="24" t="n">
        <v>0.004737520092595543</v>
      </c>
      <c r="Q249" s="24" t="n">
        <v>0.06687707536082832</v>
      </c>
      <c r="R249" s="24" t="n">
        <v>0.08504057013044761</v>
      </c>
      <c r="S249" s="26" t="n">
        <v>0</v>
      </c>
      <c r="T249" s="26" t="n">
        <v>0</v>
      </c>
      <c r="U249" s="26" t="n">
        <v>0.0006380624323849139</v>
      </c>
      <c r="V249" s="26" t="n">
        <v>0.0004722191823356421</v>
      </c>
      <c r="W249" s="26" t="n">
        <v>0.0003262983716430019</v>
      </c>
      <c r="X249" s="26" t="n">
        <v>0.04168423620918951</v>
      </c>
      <c r="Y249" s="26" t="n">
        <v>0.04312081619555307</v>
      </c>
      <c r="Z249" s="28" t="n">
        <v>0</v>
      </c>
      <c r="AA249" s="28" t="n">
        <v>0.003127173544286591</v>
      </c>
      <c r="AB249" s="28" t="n">
        <v>0.0001125904694358268</v>
      </c>
      <c r="AC249" s="28" t="n">
        <v>0.0001543898913344915</v>
      </c>
      <c r="AD249" s="28" t="n">
        <v>0.000145644348285698</v>
      </c>
      <c r="AE249" s="28" t="n">
        <v>0.004964993129898738</v>
      </c>
      <c r="AF249" s="28" t="n">
        <v>0.008504791383241344</v>
      </c>
      <c r="AG249" s="30" t="n">
        <v>0</v>
      </c>
      <c r="AH249" s="30" t="n">
        <v>1.649105312647228e-05</v>
      </c>
      <c r="AI249" s="30" t="n">
        <v>0.0004219437549255217</v>
      </c>
      <c r="AJ249" s="30" t="n">
        <v>0.0003750735787279196</v>
      </c>
      <c r="AK249" s="30" t="n">
        <v>0.0001944620402282285</v>
      </c>
      <c r="AL249" s="30" t="n">
        <v>0.01715313035658461</v>
      </c>
      <c r="AM249" s="30" t="n">
        <v>0.01816110078359275</v>
      </c>
      <c r="AN249" s="32" t="n">
        <v>0</v>
      </c>
      <c r="AO249" s="32" t="n">
        <v>1.179775095002105e-05</v>
      </c>
      <c r="AP249" s="32" t="n">
        <v>9.968679039876773e-07</v>
      </c>
      <c r="AQ249" s="32" t="n">
        <v>7.464152422116936e-07</v>
      </c>
      <c r="AR249" s="32" t="n">
        <v>7.895077847083055e-07</v>
      </c>
      <c r="AS249" s="32" t="n">
        <v>1.156228107659039e-05</v>
      </c>
      <c r="AT249" s="32" t="n">
        <v>2.589282295751912e-05</v>
      </c>
      <c r="AU249" s="34" t="n">
        <v>0</v>
      </c>
      <c r="AV249" s="34" t="n">
        <v>0</v>
      </c>
      <c r="AW249" s="34" t="n">
        <v>0.01115255047613462</v>
      </c>
      <c r="AX249" s="34" t="n">
        <v>0.1764744841436473</v>
      </c>
      <c r="AY249" s="34" t="n">
        <v>0.1656666880156088</v>
      </c>
      <c r="AZ249" s="34" t="n">
        <v>0.8965570937197715</v>
      </c>
      <c r="BA249" s="34" t="n">
        <v>1.249850816355162</v>
      </c>
      <c r="BB249" s="6" t="n"/>
      <c r="BC249" s="6" t="n"/>
      <c r="BD249" t="inlineStr">
        <is>
          <t>transport, Motorbike, battery electric, 4-11kW, LFP battery, 2040, label-certified electricity/CH U</t>
        </is>
      </c>
      <c r="BF249" s="5" t="n">
        <v>0.07751611799999999</v>
      </c>
      <c r="BG249" s="5">
        <f>BF249-R249</f>
        <v>-7.524452130447612E-3</v>
      </c>
      <c r="BH249" s="2" t="n">
        <v>188.46744</v>
      </c>
    </row>
    <row r="250">
      <c r="A250" t="str">
        <f>B250&amp;" - "&amp;D250&amp;" - "&amp;IF(I250&lt;&gt;"",I250&amp;" - "&amp;E250,E250)</f>
        <v>Motorbike, battery electric, 4-11kW - 2050 - LFP - CH</v>
      </c>
      <c r="B250" t="inlineStr">
        <is>
          <t>Motorbike, battery electric, 4-11kW</t>
        </is>
      </c>
      <c r="D250" s="18" t="n">
        <v>2050</v>
      </c>
      <c r="E250" t="inlineStr">
        <is>
          <t>CH</t>
        </is>
      </c>
      <c r="F250" t="inlineStr">
        <is>
          <t>None</t>
        </is>
      </c>
      <c r="G250" t="inlineStr">
        <is>
          <t>vkm</t>
        </is>
      </c>
      <c r="H250" t="inlineStr">
        <is>
          <t>BEV</t>
        </is>
      </c>
      <c r="I250" t="inlineStr">
        <is>
          <t>LFP</t>
        </is>
      </c>
      <c r="J250" t="inlineStr">
        <is>
          <t>label-certified electricity</t>
        </is>
      </c>
      <c r="L250" s="24" t="n">
        <v>0</v>
      </c>
      <c r="M250" s="24" t="n">
        <v>0</v>
      </c>
      <c r="N250" s="24" t="n">
        <v>0.001119382984765889</v>
      </c>
      <c r="O250" s="24" t="n">
        <v>0.00799129330666095</v>
      </c>
      <c r="P250" s="24" t="n">
        <v>0.004736494302767373</v>
      </c>
      <c r="Q250" s="24" t="n">
        <v>0.1017170859595791</v>
      </c>
      <c r="R250" s="24" t="n">
        <v>0.1155642565537733</v>
      </c>
      <c r="S250" s="26" t="n">
        <v>0</v>
      </c>
      <c r="T250" s="26" t="n">
        <v>0</v>
      </c>
      <c r="U250" s="26" t="n">
        <v>0.0006380624323849139</v>
      </c>
      <c r="V250" s="26" t="n">
        <v>0.0003066358326854819</v>
      </c>
      <c r="W250" s="26" t="n">
        <v>0.0003262335544040732</v>
      </c>
      <c r="X250" s="26" t="n">
        <v>0.06362985957901225</v>
      </c>
      <c r="Y250" s="26" t="n">
        <v>0.06490079139848672</v>
      </c>
      <c r="Z250" s="28" t="n">
        <v>0</v>
      </c>
      <c r="AA250" s="28" t="n">
        <v>0.003127173544286591</v>
      </c>
      <c r="AB250" s="28" t="n">
        <v>0.0001125904694358268</v>
      </c>
      <c r="AC250" s="28" t="n">
        <v>0.0001002531761912283</v>
      </c>
      <c r="AD250" s="28" t="n">
        <v>0.0001456148845831262</v>
      </c>
      <c r="AE250" s="28" t="n">
        <v>0.008241124460098963</v>
      </c>
      <c r="AF250" s="28" t="n">
        <v>0.01172675653459574</v>
      </c>
      <c r="AG250" s="30" t="n">
        <v>0</v>
      </c>
      <c r="AH250" s="30" t="n">
        <v>1.649105312647228e-05</v>
      </c>
      <c r="AI250" s="30" t="n">
        <v>0.0004219437549255217</v>
      </c>
      <c r="AJ250" s="30" t="n">
        <v>0.0002435542719012465</v>
      </c>
      <c r="AK250" s="30" t="n">
        <v>0.0001944345425071396</v>
      </c>
      <c r="AL250" s="30" t="n">
        <v>0.02767092933666445</v>
      </c>
      <c r="AM250" s="30" t="n">
        <v>0.02854735295912483</v>
      </c>
      <c r="AN250" s="32" t="n">
        <v>0</v>
      </c>
      <c r="AO250" s="32" t="n">
        <v>1.179775095002105e-05</v>
      </c>
      <c r="AP250" s="32" t="n">
        <v>9.968679039876773e-07</v>
      </c>
      <c r="AQ250" s="32" t="n">
        <v>4.846852222153855e-07</v>
      </c>
      <c r="AR250" s="32" t="n">
        <v>7.893992095813872e-07</v>
      </c>
      <c r="AS250" s="32" t="n">
        <v>1.681663914539291e-05</v>
      </c>
      <c r="AT250" s="32" t="n">
        <v>3.088534243119841e-05</v>
      </c>
      <c r="AU250" s="34" t="n">
        <v>0</v>
      </c>
      <c r="AV250" s="34" t="n">
        <v>0</v>
      </c>
      <c r="AW250" s="34" t="n">
        <v>0.01115255047613462</v>
      </c>
      <c r="AX250" s="34" t="n">
        <v>0.1145938208724982</v>
      </c>
      <c r="AY250" s="34" t="n">
        <v>0.1656330838093438</v>
      </c>
      <c r="AZ250" s="34" t="n">
        <v>1.357655416471629</v>
      </c>
      <c r="BA250" s="34" t="n">
        <v>1.649034871629606</v>
      </c>
      <c r="BB250" s="6" t="n"/>
      <c r="BC250" s="6" t="n"/>
      <c r="BD250" t="inlineStr">
        <is>
          <t>transport, Motorbike, battery electric, 4-11kW, LFP battery, 2050, label-certified electricity/CH U</t>
        </is>
      </c>
      <c r="BF250" s="5" t="n">
        <v>0.098601325</v>
      </c>
      <c r="BG250" s="5">
        <f>BF250-R250</f>
        <v>-1.6962931553773306E-2</v>
      </c>
      <c r="BH250" s="2" t="n">
        <v>288.72703</v>
      </c>
    </row>
    <row r="251">
      <c r="A251" t="str">
        <f>B251&amp;" - "&amp;D251&amp;" - "&amp;IF(I251&lt;&gt;"",I251&amp;" - "&amp;E251,E251)</f>
        <v>Motorbike, battery electric, 11-35kW - 2020 - LFP - CH</v>
      </c>
      <c r="B251" t="inlineStr">
        <is>
          <t>Motorbike, battery electric, 11-35kW</t>
        </is>
      </c>
      <c r="D251" s="18" t="n">
        <v>2020</v>
      </c>
      <c r="E251" t="inlineStr">
        <is>
          <t>CH</t>
        </is>
      </c>
      <c r="F251" t="inlineStr">
        <is>
          <t>None</t>
        </is>
      </c>
      <c r="G251" t="inlineStr">
        <is>
          <t>vkm</t>
        </is>
      </c>
      <c r="H251" t="inlineStr">
        <is>
          <t>BEV</t>
        </is>
      </c>
      <c r="I251" t="inlineStr">
        <is>
          <t>LFP</t>
        </is>
      </c>
      <c r="J251" t="inlineStr">
        <is>
          <t>label-certified electricity</t>
        </is>
      </c>
      <c r="L251" s="24" t="n">
        <v>0</v>
      </c>
      <c r="M251" s="24" t="n">
        <v>0</v>
      </c>
      <c r="N251" s="24" t="n">
        <v>0.001515200493146706</v>
      </c>
      <c r="O251" s="24" t="n">
        <v>0.01230659169225786</v>
      </c>
      <c r="P251" s="24" t="n">
        <v>0.005077432515438325</v>
      </c>
      <c r="Q251" s="24" t="n">
        <v>0.07896714648697269</v>
      </c>
      <c r="R251" s="24" t="n">
        <v>0.09786637118781558</v>
      </c>
      <c r="S251" s="26" t="n">
        <v>0</v>
      </c>
      <c r="T251" s="26" t="n">
        <v>0</v>
      </c>
      <c r="U251" s="26" t="n">
        <v>0.00086368340895427</v>
      </c>
      <c r="V251" s="26" t="n">
        <v>0.0004722191823356421</v>
      </c>
      <c r="W251" s="26" t="n">
        <v>0.0003477766356315794</v>
      </c>
      <c r="X251" s="26" t="n">
        <v>0.05208495648286749</v>
      </c>
      <c r="Y251" s="26" t="n">
        <v>0.05376863570978898</v>
      </c>
      <c r="Z251" s="28" t="n">
        <v>0</v>
      </c>
      <c r="AA251" s="28" t="n">
        <v>0.003127173544286591</v>
      </c>
      <c r="AB251" s="28" t="n">
        <v>0.0001524028300720178</v>
      </c>
      <c r="AC251" s="28" t="n">
        <v>0.0001543898913344915</v>
      </c>
      <c r="AD251" s="28" t="n">
        <v>0.0001554076333681293</v>
      </c>
      <c r="AE251" s="28" t="n">
        <v>0.006542119057818362</v>
      </c>
      <c r="AF251" s="28" t="n">
        <v>0.01013149295687959</v>
      </c>
      <c r="AG251" s="30" t="n">
        <v>0</v>
      </c>
      <c r="AH251" s="30" t="n">
        <v>1.649105312647228e-05</v>
      </c>
      <c r="AI251" s="30" t="n">
        <v>0.0005711444556905024</v>
      </c>
      <c r="AJ251" s="30" t="n">
        <v>0.0003750735787279196</v>
      </c>
      <c r="AK251" s="30" t="n">
        <v>0.0002035738648352779</v>
      </c>
      <c r="AL251" s="30" t="n">
        <v>0.02201017264853068</v>
      </c>
      <c r="AM251" s="30" t="n">
        <v>0.02317645560091085</v>
      </c>
      <c r="AN251" s="32" t="n">
        <v>0</v>
      </c>
      <c r="AO251" s="32" t="n">
        <v>1.179775095002105e-05</v>
      </c>
      <c r="AP251" s="32" t="n">
        <v>1.349363676490181e-06</v>
      </c>
      <c r="AQ251" s="32" t="n">
        <v>7.464152422116936e-07</v>
      </c>
      <c r="AR251" s="32" t="n">
        <v>8.254859484975175e-07</v>
      </c>
      <c r="AS251" s="32" t="n">
        <v>1.384164295195637e-05</v>
      </c>
      <c r="AT251" s="32" t="n">
        <v>2.856065876917681e-05</v>
      </c>
      <c r="AU251" s="34" t="n">
        <v>0</v>
      </c>
      <c r="AV251" s="34" t="n">
        <v>0</v>
      </c>
      <c r="AW251" s="34" t="n">
        <v>0.01509612903828165</v>
      </c>
      <c r="AX251" s="34" t="n">
        <v>0.1764744841436473</v>
      </c>
      <c r="AY251" s="34" t="n">
        <v>0.1768019974674583</v>
      </c>
      <c r="AZ251" s="34" t="n">
        <v>1.071094956318437</v>
      </c>
      <c r="BA251" s="34" t="n">
        <v>1.439467566967824</v>
      </c>
      <c r="BB251" s="6" t="n"/>
      <c r="BC251" s="6" t="n"/>
      <c r="BD251" t="inlineStr">
        <is>
          <t>transport, Motorbike, battery electric, 11-35kW, LFP battery, label-certified electricity/CH U</t>
        </is>
      </c>
      <c r="BF251" s="5" t="n">
        <v>0.08755238300000001</v>
      </c>
      <c r="BG251" s="5">
        <f>BF251-R251</f>
        <v>-1.0313988187815565E-2</v>
      </c>
      <c r="BH251" s="2" t="n">
        <v>250.82321</v>
      </c>
    </row>
    <row r="252">
      <c r="A252" t="str">
        <f>B252&amp;" - "&amp;D252&amp;" - "&amp;IF(I252&lt;&gt;"",I252&amp;" - "&amp;E252,E252)</f>
        <v>Motorbike, battery electric, 11-35kW - 2030 - LFP - CH</v>
      </c>
      <c r="B252" t="inlineStr">
        <is>
          <t>Motorbike, battery electric, 11-35kW</t>
        </is>
      </c>
      <c r="D252" s="18" t="n">
        <v>2030</v>
      </c>
      <c r="E252" t="inlineStr">
        <is>
          <t>CH</t>
        </is>
      </c>
      <c r="F252" t="inlineStr">
        <is>
          <t>None</t>
        </is>
      </c>
      <c r="G252" t="inlineStr">
        <is>
          <t>vkm</t>
        </is>
      </c>
      <c r="H252" t="inlineStr">
        <is>
          <t>BEV</t>
        </is>
      </c>
      <c r="I252" t="inlineStr">
        <is>
          <t>LFP</t>
        </is>
      </c>
      <c r="J252" t="inlineStr">
        <is>
          <t>label-certified electricity</t>
        </is>
      </c>
      <c r="L252" s="24" t="n">
        <v>0</v>
      </c>
      <c r="M252" s="24" t="n">
        <v>0</v>
      </c>
      <c r="N252" s="24" t="n">
        <v>0.001515200493146706</v>
      </c>
      <c r="O252" s="24" t="n">
        <v>0.01230659169225786</v>
      </c>
      <c r="P252" s="24" t="n">
        <v>0.005218260005049971</v>
      </c>
      <c r="Q252" s="24" t="n">
        <v>0.08634749278202478</v>
      </c>
      <c r="R252" s="24" t="n">
        <v>0.1053875449724793</v>
      </c>
      <c r="S252" s="26" t="n">
        <v>0</v>
      </c>
      <c r="T252" s="26" t="n">
        <v>0</v>
      </c>
      <c r="U252" s="26" t="n">
        <v>0.00086368340895427</v>
      </c>
      <c r="V252" s="26" t="n">
        <v>0.0004722191823356421</v>
      </c>
      <c r="W252" s="26" t="n">
        <v>0.000356675192422858</v>
      </c>
      <c r="X252" s="26" t="n">
        <v>0.05586694926557905</v>
      </c>
      <c r="Y252" s="26" t="n">
        <v>0.05755952704929182</v>
      </c>
      <c r="Z252" s="28" t="n">
        <v>0</v>
      </c>
      <c r="AA252" s="28" t="n">
        <v>0.003127173544286591</v>
      </c>
      <c r="AB252" s="28" t="n">
        <v>0.0001524028300720178</v>
      </c>
      <c r="AC252" s="28" t="n">
        <v>0.0001543898913344915</v>
      </c>
      <c r="AD252" s="28" t="n">
        <v>0.0001594526132986145</v>
      </c>
      <c r="AE252" s="28" t="n">
        <v>0.007170936107083328</v>
      </c>
      <c r="AF252" s="28" t="n">
        <v>0.01076435498607504</v>
      </c>
      <c r="AG252" s="30" t="n">
        <v>0</v>
      </c>
      <c r="AH252" s="30" t="n">
        <v>1.649105312647228e-05</v>
      </c>
      <c r="AI252" s="30" t="n">
        <v>0.0005711444556905024</v>
      </c>
      <c r="AJ252" s="30" t="n">
        <v>0.0003750735787279196</v>
      </c>
      <c r="AK252" s="30" t="n">
        <v>0.0002073489412930921</v>
      </c>
      <c r="AL252" s="30" t="n">
        <v>0.02398899846098413</v>
      </c>
      <c r="AM252" s="30" t="n">
        <v>0.02515905648982212</v>
      </c>
      <c r="AN252" s="32" t="n">
        <v>0</v>
      </c>
      <c r="AO252" s="32" t="n">
        <v>1.179775095002105e-05</v>
      </c>
      <c r="AP252" s="32" t="n">
        <v>1.349363676490181e-06</v>
      </c>
      <c r="AQ252" s="32" t="n">
        <v>7.464152422116936e-07</v>
      </c>
      <c r="AR252" s="32" t="n">
        <v>8.40391889401051e-07</v>
      </c>
      <c r="AS252" s="32" t="n">
        <v>1.481061050017246e-05</v>
      </c>
      <c r="AT252" s="32" t="n">
        <v>2.954453225829643e-05</v>
      </c>
      <c r="AU252" s="34" t="n">
        <v>0</v>
      </c>
      <c r="AV252" s="34" t="n">
        <v>0</v>
      </c>
      <c r="AW252" s="34" t="n">
        <v>0.01509612903828165</v>
      </c>
      <c r="AX252" s="34" t="n">
        <v>0.1764744841436473</v>
      </c>
      <c r="AY252" s="34" t="n">
        <v>0.1814154142500456</v>
      </c>
      <c r="AZ252" s="34" t="n">
        <v>1.165031617381573</v>
      </c>
      <c r="BA252" s="34" t="n">
        <v>1.538017644813547</v>
      </c>
      <c r="BB252" s="6" t="n"/>
      <c r="BC252" s="6" t="n"/>
      <c r="BD252" t="inlineStr">
        <is>
          <t>transport, Motorbike, battery electric, 11-35kW, LFP battery, 2030, label-certified electricity/CH U</t>
        </is>
      </c>
      <c r="BF252" s="5" t="n">
        <v>0.09257222699999999</v>
      </c>
      <c r="BG252" s="5">
        <f>BF252-R252</f>
        <v>-1.2815317972479326E-2</v>
      </c>
      <c r="BH252" s="2" t="n">
        <v>268.59799</v>
      </c>
    </row>
    <row r="253">
      <c r="A253" t="str">
        <f>B253&amp;" - "&amp;D253&amp;" - "&amp;IF(I253&lt;&gt;"",I253&amp;" - "&amp;E253,E253)</f>
        <v>Motorbike, battery electric, 11-35kW - 2040 - LFP - CH</v>
      </c>
      <c r="B253" t="inlineStr">
        <is>
          <t>Motorbike, battery electric, 11-35kW</t>
        </is>
      </c>
      <c r="D253" s="18" t="n">
        <v>2040</v>
      </c>
      <c r="E253" t="inlineStr">
        <is>
          <t>CH</t>
        </is>
      </c>
      <c r="F253" t="inlineStr">
        <is>
          <t>None</t>
        </is>
      </c>
      <c r="G253" t="inlineStr">
        <is>
          <t>vkm</t>
        </is>
      </c>
      <c r="H253" t="inlineStr">
        <is>
          <t>BEV</t>
        </is>
      </c>
      <c r="I253" t="inlineStr">
        <is>
          <t>LFP</t>
        </is>
      </c>
      <c r="J253" t="inlineStr">
        <is>
          <t>label-certified electricity</t>
        </is>
      </c>
      <c r="L253" s="24" t="n">
        <v>0</v>
      </c>
      <c r="M253" s="24" t="n">
        <v>0</v>
      </c>
      <c r="N253" s="24" t="n">
        <v>0.001515200493146706</v>
      </c>
      <c r="O253" s="24" t="n">
        <v>0.01230659169225786</v>
      </c>
      <c r="P253" s="24" t="n">
        <v>0.005281898674528609</v>
      </c>
      <c r="Q253" s="24" t="n">
        <v>0.08164288310706302</v>
      </c>
      <c r="R253" s="24" t="n">
        <v>0.1007465739669962</v>
      </c>
      <c r="S253" s="26" t="n">
        <v>0</v>
      </c>
      <c r="T253" s="26" t="n">
        <v>0</v>
      </c>
      <c r="U253" s="26" t="n">
        <v>0.00086368340895427</v>
      </c>
      <c r="V253" s="26" t="n">
        <v>0.0004722191823356421</v>
      </c>
      <c r="W253" s="26" t="n">
        <v>0.0003606963697941134</v>
      </c>
      <c r="X253" s="26" t="n">
        <v>0.05191234421070373</v>
      </c>
      <c r="Y253" s="26" t="n">
        <v>0.05360894317178776</v>
      </c>
      <c r="Z253" s="28" t="n">
        <v>0</v>
      </c>
      <c r="AA253" s="28" t="n">
        <v>0.003127173544286591</v>
      </c>
      <c r="AB253" s="28" t="n">
        <v>0.0001524028300720178</v>
      </c>
      <c r="AC253" s="28" t="n">
        <v>0.0001543898913344915</v>
      </c>
      <c r="AD253" s="28" t="n">
        <v>0.0001612805031626867</v>
      </c>
      <c r="AE253" s="28" t="n">
        <v>0.006649979937262329</v>
      </c>
      <c r="AF253" s="28" t="n">
        <v>0.01024522670611812</v>
      </c>
      <c r="AG253" s="30" t="n">
        <v>0</v>
      </c>
      <c r="AH253" s="30" t="n">
        <v>1.649105312647228e-05</v>
      </c>
      <c r="AI253" s="30" t="n">
        <v>0.0005711444556905024</v>
      </c>
      <c r="AJ253" s="30" t="n">
        <v>0.0003750735787279196</v>
      </c>
      <c r="AK253" s="30" t="n">
        <v>0.0002090548642177848</v>
      </c>
      <c r="AL253" s="30" t="n">
        <v>0.02230611161835405</v>
      </c>
      <c r="AM253" s="30" t="n">
        <v>0.02347787557011673</v>
      </c>
      <c r="AN253" s="32" t="n">
        <v>0</v>
      </c>
      <c r="AO253" s="32" t="n">
        <v>1.179775095002105e-05</v>
      </c>
      <c r="AP253" s="32" t="n">
        <v>1.349363676490181e-06</v>
      </c>
      <c r="AQ253" s="32" t="n">
        <v>7.464152422116936e-07</v>
      </c>
      <c r="AR253" s="32" t="n">
        <v>8.471277493460373e-07</v>
      </c>
      <c r="AS253" s="32" t="n">
        <v>1.38974605894596e-05</v>
      </c>
      <c r="AT253" s="32" t="n">
        <v>2.863811820752856e-05</v>
      </c>
      <c r="AU253" s="34" t="n">
        <v>0</v>
      </c>
      <c r="AV253" s="34" t="n">
        <v>0</v>
      </c>
      <c r="AW253" s="34" t="n">
        <v>0.01509612903828165</v>
      </c>
      <c r="AX253" s="34" t="n">
        <v>0.1764744841436473</v>
      </c>
      <c r="AY253" s="34" t="n">
        <v>0.1835001755889284</v>
      </c>
      <c r="AZ253" s="34" t="n">
        <v>1.097692756959076</v>
      </c>
      <c r="BA253" s="34" t="n">
        <v>1.472763545729934</v>
      </c>
      <c r="BB253" s="6" t="n"/>
      <c r="BC253" s="6" t="n"/>
      <c r="BD253" t="inlineStr">
        <is>
          <t>transport, Motorbike, battery electric, 11-35kW, LFP battery, 2040, label-certified electricity/CH U</t>
        </is>
      </c>
      <c r="BF253" s="5" t="n">
        <v>0.088814015</v>
      </c>
      <c r="BG253" s="5">
        <f>BF253-R253</f>
        <v>-1.1932558966996201E-2</v>
      </c>
      <c r="BH253" s="2" t="n">
        <v>249.14009</v>
      </c>
    </row>
    <row r="254">
      <c r="A254" t="str">
        <f>B254&amp;" - "&amp;D254&amp;" - "&amp;IF(I254&lt;&gt;"",I254&amp;" - "&amp;E254,E254)</f>
        <v>Motorbike, battery electric, 11-35kW - 2050 - LFP - CH</v>
      </c>
      <c r="B254" t="inlineStr">
        <is>
          <t>Motorbike, battery electric, 11-35kW</t>
        </is>
      </c>
      <c r="D254" s="18" t="n">
        <v>2050</v>
      </c>
      <c r="E254" t="inlineStr">
        <is>
          <t>CH</t>
        </is>
      </c>
      <c r="F254" t="inlineStr">
        <is>
          <t>None</t>
        </is>
      </c>
      <c r="G254" t="inlineStr">
        <is>
          <t>vkm</t>
        </is>
      </c>
      <c r="H254" t="inlineStr">
        <is>
          <t>BEV</t>
        </is>
      </c>
      <c r="I254" t="inlineStr">
        <is>
          <t>LFP</t>
        </is>
      </c>
      <c r="J254" t="inlineStr">
        <is>
          <t>label-certified electricity</t>
        </is>
      </c>
      <c r="L254" s="24" t="n">
        <v>0</v>
      </c>
      <c r="M254" s="24" t="n">
        <v>0</v>
      </c>
      <c r="N254" s="24" t="n">
        <v>0.001515200493146706</v>
      </c>
      <c r="O254" s="24" t="n">
        <v>0.0116988587691834</v>
      </c>
      <c r="P254" s="24" t="n">
        <v>0.005246908027934013</v>
      </c>
      <c r="Q254" s="24" t="n">
        <v>0.1312707064103128</v>
      </c>
      <c r="R254" s="24" t="n">
        <v>0.1497316737005769</v>
      </c>
      <c r="S254" s="26" t="n">
        <v>0</v>
      </c>
      <c r="T254" s="26" t="n">
        <v>0</v>
      </c>
      <c r="U254" s="26" t="n">
        <v>0.00086368340895427</v>
      </c>
      <c r="V254" s="26" t="n">
        <v>0.0004488997165412894</v>
      </c>
      <c r="W254" s="26" t="n">
        <v>0.0003584853933949444</v>
      </c>
      <c r="X254" s="26" t="n">
        <v>0.08387969862823444</v>
      </c>
      <c r="Y254" s="26" t="n">
        <v>0.08555076714712494</v>
      </c>
      <c r="Z254" s="28" t="n">
        <v>0</v>
      </c>
      <c r="AA254" s="28" t="n">
        <v>0.003127173544286591</v>
      </c>
      <c r="AB254" s="28" t="n">
        <v>0.0001524028300720178</v>
      </c>
      <c r="AC254" s="28" t="n">
        <v>0.0001467656991698253</v>
      </c>
      <c r="AD254" s="28" t="n">
        <v>0.0001602754688215921</v>
      </c>
      <c r="AE254" s="28" t="n">
        <v>0.01137321068335082</v>
      </c>
      <c r="AF254" s="28" t="n">
        <v>0.01495982822570085</v>
      </c>
      <c r="AG254" s="30" t="n">
        <v>0</v>
      </c>
      <c r="AH254" s="30" t="n">
        <v>1.649105312647228e-05</v>
      </c>
      <c r="AI254" s="30" t="n">
        <v>0.0005711444556905024</v>
      </c>
      <c r="AJ254" s="30" t="n">
        <v>0.0003565514266919729</v>
      </c>
      <c r="AK254" s="30" t="n">
        <v>0.0002081168913364444</v>
      </c>
      <c r="AL254" s="30" t="n">
        <v>0.03747263885956553</v>
      </c>
      <c r="AM254" s="30" t="n">
        <v>0.03862494268641092</v>
      </c>
      <c r="AN254" s="32" t="n">
        <v>0</v>
      </c>
      <c r="AO254" s="32" t="n">
        <v>1.179775095002105e-05</v>
      </c>
      <c r="AP254" s="32" t="n">
        <v>1.349363676490181e-06</v>
      </c>
      <c r="AQ254" s="32" t="n">
        <v>7.095552302506223e-07</v>
      </c>
      <c r="AR254" s="32" t="n">
        <v>8.434241506256895e-07</v>
      </c>
      <c r="AS254" s="32" t="n">
        <v>2.153221439947024e-05</v>
      </c>
      <c r="AT254" s="32" t="n">
        <v>3.623230840685778e-05</v>
      </c>
      <c r="AU254" s="34" t="n">
        <v>0</v>
      </c>
      <c r="AV254" s="34" t="n">
        <v>0</v>
      </c>
      <c r="AW254" s="34" t="n">
        <v>0.01509612903828165</v>
      </c>
      <c r="AX254" s="34" t="n">
        <v>0.1677596948032202</v>
      </c>
      <c r="AY254" s="34" t="n">
        <v>0.1823539048098478</v>
      </c>
      <c r="AZ254" s="34" t="n">
        <v>1.758224909414623</v>
      </c>
      <c r="BA254" s="34" t="n">
        <v>2.123434638065973</v>
      </c>
      <c r="BB254" s="6" t="n"/>
      <c r="BC254" s="6" t="n"/>
      <c r="BD254" t="inlineStr">
        <is>
          <t>transport, Motorbike, battery electric, 11-35kW, LFP battery, 2050, label-certified electricity/CH U</t>
        </is>
      </c>
      <c r="BF254" s="5" t="n">
        <v>0.12355849</v>
      </c>
      <c r="BG254" s="5">
        <f>BF254-R254</f>
        <v>-2.6173183700576905E-2</v>
      </c>
      <c r="BH254" s="2" t="n">
        <v>400.40686</v>
      </c>
    </row>
    <row r="255">
      <c r="A255" t="str">
        <f>B255&amp;" - "&amp;D255&amp;" - "&amp;IF(I255&lt;&gt;"",I255&amp;" - "&amp;E255,E255)</f>
        <v>Motorbike, battery electric, &gt;35kW - 2020 - LFP - CH</v>
      </c>
      <c r="B255" t="inlineStr">
        <is>
          <t>Motorbike, battery electric, &gt;35kW</t>
        </is>
      </c>
      <c r="D255" s="18" t="n">
        <v>2020</v>
      </c>
      <c r="E255" t="inlineStr">
        <is>
          <t>CH</t>
        </is>
      </c>
      <c r="F255" t="inlineStr">
        <is>
          <t>None</t>
        </is>
      </c>
      <c r="G255" t="inlineStr">
        <is>
          <t>vkm</t>
        </is>
      </c>
      <c r="H255" t="inlineStr">
        <is>
          <t>BEV</t>
        </is>
      </c>
      <c r="I255" t="inlineStr">
        <is>
          <t>LFP</t>
        </is>
      </c>
      <c r="J255" t="inlineStr">
        <is>
          <t>label-certified electricity</t>
        </is>
      </c>
      <c r="L255" s="24" t="n">
        <v>0</v>
      </c>
      <c r="M255" s="24" t="n">
        <v>0</v>
      </c>
      <c r="N255" s="24" t="n">
        <v>0.001689725966023888</v>
      </c>
      <c r="O255" s="24" t="n">
        <v>0.01230659169225786</v>
      </c>
      <c r="P255" s="24" t="n">
        <v>0.005732209784237132</v>
      </c>
      <c r="Q255" s="24" t="n">
        <v>0.1330489585066062</v>
      </c>
      <c r="R255" s="24" t="n">
        <v>0.1527774859491251</v>
      </c>
      <c r="S255" s="26" t="n">
        <v>0</v>
      </c>
      <c r="T255" s="26" t="n">
        <v>0</v>
      </c>
      <c r="U255" s="26" t="n">
        <v>0.000963165131700334</v>
      </c>
      <c r="V255" s="26" t="n">
        <v>0.0004722191823356421</v>
      </c>
      <c r="W255" s="26" t="n">
        <v>0.0003891504663240965</v>
      </c>
      <c r="X255" s="26" t="n">
        <v>0.0868939624162452</v>
      </c>
      <c r="Y255" s="26" t="n">
        <v>0.08871849719660527</v>
      </c>
      <c r="Z255" s="28" t="n">
        <v>0</v>
      </c>
      <c r="AA255" s="28" t="n">
        <v>0.003127173544286591</v>
      </c>
      <c r="AB255" s="28" t="n">
        <v>0.0001699570587740569</v>
      </c>
      <c r="AC255" s="28" t="n">
        <v>0.0001543898913344915</v>
      </c>
      <c r="AD255" s="28" t="n">
        <v>0.0001742147634144923</v>
      </c>
      <c r="AE255" s="28" t="n">
        <v>0.01158069045361577</v>
      </c>
      <c r="AF255" s="28" t="n">
        <v>0.0152064257114254</v>
      </c>
      <c r="AG255" s="30" t="n">
        <v>0</v>
      </c>
      <c r="AH255" s="30" t="n">
        <v>1.649105312647228e-05</v>
      </c>
      <c r="AI255" s="30" t="n">
        <v>0.0006369306382197566</v>
      </c>
      <c r="AJ255" s="30" t="n">
        <v>0.0003750735787279196</v>
      </c>
      <c r="AK255" s="30" t="n">
        <v>0.0002211260789617297</v>
      </c>
      <c r="AL255" s="30" t="n">
        <v>0.03819150696400604</v>
      </c>
      <c r="AM255" s="30" t="n">
        <v>0.03944112831304192</v>
      </c>
      <c r="AN255" s="32" t="n">
        <v>0</v>
      </c>
      <c r="AO255" s="32" t="n">
        <v>1.179775095002105e-05</v>
      </c>
      <c r="AP255" s="32" t="n">
        <v>1.504787552596285e-06</v>
      </c>
      <c r="AQ255" s="32" t="n">
        <v>7.464152422116936e-07</v>
      </c>
      <c r="AR255" s="32" t="n">
        <v>8.947911054708254e-07</v>
      </c>
      <c r="AS255" s="32" t="n">
        <v>2.298482768960763e-05</v>
      </c>
      <c r="AT255" s="32" t="n">
        <v>3.792857253990749e-05</v>
      </c>
      <c r="AU255" s="34" t="n">
        <v>0</v>
      </c>
      <c r="AV255" s="34" t="n">
        <v>0</v>
      </c>
      <c r="AW255" s="34" t="n">
        <v>0.01683494780908967</v>
      </c>
      <c r="AX255" s="34" t="n">
        <v>0.1764744841436473</v>
      </c>
      <c r="AY255" s="34" t="n">
        <v>0.1982520740758201</v>
      </c>
      <c r="AZ255" s="34" t="n">
        <v>1.802641853054337</v>
      </c>
      <c r="BA255" s="34" t="n">
        <v>2.194203359082894</v>
      </c>
      <c r="BB255" s="6" t="n"/>
      <c r="BC255" s="6" t="n"/>
      <c r="BD255" t="inlineStr">
        <is>
          <t>transport, Motorbike, battery electric, &gt;35kW, LFP battery, label-certified electricity/CH U</t>
        </is>
      </c>
      <c r="BF255" s="5" t="n">
        <v>0.12988803</v>
      </c>
      <c r="BG255" s="5">
        <f>BF255-R255</f>
        <v>-2.2889455949125059E-2</v>
      </c>
      <c r="BH255" s="2" t="n">
        <v>419.23571</v>
      </c>
    </row>
    <row r="256">
      <c r="A256" t="str">
        <f>B256&amp;" - "&amp;D256&amp;" - "&amp;IF(I256&lt;&gt;"",I256&amp;" - "&amp;E256,E256)</f>
        <v>Motorbike, battery electric, &gt;35kW - 2030 - LFP - CH</v>
      </c>
      <c r="B256" t="inlineStr">
        <is>
          <t>Motorbike, battery electric, &gt;35kW</t>
        </is>
      </c>
      <c r="D256" s="18" t="n">
        <v>2030</v>
      </c>
      <c r="E256" t="inlineStr">
        <is>
          <t>CH</t>
        </is>
      </c>
      <c r="F256" t="inlineStr">
        <is>
          <t>None</t>
        </is>
      </c>
      <c r="G256" t="inlineStr">
        <is>
          <t>vkm</t>
        </is>
      </c>
      <c r="H256" t="inlineStr">
        <is>
          <t>BEV</t>
        </is>
      </c>
      <c r="I256" t="inlineStr">
        <is>
          <t>LFP</t>
        </is>
      </c>
      <c r="J256" t="inlineStr">
        <is>
          <t>label-certified electricity</t>
        </is>
      </c>
      <c r="L256" s="24" t="n">
        <v>0</v>
      </c>
      <c r="M256" s="24" t="n">
        <v>0</v>
      </c>
      <c r="N256" s="24" t="n">
        <v>0.001689725966023888</v>
      </c>
      <c r="O256" s="24" t="n">
        <v>0.01230659169225786</v>
      </c>
      <c r="P256" s="24" t="n">
        <v>0.006003076233656104</v>
      </c>
      <c r="Q256" s="24" t="n">
        <v>0.143972405866205</v>
      </c>
      <c r="R256" s="24" t="n">
        <v>0.1639717997581429</v>
      </c>
      <c r="S256" s="26" t="n">
        <v>0</v>
      </c>
      <c r="T256" s="26" t="n">
        <v>0</v>
      </c>
      <c r="U256" s="26" t="n">
        <v>0.000963165131700334</v>
      </c>
      <c r="V256" s="26" t="n">
        <v>0.0004722191823356421</v>
      </c>
      <c r="W256" s="26" t="n">
        <v>0.0004062658781634578</v>
      </c>
      <c r="X256" s="26" t="n">
        <v>0.09262835181969922</v>
      </c>
      <c r="Y256" s="26" t="n">
        <v>0.09447000201189866</v>
      </c>
      <c r="Z256" s="28" t="n">
        <v>0</v>
      </c>
      <c r="AA256" s="28" t="n">
        <v>0.003127173544286591</v>
      </c>
      <c r="AB256" s="28" t="n">
        <v>0.0001699570587740569</v>
      </c>
      <c r="AC256" s="28" t="n">
        <v>0.0001543898913344915</v>
      </c>
      <c r="AD256" s="28" t="n">
        <v>0.0001819948449508666</v>
      </c>
      <c r="AE256" s="28" t="n">
        <v>0.01252460440416163</v>
      </c>
      <c r="AF256" s="28" t="n">
        <v>0.01615811974350764</v>
      </c>
      <c r="AG256" s="30" t="n">
        <v>0</v>
      </c>
      <c r="AH256" s="30" t="n">
        <v>1.649105312647228e-05</v>
      </c>
      <c r="AI256" s="30" t="n">
        <v>0.0006369306382197566</v>
      </c>
      <c r="AJ256" s="30" t="n">
        <v>0.0003750735787279196</v>
      </c>
      <c r="AK256" s="30" t="n">
        <v>0.0002283870303514982</v>
      </c>
      <c r="AL256" s="30" t="n">
        <v>0.04114335758101269</v>
      </c>
      <c r="AM256" s="30" t="n">
        <v>0.04240023988143833</v>
      </c>
      <c r="AN256" s="32" t="n">
        <v>0</v>
      </c>
      <c r="AO256" s="32" t="n">
        <v>1.179775095002105e-05</v>
      </c>
      <c r="AP256" s="32" t="n">
        <v>1.504787552596285e-06</v>
      </c>
      <c r="AQ256" s="32" t="n">
        <v>7.464152422116936e-07</v>
      </c>
      <c r="AR256" s="32" t="n">
        <v>9.234610711069608e-07</v>
      </c>
      <c r="AS256" s="32" t="n">
        <v>2.447001470099895e-05</v>
      </c>
      <c r="AT256" s="32" t="n">
        <v>3.944242951693494e-05</v>
      </c>
      <c r="AU256" s="34" t="n">
        <v>0</v>
      </c>
      <c r="AV256" s="34" t="n">
        <v>0</v>
      </c>
      <c r="AW256" s="34" t="n">
        <v>0.01683494780908967</v>
      </c>
      <c r="AX256" s="34" t="n">
        <v>0.1764744841436473</v>
      </c>
      <c r="AY256" s="34" t="n">
        <v>0.207125482435476</v>
      </c>
      <c r="AZ256" s="34" t="n">
        <v>1.942845954976546</v>
      </c>
      <c r="BA256" s="34" t="n">
        <v>2.343280869364759</v>
      </c>
      <c r="BB256" s="6" t="n"/>
      <c r="BC256" s="6" t="n"/>
      <c r="BD256" t="inlineStr">
        <is>
          <t>transport, Motorbike, battery electric, &gt;35kW, LFP battery, 2030, label-certified electricity/CH U</t>
        </is>
      </c>
      <c r="BF256" s="5" t="n">
        <v>0.13760115</v>
      </c>
      <c r="BG256" s="5">
        <f>BF256-R256</f>
        <v>-2.637064975814285E-2</v>
      </c>
      <c r="BH256" s="2" t="n">
        <v>446.90778</v>
      </c>
    </row>
    <row r="257">
      <c r="A257" t="str">
        <f>B257&amp;" - "&amp;D257&amp;" - "&amp;IF(I257&lt;&gt;"",I257&amp;" - "&amp;E257,E257)</f>
        <v>Motorbike, battery electric, &gt;35kW - 2040 - LFP - CH</v>
      </c>
      <c r="B257" t="inlineStr">
        <is>
          <t>Motorbike, battery electric, &gt;35kW</t>
        </is>
      </c>
      <c r="D257" s="18" t="n">
        <v>2040</v>
      </c>
      <c r="E257" t="inlineStr">
        <is>
          <t>CH</t>
        </is>
      </c>
      <c r="F257" t="inlineStr">
        <is>
          <t>None</t>
        </is>
      </c>
      <c r="G257" t="inlineStr">
        <is>
          <t>vkm</t>
        </is>
      </c>
      <c r="H257" t="inlineStr">
        <is>
          <t>BEV</t>
        </is>
      </c>
      <c r="I257" t="inlineStr">
        <is>
          <t>LFP</t>
        </is>
      </c>
      <c r="J257" t="inlineStr">
        <is>
          <t>label-certified electricity</t>
        </is>
      </c>
      <c r="L257" s="24" t="n">
        <v>0</v>
      </c>
      <c r="M257" s="24" t="n">
        <v>0</v>
      </c>
      <c r="N257" s="24" t="n">
        <v>0.001689725966023888</v>
      </c>
      <c r="O257" s="24" t="n">
        <v>0.01230659169225786</v>
      </c>
      <c r="P257" s="24" t="n">
        <v>0.006111325701481713</v>
      </c>
      <c r="Q257" s="24" t="n">
        <v>0.1325340549444599</v>
      </c>
      <c r="R257" s="24" t="n">
        <v>0.1526416983042234</v>
      </c>
      <c r="S257" s="26" t="n">
        <v>0</v>
      </c>
      <c r="T257" s="26" t="n">
        <v>0</v>
      </c>
      <c r="U257" s="26" t="n">
        <v>0.000963165131700334</v>
      </c>
      <c r="V257" s="26" t="n">
        <v>0.0004722191823356421</v>
      </c>
      <c r="W257" s="26" t="n">
        <v>0.0004131059066247207</v>
      </c>
      <c r="X257" s="26" t="n">
        <v>0.08386575415934402</v>
      </c>
      <c r="Y257" s="26" t="n">
        <v>0.08571424438000472</v>
      </c>
      <c r="Z257" s="28" t="n">
        <v>0</v>
      </c>
      <c r="AA257" s="28" t="n">
        <v>0.003127173544286591</v>
      </c>
      <c r="AB257" s="28" t="n">
        <v>0.0001699570587740569</v>
      </c>
      <c r="AC257" s="28" t="n">
        <v>0.0001543898913344915</v>
      </c>
      <c r="AD257" s="28" t="n">
        <v>0.0001851040882246605</v>
      </c>
      <c r="AE257" s="28" t="n">
        <v>0.01132566443595009</v>
      </c>
      <c r="AF257" s="28" t="n">
        <v>0.01496228901856989</v>
      </c>
      <c r="AG257" s="30" t="n">
        <v>0</v>
      </c>
      <c r="AH257" s="30" t="n">
        <v>1.649105312647228e-05</v>
      </c>
      <c r="AI257" s="30" t="n">
        <v>0.0006369306382197566</v>
      </c>
      <c r="AJ257" s="30" t="n">
        <v>0.0003750735787279196</v>
      </c>
      <c r="AK257" s="30" t="n">
        <v>0.0002312888076869197</v>
      </c>
      <c r="AL257" s="30" t="n">
        <v>0.03727692774577315</v>
      </c>
      <c r="AM257" s="30" t="n">
        <v>0.03853671182353422</v>
      </c>
      <c r="AN257" s="32" t="n">
        <v>0</v>
      </c>
      <c r="AO257" s="32" t="n">
        <v>1.179775095002105e-05</v>
      </c>
      <c r="AP257" s="32" t="n">
        <v>1.504787552596285e-06</v>
      </c>
      <c r="AQ257" s="32" t="n">
        <v>7.464152422116936e-07</v>
      </c>
      <c r="AR257" s="32" t="n">
        <v>9.349187785098061e-07</v>
      </c>
      <c r="AS257" s="32" t="n">
        <v>2.242603952460592e-05</v>
      </c>
      <c r="AT257" s="32" t="n">
        <v>3.740991204794476e-05</v>
      </c>
      <c r="AU257" s="34" t="n">
        <v>0</v>
      </c>
      <c r="AV257" s="34" t="n">
        <v>0</v>
      </c>
      <c r="AW257" s="34" t="n">
        <v>0.01683494780908967</v>
      </c>
      <c r="AX257" s="34" t="n">
        <v>0.1764744841436473</v>
      </c>
      <c r="AY257" s="34" t="n">
        <v>0.2106716644554066</v>
      </c>
      <c r="AZ257" s="34" t="n">
        <v>1.78350999425529</v>
      </c>
      <c r="BA257" s="34" t="n">
        <v>2.187491090663434</v>
      </c>
      <c r="BB257" s="6" t="n"/>
      <c r="BC257" s="6" t="n"/>
      <c r="BD257" t="inlineStr">
        <is>
          <t>transport, Motorbike, battery electric, &gt;35kW, LFP battery, 2040, label-certified electricity/CH U</t>
        </is>
      </c>
      <c r="BF257" s="5" t="n">
        <v>0.12883433</v>
      </c>
      <c r="BG257" s="5">
        <f>BF257-R257</f>
        <v>-2.3807368304223364E-2</v>
      </c>
      <c r="BH257" s="2" t="n">
        <v>404.11622</v>
      </c>
    </row>
    <row r="258">
      <c r="A258" t="str">
        <f>B258&amp;" - "&amp;D258&amp;" - "&amp;IF(I258&lt;&gt;"",I258&amp;" - "&amp;E258,E258)</f>
        <v>Motorbike, battery electric, &gt;35kW - 2050 - LFP - CH</v>
      </c>
      <c r="B258" t="inlineStr">
        <is>
          <t>Motorbike, battery electric, &gt;35kW</t>
        </is>
      </c>
      <c r="D258" s="18" t="n">
        <v>2050</v>
      </c>
      <c r="E258" t="inlineStr">
        <is>
          <t>CH</t>
        </is>
      </c>
      <c r="F258" t="inlineStr">
        <is>
          <t>None</t>
        </is>
      </c>
      <c r="G258" t="inlineStr">
        <is>
          <t>vkm</t>
        </is>
      </c>
      <c r="H258" t="inlineStr">
        <is>
          <t>BEV</t>
        </is>
      </c>
      <c r="I258" t="inlineStr">
        <is>
          <t>LFP</t>
        </is>
      </c>
      <c r="J258" t="inlineStr">
        <is>
          <t>label-certified electricity</t>
        </is>
      </c>
      <c r="L258" s="24" t="n">
        <v>0</v>
      </c>
      <c r="M258" s="24" t="n">
        <v>0</v>
      </c>
      <c r="N258" s="24" t="n">
        <v>0.001689725966023888</v>
      </c>
      <c r="O258" s="24" t="n">
        <v>0.01993667854145774</v>
      </c>
      <c r="P258" s="24" t="n">
        <v>0.006037110934571837</v>
      </c>
      <c r="Q258" s="24" t="n">
        <v>0.2163170678552802</v>
      </c>
      <c r="R258" s="24" t="n">
        <v>0.2439805832973337</v>
      </c>
      <c r="S258" s="26" t="n">
        <v>0</v>
      </c>
      <c r="T258" s="26" t="n">
        <v>0</v>
      </c>
      <c r="U258" s="26" t="n">
        <v>0.000963165131700334</v>
      </c>
      <c r="V258" s="26" t="n">
        <v>0.0007649950753837402</v>
      </c>
      <c r="W258" s="26" t="n">
        <v>0.0004084164506106982</v>
      </c>
      <c r="X258" s="26" t="n">
        <v>0.1413513853787046</v>
      </c>
      <c r="Y258" s="26" t="n">
        <v>0.1434879620363994</v>
      </c>
      <c r="Z258" s="28" t="n">
        <v>0</v>
      </c>
      <c r="AA258" s="28" t="n">
        <v>0.003127173544286591</v>
      </c>
      <c r="AB258" s="28" t="n">
        <v>0.0001699570587740569</v>
      </c>
      <c r="AC258" s="28" t="n">
        <v>0.0002501116239618763</v>
      </c>
      <c r="AD258" s="28" t="n">
        <v>0.0001829724217188957</v>
      </c>
      <c r="AE258" s="28" t="n">
        <v>0.01958716363712074</v>
      </c>
      <c r="AF258" s="28" t="n">
        <v>0.02331737828586216</v>
      </c>
      <c r="AG258" s="30" t="n">
        <v>0</v>
      </c>
      <c r="AH258" s="30" t="n">
        <v>1.649105312647228e-05</v>
      </c>
      <c r="AI258" s="30" t="n">
        <v>0.0006369306382197566</v>
      </c>
      <c r="AJ258" s="30" t="n">
        <v>0.0006076191975392298</v>
      </c>
      <c r="AK258" s="30" t="n">
        <v>0.00022929937778118</v>
      </c>
      <c r="AL258" s="30" t="n">
        <v>0.06376491631934836</v>
      </c>
      <c r="AM258" s="30" t="n">
        <v>0.065255256586015</v>
      </c>
      <c r="AN258" s="32" t="n">
        <v>0</v>
      </c>
      <c r="AO258" s="32" t="n">
        <v>1.179775095002105e-05</v>
      </c>
      <c r="AP258" s="32" t="n">
        <v>1.504787552596285e-06</v>
      </c>
      <c r="AQ258" s="32" t="n">
        <v>1.209192692382944e-06</v>
      </c>
      <c r="AR258" s="32" t="n">
        <v>9.270634873817831e-07</v>
      </c>
      <c r="AS258" s="32" t="n">
        <v>3.612245070716783e-05</v>
      </c>
      <c r="AT258" s="32" t="n">
        <v>5.15612453895499e-05</v>
      </c>
      <c r="AU258" s="34" t="n">
        <v>0</v>
      </c>
      <c r="AV258" s="34" t="n">
        <v>0</v>
      </c>
      <c r="AW258" s="34" t="n">
        <v>0.01683494780908967</v>
      </c>
      <c r="AX258" s="34" t="n">
        <v>0.2858886643127085</v>
      </c>
      <c r="AY258" s="34" t="n">
        <v>0.2082404370571053</v>
      </c>
      <c r="AZ258" s="34" t="n">
        <v>2.918385223689273</v>
      </c>
      <c r="BA258" s="34" t="n">
        <v>3.429349272868176</v>
      </c>
      <c r="BB258" s="6" t="n"/>
      <c r="BC258" s="6" t="n"/>
      <c r="BD258" t="inlineStr">
        <is>
          <t>transport, Motorbike, battery electric, &gt;35kW, LFP battery, 2050, label-certified electricity/CH U</t>
        </is>
      </c>
      <c r="BF258" s="5" t="n">
        <v>0.19645399</v>
      </c>
      <c r="BG258" s="5">
        <f>BF258-R258</f>
        <v>-4.7526593297333691E-2</v>
      </c>
      <c r="BH258" s="2" t="n">
        <v>687.79054</v>
      </c>
    </row>
    <row r="259">
      <c r="A259" t="str">
        <f>B259&amp;" - "&amp;D259&amp;" - "&amp;IF(I259&lt;&gt;"",I259&amp;" - "&amp;E259,E259)</f>
        <v>Motorbike, battery electric, &lt;4kW - 2020 - NCA - CH</v>
      </c>
      <c r="B259" t="inlineStr">
        <is>
          <t>Motorbike, battery electric, &lt;4kW</t>
        </is>
      </c>
      <c r="D259" s="18" t="n">
        <v>2020</v>
      </c>
      <c r="E259" t="inlineStr">
        <is>
          <t>CH</t>
        </is>
      </c>
      <c r="F259" t="inlineStr">
        <is>
          <t>None</t>
        </is>
      </c>
      <c r="G259" t="inlineStr">
        <is>
          <t>vkm</t>
        </is>
      </c>
      <c r="H259" t="inlineStr">
        <is>
          <t>BEV</t>
        </is>
      </c>
      <c r="I259" t="inlineStr">
        <is>
          <t>NCA</t>
        </is>
      </c>
      <c r="J259" t="inlineStr">
        <is>
          <t>label-certified electricity</t>
        </is>
      </c>
      <c r="L259" s="24" t="n">
        <v>0</v>
      </c>
      <c r="M259" s="24" t="n">
        <v>0</v>
      </c>
      <c r="N259" s="24" t="n">
        <v>0.0007442051711905084</v>
      </c>
      <c r="O259" s="24" t="n">
        <v>0.01230659169225786</v>
      </c>
      <c r="P259" s="24" t="n">
        <v>0.004425905066110937</v>
      </c>
      <c r="Q259" s="24" t="n">
        <v>0.03390243742625951</v>
      </c>
      <c r="R259" s="24" t="n">
        <v>0.05137913935581882</v>
      </c>
      <c r="S259" s="26" t="n">
        <v>0</v>
      </c>
      <c r="T259" s="26" t="n">
        <v>0</v>
      </c>
      <c r="U259" s="26" t="n">
        <v>0.0004242063424097505</v>
      </c>
      <c r="V259" s="26" t="n">
        <v>0.0004722191823356421</v>
      </c>
      <c r="W259" s="26" t="n">
        <v>0.0003066081533636317</v>
      </c>
      <c r="X259" s="26" t="n">
        <v>0.0247414493231328</v>
      </c>
      <c r="Y259" s="26" t="n">
        <v>0.02594448300124182</v>
      </c>
      <c r="Z259" s="28" t="n">
        <v>0</v>
      </c>
      <c r="AA259" s="28" t="n">
        <v>0.003127173544286591</v>
      </c>
      <c r="AB259" s="28" t="n">
        <v>7.485410330623648e-05</v>
      </c>
      <c r="AC259" s="28" t="n">
        <v>0.0001543898913344915</v>
      </c>
      <c r="AD259" s="28" t="n">
        <v>0.0001366938477005935</v>
      </c>
      <c r="AE259" s="28" t="n">
        <v>0.002475333254355087</v>
      </c>
      <c r="AF259" s="28" t="n">
        <v>0.005968444640982999</v>
      </c>
      <c r="AG259" s="30" t="n">
        <v>0</v>
      </c>
      <c r="AH259" s="30" t="n">
        <v>1.649105312647228e-05</v>
      </c>
      <c r="AI259" s="30" t="n">
        <v>0.0002805230458570776</v>
      </c>
      <c r="AJ259" s="30" t="n">
        <v>0.0003750735787279196</v>
      </c>
      <c r="AK259" s="30" t="n">
        <v>0.0001861087666335118</v>
      </c>
      <c r="AL259" s="30" t="n">
        <v>0.00859291109636794</v>
      </c>
      <c r="AM259" s="30" t="n">
        <v>0.009451107540712921</v>
      </c>
      <c r="AN259" s="32" t="n">
        <v>0</v>
      </c>
      <c r="AO259" s="32" t="n">
        <v>1.179775095002105e-05</v>
      </c>
      <c r="AP259" s="32" t="n">
        <v>6.627528372665328e-07</v>
      </c>
      <c r="AQ259" s="32" t="n">
        <v>7.464152422116936e-07</v>
      </c>
      <c r="AR259" s="32" t="n">
        <v>7.565247699415037e-07</v>
      </c>
      <c r="AS259" s="32" t="n">
        <v>7.250014453586742e-06</v>
      </c>
      <c r="AT259" s="32" t="n">
        <v>2.121345825302752e-05</v>
      </c>
      <c r="AU259" s="34" t="n">
        <v>0</v>
      </c>
      <c r="AV259" s="34" t="n">
        <v>0</v>
      </c>
      <c r="AW259" s="34" t="n">
        <v>0.00741460773413346</v>
      </c>
      <c r="AX259" s="34" t="n">
        <v>0.1764744841436473</v>
      </c>
      <c r="AY259" s="34" t="n">
        <v>0.155458382827077</v>
      </c>
      <c r="AZ259" s="34" t="n">
        <v>0.4706008042747231</v>
      </c>
      <c r="BA259" s="34" t="n">
        <v>0.8099482789795809</v>
      </c>
      <c r="BB259" s="6" t="n"/>
      <c r="BC259" s="6" t="n"/>
      <c r="BD259" t="inlineStr">
        <is>
          <t>transport, Motorbike, battery electric, &lt;4kW, NCA battery, label-certified electricity/CH U</t>
        </is>
      </c>
      <c r="BF259" s="5" t="n">
        <v>0.05313202600000001</v>
      </c>
      <c r="BG259" s="5">
        <f>BF259-R259</f>
        <v>1.7528866441811897E-3</v>
      </c>
      <c r="BH259" s="2" t="n">
        <v>117.84532</v>
      </c>
    </row>
    <row r="260">
      <c r="A260" t="str">
        <f>B260&amp;" - "&amp;D260&amp;" - "&amp;IF(I260&lt;&gt;"",I260&amp;" - "&amp;E260,E260)</f>
        <v>Motorbike, battery electric, &lt;4kW - 2030 - NCA - CH</v>
      </c>
      <c r="B260" t="inlineStr">
        <is>
          <t>Motorbike, battery electric, &lt;4kW</t>
        </is>
      </c>
      <c r="D260" s="18" t="n">
        <v>2030</v>
      </c>
      <c r="E260" t="inlineStr">
        <is>
          <t>CH</t>
        </is>
      </c>
      <c r="F260" t="inlineStr">
        <is>
          <t>None</t>
        </is>
      </c>
      <c r="G260" t="inlineStr">
        <is>
          <t>vkm</t>
        </is>
      </c>
      <c r="H260" t="inlineStr">
        <is>
          <t>BEV</t>
        </is>
      </c>
      <c r="I260" t="inlineStr">
        <is>
          <t>NCA</t>
        </is>
      </c>
      <c r="J260" t="inlineStr">
        <is>
          <t>label-certified electricity</t>
        </is>
      </c>
      <c r="L260" s="24" t="n">
        <v>0</v>
      </c>
      <c r="M260" s="24" t="n">
        <v>0</v>
      </c>
      <c r="N260" s="24" t="n">
        <v>0.0007442051711905084</v>
      </c>
      <c r="O260" s="24" t="n">
        <v>0.01230659169225786</v>
      </c>
      <c r="P260" s="24" t="n">
        <v>0.00443547705772904</v>
      </c>
      <c r="Q260" s="24" t="n">
        <v>0.03630906876958861</v>
      </c>
      <c r="R260" s="24" t="n">
        <v>0.05379534269076602</v>
      </c>
      <c r="S260" s="26" t="n">
        <v>0</v>
      </c>
      <c r="T260" s="26" t="n">
        <v>0</v>
      </c>
      <c r="U260" s="26" t="n">
        <v>0.0004242063424097505</v>
      </c>
      <c r="V260" s="26" t="n">
        <v>0.0004722191823356421</v>
      </c>
      <c r="W260" s="26" t="n">
        <v>0.0003072129849292176</v>
      </c>
      <c r="X260" s="26" t="n">
        <v>0.02534842963531138</v>
      </c>
      <c r="Y260" s="26" t="n">
        <v>0.02655206814498599</v>
      </c>
      <c r="Z260" s="28" t="n">
        <v>0</v>
      </c>
      <c r="AA260" s="28" t="n">
        <v>0.003127173544286591</v>
      </c>
      <c r="AB260" s="28" t="n">
        <v>7.485410330623648e-05</v>
      </c>
      <c r="AC260" s="28" t="n">
        <v>0.0001543898913344915</v>
      </c>
      <c r="AD260" s="28" t="n">
        <v>0.0001369687834684381</v>
      </c>
      <c r="AE260" s="28" t="n">
        <v>0.00262712105590948</v>
      </c>
      <c r="AF260" s="28" t="n">
        <v>0.006120507378305237</v>
      </c>
      <c r="AG260" s="30" t="n">
        <v>0</v>
      </c>
      <c r="AH260" s="30" t="n">
        <v>1.649105312647228e-05</v>
      </c>
      <c r="AI260" s="30" t="n">
        <v>0.0002805230458570776</v>
      </c>
      <c r="AJ260" s="30" t="n">
        <v>0.0003750735787279196</v>
      </c>
      <c r="AK260" s="30" t="n">
        <v>0.0001863653571636104</v>
      </c>
      <c r="AL260" s="30" t="n">
        <v>0.009082275014720875</v>
      </c>
      <c r="AM260" s="30" t="n">
        <v>0.009940728049595955</v>
      </c>
      <c r="AN260" s="32" t="n">
        <v>0</v>
      </c>
      <c r="AO260" s="32" t="n">
        <v>1.179775095002105e-05</v>
      </c>
      <c r="AP260" s="32" t="n">
        <v>6.627528372665328e-07</v>
      </c>
      <c r="AQ260" s="32" t="n">
        <v>7.464152422116936e-07</v>
      </c>
      <c r="AR260" s="32" t="n">
        <v>7.575379211507033e-07</v>
      </c>
      <c r="AS260" s="32" t="n">
        <v>7.412164740555179e-06</v>
      </c>
      <c r="AT260" s="32" t="n">
        <v>2.137662169120516e-05</v>
      </c>
      <c r="AU260" s="34" t="n">
        <v>0</v>
      </c>
      <c r="AV260" s="34" t="n">
        <v>0</v>
      </c>
      <c r="AW260" s="34" t="n">
        <v>0.00741460773413346</v>
      </c>
      <c r="AX260" s="34" t="n">
        <v>0.1764744841436473</v>
      </c>
      <c r="AY260" s="34" t="n">
        <v>0.1557719550344318</v>
      </c>
      <c r="AZ260" s="34" t="n">
        <v>0.4972689495131143</v>
      </c>
      <c r="BA260" s="34" t="n">
        <v>0.8369299964253268</v>
      </c>
      <c r="BB260" s="6" t="n"/>
      <c r="BC260" s="6" t="n"/>
      <c r="BD260" t="inlineStr">
        <is>
          <t>transport, Motorbike, battery electric, &lt;4kW, NCA battery, 2030, label-certified electricity/CH U</t>
        </is>
      </c>
      <c r="BF260" s="5" t="n">
        <v>0.05421303600000001</v>
      </c>
      <c r="BG260" s="5">
        <f>BF260-R260</f>
        <v>4.1769330923398934E-4</v>
      </c>
      <c r="BH260" s="2" t="n">
        <v>119.40535</v>
      </c>
    </row>
    <row r="261">
      <c r="A261" t="str">
        <f>B261&amp;" - "&amp;D261&amp;" - "&amp;IF(I261&lt;&gt;"",I261&amp;" - "&amp;E261,E261)</f>
        <v>Motorbike, battery electric, &lt;4kW - 2040 - NCA - CH</v>
      </c>
      <c r="B261" t="inlineStr">
        <is>
          <t>Motorbike, battery electric, &lt;4kW</t>
        </is>
      </c>
      <c r="D261" s="18" t="n">
        <v>2040</v>
      </c>
      <c r="E261" t="inlineStr">
        <is>
          <t>CH</t>
        </is>
      </c>
      <c r="F261" t="inlineStr">
        <is>
          <t>None</t>
        </is>
      </c>
      <c r="G261" t="inlineStr">
        <is>
          <t>vkm</t>
        </is>
      </c>
      <c r="H261" t="inlineStr">
        <is>
          <t>BEV</t>
        </is>
      </c>
      <c r="I261" t="inlineStr">
        <is>
          <t>NCA</t>
        </is>
      </c>
      <c r="J261" t="inlineStr">
        <is>
          <t>label-certified electricity</t>
        </is>
      </c>
      <c r="L261" s="24" t="n">
        <v>0</v>
      </c>
      <c r="M261" s="24" t="n">
        <v>0</v>
      </c>
      <c r="N261" s="24" t="n">
        <v>0.0007442051711905084</v>
      </c>
      <c r="O261" s="24" t="n">
        <v>0.01230659169225786</v>
      </c>
      <c r="P261" s="24" t="n">
        <v>0.004434103834174483</v>
      </c>
      <c r="Q261" s="24" t="n">
        <v>0.0364261808995134</v>
      </c>
      <c r="R261" s="24" t="n">
        <v>0.05391108159713625</v>
      </c>
      <c r="S261" s="26" t="n">
        <v>0</v>
      </c>
      <c r="T261" s="26" t="n">
        <v>0</v>
      </c>
      <c r="U261" s="26" t="n">
        <v>0.0004242063424097505</v>
      </c>
      <c r="V261" s="26" t="n">
        <v>0.0004722191823356421</v>
      </c>
      <c r="W261" s="26" t="n">
        <v>0.0003071262141728756</v>
      </c>
      <c r="X261" s="26" t="n">
        <v>0.02436109907006942</v>
      </c>
      <c r="Y261" s="26" t="n">
        <v>0.02556465080898769</v>
      </c>
      <c r="Z261" s="28" t="n">
        <v>0</v>
      </c>
      <c r="AA261" s="28" t="n">
        <v>0.003127173544286591</v>
      </c>
      <c r="AB261" s="28" t="n">
        <v>7.485410330623648e-05</v>
      </c>
      <c r="AC261" s="28" t="n">
        <v>0.0001543898913344915</v>
      </c>
      <c r="AD261" s="28" t="n">
        <v>0.0001369293404468123</v>
      </c>
      <c r="AE261" s="28" t="n">
        <v>0.00255498090657492</v>
      </c>
      <c r="AF261" s="28" t="n">
        <v>0.006048327785949052</v>
      </c>
      <c r="AG261" s="30" t="n">
        <v>0</v>
      </c>
      <c r="AH261" s="30" t="n">
        <v>1.649105312647228e-05</v>
      </c>
      <c r="AI261" s="30" t="n">
        <v>0.0002805230458570776</v>
      </c>
      <c r="AJ261" s="30" t="n">
        <v>0.0003750735787279196</v>
      </c>
      <c r="AK261" s="30" t="n">
        <v>0.0001863285459989264</v>
      </c>
      <c r="AL261" s="30" t="n">
        <v>0.008887193446429107</v>
      </c>
      <c r="AM261" s="30" t="n">
        <v>0.009745609670139503</v>
      </c>
      <c r="AN261" s="32" t="n">
        <v>0</v>
      </c>
      <c r="AO261" s="32" t="n">
        <v>1.179775095002105e-05</v>
      </c>
      <c r="AP261" s="32" t="n">
        <v>6.627528372665328e-07</v>
      </c>
      <c r="AQ261" s="32" t="n">
        <v>7.464152422116936e-07</v>
      </c>
      <c r="AR261" s="32" t="n">
        <v>7.573925717646705e-07</v>
      </c>
      <c r="AS261" s="32" t="n">
        <v>7.166571346186573e-06</v>
      </c>
      <c r="AT261" s="32" t="n">
        <v>2.113088294745052e-05</v>
      </c>
      <c r="AU261" s="34" t="n">
        <v>0</v>
      </c>
      <c r="AV261" s="34" t="n">
        <v>0</v>
      </c>
      <c r="AW261" s="34" t="n">
        <v>0.00741460773413346</v>
      </c>
      <c r="AX261" s="34" t="n">
        <v>0.1764744841436473</v>
      </c>
      <c r="AY261" s="34" t="n">
        <v>0.1557269691257124</v>
      </c>
      <c r="AZ261" s="34" t="n">
        <v>0.4937996919474914</v>
      </c>
      <c r="BA261" s="34" t="n">
        <v>0.8334157529509846</v>
      </c>
      <c r="BB261" s="6" t="n"/>
      <c r="BC261" s="6" t="n"/>
      <c r="BD261" t="inlineStr">
        <is>
          <t>transport, Motorbike, battery electric, &lt;4kW, NCA battery, 2040, label-certified electricity/CH U</t>
        </is>
      </c>
      <c r="BF261" s="5" t="n">
        <v>0.053707327</v>
      </c>
      <c r="BG261" s="5">
        <f>BF261-R261</f>
        <v>-2.037545971362506E-4</v>
      </c>
      <c r="BH261" s="2" t="n">
        <v>114.16805</v>
      </c>
    </row>
    <row r="262">
      <c r="A262" t="str">
        <f>B262&amp;" - "&amp;D262&amp;" - "&amp;IF(I262&lt;&gt;"",I262&amp;" - "&amp;E262,E262)</f>
        <v>Motorbike, battery electric, &lt;4kW - 2050 - NCA - CH</v>
      </c>
      <c r="B262" t="inlineStr">
        <is>
          <t>Motorbike, battery electric, &lt;4kW</t>
        </is>
      </c>
      <c r="D262" s="18" t="n">
        <v>2050</v>
      </c>
      <c r="E262" t="inlineStr">
        <is>
          <t>CH</t>
        </is>
      </c>
      <c r="F262" t="inlineStr">
        <is>
          <t>None</t>
        </is>
      </c>
      <c r="G262" t="inlineStr">
        <is>
          <t>vkm</t>
        </is>
      </c>
      <c r="H262" t="inlineStr">
        <is>
          <t>BEV</t>
        </is>
      </c>
      <c r="I262" t="inlineStr">
        <is>
          <t>NCA</t>
        </is>
      </c>
      <c r="J262" t="inlineStr">
        <is>
          <t>label-certified electricity</t>
        </is>
      </c>
      <c r="L262" s="24" t="n">
        <v>0</v>
      </c>
      <c r="M262" s="24" t="n">
        <v>0</v>
      </c>
      <c r="N262" s="24" t="n">
        <v>0.0007442051711905084</v>
      </c>
      <c r="O262" s="24" t="n">
        <v>0.01230659169225786</v>
      </c>
      <c r="P262" s="24" t="n">
        <v>0.004433716903780657</v>
      </c>
      <c r="Q262" s="24" t="n">
        <v>0.03646111741109211</v>
      </c>
      <c r="R262" s="24" t="n">
        <v>0.05394563117832114</v>
      </c>
      <c r="S262" s="26" t="n">
        <v>0</v>
      </c>
      <c r="T262" s="26" t="n">
        <v>0</v>
      </c>
      <c r="U262" s="26" t="n">
        <v>0.0004242063424097505</v>
      </c>
      <c r="V262" s="26" t="n">
        <v>0.0004722191823356421</v>
      </c>
      <c r="W262" s="26" t="n">
        <v>0.0003071017649542378</v>
      </c>
      <c r="X262" s="26" t="n">
        <v>0.02329363387274118</v>
      </c>
      <c r="Y262" s="26" t="n">
        <v>0.02449716116244081</v>
      </c>
      <c r="Z262" s="28" t="n">
        <v>0</v>
      </c>
      <c r="AA262" s="28" t="n">
        <v>0.003127173544286591</v>
      </c>
      <c r="AB262" s="28" t="n">
        <v>7.485410330623648e-05</v>
      </c>
      <c r="AC262" s="28" t="n">
        <v>0.0001543898913344915</v>
      </c>
      <c r="AD262" s="28" t="n">
        <v>0.0001369182266672382</v>
      </c>
      <c r="AE262" s="28" t="n">
        <v>0.002473099587364041</v>
      </c>
      <c r="AF262" s="28" t="n">
        <v>0.005966435352958598</v>
      </c>
      <c r="AG262" s="30" t="n">
        <v>0</v>
      </c>
      <c r="AH262" s="30" t="n">
        <v>1.649105312647228e-05</v>
      </c>
      <c r="AI262" s="30" t="n">
        <v>0.0002805230458570776</v>
      </c>
      <c r="AJ262" s="30" t="n">
        <v>0.0003750735787279196</v>
      </c>
      <c r="AK262" s="30" t="n">
        <v>0.0001863181737923027</v>
      </c>
      <c r="AL262" s="30" t="n">
        <v>0.008662095453975919</v>
      </c>
      <c r="AM262" s="30" t="n">
        <v>0.009520501305479691</v>
      </c>
      <c r="AN262" s="32" t="n">
        <v>0</v>
      </c>
      <c r="AO262" s="32" t="n">
        <v>1.179775095002105e-05</v>
      </c>
      <c r="AP262" s="32" t="n">
        <v>6.627528372665328e-07</v>
      </c>
      <c r="AQ262" s="32" t="n">
        <v>7.464152422116936e-07</v>
      </c>
      <c r="AR262" s="32" t="n">
        <v>7.573516169652912e-07</v>
      </c>
      <c r="AS262" s="32" t="n">
        <v>6.901509787947373e-06</v>
      </c>
      <c r="AT262" s="32" t="n">
        <v>2.086578043441194e-05</v>
      </c>
      <c r="AU262" s="34" t="n">
        <v>0</v>
      </c>
      <c r="AV262" s="34" t="n">
        <v>0</v>
      </c>
      <c r="AW262" s="34" t="n">
        <v>0.00741460773413346</v>
      </c>
      <c r="AX262" s="34" t="n">
        <v>0.1764744841436473</v>
      </c>
      <c r="AY262" s="34" t="n">
        <v>0.1557142935381727</v>
      </c>
      <c r="AZ262" s="34" t="n">
        <v>0.4891586126198126</v>
      </c>
      <c r="BA262" s="34" t="n">
        <v>0.8287619980357661</v>
      </c>
      <c r="BB262" s="6" t="n"/>
      <c r="BC262" s="6" t="n"/>
      <c r="BD262" t="inlineStr">
        <is>
          <t>transport, Motorbike, battery electric, &lt;4kW, NCA battery, 2050, label-certified electricity/CH U</t>
        </is>
      </c>
      <c r="BF262" s="5" t="n">
        <v>0.053140931</v>
      </c>
      <c r="BG262" s="5">
        <f>BF262-R262</f>
        <v>-8.0470017832114105E-4</v>
      </c>
      <c r="BH262" s="2" t="n">
        <v>108.59704</v>
      </c>
    </row>
    <row r="263">
      <c r="A263" t="str">
        <f>B263&amp;" - "&amp;D263&amp;" - "&amp;IF(I263&lt;&gt;"",I263&amp;" - "&amp;E263,E263)</f>
        <v>Motorbike, battery electric, 4-11kW - 2020 - NCA - CH</v>
      </c>
      <c r="B263" t="inlineStr">
        <is>
          <t>Motorbike, battery electric, 4-11kW</t>
        </is>
      </c>
      <c r="D263" s="18" t="n">
        <v>2020</v>
      </c>
      <c r="E263" t="inlineStr">
        <is>
          <t>CH</t>
        </is>
      </c>
      <c r="F263" t="inlineStr">
        <is>
          <t>None</t>
        </is>
      </c>
      <c r="G263" t="inlineStr">
        <is>
          <t>vkm</t>
        </is>
      </c>
      <c r="H263" t="inlineStr">
        <is>
          <t>BEV</t>
        </is>
      </c>
      <c r="I263" t="inlineStr">
        <is>
          <t>NCA</t>
        </is>
      </c>
      <c r="J263" t="inlineStr">
        <is>
          <t>label-certified electricity</t>
        </is>
      </c>
      <c r="L263" s="24" t="n">
        <v>0</v>
      </c>
      <c r="M263" s="24" t="n">
        <v>0</v>
      </c>
      <c r="N263" s="24" t="n">
        <v>0.001119382984765889</v>
      </c>
      <c r="O263" s="24" t="n">
        <v>0.01230659169225786</v>
      </c>
      <c r="P263" s="24" t="n">
        <v>0.004550866368395035</v>
      </c>
      <c r="Q263" s="24" t="n">
        <v>0.04855326116478913</v>
      </c>
      <c r="R263" s="24" t="n">
        <v>0.06653010221020791</v>
      </c>
      <c r="S263" s="26" t="n">
        <v>0</v>
      </c>
      <c r="T263" s="26" t="n">
        <v>0</v>
      </c>
      <c r="U263" s="26" t="n">
        <v>0.0006380624323849139</v>
      </c>
      <c r="V263" s="26" t="n">
        <v>0.0004722191823356421</v>
      </c>
      <c r="W263" s="26" t="n">
        <v>0.0003145041632133679</v>
      </c>
      <c r="X263" s="26" t="n">
        <v>0.03643172500510355</v>
      </c>
      <c r="Y263" s="26" t="n">
        <v>0.03785651078303747</v>
      </c>
      <c r="Z263" s="28" t="n">
        <v>0</v>
      </c>
      <c r="AA263" s="28" t="n">
        <v>0.003127173544286591</v>
      </c>
      <c r="AB263" s="28" t="n">
        <v>0.0001125904694358268</v>
      </c>
      <c r="AC263" s="28" t="n">
        <v>0.0001543898913344915</v>
      </c>
      <c r="AD263" s="28" t="n">
        <v>0.0001402831040398236</v>
      </c>
      <c r="AE263" s="28" t="n">
        <v>0.003695267307323648</v>
      </c>
      <c r="AF263" s="28" t="n">
        <v>0.007229704316420381</v>
      </c>
      <c r="AG263" s="30" t="n">
        <v>0</v>
      </c>
      <c r="AH263" s="30" t="n">
        <v>1.649105312647228e-05</v>
      </c>
      <c r="AI263" s="30" t="n">
        <v>0.0004219437549255217</v>
      </c>
      <c r="AJ263" s="30" t="n">
        <v>0.0003750735787279196</v>
      </c>
      <c r="AK263" s="30" t="n">
        <v>0.0001894585279030722</v>
      </c>
      <c r="AL263" s="30" t="n">
        <v>0.01280976338401918</v>
      </c>
      <c r="AM263" s="30" t="n">
        <v>0.01381273029870217</v>
      </c>
      <c r="AN263" s="32" t="n">
        <v>0</v>
      </c>
      <c r="AO263" s="32" t="n">
        <v>1.179775095002105e-05</v>
      </c>
      <c r="AP263" s="32" t="n">
        <v>9.968679039876773e-07</v>
      </c>
      <c r="AQ263" s="32" t="n">
        <v>7.464152422116936e-07</v>
      </c>
      <c r="AR263" s="32" t="n">
        <v>7.697513480209108e-07</v>
      </c>
      <c r="AS263" s="32" t="n">
        <v>1.036365073158282e-05</v>
      </c>
      <c r="AT263" s="32" t="n">
        <v>2.467443617582415e-05</v>
      </c>
      <c r="AU263" s="34" t="n">
        <v>0</v>
      </c>
      <c r="AV263" s="34" t="n">
        <v>0</v>
      </c>
      <c r="AW263" s="34" t="n">
        <v>0.01115255047613462</v>
      </c>
      <c r="AX263" s="34" t="n">
        <v>0.1764744841436473</v>
      </c>
      <c r="AY263" s="34" t="n">
        <v>0.1595520336527873</v>
      </c>
      <c r="AZ263" s="34" t="n">
        <v>0.674376061484857</v>
      </c>
      <c r="BA263" s="34" t="n">
        <v>1.021555129757426</v>
      </c>
      <c r="BB263" s="6" t="n"/>
      <c r="BC263" s="6" t="n"/>
      <c r="BD263" t="inlineStr">
        <is>
          <t>transport, Motorbike, battery electric, 4-11kW, NCA battery, label-certified electricity/CH U</t>
        </is>
      </c>
      <c r="BF263" s="5" t="n">
        <v>0.066295403</v>
      </c>
      <c r="BG263" s="5">
        <f>BF263-R263</f>
        <v>-2.3469921020791151E-4</v>
      </c>
      <c r="BH263" s="2" t="n">
        <v>158.28456</v>
      </c>
    </row>
    <row r="264">
      <c r="A264" t="str">
        <f>B264&amp;" - "&amp;D264&amp;" - "&amp;IF(I264&lt;&gt;"",I264&amp;" - "&amp;E264,E264)</f>
        <v>Motorbike, battery electric, 4-11kW - 2030 - NCA - CH</v>
      </c>
      <c r="B264" t="inlineStr">
        <is>
          <t>Motorbike, battery electric, 4-11kW</t>
        </is>
      </c>
      <c r="D264" s="18" t="n">
        <v>2030</v>
      </c>
      <c r="E264" t="inlineStr">
        <is>
          <t>CH</t>
        </is>
      </c>
      <c r="F264" t="inlineStr">
        <is>
          <t>None</t>
        </is>
      </c>
      <c r="G264" t="inlineStr">
        <is>
          <t>vkm</t>
        </is>
      </c>
      <c r="H264" t="inlineStr">
        <is>
          <t>BEV</t>
        </is>
      </c>
      <c r="I264" t="inlineStr">
        <is>
          <t>NCA</t>
        </is>
      </c>
      <c r="J264" t="inlineStr">
        <is>
          <t>label-certified electricity</t>
        </is>
      </c>
      <c r="L264" s="24" t="n">
        <v>0</v>
      </c>
      <c r="M264" s="24" t="n">
        <v>0</v>
      </c>
      <c r="N264" s="24" t="n">
        <v>0.001119382984765889</v>
      </c>
      <c r="O264" s="24" t="n">
        <v>0.01230659169225786</v>
      </c>
      <c r="P264" s="24" t="n">
        <v>0.004565944579295552</v>
      </c>
      <c r="Q264" s="24" t="n">
        <v>0.05109473748780233</v>
      </c>
      <c r="R264" s="24" t="n">
        <v>0.06908665674412162</v>
      </c>
      <c r="S264" s="26" t="n">
        <v>0</v>
      </c>
      <c r="T264" s="26" t="n">
        <v>0</v>
      </c>
      <c r="U264" s="26" t="n">
        <v>0.0006380624323849139</v>
      </c>
      <c r="V264" s="26" t="n">
        <v>0.0004722191823356421</v>
      </c>
      <c r="W264" s="26" t="n">
        <v>0.0003154569197836876</v>
      </c>
      <c r="X264" s="26" t="n">
        <v>0.03676635085125734</v>
      </c>
      <c r="Y264" s="26" t="n">
        <v>0.03819208938576158</v>
      </c>
      <c r="Z264" s="28" t="n">
        <v>0</v>
      </c>
      <c r="AA264" s="28" t="n">
        <v>0.003127173544286591</v>
      </c>
      <c r="AB264" s="28" t="n">
        <v>0.0001125904694358268</v>
      </c>
      <c r="AC264" s="28" t="n">
        <v>0.0001543898913344915</v>
      </c>
      <c r="AD264" s="28" t="n">
        <v>0.0001407161946292278</v>
      </c>
      <c r="AE264" s="28" t="n">
        <v>0.003831941856794318</v>
      </c>
      <c r="AF264" s="28" t="n">
        <v>0.007366811956480455</v>
      </c>
      <c r="AG264" s="30" t="n">
        <v>0</v>
      </c>
      <c r="AH264" s="30" t="n">
        <v>1.649105312647228e-05</v>
      </c>
      <c r="AI264" s="30" t="n">
        <v>0.0004219437549255217</v>
      </c>
      <c r="AJ264" s="30" t="n">
        <v>0.0003750735787279196</v>
      </c>
      <c r="AK264" s="30" t="n">
        <v>0.0001898627202887596</v>
      </c>
      <c r="AL264" s="30" t="n">
        <v>0.01325858238507989</v>
      </c>
      <c r="AM264" s="30" t="n">
        <v>0.01426195349214856</v>
      </c>
      <c r="AN264" s="32" t="n">
        <v>0</v>
      </c>
      <c r="AO264" s="32" t="n">
        <v>1.179775095002105e-05</v>
      </c>
      <c r="AP264" s="32" t="n">
        <v>9.968679039876773e-07</v>
      </c>
      <c r="AQ264" s="32" t="n">
        <v>7.464152422116936e-07</v>
      </c>
      <c r="AR264" s="32" t="n">
        <v>7.713473071708888e-07</v>
      </c>
      <c r="AS264" s="32" t="n">
        <v>1.04619302838531e-05</v>
      </c>
      <c r="AT264" s="32" t="n">
        <v>2.477431168724441e-05</v>
      </c>
      <c r="AU264" s="34" t="n">
        <v>0</v>
      </c>
      <c r="AV264" s="34" t="n">
        <v>0</v>
      </c>
      <c r="AW264" s="34" t="n">
        <v>0.01115255047613462</v>
      </c>
      <c r="AX264" s="34" t="n">
        <v>0.1764744841436473</v>
      </c>
      <c r="AY264" s="34" t="n">
        <v>0.160045986015438</v>
      </c>
      <c r="AZ264" s="34" t="n">
        <v>0.7011694227305612</v>
      </c>
      <c r="BA264" s="34" t="n">
        <v>1.048842443365781</v>
      </c>
      <c r="BB264" s="6" t="n"/>
      <c r="BC264" s="6" t="n"/>
      <c r="BD264" t="inlineStr">
        <is>
          <t>transport, Motorbike, battery electric, 4-11kW, NCA battery, 2030, label-certified electricity/CH U</t>
        </is>
      </c>
      <c r="BF264" s="5" t="n">
        <v>0.067289877</v>
      </c>
      <c r="BG264" s="5">
        <f>BF264-R264</f>
        <v>-1.7967797441216238E-3</v>
      </c>
      <c r="BH264" s="2" t="n">
        <v>158.38005</v>
      </c>
    </row>
    <row r="265">
      <c r="A265" t="str">
        <f>B265&amp;" - "&amp;D265&amp;" - "&amp;IF(I265&lt;&gt;"",I265&amp;" - "&amp;E265,E265)</f>
        <v>Motorbike, battery electric, 4-11kW - 2040 - NCA - CH</v>
      </c>
      <c r="B265" t="inlineStr">
        <is>
          <t>Motorbike, battery electric, 4-11kW</t>
        </is>
      </c>
      <c r="D265" s="18" t="n">
        <v>2040</v>
      </c>
      <c r="E265" t="inlineStr">
        <is>
          <t>CH</t>
        </is>
      </c>
      <c r="F265" t="inlineStr">
        <is>
          <t>None</t>
        </is>
      </c>
      <c r="G265" t="inlineStr">
        <is>
          <t>vkm</t>
        </is>
      </c>
      <c r="H265" t="inlineStr">
        <is>
          <t>BEV</t>
        </is>
      </c>
      <c r="I265" t="inlineStr">
        <is>
          <t>NCA</t>
        </is>
      </c>
      <c r="J265" t="inlineStr">
        <is>
          <t>label-certified electricity</t>
        </is>
      </c>
      <c r="L265" s="24" t="n">
        <v>0</v>
      </c>
      <c r="M265" s="24" t="n">
        <v>0</v>
      </c>
      <c r="N265" s="24" t="n">
        <v>0.001119382984765889</v>
      </c>
      <c r="O265" s="24" t="n">
        <v>0.01230659169225786</v>
      </c>
      <c r="P265" s="24" t="n">
        <v>0.004564918789467381</v>
      </c>
      <c r="Q265" s="24" t="n">
        <v>0.05074490019026609</v>
      </c>
      <c r="R265" s="24" t="n">
        <v>0.06873579365675722</v>
      </c>
      <c r="S265" s="26" t="n">
        <v>0</v>
      </c>
      <c r="T265" s="26" t="n">
        <v>0</v>
      </c>
      <c r="U265" s="26" t="n">
        <v>0.0006380624323849139</v>
      </c>
      <c r="V265" s="26" t="n">
        <v>0.0004722191823356421</v>
      </c>
      <c r="W265" s="26" t="n">
        <v>0.0003153921025447589</v>
      </c>
      <c r="X265" s="26" t="n">
        <v>0.03507725196365487</v>
      </c>
      <c r="Y265" s="26" t="n">
        <v>0.03650292568092018</v>
      </c>
      <c r="Z265" s="28" t="n">
        <v>0</v>
      </c>
      <c r="AA265" s="28" t="n">
        <v>0.003127173544286591</v>
      </c>
      <c r="AB265" s="28" t="n">
        <v>0.0001125904694358268</v>
      </c>
      <c r="AC265" s="28" t="n">
        <v>0.0001543898913344915</v>
      </c>
      <c r="AD265" s="28" t="n">
        <v>0.000140686730926656</v>
      </c>
      <c r="AE265" s="28" t="n">
        <v>0.003684879772258432</v>
      </c>
      <c r="AF265" s="28" t="n">
        <v>0.007219720408241997</v>
      </c>
      <c r="AG265" s="30" t="n">
        <v>0</v>
      </c>
      <c r="AH265" s="30" t="n">
        <v>1.649105312647228e-05</v>
      </c>
      <c r="AI265" s="30" t="n">
        <v>0.0004219437549255217</v>
      </c>
      <c r="AJ265" s="30" t="n">
        <v>0.0003750735787279196</v>
      </c>
      <c r="AK265" s="30" t="n">
        <v>0.0001898352225676707</v>
      </c>
      <c r="AL265" s="30" t="n">
        <v>0.01284164798792508</v>
      </c>
      <c r="AM265" s="30" t="n">
        <v>0.01384499159727266</v>
      </c>
      <c r="AN265" s="32" t="n">
        <v>0</v>
      </c>
      <c r="AO265" s="32" t="n">
        <v>1.179775095002105e-05</v>
      </c>
      <c r="AP265" s="32" t="n">
        <v>9.968679039876773e-07</v>
      </c>
      <c r="AQ265" s="32" t="n">
        <v>7.464152422116936e-07</v>
      </c>
      <c r="AR265" s="32" t="n">
        <v>7.712387320439706e-07</v>
      </c>
      <c r="AS265" s="32" t="n">
        <v>1.004131213493747e-05</v>
      </c>
      <c r="AT265" s="32" t="n">
        <v>2.435358496320186e-05</v>
      </c>
      <c r="AU265" s="34" t="n">
        <v>0</v>
      </c>
      <c r="AV265" s="34" t="n">
        <v>0</v>
      </c>
      <c r="AW265" s="34" t="n">
        <v>0.01115255047613462</v>
      </c>
      <c r="AX265" s="34" t="n">
        <v>0.1764744841436473</v>
      </c>
      <c r="AY265" s="34" t="n">
        <v>0.160012381809173</v>
      </c>
      <c r="AZ265" s="34" t="n">
        <v>0.6898277764556963</v>
      </c>
      <c r="BA265" s="34" t="n">
        <v>1.037467192884651</v>
      </c>
      <c r="BB265" s="6" t="n"/>
      <c r="BC265" s="6" t="n"/>
      <c r="BD265" t="inlineStr">
        <is>
          <t>transport, Motorbike, battery electric, 4-11kW, NCA battery, 2040, label-certified electricity/CH U</t>
        </is>
      </c>
      <c r="BF265" s="5" t="n">
        <v>0.06627269500000001</v>
      </c>
      <c r="BG265" s="5">
        <f>BF265-R265</f>
        <v>-2.463098656757215E-3</v>
      </c>
      <c r="BH265" s="2" t="n">
        <v>149.85062</v>
      </c>
    </row>
    <row r="266">
      <c r="A266" t="str">
        <f>B266&amp;" - "&amp;D266&amp;" - "&amp;IF(I266&lt;&gt;"",I266&amp;" - "&amp;E266,E266)</f>
        <v>Motorbike, battery electric, 4-11kW - 2050 - NCA - CH</v>
      </c>
      <c r="B266" t="inlineStr">
        <is>
          <t>Motorbike, battery electric, 4-11kW</t>
        </is>
      </c>
      <c r="D266" s="18" t="n">
        <v>2050</v>
      </c>
      <c r="E266" t="inlineStr">
        <is>
          <t>CH</t>
        </is>
      </c>
      <c r="F266" t="inlineStr">
        <is>
          <t>None</t>
        </is>
      </c>
      <c r="G266" t="inlineStr">
        <is>
          <t>vkm</t>
        </is>
      </c>
      <c r="H266" t="inlineStr">
        <is>
          <t>BEV</t>
        </is>
      </c>
      <c r="I266" t="inlineStr">
        <is>
          <t>NCA</t>
        </is>
      </c>
      <c r="J266" t="inlineStr">
        <is>
          <t>label-certified electricity</t>
        </is>
      </c>
      <c r="L266" s="24" t="n">
        <v>0</v>
      </c>
      <c r="M266" s="24" t="n">
        <v>0</v>
      </c>
      <c r="N266" s="24" t="n">
        <v>0.001119382984765889</v>
      </c>
      <c r="O266" s="24" t="n">
        <v>0.01230659169225786</v>
      </c>
      <c r="P266" s="24" t="n">
        <v>0.004567838172282141</v>
      </c>
      <c r="Q266" s="24" t="n">
        <v>0.05057396285098904</v>
      </c>
      <c r="R266" s="24" t="n">
        <v>0.06856777570029493</v>
      </c>
      <c r="S266" s="26" t="n">
        <v>0</v>
      </c>
      <c r="T266" s="26" t="n">
        <v>0</v>
      </c>
      <c r="U266" s="26" t="n">
        <v>0.0006380624323849139</v>
      </c>
      <c r="V266" s="26" t="n">
        <v>0.0004722191823356421</v>
      </c>
      <c r="W266" s="26" t="n">
        <v>0.0003155765714566472</v>
      </c>
      <c r="X266" s="26" t="n">
        <v>0.03354871779125662</v>
      </c>
      <c r="Y266" s="26" t="n">
        <v>0.03497457597743382</v>
      </c>
      <c r="Z266" s="28" t="n">
        <v>0</v>
      </c>
      <c r="AA266" s="28" t="n">
        <v>0.003127173544286591</v>
      </c>
      <c r="AB266" s="28" t="n">
        <v>0.0001125904694358268</v>
      </c>
      <c r="AC266" s="28" t="n">
        <v>0.0001543898913344915</v>
      </c>
      <c r="AD266" s="28" t="n">
        <v>0.0001407705841922909</v>
      </c>
      <c r="AE266" s="28" t="n">
        <v>0.003558316813012054</v>
      </c>
      <c r="AF266" s="28" t="n">
        <v>0.007093241302261254</v>
      </c>
      <c r="AG266" s="30" t="n">
        <v>0</v>
      </c>
      <c r="AH266" s="30" t="n">
        <v>1.649105312647228e-05</v>
      </c>
      <c r="AI266" s="30" t="n">
        <v>0.0004219437549255217</v>
      </c>
      <c r="AJ266" s="30" t="n">
        <v>0.0003750735787279196</v>
      </c>
      <c r="AK266" s="30" t="n">
        <v>0.0001899134806788231</v>
      </c>
      <c r="AL266" s="30" t="n">
        <v>0.01248483860956842</v>
      </c>
      <c r="AM266" s="30" t="n">
        <v>0.01348826047702716</v>
      </c>
      <c r="AN266" s="32" t="n">
        <v>0</v>
      </c>
      <c r="AO266" s="32" t="n">
        <v>1.179775095002105e-05</v>
      </c>
      <c r="AP266" s="32" t="n">
        <v>9.968679039876773e-07</v>
      </c>
      <c r="AQ266" s="32" t="n">
        <v>7.464152422116936e-07</v>
      </c>
      <c r="AR266" s="32" t="n">
        <v>7.715477352636658e-07</v>
      </c>
      <c r="AS266" s="32" t="n">
        <v>9.663394939818036e-06</v>
      </c>
      <c r="AT266" s="32" t="n">
        <v>2.397597677130212e-05</v>
      </c>
      <c r="AU266" s="34" t="n">
        <v>0</v>
      </c>
      <c r="AV266" s="34" t="n">
        <v>0</v>
      </c>
      <c r="AW266" s="34" t="n">
        <v>0.01115255047613462</v>
      </c>
      <c r="AX266" s="34" t="n">
        <v>0.1764744841436473</v>
      </c>
      <c r="AY266" s="34" t="n">
        <v>0.1601080188876266</v>
      </c>
      <c r="AZ266" s="34" t="n">
        <v>0.6810465258930191</v>
      </c>
      <c r="BA266" s="34" t="n">
        <v>1.028781579400428</v>
      </c>
      <c r="BB266" s="6" t="n"/>
      <c r="BC266" s="6" t="n"/>
      <c r="BD266" t="inlineStr">
        <is>
          <t>transport, Motorbike, battery electric, 4-11kW, NCA battery, 2050, label-certified electricity/CH U</t>
        </is>
      </c>
      <c r="BF266" s="5" t="n">
        <v>0.065405557</v>
      </c>
      <c r="BG266" s="5">
        <f>BF266-R266</f>
        <v>-3.1622187002949276E-3</v>
      </c>
      <c r="BH266" s="2" t="n">
        <v>142.0439</v>
      </c>
    </row>
    <row r="267">
      <c r="A267" t="str">
        <f>B267&amp;" - "&amp;D267&amp;" - "&amp;IF(I267&lt;&gt;"",I267&amp;" - "&amp;E267,E267)</f>
        <v>Motorbike, battery electric, 11-35kW - 2020 - NCA - CH</v>
      </c>
      <c r="B267" t="inlineStr">
        <is>
          <t>Motorbike, battery electric, 11-35kW</t>
        </is>
      </c>
      <c r="D267" s="18" t="n">
        <v>2020</v>
      </c>
      <c r="E267" t="inlineStr">
        <is>
          <t>CH</t>
        </is>
      </c>
      <c r="F267" t="inlineStr">
        <is>
          <t>None</t>
        </is>
      </c>
      <c r="G267" t="inlineStr">
        <is>
          <t>vkm</t>
        </is>
      </c>
      <c r="H267" t="inlineStr">
        <is>
          <t>BEV</t>
        </is>
      </c>
      <c r="I267" t="inlineStr">
        <is>
          <t>NCA</t>
        </is>
      </c>
      <c r="J267" t="inlineStr">
        <is>
          <t>label-certified electricity</t>
        </is>
      </c>
      <c r="L267" s="24" t="n">
        <v>0</v>
      </c>
      <c r="M267" s="24" t="n">
        <v>0</v>
      </c>
      <c r="N267" s="24" t="n">
        <v>0.001515200493146706</v>
      </c>
      <c r="O267" s="24" t="n">
        <v>0.01230659169225786</v>
      </c>
      <c r="P267" s="24" t="n">
        <v>0.004806502072416283</v>
      </c>
      <c r="Q267" s="24" t="n">
        <v>0.05790342132339036</v>
      </c>
      <c r="R267" s="24" t="n">
        <v>0.0765317155812112</v>
      </c>
      <c r="S267" s="26" t="n">
        <v>0</v>
      </c>
      <c r="T267" s="26" t="n">
        <v>0</v>
      </c>
      <c r="U267" s="26" t="n">
        <v>0.00086368340895427</v>
      </c>
      <c r="V267" s="26" t="n">
        <v>0.0004722191823356421</v>
      </c>
      <c r="W267" s="26" t="n">
        <v>0.0003306571801874306</v>
      </c>
      <c r="X267" s="26" t="n">
        <v>0.04653641575890345</v>
      </c>
      <c r="Y267" s="26" t="n">
        <v>0.0482029755303808</v>
      </c>
      <c r="Z267" s="28" t="n">
        <v>0</v>
      </c>
      <c r="AA267" s="28" t="n">
        <v>0.003127173544286591</v>
      </c>
      <c r="AB267" s="28" t="n">
        <v>0.0001524028300720178</v>
      </c>
      <c r="AC267" s="28" t="n">
        <v>0.0001543898913344915</v>
      </c>
      <c r="AD267" s="28" t="n">
        <v>0.0001476257137471537</v>
      </c>
      <c r="AE267" s="28" t="n">
        <v>0.005091916474450555</v>
      </c>
      <c r="AF267" s="28" t="n">
        <v>0.00867350845389081</v>
      </c>
      <c r="AG267" s="30" t="n">
        <v>0</v>
      </c>
      <c r="AH267" s="30" t="n">
        <v>1.649105312647228e-05</v>
      </c>
      <c r="AI267" s="30" t="n">
        <v>0.0005711444556905024</v>
      </c>
      <c r="AJ267" s="30" t="n">
        <v>0.0003750735787279196</v>
      </c>
      <c r="AK267" s="30" t="n">
        <v>0.0001963111980080967</v>
      </c>
      <c r="AL267" s="30" t="n">
        <v>0.01682611503501791</v>
      </c>
      <c r="AM267" s="30" t="n">
        <v>0.0179851353205709</v>
      </c>
      <c r="AN267" s="32" t="n">
        <v>0</v>
      </c>
      <c r="AO267" s="32" t="n">
        <v>1.179775095002105e-05</v>
      </c>
      <c r="AP267" s="32" t="n">
        <v>1.349363676490181e-06</v>
      </c>
      <c r="AQ267" s="32" t="n">
        <v>7.464152422116936e-07</v>
      </c>
      <c r="AR267" s="32" t="n">
        <v>7.968092094333518e-07</v>
      </c>
      <c r="AS267" s="32" t="n">
        <v>1.275134820543323e-05</v>
      </c>
      <c r="AT267" s="32" t="n">
        <v>2.744168728358951e-05</v>
      </c>
      <c r="AU267" s="34" t="n">
        <v>0</v>
      </c>
      <c r="AV267" s="34" t="n">
        <v>0</v>
      </c>
      <c r="AW267" s="34" t="n">
        <v>0.01509612903828165</v>
      </c>
      <c r="AX267" s="34" t="n">
        <v>0.1764744841436473</v>
      </c>
      <c r="AY267" s="34" t="n">
        <v>0.1679264927190705</v>
      </c>
      <c r="AZ267" s="34" t="n">
        <v>0.8104342597733819</v>
      </c>
      <c r="BA267" s="34" t="n">
        <v>1.169931365674381</v>
      </c>
      <c r="BB267" s="6" t="n"/>
      <c r="BC267" s="6" t="n"/>
      <c r="BD267" t="inlineStr">
        <is>
          <t>transport, Motorbike, battery electric, 11-35kW, NCA battery, label-certified electricity/CH U</t>
        </is>
      </c>
      <c r="BF267" s="5" t="n">
        <v>0.07378301599999999</v>
      </c>
      <c r="BG267" s="5">
        <f>BF267-R267</f>
        <v>-2.7486995812112114E-3</v>
      </c>
      <c r="BH267" s="2" t="n">
        <v>211.39007</v>
      </c>
    </row>
    <row r="268">
      <c r="A268" t="str">
        <f>B268&amp;" - "&amp;D268&amp;" - "&amp;IF(I268&lt;&gt;"",I268&amp;" - "&amp;E268,E268)</f>
        <v>Motorbike, battery electric, 11-35kW - 2030 - NCA - CH</v>
      </c>
      <c r="B268" t="inlineStr">
        <is>
          <t>Motorbike, battery electric, 11-35kW</t>
        </is>
      </c>
      <c r="D268" s="18" t="n">
        <v>2030</v>
      </c>
      <c r="E268" t="inlineStr">
        <is>
          <t>CH</t>
        </is>
      </c>
      <c r="F268" t="inlineStr">
        <is>
          <t>None</t>
        </is>
      </c>
      <c r="G268" t="inlineStr">
        <is>
          <t>vkm</t>
        </is>
      </c>
      <c r="H268" t="inlineStr">
        <is>
          <t>BEV</t>
        </is>
      </c>
      <c r="I268" t="inlineStr">
        <is>
          <t>NCA</t>
        </is>
      </c>
      <c r="J268" t="inlineStr">
        <is>
          <t>label-certified electricity</t>
        </is>
      </c>
      <c r="L268" s="24" t="n">
        <v>0</v>
      </c>
      <c r="M268" s="24" t="n">
        <v>0</v>
      </c>
      <c r="N268" s="24" t="n">
        <v>0.001515200493146706</v>
      </c>
      <c r="O268" s="24" t="n">
        <v>0.01230659169225786</v>
      </c>
      <c r="P268" s="24" t="n">
        <v>0.004839523431328749</v>
      </c>
      <c r="Q268" s="24" t="n">
        <v>0.05725954053885249</v>
      </c>
      <c r="R268" s="24" t="n">
        <v>0.0759208561555858</v>
      </c>
      <c r="S268" s="26" t="n">
        <v>0</v>
      </c>
      <c r="T268" s="26" t="n">
        <v>0</v>
      </c>
      <c r="U268" s="26" t="n">
        <v>0.00086368340895427</v>
      </c>
      <c r="V268" s="26" t="n">
        <v>0.0004722191823356421</v>
      </c>
      <c r="W268" s="26" t="n">
        <v>0.0003327437219444277</v>
      </c>
      <c r="X268" s="26" t="n">
        <v>0.04423761418752283</v>
      </c>
      <c r="Y268" s="26" t="n">
        <v>0.04590626050075717</v>
      </c>
      <c r="Z268" s="28" t="n">
        <v>0</v>
      </c>
      <c r="AA268" s="28" t="n">
        <v>0.003127173544286591</v>
      </c>
      <c r="AB268" s="28" t="n">
        <v>0.0001524028300720178</v>
      </c>
      <c r="AC268" s="28" t="n">
        <v>0.0001543898913344915</v>
      </c>
      <c r="AD268" s="28" t="n">
        <v>0.0001485741843507739</v>
      </c>
      <c r="AE268" s="28" t="n">
        <v>0.004885948492382748</v>
      </c>
      <c r="AF268" s="28" t="n">
        <v>0.008468488942426623</v>
      </c>
      <c r="AG268" s="30" t="n">
        <v>0</v>
      </c>
      <c r="AH268" s="30" t="n">
        <v>1.649105312647228e-05</v>
      </c>
      <c r="AI268" s="30" t="n">
        <v>0.0005711444556905024</v>
      </c>
      <c r="AJ268" s="30" t="n">
        <v>0.0003750735787279196</v>
      </c>
      <c r="AK268" s="30" t="n">
        <v>0.0001971963813979253</v>
      </c>
      <c r="AL268" s="30" t="n">
        <v>0.016225130727688</v>
      </c>
      <c r="AM268" s="30" t="n">
        <v>0.01738503619663082</v>
      </c>
      <c r="AN268" s="32" t="n">
        <v>0</v>
      </c>
      <c r="AO268" s="32" t="n">
        <v>1.179775095002105e-05</v>
      </c>
      <c r="AP268" s="32" t="n">
        <v>1.349363676490181e-06</v>
      </c>
      <c r="AQ268" s="32" t="n">
        <v>7.464152422116936e-07</v>
      </c>
      <c r="AR268" s="32" t="n">
        <v>8.003043681261676e-07</v>
      </c>
      <c r="AS268" s="32" t="n">
        <v>1.21926266825028e-05</v>
      </c>
      <c r="AT268" s="32" t="n">
        <v>2.688646091935189e-05</v>
      </c>
      <c r="AU268" s="34" t="n">
        <v>0</v>
      </c>
      <c r="AV268" s="34" t="n">
        <v>0</v>
      </c>
      <c r="AW268" s="34" t="n">
        <v>0.01509612903828165</v>
      </c>
      <c r="AX268" s="34" t="n">
        <v>0.1764744841436473</v>
      </c>
      <c r="AY268" s="34" t="n">
        <v>0.1690082509170666</v>
      </c>
      <c r="AZ268" s="34" t="n">
        <v>0.7936230164507098</v>
      </c>
      <c r="BA268" s="34" t="n">
        <v>1.154201880549705</v>
      </c>
      <c r="BB268" s="6" t="n"/>
      <c r="BC268" s="6" t="n"/>
      <c r="BD268" t="inlineStr">
        <is>
          <t>transport, Motorbike, battery electric, 11-35kW, NCA battery, 2030, label-certified electricity/CH U</t>
        </is>
      </c>
      <c r="BF268" s="5" t="n">
        <v>0.072455001</v>
      </c>
      <c r="BG268" s="5">
        <f>BF268-R268</f>
        <v>-3.465855155585798E-3</v>
      </c>
      <c r="BH268" s="2" t="n">
        <v>200.16619</v>
      </c>
    </row>
    <row r="269">
      <c r="A269" t="str">
        <f>B269&amp;" - "&amp;D269&amp;" - "&amp;IF(I269&lt;&gt;"",I269&amp;" - "&amp;E269,E269)</f>
        <v>Motorbike, battery electric, 11-35kW - 2040 - NCA - CH</v>
      </c>
      <c r="B269" t="inlineStr">
        <is>
          <t>Motorbike, battery electric, 11-35kW</t>
        </is>
      </c>
      <c r="D269" s="18" t="n">
        <v>2040</v>
      </c>
      <c r="E269" t="inlineStr">
        <is>
          <t>CH</t>
        </is>
      </c>
      <c r="F269" t="inlineStr">
        <is>
          <t>None</t>
        </is>
      </c>
      <c r="G269" t="inlineStr">
        <is>
          <t>vkm</t>
        </is>
      </c>
      <c r="H269" t="inlineStr">
        <is>
          <t>BEV</t>
        </is>
      </c>
      <c r="I269" t="inlineStr">
        <is>
          <t>NCA</t>
        </is>
      </c>
      <c r="J269" t="inlineStr">
        <is>
          <t>label-certified electricity</t>
        </is>
      </c>
      <c r="L269" s="24" t="n">
        <v>0</v>
      </c>
      <c r="M269" s="24" t="n">
        <v>0</v>
      </c>
      <c r="N269" s="24" t="n">
        <v>0.001515200493146706</v>
      </c>
      <c r="O269" s="24" t="n">
        <v>0.01230659169225786</v>
      </c>
      <c r="P269" s="24" t="n">
        <v>0.004842998218002713</v>
      </c>
      <c r="Q269" s="24" t="n">
        <v>0.05500534205256671</v>
      </c>
      <c r="R269" s="24" t="n">
        <v>0.07367013245597398</v>
      </c>
      <c r="S269" s="26" t="n">
        <v>0</v>
      </c>
      <c r="T269" s="26" t="n">
        <v>0</v>
      </c>
      <c r="U269" s="26" t="n">
        <v>0.00086368340895427</v>
      </c>
      <c r="V269" s="26" t="n">
        <v>0.0004722191823356421</v>
      </c>
      <c r="W269" s="26" t="n">
        <v>0.0003329632855157242</v>
      </c>
      <c r="X269" s="26" t="n">
        <v>0.04100285422106154</v>
      </c>
      <c r="Y269" s="26" t="n">
        <v>0.04267172009786718</v>
      </c>
      <c r="Z269" s="28" t="n">
        <v>0</v>
      </c>
      <c r="AA269" s="28" t="n">
        <v>0.003127173544286591</v>
      </c>
      <c r="AB269" s="28" t="n">
        <v>0.0001524028300720178</v>
      </c>
      <c r="AC269" s="28" t="n">
        <v>0.0001543898913344915</v>
      </c>
      <c r="AD269" s="28" t="n">
        <v>0.0001486739904496943</v>
      </c>
      <c r="AE269" s="28" t="n">
        <v>0.004536249391858259</v>
      </c>
      <c r="AF269" s="28" t="n">
        <v>0.008118889648001055</v>
      </c>
      <c r="AG269" s="30" t="n">
        <v>0</v>
      </c>
      <c r="AH269" s="30" t="n">
        <v>1.649105312647228e-05</v>
      </c>
      <c r="AI269" s="30" t="n">
        <v>0.0005711444556905024</v>
      </c>
      <c r="AJ269" s="30" t="n">
        <v>0.0003750735787279196</v>
      </c>
      <c r="AK269" s="30" t="n">
        <v>0.0001972895278809378</v>
      </c>
      <c r="AL269" s="30" t="n">
        <v>0.0151869670933979</v>
      </c>
      <c r="AM269" s="30" t="n">
        <v>0.01634696570882373</v>
      </c>
      <c r="AN269" s="32" t="n">
        <v>0</v>
      </c>
      <c r="AO269" s="32" t="n">
        <v>1.179775095002105e-05</v>
      </c>
      <c r="AP269" s="32" t="n">
        <v>1.349363676490181e-06</v>
      </c>
      <c r="AQ269" s="32" t="n">
        <v>7.464152422116936e-07</v>
      </c>
      <c r="AR269" s="32" t="n">
        <v>8.006721582853002e-07</v>
      </c>
      <c r="AS269" s="32" t="n">
        <v>1.138602801299429e-05</v>
      </c>
      <c r="AT269" s="32" t="n">
        <v>2.608023004000252e-05</v>
      </c>
      <c r="AU269" s="34" t="n">
        <v>0</v>
      </c>
      <c r="AV269" s="34" t="n">
        <v>0</v>
      </c>
      <c r="AW269" s="34" t="n">
        <v>0.01509612903828165</v>
      </c>
      <c r="AX269" s="34" t="n">
        <v>0.1764744841436473</v>
      </c>
      <c r="AY269" s="34" t="n">
        <v>0.1691220826639917</v>
      </c>
      <c r="AZ269" s="34" t="n">
        <v>0.7563401128380741</v>
      </c>
      <c r="BA269" s="34" t="n">
        <v>1.117032808683995</v>
      </c>
      <c r="BB269" s="6" t="n"/>
      <c r="BC269" s="6" t="n"/>
      <c r="BD269" t="inlineStr">
        <is>
          <t>transport, Motorbike, battery electric, 11-35kW, NCA battery, 2040, label-certified electricity/CH U</t>
        </is>
      </c>
      <c r="BF269" s="5" t="n">
        <v>0.070050471</v>
      </c>
      <c r="BG269" s="5">
        <f>BF269-R269</f>
        <v>-3.619661455973977E-3</v>
      </c>
      <c r="BH269" s="2" t="n">
        <v>184.97057</v>
      </c>
    </row>
    <row r="270">
      <c r="A270" t="str">
        <f>B270&amp;" - "&amp;D270&amp;" - "&amp;IF(I270&lt;&gt;"",I270&amp;" - "&amp;E270,E270)</f>
        <v>Motorbike, battery electric, 11-35kW - 2050 - NCA - CH</v>
      </c>
      <c r="B270" t="inlineStr">
        <is>
          <t>Motorbike, battery electric, 11-35kW</t>
        </is>
      </c>
      <c r="D270" s="18" t="n">
        <v>2050</v>
      </c>
      <c r="E270" t="inlineStr">
        <is>
          <t>CH</t>
        </is>
      </c>
      <c r="F270" t="inlineStr">
        <is>
          <t>None</t>
        </is>
      </c>
      <c r="G270" t="inlineStr">
        <is>
          <t>vkm</t>
        </is>
      </c>
      <c r="H270" t="inlineStr">
        <is>
          <t>BEV</t>
        </is>
      </c>
      <c r="I270" t="inlineStr">
        <is>
          <t>NCA</t>
        </is>
      </c>
      <c r="J270" t="inlineStr">
        <is>
          <t>label-certified electricity</t>
        </is>
      </c>
      <c r="L270" s="24" t="n">
        <v>0</v>
      </c>
      <c r="M270" s="24" t="n">
        <v>0</v>
      </c>
      <c r="N270" s="24" t="n">
        <v>0.001515200493146706</v>
      </c>
      <c r="O270" s="24" t="n">
        <v>0.01230659169225786</v>
      </c>
      <c r="P270" s="24" t="n">
        <v>0.004842133314769455</v>
      </c>
      <c r="Q270" s="24" t="n">
        <v>0.0520190696938027</v>
      </c>
      <c r="R270" s="24" t="n">
        <v>0.07068299519397672</v>
      </c>
      <c r="S270" s="26" t="n">
        <v>0</v>
      </c>
      <c r="T270" s="26" t="n">
        <v>0</v>
      </c>
      <c r="U270" s="26" t="n">
        <v>0.00086368340895427</v>
      </c>
      <c r="V270" s="26" t="n">
        <v>0.0004722191823356421</v>
      </c>
      <c r="W270" s="26" t="n">
        <v>0.000332908634321122</v>
      </c>
      <c r="X270" s="26" t="n">
        <v>0.03708066283381804</v>
      </c>
      <c r="Y270" s="26" t="n">
        <v>0.03874947405942908</v>
      </c>
      <c r="Z270" s="28" t="n">
        <v>0</v>
      </c>
      <c r="AA270" s="28" t="n">
        <v>0.003127173544286591</v>
      </c>
      <c r="AB270" s="28" t="n">
        <v>0.0001524028300720178</v>
      </c>
      <c r="AC270" s="28" t="n">
        <v>0.0001543898913344915</v>
      </c>
      <c r="AD270" s="28" t="n">
        <v>0.0001486491478835875</v>
      </c>
      <c r="AE270" s="28" t="n">
        <v>0.004101117810328513</v>
      </c>
      <c r="AF270" s="28" t="n">
        <v>0.007683733223905202</v>
      </c>
      <c r="AG270" s="30" t="n">
        <v>0</v>
      </c>
      <c r="AH270" s="30" t="n">
        <v>1.649105312647228e-05</v>
      </c>
      <c r="AI270" s="30" t="n">
        <v>0.0005711444556905024</v>
      </c>
      <c r="AJ270" s="30" t="n">
        <v>0.0003750735787279196</v>
      </c>
      <c r="AK270" s="30" t="n">
        <v>0.0001972663429484849</v>
      </c>
      <c r="AL270" s="30" t="n">
        <v>0.01389134425749195</v>
      </c>
      <c r="AM270" s="30" t="n">
        <v>0.01505131968798533</v>
      </c>
      <c r="AN270" s="32" t="n">
        <v>0</v>
      </c>
      <c r="AO270" s="32" t="n">
        <v>1.179775095002105e-05</v>
      </c>
      <c r="AP270" s="32" t="n">
        <v>1.349363676490181e-06</v>
      </c>
      <c r="AQ270" s="32" t="n">
        <v>7.464152422116936e-07</v>
      </c>
      <c r="AR270" s="32" t="n">
        <v>8.005806122631581e-07</v>
      </c>
      <c r="AS270" s="32" t="n">
        <v>1.040538856162617e-05</v>
      </c>
      <c r="AT270" s="32" t="n">
        <v>2.509949904261225e-05</v>
      </c>
      <c r="AU270" s="34" t="n">
        <v>0</v>
      </c>
      <c r="AV270" s="34" t="n">
        <v>0</v>
      </c>
      <c r="AW270" s="34" t="n">
        <v>0.01509612903828165</v>
      </c>
      <c r="AX270" s="34" t="n">
        <v>0.1764744841436473</v>
      </c>
      <c r="AY270" s="34" t="n">
        <v>0.1690937489977265</v>
      </c>
      <c r="AZ270" s="34" t="n">
        <v>0.7086001629622728</v>
      </c>
      <c r="BA270" s="34" t="n">
        <v>1.069264525141928</v>
      </c>
      <c r="BB270" s="6" t="n"/>
      <c r="BC270" s="6" t="n"/>
      <c r="BD270" t="inlineStr">
        <is>
          <t>transport, Motorbike, battery electric, 11-35kW, NCA battery, 2050, label-certified electricity/CH U</t>
        </is>
      </c>
      <c r="BF270" s="5" t="n">
        <v>0.067046278</v>
      </c>
      <c r="BG270" s="5">
        <f>BF270-R270</f>
        <v>-3.6367171939767212E-3</v>
      </c>
      <c r="BH270" s="2" t="n">
        <v>166.70125</v>
      </c>
    </row>
    <row r="271">
      <c r="A271" t="str">
        <f>B271&amp;" - "&amp;D271&amp;" - "&amp;IF(I271&lt;&gt;"",I271&amp;" - "&amp;E271,E271)</f>
        <v>Motorbike, battery electric, &gt;35kW - 2020 - NCA - CH</v>
      </c>
      <c r="B271" t="inlineStr">
        <is>
          <t>Motorbike, battery electric, &gt;35kW</t>
        </is>
      </c>
      <c r="D271" s="18" t="n">
        <v>2020</v>
      </c>
      <c r="E271" t="inlineStr">
        <is>
          <t>CH</t>
        </is>
      </c>
      <c r="F271" t="inlineStr">
        <is>
          <t>None</t>
        </is>
      </c>
      <c r="G271" t="inlineStr">
        <is>
          <t>vkm</t>
        </is>
      </c>
      <c r="H271" t="inlineStr">
        <is>
          <t>BEV</t>
        </is>
      </c>
      <c r="I271" t="inlineStr">
        <is>
          <t>NCA</t>
        </is>
      </c>
      <c r="J271" t="inlineStr">
        <is>
          <t>label-certified electricity</t>
        </is>
      </c>
      <c r="L271" s="24" t="n">
        <v>0</v>
      </c>
      <c r="M271" s="24" t="n">
        <v>0</v>
      </c>
      <c r="N271" s="24" t="n">
        <v>0.001689725966023888</v>
      </c>
      <c r="O271" s="24" t="n">
        <v>0.01230659169225786</v>
      </c>
      <c r="P271" s="24" t="n">
        <v>0.005180314437340378</v>
      </c>
      <c r="Q271" s="24" t="n">
        <v>0.09226026278512707</v>
      </c>
      <c r="R271" s="24" t="n">
        <v>0.1114368948807492</v>
      </c>
      <c r="S271" s="26" t="n">
        <v>0</v>
      </c>
      <c r="T271" s="26" t="n">
        <v>0</v>
      </c>
      <c r="U271" s="26" t="n">
        <v>0.000963165131700334</v>
      </c>
      <c r="V271" s="26" t="n">
        <v>0.0004722191823356421</v>
      </c>
      <c r="W271" s="26" t="n">
        <v>0.0003542775015304599</v>
      </c>
      <c r="X271" s="26" t="n">
        <v>0.0761495299551456</v>
      </c>
      <c r="Y271" s="26" t="n">
        <v>0.07793919177071203</v>
      </c>
      <c r="Z271" s="28" t="n">
        <v>0</v>
      </c>
      <c r="AA271" s="28" t="n">
        <v>0.003127173544286591</v>
      </c>
      <c r="AB271" s="28" t="n">
        <v>0.0001699570587740569</v>
      </c>
      <c r="AC271" s="28" t="n">
        <v>0.0001543898913344915</v>
      </c>
      <c r="AD271" s="28" t="n">
        <v>0.0001583627049273196</v>
      </c>
      <c r="AE271" s="28" t="n">
        <v>0.008772456137313832</v>
      </c>
      <c r="AF271" s="28" t="n">
        <v>0.01238233933663629</v>
      </c>
      <c r="AG271" s="30" t="n">
        <v>0</v>
      </c>
      <c r="AH271" s="30" t="n">
        <v>1.649105312647228e-05</v>
      </c>
      <c r="AI271" s="30" t="n">
        <v>0.0006369306382197566</v>
      </c>
      <c r="AJ271" s="30" t="n">
        <v>0.0003750735787279196</v>
      </c>
      <c r="AK271" s="30" t="n">
        <v>0.0002063317576471014</v>
      </c>
      <c r="AL271" s="30" t="n">
        <v>0.02815287609611515</v>
      </c>
      <c r="AM271" s="30" t="n">
        <v>0.0293877031238364</v>
      </c>
      <c r="AN271" s="32" t="n">
        <v>0</v>
      </c>
      <c r="AO271" s="32" t="n">
        <v>1.179775095002105e-05</v>
      </c>
      <c r="AP271" s="32" t="n">
        <v>1.504787552596285e-06</v>
      </c>
      <c r="AQ271" s="32" t="n">
        <v>7.464152422116936e-07</v>
      </c>
      <c r="AR271" s="32" t="n">
        <v>8.363755258956728e-07</v>
      </c>
      <c r="AS271" s="32" t="n">
        <v>2.087353400977265e-05</v>
      </c>
      <c r="AT271" s="32" t="n">
        <v>3.575886328049735e-05</v>
      </c>
      <c r="AU271" s="34" t="n">
        <v>0</v>
      </c>
      <c r="AV271" s="34" t="n">
        <v>0</v>
      </c>
      <c r="AW271" s="34" t="n">
        <v>0.01683494780908967</v>
      </c>
      <c r="AX271" s="34" t="n">
        <v>0.1764744841436473</v>
      </c>
      <c r="AY271" s="34" t="n">
        <v>0.180172342180956</v>
      </c>
      <c r="AZ271" s="34" t="n">
        <v>1.297887356955377</v>
      </c>
      <c r="BA271" s="34" t="n">
        <v>1.67136913108907</v>
      </c>
      <c r="BB271" s="6" t="n"/>
      <c r="BC271" s="6" t="n"/>
      <c r="BD271" t="inlineStr">
        <is>
          <t>transport, Motorbike, battery electric, &gt;35kW, NCA battery, label-certified electricity/CH U</t>
        </is>
      </c>
      <c r="BF271" s="5" t="n">
        <v>0.10319212</v>
      </c>
      <c r="BG271" s="5">
        <f>BF271-R271</f>
        <v>-8.2447748807491922E-3</v>
      </c>
      <c r="BH271" s="2" t="n">
        <v>342.85048</v>
      </c>
    </row>
    <row r="272">
      <c r="A272" t="str">
        <f>B272&amp;" - "&amp;D272&amp;" - "&amp;IF(I272&lt;&gt;"",I272&amp;" - "&amp;E272,E272)</f>
        <v>Motorbike, battery electric, &gt;35kW - 2030 - NCA - CH</v>
      </c>
      <c r="B272" t="inlineStr">
        <is>
          <t>Motorbike, battery electric, &gt;35kW</t>
        </is>
      </c>
      <c r="D272" s="18" t="n">
        <v>2030</v>
      </c>
      <c r="E272" t="inlineStr">
        <is>
          <t>CH</t>
        </is>
      </c>
      <c r="F272" t="inlineStr">
        <is>
          <t>None</t>
        </is>
      </c>
      <c r="G272" t="inlineStr">
        <is>
          <t>vkm</t>
        </is>
      </c>
      <c r="H272" t="inlineStr">
        <is>
          <t>BEV</t>
        </is>
      </c>
      <c r="I272" t="inlineStr">
        <is>
          <t>NCA</t>
        </is>
      </c>
      <c r="J272" t="inlineStr">
        <is>
          <t>label-certified electricity</t>
        </is>
      </c>
      <c r="L272" s="24" t="n">
        <v>0</v>
      </c>
      <c r="M272" s="24" t="n">
        <v>0</v>
      </c>
      <c r="N272" s="24" t="n">
        <v>0.001689725966023888</v>
      </c>
      <c r="O272" s="24" t="n">
        <v>0.01230659169225786</v>
      </c>
      <c r="P272" s="24" t="n">
        <v>0.005245603086213659</v>
      </c>
      <c r="Q272" s="24" t="n">
        <v>0.08866938555908926</v>
      </c>
      <c r="R272" s="24" t="n">
        <v>0.1079113063035847</v>
      </c>
      <c r="S272" s="26" t="n">
        <v>0</v>
      </c>
      <c r="T272" s="26" t="n">
        <v>0</v>
      </c>
      <c r="U272" s="26" t="n">
        <v>0.000963165131700334</v>
      </c>
      <c r="V272" s="26" t="n">
        <v>0.0004722191823356421</v>
      </c>
      <c r="W272" s="26" t="n">
        <v>0.0003584029372065972</v>
      </c>
      <c r="X272" s="26" t="n">
        <v>0.07051825796787638</v>
      </c>
      <c r="Y272" s="26" t="n">
        <v>0.07231204521911895</v>
      </c>
      <c r="Z272" s="28" t="n">
        <v>0</v>
      </c>
      <c r="AA272" s="28" t="n">
        <v>0.003127173544286591</v>
      </c>
      <c r="AB272" s="28" t="n">
        <v>0.0001699570587740569</v>
      </c>
      <c r="AC272" s="28" t="n">
        <v>0.0001543898913344915</v>
      </c>
      <c r="AD272" s="28" t="n">
        <v>0.0001602379870551853</v>
      </c>
      <c r="AE272" s="28" t="n">
        <v>0.008180306957404062</v>
      </c>
      <c r="AF272" s="28" t="n">
        <v>0.01179206543885439</v>
      </c>
      <c r="AG272" s="30" t="n">
        <v>0</v>
      </c>
      <c r="AH272" s="30" t="n">
        <v>1.649105312647228e-05</v>
      </c>
      <c r="AI272" s="30" t="n">
        <v>0.0006369306382197566</v>
      </c>
      <c r="AJ272" s="30" t="n">
        <v>0.0003750735787279196</v>
      </c>
      <c r="AK272" s="30" t="n">
        <v>0.0002080819105611646</v>
      </c>
      <c r="AL272" s="30" t="n">
        <v>0.02638242386575264</v>
      </c>
      <c r="AM272" s="30" t="n">
        <v>0.02761900104638795</v>
      </c>
      <c r="AN272" s="32" t="n">
        <v>0</v>
      </c>
      <c r="AO272" s="32" t="n">
        <v>1.179775095002105e-05</v>
      </c>
      <c r="AP272" s="32" t="n">
        <v>1.504787552596285e-06</v>
      </c>
      <c r="AQ272" s="32" t="n">
        <v>7.464152422116936e-07</v>
      </c>
      <c r="AR272" s="32" t="n">
        <v>8.432860285571943e-07</v>
      </c>
      <c r="AS272" s="32" t="n">
        <v>1.949261334688263e-05</v>
      </c>
      <c r="AT272" s="32" t="n">
        <v>3.438485312026885e-05</v>
      </c>
      <c r="AU272" s="34" t="n">
        <v>0</v>
      </c>
      <c r="AV272" s="34" t="n">
        <v>0</v>
      </c>
      <c r="AW272" s="34" t="n">
        <v>0.01683494780908967</v>
      </c>
      <c r="AX272" s="34" t="n">
        <v>0.1764744841436473</v>
      </c>
      <c r="AY272" s="34" t="n">
        <v>0.1823111557695179</v>
      </c>
      <c r="AZ272" s="34" t="n">
        <v>1.236711084032365</v>
      </c>
      <c r="BA272" s="34" t="n">
        <v>1.61233167175462</v>
      </c>
      <c r="BB272" s="6" t="n"/>
      <c r="BC272" s="6" t="n"/>
      <c r="BD272" t="inlineStr">
        <is>
          <t>transport, Motorbike, battery electric, &gt;35kW, NCA battery, 2030, label-certified electricity/CH U</t>
        </is>
      </c>
      <c r="BF272" s="5" t="n">
        <v>0.09928065600000001</v>
      </c>
      <c r="BG272" s="5">
        <f>BF272-R272</f>
        <v>-8.630650303584661E-3</v>
      </c>
      <c r="BH272" s="2" t="n">
        <v>316.58744</v>
      </c>
    </row>
    <row r="273">
      <c r="A273" t="str">
        <f>B273&amp;" - "&amp;D273&amp;" - "&amp;IF(I273&lt;&gt;"",I273&amp;" - "&amp;E273,E273)</f>
        <v>Motorbike, battery electric, &gt;35kW - 2040 - NCA - CH</v>
      </c>
      <c r="B273" t="inlineStr">
        <is>
          <t>Motorbike, battery electric, &gt;35kW</t>
        </is>
      </c>
      <c r="D273" s="18" t="n">
        <v>2040</v>
      </c>
      <c r="E273" t="inlineStr">
        <is>
          <t>CH</t>
        </is>
      </c>
      <c r="F273" t="inlineStr">
        <is>
          <t>None</t>
        </is>
      </c>
      <c r="G273" t="inlineStr">
        <is>
          <t>vkm</t>
        </is>
      </c>
      <c r="H273" t="inlineStr">
        <is>
          <t>BEV</t>
        </is>
      </c>
      <c r="I273" t="inlineStr">
        <is>
          <t>NCA</t>
        </is>
      </c>
      <c r="J273" t="inlineStr">
        <is>
          <t>label-certified electricity</t>
        </is>
      </c>
      <c r="L273" s="24" t="n">
        <v>0</v>
      </c>
      <c r="M273" s="24" t="n">
        <v>0</v>
      </c>
      <c r="N273" s="24" t="n">
        <v>0.001689725966023888</v>
      </c>
      <c r="O273" s="24" t="n">
        <v>0.01230659169225786</v>
      </c>
      <c r="P273" s="24" t="n">
        <v>0.005248319185840906</v>
      </c>
      <c r="Q273" s="24" t="n">
        <v>0.08274339376039468</v>
      </c>
      <c r="R273" s="24" t="n">
        <v>0.1019880306045173</v>
      </c>
      <c r="S273" s="26" t="n">
        <v>0</v>
      </c>
      <c r="T273" s="26" t="n">
        <v>0</v>
      </c>
      <c r="U273" s="26" t="n">
        <v>0.000963165131700334</v>
      </c>
      <c r="V273" s="26" t="n">
        <v>0.0004722191823356421</v>
      </c>
      <c r="W273" s="26" t="n">
        <v>0.0003585745611335058</v>
      </c>
      <c r="X273" s="26" t="n">
        <v>0.06347383000367299</v>
      </c>
      <c r="Y273" s="26" t="n">
        <v>0.06526778887884246</v>
      </c>
      <c r="Z273" s="28" t="n">
        <v>0</v>
      </c>
      <c r="AA273" s="28" t="n">
        <v>0.003127173544286591</v>
      </c>
      <c r="AB273" s="28" t="n">
        <v>0.0001699570587740569</v>
      </c>
      <c r="AC273" s="28" t="n">
        <v>0.0001543898913344915</v>
      </c>
      <c r="AD273" s="28" t="n">
        <v>0.0001603160014294507</v>
      </c>
      <c r="AE273" s="28" t="n">
        <v>0.007374697630923919</v>
      </c>
      <c r="AF273" s="28" t="n">
        <v>0.01098653412674851</v>
      </c>
      <c r="AG273" s="30" t="n">
        <v>0</v>
      </c>
      <c r="AH273" s="30" t="n">
        <v>1.649105312647228e-05</v>
      </c>
      <c r="AI273" s="30" t="n">
        <v>0.0006369306382197566</v>
      </c>
      <c r="AJ273" s="30" t="n">
        <v>0.0003750735787279196</v>
      </c>
      <c r="AK273" s="30" t="n">
        <v>0.0002081547193841308</v>
      </c>
      <c r="AL273" s="30" t="n">
        <v>0.02396988467892259</v>
      </c>
      <c r="AM273" s="30" t="n">
        <v>0.02520653466838087</v>
      </c>
      <c r="AN273" s="32" t="n">
        <v>0</v>
      </c>
      <c r="AO273" s="32" t="n">
        <v>1.179775095002105e-05</v>
      </c>
      <c r="AP273" s="32" t="n">
        <v>1.504787552596285e-06</v>
      </c>
      <c r="AQ273" s="32" t="n">
        <v>7.464152422116936e-07</v>
      </c>
      <c r="AR273" s="32" t="n">
        <v>8.43573515188132e-07</v>
      </c>
      <c r="AS273" s="32" t="n">
        <v>1.773169139251321e-05</v>
      </c>
      <c r="AT273" s="32" t="n">
        <v>3.262421865253037e-05</v>
      </c>
      <c r="AU273" s="34" t="n">
        <v>0</v>
      </c>
      <c r="AV273" s="34" t="n">
        <v>0</v>
      </c>
      <c r="AW273" s="34" t="n">
        <v>0.01683494780908967</v>
      </c>
      <c r="AX273" s="34" t="n">
        <v>0.1764744841436473</v>
      </c>
      <c r="AY273" s="34" t="n">
        <v>0.1824001334232279</v>
      </c>
      <c r="AZ273" s="34" t="n">
        <v>1.145456587429641</v>
      </c>
      <c r="BA273" s="34" t="n">
        <v>1.521166152805606</v>
      </c>
      <c r="BB273" s="6" t="n"/>
      <c r="BC273" s="6" t="n"/>
      <c r="BD273" t="inlineStr">
        <is>
          <t>transport, Motorbike, battery electric, &gt;35kW, NCA battery, 2040, label-certified electricity/CH U</t>
        </is>
      </c>
      <c r="BF273" s="5" t="n">
        <v>0.09373742600000001</v>
      </c>
      <c r="BG273" s="5">
        <f>BF273-R273</f>
        <v>-8.2506046045173198E-3</v>
      </c>
      <c r="BH273" s="2" t="n">
        <v>284.23089</v>
      </c>
    </row>
    <row r="274">
      <c r="A274" t="str">
        <f>B274&amp;" - "&amp;D274&amp;" - "&amp;IF(I274&lt;&gt;"",I274&amp;" - "&amp;E274,E274)</f>
        <v>Motorbike, battery electric, &gt;35kW - 2050 - NCA - CH</v>
      </c>
      <c r="B274" t="inlineStr">
        <is>
          <t>Motorbike, battery electric, &gt;35kW</t>
        </is>
      </c>
      <c r="D274" s="18" t="n">
        <v>2050</v>
      </c>
      <c r="E274" t="inlineStr">
        <is>
          <t>CH</t>
        </is>
      </c>
      <c r="F274" t="inlineStr">
        <is>
          <t>None</t>
        </is>
      </c>
      <c r="G274" t="inlineStr">
        <is>
          <t>vkm</t>
        </is>
      </c>
      <c r="H274" t="inlineStr">
        <is>
          <t>BEV</t>
        </is>
      </c>
      <c r="I274" t="inlineStr">
        <is>
          <t>NCA</t>
        </is>
      </c>
      <c r="J274" t="inlineStr">
        <is>
          <t>label-certified electricity</t>
        </is>
      </c>
      <c r="L274" s="24" t="n">
        <v>0</v>
      </c>
      <c r="M274" s="24" t="n">
        <v>0</v>
      </c>
      <c r="N274" s="24" t="n">
        <v>0.001689725966023888</v>
      </c>
      <c r="O274" s="24" t="n">
        <v>0.01230659169225786</v>
      </c>
      <c r="P274" s="24" t="n">
        <v>0.005247090112825224</v>
      </c>
      <c r="Q274" s="24" t="n">
        <v>0.07608030124667282</v>
      </c>
      <c r="R274" s="24" t="n">
        <v>0.0953237090177798</v>
      </c>
      <c r="S274" s="26" t="n">
        <v>0</v>
      </c>
      <c r="T274" s="26" t="n">
        <v>0</v>
      </c>
      <c r="U274" s="26" t="n">
        <v>0.000963165131700334</v>
      </c>
      <c r="V274" s="26" t="n">
        <v>0.0004722191823356421</v>
      </c>
      <c r="W274" s="26" t="n">
        <v>0.0003584968989095975</v>
      </c>
      <c r="X274" s="26" t="n">
        <v>0.05573633372186609</v>
      </c>
      <c r="Y274" s="26" t="n">
        <v>0.05753021493481166</v>
      </c>
      <c r="Z274" s="28" t="n">
        <v>0</v>
      </c>
      <c r="AA274" s="28" t="n">
        <v>0.003127173544286591</v>
      </c>
      <c r="AB274" s="28" t="n">
        <v>0.0001699570587740569</v>
      </c>
      <c r="AC274" s="28" t="n">
        <v>0.0001543898913344915</v>
      </c>
      <c r="AD274" s="28" t="n">
        <v>0.0001602806988355094</v>
      </c>
      <c r="AE274" s="28" t="n">
        <v>0.006483022488035057</v>
      </c>
      <c r="AF274" s="28" t="n">
        <v>0.01009482368126571</v>
      </c>
      <c r="AG274" s="30" t="n">
        <v>0</v>
      </c>
      <c r="AH274" s="30" t="n">
        <v>1.649105312647228e-05</v>
      </c>
      <c r="AI274" s="30" t="n">
        <v>0.0006369306382197566</v>
      </c>
      <c r="AJ274" s="30" t="n">
        <v>0.0003750735787279196</v>
      </c>
      <c r="AK274" s="30" t="n">
        <v>0.0002081217723748556</v>
      </c>
      <c r="AL274" s="30" t="n">
        <v>0.02129777383274865</v>
      </c>
      <c r="AM274" s="30" t="n">
        <v>0.02253439087519766</v>
      </c>
      <c r="AN274" s="32" t="n">
        <v>0</v>
      </c>
      <c r="AO274" s="32" t="n">
        <v>1.179775095002105e-05</v>
      </c>
      <c r="AP274" s="32" t="n">
        <v>1.504787552596285e-06</v>
      </c>
      <c r="AQ274" s="32" t="n">
        <v>7.464152422116936e-07</v>
      </c>
      <c r="AR274" s="32" t="n">
        <v>8.434434234724563e-07</v>
      </c>
      <c r="AS274" s="32" t="n">
        <v>1.579555457051699e-05</v>
      </c>
      <c r="AT274" s="32" t="n">
        <v>3.068795173881848e-05</v>
      </c>
      <c r="AU274" s="34" t="n">
        <v>0</v>
      </c>
      <c r="AV274" s="34" t="n">
        <v>0</v>
      </c>
      <c r="AW274" s="34" t="n">
        <v>0.01683494780908967</v>
      </c>
      <c r="AX274" s="34" t="n">
        <v>0.1764744841436473</v>
      </c>
      <c r="AY274" s="34" t="n">
        <v>0.1823598697922195</v>
      </c>
      <c r="AZ274" s="34" t="n">
        <v>1.043673854082307</v>
      </c>
      <c r="BA274" s="34" t="n">
        <v>1.419343155827264</v>
      </c>
      <c r="BB274" s="6" t="n"/>
      <c r="BC274" s="6" t="n"/>
      <c r="BD274" t="inlineStr">
        <is>
          <t>transport, Motorbike, battery electric, &gt;35kW, NCA battery, 2050, label-certified electricity/CH U</t>
        </is>
      </c>
      <c r="BF274" s="5" t="n">
        <v>0.087575271</v>
      </c>
      <c r="BG274" s="5">
        <f>BF274-R274</f>
        <v>-7.7484380177798018E-3</v>
      </c>
      <c r="BH274" s="2" t="n">
        <v>248.68481</v>
      </c>
    </row>
    <row r="275">
      <c r="A275" t="inlineStr">
        <is>
          <t>Motorbike, gasoline fleet average</t>
        </is>
      </c>
      <c r="B275" t="inlineStr">
        <is>
          <t>Motorbike, gasoline fleet average</t>
        </is>
      </c>
      <c r="D275" s="18" t="n">
        <v>2020</v>
      </c>
      <c r="E275" t="inlineStr">
        <is>
          <t>CH</t>
        </is>
      </c>
      <c r="F275" t="inlineStr">
        <is>
          <t>None</t>
        </is>
      </c>
      <c r="G275" t="inlineStr">
        <is>
          <t>vkm</t>
        </is>
      </c>
      <c r="I275" t="inlineStr">
        <is>
          <t>None</t>
        </is>
      </c>
      <c r="J275" t="inlineStr">
        <is>
          <t>None</t>
        </is>
      </c>
      <c r="L275" s="24" t="n">
        <v>0.1523460930814716</v>
      </c>
      <c r="M275" s="24" t="n">
        <v>0</v>
      </c>
      <c r="N275" s="24" t="n">
        <v>0</v>
      </c>
      <c r="O275" s="24" t="n">
        <v>0</v>
      </c>
      <c r="P275" s="24" t="n">
        <v>0</v>
      </c>
      <c r="Q275" s="24" t="n">
        <v>0</v>
      </c>
      <c r="R275" s="24" t="n">
        <v>0.1523460930814716</v>
      </c>
      <c r="S275" s="26" t="n">
        <v>0.005936212235417897</v>
      </c>
      <c r="T275" s="26" t="n">
        <v>0</v>
      </c>
      <c r="U275" s="26" t="n">
        <v>0</v>
      </c>
      <c r="V275" s="26" t="n">
        <v>0</v>
      </c>
      <c r="W275" s="26" t="n">
        <v>0</v>
      </c>
      <c r="X275" s="26" t="n">
        <v>0</v>
      </c>
      <c r="Y275" s="26" t="n">
        <v>0.005936212235417897</v>
      </c>
      <c r="Z275" s="28" t="n">
        <v>0.009594154403753146</v>
      </c>
      <c r="AA275" s="28" t="n">
        <v>0</v>
      </c>
      <c r="AB275" s="28" t="n">
        <v>0</v>
      </c>
      <c r="AC275" s="28" t="n">
        <v>0</v>
      </c>
      <c r="AD275" s="28" t="n">
        <v>0</v>
      </c>
      <c r="AE275" s="28" t="n">
        <v>0</v>
      </c>
      <c r="AF275" s="28" t="n">
        <v>0.009594154403753146</v>
      </c>
      <c r="AG275" s="30" t="n">
        <v>0.002906181003084271</v>
      </c>
      <c r="AH275" s="30" t="n">
        <v>0</v>
      </c>
      <c r="AI275" s="30" t="n">
        <v>0</v>
      </c>
      <c r="AJ275" s="30" t="n">
        <v>0</v>
      </c>
      <c r="AK275" s="30" t="n">
        <v>0</v>
      </c>
      <c r="AL275" s="30" t="n">
        <v>0</v>
      </c>
      <c r="AM275" s="30" t="n">
        <v>0.002906181003084271</v>
      </c>
      <c r="AN275" s="32" t="n">
        <v>3.283815462311692e-05</v>
      </c>
      <c r="AO275" s="32" t="n">
        <v>0</v>
      </c>
      <c r="AP275" s="32" t="n">
        <v>0</v>
      </c>
      <c r="AQ275" s="32" t="n">
        <v>0</v>
      </c>
      <c r="AR275" s="32" t="n">
        <v>0</v>
      </c>
      <c r="AS275" s="32" t="n">
        <v>0</v>
      </c>
      <c r="AT275" s="32" t="n">
        <v>3.283815462311692e-05</v>
      </c>
      <c r="AU275" s="34" t="n">
        <v>2.355016483795573</v>
      </c>
      <c r="AV275" s="34" t="n">
        <v>0</v>
      </c>
      <c r="AW275" s="34" t="n">
        <v>0</v>
      </c>
      <c r="AX275" s="34" t="n">
        <v>0</v>
      </c>
      <c r="AY275" s="34" t="n">
        <v>0</v>
      </c>
      <c r="AZ275" s="34" t="n">
        <v>0</v>
      </c>
      <c r="BA275" s="34" t="n">
        <v>2.355016483795573</v>
      </c>
      <c r="BB275" s="6" t="n"/>
      <c r="BC275" s="6" t="n"/>
      <c r="BD275" s="6" t="n"/>
      <c r="BF275" s="5" t="n">
        <v>0.162</v>
      </c>
      <c r="BG275" s="5" t="n"/>
      <c r="BH275" s="2" t="n">
        <v>161</v>
      </c>
    </row>
  </sheetData>
  <autoFilter ref="A2:BA275"/>
  <mergeCells count="6">
    <mergeCell ref="AU1:BA1"/>
    <mergeCell ref="Z1:AF1"/>
    <mergeCell ref="AG1:AM1"/>
    <mergeCell ref="S1:Y1"/>
    <mergeCell ref="AN1:AT1"/>
    <mergeCell ref="L1:R1"/>
  </mergeCells>
  <pageMargins left="0.7" right="0.7" top="0.75" bottom="0.75" header="0.3" footer="0.3"/>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BL335"/>
  <sheetViews>
    <sheetView zoomScale="70" zoomScaleNormal="70" workbookViewId="0">
      <selection activeCell="E33" sqref="E33"/>
    </sheetView>
  </sheetViews>
  <sheetFormatPr baseColWidth="10" defaultColWidth="8.83203125" defaultRowHeight="15"/>
  <cols>
    <col width="67.33203125" bestFit="1" customWidth="1" min="1" max="1"/>
    <col width="49.5" bestFit="1" customWidth="1" min="2" max="2"/>
    <col width="29.5" customWidth="1" min="3" max="3"/>
    <col width="28.33203125" bestFit="1" customWidth="1" min="4" max="4"/>
    <col width="27.33203125" bestFit="1" customWidth="1" min="5" max="5"/>
    <col width="21.33203125" bestFit="1" customWidth="1" min="6" max="6"/>
    <col width="21.33203125" customWidth="1" min="7" max="7"/>
    <col width="12.5" bestFit="1" customWidth="1" min="8" max="8"/>
    <col width="16.5" bestFit="1" customWidth="1" min="9" max="9"/>
    <col width="24.5" bestFit="1" customWidth="1" min="10" max="10"/>
    <col width="26.6640625" bestFit="1" customWidth="1" min="11" max="11"/>
    <col width="19.6640625" customWidth="1" min="12" max="12"/>
    <col width="39.5" bestFit="1" customWidth="1" min="13" max="13"/>
    <col width="33.6640625" bestFit="1" customWidth="1" min="14" max="14"/>
    <col width="30.33203125" bestFit="1" customWidth="1" min="15" max="15"/>
    <col width="22" bestFit="1" customWidth="1" min="16" max="16"/>
    <col width="22.6640625" bestFit="1" customWidth="1" min="17" max="17"/>
    <col width="25.6640625" bestFit="1" customWidth="1" min="18" max="18"/>
    <col width="8.6640625" customWidth="1" min="20" max="20"/>
    <col width="8.6640625" customWidth="1" min="30" max="61"/>
  </cols>
  <sheetData>
    <row r="1">
      <c r="A1" t="inlineStr">
        <is>
          <t>skip</t>
        </is>
      </c>
    </row>
    <row r="2">
      <c r="A2" t="inlineStr">
        <is>
          <t>names</t>
        </is>
      </c>
    </row>
    <row r="3">
      <c r="B3" t="inlineStr">
        <is>
          <t>Glider base mass [kg]</t>
        </is>
      </c>
      <c r="C3" t="inlineStr">
        <is>
          <t>Lightweighting rate [%]</t>
        </is>
      </c>
      <c r="D3" t="inlineStr">
        <is>
          <t>Mechanical powertrain mass [kg]</t>
        </is>
      </c>
      <c r="E3" t="inlineStr">
        <is>
          <t>Electric powertrain mass [kg]</t>
        </is>
      </c>
      <c r="F3" t="inlineStr">
        <is>
          <t>Energy battery cell mass [kg]</t>
        </is>
      </c>
      <c r="G3" t="inlineStr">
        <is>
          <t>Energy battery BoP mass [kg]</t>
        </is>
      </c>
      <c r="H3" t="inlineStr">
        <is>
          <t>Fuel mass [kg]</t>
        </is>
      </c>
      <c r="I3" t="inlineStr">
        <is>
          <t>Fuel tank mass [kg]</t>
        </is>
      </c>
      <c r="J3" t="inlineStr">
        <is>
          <t>Charging station per vehicle [unit]</t>
        </is>
      </c>
      <c r="K3" t="inlineStr">
        <is>
          <t>Gasoline consumption [MJ/km]</t>
        </is>
      </c>
      <c r="L3" t="inlineStr">
        <is>
          <t>Electricity consumption [MJ/km]</t>
        </is>
      </c>
      <c r="M3" t="inlineStr">
        <is>
          <t>Servicing [unit]</t>
        </is>
      </c>
      <c r="N3" t="inlineStr">
        <is>
          <t>Road/track use [m*year/vkm or pkm]</t>
        </is>
      </c>
      <c r="O3" t="inlineStr">
        <is>
          <t>Road maintenance [m*year/vkm]</t>
        </is>
      </c>
      <c r="P3" t="inlineStr">
        <is>
          <t>Discarding glider [kg]</t>
        </is>
      </c>
      <c r="Q3" t="inlineStr">
        <is>
          <t>Discarding powertrain [kg]</t>
        </is>
      </c>
      <c r="R3" t="inlineStr">
        <is>
          <t>Discarding battery [kg]</t>
        </is>
      </c>
      <c r="S3" t="inlineStr">
        <is>
          <t>CO2</t>
        </is>
      </c>
      <c r="T3" t="inlineStr">
        <is>
          <t>CO2, bio</t>
        </is>
      </c>
      <c r="U3" t="inlineStr">
        <is>
          <t>SO2</t>
        </is>
      </c>
      <c r="V3" t="inlineStr">
        <is>
          <t>Benzene</t>
        </is>
      </c>
      <c r="W3" t="inlineStr">
        <is>
          <t>CH4</t>
        </is>
      </c>
      <c r="X3" t="inlineStr">
        <is>
          <t>CO</t>
        </is>
      </c>
      <c r="Y3" t="inlineStr">
        <is>
          <t>N2O</t>
        </is>
      </c>
      <c r="Z3" t="inlineStr">
        <is>
          <t>NH3</t>
        </is>
      </c>
      <c r="AA3" t="inlineStr">
        <is>
          <t>NMHC</t>
        </is>
      </c>
      <c r="AB3" t="inlineStr">
        <is>
          <t>NOx</t>
        </is>
      </c>
      <c r="AC3" t="inlineStr">
        <is>
          <t>PM2.5</t>
        </is>
      </c>
      <c r="AD3" t="inlineStr">
        <is>
          <t>NMVOC</t>
        </is>
      </c>
      <c r="AE3" t="inlineStr">
        <is>
          <t>Ethane</t>
        </is>
      </c>
      <c r="AF3" t="inlineStr">
        <is>
          <t>Propane</t>
        </is>
      </c>
      <c r="AG3" t="inlineStr">
        <is>
          <t>Butane</t>
        </is>
      </c>
      <c r="AH3" t="inlineStr">
        <is>
          <t>Pentane</t>
        </is>
      </c>
      <c r="AI3" t="inlineStr">
        <is>
          <t>Hexane</t>
        </is>
      </c>
      <c r="AJ3" t="inlineStr">
        <is>
          <t>Cyclohexane</t>
        </is>
      </c>
      <c r="AK3" t="inlineStr">
        <is>
          <t>Heptane</t>
        </is>
      </c>
      <c r="AL3" t="inlineStr">
        <is>
          <t>Ethene</t>
        </is>
      </c>
      <c r="AM3" t="inlineStr">
        <is>
          <t>Propene</t>
        </is>
      </c>
      <c r="AN3" t="inlineStr">
        <is>
          <t>1-Pentene</t>
        </is>
      </c>
      <c r="AO3" t="inlineStr">
        <is>
          <t>Benzene</t>
        </is>
      </c>
      <c r="AP3" t="inlineStr">
        <is>
          <t>Toluene</t>
        </is>
      </c>
      <c r="AQ3" t="inlineStr">
        <is>
          <t>m-Xylene</t>
        </is>
      </c>
      <c r="AR3" t="inlineStr">
        <is>
          <t>o-Xylene</t>
        </is>
      </c>
      <c r="AS3" t="inlineStr">
        <is>
          <t>Formaldehyde</t>
        </is>
      </c>
      <c r="AT3" t="inlineStr">
        <is>
          <t>Acetaldehyde</t>
        </is>
      </c>
      <c r="AU3" t="inlineStr">
        <is>
          <t>Benzaldehyde</t>
        </is>
      </c>
      <c r="AV3" t="inlineStr">
        <is>
          <t>Acetone</t>
        </is>
      </c>
      <c r="AW3" t="inlineStr">
        <is>
          <t>Methyl ethyl ketone</t>
        </is>
      </c>
      <c r="AX3" t="inlineStr">
        <is>
          <t>Acrolein</t>
        </is>
      </c>
      <c r="AY3" t="inlineStr">
        <is>
          <t>Styrene</t>
        </is>
      </c>
      <c r="AZ3" t="inlineStr">
        <is>
          <t>PAHs</t>
        </is>
      </c>
      <c r="BA3" t="inlineStr">
        <is>
          <t>Arsenic</t>
        </is>
      </c>
      <c r="BB3" t="inlineStr">
        <is>
          <t>Selenium</t>
        </is>
      </c>
      <c r="BC3" t="inlineStr">
        <is>
          <t>Zinc</t>
        </is>
      </c>
      <c r="BD3" t="inlineStr">
        <is>
          <t>Copper</t>
        </is>
      </c>
      <c r="BE3" t="inlineStr">
        <is>
          <t>Nickel</t>
        </is>
      </c>
      <c r="BF3" t="inlineStr">
        <is>
          <t>Chromium</t>
        </is>
      </c>
      <c r="BG3" t="inlineStr">
        <is>
          <t>Chromium VI</t>
        </is>
      </c>
      <c r="BH3" t="inlineStr">
        <is>
          <t>Mercury</t>
        </is>
      </c>
      <c r="BI3" t="inlineStr">
        <is>
          <t>Cadmium</t>
        </is>
      </c>
      <c r="BJ3" t="inlineStr">
        <is>
          <t>Road wear [kg/km]</t>
        </is>
      </c>
      <c r="BK3" t="inlineStr">
        <is>
          <t>Tire wear [kg/km]</t>
        </is>
      </c>
      <c r="BL3" t="inlineStr">
        <is>
          <t>Brake wear [kg/km]</t>
        </is>
      </c>
    </row>
    <row r="4">
      <c r="A4" t="inlineStr">
        <is>
          <t>Kick Scooter, battery electric, &lt;1kW</t>
        </is>
      </c>
      <c r="B4" t="inlineStr">
        <is>
          <t>bicycle production</t>
        </is>
      </c>
      <c r="C4" t="inlineStr">
        <is>
          <t>Glider lightweighting</t>
        </is>
      </c>
      <c r="D4" t="inlineStr">
        <is>
          <t>bicycle production</t>
        </is>
      </c>
      <c r="E4" t="inlineStr">
        <is>
          <t>market for electric motor, vehicle</t>
        </is>
      </c>
      <c r="F4" t="inlineStr">
        <is>
          <t>market for battery cell, Li-ion, NMC811</t>
        </is>
      </c>
      <c r="G4" t="inlineStr">
        <is>
          <t>market for battery management system, for Li-ion battery</t>
        </is>
      </c>
      <c r="J4" t="inlineStr">
        <is>
          <t>charging station, 100W</t>
        </is>
      </c>
      <c r="L4" t="inlineStr">
        <is>
          <t>market for electricity, low voltage</t>
        </is>
      </c>
      <c r="M4" t="inlineStr">
        <is>
          <t>maintenance, bicycle</t>
        </is>
      </c>
      <c r="N4" t="inlineStr">
        <is>
          <t>road construction</t>
        </is>
      </c>
      <c r="O4" t="inlineStr">
        <is>
          <t>road maintenance</t>
        </is>
      </c>
      <c r="P4" t="inlineStr">
        <is>
          <t>treatment of used bicycle</t>
        </is>
      </c>
      <c r="Q4" t="inlineStr">
        <is>
          <t>treatment of used electric bicycle</t>
        </is>
      </c>
      <c r="R4" t="inlineStr">
        <is>
          <t>market for used Li-ion battery</t>
        </is>
      </c>
      <c r="S4" t="inlineStr">
        <is>
          <t>Carbon dioxide, fossil</t>
        </is>
      </c>
      <c r="T4" t="inlineStr">
        <is>
          <t>Carbon dioxide, from soil or biomass stock</t>
        </is>
      </c>
      <c r="U4" t="inlineStr">
        <is>
          <t>Sulfur dioxide</t>
        </is>
      </c>
      <c r="V4" t="inlineStr">
        <is>
          <t>Benzene</t>
        </is>
      </c>
      <c r="W4" t="inlineStr">
        <is>
          <t>Methane, fossil</t>
        </is>
      </c>
      <c r="X4" t="inlineStr">
        <is>
          <t>Carbon monoxide, fossil</t>
        </is>
      </c>
      <c r="Y4" t="inlineStr">
        <is>
          <t>Dinitrogen monoxide</t>
        </is>
      </c>
      <c r="Z4" t="inlineStr">
        <is>
          <t>Ammonia</t>
        </is>
      </c>
      <c r="AB4" t="inlineStr">
        <is>
          <t>Nitrogen oxides</t>
        </is>
      </c>
      <c r="AC4" t="inlineStr">
        <is>
          <t>Particulates, &lt; 2.5 um</t>
        </is>
      </c>
      <c r="AD4" t="inlineStr">
        <is>
          <t>NMVOC, non-methane volatile organic compounds, unspecified origin</t>
        </is>
      </c>
      <c r="AE4" t="inlineStr">
        <is>
          <t>Ethane</t>
        </is>
      </c>
      <c r="AF4" t="inlineStr">
        <is>
          <t>Propane</t>
        </is>
      </c>
      <c r="AG4" t="inlineStr">
        <is>
          <t>Butane</t>
        </is>
      </c>
      <c r="AH4" t="inlineStr">
        <is>
          <t>Pentane</t>
        </is>
      </c>
      <c r="AI4" t="inlineStr">
        <is>
          <t>Hexane</t>
        </is>
      </c>
      <c r="AJ4" t="inlineStr">
        <is>
          <t>Cyclohexane</t>
        </is>
      </c>
      <c r="AK4" t="inlineStr">
        <is>
          <t>Heptane</t>
        </is>
      </c>
      <c r="AL4" t="inlineStr">
        <is>
          <t>Ethene</t>
        </is>
      </c>
      <c r="AM4" t="inlineStr">
        <is>
          <t>Propene</t>
        </is>
      </c>
      <c r="AN4" t="inlineStr">
        <is>
          <t>1-Pentene</t>
        </is>
      </c>
      <c r="AO4" t="inlineStr">
        <is>
          <t>Benzene</t>
        </is>
      </c>
      <c r="AP4" t="inlineStr">
        <is>
          <t>Toluene</t>
        </is>
      </c>
      <c r="AQ4" t="inlineStr">
        <is>
          <t>m-Xylene</t>
        </is>
      </c>
      <c r="AR4" t="inlineStr">
        <is>
          <t>o-Xylene</t>
        </is>
      </c>
      <c r="AS4" t="inlineStr">
        <is>
          <t>Formaldehyde</t>
        </is>
      </c>
      <c r="AT4" t="inlineStr">
        <is>
          <t>Acetaldehyde</t>
        </is>
      </c>
      <c r="AU4" t="inlineStr">
        <is>
          <t>Benzaldehyde</t>
        </is>
      </c>
      <c r="AV4" t="inlineStr">
        <is>
          <t>Acetone</t>
        </is>
      </c>
      <c r="AW4" t="inlineStr">
        <is>
          <t>Methyl ethyl ketone</t>
        </is>
      </c>
      <c r="AX4" t="inlineStr">
        <is>
          <t>Acrolein</t>
        </is>
      </c>
      <c r="AY4" t="inlineStr">
        <is>
          <t>Styrene</t>
        </is>
      </c>
      <c r="AZ4" t="inlineStr">
        <is>
          <t>PAH, polycyclic aromatic hydrocarbons</t>
        </is>
      </c>
      <c r="BA4" t="inlineStr">
        <is>
          <t>Arsenic</t>
        </is>
      </c>
      <c r="BB4" t="inlineStr">
        <is>
          <t>Selenium</t>
        </is>
      </c>
      <c r="BC4" t="inlineStr">
        <is>
          <t>Zinc</t>
        </is>
      </c>
      <c r="BD4" t="inlineStr">
        <is>
          <t>Copper</t>
        </is>
      </c>
      <c r="BE4" t="inlineStr">
        <is>
          <t>Nickel</t>
        </is>
      </c>
      <c r="BF4" t="inlineStr">
        <is>
          <t>Chromium</t>
        </is>
      </c>
      <c r="BG4" t="inlineStr">
        <is>
          <t>Chromium VI</t>
        </is>
      </c>
      <c r="BH4" t="inlineStr">
        <is>
          <t>Mercury</t>
        </is>
      </c>
      <c r="BI4" t="inlineStr">
        <is>
          <t>Cadmium</t>
        </is>
      </c>
      <c r="BJ4" t="inlineStr">
        <is>
          <t>treatment of road wear emissions, passenger car</t>
        </is>
      </c>
      <c r="BK4" t="inlineStr">
        <is>
          <t>treatment of tyre wear emissions, passenger car</t>
        </is>
      </c>
      <c r="BL4" t="inlineStr">
        <is>
          <t>treatment of brake wear emissions, passenger car</t>
        </is>
      </c>
    </row>
    <row r="5">
      <c r="A5" t="inlineStr">
        <is>
          <t>Bicycle, conventional, urban</t>
        </is>
      </c>
      <c r="B5" t="inlineStr">
        <is>
          <t>bicycle production</t>
        </is>
      </c>
      <c r="C5" t="inlineStr">
        <is>
          <t>Glider lightweighting</t>
        </is>
      </c>
      <c r="D5" t="inlineStr">
        <is>
          <t>bicycle production</t>
        </is>
      </c>
      <c r="F5" t="inlineStr">
        <is>
          <t>market for battery cell, Li-ion, NMC811</t>
        </is>
      </c>
      <c r="G5" t="inlineStr">
        <is>
          <t>market for battery management system, for Li-ion battery</t>
        </is>
      </c>
      <c r="J5" t="inlineStr">
        <is>
          <t>charging station, 500W</t>
        </is>
      </c>
      <c r="L5" t="inlineStr">
        <is>
          <t>market for electricity, low voltage</t>
        </is>
      </c>
      <c r="M5" t="inlineStr">
        <is>
          <t>maintenance, bicycle</t>
        </is>
      </c>
      <c r="N5" t="inlineStr">
        <is>
          <t>road construction</t>
        </is>
      </c>
      <c r="O5" t="inlineStr">
        <is>
          <t>road maintenance</t>
        </is>
      </c>
      <c r="P5" t="inlineStr">
        <is>
          <t>treatment of used bicycle</t>
        </is>
      </c>
      <c r="R5" t="inlineStr">
        <is>
          <t>market for used Li-ion battery</t>
        </is>
      </c>
      <c r="S5" t="inlineStr">
        <is>
          <t>Carbon dioxide, fossil</t>
        </is>
      </c>
      <c r="T5" t="inlineStr">
        <is>
          <t>Carbon dioxide, from soil or biomass stock</t>
        </is>
      </c>
      <c r="U5" t="inlineStr">
        <is>
          <t>Sulfur dioxide</t>
        </is>
      </c>
      <c r="V5" t="inlineStr">
        <is>
          <t>Benzene</t>
        </is>
      </c>
      <c r="W5" t="inlineStr">
        <is>
          <t>Methane, fossil</t>
        </is>
      </c>
      <c r="X5" t="inlineStr">
        <is>
          <t>Carbon monoxide, fossil</t>
        </is>
      </c>
      <c r="Y5" t="inlineStr">
        <is>
          <t>Dinitrogen monoxide</t>
        </is>
      </c>
      <c r="Z5" t="inlineStr">
        <is>
          <t>Ammonia</t>
        </is>
      </c>
      <c r="AB5" t="inlineStr">
        <is>
          <t>Nitrogen oxides</t>
        </is>
      </c>
      <c r="AC5" t="inlineStr">
        <is>
          <t>Particulates, &lt; 2.5 um</t>
        </is>
      </c>
      <c r="AD5" t="inlineStr">
        <is>
          <t>NMVOC, non-methane volatile organic compounds, unspecified origin</t>
        </is>
      </c>
      <c r="AE5" t="inlineStr">
        <is>
          <t>Ethane</t>
        </is>
      </c>
      <c r="AF5" t="inlineStr">
        <is>
          <t>Propane</t>
        </is>
      </c>
      <c r="AG5" t="inlineStr">
        <is>
          <t>Butane</t>
        </is>
      </c>
      <c r="AH5" t="inlineStr">
        <is>
          <t>Pentane</t>
        </is>
      </c>
      <c r="AI5" t="inlineStr">
        <is>
          <t>Hexane</t>
        </is>
      </c>
      <c r="AJ5" t="inlineStr">
        <is>
          <t>Cyclohexane</t>
        </is>
      </c>
      <c r="AK5" t="inlineStr">
        <is>
          <t>Heptane</t>
        </is>
      </c>
      <c r="AL5" t="inlineStr">
        <is>
          <t>Ethene</t>
        </is>
      </c>
      <c r="AM5" t="inlineStr">
        <is>
          <t>Propene</t>
        </is>
      </c>
      <c r="AN5" t="inlineStr">
        <is>
          <t>1-Pentene</t>
        </is>
      </c>
      <c r="AO5" t="inlineStr">
        <is>
          <t>Benzene</t>
        </is>
      </c>
      <c r="AP5" t="inlineStr">
        <is>
          <t>Toluene</t>
        </is>
      </c>
      <c r="AQ5" t="inlineStr">
        <is>
          <t>m-Xylene</t>
        </is>
      </c>
      <c r="AR5" t="inlineStr">
        <is>
          <t>o-Xylene</t>
        </is>
      </c>
      <c r="AS5" t="inlineStr">
        <is>
          <t>Formaldehyde</t>
        </is>
      </c>
      <c r="AT5" t="inlineStr">
        <is>
          <t>Acetaldehyde</t>
        </is>
      </c>
      <c r="AU5" t="inlineStr">
        <is>
          <t>Benzaldehyde</t>
        </is>
      </c>
      <c r="AV5" t="inlineStr">
        <is>
          <t>Acetone</t>
        </is>
      </c>
      <c r="AW5" t="inlineStr">
        <is>
          <t>Methyl ethyl ketone</t>
        </is>
      </c>
      <c r="AX5" t="inlineStr">
        <is>
          <t>Acrolein</t>
        </is>
      </c>
      <c r="AY5" t="inlineStr">
        <is>
          <t>Styrene</t>
        </is>
      </c>
      <c r="AZ5" t="inlineStr">
        <is>
          <t>PAH, polycyclic aromatic hydrocarbons</t>
        </is>
      </c>
      <c r="BA5" t="inlineStr">
        <is>
          <t>Arsenic</t>
        </is>
      </c>
      <c r="BB5" t="inlineStr">
        <is>
          <t>Selenium</t>
        </is>
      </c>
      <c r="BC5" t="inlineStr">
        <is>
          <t>Zinc</t>
        </is>
      </c>
      <c r="BD5" t="inlineStr">
        <is>
          <t>Copper</t>
        </is>
      </c>
      <c r="BE5" t="inlineStr">
        <is>
          <t>Nickel</t>
        </is>
      </c>
      <c r="BF5" t="inlineStr">
        <is>
          <t>Chromium</t>
        </is>
      </c>
      <c r="BG5" t="inlineStr">
        <is>
          <t>Chromium VI</t>
        </is>
      </c>
      <c r="BH5" t="inlineStr">
        <is>
          <t>Mercury</t>
        </is>
      </c>
      <c r="BI5" t="inlineStr">
        <is>
          <t>Cadmium</t>
        </is>
      </c>
      <c r="BJ5" t="inlineStr">
        <is>
          <t>treatment of road wear emissions, passenger car</t>
        </is>
      </c>
      <c r="BK5" t="inlineStr">
        <is>
          <t>treatment of tyre wear emissions, passenger car</t>
        </is>
      </c>
      <c r="BL5" t="inlineStr">
        <is>
          <t>treatment of brake wear emissions, passenger car</t>
        </is>
      </c>
    </row>
    <row r="6">
      <c r="A6" t="inlineStr">
        <is>
          <t>Bicycle, electric (&lt;25 km/h)</t>
        </is>
      </c>
      <c r="B6" t="inlineStr">
        <is>
          <t>electric bicycle production, without battery and motor</t>
        </is>
      </c>
      <c r="C6" t="inlineStr">
        <is>
          <t>Glider lightweighting</t>
        </is>
      </c>
      <c r="D6" t="inlineStr">
        <is>
          <t>electric bicycle production, without battery and motor</t>
        </is>
      </c>
      <c r="E6" t="inlineStr">
        <is>
          <t>market for electric motor, vehicle</t>
        </is>
      </c>
      <c r="F6" t="inlineStr">
        <is>
          <t>market for battery cell, Li-ion, NMC811</t>
        </is>
      </c>
      <c r="G6" t="inlineStr">
        <is>
          <t>market for battery management system, for Li-ion battery</t>
        </is>
      </c>
      <c r="J6" t="inlineStr">
        <is>
          <t>charging station, 500W</t>
        </is>
      </c>
      <c r="L6" t="inlineStr">
        <is>
          <t>market for electricity, low voltage</t>
        </is>
      </c>
      <c r="M6" t="inlineStr">
        <is>
          <t>maintenance, electric bicycle, without battery</t>
        </is>
      </c>
      <c r="N6" t="inlineStr">
        <is>
          <t>road construction</t>
        </is>
      </c>
      <c r="O6" t="inlineStr">
        <is>
          <t>road maintenance</t>
        </is>
      </c>
      <c r="P6" t="inlineStr">
        <is>
          <t>treatment of used electric bicycle</t>
        </is>
      </c>
      <c r="Q6" t="inlineStr">
        <is>
          <t>treatment of used electric bicycle</t>
        </is>
      </c>
      <c r="R6" t="inlineStr">
        <is>
          <t>market for used Li-ion battery</t>
        </is>
      </c>
      <c r="S6" t="inlineStr">
        <is>
          <t>Carbon dioxide, fossil</t>
        </is>
      </c>
      <c r="T6" t="inlineStr">
        <is>
          <t>Carbon dioxide, from soil or biomass stock</t>
        </is>
      </c>
      <c r="U6" t="inlineStr">
        <is>
          <t>Sulfur dioxide</t>
        </is>
      </c>
      <c r="V6" t="inlineStr">
        <is>
          <t>Benzene</t>
        </is>
      </c>
      <c r="W6" t="inlineStr">
        <is>
          <t>Methane, fossil</t>
        </is>
      </c>
      <c r="X6" t="inlineStr">
        <is>
          <t>Carbon monoxide, fossil</t>
        </is>
      </c>
      <c r="Y6" t="inlineStr">
        <is>
          <t>Dinitrogen monoxide</t>
        </is>
      </c>
      <c r="Z6" t="inlineStr">
        <is>
          <t>Ammonia</t>
        </is>
      </c>
      <c r="AB6" t="inlineStr">
        <is>
          <t>Nitrogen oxides</t>
        </is>
      </c>
      <c r="AC6" t="inlineStr">
        <is>
          <t>Particulates, &lt; 2.5 um</t>
        </is>
      </c>
      <c r="AD6" t="inlineStr">
        <is>
          <t>NMVOC, non-methane volatile organic compounds, unspecified origin</t>
        </is>
      </c>
      <c r="AE6" t="inlineStr">
        <is>
          <t>Ethane</t>
        </is>
      </c>
      <c r="AF6" t="inlineStr">
        <is>
          <t>Propane</t>
        </is>
      </c>
      <c r="AG6" t="inlineStr">
        <is>
          <t>Butane</t>
        </is>
      </c>
      <c r="AH6" t="inlineStr">
        <is>
          <t>Pentane</t>
        </is>
      </c>
      <c r="AI6" t="inlineStr">
        <is>
          <t>Hexane</t>
        </is>
      </c>
      <c r="AJ6" t="inlineStr">
        <is>
          <t>Cyclohexane</t>
        </is>
      </c>
      <c r="AK6" t="inlineStr">
        <is>
          <t>Heptane</t>
        </is>
      </c>
      <c r="AL6" t="inlineStr">
        <is>
          <t>Ethene</t>
        </is>
      </c>
      <c r="AM6" t="inlineStr">
        <is>
          <t>Propene</t>
        </is>
      </c>
      <c r="AN6" t="inlineStr">
        <is>
          <t>1-Pentene</t>
        </is>
      </c>
      <c r="AO6" t="inlineStr">
        <is>
          <t>Benzene</t>
        </is>
      </c>
      <c r="AP6" t="inlineStr">
        <is>
          <t>Toluene</t>
        </is>
      </c>
      <c r="AQ6" t="inlineStr">
        <is>
          <t>m-Xylene</t>
        </is>
      </c>
      <c r="AR6" t="inlineStr">
        <is>
          <t>o-Xylene</t>
        </is>
      </c>
      <c r="AS6" t="inlineStr">
        <is>
          <t>Formaldehyde</t>
        </is>
      </c>
      <c r="AT6" t="inlineStr">
        <is>
          <t>Acetaldehyde</t>
        </is>
      </c>
      <c r="AU6" t="inlineStr">
        <is>
          <t>Benzaldehyde</t>
        </is>
      </c>
      <c r="AV6" t="inlineStr">
        <is>
          <t>Acetone</t>
        </is>
      </c>
      <c r="AW6" t="inlineStr">
        <is>
          <t>Methyl ethyl ketone</t>
        </is>
      </c>
      <c r="AX6" t="inlineStr">
        <is>
          <t>Acrolein</t>
        </is>
      </c>
      <c r="AY6" t="inlineStr">
        <is>
          <t>Styrene</t>
        </is>
      </c>
      <c r="AZ6" t="inlineStr">
        <is>
          <t>PAH, polycyclic aromatic hydrocarbons</t>
        </is>
      </c>
      <c r="BA6" t="inlineStr">
        <is>
          <t>Arsenic</t>
        </is>
      </c>
      <c r="BB6" t="inlineStr">
        <is>
          <t>Selenium</t>
        </is>
      </c>
      <c r="BC6" t="inlineStr">
        <is>
          <t>Zinc</t>
        </is>
      </c>
      <c r="BD6" t="inlineStr">
        <is>
          <t>Copper</t>
        </is>
      </c>
      <c r="BE6" t="inlineStr">
        <is>
          <t>Nickel</t>
        </is>
      </c>
      <c r="BF6" t="inlineStr">
        <is>
          <t>Chromium</t>
        </is>
      </c>
      <c r="BG6" t="inlineStr">
        <is>
          <t>Chromium VI</t>
        </is>
      </c>
      <c r="BH6" t="inlineStr">
        <is>
          <t>Mercury</t>
        </is>
      </c>
      <c r="BI6" t="inlineStr">
        <is>
          <t>Cadmium</t>
        </is>
      </c>
      <c r="BJ6" t="inlineStr">
        <is>
          <t>treatment of road wear emissions, passenger car</t>
        </is>
      </c>
      <c r="BK6" t="inlineStr">
        <is>
          <t>treatment of tyre wear emissions, passenger car</t>
        </is>
      </c>
      <c r="BL6" t="inlineStr">
        <is>
          <t>treatment of brake wear emissions, passenger car</t>
        </is>
      </c>
    </row>
    <row r="7">
      <c r="A7" t="inlineStr">
        <is>
          <t>Bicycle, electric (&lt;45 km/h)</t>
        </is>
      </c>
      <c r="B7" t="inlineStr">
        <is>
          <t>electric bicycle production, without battery and motor</t>
        </is>
      </c>
      <c r="C7" t="inlineStr">
        <is>
          <t>Glider lightweighting</t>
        </is>
      </c>
      <c r="D7" t="inlineStr">
        <is>
          <t>electric bicycle production, without battery and motor</t>
        </is>
      </c>
      <c r="E7" t="inlineStr">
        <is>
          <t>market for electric motor, vehicle</t>
        </is>
      </c>
      <c r="F7" t="inlineStr">
        <is>
          <t>market for battery cell, Li-ion, NMC811</t>
        </is>
      </c>
      <c r="G7" t="inlineStr">
        <is>
          <t>market for battery management system, for Li-ion battery</t>
        </is>
      </c>
      <c r="J7" t="inlineStr">
        <is>
          <t>charging station, 500W</t>
        </is>
      </c>
      <c r="L7" t="inlineStr">
        <is>
          <t>market for electricity, low voltage</t>
        </is>
      </c>
      <c r="M7" t="inlineStr">
        <is>
          <t>maintenance, electric bicycle, without battery</t>
        </is>
      </c>
      <c r="N7" t="inlineStr">
        <is>
          <t>road construction</t>
        </is>
      </c>
      <c r="O7" t="inlineStr">
        <is>
          <t>road maintenance</t>
        </is>
      </c>
      <c r="P7" t="inlineStr">
        <is>
          <t>treatment of used electric bicycle</t>
        </is>
      </c>
      <c r="Q7" t="inlineStr">
        <is>
          <t>treatment of used electric bicycle</t>
        </is>
      </c>
      <c r="R7" t="inlineStr">
        <is>
          <t>market for used Li-ion battery</t>
        </is>
      </c>
      <c r="S7" t="inlineStr">
        <is>
          <t>Carbon dioxide, fossil</t>
        </is>
      </c>
      <c r="T7" t="inlineStr">
        <is>
          <t>Carbon dioxide, from soil or biomass stock</t>
        </is>
      </c>
      <c r="U7" t="inlineStr">
        <is>
          <t>Sulfur dioxide</t>
        </is>
      </c>
      <c r="V7" t="inlineStr">
        <is>
          <t>Benzene</t>
        </is>
      </c>
      <c r="W7" t="inlineStr">
        <is>
          <t>Methane, fossil</t>
        </is>
      </c>
      <c r="X7" t="inlineStr">
        <is>
          <t>Carbon monoxide, fossil</t>
        </is>
      </c>
      <c r="Y7" t="inlineStr">
        <is>
          <t>Dinitrogen monoxide</t>
        </is>
      </c>
      <c r="Z7" t="inlineStr">
        <is>
          <t>Ammonia</t>
        </is>
      </c>
      <c r="AB7" t="inlineStr">
        <is>
          <t>Nitrogen oxides</t>
        </is>
      </c>
      <c r="AC7" t="inlineStr">
        <is>
          <t>Particulates, &lt; 2.5 um</t>
        </is>
      </c>
      <c r="AD7" t="inlineStr">
        <is>
          <t>NMVOC, non-methane volatile organic compounds, unspecified origin</t>
        </is>
      </c>
      <c r="AE7" t="inlineStr">
        <is>
          <t>Ethane</t>
        </is>
      </c>
      <c r="AF7" t="inlineStr">
        <is>
          <t>Propane</t>
        </is>
      </c>
      <c r="AG7" t="inlineStr">
        <is>
          <t>Butane</t>
        </is>
      </c>
      <c r="AH7" t="inlineStr">
        <is>
          <t>Pentane</t>
        </is>
      </c>
      <c r="AI7" t="inlineStr">
        <is>
          <t>Hexane</t>
        </is>
      </c>
      <c r="AJ7" t="inlineStr">
        <is>
          <t>Cyclohexane</t>
        </is>
      </c>
      <c r="AK7" t="inlineStr">
        <is>
          <t>Heptane</t>
        </is>
      </c>
      <c r="AL7" t="inlineStr">
        <is>
          <t>Ethene</t>
        </is>
      </c>
      <c r="AM7" t="inlineStr">
        <is>
          <t>Propene</t>
        </is>
      </c>
      <c r="AN7" t="inlineStr">
        <is>
          <t>1-Pentene</t>
        </is>
      </c>
      <c r="AO7" t="inlineStr">
        <is>
          <t>Benzene</t>
        </is>
      </c>
      <c r="AP7" t="inlineStr">
        <is>
          <t>Toluene</t>
        </is>
      </c>
      <c r="AQ7" t="inlineStr">
        <is>
          <t>m-Xylene</t>
        </is>
      </c>
      <c r="AR7" t="inlineStr">
        <is>
          <t>o-Xylene</t>
        </is>
      </c>
      <c r="AS7" t="inlineStr">
        <is>
          <t>Formaldehyde</t>
        </is>
      </c>
      <c r="AT7" t="inlineStr">
        <is>
          <t>Acetaldehyde</t>
        </is>
      </c>
      <c r="AU7" t="inlineStr">
        <is>
          <t>Benzaldehyde</t>
        </is>
      </c>
      <c r="AV7" t="inlineStr">
        <is>
          <t>Acetone</t>
        </is>
      </c>
      <c r="AW7" t="inlineStr">
        <is>
          <t>Methyl ethyl ketone</t>
        </is>
      </c>
      <c r="AX7" t="inlineStr">
        <is>
          <t>Acrolein</t>
        </is>
      </c>
      <c r="AY7" t="inlineStr">
        <is>
          <t>Styrene</t>
        </is>
      </c>
      <c r="AZ7" t="inlineStr">
        <is>
          <t>PAH, polycyclic aromatic hydrocarbons</t>
        </is>
      </c>
      <c r="BA7" t="inlineStr">
        <is>
          <t>Arsenic</t>
        </is>
      </c>
      <c r="BB7" t="inlineStr">
        <is>
          <t>Selenium</t>
        </is>
      </c>
      <c r="BC7" t="inlineStr">
        <is>
          <t>Zinc</t>
        </is>
      </c>
      <c r="BD7" t="inlineStr">
        <is>
          <t>Copper</t>
        </is>
      </c>
      <c r="BE7" t="inlineStr">
        <is>
          <t>Nickel</t>
        </is>
      </c>
      <c r="BF7" t="inlineStr">
        <is>
          <t>Chromium</t>
        </is>
      </c>
      <c r="BG7" t="inlineStr">
        <is>
          <t>Chromium VI</t>
        </is>
      </c>
      <c r="BH7" t="inlineStr">
        <is>
          <t>Mercury</t>
        </is>
      </c>
      <c r="BI7" t="inlineStr">
        <is>
          <t>Cadmium</t>
        </is>
      </c>
      <c r="BJ7" t="inlineStr">
        <is>
          <t>treatment of road wear emissions, passenger car</t>
        </is>
      </c>
      <c r="BK7" t="inlineStr">
        <is>
          <t>treatment of tyre wear emissions, passenger car</t>
        </is>
      </c>
      <c r="BL7" t="inlineStr">
        <is>
          <t>treatment of brake wear emissions, passenger car</t>
        </is>
      </c>
    </row>
    <row r="8">
      <c r="A8" t="inlineStr">
        <is>
          <t>Bicycle, battery electric, cargo bike</t>
        </is>
      </c>
      <c r="B8" t="inlineStr">
        <is>
          <t>electric bicycle production, without battery and motor</t>
        </is>
      </c>
      <c r="C8" t="inlineStr">
        <is>
          <t>Glider lightweighting</t>
        </is>
      </c>
      <c r="D8" t="inlineStr">
        <is>
          <t>electric bicycle production, without battery and motor</t>
        </is>
      </c>
      <c r="E8" t="inlineStr">
        <is>
          <t>market for electric motor, vehicle</t>
        </is>
      </c>
      <c r="F8" t="inlineStr">
        <is>
          <t>market for battery cell, Li-ion, NMC811</t>
        </is>
      </c>
      <c r="G8" t="inlineStr">
        <is>
          <t>market for battery management system, for Li-ion battery</t>
        </is>
      </c>
      <c r="J8" t="inlineStr">
        <is>
          <t>charging station, 500W</t>
        </is>
      </c>
      <c r="L8" t="inlineStr">
        <is>
          <t>market for electricity, low voltage</t>
        </is>
      </c>
      <c r="M8" t="inlineStr">
        <is>
          <t>maintenance, electric bicycle, without battery</t>
        </is>
      </c>
      <c r="N8" t="inlineStr">
        <is>
          <t>road construction</t>
        </is>
      </c>
      <c r="O8" t="inlineStr">
        <is>
          <t>road maintenance</t>
        </is>
      </c>
      <c r="P8" t="inlineStr">
        <is>
          <t>treatment of used electric bicycle</t>
        </is>
      </c>
      <c r="Q8" t="inlineStr">
        <is>
          <t>treatment of used electric bicycle</t>
        </is>
      </c>
      <c r="R8" t="inlineStr">
        <is>
          <t>market for used Li-ion battery</t>
        </is>
      </c>
      <c r="S8" t="inlineStr">
        <is>
          <t>Carbon dioxide, fossil</t>
        </is>
      </c>
      <c r="T8" t="inlineStr">
        <is>
          <t>Carbon dioxide, from soil or biomass stock</t>
        </is>
      </c>
      <c r="U8" t="inlineStr">
        <is>
          <t>Sulfur dioxide</t>
        </is>
      </c>
      <c r="V8" t="inlineStr">
        <is>
          <t>Benzene</t>
        </is>
      </c>
      <c r="W8" t="inlineStr">
        <is>
          <t>Methane, fossil</t>
        </is>
      </c>
      <c r="X8" t="inlineStr">
        <is>
          <t>Carbon monoxide, fossil</t>
        </is>
      </c>
      <c r="Y8" t="inlineStr">
        <is>
          <t>Dinitrogen monoxide</t>
        </is>
      </c>
      <c r="Z8" t="inlineStr">
        <is>
          <t>Ammonia</t>
        </is>
      </c>
      <c r="AB8" t="inlineStr">
        <is>
          <t>Nitrogen oxides</t>
        </is>
      </c>
      <c r="AC8" t="inlineStr">
        <is>
          <t>Particulates, &lt; 2.5 um</t>
        </is>
      </c>
      <c r="AD8" t="inlineStr">
        <is>
          <t>NMVOC, non-methane volatile organic compounds, unspecified origin</t>
        </is>
      </c>
      <c r="AE8" t="inlineStr">
        <is>
          <t>Ethane</t>
        </is>
      </c>
      <c r="AF8" t="inlineStr">
        <is>
          <t>Propane</t>
        </is>
      </c>
      <c r="AG8" t="inlineStr">
        <is>
          <t>Butane</t>
        </is>
      </c>
      <c r="AH8" t="inlineStr">
        <is>
          <t>Pentane</t>
        </is>
      </c>
      <c r="AI8" t="inlineStr">
        <is>
          <t>Hexane</t>
        </is>
      </c>
      <c r="AJ8" t="inlineStr">
        <is>
          <t>Cyclohexane</t>
        </is>
      </c>
      <c r="AK8" t="inlineStr">
        <is>
          <t>Heptane</t>
        </is>
      </c>
      <c r="AL8" t="inlineStr">
        <is>
          <t>Ethene</t>
        </is>
      </c>
      <c r="AM8" t="inlineStr">
        <is>
          <t>Propene</t>
        </is>
      </c>
      <c r="AN8" t="inlineStr">
        <is>
          <t>1-Pentene</t>
        </is>
      </c>
      <c r="AO8" t="inlineStr">
        <is>
          <t>Benzene</t>
        </is>
      </c>
      <c r="AP8" t="inlineStr">
        <is>
          <t>Toluene</t>
        </is>
      </c>
      <c r="AQ8" t="inlineStr">
        <is>
          <t>m-Xylene</t>
        </is>
      </c>
      <c r="AR8" t="inlineStr">
        <is>
          <t>o-Xylene</t>
        </is>
      </c>
      <c r="AS8" t="inlineStr">
        <is>
          <t>Formaldehyde</t>
        </is>
      </c>
      <c r="AT8" t="inlineStr">
        <is>
          <t>Acetaldehyde</t>
        </is>
      </c>
      <c r="AU8" t="inlineStr">
        <is>
          <t>Benzaldehyde</t>
        </is>
      </c>
      <c r="AV8" t="inlineStr">
        <is>
          <t>Acetone</t>
        </is>
      </c>
      <c r="AW8" t="inlineStr">
        <is>
          <t>Methyl ethyl ketone</t>
        </is>
      </c>
      <c r="AX8" t="inlineStr">
        <is>
          <t>Acrolein</t>
        </is>
      </c>
      <c r="AY8" t="inlineStr">
        <is>
          <t>Styrene</t>
        </is>
      </c>
      <c r="AZ8" t="inlineStr">
        <is>
          <t>PAH, polycyclic aromatic hydrocarbons</t>
        </is>
      </c>
      <c r="BA8" t="inlineStr">
        <is>
          <t>Arsenic</t>
        </is>
      </c>
      <c r="BB8" t="inlineStr">
        <is>
          <t>Selenium</t>
        </is>
      </c>
      <c r="BC8" t="inlineStr">
        <is>
          <t>Zinc</t>
        </is>
      </c>
      <c r="BD8" t="inlineStr">
        <is>
          <t>Copper</t>
        </is>
      </c>
      <c r="BE8" t="inlineStr">
        <is>
          <t>Nickel</t>
        </is>
      </c>
      <c r="BF8" t="inlineStr">
        <is>
          <t>Chromium</t>
        </is>
      </c>
      <c r="BG8" t="inlineStr">
        <is>
          <t>Chromium VI</t>
        </is>
      </c>
      <c r="BH8" t="inlineStr">
        <is>
          <t>Mercury</t>
        </is>
      </c>
      <c r="BI8" t="inlineStr">
        <is>
          <t>Cadmium</t>
        </is>
      </c>
      <c r="BJ8" t="inlineStr">
        <is>
          <t>treatment of road wear emissions, passenger car</t>
        </is>
      </c>
      <c r="BK8" t="inlineStr">
        <is>
          <t>treatment of tyre wear emissions, passenger car</t>
        </is>
      </c>
      <c r="BL8" t="inlineStr">
        <is>
          <t>treatment of brake wear emissions, passenger car</t>
        </is>
      </c>
    </row>
    <row r="9">
      <c r="A9" t="inlineStr">
        <is>
          <t>Tram, electric</t>
        </is>
      </c>
      <c r="B9" t="inlineStr">
        <is>
          <t>tram production</t>
        </is>
      </c>
      <c r="C9" t="inlineStr">
        <is>
          <t>Glider lightweighting</t>
        </is>
      </c>
      <c r="D9" t="inlineStr">
        <is>
          <t>tram production</t>
        </is>
      </c>
      <c r="E9" t="inlineStr">
        <is>
          <t>tram production</t>
        </is>
      </c>
      <c r="F9" t="inlineStr">
        <is>
          <t>market for battery cell, Li-ion, NMC811</t>
        </is>
      </c>
      <c r="G9" t="inlineStr">
        <is>
          <t>market for battery management system, for Li-ion battery</t>
        </is>
      </c>
      <c r="L9" t="inlineStr">
        <is>
          <t>market for electricity, medium voltage</t>
        </is>
      </c>
      <c r="M9" t="inlineStr">
        <is>
          <t>maintenance, tram</t>
        </is>
      </c>
      <c r="N9" t="inlineStr">
        <is>
          <t>tram track construction</t>
        </is>
      </c>
      <c r="P9" t="inlineStr">
        <is>
          <t>treatment of used tram</t>
        </is>
      </c>
      <c r="Q9" t="inlineStr">
        <is>
          <t>treatment of used tram</t>
        </is>
      </c>
      <c r="R9" t="inlineStr">
        <is>
          <t>market for used Li-ion battery</t>
        </is>
      </c>
      <c r="S9" t="inlineStr">
        <is>
          <t>Carbon dioxide, fossil</t>
        </is>
      </c>
      <c r="T9" t="inlineStr">
        <is>
          <t>Carbon dioxide, from soil or biomass stock</t>
        </is>
      </c>
      <c r="U9" t="inlineStr">
        <is>
          <t>Sulfur dioxide</t>
        </is>
      </c>
      <c r="V9" t="inlineStr">
        <is>
          <t>Benzene</t>
        </is>
      </c>
      <c r="W9" t="inlineStr">
        <is>
          <t>Methane, fossil</t>
        </is>
      </c>
      <c r="X9" t="inlineStr">
        <is>
          <t>Carbon monoxide, fossil</t>
        </is>
      </c>
      <c r="Y9" t="inlineStr">
        <is>
          <t>Dinitrogen monoxide</t>
        </is>
      </c>
      <c r="Z9" t="inlineStr">
        <is>
          <t>Ammonia</t>
        </is>
      </c>
      <c r="AB9" t="inlineStr">
        <is>
          <t>Nitrogen oxides</t>
        </is>
      </c>
      <c r="AC9" t="inlineStr">
        <is>
          <t>Particulates, &lt; 2.5 um</t>
        </is>
      </c>
      <c r="AD9" t="inlineStr">
        <is>
          <t>NMVOC, non-methane volatile organic compounds, unspecified origin</t>
        </is>
      </c>
      <c r="AE9" t="inlineStr">
        <is>
          <t>Ethane</t>
        </is>
      </c>
      <c r="AF9" t="inlineStr">
        <is>
          <t>Propane</t>
        </is>
      </c>
      <c r="AG9" t="inlineStr">
        <is>
          <t>Butane</t>
        </is>
      </c>
      <c r="AH9" t="inlineStr">
        <is>
          <t>Pentane</t>
        </is>
      </c>
      <c r="AI9" t="inlineStr">
        <is>
          <t>Hexane</t>
        </is>
      </c>
      <c r="AJ9" t="inlineStr">
        <is>
          <t>Cyclohexane</t>
        </is>
      </c>
      <c r="AK9" t="inlineStr">
        <is>
          <t>Heptane</t>
        </is>
      </c>
      <c r="AL9" t="inlineStr">
        <is>
          <t>Ethene</t>
        </is>
      </c>
      <c r="AM9" t="inlineStr">
        <is>
          <t>Propene</t>
        </is>
      </c>
      <c r="AN9" t="inlineStr">
        <is>
          <t>1-Pentene</t>
        </is>
      </c>
      <c r="AO9" t="inlineStr">
        <is>
          <t>Benzene</t>
        </is>
      </c>
      <c r="AP9" t="inlineStr">
        <is>
          <t>Toluene</t>
        </is>
      </c>
      <c r="AQ9" t="inlineStr">
        <is>
          <t>m-Xylene</t>
        </is>
      </c>
      <c r="AR9" t="inlineStr">
        <is>
          <t>o-Xylene</t>
        </is>
      </c>
      <c r="AS9" t="inlineStr">
        <is>
          <t>Formaldehyde</t>
        </is>
      </c>
      <c r="AT9" t="inlineStr">
        <is>
          <t>Acetaldehyde</t>
        </is>
      </c>
      <c r="AU9" t="inlineStr">
        <is>
          <t>Benzaldehyde</t>
        </is>
      </c>
      <c r="AV9" t="inlineStr">
        <is>
          <t>Acetone</t>
        </is>
      </c>
      <c r="AW9" t="inlineStr">
        <is>
          <t>Methyl ethyl ketone</t>
        </is>
      </c>
      <c r="AX9" t="inlineStr">
        <is>
          <t>Acrolein</t>
        </is>
      </c>
      <c r="AY9" t="inlineStr">
        <is>
          <t>Styrene</t>
        </is>
      </c>
      <c r="AZ9" t="inlineStr">
        <is>
          <t>PAH, polycyclic aromatic hydrocarbons</t>
        </is>
      </c>
      <c r="BA9" t="inlineStr">
        <is>
          <t>Arsenic</t>
        </is>
      </c>
      <c r="BB9" t="inlineStr">
        <is>
          <t>Selenium</t>
        </is>
      </c>
      <c r="BC9" t="inlineStr">
        <is>
          <t>Zinc</t>
        </is>
      </c>
      <c r="BD9" t="inlineStr">
        <is>
          <t>Copper</t>
        </is>
      </c>
      <c r="BE9" t="inlineStr">
        <is>
          <t>Nickel</t>
        </is>
      </c>
      <c r="BF9" t="inlineStr">
        <is>
          <t>Chromium</t>
        </is>
      </c>
      <c r="BG9" t="inlineStr">
        <is>
          <t>Chromium VI</t>
        </is>
      </c>
      <c r="BH9" t="inlineStr">
        <is>
          <t>Mercury</t>
        </is>
      </c>
      <c r="BI9" t="inlineStr">
        <is>
          <t>Cadmium</t>
        </is>
      </c>
      <c r="BJ9" t="inlineStr">
        <is>
          <t>treatment of road wear emissions, passenger car</t>
        </is>
      </c>
      <c r="BK9" t="inlineStr">
        <is>
          <t>treatment of tyre wear emissions, passenger car</t>
        </is>
      </c>
      <c r="BL9" t="inlineStr">
        <is>
          <t>treatment of brake wear emissions, passenger car</t>
        </is>
      </c>
    </row>
    <row r="10">
      <c r="A10" t="inlineStr">
        <is>
          <t>Moped, gasoline, &lt;4kW, EURO-3</t>
        </is>
      </c>
      <c r="B10" t="inlineStr">
        <is>
          <t>motor scooter production</t>
        </is>
      </c>
      <c r="C10" t="inlineStr">
        <is>
          <t>Glider lightweighting</t>
        </is>
      </c>
      <c r="D10" t="inlineStr">
        <is>
          <t>motor scooter production</t>
        </is>
      </c>
      <c r="I10" t="inlineStr">
        <is>
          <t>polyethylene production, high density, granulate</t>
        </is>
      </c>
      <c r="K10" t="inlineStr">
        <is>
          <t>petrol blending for two-stroke engines</t>
        </is>
      </c>
      <c r="M10" t="inlineStr">
        <is>
          <t>maintenance, motor scooter</t>
        </is>
      </c>
      <c r="N10" t="inlineStr">
        <is>
          <t>road construction</t>
        </is>
      </c>
      <c r="O10" t="inlineStr">
        <is>
          <t>road maintenance</t>
        </is>
      </c>
      <c r="S10" t="inlineStr">
        <is>
          <t>Carbon dioxide, fossil</t>
        </is>
      </c>
      <c r="T10" t="inlineStr">
        <is>
          <t>Carbon dioxide, from soil or biomass stock</t>
        </is>
      </c>
      <c r="U10" t="inlineStr">
        <is>
          <t>Sulfur dioxide</t>
        </is>
      </c>
      <c r="V10" t="inlineStr">
        <is>
          <t>Benzene</t>
        </is>
      </c>
      <c r="W10" t="inlineStr">
        <is>
          <t>Methane, fossil</t>
        </is>
      </c>
      <c r="X10" t="inlineStr">
        <is>
          <t>Carbon monoxide, fossil</t>
        </is>
      </c>
      <c r="Y10" t="inlineStr">
        <is>
          <t>Dinitrogen monoxide</t>
        </is>
      </c>
      <c r="Z10" t="inlineStr">
        <is>
          <t>Ammonia</t>
        </is>
      </c>
      <c r="AB10" t="inlineStr">
        <is>
          <t>Nitrogen oxides</t>
        </is>
      </c>
      <c r="AC10" t="inlineStr">
        <is>
          <t>Particulates, &lt; 2.5 um</t>
        </is>
      </c>
      <c r="AD10" t="inlineStr">
        <is>
          <t>NMVOC, non-methane volatile organic compounds, unspecified origin</t>
        </is>
      </c>
      <c r="AE10" t="inlineStr">
        <is>
          <t>Ethane</t>
        </is>
      </c>
      <c r="AF10" t="inlineStr">
        <is>
          <t>Propane</t>
        </is>
      </c>
      <c r="AG10" t="inlineStr">
        <is>
          <t>Butane</t>
        </is>
      </c>
      <c r="AH10" t="inlineStr">
        <is>
          <t>Pentane</t>
        </is>
      </c>
      <c r="AI10" t="inlineStr">
        <is>
          <t>Hexane</t>
        </is>
      </c>
      <c r="AJ10" t="inlineStr">
        <is>
          <t>Cyclohexane</t>
        </is>
      </c>
      <c r="AK10" t="inlineStr">
        <is>
          <t>Heptane</t>
        </is>
      </c>
      <c r="AL10" t="inlineStr">
        <is>
          <t>Ethene</t>
        </is>
      </c>
      <c r="AM10" t="inlineStr">
        <is>
          <t>Propene</t>
        </is>
      </c>
      <c r="AN10" t="inlineStr">
        <is>
          <t>1-Pentene</t>
        </is>
      </c>
      <c r="AO10" t="inlineStr">
        <is>
          <t>Benzene</t>
        </is>
      </c>
      <c r="AP10" t="inlineStr">
        <is>
          <t>Toluene</t>
        </is>
      </c>
      <c r="AQ10" t="inlineStr">
        <is>
          <t>m-Xylene</t>
        </is>
      </c>
      <c r="AR10" t="inlineStr">
        <is>
          <t>o-Xylene</t>
        </is>
      </c>
      <c r="AS10" t="inlineStr">
        <is>
          <t>Formaldehyde</t>
        </is>
      </c>
      <c r="AT10" t="inlineStr">
        <is>
          <t>Acetaldehyde</t>
        </is>
      </c>
      <c r="AU10" t="inlineStr">
        <is>
          <t>Benzaldehyde</t>
        </is>
      </c>
      <c r="AV10" t="inlineStr">
        <is>
          <t>Acetone</t>
        </is>
      </c>
      <c r="AW10" t="inlineStr">
        <is>
          <t>Methyl ethyl ketone</t>
        </is>
      </c>
      <c r="AX10" t="inlineStr">
        <is>
          <t>Acrolein</t>
        </is>
      </c>
      <c r="AY10" t="inlineStr">
        <is>
          <t>Styrene</t>
        </is>
      </c>
      <c r="AZ10" t="inlineStr">
        <is>
          <t>PAH, polycyclic aromatic hydrocarbons</t>
        </is>
      </c>
      <c r="BA10" t="inlineStr">
        <is>
          <t>Arsenic</t>
        </is>
      </c>
      <c r="BB10" t="inlineStr">
        <is>
          <t>Selenium</t>
        </is>
      </c>
      <c r="BC10" t="inlineStr">
        <is>
          <t>Zinc</t>
        </is>
      </c>
      <c r="BD10" t="inlineStr">
        <is>
          <t>Copper</t>
        </is>
      </c>
      <c r="BE10" t="inlineStr">
        <is>
          <t>Nickel</t>
        </is>
      </c>
      <c r="BF10" t="inlineStr">
        <is>
          <t>Chromium</t>
        </is>
      </c>
      <c r="BG10" t="inlineStr">
        <is>
          <t>Chromium VI</t>
        </is>
      </c>
      <c r="BH10" t="inlineStr">
        <is>
          <t>Mercury</t>
        </is>
      </c>
      <c r="BI10" t="inlineStr">
        <is>
          <t>Cadmium</t>
        </is>
      </c>
      <c r="BJ10" t="inlineStr">
        <is>
          <t>treatment of road wear emissions, passenger car</t>
        </is>
      </c>
      <c r="BK10" t="inlineStr">
        <is>
          <t>treatment of tyre wear emissions, passenger car</t>
        </is>
      </c>
      <c r="BL10" t="inlineStr">
        <is>
          <t>treatment of brake wear emissions, passenger car</t>
        </is>
      </c>
    </row>
    <row r="11">
      <c r="A11" t="inlineStr">
        <is>
          <t>Moped, gasoline, &lt;4kW, EURO-4</t>
        </is>
      </c>
      <c r="B11" t="inlineStr">
        <is>
          <t>motor scooter production</t>
        </is>
      </c>
      <c r="C11" t="inlineStr">
        <is>
          <t>Glider lightweighting</t>
        </is>
      </c>
      <c r="D11" t="inlineStr">
        <is>
          <t>motor scooter production</t>
        </is>
      </c>
      <c r="I11" t="inlineStr">
        <is>
          <t>polyethylene production, high density, granulate</t>
        </is>
      </c>
      <c r="K11" t="inlineStr">
        <is>
          <t>petrol blending for two-stroke engines</t>
        </is>
      </c>
      <c r="M11" t="inlineStr">
        <is>
          <t>maintenance, motor scooter</t>
        </is>
      </c>
      <c r="N11" t="inlineStr">
        <is>
          <t>road construction</t>
        </is>
      </c>
      <c r="O11" t="inlineStr">
        <is>
          <t>road maintenance</t>
        </is>
      </c>
      <c r="S11" t="inlineStr">
        <is>
          <t>Carbon dioxide, fossil</t>
        </is>
      </c>
      <c r="T11" t="inlineStr">
        <is>
          <t>Carbon dioxide, from soil or biomass stock</t>
        </is>
      </c>
      <c r="U11" t="inlineStr">
        <is>
          <t>Sulfur dioxide</t>
        </is>
      </c>
      <c r="V11" t="inlineStr">
        <is>
          <t>Benzene</t>
        </is>
      </c>
      <c r="W11" t="inlineStr">
        <is>
          <t>Methane, fossil</t>
        </is>
      </c>
      <c r="X11" t="inlineStr">
        <is>
          <t>Carbon monoxide, fossil</t>
        </is>
      </c>
      <c r="Y11" t="inlineStr">
        <is>
          <t>Dinitrogen monoxide</t>
        </is>
      </c>
      <c r="Z11" t="inlineStr">
        <is>
          <t>Ammonia</t>
        </is>
      </c>
      <c r="AB11" t="inlineStr">
        <is>
          <t>Nitrogen oxides</t>
        </is>
      </c>
      <c r="AC11" t="inlineStr">
        <is>
          <t>Particulates, &lt; 2.5 um</t>
        </is>
      </c>
      <c r="AD11" t="inlineStr">
        <is>
          <t>NMVOC, non-methane volatile organic compounds, unspecified origin</t>
        </is>
      </c>
      <c r="AE11" t="inlineStr">
        <is>
          <t>Ethane</t>
        </is>
      </c>
      <c r="AF11" t="inlineStr">
        <is>
          <t>Propane</t>
        </is>
      </c>
      <c r="AG11" t="inlineStr">
        <is>
          <t>Butane</t>
        </is>
      </c>
      <c r="AH11" t="inlineStr">
        <is>
          <t>Pentane</t>
        </is>
      </c>
      <c r="AI11" t="inlineStr">
        <is>
          <t>Hexane</t>
        </is>
      </c>
      <c r="AJ11" t="inlineStr">
        <is>
          <t>Cyclohexane</t>
        </is>
      </c>
      <c r="AK11" t="inlineStr">
        <is>
          <t>Heptane</t>
        </is>
      </c>
      <c r="AL11" t="inlineStr">
        <is>
          <t>Ethene</t>
        </is>
      </c>
      <c r="AM11" t="inlineStr">
        <is>
          <t>Propene</t>
        </is>
      </c>
      <c r="AN11" t="inlineStr">
        <is>
          <t>1-Pentene</t>
        </is>
      </c>
      <c r="AO11" t="inlineStr">
        <is>
          <t>Benzene</t>
        </is>
      </c>
      <c r="AP11" t="inlineStr">
        <is>
          <t>Toluene</t>
        </is>
      </c>
      <c r="AQ11" t="inlineStr">
        <is>
          <t>m-Xylene</t>
        </is>
      </c>
      <c r="AR11" t="inlineStr">
        <is>
          <t>o-Xylene</t>
        </is>
      </c>
      <c r="AS11" t="inlineStr">
        <is>
          <t>Formaldehyde</t>
        </is>
      </c>
      <c r="AT11" t="inlineStr">
        <is>
          <t>Acetaldehyde</t>
        </is>
      </c>
      <c r="AU11" t="inlineStr">
        <is>
          <t>Benzaldehyde</t>
        </is>
      </c>
      <c r="AV11" t="inlineStr">
        <is>
          <t>Acetone</t>
        </is>
      </c>
      <c r="AW11" t="inlineStr">
        <is>
          <t>Methyl ethyl ketone</t>
        </is>
      </c>
      <c r="AX11" t="inlineStr">
        <is>
          <t>Acrolein</t>
        </is>
      </c>
      <c r="AY11" t="inlineStr">
        <is>
          <t>Styrene</t>
        </is>
      </c>
      <c r="AZ11" t="inlineStr">
        <is>
          <t>PAH, polycyclic aromatic hydrocarbons</t>
        </is>
      </c>
      <c r="BA11" t="inlineStr">
        <is>
          <t>Arsenic</t>
        </is>
      </c>
      <c r="BB11" t="inlineStr">
        <is>
          <t>Selenium</t>
        </is>
      </c>
      <c r="BC11" t="inlineStr">
        <is>
          <t>Zinc</t>
        </is>
      </c>
      <c r="BD11" t="inlineStr">
        <is>
          <t>Copper</t>
        </is>
      </c>
      <c r="BE11" t="inlineStr">
        <is>
          <t>Nickel</t>
        </is>
      </c>
      <c r="BF11" t="inlineStr">
        <is>
          <t>Chromium</t>
        </is>
      </c>
      <c r="BG11" t="inlineStr">
        <is>
          <t>Chromium VI</t>
        </is>
      </c>
      <c r="BH11" t="inlineStr">
        <is>
          <t>Mercury</t>
        </is>
      </c>
      <c r="BI11" t="inlineStr">
        <is>
          <t>Cadmium</t>
        </is>
      </c>
      <c r="BJ11" t="inlineStr">
        <is>
          <t>treatment of road wear emissions, passenger car</t>
        </is>
      </c>
      <c r="BK11" t="inlineStr">
        <is>
          <t>treatment of tyre wear emissions, passenger car</t>
        </is>
      </c>
      <c r="BL11" t="inlineStr">
        <is>
          <t>treatment of brake wear emissions, passenger car</t>
        </is>
      </c>
    </row>
    <row r="12">
      <c r="A12" t="inlineStr">
        <is>
          <t>Moped, gasoline, &lt;4kW, EURO-5</t>
        </is>
      </c>
      <c r="B12" t="inlineStr">
        <is>
          <t>motor scooter production</t>
        </is>
      </c>
      <c r="C12" t="inlineStr">
        <is>
          <t>Glider lightweighting</t>
        </is>
      </c>
      <c r="D12" t="inlineStr">
        <is>
          <t>motor scooter production</t>
        </is>
      </c>
      <c r="I12" t="inlineStr">
        <is>
          <t>polyethylene production, high density, granulate</t>
        </is>
      </c>
      <c r="K12" t="inlineStr">
        <is>
          <t>petrol blending for two-stroke engines</t>
        </is>
      </c>
      <c r="M12" t="inlineStr">
        <is>
          <t>maintenance, motor scooter</t>
        </is>
      </c>
      <c r="N12" t="inlineStr">
        <is>
          <t>road construction</t>
        </is>
      </c>
      <c r="O12" t="inlineStr">
        <is>
          <t>road maintenance</t>
        </is>
      </c>
      <c r="S12" t="inlineStr">
        <is>
          <t>Carbon dioxide, fossil</t>
        </is>
      </c>
      <c r="T12" t="inlineStr">
        <is>
          <t>Carbon dioxide, from soil or biomass stock</t>
        </is>
      </c>
      <c r="U12" t="inlineStr">
        <is>
          <t>Sulfur dioxide</t>
        </is>
      </c>
      <c r="V12" t="inlineStr">
        <is>
          <t>Benzene</t>
        </is>
      </c>
      <c r="W12" t="inlineStr">
        <is>
          <t>Methane, fossil</t>
        </is>
      </c>
      <c r="X12" t="inlineStr">
        <is>
          <t>Carbon monoxide, fossil</t>
        </is>
      </c>
      <c r="Y12" t="inlineStr">
        <is>
          <t>Dinitrogen monoxide</t>
        </is>
      </c>
      <c r="Z12" t="inlineStr">
        <is>
          <t>Ammonia</t>
        </is>
      </c>
      <c r="AB12" t="inlineStr">
        <is>
          <t>Nitrogen oxides</t>
        </is>
      </c>
      <c r="AC12" t="inlineStr">
        <is>
          <t>Particulates, &lt; 2.5 um</t>
        </is>
      </c>
      <c r="AD12" t="inlineStr">
        <is>
          <t>NMVOC, non-methane volatile organic compounds, unspecified origin</t>
        </is>
      </c>
      <c r="AE12" t="inlineStr">
        <is>
          <t>Ethane</t>
        </is>
      </c>
      <c r="AF12" t="inlineStr">
        <is>
          <t>Propane</t>
        </is>
      </c>
      <c r="AG12" t="inlineStr">
        <is>
          <t>Butane</t>
        </is>
      </c>
      <c r="AH12" t="inlineStr">
        <is>
          <t>Pentane</t>
        </is>
      </c>
      <c r="AI12" t="inlineStr">
        <is>
          <t>Hexane</t>
        </is>
      </c>
      <c r="AJ12" t="inlineStr">
        <is>
          <t>Cyclohexane</t>
        </is>
      </c>
      <c r="AK12" t="inlineStr">
        <is>
          <t>Heptane</t>
        </is>
      </c>
      <c r="AL12" t="inlineStr">
        <is>
          <t>Ethene</t>
        </is>
      </c>
      <c r="AM12" t="inlineStr">
        <is>
          <t>Propene</t>
        </is>
      </c>
      <c r="AN12" t="inlineStr">
        <is>
          <t>1-Pentene</t>
        </is>
      </c>
      <c r="AO12" t="inlineStr">
        <is>
          <t>Benzene</t>
        </is>
      </c>
      <c r="AP12" t="inlineStr">
        <is>
          <t>Toluene</t>
        </is>
      </c>
      <c r="AQ12" t="inlineStr">
        <is>
          <t>m-Xylene</t>
        </is>
      </c>
      <c r="AR12" t="inlineStr">
        <is>
          <t>o-Xylene</t>
        </is>
      </c>
      <c r="AS12" t="inlineStr">
        <is>
          <t>Formaldehyde</t>
        </is>
      </c>
      <c r="AT12" t="inlineStr">
        <is>
          <t>Acetaldehyde</t>
        </is>
      </c>
      <c r="AU12" t="inlineStr">
        <is>
          <t>Benzaldehyde</t>
        </is>
      </c>
      <c r="AV12" t="inlineStr">
        <is>
          <t>Acetone</t>
        </is>
      </c>
      <c r="AW12" t="inlineStr">
        <is>
          <t>Methyl ethyl ketone</t>
        </is>
      </c>
      <c r="AX12" t="inlineStr">
        <is>
          <t>Acrolein</t>
        </is>
      </c>
      <c r="AY12" t="inlineStr">
        <is>
          <t>Styrene</t>
        </is>
      </c>
      <c r="AZ12" t="inlineStr">
        <is>
          <t>PAH, polycyclic aromatic hydrocarbons</t>
        </is>
      </c>
      <c r="BA12" t="inlineStr">
        <is>
          <t>Arsenic</t>
        </is>
      </c>
      <c r="BB12" t="inlineStr">
        <is>
          <t>Selenium</t>
        </is>
      </c>
      <c r="BC12" t="inlineStr">
        <is>
          <t>Zinc</t>
        </is>
      </c>
      <c r="BD12" t="inlineStr">
        <is>
          <t>Copper</t>
        </is>
      </c>
      <c r="BE12" t="inlineStr">
        <is>
          <t>Nickel</t>
        </is>
      </c>
      <c r="BF12" t="inlineStr">
        <is>
          <t>Chromium</t>
        </is>
      </c>
      <c r="BG12" t="inlineStr">
        <is>
          <t>Chromium VI</t>
        </is>
      </c>
      <c r="BH12" t="inlineStr">
        <is>
          <t>Mercury</t>
        </is>
      </c>
      <c r="BI12" t="inlineStr">
        <is>
          <t>Cadmium</t>
        </is>
      </c>
      <c r="BJ12" t="inlineStr">
        <is>
          <t>treatment of road wear emissions, passenger car</t>
        </is>
      </c>
      <c r="BK12" t="inlineStr">
        <is>
          <t>treatment of tyre wear emissions, passenger car</t>
        </is>
      </c>
      <c r="BL12" t="inlineStr">
        <is>
          <t>treatment of brake wear emissions, passenger car</t>
        </is>
      </c>
    </row>
    <row r="13">
      <c r="A13" t="inlineStr">
        <is>
          <t>Scooter, gasoline, &lt;4kW, EURO-3</t>
        </is>
      </c>
      <c r="B13" t="inlineStr">
        <is>
          <t>motor scooter production</t>
        </is>
      </c>
      <c r="C13" t="inlineStr">
        <is>
          <t>Glider lightweighting</t>
        </is>
      </c>
      <c r="D13" t="inlineStr">
        <is>
          <t>motor scooter production</t>
        </is>
      </c>
      <c r="I13" t="inlineStr">
        <is>
          <t>polyethylene production, high density, granulate</t>
        </is>
      </c>
      <c r="K13" t="inlineStr">
        <is>
          <t>petrol blending for two-stroke engines</t>
        </is>
      </c>
      <c r="M13" t="inlineStr">
        <is>
          <t>maintenance, motor scooter</t>
        </is>
      </c>
      <c r="N13" t="inlineStr">
        <is>
          <t>road construction</t>
        </is>
      </c>
      <c r="O13" t="inlineStr">
        <is>
          <t>road maintenance</t>
        </is>
      </c>
      <c r="S13" t="inlineStr">
        <is>
          <t>Carbon dioxide, fossil</t>
        </is>
      </c>
      <c r="T13" t="inlineStr">
        <is>
          <t>Carbon dioxide, from soil or biomass stock</t>
        </is>
      </c>
      <c r="U13" t="inlineStr">
        <is>
          <t>Sulfur dioxide</t>
        </is>
      </c>
      <c r="V13" t="inlineStr">
        <is>
          <t>Benzene</t>
        </is>
      </c>
      <c r="W13" t="inlineStr">
        <is>
          <t>Methane, fossil</t>
        </is>
      </c>
      <c r="X13" t="inlineStr">
        <is>
          <t>Carbon monoxide, fossil</t>
        </is>
      </c>
      <c r="Y13" t="inlineStr">
        <is>
          <t>Dinitrogen monoxide</t>
        </is>
      </c>
      <c r="Z13" t="inlineStr">
        <is>
          <t>Ammonia</t>
        </is>
      </c>
      <c r="AB13" t="inlineStr">
        <is>
          <t>Nitrogen oxides</t>
        </is>
      </c>
      <c r="AC13" t="inlineStr">
        <is>
          <t>Particulates, &lt; 2.5 um</t>
        </is>
      </c>
      <c r="AD13" t="inlineStr">
        <is>
          <t>NMVOC, non-methane volatile organic compounds, unspecified origin</t>
        </is>
      </c>
      <c r="AE13" t="inlineStr">
        <is>
          <t>Ethane</t>
        </is>
      </c>
      <c r="AF13" t="inlineStr">
        <is>
          <t>Propane</t>
        </is>
      </c>
      <c r="AG13" t="inlineStr">
        <is>
          <t>Butane</t>
        </is>
      </c>
      <c r="AH13" t="inlineStr">
        <is>
          <t>Pentane</t>
        </is>
      </c>
      <c r="AI13" t="inlineStr">
        <is>
          <t>Hexane</t>
        </is>
      </c>
      <c r="AJ13" t="inlineStr">
        <is>
          <t>Cyclohexane</t>
        </is>
      </c>
      <c r="AK13" t="inlineStr">
        <is>
          <t>Heptane</t>
        </is>
      </c>
      <c r="AL13" t="inlineStr">
        <is>
          <t>Ethene</t>
        </is>
      </c>
      <c r="AM13" t="inlineStr">
        <is>
          <t>Propene</t>
        </is>
      </c>
      <c r="AN13" t="inlineStr">
        <is>
          <t>1-Pentene</t>
        </is>
      </c>
      <c r="AO13" t="inlineStr">
        <is>
          <t>Benzene</t>
        </is>
      </c>
      <c r="AP13" t="inlineStr">
        <is>
          <t>Toluene</t>
        </is>
      </c>
      <c r="AQ13" t="inlineStr">
        <is>
          <t>m-Xylene</t>
        </is>
      </c>
      <c r="AR13" t="inlineStr">
        <is>
          <t>o-Xylene</t>
        </is>
      </c>
      <c r="AS13" t="inlineStr">
        <is>
          <t>Formaldehyde</t>
        </is>
      </c>
      <c r="AT13" t="inlineStr">
        <is>
          <t>Acetaldehyde</t>
        </is>
      </c>
      <c r="AU13" t="inlineStr">
        <is>
          <t>Benzaldehyde</t>
        </is>
      </c>
      <c r="AV13" t="inlineStr">
        <is>
          <t>Acetone</t>
        </is>
      </c>
      <c r="AW13" t="inlineStr">
        <is>
          <t>Methyl ethyl ketone</t>
        </is>
      </c>
      <c r="AX13" t="inlineStr">
        <is>
          <t>Acrolein</t>
        </is>
      </c>
      <c r="AY13" t="inlineStr">
        <is>
          <t>Styrene</t>
        </is>
      </c>
      <c r="AZ13" t="inlineStr">
        <is>
          <t>PAH, polycyclic aromatic hydrocarbons</t>
        </is>
      </c>
      <c r="BA13" t="inlineStr">
        <is>
          <t>Arsenic</t>
        </is>
      </c>
      <c r="BB13" t="inlineStr">
        <is>
          <t>Selenium</t>
        </is>
      </c>
      <c r="BC13" t="inlineStr">
        <is>
          <t>Zinc</t>
        </is>
      </c>
      <c r="BD13" t="inlineStr">
        <is>
          <t>Copper</t>
        </is>
      </c>
      <c r="BE13" t="inlineStr">
        <is>
          <t>Nickel</t>
        </is>
      </c>
      <c r="BF13" t="inlineStr">
        <is>
          <t>Chromium</t>
        </is>
      </c>
      <c r="BG13" t="inlineStr">
        <is>
          <t>Chromium VI</t>
        </is>
      </c>
      <c r="BH13" t="inlineStr">
        <is>
          <t>Mercury</t>
        </is>
      </c>
      <c r="BI13" t="inlineStr">
        <is>
          <t>Cadmium</t>
        </is>
      </c>
      <c r="BJ13" t="inlineStr">
        <is>
          <t>treatment of road wear emissions, passenger car</t>
        </is>
      </c>
      <c r="BK13" t="inlineStr">
        <is>
          <t>treatment of tyre wear emissions, passenger car</t>
        </is>
      </c>
      <c r="BL13" t="inlineStr">
        <is>
          <t>treatment of brake wear emissions, passenger car</t>
        </is>
      </c>
    </row>
    <row r="14">
      <c r="A14" t="inlineStr">
        <is>
          <t>Scooter, gasoline, &lt;4kW, EURO-4</t>
        </is>
      </c>
      <c r="B14" t="inlineStr">
        <is>
          <t>motor scooter production</t>
        </is>
      </c>
      <c r="C14" t="inlineStr">
        <is>
          <t>Glider lightweighting</t>
        </is>
      </c>
      <c r="D14" t="inlineStr">
        <is>
          <t>motor scooter production</t>
        </is>
      </c>
      <c r="I14" t="inlineStr">
        <is>
          <t>polyethylene production, high density, granulate</t>
        </is>
      </c>
      <c r="K14" t="inlineStr">
        <is>
          <t>petrol blending for two-stroke engines</t>
        </is>
      </c>
      <c r="M14" t="inlineStr">
        <is>
          <t>maintenance, motor scooter</t>
        </is>
      </c>
      <c r="N14" t="inlineStr">
        <is>
          <t>road construction</t>
        </is>
      </c>
      <c r="O14" t="inlineStr">
        <is>
          <t>road maintenance</t>
        </is>
      </c>
      <c r="S14" t="inlineStr">
        <is>
          <t>Carbon dioxide, fossil</t>
        </is>
      </c>
      <c r="T14" t="inlineStr">
        <is>
          <t>Carbon dioxide, from soil or biomass stock</t>
        </is>
      </c>
      <c r="U14" t="inlineStr">
        <is>
          <t>Sulfur dioxide</t>
        </is>
      </c>
      <c r="V14" t="inlineStr">
        <is>
          <t>Benzene</t>
        </is>
      </c>
      <c r="W14" t="inlineStr">
        <is>
          <t>Methane, fossil</t>
        </is>
      </c>
      <c r="X14" t="inlineStr">
        <is>
          <t>Carbon monoxide, fossil</t>
        </is>
      </c>
      <c r="Y14" t="inlineStr">
        <is>
          <t>Dinitrogen monoxide</t>
        </is>
      </c>
      <c r="Z14" t="inlineStr">
        <is>
          <t>Ammonia</t>
        </is>
      </c>
      <c r="AB14" t="inlineStr">
        <is>
          <t>Nitrogen oxides</t>
        </is>
      </c>
      <c r="AC14" t="inlineStr">
        <is>
          <t>Particulates, &lt; 2.5 um</t>
        </is>
      </c>
      <c r="AD14" t="inlineStr">
        <is>
          <t>NMVOC, non-methane volatile organic compounds, unspecified origin</t>
        </is>
      </c>
      <c r="AE14" t="inlineStr">
        <is>
          <t>Ethane</t>
        </is>
      </c>
      <c r="AF14" t="inlineStr">
        <is>
          <t>Propane</t>
        </is>
      </c>
      <c r="AG14" t="inlineStr">
        <is>
          <t>Butane</t>
        </is>
      </c>
      <c r="AH14" t="inlineStr">
        <is>
          <t>Pentane</t>
        </is>
      </c>
      <c r="AI14" t="inlineStr">
        <is>
          <t>Hexane</t>
        </is>
      </c>
      <c r="AJ14" t="inlineStr">
        <is>
          <t>Cyclohexane</t>
        </is>
      </c>
      <c r="AK14" t="inlineStr">
        <is>
          <t>Heptane</t>
        </is>
      </c>
      <c r="AL14" t="inlineStr">
        <is>
          <t>Ethene</t>
        </is>
      </c>
      <c r="AM14" t="inlineStr">
        <is>
          <t>Propene</t>
        </is>
      </c>
      <c r="AN14" t="inlineStr">
        <is>
          <t>1-Pentene</t>
        </is>
      </c>
      <c r="AO14" t="inlineStr">
        <is>
          <t>Benzene</t>
        </is>
      </c>
      <c r="AP14" t="inlineStr">
        <is>
          <t>Toluene</t>
        </is>
      </c>
      <c r="AQ14" t="inlineStr">
        <is>
          <t>m-Xylene</t>
        </is>
      </c>
      <c r="AR14" t="inlineStr">
        <is>
          <t>o-Xylene</t>
        </is>
      </c>
      <c r="AS14" t="inlineStr">
        <is>
          <t>Formaldehyde</t>
        </is>
      </c>
      <c r="AT14" t="inlineStr">
        <is>
          <t>Acetaldehyde</t>
        </is>
      </c>
      <c r="AU14" t="inlineStr">
        <is>
          <t>Benzaldehyde</t>
        </is>
      </c>
      <c r="AV14" t="inlineStr">
        <is>
          <t>Acetone</t>
        </is>
      </c>
      <c r="AW14" t="inlineStr">
        <is>
          <t>Methyl ethyl ketone</t>
        </is>
      </c>
      <c r="AX14" t="inlineStr">
        <is>
          <t>Acrolein</t>
        </is>
      </c>
      <c r="AY14" t="inlineStr">
        <is>
          <t>Styrene</t>
        </is>
      </c>
      <c r="AZ14" t="inlineStr">
        <is>
          <t>PAH, polycyclic aromatic hydrocarbons</t>
        </is>
      </c>
      <c r="BA14" t="inlineStr">
        <is>
          <t>Arsenic</t>
        </is>
      </c>
      <c r="BB14" t="inlineStr">
        <is>
          <t>Selenium</t>
        </is>
      </c>
      <c r="BC14" t="inlineStr">
        <is>
          <t>Zinc</t>
        </is>
      </c>
      <c r="BD14" t="inlineStr">
        <is>
          <t>Copper</t>
        </is>
      </c>
      <c r="BE14" t="inlineStr">
        <is>
          <t>Nickel</t>
        </is>
      </c>
      <c r="BF14" t="inlineStr">
        <is>
          <t>Chromium</t>
        </is>
      </c>
      <c r="BG14" t="inlineStr">
        <is>
          <t>Chromium VI</t>
        </is>
      </c>
      <c r="BH14" t="inlineStr">
        <is>
          <t>Mercury</t>
        </is>
      </c>
      <c r="BI14" t="inlineStr">
        <is>
          <t>Cadmium</t>
        </is>
      </c>
      <c r="BJ14" t="inlineStr">
        <is>
          <t>treatment of road wear emissions, passenger car</t>
        </is>
      </c>
      <c r="BK14" t="inlineStr">
        <is>
          <t>treatment of tyre wear emissions, passenger car</t>
        </is>
      </c>
      <c r="BL14" t="inlineStr">
        <is>
          <t>treatment of brake wear emissions, passenger car</t>
        </is>
      </c>
    </row>
    <row r="15">
      <c r="A15" t="inlineStr">
        <is>
          <t>Scooter, gasoline, &lt;4kW, EURO-5</t>
        </is>
      </c>
      <c r="B15" t="inlineStr">
        <is>
          <t>motor scooter production</t>
        </is>
      </c>
      <c r="C15" t="inlineStr">
        <is>
          <t>Glider lightweighting</t>
        </is>
      </c>
      <c r="D15" t="inlineStr">
        <is>
          <t>motor scooter production</t>
        </is>
      </c>
      <c r="I15" t="inlineStr">
        <is>
          <t>polyethylene production, high density, granulate</t>
        </is>
      </c>
      <c r="K15" t="inlineStr">
        <is>
          <t>petrol blending for two-stroke engines</t>
        </is>
      </c>
      <c r="M15" t="inlineStr">
        <is>
          <t>maintenance, motor scooter</t>
        </is>
      </c>
      <c r="N15" t="inlineStr">
        <is>
          <t>road construction</t>
        </is>
      </c>
      <c r="O15" t="inlineStr">
        <is>
          <t>road maintenance</t>
        </is>
      </c>
      <c r="S15" t="inlineStr">
        <is>
          <t>Carbon dioxide, fossil</t>
        </is>
      </c>
      <c r="T15" t="inlineStr">
        <is>
          <t>Carbon dioxide, from soil or biomass stock</t>
        </is>
      </c>
      <c r="U15" t="inlineStr">
        <is>
          <t>Sulfur dioxide</t>
        </is>
      </c>
      <c r="V15" t="inlineStr">
        <is>
          <t>Benzene</t>
        </is>
      </c>
      <c r="W15" t="inlineStr">
        <is>
          <t>Methane, fossil</t>
        </is>
      </c>
      <c r="X15" t="inlineStr">
        <is>
          <t>Carbon monoxide, fossil</t>
        </is>
      </c>
      <c r="Y15" t="inlineStr">
        <is>
          <t>Dinitrogen monoxide</t>
        </is>
      </c>
      <c r="Z15" t="inlineStr">
        <is>
          <t>Ammonia</t>
        </is>
      </c>
      <c r="AB15" t="inlineStr">
        <is>
          <t>Nitrogen oxides</t>
        </is>
      </c>
      <c r="AC15" t="inlineStr">
        <is>
          <t>Particulates, &lt; 2.5 um</t>
        </is>
      </c>
      <c r="AD15" t="inlineStr">
        <is>
          <t>NMVOC, non-methane volatile organic compounds, unspecified origin</t>
        </is>
      </c>
      <c r="AE15" t="inlineStr">
        <is>
          <t>Ethane</t>
        </is>
      </c>
      <c r="AF15" t="inlineStr">
        <is>
          <t>Propane</t>
        </is>
      </c>
      <c r="AG15" t="inlineStr">
        <is>
          <t>Butane</t>
        </is>
      </c>
      <c r="AH15" t="inlineStr">
        <is>
          <t>Pentane</t>
        </is>
      </c>
      <c r="AI15" t="inlineStr">
        <is>
          <t>Hexane</t>
        </is>
      </c>
      <c r="AJ15" t="inlineStr">
        <is>
          <t>Cyclohexane</t>
        </is>
      </c>
      <c r="AK15" t="inlineStr">
        <is>
          <t>Heptane</t>
        </is>
      </c>
      <c r="AL15" t="inlineStr">
        <is>
          <t>Ethene</t>
        </is>
      </c>
      <c r="AM15" t="inlineStr">
        <is>
          <t>Propene</t>
        </is>
      </c>
      <c r="AN15" t="inlineStr">
        <is>
          <t>1-Pentene</t>
        </is>
      </c>
      <c r="AO15" t="inlineStr">
        <is>
          <t>Benzene</t>
        </is>
      </c>
      <c r="AP15" t="inlineStr">
        <is>
          <t>Toluene</t>
        </is>
      </c>
      <c r="AQ15" t="inlineStr">
        <is>
          <t>m-Xylene</t>
        </is>
      </c>
      <c r="AR15" t="inlineStr">
        <is>
          <t>o-Xylene</t>
        </is>
      </c>
      <c r="AS15" t="inlineStr">
        <is>
          <t>Formaldehyde</t>
        </is>
      </c>
      <c r="AT15" t="inlineStr">
        <is>
          <t>Acetaldehyde</t>
        </is>
      </c>
      <c r="AU15" t="inlineStr">
        <is>
          <t>Benzaldehyde</t>
        </is>
      </c>
      <c r="AV15" t="inlineStr">
        <is>
          <t>Acetone</t>
        </is>
      </c>
      <c r="AW15" t="inlineStr">
        <is>
          <t>Methyl ethyl ketone</t>
        </is>
      </c>
      <c r="AX15" t="inlineStr">
        <is>
          <t>Acrolein</t>
        </is>
      </c>
      <c r="AY15" t="inlineStr">
        <is>
          <t>Styrene</t>
        </is>
      </c>
      <c r="AZ15" t="inlineStr">
        <is>
          <t>PAH, polycyclic aromatic hydrocarbons</t>
        </is>
      </c>
      <c r="BA15" t="inlineStr">
        <is>
          <t>Arsenic</t>
        </is>
      </c>
      <c r="BB15" t="inlineStr">
        <is>
          <t>Selenium</t>
        </is>
      </c>
      <c r="BC15" t="inlineStr">
        <is>
          <t>Zinc</t>
        </is>
      </c>
      <c r="BD15" t="inlineStr">
        <is>
          <t>Copper</t>
        </is>
      </c>
      <c r="BE15" t="inlineStr">
        <is>
          <t>Nickel</t>
        </is>
      </c>
      <c r="BF15" t="inlineStr">
        <is>
          <t>Chromium</t>
        </is>
      </c>
      <c r="BG15" t="inlineStr">
        <is>
          <t>Chromium VI</t>
        </is>
      </c>
      <c r="BH15" t="inlineStr">
        <is>
          <t>Mercury</t>
        </is>
      </c>
      <c r="BI15" t="inlineStr">
        <is>
          <t>Cadmium</t>
        </is>
      </c>
      <c r="BJ15" t="inlineStr">
        <is>
          <t>treatment of road wear emissions, passenger car</t>
        </is>
      </c>
      <c r="BK15" t="inlineStr">
        <is>
          <t>treatment of tyre wear emissions, passenger car</t>
        </is>
      </c>
      <c r="BL15" t="inlineStr">
        <is>
          <t>treatment of brake wear emissions, passenger car</t>
        </is>
      </c>
    </row>
    <row r="16">
      <c r="A16" t="inlineStr">
        <is>
          <t>Scooter, gasoline, 4-11kW, EURO-3</t>
        </is>
      </c>
      <c r="B16" t="inlineStr">
        <is>
          <t>motor scooter production</t>
        </is>
      </c>
      <c r="C16" t="inlineStr">
        <is>
          <t>Glider lightweighting</t>
        </is>
      </c>
      <c r="D16" t="inlineStr">
        <is>
          <t>motor scooter production</t>
        </is>
      </c>
      <c r="I16" t="inlineStr">
        <is>
          <t>polyethylene production, high density, granulate</t>
        </is>
      </c>
      <c r="K16" t="inlineStr">
        <is>
          <t>fuel supply for gasoline vehicles</t>
        </is>
      </c>
      <c r="M16" t="inlineStr">
        <is>
          <t>maintenance, motor scooter</t>
        </is>
      </c>
      <c r="N16" t="inlineStr">
        <is>
          <t>road construction</t>
        </is>
      </c>
      <c r="O16" t="inlineStr">
        <is>
          <t>road maintenance</t>
        </is>
      </c>
      <c r="S16" t="inlineStr">
        <is>
          <t>Carbon dioxide, fossil</t>
        </is>
      </c>
      <c r="T16" t="inlineStr">
        <is>
          <t>Carbon dioxide, from soil or biomass stock</t>
        </is>
      </c>
      <c r="U16" t="inlineStr">
        <is>
          <t>Sulfur dioxide</t>
        </is>
      </c>
      <c r="V16" t="inlineStr">
        <is>
          <t>Benzene</t>
        </is>
      </c>
      <c r="W16" t="inlineStr">
        <is>
          <t>Methane, fossil</t>
        </is>
      </c>
      <c r="X16" t="inlineStr">
        <is>
          <t>Carbon monoxide, fossil</t>
        </is>
      </c>
      <c r="Y16" t="inlineStr">
        <is>
          <t>Dinitrogen monoxide</t>
        </is>
      </c>
      <c r="Z16" t="inlineStr">
        <is>
          <t>Ammonia</t>
        </is>
      </c>
      <c r="AB16" t="inlineStr">
        <is>
          <t>Nitrogen oxides</t>
        </is>
      </c>
      <c r="AC16" t="inlineStr">
        <is>
          <t>Particulates, &lt; 2.5 um</t>
        </is>
      </c>
      <c r="AD16" t="inlineStr">
        <is>
          <t>NMVOC, non-methane volatile organic compounds, unspecified origin</t>
        </is>
      </c>
      <c r="AE16" t="inlineStr">
        <is>
          <t>Ethane</t>
        </is>
      </c>
      <c r="AF16" t="inlineStr">
        <is>
          <t>Propane</t>
        </is>
      </c>
      <c r="AG16" t="inlineStr">
        <is>
          <t>Butane</t>
        </is>
      </c>
      <c r="AH16" t="inlineStr">
        <is>
          <t>Pentane</t>
        </is>
      </c>
      <c r="AI16" t="inlineStr">
        <is>
          <t>Hexane</t>
        </is>
      </c>
      <c r="AJ16" t="inlineStr">
        <is>
          <t>Cyclohexane</t>
        </is>
      </c>
      <c r="AK16" t="inlineStr">
        <is>
          <t>Heptane</t>
        </is>
      </c>
      <c r="AL16" t="inlineStr">
        <is>
          <t>Ethene</t>
        </is>
      </c>
      <c r="AM16" t="inlineStr">
        <is>
          <t>Propene</t>
        </is>
      </c>
      <c r="AN16" t="inlineStr">
        <is>
          <t>1-Pentene</t>
        </is>
      </c>
      <c r="AO16" t="inlineStr">
        <is>
          <t>Benzene</t>
        </is>
      </c>
      <c r="AP16" t="inlineStr">
        <is>
          <t>Toluene</t>
        </is>
      </c>
      <c r="AQ16" t="inlineStr">
        <is>
          <t>m-Xylene</t>
        </is>
      </c>
      <c r="AR16" t="inlineStr">
        <is>
          <t>o-Xylene</t>
        </is>
      </c>
      <c r="AS16" t="inlineStr">
        <is>
          <t>Formaldehyde</t>
        </is>
      </c>
      <c r="AT16" t="inlineStr">
        <is>
          <t>Acetaldehyde</t>
        </is>
      </c>
      <c r="AU16" t="inlineStr">
        <is>
          <t>Benzaldehyde</t>
        </is>
      </c>
      <c r="AV16" t="inlineStr">
        <is>
          <t>Acetone</t>
        </is>
      </c>
      <c r="AW16" t="inlineStr">
        <is>
          <t>Methyl ethyl ketone</t>
        </is>
      </c>
      <c r="AX16" t="inlineStr">
        <is>
          <t>Acrolein</t>
        </is>
      </c>
      <c r="AY16" t="inlineStr">
        <is>
          <t>Styrene</t>
        </is>
      </c>
      <c r="AZ16" t="inlineStr">
        <is>
          <t>PAH, polycyclic aromatic hydrocarbons</t>
        </is>
      </c>
      <c r="BA16" t="inlineStr">
        <is>
          <t>Arsenic</t>
        </is>
      </c>
      <c r="BB16" t="inlineStr">
        <is>
          <t>Selenium</t>
        </is>
      </c>
      <c r="BC16" t="inlineStr">
        <is>
          <t>Zinc</t>
        </is>
      </c>
      <c r="BD16" t="inlineStr">
        <is>
          <t>Copper</t>
        </is>
      </c>
      <c r="BE16" t="inlineStr">
        <is>
          <t>Nickel</t>
        </is>
      </c>
      <c r="BF16" t="inlineStr">
        <is>
          <t>Chromium</t>
        </is>
      </c>
      <c r="BG16" t="inlineStr">
        <is>
          <t>Chromium VI</t>
        </is>
      </c>
      <c r="BH16" t="inlineStr">
        <is>
          <t>Mercury</t>
        </is>
      </c>
      <c r="BI16" t="inlineStr">
        <is>
          <t>Cadmium</t>
        </is>
      </c>
      <c r="BJ16" t="inlineStr">
        <is>
          <t>treatment of road wear emissions, passenger car</t>
        </is>
      </c>
      <c r="BK16" t="inlineStr">
        <is>
          <t>treatment of tyre wear emissions, passenger car</t>
        </is>
      </c>
      <c r="BL16" t="inlineStr">
        <is>
          <t>treatment of brake wear emissions, passenger car</t>
        </is>
      </c>
    </row>
    <row r="17">
      <c r="A17" t="inlineStr">
        <is>
          <t>Scooter, gasoline, 4-11kW, EURO-4</t>
        </is>
      </c>
      <c r="B17" t="inlineStr">
        <is>
          <t>motor scooter production</t>
        </is>
      </c>
      <c r="C17" t="inlineStr">
        <is>
          <t>Glider lightweighting</t>
        </is>
      </c>
      <c r="D17" t="inlineStr">
        <is>
          <t>motor scooter production</t>
        </is>
      </c>
      <c r="I17" t="inlineStr">
        <is>
          <t>polyethylene production, high density, granulate</t>
        </is>
      </c>
      <c r="K17" t="inlineStr">
        <is>
          <t>fuel supply for gasoline vehicles</t>
        </is>
      </c>
      <c r="M17" t="inlineStr">
        <is>
          <t>maintenance, motor scooter</t>
        </is>
      </c>
      <c r="N17" t="inlineStr">
        <is>
          <t>road construction</t>
        </is>
      </c>
      <c r="O17" t="inlineStr">
        <is>
          <t>road maintenance</t>
        </is>
      </c>
      <c r="S17" t="inlineStr">
        <is>
          <t>Carbon dioxide, fossil</t>
        </is>
      </c>
      <c r="T17" t="inlineStr">
        <is>
          <t>Carbon dioxide, from soil or biomass stock</t>
        </is>
      </c>
      <c r="U17" t="inlineStr">
        <is>
          <t>Sulfur dioxide</t>
        </is>
      </c>
      <c r="V17" t="inlineStr">
        <is>
          <t>Benzene</t>
        </is>
      </c>
      <c r="W17" t="inlineStr">
        <is>
          <t>Methane, fossil</t>
        </is>
      </c>
      <c r="X17" t="inlineStr">
        <is>
          <t>Carbon monoxide, fossil</t>
        </is>
      </c>
      <c r="Y17" t="inlineStr">
        <is>
          <t>Dinitrogen monoxide</t>
        </is>
      </c>
      <c r="Z17" t="inlineStr">
        <is>
          <t>Ammonia</t>
        </is>
      </c>
      <c r="AB17" t="inlineStr">
        <is>
          <t>Nitrogen oxides</t>
        </is>
      </c>
      <c r="AC17" t="inlineStr">
        <is>
          <t>Particulates, &lt; 2.5 um</t>
        </is>
      </c>
      <c r="AD17" t="inlineStr">
        <is>
          <t>NMVOC, non-methane volatile organic compounds, unspecified origin</t>
        </is>
      </c>
      <c r="AE17" t="inlineStr">
        <is>
          <t>Ethane</t>
        </is>
      </c>
      <c r="AF17" t="inlineStr">
        <is>
          <t>Propane</t>
        </is>
      </c>
      <c r="AG17" t="inlineStr">
        <is>
          <t>Butane</t>
        </is>
      </c>
      <c r="AH17" t="inlineStr">
        <is>
          <t>Pentane</t>
        </is>
      </c>
      <c r="AI17" t="inlineStr">
        <is>
          <t>Hexane</t>
        </is>
      </c>
      <c r="AJ17" t="inlineStr">
        <is>
          <t>Cyclohexane</t>
        </is>
      </c>
      <c r="AK17" t="inlineStr">
        <is>
          <t>Heptane</t>
        </is>
      </c>
      <c r="AL17" t="inlineStr">
        <is>
          <t>Ethene</t>
        </is>
      </c>
      <c r="AM17" t="inlineStr">
        <is>
          <t>Propene</t>
        </is>
      </c>
      <c r="AN17" t="inlineStr">
        <is>
          <t>1-Pentene</t>
        </is>
      </c>
      <c r="AO17" t="inlineStr">
        <is>
          <t>Benzene</t>
        </is>
      </c>
      <c r="AP17" t="inlineStr">
        <is>
          <t>Toluene</t>
        </is>
      </c>
      <c r="AQ17" t="inlineStr">
        <is>
          <t>m-Xylene</t>
        </is>
      </c>
      <c r="AR17" t="inlineStr">
        <is>
          <t>o-Xylene</t>
        </is>
      </c>
      <c r="AS17" t="inlineStr">
        <is>
          <t>Formaldehyde</t>
        </is>
      </c>
      <c r="AT17" t="inlineStr">
        <is>
          <t>Acetaldehyde</t>
        </is>
      </c>
      <c r="AU17" t="inlineStr">
        <is>
          <t>Benzaldehyde</t>
        </is>
      </c>
      <c r="AV17" t="inlineStr">
        <is>
          <t>Acetone</t>
        </is>
      </c>
      <c r="AW17" t="inlineStr">
        <is>
          <t>Methyl ethyl ketone</t>
        </is>
      </c>
      <c r="AX17" t="inlineStr">
        <is>
          <t>Acrolein</t>
        </is>
      </c>
      <c r="AY17" t="inlineStr">
        <is>
          <t>Styrene</t>
        </is>
      </c>
      <c r="AZ17" t="inlineStr">
        <is>
          <t>PAH, polycyclic aromatic hydrocarbons</t>
        </is>
      </c>
      <c r="BA17" t="inlineStr">
        <is>
          <t>Arsenic</t>
        </is>
      </c>
      <c r="BB17" t="inlineStr">
        <is>
          <t>Selenium</t>
        </is>
      </c>
      <c r="BC17" t="inlineStr">
        <is>
          <t>Zinc</t>
        </is>
      </c>
      <c r="BD17" t="inlineStr">
        <is>
          <t>Copper</t>
        </is>
      </c>
      <c r="BE17" t="inlineStr">
        <is>
          <t>Nickel</t>
        </is>
      </c>
      <c r="BF17" t="inlineStr">
        <is>
          <t>Chromium</t>
        </is>
      </c>
      <c r="BG17" t="inlineStr">
        <is>
          <t>Chromium VI</t>
        </is>
      </c>
      <c r="BH17" t="inlineStr">
        <is>
          <t>Mercury</t>
        </is>
      </c>
      <c r="BI17" t="inlineStr">
        <is>
          <t>Cadmium</t>
        </is>
      </c>
      <c r="BJ17" t="inlineStr">
        <is>
          <t>treatment of road wear emissions, passenger car</t>
        </is>
      </c>
      <c r="BK17" t="inlineStr">
        <is>
          <t>treatment of tyre wear emissions, passenger car</t>
        </is>
      </c>
      <c r="BL17" t="inlineStr">
        <is>
          <t>treatment of brake wear emissions, passenger car</t>
        </is>
      </c>
    </row>
    <row r="18">
      <c r="A18" t="inlineStr">
        <is>
          <t>Scooter, gasoline, 4-11kW, EURO-5</t>
        </is>
      </c>
      <c r="B18" t="inlineStr">
        <is>
          <t>motor scooter production</t>
        </is>
      </c>
      <c r="C18" t="inlineStr">
        <is>
          <t>Glider lightweighting</t>
        </is>
      </c>
      <c r="D18" t="inlineStr">
        <is>
          <t>motor scooter production</t>
        </is>
      </c>
      <c r="I18" t="inlineStr">
        <is>
          <t>polyethylene production, high density, granulate</t>
        </is>
      </c>
      <c r="K18" t="inlineStr">
        <is>
          <t>fuel supply for gasoline vehicles</t>
        </is>
      </c>
      <c r="M18" t="inlineStr">
        <is>
          <t>maintenance, motor scooter</t>
        </is>
      </c>
      <c r="N18" t="inlineStr">
        <is>
          <t>road construction</t>
        </is>
      </c>
      <c r="O18" t="inlineStr">
        <is>
          <t>road maintenance</t>
        </is>
      </c>
      <c r="S18" t="inlineStr">
        <is>
          <t>Carbon dioxide, fossil</t>
        </is>
      </c>
      <c r="T18" t="inlineStr">
        <is>
          <t>Carbon dioxide, from soil or biomass stock</t>
        </is>
      </c>
      <c r="U18" t="inlineStr">
        <is>
          <t>Sulfur dioxide</t>
        </is>
      </c>
      <c r="V18" t="inlineStr">
        <is>
          <t>Benzene</t>
        </is>
      </c>
      <c r="W18" t="inlineStr">
        <is>
          <t>Methane, fossil</t>
        </is>
      </c>
      <c r="X18" t="inlineStr">
        <is>
          <t>Carbon monoxide, fossil</t>
        </is>
      </c>
      <c r="Y18" t="inlineStr">
        <is>
          <t>Dinitrogen monoxide</t>
        </is>
      </c>
      <c r="Z18" t="inlineStr">
        <is>
          <t>Ammonia</t>
        </is>
      </c>
      <c r="AB18" t="inlineStr">
        <is>
          <t>Nitrogen oxides</t>
        </is>
      </c>
      <c r="AC18" t="inlineStr">
        <is>
          <t>Particulates, &lt; 2.5 um</t>
        </is>
      </c>
      <c r="AD18" t="inlineStr">
        <is>
          <t>NMVOC, non-methane volatile organic compounds, unspecified origin</t>
        </is>
      </c>
      <c r="AE18" t="inlineStr">
        <is>
          <t>Ethane</t>
        </is>
      </c>
      <c r="AF18" t="inlineStr">
        <is>
          <t>Propane</t>
        </is>
      </c>
      <c r="AG18" t="inlineStr">
        <is>
          <t>Butane</t>
        </is>
      </c>
      <c r="AH18" t="inlineStr">
        <is>
          <t>Pentane</t>
        </is>
      </c>
      <c r="AI18" t="inlineStr">
        <is>
          <t>Hexane</t>
        </is>
      </c>
      <c r="AJ18" t="inlineStr">
        <is>
          <t>Cyclohexane</t>
        </is>
      </c>
      <c r="AK18" t="inlineStr">
        <is>
          <t>Heptane</t>
        </is>
      </c>
      <c r="AL18" t="inlineStr">
        <is>
          <t>Ethene</t>
        </is>
      </c>
      <c r="AM18" t="inlineStr">
        <is>
          <t>Propene</t>
        </is>
      </c>
      <c r="AN18" t="inlineStr">
        <is>
          <t>1-Pentene</t>
        </is>
      </c>
      <c r="AO18" t="inlineStr">
        <is>
          <t>Benzene</t>
        </is>
      </c>
      <c r="AP18" t="inlineStr">
        <is>
          <t>Toluene</t>
        </is>
      </c>
      <c r="AQ18" t="inlineStr">
        <is>
          <t>m-Xylene</t>
        </is>
      </c>
      <c r="AR18" t="inlineStr">
        <is>
          <t>o-Xylene</t>
        </is>
      </c>
      <c r="AS18" t="inlineStr">
        <is>
          <t>Formaldehyde</t>
        </is>
      </c>
      <c r="AT18" t="inlineStr">
        <is>
          <t>Acetaldehyde</t>
        </is>
      </c>
      <c r="AU18" t="inlineStr">
        <is>
          <t>Benzaldehyde</t>
        </is>
      </c>
      <c r="AV18" t="inlineStr">
        <is>
          <t>Acetone</t>
        </is>
      </c>
      <c r="AW18" t="inlineStr">
        <is>
          <t>Methyl ethyl ketone</t>
        </is>
      </c>
      <c r="AX18" t="inlineStr">
        <is>
          <t>Acrolein</t>
        </is>
      </c>
      <c r="AY18" t="inlineStr">
        <is>
          <t>Styrene</t>
        </is>
      </c>
      <c r="AZ18" t="inlineStr">
        <is>
          <t>PAH, polycyclic aromatic hydrocarbons</t>
        </is>
      </c>
      <c r="BA18" t="inlineStr">
        <is>
          <t>Arsenic</t>
        </is>
      </c>
      <c r="BB18" t="inlineStr">
        <is>
          <t>Selenium</t>
        </is>
      </c>
      <c r="BC18" t="inlineStr">
        <is>
          <t>Zinc</t>
        </is>
      </c>
      <c r="BD18" t="inlineStr">
        <is>
          <t>Copper</t>
        </is>
      </c>
      <c r="BE18" t="inlineStr">
        <is>
          <t>Nickel</t>
        </is>
      </c>
      <c r="BF18" t="inlineStr">
        <is>
          <t>Chromium</t>
        </is>
      </c>
      <c r="BG18" t="inlineStr">
        <is>
          <t>Chromium VI</t>
        </is>
      </c>
      <c r="BH18" t="inlineStr">
        <is>
          <t>Mercury</t>
        </is>
      </c>
      <c r="BI18" t="inlineStr">
        <is>
          <t>Cadmium</t>
        </is>
      </c>
      <c r="BJ18" t="inlineStr">
        <is>
          <t>treatment of road wear emissions, passenger car</t>
        </is>
      </c>
      <c r="BK18" t="inlineStr">
        <is>
          <t>treatment of tyre wear emissions, passenger car</t>
        </is>
      </c>
      <c r="BL18" t="inlineStr">
        <is>
          <t>treatment of brake wear emissions, passenger car</t>
        </is>
      </c>
    </row>
    <row r="19">
      <c r="A19" t="inlineStr">
        <is>
          <t>Scooter, battery electric, &lt;4kW</t>
        </is>
      </c>
      <c r="B19" t="inlineStr">
        <is>
          <t>market for glider, for electric scooter</t>
        </is>
      </c>
      <c r="C19" t="inlineStr">
        <is>
          <t>Glider lightweighting</t>
        </is>
      </c>
      <c r="D19" t="inlineStr">
        <is>
          <t>market for glider, for electric scooter</t>
        </is>
      </c>
      <c r="E19" t="inlineStr">
        <is>
          <t>market for electric powertrain, for electric scooter</t>
        </is>
      </c>
      <c r="F19" t="inlineStr">
        <is>
          <t>market for battery cell, Li-ion, NMC811</t>
        </is>
      </c>
      <c r="G19" t="inlineStr">
        <is>
          <t>market for battery management system, for Li-ion battery</t>
        </is>
      </c>
      <c r="J19" t="inlineStr">
        <is>
          <t>charging station, 3kW</t>
        </is>
      </c>
      <c r="L19" t="inlineStr">
        <is>
          <t>market for electricity, low voltage</t>
        </is>
      </c>
      <c r="M19" t="inlineStr">
        <is>
          <t>market for maintenance, electric scooter, without battery</t>
        </is>
      </c>
      <c r="N19" t="inlineStr">
        <is>
          <t>road construction</t>
        </is>
      </c>
      <c r="O19" t="inlineStr">
        <is>
          <t>road maintenance</t>
        </is>
      </c>
      <c r="P19" t="inlineStr">
        <is>
          <t>manual dismantling of used electric scooter</t>
        </is>
      </c>
      <c r="Q19" t="inlineStr">
        <is>
          <t>manual dismantling of used electric scooter</t>
        </is>
      </c>
      <c r="R19" t="inlineStr">
        <is>
          <t>market for used Li-ion battery</t>
        </is>
      </c>
      <c r="S19" t="inlineStr">
        <is>
          <t>Carbon dioxide, fossil</t>
        </is>
      </c>
      <c r="T19" t="inlineStr">
        <is>
          <t>Carbon dioxide, from soil or biomass stock</t>
        </is>
      </c>
      <c r="U19" t="inlineStr">
        <is>
          <t>Sulfur dioxide</t>
        </is>
      </c>
      <c r="V19" t="inlineStr">
        <is>
          <t>Benzene</t>
        </is>
      </c>
      <c r="W19" t="inlineStr">
        <is>
          <t>Methane, fossil</t>
        </is>
      </c>
      <c r="X19" t="inlineStr">
        <is>
          <t>Carbon monoxide, fossil</t>
        </is>
      </c>
      <c r="Y19" t="inlineStr">
        <is>
          <t>Dinitrogen monoxide</t>
        </is>
      </c>
      <c r="Z19" t="inlineStr">
        <is>
          <t>Ammonia</t>
        </is>
      </c>
      <c r="AB19" t="inlineStr">
        <is>
          <t>Nitrogen oxides</t>
        </is>
      </c>
      <c r="AC19" t="inlineStr">
        <is>
          <t>Particulates, &lt; 2.5 um</t>
        </is>
      </c>
      <c r="AD19" t="inlineStr">
        <is>
          <t>NMVOC, non-methane volatile organic compounds, unspecified origin</t>
        </is>
      </c>
      <c r="AE19" t="inlineStr">
        <is>
          <t>Ethane</t>
        </is>
      </c>
      <c r="AF19" t="inlineStr">
        <is>
          <t>Propane</t>
        </is>
      </c>
      <c r="AG19" t="inlineStr">
        <is>
          <t>Butane</t>
        </is>
      </c>
      <c r="AH19" t="inlineStr">
        <is>
          <t>Pentane</t>
        </is>
      </c>
      <c r="AI19" t="inlineStr">
        <is>
          <t>Hexane</t>
        </is>
      </c>
      <c r="AJ19" t="inlineStr">
        <is>
          <t>Cyclohexane</t>
        </is>
      </c>
      <c r="AK19" t="inlineStr">
        <is>
          <t>Heptane</t>
        </is>
      </c>
      <c r="AL19" t="inlineStr">
        <is>
          <t>Ethene</t>
        </is>
      </c>
      <c r="AM19" t="inlineStr">
        <is>
          <t>Propene</t>
        </is>
      </c>
      <c r="AN19" t="inlineStr">
        <is>
          <t>1-Pentene</t>
        </is>
      </c>
      <c r="AO19" t="inlineStr">
        <is>
          <t>Benzene</t>
        </is>
      </c>
      <c r="AP19" t="inlineStr">
        <is>
          <t>Toluene</t>
        </is>
      </c>
      <c r="AQ19" t="inlineStr">
        <is>
          <t>m-Xylene</t>
        </is>
      </c>
      <c r="AR19" t="inlineStr">
        <is>
          <t>o-Xylene</t>
        </is>
      </c>
      <c r="AS19" t="inlineStr">
        <is>
          <t>Formaldehyde</t>
        </is>
      </c>
      <c r="AT19" t="inlineStr">
        <is>
          <t>Acetaldehyde</t>
        </is>
      </c>
      <c r="AU19" t="inlineStr">
        <is>
          <t>Benzaldehyde</t>
        </is>
      </c>
      <c r="AV19" t="inlineStr">
        <is>
          <t>Acetone</t>
        </is>
      </c>
      <c r="AW19" t="inlineStr">
        <is>
          <t>Methyl ethyl ketone</t>
        </is>
      </c>
      <c r="AX19" t="inlineStr">
        <is>
          <t>Acrolein</t>
        </is>
      </c>
      <c r="AY19" t="inlineStr">
        <is>
          <t>Styrene</t>
        </is>
      </c>
      <c r="AZ19" t="inlineStr">
        <is>
          <t>PAH, polycyclic aromatic hydrocarbons</t>
        </is>
      </c>
      <c r="BA19" t="inlineStr">
        <is>
          <t>Arsenic</t>
        </is>
      </c>
      <c r="BB19" t="inlineStr">
        <is>
          <t>Selenium</t>
        </is>
      </c>
      <c r="BC19" t="inlineStr">
        <is>
          <t>Zinc</t>
        </is>
      </c>
      <c r="BD19" t="inlineStr">
        <is>
          <t>Copper</t>
        </is>
      </c>
      <c r="BE19" t="inlineStr">
        <is>
          <t>Nickel</t>
        </is>
      </c>
      <c r="BF19" t="inlineStr">
        <is>
          <t>Chromium</t>
        </is>
      </c>
      <c r="BG19" t="inlineStr">
        <is>
          <t>Chromium VI</t>
        </is>
      </c>
      <c r="BH19" t="inlineStr">
        <is>
          <t>Mercury</t>
        </is>
      </c>
      <c r="BI19" t="inlineStr">
        <is>
          <t>Cadmium</t>
        </is>
      </c>
      <c r="BJ19" t="inlineStr">
        <is>
          <t>treatment of road wear emissions, passenger car</t>
        </is>
      </c>
      <c r="BK19" t="inlineStr">
        <is>
          <t>treatment of tyre wear emissions, passenger car</t>
        </is>
      </c>
      <c r="BL19" t="inlineStr">
        <is>
          <t>treatment of brake wear emissions, passenger car</t>
        </is>
      </c>
    </row>
    <row r="20">
      <c r="A20" t="inlineStr">
        <is>
          <t>Scooter, battery electric, 4-11kW</t>
        </is>
      </c>
      <c r="B20" t="inlineStr">
        <is>
          <t>market for glider, for electric scooter</t>
        </is>
      </c>
      <c r="C20" t="inlineStr">
        <is>
          <t>Glider lightweighting</t>
        </is>
      </c>
      <c r="D20" t="inlineStr">
        <is>
          <t>market for glider, for electric scooter</t>
        </is>
      </c>
      <c r="E20" t="inlineStr">
        <is>
          <t>market for electric powertrain, for electric scooter</t>
        </is>
      </c>
      <c r="F20" t="inlineStr">
        <is>
          <t>market for battery cell, Li-ion, NMC811</t>
        </is>
      </c>
      <c r="G20" t="inlineStr">
        <is>
          <t>market for battery management system, for Li-ion battery</t>
        </is>
      </c>
      <c r="J20" t="inlineStr">
        <is>
          <t>charging station, 3kW</t>
        </is>
      </c>
      <c r="L20" t="inlineStr">
        <is>
          <t>market for electricity, low voltage</t>
        </is>
      </c>
      <c r="M20" t="inlineStr">
        <is>
          <t>market for maintenance, electric scooter, without battery</t>
        </is>
      </c>
      <c r="N20" t="inlineStr">
        <is>
          <t>road construction</t>
        </is>
      </c>
      <c r="O20" t="inlineStr">
        <is>
          <t>road maintenance</t>
        </is>
      </c>
      <c r="P20" t="inlineStr">
        <is>
          <t>manual dismantling of used electric scooter</t>
        </is>
      </c>
      <c r="Q20" t="inlineStr">
        <is>
          <t>manual dismantling of used electric scooter</t>
        </is>
      </c>
      <c r="R20" t="inlineStr">
        <is>
          <t>market for used Li-ion battery</t>
        </is>
      </c>
      <c r="S20" t="inlineStr">
        <is>
          <t>Carbon dioxide, fossil</t>
        </is>
      </c>
      <c r="T20" t="inlineStr">
        <is>
          <t>Carbon dioxide, from soil or biomass stock</t>
        </is>
      </c>
      <c r="U20" t="inlineStr">
        <is>
          <t>Sulfur dioxide</t>
        </is>
      </c>
      <c r="V20" t="inlineStr">
        <is>
          <t>Benzene</t>
        </is>
      </c>
      <c r="W20" t="inlineStr">
        <is>
          <t>Methane, fossil</t>
        </is>
      </c>
      <c r="X20" t="inlineStr">
        <is>
          <t>Carbon monoxide, fossil</t>
        </is>
      </c>
      <c r="Y20" t="inlineStr">
        <is>
          <t>Dinitrogen monoxide</t>
        </is>
      </c>
      <c r="Z20" t="inlineStr">
        <is>
          <t>Ammonia</t>
        </is>
      </c>
      <c r="AB20" t="inlineStr">
        <is>
          <t>Nitrogen oxides</t>
        </is>
      </c>
      <c r="AC20" t="inlineStr">
        <is>
          <t>Particulates, &lt; 2.5 um</t>
        </is>
      </c>
      <c r="AD20" t="inlineStr">
        <is>
          <t>NMVOC, non-methane volatile organic compounds, unspecified origin</t>
        </is>
      </c>
      <c r="AE20" t="inlineStr">
        <is>
          <t>Ethane</t>
        </is>
      </c>
      <c r="AF20" t="inlineStr">
        <is>
          <t>Propane</t>
        </is>
      </c>
      <c r="AG20" t="inlineStr">
        <is>
          <t>Butane</t>
        </is>
      </c>
      <c r="AH20" t="inlineStr">
        <is>
          <t>Pentane</t>
        </is>
      </c>
      <c r="AI20" t="inlineStr">
        <is>
          <t>Hexane</t>
        </is>
      </c>
      <c r="AJ20" t="inlineStr">
        <is>
          <t>Cyclohexane</t>
        </is>
      </c>
      <c r="AK20" t="inlineStr">
        <is>
          <t>Heptane</t>
        </is>
      </c>
      <c r="AL20" t="inlineStr">
        <is>
          <t>Ethene</t>
        </is>
      </c>
      <c r="AM20" t="inlineStr">
        <is>
          <t>Propene</t>
        </is>
      </c>
      <c r="AN20" t="inlineStr">
        <is>
          <t>1-Pentene</t>
        </is>
      </c>
      <c r="AO20" t="inlineStr">
        <is>
          <t>Benzene</t>
        </is>
      </c>
      <c r="AP20" t="inlineStr">
        <is>
          <t>Toluene</t>
        </is>
      </c>
      <c r="AQ20" t="inlineStr">
        <is>
          <t>m-Xylene</t>
        </is>
      </c>
      <c r="AR20" t="inlineStr">
        <is>
          <t>o-Xylene</t>
        </is>
      </c>
      <c r="AS20" t="inlineStr">
        <is>
          <t>Formaldehyde</t>
        </is>
      </c>
      <c r="AT20" t="inlineStr">
        <is>
          <t>Acetaldehyde</t>
        </is>
      </c>
      <c r="AU20" t="inlineStr">
        <is>
          <t>Benzaldehyde</t>
        </is>
      </c>
      <c r="AV20" t="inlineStr">
        <is>
          <t>Acetone</t>
        </is>
      </c>
      <c r="AW20" t="inlineStr">
        <is>
          <t>Methyl ethyl ketone</t>
        </is>
      </c>
      <c r="AX20" t="inlineStr">
        <is>
          <t>Acrolein</t>
        </is>
      </c>
      <c r="AY20" t="inlineStr">
        <is>
          <t>Styrene</t>
        </is>
      </c>
      <c r="AZ20" t="inlineStr">
        <is>
          <t>PAH, polycyclic aromatic hydrocarbons</t>
        </is>
      </c>
      <c r="BA20" t="inlineStr">
        <is>
          <t>Arsenic</t>
        </is>
      </c>
      <c r="BB20" t="inlineStr">
        <is>
          <t>Selenium</t>
        </is>
      </c>
      <c r="BC20" t="inlineStr">
        <is>
          <t>Zinc</t>
        </is>
      </c>
      <c r="BD20" t="inlineStr">
        <is>
          <t>Copper</t>
        </is>
      </c>
      <c r="BE20" t="inlineStr">
        <is>
          <t>Nickel</t>
        </is>
      </c>
      <c r="BF20" t="inlineStr">
        <is>
          <t>Chromium</t>
        </is>
      </c>
      <c r="BG20" t="inlineStr">
        <is>
          <t>Chromium VI</t>
        </is>
      </c>
      <c r="BH20" t="inlineStr">
        <is>
          <t>Mercury</t>
        </is>
      </c>
      <c r="BI20" t="inlineStr">
        <is>
          <t>Cadmium</t>
        </is>
      </c>
      <c r="BJ20" t="inlineStr">
        <is>
          <t>treatment of road wear emissions, passenger car</t>
        </is>
      </c>
      <c r="BK20" t="inlineStr">
        <is>
          <t>treatment of tyre wear emissions, passenger car</t>
        </is>
      </c>
      <c r="BL20" t="inlineStr">
        <is>
          <t>treatment of brake wear emissions, passenger car</t>
        </is>
      </c>
    </row>
    <row r="21">
      <c r="A21" t="inlineStr">
        <is>
          <t>Motorbike, gasoline, 4-11kW, EURO-3</t>
        </is>
      </c>
      <c r="B21" t="inlineStr">
        <is>
          <t>motor scooter production</t>
        </is>
      </c>
      <c r="C21" t="inlineStr">
        <is>
          <t>Glider lightweighting</t>
        </is>
      </c>
      <c r="D21" t="inlineStr">
        <is>
          <t>motor scooter production</t>
        </is>
      </c>
      <c r="I21" t="inlineStr">
        <is>
          <t>polyethylene production, high density, granulate</t>
        </is>
      </c>
      <c r="K21" t="inlineStr">
        <is>
          <t>fuel supply for gasoline vehicles</t>
        </is>
      </c>
      <c r="M21" t="inlineStr">
        <is>
          <t>maintenance, motor scooter</t>
        </is>
      </c>
      <c r="N21" t="inlineStr">
        <is>
          <t>road construction</t>
        </is>
      </c>
      <c r="O21" t="inlineStr">
        <is>
          <t>road maintenance</t>
        </is>
      </c>
      <c r="S21" t="inlineStr">
        <is>
          <t>Carbon dioxide, fossil</t>
        </is>
      </c>
      <c r="T21" t="inlineStr">
        <is>
          <t>Carbon dioxide, from soil or biomass stock</t>
        </is>
      </c>
      <c r="U21" t="inlineStr">
        <is>
          <t>Sulfur dioxide</t>
        </is>
      </c>
      <c r="V21" t="inlineStr">
        <is>
          <t>Benzene</t>
        </is>
      </c>
      <c r="W21" t="inlineStr">
        <is>
          <t>Methane, fossil</t>
        </is>
      </c>
      <c r="X21" t="inlineStr">
        <is>
          <t>Carbon monoxide, fossil</t>
        </is>
      </c>
      <c r="Y21" t="inlineStr">
        <is>
          <t>Dinitrogen monoxide</t>
        </is>
      </c>
      <c r="Z21" t="inlineStr">
        <is>
          <t>Ammonia</t>
        </is>
      </c>
      <c r="AB21" t="inlineStr">
        <is>
          <t>Nitrogen oxides</t>
        </is>
      </c>
      <c r="AC21" t="inlineStr">
        <is>
          <t>Particulates, &lt; 2.5 um</t>
        </is>
      </c>
      <c r="AD21" t="inlineStr">
        <is>
          <t>NMVOC, non-methane volatile organic compounds, unspecified origin</t>
        </is>
      </c>
      <c r="AE21" t="inlineStr">
        <is>
          <t>Ethane</t>
        </is>
      </c>
      <c r="AF21" t="inlineStr">
        <is>
          <t>Propane</t>
        </is>
      </c>
      <c r="AG21" t="inlineStr">
        <is>
          <t>Butane</t>
        </is>
      </c>
      <c r="AH21" t="inlineStr">
        <is>
          <t>Pentane</t>
        </is>
      </c>
      <c r="AI21" t="inlineStr">
        <is>
          <t>Hexane</t>
        </is>
      </c>
      <c r="AJ21" t="inlineStr">
        <is>
          <t>Cyclohexane</t>
        </is>
      </c>
      <c r="AK21" t="inlineStr">
        <is>
          <t>Heptane</t>
        </is>
      </c>
      <c r="AL21" t="inlineStr">
        <is>
          <t>Ethene</t>
        </is>
      </c>
      <c r="AM21" t="inlineStr">
        <is>
          <t>Propene</t>
        </is>
      </c>
      <c r="AN21" t="inlineStr">
        <is>
          <t>1-Pentene</t>
        </is>
      </c>
      <c r="AO21" t="inlineStr">
        <is>
          <t>Benzene</t>
        </is>
      </c>
      <c r="AP21" t="inlineStr">
        <is>
          <t>Toluene</t>
        </is>
      </c>
      <c r="AQ21" t="inlineStr">
        <is>
          <t>m-Xylene</t>
        </is>
      </c>
      <c r="AR21" t="inlineStr">
        <is>
          <t>o-Xylene</t>
        </is>
      </c>
      <c r="AS21" t="inlineStr">
        <is>
          <t>Formaldehyde</t>
        </is>
      </c>
      <c r="AT21" t="inlineStr">
        <is>
          <t>Acetaldehyde</t>
        </is>
      </c>
      <c r="AU21" t="inlineStr">
        <is>
          <t>Benzaldehyde</t>
        </is>
      </c>
      <c r="AV21" t="inlineStr">
        <is>
          <t>Acetone</t>
        </is>
      </c>
      <c r="AW21" t="inlineStr">
        <is>
          <t>Methyl ethyl ketone</t>
        </is>
      </c>
      <c r="AX21" t="inlineStr">
        <is>
          <t>Acrolein</t>
        </is>
      </c>
      <c r="AY21" t="inlineStr">
        <is>
          <t>Styrene</t>
        </is>
      </c>
      <c r="AZ21" t="inlineStr">
        <is>
          <t>PAH, polycyclic aromatic hydrocarbons</t>
        </is>
      </c>
      <c r="BA21" t="inlineStr">
        <is>
          <t>Arsenic</t>
        </is>
      </c>
      <c r="BB21" t="inlineStr">
        <is>
          <t>Selenium</t>
        </is>
      </c>
      <c r="BC21" t="inlineStr">
        <is>
          <t>Zinc</t>
        </is>
      </c>
      <c r="BD21" t="inlineStr">
        <is>
          <t>Copper</t>
        </is>
      </c>
      <c r="BE21" t="inlineStr">
        <is>
          <t>Nickel</t>
        </is>
      </c>
      <c r="BF21" t="inlineStr">
        <is>
          <t>Chromium</t>
        </is>
      </c>
      <c r="BG21" t="inlineStr">
        <is>
          <t>Chromium VI</t>
        </is>
      </c>
      <c r="BH21" t="inlineStr">
        <is>
          <t>Mercury</t>
        </is>
      </c>
      <c r="BI21" t="inlineStr">
        <is>
          <t>Cadmium</t>
        </is>
      </c>
      <c r="BJ21" t="inlineStr">
        <is>
          <t>treatment of road wear emissions, passenger car</t>
        </is>
      </c>
      <c r="BK21" t="inlineStr">
        <is>
          <t>treatment of tyre wear emissions, passenger car</t>
        </is>
      </c>
      <c r="BL21" t="inlineStr">
        <is>
          <t>treatment of brake wear emissions, passenger car</t>
        </is>
      </c>
    </row>
    <row r="22">
      <c r="A22" t="inlineStr">
        <is>
          <t>Motorbike, gasoline, 4-11kW, EURO-4</t>
        </is>
      </c>
      <c r="B22" t="inlineStr">
        <is>
          <t>motor scooter production</t>
        </is>
      </c>
      <c r="C22" t="inlineStr">
        <is>
          <t>Glider lightweighting</t>
        </is>
      </c>
      <c r="D22" t="inlineStr">
        <is>
          <t>motor scooter production</t>
        </is>
      </c>
      <c r="I22" t="inlineStr">
        <is>
          <t>polyethylene production, high density, granulate</t>
        </is>
      </c>
      <c r="K22" t="inlineStr">
        <is>
          <t>fuel supply for gasoline vehicles</t>
        </is>
      </c>
      <c r="M22" t="inlineStr">
        <is>
          <t>maintenance, motor scooter</t>
        </is>
      </c>
      <c r="N22" t="inlineStr">
        <is>
          <t>road construction</t>
        </is>
      </c>
      <c r="O22" t="inlineStr">
        <is>
          <t>road maintenance</t>
        </is>
      </c>
      <c r="S22" t="inlineStr">
        <is>
          <t>Carbon dioxide, fossil</t>
        </is>
      </c>
      <c r="T22" t="inlineStr">
        <is>
          <t>Carbon dioxide, from soil or biomass stock</t>
        </is>
      </c>
      <c r="U22" t="inlineStr">
        <is>
          <t>Sulfur dioxide</t>
        </is>
      </c>
      <c r="V22" t="inlineStr">
        <is>
          <t>Benzene</t>
        </is>
      </c>
      <c r="W22" t="inlineStr">
        <is>
          <t>Methane, fossil</t>
        </is>
      </c>
      <c r="X22" t="inlineStr">
        <is>
          <t>Carbon monoxide, fossil</t>
        </is>
      </c>
      <c r="Y22" t="inlineStr">
        <is>
          <t>Dinitrogen monoxide</t>
        </is>
      </c>
      <c r="Z22" t="inlineStr">
        <is>
          <t>Ammonia</t>
        </is>
      </c>
      <c r="AB22" t="inlineStr">
        <is>
          <t>Nitrogen oxides</t>
        </is>
      </c>
      <c r="AC22" t="inlineStr">
        <is>
          <t>Particulates, &lt; 2.5 um</t>
        </is>
      </c>
      <c r="AD22" t="inlineStr">
        <is>
          <t>NMVOC, non-methane volatile organic compounds, unspecified origin</t>
        </is>
      </c>
      <c r="AE22" t="inlineStr">
        <is>
          <t>Ethane</t>
        </is>
      </c>
      <c r="AF22" t="inlineStr">
        <is>
          <t>Propane</t>
        </is>
      </c>
      <c r="AG22" t="inlineStr">
        <is>
          <t>Butane</t>
        </is>
      </c>
      <c r="AH22" t="inlineStr">
        <is>
          <t>Pentane</t>
        </is>
      </c>
      <c r="AI22" t="inlineStr">
        <is>
          <t>Hexane</t>
        </is>
      </c>
      <c r="AJ22" t="inlineStr">
        <is>
          <t>Cyclohexane</t>
        </is>
      </c>
      <c r="AK22" t="inlineStr">
        <is>
          <t>Heptane</t>
        </is>
      </c>
      <c r="AL22" t="inlineStr">
        <is>
          <t>Ethene</t>
        </is>
      </c>
      <c r="AM22" t="inlineStr">
        <is>
          <t>Propene</t>
        </is>
      </c>
      <c r="AN22" t="inlineStr">
        <is>
          <t>1-Pentene</t>
        </is>
      </c>
      <c r="AO22" t="inlineStr">
        <is>
          <t>Benzene</t>
        </is>
      </c>
      <c r="AP22" t="inlineStr">
        <is>
          <t>Toluene</t>
        </is>
      </c>
      <c r="AQ22" t="inlineStr">
        <is>
          <t>m-Xylene</t>
        </is>
      </c>
      <c r="AR22" t="inlineStr">
        <is>
          <t>o-Xylene</t>
        </is>
      </c>
      <c r="AS22" t="inlineStr">
        <is>
          <t>Formaldehyde</t>
        </is>
      </c>
      <c r="AT22" t="inlineStr">
        <is>
          <t>Acetaldehyde</t>
        </is>
      </c>
      <c r="AU22" t="inlineStr">
        <is>
          <t>Benzaldehyde</t>
        </is>
      </c>
      <c r="AV22" t="inlineStr">
        <is>
          <t>Acetone</t>
        </is>
      </c>
      <c r="AW22" t="inlineStr">
        <is>
          <t>Methyl ethyl ketone</t>
        </is>
      </c>
      <c r="AX22" t="inlineStr">
        <is>
          <t>Acrolein</t>
        </is>
      </c>
      <c r="AY22" t="inlineStr">
        <is>
          <t>Styrene</t>
        </is>
      </c>
      <c r="AZ22" t="inlineStr">
        <is>
          <t>PAH, polycyclic aromatic hydrocarbons</t>
        </is>
      </c>
      <c r="BA22" t="inlineStr">
        <is>
          <t>Arsenic</t>
        </is>
      </c>
      <c r="BB22" t="inlineStr">
        <is>
          <t>Selenium</t>
        </is>
      </c>
      <c r="BC22" t="inlineStr">
        <is>
          <t>Zinc</t>
        </is>
      </c>
      <c r="BD22" t="inlineStr">
        <is>
          <t>Copper</t>
        </is>
      </c>
      <c r="BE22" t="inlineStr">
        <is>
          <t>Nickel</t>
        </is>
      </c>
      <c r="BF22" t="inlineStr">
        <is>
          <t>Chromium</t>
        </is>
      </c>
      <c r="BG22" t="inlineStr">
        <is>
          <t>Chromium VI</t>
        </is>
      </c>
      <c r="BH22" t="inlineStr">
        <is>
          <t>Mercury</t>
        </is>
      </c>
      <c r="BI22" t="inlineStr">
        <is>
          <t>Cadmium</t>
        </is>
      </c>
      <c r="BJ22" t="inlineStr">
        <is>
          <t>treatment of road wear emissions, passenger car</t>
        </is>
      </c>
      <c r="BK22" t="inlineStr">
        <is>
          <t>treatment of tyre wear emissions, passenger car</t>
        </is>
      </c>
      <c r="BL22" t="inlineStr">
        <is>
          <t>treatment of brake wear emissions, passenger car</t>
        </is>
      </c>
    </row>
    <row r="23">
      <c r="A23" t="inlineStr">
        <is>
          <t>Motorbike, gasoline, 4-11kW, EURO-5</t>
        </is>
      </c>
      <c r="B23" t="inlineStr">
        <is>
          <t>motor scooter production</t>
        </is>
      </c>
      <c r="C23" t="inlineStr">
        <is>
          <t>Glider lightweighting</t>
        </is>
      </c>
      <c r="D23" t="inlineStr">
        <is>
          <t>motor scooter production</t>
        </is>
      </c>
      <c r="I23" t="inlineStr">
        <is>
          <t>polyethylene production, high density, granulate</t>
        </is>
      </c>
      <c r="K23" t="inlineStr">
        <is>
          <t>fuel supply for gasoline vehicles</t>
        </is>
      </c>
      <c r="M23" t="inlineStr">
        <is>
          <t>maintenance, motor scooter</t>
        </is>
      </c>
      <c r="N23" t="inlineStr">
        <is>
          <t>road construction</t>
        </is>
      </c>
      <c r="O23" t="inlineStr">
        <is>
          <t>road maintenance</t>
        </is>
      </c>
      <c r="S23" t="inlineStr">
        <is>
          <t>Carbon dioxide, fossil</t>
        </is>
      </c>
      <c r="T23" t="inlineStr">
        <is>
          <t>Carbon dioxide, from soil or biomass stock</t>
        </is>
      </c>
      <c r="U23" t="inlineStr">
        <is>
          <t>Sulfur dioxide</t>
        </is>
      </c>
      <c r="V23" t="inlineStr">
        <is>
          <t>Benzene</t>
        </is>
      </c>
      <c r="W23" t="inlineStr">
        <is>
          <t>Methane, fossil</t>
        </is>
      </c>
      <c r="X23" t="inlineStr">
        <is>
          <t>Carbon monoxide, fossil</t>
        </is>
      </c>
      <c r="Y23" t="inlineStr">
        <is>
          <t>Dinitrogen monoxide</t>
        </is>
      </c>
      <c r="Z23" t="inlineStr">
        <is>
          <t>Ammonia</t>
        </is>
      </c>
      <c r="AB23" t="inlineStr">
        <is>
          <t>Nitrogen oxides</t>
        </is>
      </c>
      <c r="AC23" t="inlineStr">
        <is>
          <t>Particulates, &lt; 2.5 um</t>
        </is>
      </c>
      <c r="AD23" t="inlineStr">
        <is>
          <t>NMVOC, non-methane volatile organic compounds, unspecified origin</t>
        </is>
      </c>
      <c r="AE23" t="inlineStr">
        <is>
          <t>Ethane</t>
        </is>
      </c>
      <c r="AF23" t="inlineStr">
        <is>
          <t>Propane</t>
        </is>
      </c>
      <c r="AG23" t="inlineStr">
        <is>
          <t>Butane</t>
        </is>
      </c>
      <c r="AH23" t="inlineStr">
        <is>
          <t>Pentane</t>
        </is>
      </c>
      <c r="AI23" t="inlineStr">
        <is>
          <t>Hexane</t>
        </is>
      </c>
      <c r="AJ23" t="inlineStr">
        <is>
          <t>Cyclohexane</t>
        </is>
      </c>
      <c r="AK23" t="inlineStr">
        <is>
          <t>Heptane</t>
        </is>
      </c>
      <c r="AL23" t="inlineStr">
        <is>
          <t>Ethene</t>
        </is>
      </c>
      <c r="AM23" t="inlineStr">
        <is>
          <t>Propene</t>
        </is>
      </c>
      <c r="AN23" t="inlineStr">
        <is>
          <t>1-Pentene</t>
        </is>
      </c>
      <c r="AO23" t="inlineStr">
        <is>
          <t>Benzene</t>
        </is>
      </c>
      <c r="AP23" t="inlineStr">
        <is>
          <t>Toluene</t>
        </is>
      </c>
      <c r="AQ23" t="inlineStr">
        <is>
          <t>m-Xylene</t>
        </is>
      </c>
      <c r="AR23" t="inlineStr">
        <is>
          <t>o-Xylene</t>
        </is>
      </c>
      <c r="AS23" t="inlineStr">
        <is>
          <t>Formaldehyde</t>
        </is>
      </c>
      <c r="AT23" t="inlineStr">
        <is>
          <t>Acetaldehyde</t>
        </is>
      </c>
      <c r="AU23" t="inlineStr">
        <is>
          <t>Benzaldehyde</t>
        </is>
      </c>
      <c r="AV23" t="inlineStr">
        <is>
          <t>Acetone</t>
        </is>
      </c>
      <c r="AW23" t="inlineStr">
        <is>
          <t>Methyl ethyl ketone</t>
        </is>
      </c>
      <c r="AX23" t="inlineStr">
        <is>
          <t>Acrolein</t>
        </is>
      </c>
      <c r="AY23" t="inlineStr">
        <is>
          <t>Styrene</t>
        </is>
      </c>
      <c r="AZ23" t="inlineStr">
        <is>
          <t>PAH, polycyclic aromatic hydrocarbons</t>
        </is>
      </c>
      <c r="BA23" t="inlineStr">
        <is>
          <t>Arsenic</t>
        </is>
      </c>
      <c r="BB23" t="inlineStr">
        <is>
          <t>Selenium</t>
        </is>
      </c>
      <c r="BC23" t="inlineStr">
        <is>
          <t>Zinc</t>
        </is>
      </c>
      <c r="BD23" t="inlineStr">
        <is>
          <t>Copper</t>
        </is>
      </c>
      <c r="BE23" t="inlineStr">
        <is>
          <t>Nickel</t>
        </is>
      </c>
      <c r="BF23" t="inlineStr">
        <is>
          <t>Chromium</t>
        </is>
      </c>
      <c r="BG23" t="inlineStr">
        <is>
          <t>Chromium VI</t>
        </is>
      </c>
      <c r="BH23" t="inlineStr">
        <is>
          <t>Mercury</t>
        </is>
      </c>
      <c r="BI23" t="inlineStr">
        <is>
          <t>Cadmium</t>
        </is>
      </c>
      <c r="BJ23" t="inlineStr">
        <is>
          <t>treatment of road wear emissions, passenger car</t>
        </is>
      </c>
      <c r="BK23" t="inlineStr">
        <is>
          <t>treatment of tyre wear emissions, passenger car</t>
        </is>
      </c>
      <c r="BL23" t="inlineStr">
        <is>
          <t>treatment of brake wear emissions, passenger car</t>
        </is>
      </c>
    </row>
    <row r="24">
      <c r="A24" t="inlineStr">
        <is>
          <t>Motorbike, gasoline, 11-35kW, EURO-3</t>
        </is>
      </c>
      <c r="B24" t="inlineStr">
        <is>
          <t>motor scooter production</t>
        </is>
      </c>
      <c r="C24" t="inlineStr">
        <is>
          <t>Glider lightweighting</t>
        </is>
      </c>
      <c r="D24" t="inlineStr">
        <is>
          <t>motor scooter production</t>
        </is>
      </c>
      <c r="I24" t="inlineStr">
        <is>
          <t>polyethylene production, high density, granulate</t>
        </is>
      </c>
      <c r="K24" t="inlineStr">
        <is>
          <t>fuel supply for gasoline vehicles</t>
        </is>
      </c>
      <c r="M24" t="inlineStr">
        <is>
          <t>maintenance, motor scooter</t>
        </is>
      </c>
      <c r="N24" t="inlineStr">
        <is>
          <t>road construction</t>
        </is>
      </c>
      <c r="O24" t="inlineStr">
        <is>
          <t>road maintenance</t>
        </is>
      </c>
      <c r="S24" t="inlineStr">
        <is>
          <t>Carbon dioxide, fossil</t>
        </is>
      </c>
      <c r="T24" t="inlineStr">
        <is>
          <t>Carbon dioxide, from soil or biomass stock</t>
        </is>
      </c>
      <c r="U24" t="inlineStr">
        <is>
          <t>Sulfur dioxide</t>
        </is>
      </c>
      <c r="V24" t="inlineStr">
        <is>
          <t>Benzene</t>
        </is>
      </c>
      <c r="W24" t="inlineStr">
        <is>
          <t>Methane, fossil</t>
        </is>
      </c>
      <c r="X24" t="inlineStr">
        <is>
          <t>Carbon monoxide, fossil</t>
        </is>
      </c>
      <c r="Y24" t="inlineStr">
        <is>
          <t>Dinitrogen monoxide</t>
        </is>
      </c>
      <c r="Z24" t="inlineStr">
        <is>
          <t>Ammonia</t>
        </is>
      </c>
      <c r="AB24" t="inlineStr">
        <is>
          <t>Nitrogen oxides</t>
        </is>
      </c>
      <c r="AC24" t="inlineStr">
        <is>
          <t>Particulates, &lt; 2.5 um</t>
        </is>
      </c>
      <c r="AD24" t="inlineStr">
        <is>
          <t>NMVOC, non-methane volatile organic compounds, unspecified origin</t>
        </is>
      </c>
      <c r="AE24" t="inlineStr">
        <is>
          <t>Ethane</t>
        </is>
      </c>
      <c r="AF24" t="inlineStr">
        <is>
          <t>Propane</t>
        </is>
      </c>
      <c r="AG24" t="inlineStr">
        <is>
          <t>Butane</t>
        </is>
      </c>
      <c r="AH24" t="inlineStr">
        <is>
          <t>Pentane</t>
        </is>
      </c>
      <c r="AI24" t="inlineStr">
        <is>
          <t>Hexane</t>
        </is>
      </c>
      <c r="AJ24" t="inlineStr">
        <is>
          <t>Cyclohexane</t>
        </is>
      </c>
      <c r="AK24" t="inlineStr">
        <is>
          <t>Heptane</t>
        </is>
      </c>
      <c r="AL24" t="inlineStr">
        <is>
          <t>Ethene</t>
        </is>
      </c>
      <c r="AM24" t="inlineStr">
        <is>
          <t>Propene</t>
        </is>
      </c>
      <c r="AN24" t="inlineStr">
        <is>
          <t>1-Pentene</t>
        </is>
      </c>
      <c r="AO24" t="inlineStr">
        <is>
          <t>Benzene</t>
        </is>
      </c>
      <c r="AP24" t="inlineStr">
        <is>
          <t>Toluene</t>
        </is>
      </c>
      <c r="AQ24" t="inlineStr">
        <is>
          <t>m-Xylene</t>
        </is>
      </c>
      <c r="AR24" t="inlineStr">
        <is>
          <t>o-Xylene</t>
        </is>
      </c>
      <c r="AS24" t="inlineStr">
        <is>
          <t>Formaldehyde</t>
        </is>
      </c>
      <c r="AT24" t="inlineStr">
        <is>
          <t>Acetaldehyde</t>
        </is>
      </c>
      <c r="AU24" t="inlineStr">
        <is>
          <t>Benzaldehyde</t>
        </is>
      </c>
      <c r="AV24" t="inlineStr">
        <is>
          <t>Acetone</t>
        </is>
      </c>
      <c r="AW24" t="inlineStr">
        <is>
          <t>Methyl ethyl ketone</t>
        </is>
      </c>
      <c r="AX24" t="inlineStr">
        <is>
          <t>Acrolein</t>
        </is>
      </c>
      <c r="AY24" t="inlineStr">
        <is>
          <t>Styrene</t>
        </is>
      </c>
      <c r="AZ24" t="inlineStr">
        <is>
          <t>PAH, polycyclic aromatic hydrocarbons</t>
        </is>
      </c>
      <c r="BA24" t="inlineStr">
        <is>
          <t>Arsenic</t>
        </is>
      </c>
      <c r="BB24" t="inlineStr">
        <is>
          <t>Selenium</t>
        </is>
      </c>
      <c r="BC24" t="inlineStr">
        <is>
          <t>Zinc</t>
        </is>
      </c>
      <c r="BD24" t="inlineStr">
        <is>
          <t>Copper</t>
        </is>
      </c>
      <c r="BE24" t="inlineStr">
        <is>
          <t>Nickel</t>
        </is>
      </c>
      <c r="BF24" t="inlineStr">
        <is>
          <t>Chromium</t>
        </is>
      </c>
      <c r="BG24" t="inlineStr">
        <is>
          <t>Chromium VI</t>
        </is>
      </c>
      <c r="BH24" t="inlineStr">
        <is>
          <t>Mercury</t>
        </is>
      </c>
      <c r="BI24" t="inlineStr">
        <is>
          <t>Cadmium</t>
        </is>
      </c>
      <c r="BJ24" t="inlineStr">
        <is>
          <t>treatment of road wear emissions, passenger car</t>
        </is>
      </c>
      <c r="BK24" t="inlineStr">
        <is>
          <t>treatment of tyre wear emissions, passenger car</t>
        </is>
      </c>
      <c r="BL24" t="inlineStr">
        <is>
          <t>treatment of brake wear emissions, passenger car</t>
        </is>
      </c>
    </row>
    <row r="25">
      <c r="A25" t="inlineStr">
        <is>
          <t>Motorbike, gasoline, 11-35kW, EURO-4</t>
        </is>
      </c>
      <c r="B25" t="inlineStr">
        <is>
          <t>motor scooter production</t>
        </is>
      </c>
      <c r="C25" t="inlineStr">
        <is>
          <t>Glider lightweighting</t>
        </is>
      </c>
      <c r="D25" t="inlineStr">
        <is>
          <t>motor scooter production</t>
        </is>
      </c>
      <c r="I25" t="inlineStr">
        <is>
          <t>polyethylene production, high density, granulate</t>
        </is>
      </c>
      <c r="K25" t="inlineStr">
        <is>
          <t>fuel supply for gasoline vehicles</t>
        </is>
      </c>
      <c r="M25" t="inlineStr">
        <is>
          <t>maintenance, motor scooter</t>
        </is>
      </c>
      <c r="N25" t="inlineStr">
        <is>
          <t>road construction</t>
        </is>
      </c>
      <c r="O25" t="inlineStr">
        <is>
          <t>road maintenance</t>
        </is>
      </c>
      <c r="S25" t="inlineStr">
        <is>
          <t>Carbon dioxide, fossil</t>
        </is>
      </c>
      <c r="T25" t="inlineStr">
        <is>
          <t>Carbon dioxide, from soil or biomass stock</t>
        </is>
      </c>
      <c r="U25" t="inlineStr">
        <is>
          <t>Sulfur dioxide</t>
        </is>
      </c>
      <c r="V25" t="inlineStr">
        <is>
          <t>Benzene</t>
        </is>
      </c>
      <c r="W25" t="inlineStr">
        <is>
          <t>Methane, fossil</t>
        </is>
      </c>
      <c r="X25" t="inlineStr">
        <is>
          <t>Carbon monoxide, fossil</t>
        </is>
      </c>
      <c r="Y25" t="inlineStr">
        <is>
          <t>Dinitrogen monoxide</t>
        </is>
      </c>
      <c r="Z25" t="inlineStr">
        <is>
          <t>Ammonia</t>
        </is>
      </c>
      <c r="AB25" t="inlineStr">
        <is>
          <t>Nitrogen oxides</t>
        </is>
      </c>
      <c r="AC25" t="inlineStr">
        <is>
          <t>Particulates, &lt; 2.5 um</t>
        </is>
      </c>
      <c r="AD25" t="inlineStr">
        <is>
          <t>NMVOC, non-methane volatile organic compounds, unspecified origin</t>
        </is>
      </c>
      <c r="AE25" t="inlineStr">
        <is>
          <t>Ethane</t>
        </is>
      </c>
      <c r="AF25" t="inlineStr">
        <is>
          <t>Propane</t>
        </is>
      </c>
      <c r="AG25" t="inlineStr">
        <is>
          <t>Butane</t>
        </is>
      </c>
      <c r="AH25" t="inlineStr">
        <is>
          <t>Pentane</t>
        </is>
      </c>
      <c r="AI25" t="inlineStr">
        <is>
          <t>Hexane</t>
        </is>
      </c>
      <c r="AJ25" t="inlineStr">
        <is>
          <t>Cyclohexane</t>
        </is>
      </c>
      <c r="AK25" t="inlineStr">
        <is>
          <t>Heptane</t>
        </is>
      </c>
      <c r="AL25" t="inlineStr">
        <is>
          <t>Ethene</t>
        </is>
      </c>
      <c r="AM25" t="inlineStr">
        <is>
          <t>Propene</t>
        </is>
      </c>
      <c r="AN25" t="inlineStr">
        <is>
          <t>1-Pentene</t>
        </is>
      </c>
      <c r="AO25" t="inlineStr">
        <is>
          <t>Benzene</t>
        </is>
      </c>
      <c r="AP25" t="inlineStr">
        <is>
          <t>Toluene</t>
        </is>
      </c>
      <c r="AQ25" t="inlineStr">
        <is>
          <t>m-Xylene</t>
        </is>
      </c>
      <c r="AR25" t="inlineStr">
        <is>
          <t>o-Xylene</t>
        </is>
      </c>
      <c r="AS25" t="inlineStr">
        <is>
          <t>Formaldehyde</t>
        </is>
      </c>
      <c r="AT25" t="inlineStr">
        <is>
          <t>Acetaldehyde</t>
        </is>
      </c>
      <c r="AU25" t="inlineStr">
        <is>
          <t>Benzaldehyde</t>
        </is>
      </c>
      <c r="AV25" t="inlineStr">
        <is>
          <t>Acetone</t>
        </is>
      </c>
      <c r="AW25" t="inlineStr">
        <is>
          <t>Methyl ethyl ketone</t>
        </is>
      </c>
      <c r="AX25" t="inlineStr">
        <is>
          <t>Acrolein</t>
        </is>
      </c>
      <c r="AY25" t="inlineStr">
        <is>
          <t>Styrene</t>
        </is>
      </c>
      <c r="AZ25" t="inlineStr">
        <is>
          <t>PAH, polycyclic aromatic hydrocarbons</t>
        </is>
      </c>
      <c r="BA25" t="inlineStr">
        <is>
          <t>Arsenic</t>
        </is>
      </c>
      <c r="BB25" t="inlineStr">
        <is>
          <t>Selenium</t>
        </is>
      </c>
      <c r="BC25" t="inlineStr">
        <is>
          <t>Zinc</t>
        </is>
      </c>
      <c r="BD25" t="inlineStr">
        <is>
          <t>Copper</t>
        </is>
      </c>
      <c r="BE25" t="inlineStr">
        <is>
          <t>Nickel</t>
        </is>
      </c>
      <c r="BF25" t="inlineStr">
        <is>
          <t>Chromium</t>
        </is>
      </c>
      <c r="BG25" t="inlineStr">
        <is>
          <t>Chromium VI</t>
        </is>
      </c>
      <c r="BH25" t="inlineStr">
        <is>
          <t>Mercury</t>
        </is>
      </c>
      <c r="BI25" t="inlineStr">
        <is>
          <t>Cadmium</t>
        </is>
      </c>
      <c r="BJ25" t="inlineStr">
        <is>
          <t>treatment of road wear emissions, passenger car</t>
        </is>
      </c>
      <c r="BK25" t="inlineStr">
        <is>
          <t>treatment of tyre wear emissions, passenger car</t>
        </is>
      </c>
      <c r="BL25" t="inlineStr">
        <is>
          <t>treatment of brake wear emissions, passenger car</t>
        </is>
      </c>
    </row>
    <row r="26">
      <c r="A26" t="inlineStr">
        <is>
          <t>Motorbike, gasoline, 11-35kW, EURO-5</t>
        </is>
      </c>
      <c r="B26" t="inlineStr">
        <is>
          <t>motor scooter production</t>
        </is>
      </c>
      <c r="C26" t="inlineStr">
        <is>
          <t>Glider lightweighting</t>
        </is>
      </c>
      <c r="D26" t="inlineStr">
        <is>
          <t>motor scooter production</t>
        </is>
      </c>
      <c r="I26" t="inlineStr">
        <is>
          <t>polyethylene production, high density, granulate</t>
        </is>
      </c>
      <c r="K26" t="inlineStr">
        <is>
          <t>fuel supply for gasoline vehicles</t>
        </is>
      </c>
      <c r="M26" t="inlineStr">
        <is>
          <t>maintenance, motor scooter</t>
        </is>
      </c>
      <c r="N26" t="inlineStr">
        <is>
          <t>road construction</t>
        </is>
      </c>
      <c r="O26" t="inlineStr">
        <is>
          <t>road maintenance</t>
        </is>
      </c>
      <c r="S26" t="inlineStr">
        <is>
          <t>Carbon dioxide, fossil</t>
        </is>
      </c>
      <c r="T26" t="inlineStr">
        <is>
          <t>Carbon dioxide, from soil or biomass stock</t>
        </is>
      </c>
      <c r="U26" t="inlineStr">
        <is>
          <t>Sulfur dioxide</t>
        </is>
      </c>
      <c r="V26" t="inlineStr">
        <is>
          <t>Benzene</t>
        </is>
      </c>
      <c r="W26" t="inlineStr">
        <is>
          <t>Methane, fossil</t>
        </is>
      </c>
      <c r="X26" t="inlineStr">
        <is>
          <t>Carbon monoxide, fossil</t>
        </is>
      </c>
      <c r="Y26" t="inlineStr">
        <is>
          <t>Dinitrogen monoxide</t>
        </is>
      </c>
      <c r="Z26" t="inlineStr">
        <is>
          <t>Ammonia</t>
        </is>
      </c>
      <c r="AB26" t="inlineStr">
        <is>
          <t>Nitrogen oxides</t>
        </is>
      </c>
      <c r="AC26" t="inlineStr">
        <is>
          <t>Particulates, &lt; 2.5 um</t>
        </is>
      </c>
      <c r="AD26" t="inlineStr">
        <is>
          <t>NMVOC, non-methane volatile organic compounds, unspecified origin</t>
        </is>
      </c>
      <c r="AE26" t="inlineStr">
        <is>
          <t>Ethane</t>
        </is>
      </c>
      <c r="AF26" t="inlineStr">
        <is>
          <t>Propane</t>
        </is>
      </c>
      <c r="AG26" t="inlineStr">
        <is>
          <t>Butane</t>
        </is>
      </c>
      <c r="AH26" t="inlineStr">
        <is>
          <t>Pentane</t>
        </is>
      </c>
      <c r="AI26" t="inlineStr">
        <is>
          <t>Hexane</t>
        </is>
      </c>
      <c r="AJ26" t="inlineStr">
        <is>
          <t>Cyclohexane</t>
        </is>
      </c>
      <c r="AK26" t="inlineStr">
        <is>
          <t>Heptane</t>
        </is>
      </c>
      <c r="AL26" t="inlineStr">
        <is>
          <t>Ethene</t>
        </is>
      </c>
      <c r="AM26" t="inlineStr">
        <is>
          <t>Propene</t>
        </is>
      </c>
      <c r="AN26" t="inlineStr">
        <is>
          <t>1-Pentene</t>
        </is>
      </c>
      <c r="AO26" t="inlineStr">
        <is>
          <t>Benzene</t>
        </is>
      </c>
      <c r="AP26" t="inlineStr">
        <is>
          <t>Toluene</t>
        </is>
      </c>
      <c r="AQ26" t="inlineStr">
        <is>
          <t>m-Xylene</t>
        </is>
      </c>
      <c r="AR26" t="inlineStr">
        <is>
          <t>o-Xylene</t>
        </is>
      </c>
      <c r="AS26" t="inlineStr">
        <is>
          <t>Formaldehyde</t>
        </is>
      </c>
      <c r="AT26" t="inlineStr">
        <is>
          <t>Acetaldehyde</t>
        </is>
      </c>
      <c r="AU26" t="inlineStr">
        <is>
          <t>Benzaldehyde</t>
        </is>
      </c>
      <c r="AV26" t="inlineStr">
        <is>
          <t>Acetone</t>
        </is>
      </c>
      <c r="AW26" t="inlineStr">
        <is>
          <t>Methyl ethyl ketone</t>
        </is>
      </c>
      <c r="AX26" t="inlineStr">
        <is>
          <t>Acrolein</t>
        </is>
      </c>
      <c r="AY26" t="inlineStr">
        <is>
          <t>Styrene</t>
        </is>
      </c>
      <c r="AZ26" t="inlineStr">
        <is>
          <t>PAH, polycyclic aromatic hydrocarbons</t>
        </is>
      </c>
      <c r="BA26" t="inlineStr">
        <is>
          <t>Arsenic</t>
        </is>
      </c>
      <c r="BB26" t="inlineStr">
        <is>
          <t>Selenium</t>
        </is>
      </c>
      <c r="BC26" t="inlineStr">
        <is>
          <t>Zinc</t>
        </is>
      </c>
      <c r="BD26" t="inlineStr">
        <is>
          <t>Copper</t>
        </is>
      </c>
      <c r="BE26" t="inlineStr">
        <is>
          <t>Nickel</t>
        </is>
      </c>
      <c r="BF26" t="inlineStr">
        <is>
          <t>Chromium</t>
        </is>
      </c>
      <c r="BG26" t="inlineStr">
        <is>
          <t>Chromium VI</t>
        </is>
      </c>
      <c r="BH26" t="inlineStr">
        <is>
          <t>Mercury</t>
        </is>
      </c>
      <c r="BI26" t="inlineStr">
        <is>
          <t>Cadmium</t>
        </is>
      </c>
      <c r="BJ26" t="inlineStr">
        <is>
          <t>treatment of road wear emissions, passenger car</t>
        </is>
      </c>
      <c r="BK26" t="inlineStr">
        <is>
          <t>treatment of tyre wear emissions, passenger car</t>
        </is>
      </c>
      <c r="BL26" t="inlineStr">
        <is>
          <t>treatment of brake wear emissions, passenger car</t>
        </is>
      </c>
    </row>
    <row r="27">
      <c r="A27" t="inlineStr">
        <is>
          <t>Motorbike, gasoline, &gt;35kW, EURO-3</t>
        </is>
      </c>
      <c r="B27" t="inlineStr">
        <is>
          <t>motor scooter production</t>
        </is>
      </c>
      <c r="C27" t="inlineStr">
        <is>
          <t>Glider lightweighting</t>
        </is>
      </c>
      <c r="D27" t="inlineStr">
        <is>
          <t>motor scooter production</t>
        </is>
      </c>
      <c r="I27" t="inlineStr">
        <is>
          <t>polyethylene production, high density, granulate</t>
        </is>
      </c>
      <c r="K27" t="inlineStr">
        <is>
          <t>fuel supply for gasoline vehicles</t>
        </is>
      </c>
      <c r="M27" t="inlineStr">
        <is>
          <t>maintenance, motor scooter</t>
        </is>
      </c>
      <c r="N27" t="inlineStr">
        <is>
          <t>road construction</t>
        </is>
      </c>
      <c r="O27" t="inlineStr">
        <is>
          <t>road maintenance</t>
        </is>
      </c>
      <c r="S27" t="inlineStr">
        <is>
          <t>Carbon dioxide, fossil</t>
        </is>
      </c>
      <c r="T27" t="inlineStr">
        <is>
          <t>Carbon dioxide, from soil or biomass stock</t>
        </is>
      </c>
      <c r="U27" t="inlineStr">
        <is>
          <t>Sulfur dioxide</t>
        </is>
      </c>
      <c r="V27" t="inlineStr">
        <is>
          <t>Benzene</t>
        </is>
      </c>
      <c r="W27" t="inlineStr">
        <is>
          <t>Methane, fossil</t>
        </is>
      </c>
      <c r="X27" t="inlineStr">
        <is>
          <t>Carbon monoxide, fossil</t>
        </is>
      </c>
      <c r="Y27" t="inlineStr">
        <is>
          <t>Dinitrogen monoxide</t>
        </is>
      </c>
      <c r="Z27" t="inlineStr">
        <is>
          <t>Ammonia</t>
        </is>
      </c>
      <c r="AB27" t="inlineStr">
        <is>
          <t>Nitrogen oxides</t>
        </is>
      </c>
      <c r="AC27" t="inlineStr">
        <is>
          <t>Particulates, &lt; 2.5 um</t>
        </is>
      </c>
      <c r="AD27" t="inlineStr">
        <is>
          <t>NMVOC, non-methane volatile organic compounds, unspecified origin</t>
        </is>
      </c>
      <c r="AE27" t="inlineStr">
        <is>
          <t>Ethane</t>
        </is>
      </c>
      <c r="AF27" t="inlineStr">
        <is>
          <t>Propane</t>
        </is>
      </c>
      <c r="AG27" t="inlineStr">
        <is>
          <t>Butane</t>
        </is>
      </c>
      <c r="AH27" t="inlineStr">
        <is>
          <t>Pentane</t>
        </is>
      </c>
      <c r="AI27" t="inlineStr">
        <is>
          <t>Hexane</t>
        </is>
      </c>
      <c r="AJ27" t="inlineStr">
        <is>
          <t>Cyclohexane</t>
        </is>
      </c>
      <c r="AK27" t="inlineStr">
        <is>
          <t>Heptane</t>
        </is>
      </c>
      <c r="AL27" t="inlineStr">
        <is>
          <t>Ethene</t>
        </is>
      </c>
      <c r="AM27" t="inlineStr">
        <is>
          <t>Propene</t>
        </is>
      </c>
      <c r="AN27" t="inlineStr">
        <is>
          <t>1-Pentene</t>
        </is>
      </c>
      <c r="AO27" t="inlineStr">
        <is>
          <t>Benzene</t>
        </is>
      </c>
      <c r="AP27" t="inlineStr">
        <is>
          <t>Toluene</t>
        </is>
      </c>
      <c r="AQ27" t="inlineStr">
        <is>
          <t>m-Xylene</t>
        </is>
      </c>
      <c r="AR27" t="inlineStr">
        <is>
          <t>o-Xylene</t>
        </is>
      </c>
      <c r="AS27" t="inlineStr">
        <is>
          <t>Formaldehyde</t>
        </is>
      </c>
      <c r="AT27" t="inlineStr">
        <is>
          <t>Acetaldehyde</t>
        </is>
      </c>
      <c r="AU27" t="inlineStr">
        <is>
          <t>Benzaldehyde</t>
        </is>
      </c>
      <c r="AV27" t="inlineStr">
        <is>
          <t>Acetone</t>
        </is>
      </c>
      <c r="AW27" t="inlineStr">
        <is>
          <t>Methyl ethyl ketone</t>
        </is>
      </c>
      <c r="AX27" t="inlineStr">
        <is>
          <t>Acrolein</t>
        </is>
      </c>
      <c r="AY27" t="inlineStr">
        <is>
          <t>Styrene</t>
        </is>
      </c>
      <c r="AZ27" t="inlineStr">
        <is>
          <t>PAH, polycyclic aromatic hydrocarbons</t>
        </is>
      </c>
      <c r="BA27" t="inlineStr">
        <is>
          <t>Arsenic</t>
        </is>
      </c>
      <c r="BB27" t="inlineStr">
        <is>
          <t>Selenium</t>
        </is>
      </c>
      <c r="BC27" t="inlineStr">
        <is>
          <t>Zinc</t>
        </is>
      </c>
      <c r="BD27" t="inlineStr">
        <is>
          <t>Copper</t>
        </is>
      </c>
      <c r="BE27" t="inlineStr">
        <is>
          <t>Nickel</t>
        </is>
      </c>
      <c r="BF27" t="inlineStr">
        <is>
          <t>Chromium</t>
        </is>
      </c>
      <c r="BG27" t="inlineStr">
        <is>
          <t>Chromium VI</t>
        </is>
      </c>
      <c r="BH27" t="inlineStr">
        <is>
          <t>Mercury</t>
        </is>
      </c>
      <c r="BI27" t="inlineStr">
        <is>
          <t>Cadmium</t>
        </is>
      </c>
      <c r="BJ27" t="inlineStr">
        <is>
          <t>treatment of road wear emissions, passenger car</t>
        </is>
      </c>
      <c r="BK27" t="inlineStr">
        <is>
          <t>treatment of tyre wear emissions, passenger car</t>
        </is>
      </c>
      <c r="BL27" t="inlineStr">
        <is>
          <t>treatment of brake wear emissions, passenger car</t>
        </is>
      </c>
    </row>
    <row r="28">
      <c r="A28" t="inlineStr">
        <is>
          <t>Motorbike, gasoline, &gt;35kW, EURO-4</t>
        </is>
      </c>
      <c r="B28" t="inlineStr">
        <is>
          <t>motor scooter production</t>
        </is>
      </c>
      <c r="C28" t="inlineStr">
        <is>
          <t>Glider lightweighting</t>
        </is>
      </c>
      <c r="D28" t="inlineStr">
        <is>
          <t>motor scooter production</t>
        </is>
      </c>
      <c r="I28" t="inlineStr">
        <is>
          <t>polyethylene production, high density, granulate</t>
        </is>
      </c>
      <c r="K28" t="inlineStr">
        <is>
          <t>fuel supply for gasoline vehicles</t>
        </is>
      </c>
      <c r="M28" t="inlineStr">
        <is>
          <t>maintenance, motor scooter</t>
        </is>
      </c>
      <c r="N28" t="inlineStr">
        <is>
          <t>road construction</t>
        </is>
      </c>
      <c r="O28" t="inlineStr">
        <is>
          <t>road maintenance</t>
        </is>
      </c>
      <c r="S28" t="inlineStr">
        <is>
          <t>Carbon dioxide, fossil</t>
        </is>
      </c>
      <c r="T28" t="inlineStr">
        <is>
          <t>Carbon dioxide, from soil or biomass stock</t>
        </is>
      </c>
      <c r="U28" t="inlineStr">
        <is>
          <t>Sulfur dioxide</t>
        </is>
      </c>
      <c r="V28" t="inlineStr">
        <is>
          <t>Benzene</t>
        </is>
      </c>
      <c r="W28" t="inlineStr">
        <is>
          <t>Methane, fossil</t>
        </is>
      </c>
      <c r="X28" t="inlineStr">
        <is>
          <t>Carbon monoxide, fossil</t>
        </is>
      </c>
      <c r="Y28" t="inlineStr">
        <is>
          <t>Dinitrogen monoxide</t>
        </is>
      </c>
      <c r="Z28" t="inlineStr">
        <is>
          <t>Ammonia</t>
        </is>
      </c>
      <c r="AB28" t="inlineStr">
        <is>
          <t>Nitrogen oxides</t>
        </is>
      </c>
      <c r="AC28" t="inlineStr">
        <is>
          <t>Particulates, &lt; 2.5 um</t>
        </is>
      </c>
      <c r="AD28" t="inlineStr">
        <is>
          <t>NMVOC, non-methane volatile organic compounds, unspecified origin</t>
        </is>
      </c>
      <c r="AE28" t="inlineStr">
        <is>
          <t>Ethane</t>
        </is>
      </c>
      <c r="AF28" t="inlineStr">
        <is>
          <t>Propane</t>
        </is>
      </c>
      <c r="AG28" t="inlineStr">
        <is>
          <t>Butane</t>
        </is>
      </c>
      <c r="AH28" t="inlineStr">
        <is>
          <t>Pentane</t>
        </is>
      </c>
      <c r="AI28" t="inlineStr">
        <is>
          <t>Hexane</t>
        </is>
      </c>
      <c r="AJ28" t="inlineStr">
        <is>
          <t>Cyclohexane</t>
        </is>
      </c>
      <c r="AK28" t="inlineStr">
        <is>
          <t>Heptane</t>
        </is>
      </c>
      <c r="AL28" t="inlineStr">
        <is>
          <t>Ethene</t>
        </is>
      </c>
      <c r="AM28" t="inlineStr">
        <is>
          <t>Propene</t>
        </is>
      </c>
      <c r="AN28" t="inlineStr">
        <is>
          <t>1-Pentene</t>
        </is>
      </c>
      <c r="AO28" t="inlineStr">
        <is>
          <t>Benzene</t>
        </is>
      </c>
      <c r="AP28" t="inlineStr">
        <is>
          <t>Toluene</t>
        </is>
      </c>
      <c r="AQ28" t="inlineStr">
        <is>
          <t>m-Xylene</t>
        </is>
      </c>
      <c r="AR28" t="inlineStr">
        <is>
          <t>o-Xylene</t>
        </is>
      </c>
      <c r="AS28" t="inlineStr">
        <is>
          <t>Formaldehyde</t>
        </is>
      </c>
      <c r="AT28" t="inlineStr">
        <is>
          <t>Acetaldehyde</t>
        </is>
      </c>
      <c r="AU28" t="inlineStr">
        <is>
          <t>Benzaldehyde</t>
        </is>
      </c>
      <c r="AV28" t="inlineStr">
        <is>
          <t>Acetone</t>
        </is>
      </c>
      <c r="AW28" t="inlineStr">
        <is>
          <t>Methyl ethyl ketone</t>
        </is>
      </c>
      <c r="AX28" t="inlineStr">
        <is>
          <t>Acrolein</t>
        </is>
      </c>
      <c r="AY28" t="inlineStr">
        <is>
          <t>Styrene</t>
        </is>
      </c>
      <c r="AZ28" t="inlineStr">
        <is>
          <t>PAH, polycyclic aromatic hydrocarbons</t>
        </is>
      </c>
      <c r="BA28" t="inlineStr">
        <is>
          <t>Arsenic</t>
        </is>
      </c>
      <c r="BB28" t="inlineStr">
        <is>
          <t>Selenium</t>
        </is>
      </c>
      <c r="BC28" t="inlineStr">
        <is>
          <t>Zinc</t>
        </is>
      </c>
      <c r="BD28" t="inlineStr">
        <is>
          <t>Copper</t>
        </is>
      </c>
      <c r="BE28" t="inlineStr">
        <is>
          <t>Nickel</t>
        </is>
      </c>
      <c r="BF28" t="inlineStr">
        <is>
          <t>Chromium</t>
        </is>
      </c>
      <c r="BG28" t="inlineStr">
        <is>
          <t>Chromium VI</t>
        </is>
      </c>
      <c r="BH28" t="inlineStr">
        <is>
          <t>Mercury</t>
        </is>
      </c>
      <c r="BI28" t="inlineStr">
        <is>
          <t>Cadmium</t>
        </is>
      </c>
      <c r="BJ28" t="inlineStr">
        <is>
          <t>treatment of road wear emissions, passenger car</t>
        </is>
      </c>
      <c r="BK28" t="inlineStr">
        <is>
          <t>treatment of tyre wear emissions, passenger car</t>
        </is>
      </c>
      <c r="BL28" t="inlineStr">
        <is>
          <t>treatment of brake wear emissions, passenger car</t>
        </is>
      </c>
    </row>
    <row r="29">
      <c r="A29" t="inlineStr">
        <is>
          <t>Motorbike, gasoline, &gt;35kW, EURO-5</t>
        </is>
      </c>
      <c r="B29" t="inlineStr">
        <is>
          <t>motor scooter production</t>
        </is>
      </c>
      <c r="C29" t="inlineStr">
        <is>
          <t>Glider lightweighting</t>
        </is>
      </c>
      <c r="D29" t="inlineStr">
        <is>
          <t>motor scooter production</t>
        </is>
      </c>
      <c r="I29" t="inlineStr">
        <is>
          <t>polyethylene production, high density, granulate</t>
        </is>
      </c>
      <c r="K29" t="inlineStr">
        <is>
          <t>fuel supply for gasoline vehicles</t>
        </is>
      </c>
      <c r="M29" t="inlineStr">
        <is>
          <t>maintenance, motor scooter</t>
        </is>
      </c>
      <c r="N29" t="inlineStr">
        <is>
          <t>road construction</t>
        </is>
      </c>
      <c r="O29" t="inlineStr">
        <is>
          <t>road maintenance</t>
        </is>
      </c>
      <c r="S29" t="inlineStr">
        <is>
          <t>Carbon dioxide, fossil</t>
        </is>
      </c>
      <c r="T29" t="inlineStr">
        <is>
          <t>Carbon dioxide, from soil or biomass stock</t>
        </is>
      </c>
      <c r="U29" t="inlineStr">
        <is>
          <t>Sulfur dioxide</t>
        </is>
      </c>
      <c r="V29" t="inlineStr">
        <is>
          <t>Benzene</t>
        </is>
      </c>
      <c r="W29" t="inlineStr">
        <is>
          <t>Methane, fossil</t>
        </is>
      </c>
      <c r="X29" t="inlineStr">
        <is>
          <t>Carbon monoxide, fossil</t>
        </is>
      </c>
      <c r="Y29" t="inlineStr">
        <is>
          <t>Dinitrogen monoxide</t>
        </is>
      </c>
      <c r="Z29" t="inlineStr">
        <is>
          <t>Ammonia</t>
        </is>
      </c>
      <c r="AB29" t="inlineStr">
        <is>
          <t>Nitrogen oxides</t>
        </is>
      </c>
      <c r="AC29" t="inlineStr">
        <is>
          <t>Particulates, &lt; 2.5 um</t>
        </is>
      </c>
      <c r="AD29" t="inlineStr">
        <is>
          <t>NMVOC, non-methane volatile organic compounds, unspecified origin</t>
        </is>
      </c>
      <c r="AE29" t="inlineStr">
        <is>
          <t>Ethane</t>
        </is>
      </c>
      <c r="AF29" t="inlineStr">
        <is>
          <t>Propane</t>
        </is>
      </c>
      <c r="AG29" t="inlineStr">
        <is>
          <t>Butane</t>
        </is>
      </c>
      <c r="AH29" t="inlineStr">
        <is>
          <t>Pentane</t>
        </is>
      </c>
      <c r="AI29" t="inlineStr">
        <is>
          <t>Hexane</t>
        </is>
      </c>
      <c r="AJ29" t="inlineStr">
        <is>
          <t>Cyclohexane</t>
        </is>
      </c>
      <c r="AK29" t="inlineStr">
        <is>
          <t>Heptane</t>
        </is>
      </c>
      <c r="AL29" t="inlineStr">
        <is>
          <t>Ethene</t>
        </is>
      </c>
      <c r="AM29" t="inlineStr">
        <is>
          <t>Propene</t>
        </is>
      </c>
      <c r="AN29" t="inlineStr">
        <is>
          <t>1-Pentene</t>
        </is>
      </c>
      <c r="AO29" t="inlineStr">
        <is>
          <t>Benzene</t>
        </is>
      </c>
      <c r="AP29" t="inlineStr">
        <is>
          <t>Toluene</t>
        </is>
      </c>
      <c r="AQ29" t="inlineStr">
        <is>
          <t>m-Xylene</t>
        </is>
      </c>
      <c r="AR29" t="inlineStr">
        <is>
          <t>o-Xylene</t>
        </is>
      </c>
      <c r="AS29" t="inlineStr">
        <is>
          <t>Formaldehyde</t>
        </is>
      </c>
      <c r="AT29" t="inlineStr">
        <is>
          <t>Acetaldehyde</t>
        </is>
      </c>
      <c r="AU29" t="inlineStr">
        <is>
          <t>Benzaldehyde</t>
        </is>
      </c>
      <c r="AV29" t="inlineStr">
        <is>
          <t>Acetone</t>
        </is>
      </c>
      <c r="AW29" t="inlineStr">
        <is>
          <t>Methyl ethyl ketone</t>
        </is>
      </c>
      <c r="AX29" t="inlineStr">
        <is>
          <t>Acrolein</t>
        </is>
      </c>
      <c r="AY29" t="inlineStr">
        <is>
          <t>Styrene</t>
        </is>
      </c>
      <c r="AZ29" t="inlineStr">
        <is>
          <t>PAH, polycyclic aromatic hydrocarbons</t>
        </is>
      </c>
      <c r="BA29" t="inlineStr">
        <is>
          <t>Arsenic</t>
        </is>
      </c>
      <c r="BB29" t="inlineStr">
        <is>
          <t>Selenium</t>
        </is>
      </c>
      <c r="BC29" t="inlineStr">
        <is>
          <t>Zinc</t>
        </is>
      </c>
      <c r="BD29" t="inlineStr">
        <is>
          <t>Copper</t>
        </is>
      </c>
      <c r="BE29" t="inlineStr">
        <is>
          <t>Nickel</t>
        </is>
      </c>
      <c r="BF29" t="inlineStr">
        <is>
          <t>Chromium</t>
        </is>
      </c>
      <c r="BG29" t="inlineStr">
        <is>
          <t>Chromium VI</t>
        </is>
      </c>
      <c r="BH29" t="inlineStr">
        <is>
          <t>Mercury</t>
        </is>
      </c>
      <c r="BI29" t="inlineStr">
        <is>
          <t>Cadmium</t>
        </is>
      </c>
      <c r="BJ29" t="inlineStr">
        <is>
          <t>treatment of road wear emissions, passenger car</t>
        </is>
      </c>
      <c r="BK29" t="inlineStr">
        <is>
          <t>treatment of tyre wear emissions, passenger car</t>
        </is>
      </c>
      <c r="BL29" t="inlineStr">
        <is>
          <t>treatment of brake wear emissions, passenger car</t>
        </is>
      </c>
    </row>
    <row r="30">
      <c r="A30" t="inlineStr">
        <is>
          <t>Motorbike, battery electric, &lt;4kW</t>
        </is>
      </c>
      <c r="B30" t="inlineStr">
        <is>
          <t>market for glider, for electric scooter</t>
        </is>
      </c>
      <c r="C30" t="inlineStr">
        <is>
          <t>Glider lightweighting</t>
        </is>
      </c>
      <c r="D30" t="inlineStr">
        <is>
          <t>market for glider, for electric scooter</t>
        </is>
      </c>
      <c r="E30" t="inlineStr">
        <is>
          <t>market for electric powertrain, for electric scooter</t>
        </is>
      </c>
      <c r="F30" t="inlineStr">
        <is>
          <t>market for battery cell, Li-ion, NMC811</t>
        </is>
      </c>
      <c r="G30" t="inlineStr">
        <is>
          <t>market for battery management system, for Li-ion battery</t>
        </is>
      </c>
      <c r="J30" t="inlineStr">
        <is>
          <t>charging station, 3kW</t>
        </is>
      </c>
      <c r="L30" t="inlineStr">
        <is>
          <t>market for electricity, low voltage</t>
        </is>
      </c>
      <c r="M30" t="inlineStr">
        <is>
          <t>market for maintenance, electric scooter, without battery</t>
        </is>
      </c>
      <c r="N30" t="inlineStr">
        <is>
          <t>road construction</t>
        </is>
      </c>
      <c r="O30" t="inlineStr">
        <is>
          <t>road maintenance</t>
        </is>
      </c>
      <c r="P30" t="inlineStr">
        <is>
          <t>manual dismantling of used electric scooter</t>
        </is>
      </c>
      <c r="Q30" t="inlineStr">
        <is>
          <t>manual dismantling of used electric scooter</t>
        </is>
      </c>
      <c r="R30" t="inlineStr">
        <is>
          <t>market for used Li-ion battery</t>
        </is>
      </c>
      <c r="S30" t="inlineStr">
        <is>
          <t>Carbon dioxide, fossil</t>
        </is>
      </c>
      <c r="T30" t="inlineStr">
        <is>
          <t>Carbon dioxide, from soil or biomass stock</t>
        </is>
      </c>
      <c r="U30" t="inlineStr">
        <is>
          <t>Sulfur dioxide</t>
        </is>
      </c>
      <c r="V30" t="inlineStr">
        <is>
          <t>Benzene</t>
        </is>
      </c>
      <c r="W30" t="inlineStr">
        <is>
          <t>Methane, fossil</t>
        </is>
      </c>
      <c r="X30" t="inlineStr">
        <is>
          <t>Carbon monoxide, fossil</t>
        </is>
      </c>
      <c r="Y30" t="inlineStr">
        <is>
          <t>Dinitrogen monoxide</t>
        </is>
      </c>
      <c r="Z30" t="inlineStr">
        <is>
          <t>Ammonia</t>
        </is>
      </c>
      <c r="AB30" t="inlineStr">
        <is>
          <t>Nitrogen oxides</t>
        </is>
      </c>
      <c r="AC30" t="inlineStr">
        <is>
          <t>Particulates, &lt; 2.5 um</t>
        </is>
      </c>
      <c r="AD30" t="inlineStr">
        <is>
          <t>NMVOC, non-methane volatile organic compounds, unspecified origin</t>
        </is>
      </c>
      <c r="AE30" t="inlineStr">
        <is>
          <t>Ethane</t>
        </is>
      </c>
      <c r="AF30" t="inlineStr">
        <is>
          <t>Propane</t>
        </is>
      </c>
      <c r="AG30" t="inlineStr">
        <is>
          <t>Butane</t>
        </is>
      </c>
      <c r="AH30" t="inlineStr">
        <is>
          <t>Pentane</t>
        </is>
      </c>
      <c r="AI30" t="inlineStr">
        <is>
          <t>Hexane</t>
        </is>
      </c>
      <c r="AJ30" t="inlineStr">
        <is>
          <t>Cyclohexane</t>
        </is>
      </c>
      <c r="AK30" t="inlineStr">
        <is>
          <t>Heptane</t>
        </is>
      </c>
      <c r="AL30" t="inlineStr">
        <is>
          <t>Ethene</t>
        </is>
      </c>
      <c r="AM30" t="inlineStr">
        <is>
          <t>Propene</t>
        </is>
      </c>
      <c r="AN30" t="inlineStr">
        <is>
          <t>1-Pentene</t>
        </is>
      </c>
      <c r="AO30" t="inlineStr">
        <is>
          <t>Benzene</t>
        </is>
      </c>
      <c r="AP30" t="inlineStr">
        <is>
          <t>Toluene</t>
        </is>
      </c>
      <c r="AQ30" t="inlineStr">
        <is>
          <t>m-Xylene</t>
        </is>
      </c>
      <c r="AR30" t="inlineStr">
        <is>
          <t>o-Xylene</t>
        </is>
      </c>
      <c r="AS30" t="inlineStr">
        <is>
          <t>Formaldehyde</t>
        </is>
      </c>
      <c r="AT30" t="inlineStr">
        <is>
          <t>Acetaldehyde</t>
        </is>
      </c>
      <c r="AU30" t="inlineStr">
        <is>
          <t>Benzaldehyde</t>
        </is>
      </c>
      <c r="AV30" t="inlineStr">
        <is>
          <t>Acetone</t>
        </is>
      </c>
      <c r="AW30" t="inlineStr">
        <is>
          <t>Methyl ethyl ketone</t>
        </is>
      </c>
      <c r="AX30" t="inlineStr">
        <is>
          <t>Acrolein</t>
        </is>
      </c>
      <c r="AY30" t="inlineStr">
        <is>
          <t>Styrene</t>
        </is>
      </c>
      <c r="AZ30" t="inlineStr">
        <is>
          <t>PAH, polycyclic aromatic hydrocarbons</t>
        </is>
      </c>
      <c r="BA30" t="inlineStr">
        <is>
          <t>Arsenic</t>
        </is>
      </c>
      <c r="BB30" t="inlineStr">
        <is>
          <t>Selenium</t>
        </is>
      </c>
      <c r="BC30" t="inlineStr">
        <is>
          <t>Zinc</t>
        </is>
      </c>
      <c r="BD30" t="inlineStr">
        <is>
          <t>Copper</t>
        </is>
      </c>
      <c r="BE30" t="inlineStr">
        <is>
          <t>Nickel</t>
        </is>
      </c>
      <c r="BF30" t="inlineStr">
        <is>
          <t>Chromium</t>
        </is>
      </c>
      <c r="BG30" t="inlineStr">
        <is>
          <t>Chromium VI</t>
        </is>
      </c>
      <c r="BH30" t="inlineStr">
        <is>
          <t>Mercury</t>
        </is>
      </c>
      <c r="BI30" t="inlineStr">
        <is>
          <t>Cadmium</t>
        </is>
      </c>
      <c r="BJ30" t="inlineStr">
        <is>
          <t>treatment of road wear emissions, passenger car</t>
        </is>
      </c>
      <c r="BK30" t="inlineStr">
        <is>
          <t>treatment of tyre wear emissions, passenger car</t>
        </is>
      </c>
      <c r="BL30" t="inlineStr">
        <is>
          <t>treatment of brake wear emissions, passenger car</t>
        </is>
      </c>
    </row>
    <row r="31">
      <c r="A31" t="inlineStr">
        <is>
          <t>Motorbike, battery electric, 4-11kW</t>
        </is>
      </c>
      <c r="B31" t="inlineStr">
        <is>
          <t>market for glider, for electric scooter</t>
        </is>
      </c>
      <c r="C31" t="inlineStr">
        <is>
          <t>Glider lightweighting</t>
        </is>
      </c>
      <c r="D31" t="inlineStr">
        <is>
          <t>market for glider, for electric scooter</t>
        </is>
      </c>
      <c r="E31" t="inlineStr">
        <is>
          <t>market for electric powertrain, for electric scooter</t>
        </is>
      </c>
      <c r="F31" t="inlineStr">
        <is>
          <t>market for battery cell, Li-ion, NMC811</t>
        </is>
      </c>
      <c r="G31" t="inlineStr">
        <is>
          <t>market for battery management system, for Li-ion battery</t>
        </is>
      </c>
      <c r="J31" t="inlineStr">
        <is>
          <t>charging station, 3kW</t>
        </is>
      </c>
      <c r="L31" t="inlineStr">
        <is>
          <t>market for electricity, low voltage</t>
        </is>
      </c>
      <c r="M31" t="inlineStr">
        <is>
          <t>market for maintenance, electric scooter, without battery</t>
        </is>
      </c>
      <c r="N31" t="inlineStr">
        <is>
          <t>road construction</t>
        </is>
      </c>
      <c r="O31" t="inlineStr">
        <is>
          <t>road maintenance</t>
        </is>
      </c>
      <c r="P31" t="inlineStr">
        <is>
          <t>manual dismantling of used electric scooter</t>
        </is>
      </c>
      <c r="Q31" t="inlineStr">
        <is>
          <t>manual dismantling of used electric scooter</t>
        </is>
      </c>
      <c r="R31" t="inlineStr">
        <is>
          <t>market for used Li-ion battery</t>
        </is>
      </c>
      <c r="S31" t="inlineStr">
        <is>
          <t>Carbon dioxide, fossil</t>
        </is>
      </c>
      <c r="T31" t="inlineStr">
        <is>
          <t>Carbon dioxide, from soil or biomass stock</t>
        </is>
      </c>
      <c r="U31" t="inlineStr">
        <is>
          <t>Sulfur dioxide</t>
        </is>
      </c>
      <c r="V31" t="inlineStr">
        <is>
          <t>Benzene</t>
        </is>
      </c>
      <c r="W31" t="inlineStr">
        <is>
          <t>Methane, fossil</t>
        </is>
      </c>
      <c r="X31" t="inlineStr">
        <is>
          <t>Carbon monoxide, fossil</t>
        </is>
      </c>
      <c r="Y31" t="inlineStr">
        <is>
          <t>Dinitrogen monoxide</t>
        </is>
      </c>
      <c r="Z31" t="inlineStr">
        <is>
          <t>Ammonia</t>
        </is>
      </c>
      <c r="AB31" t="inlineStr">
        <is>
          <t>Nitrogen oxides</t>
        </is>
      </c>
      <c r="AC31" t="inlineStr">
        <is>
          <t>Particulates, &lt; 2.5 um</t>
        </is>
      </c>
      <c r="AD31" t="inlineStr">
        <is>
          <t>NMVOC, non-methane volatile organic compounds, unspecified origin</t>
        </is>
      </c>
      <c r="AE31" t="inlineStr">
        <is>
          <t>Ethane</t>
        </is>
      </c>
      <c r="AF31" t="inlineStr">
        <is>
          <t>Propane</t>
        </is>
      </c>
      <c r="AG31" t="inlineStr">
        <is>
          <t>Butane</t>
        </is>
      </c>
      <c r="AH31" t="inlineStr">
        <is>
          <t>Pentane</t>
        </is>
      </c>
      <c r="AI31" t="inlineStr">
        <is>
          <t>Hexane</t>
        </is>
      </c>
      <c r="AJ31" t="inlineStr">
        <is>
          <t>Cyclohexane</t>
        </is>
      </c>
      <c r="AK31" t="inlineStr">
        <is>
          <t>Heptane</t>
        </is>
      </c>
      <c r="AL31" t="inlineStr">
        <is>
          <t>Ethene</t>
        </is>
      </c>
      <c r="AM31" t="inlineStr">
        <is>
          <t>Propene</t>
        </is>
      </c>
      <c r="AN31" t="inlineStr">
        <is>
          <t>1-Pentene</t>
        </is>
      </c>
      <c r="AO31" t="inlineStr">
        <is>
          <t>Benzene</t>
        </is>
      </c>
      <c r="AP31" t="inlineStr">
        <is>
          <t>Toluene</t>
        </is>
      </c>
      <c r="AQ31" t="inlineStr">
        <is>
          <t>m-Xylene</t>
        </is>
      </c>
      <c r="AR31" t="inlineStr">
        <is>
          <t>o-Xylene</t>
        </is>
      </c>
      <c r="AS31" t="inlineStr">
        <is>
          <t>Formaldehyde</t>
        </is>
      </c>
      <c r="AT31" t="inlineStr">
        <is>
          <t>Acetaldehyde</t>
        </is>
      </c>
      <c r="AU31" t="inlineStr">
        <is>
          <t>Benzaldehyde</t>
        </is>
      </c>
      <c r="AV31" t="inlineStr">
        <is>
          <t>Acetone</t>
        </is>
      </c>
      <c r="AW31" t="inlineStr">
        <is>
          <t>Methyl ethyl ketone</t>
        </is>
      </c>
      <c r="AX31" t="inlineStr">
        <is>
          <t>Acrolein</t>
        </is>
      </c>
      <c r="AY31" t="inlineStr">
        <is>
          <t>Styrene</t>
        </is>
      </c>
      <c r="AZ31" t="inlineStr">
        <is>
          <t>PAH, polycyclic aromatic hydrocarbons</t>
        </is>
      </c>
      <c r="BA31" t="inlineStr">
        <is>
          <t>Arsenic</t>
        </is>
      </c>
      <c r="BB31" t="inlineStr">
        <is>
          <t>Selenium</t>
        </is>
      </c>
      <c r="BC31" t="inlineStr">
        <is>
          <t>Zinc</t>
        </is>
      </c>
      <c r="BD31" t="inlineStr">
        <is>
          <t>Copper</t>
        </is>
      </c>
      <c r="BE31" t="inlineStr">
        <is>
          <t>Nickel</t>
        </is>
      </c>
      <c r="BF31" t="inlineStr">
        <is>
          <t>Chromium</t>
        </is>
      </c>
      <c r="BG31" t="inlineStr">
        <is>
          <t>Chromium VI</t>
        </is>
      </c>
      <c r="BH31" t="inlineStr">
        <is>
          <t>Mercury</t>
        </is>
      </c>
      <c r="BI31" t="inlineStr">
        <is>
          <t>Cadmium</t>
        </is>
      </c>
      <c r="BJ31" t="inlineStr">
        <is>
          <t>treatment of road wear emissions, passenger car</t>
        </is>
      </c>
      <c r="BK31" t="inlineStr">
        <is>
          <t>treatment of tyre wear emissions, passenger car</t>
        </is>
      </c>
      <c r="BL31" t="inlineStr">
        <is>
          <t>treatment of brake wear emissions, passenger car</t>
        </is>
      </c>
    </row>
    <row r="32">
      <c r="A32" t="inlineStr">
        <is>
          <t>Motorbike, battery electric, 11-35kW</t>
        </is>
      </c>
      <c r="B32" t="inlineStr">
        <is>
          <t>market for glider, for electric scooter</t>
        </is>
      </c>
      <c r="C32" t="inlineStr">
        <is>
          <t>Glider lightweighting</t>
        </is>
      </c>
      <c r="D32" t="inlineStr">
        <is>
          <t>market for glider, for electric scooter</t>
        </is>
      </c>
      <c r="E32" t="inlineStr">
        <is>
          <t>market for electric powertrain, for electric scooter</t>
        </is>
      </c>
      <c r="F32" t="inlineStr">
        <is>
          <t>market for battery cell, Li-ion, NMC811</t>
        </is>
      </c>
      <c r="G32" t="inlineStr">
        <is>
          <t>market for battery management system, for Li-ion battery</t>
        </is>
      </c>
      <c r="J32" t="inlineStr">
        <is>
          <t>charging station, 3kW</t>
        </is>
      </c>
      <c r="L32" t="inlineStr">
        <is>
          <t>market for electricity, low voltage</t>
        </is>
      </c>
      <c r="M32" t="inlineStr">
        <is>
          <t>market for maintenance, electric scooter, without battery</t>
        </is>
      </c>
      <c r="N32" t="inlineStr">
        <is>
          <t>road construction</t>
        </is>
      </c>
      <c r="O32" t="inlineStr">
        <is>
          <t>road maintenance</t>
        </is>
      </c>
      <c r="P32" t="inlineStr">
        <is>
          <t>manual dismantling of used electric scooter</t>
        </is>
      </c>
      <c r="Q32" t="inlineStr">
        <is>
          <t>manual dismantling of used electric scooter</t>
        </is>
      </c>
      <c r="R32" t="inlineStr">
        <is>
          <t>market for used Li-ion battery</t>
        </is>
      </c>
      <c r="S32" t="inlineStr">
        <is>
          <t>Carbon dioxide, fossil</t>
        </is>
      </c>
      <c r="T32" t="inlineStr">
        <is>
          <t>Carbon dioxide, from soil or biomass stock</t>
        </is>
      </c>
      <c r="U32" t="inlineStr">
        <is>
          <t>Sulfur dioxide</t>
        </is>
      </c>
      <c r="V32" t="inlineStr">
        <is>
          <t>Benzene</t>
        </is>
      </c>
      <c r="W32" t="inlineStr">
        <is>
          <t>Methane, fossil</t>
        </is>
      </c>
      <c r="X32" t="inlineStr">
        <is>
          <t>Carbon monoxide, fossil</t>
        </is>
      </c>
      <c r="Y32" t="inlineStr">
        <is>
          <t>Dinitrogen monoxide</t>
        </is>
      </c>
      <c r="Z32" t="inlineStr">
        <is>
          <t>Ammonia</t>
        </is>
      </c>
      <c r="AB32" t="inlineStr">
        <is>
          <t>Nitrogen oxides</t>
        </is>
      </c>
      <c r="AC32" t="inlineStr">
        <is>
          <t>Particulates, &lt; 2.5 um</t>
        </is>
      </c>
      <c r="AD32" t="inlineStr">
        <is>
          <t>NMVOC, non-methane volatile organic compounds, unspecified origin</t>
        </is>
      </c>
      <c r="AE32" t="inlineStr">
        <is>
          <t>Ethane</t>
        </is>
      </c>
      <c r="AF32" t="inlineStr">
        <is>
          <t>Propane</t>
        </is>
      </c>
      <c r="AG32" t="inlineStr">
        <is>
          <t>Butane</t>
        </is>
      </c>
      <c r="AH32" t="inlineStr">
        <is>
          <t>Pentane</t>
        </is>
      </c>
      <c r="AI32" t="inlineStr">
        <is>
          <t>Hexane</t>
        </is>
      </c>
      <c r="AJ32" t="inlineStr">
        <is>
          <t>Cyclohexane</t>
        </is>
      </c>
      <c r="AK32" t="inlineStr">
        <is>
          <t>Heptane</t>
        </is>
      </c>
      <c r="AL32" t="inlineStr">
        <is>
          <t>Ethene</t>
        </is>
      </c>
      <c r="AM32" t="inlineStr">
        <is>
          <t>Propene</t>
        </is>
      </c>
      <c r="AN32" t="inlineStr">
        <is>
          <t>1-Pentene</t>
        </is>
      </c>
      <c r="AO32" t="inlineStr">
        <is>
          <t>Benzene</t>
        </is>
      </c>
      <c r="AP32" t="inlineStr">
        <is>
          <t>Toluene</t>
        </is>
      </c>
      <c r="AQ32" t="inlineStr">
        <is>
          <t>m-Xylene</t>
        </is>
      </c>
      <c r="AR32" t="inlineStr">
        <is>
          <t>o-Xylene</t>
        </is>
      </c>
      <c r="AS32" t="inlineStr">
        <is>
          <t>Formaldehyde</t>
        </is>
      </c>
      <c r="AT32" t="inlineStr">
        <is>
          <t>Acetaldehyde</t>
        </is>
      </c>
      <c r="AU32" t="inlineStr">
        <is>
          <t>Benzaldehyde</t>
        </is>
      </c>
      <c r="AV32" t="inlineStr">
        <is>
          <t>Acetone</t>
        </is>
      </c>
      <c r="AW32" t="inlineStr">
        <is>
          <t>Methyl ethyl ketone</t>
        </is>
      </c>
      <c r="AX32" t="inlineStr">
        <is>
          <t>Acrolein</t>
        </is>
      </c>
      <c r="AY32" t="inlineStr">
        <is>
          <t>Styrene</t>
        </is>
      </c>
      <c r="AZ32" t="inlineStr">
        <is>
          <t>PAH, polycyclic aromatic hydrocarbons</t>
        </is>
      </c>
      <c r="BA32" t="inlineStr">
        <is>
          <t>Arsenic</t>
        </is>
      </c>
      <c r="BB32" t="inlineStr">
        <is>
          <t>Selenium</t>
        </is>
      </c>
      <c r="BC32" t="inlineStr">
        <is>
          <t>Zinc</t>
        </is>
      </c>
      <c r="BD32" t="inlineStr">
        <is>
          <t>Copper</t>
        </is>
      </c>
      <c r="BE32" t="inlineStr">
        <is>
          <t>Nickel</t>
        </is>
      </c>
      <c r="BF32" t="inlineStr">
        <is>
          <t>Chromium</t>
        </is>
      </c>
      <c r="BG32" t="inlineStr">
        <is>
          <t>Chromium VI</t>
        </is>
      </c>
      <c r="BH32" t="inlineStr">
        <is>
          <t>Mercury</t>
        </is>
      </c>
      <c r="BI32" t="inlineStr">
        <is>
          <t>Cadmium</t>
        </is>
      </c>
      <c r="BJ32" t="inlineStr">
        <is>
          <t>treatment of road wear emissions, passenger car</t>
        </is>
      </c>
      <c r="BK32" t="inlineStr">
        <is>
          <t>treatment of tyre wear emissions, passenger car</t>
        </is>
      </c>
      <c r="BL32" t="inlineStr">
        <is>
          <t>treatment of brake wear emissions, passenger car</t>
        </is>
      </c>
    </row>
    <row r="33">
      <c r="A33" t="inlineStr">
        <is>
          <t>Motorbike, battery electric, &gt;35kW</t>
        </is>
      </c>
      <c r="B33" t="inlineStr">
        <is>
          <t>market for glider, for electric scooter</t>
        </is>
      </c>
      <c r="C33" t="inlineStr">
        <is>
          <t>Glider lightweighting</t>
        </is>
      </c>
      <c r="D33" t="inlineStr">
        <is>
          <t>market for glider, for electric scooter</t>
        </is>
      </c>
      <c r="E33" t="inlineStr">
        <is>
          <t>market for electric powertrain, for electric scooter</t>
        </is>
      </c>
      <c r="F33" t="inlineStr">
        <is>
          <t>market for battery cell, Li-ion, NMC811</t>
        </is>
      </c>
      <c r="G33" t="inlineStr">
        <is>
          <t>market for battery management system, for Li-ion battery</t>
        </is>
      </c>
      <c r="J33" t="inlineStr">
        <is>
          <t>charging station, 3kW</t>
        </is>
      </c>
      <c r="L33" t="inlineStr">
        <is>
          <t>market for electricity, low voltage</t>
        </is>
      </c>
      <c r="M33" t="inlineStr">
        <is>
          <t>market for maintenance, electric scooter, without battery</t>
        </is>
      </c>
      <c r="N33" t="inlineStr">
        <is>
          <t>road construction</t>
        </is>
      </c>
      <c r="O33" t="inlineStr">
        <is>
          <t>road maintenance</t>
        </is>
      </c>
      <c r="P33" t="inlineStr">
        <is>
          <t>manual dismantling of used electric scooter</t>
        </is>
      </c>
      <c r="Q33" t="inlineStr">
        <is>
          <t>manual dismantling of used electric scooter</t>
        </is>
      </c>
      <c r="R33" t="inlineStr">
        <is>
          <t>market for used Li-ion battery</t>
        </is>
      </c>
      <c r="S33" t="inlineStr">
        <is>
          <t>Carbon dioxide, fossil</t>
        </is>
      </c>
      <c r="T33" t="inlineStr">
        <is>
          <t>Carbon dioxide, from soil or biomass stock</t>
        </is>
      </c>
      <c r="U33" t="inlineStr">
        <is>
          <t>Sulfur dioxide</t>
        </is>
      </c>
      <c r="V33" t="inlineStr">
        <is>
          <t>Benzene</t>
        </is>
      </c>
      <c r="W33" t="inlineStr">
        <is>
          <t>Methane, fossil</t>
        </is>
      </c>
      <c r="X33" t="inlineStr">
        <is>
          <t>Carbon monoxide, fossil</t>
        </is>
      </c>
      <c r="Y33" t="inlineStr">
        <is>
          <t>Dinitrogen monoxide</t>
        </is>
      </c>
      <c r="Z33" t="inlineStr">
        <is>
          <t>Ammonia</t>
        </is>
      </c>
      <c r="AB33" t="inlineStr">
        <is>
          <t>Nitrogen oxides</t>
        </is>
      </c>
      <c r="AC33" t="inlineStr">
        <is>
          <t>Particulates, &lt; 2.5 um</t>
        </is>
      </c>
      <c r="AD33" t="inlineStr">
        <is>
          <t>NMVOC, non-methane volatile organic compounds, unspecified origin</t>
        </is>
      </c>
      <c r="AE33" t="inlineStr">
        <is>
          <t>Ethane</t>
        </is>
      </c>
      <c r="AF33" t="inlineStr">
        <is>
          <t>Propane</t>
        </is>
      </c>
      <c r="AG33" t="inlineStr">
        <is>
          <t>Butane</t>
        </is>
      </c>
      <c r="AH33" t="inlineStr">
        <is>
          <t>Pentane</t>
        </is>
      </c>
      <c r="AI33" t="inlineStr">
        <is>
          <t>Hexane</t>
        </is>
      </c>
      <c r="AJ33" t="inlineStr">
        <is>
          <t>Cyclohexane</t>
        </is>
      </c>
      <c r="AK33" t="inlineStr">
        <is>
          <t>Heptane</t>
        </is>
      </c>
      <c r="AL33" t="inlineStr">
        <is>
          <t>Ethene</t>
        </is>
      </c>
      <c r="AM33" t="inlineStr">
        <is>
          <t>Propene</t>
        </is>
      </c>
      <c r="AN33" t="inlineStr">
        <is>
          <t>1-Pentene</t>
        </is>
      </c>
      <c r="AO33" t="inlineStr">
        <is>
          <t>Benzene</t>
        </is>
      </c>
      <c r="AP33" t="inlineStr">
        <is>
          <t>Toluene</t>
        </is>
      </c>
      <c r="AQ33" t="inlineStr">
        <is>
          <t>m-Xylene</t>
        </is>
      </c>
      <c r="AR33" t="inlineStr">
        <is>
          <t>o-Xylene</t>
        </is>
      </c>
      <c r="AS33" t="inlineStr">
        <is>
          <t>Formaldehyde</t>
        </is>
      </c>
      <c r="AT33" t="inlineStr">
        <is>
          <t>Acetaldehyde</t>
        </is>
      </c>
      <c r="AU33" t="inlineStr">
        <is>
          <t>Benzaldehyde</t>
        </is>
      </c>
      <c r="AV33" t="inlineStr">
        <is>
          <t>Acetone</t>
        </is>
      </c>
      <c r="AW33" t="inlineStr">
        <is>
          <t>Methyl ethyl ketone</t>
        </is>
      </c>
      <c r="AX33" t="inlineStr">
        <is>
          <t>Acrolein</t>
        </is>
      </c>
      <c r="AY33" t="inlineStr">
        <is>
          <t>Styrene</t>
        </is>
      </c>
      <c r="AZ33" t="inlineStr">
        <is>
          <t>PAH, polycyclic aromatic hydrocarbons</t>
        </is>
      </c>
      <c r="BA33" t="inlineStr">
        <is>
          <t>Arsenic</t>
        </is>
      </c>
      <c r="BB33" t="inlineStr">
        <is>
          <t>Selenium</t>
        </is>
      </c>
      <c r="BC33" t="inlineStr">
        <is>
          <t>Zinc</t>
        </is>
      </c>
      <c r="BD33" t="inlineStr">
        <is>
          <t>Copper</t>
        </is>
      </c>
      <c r="BE33" t="inlineStr">
        <is>
          <t>Nickel</t>
        </is>
      </c>
      <c r="BF33" t="inlineStr">
        <is>
          <t>Chromium</t>
        </is>
      </c>
      <c r="BG33" t="inlineStr">
        <is>
          <t>Chromium VI</t>
        </is>
      </c>
      <c r="BH33" t="inlineStr">
        <is>
          <t>Mercury</t>
        </is>
      </c>
      <c r="BI33" t="inlineStr">
        <is>
          <t>Cadmium</t>
        </is>
      </c>
      <c r="BJ33" t="inlineStr">
        <is>
          <t>treatment of road wear emissions, passenger car</t>
        </is>
      </c>
      <c r="BK33" t="inlineStr">
        <is>
          <t>treatment of tyre wear emissions, passenger car</t>
        </is>
      </c>
      <c r="BL33" t="inlineStr">
        <is>
          <t>treatment of brake wear emissions, passenger car</t>
        </is>
      </c>
    </row>
    <row r="34"/>
    <row r="35"/>
    <row r="36">
      <c r="A36" t="inlineStr">
        <is>
          <t>location</t>
        </is>
      </c>
    </row>
    <row r="37">
      <c r="B37" t="inlineStr">
        <is>
          <t>Glider base mass [kg]</t>
        </is>
      </c>
      <c r="C37" t="inlineStr">
        <is>
          <t>Lightweighting rate [%]</t>
        </is>
      </c>
      <c r="D37" t="inlineStr">
        <is>
          <t>Mechanical powertrain mass [kg]</t>
        </is>
      </c>
      <c r="E37" t="inlineStr">
        <is>
          <t>Electric powertrain mass [kg]</t>
        </is>
      </c>
      <c r="F37" t="inlineStr">
        <is>
          <t>Energy battery cell mass [kg]</t>
        </is>
      </c>
      <c r="G37" t="inlineStr">
        <is>
          <t>Energy battery BoP mass [kg]</t>
        </is>
      </c>
      <c r="H37" t="inlineStr">
        <is>
          <t>Fuel mass [kg]</t>
        </is>
      </c>
      <c r="I37" t="inlineStr">
        <is>
          <t>Fuel tank mass [kg]</t>
        </is>
      </c>
      <c r="J37" t="inlineStr">
        <is>
          <t>Charging station per vehicle [unit]</t>
        </is>
      </c>
      <c r="K37" t="inlineStr">
        <is>
          <t>Gasoline consumption [MJ/km]</t>
        </is>
      </c>
      <c r="L37" t="inlineStr">
        <is>
          <t>Electricity consumption [MJ/km]</t>
        </is>
      </c>
      <c r="M37" t="inlineStr">
        <is>
          <t>Servicing [unit]</t>
        </is>
      </c>
      <c r="N37" t="inlineStr">
        <is>
          <t>Road/track use [m*year/vkm or pkm]</t>
        </is>
      </c>
      <c r="O37" t="inlineStr">
        <is>
          <t>Road maintenance [m*year/vkm]</t>
        </is>
      </c>
      <c r="P37" t="inlineStr">
        <is>
          <t>Discarding glider [kg]</t>
        </is>
      </c>
      <c r="Q37" t="inlineStr">
        <is>
          <t>Discarding powertrain [kg]</t>
        </is>
      </c>
      <c r="R37" t="inlineStr">
        <is>
          <t>Discarding battery [kg]</t>
        </is>
      </c>
      <c r="S37" t="inlineStr">
        <is>
          <t>CO2</t>
        </is>
      </c>
      <c r="T37" t="inlineStr">
        <is>
          <t>CO2, bio</t>
        </is>
      </c>
      <c r="U37" t="inlineStr">
        <is>
          <t>SO2</t>
        </is>
      </c>
      <c r="V37" t="inlineStr">
        <is>
          <t>Benzene</t>
        </is>
      </c>
      <c r="W37" t="inlineStr">
        <is>
          <t>CH4</t>
        </is>
      </c>
      <c r="X37" t="inlineStr">
        <is>
          <t>CO</t>
        </is>
      </c>
      <c r="Y37" t="inlineStr">
        <is>
          <t>N2O</t>
        </is>
      </c>
      <c r="Z37" t="inlineStr">
        <is>
          <t>NH3</t>
        </is>
      </c>
      <c r="AA37" t="inlineStr">
        <is>
          <t>NMHC</t>
        </is>
      </c>
      <c r="AB37" t="inlineStr">
        <is>
          <t>NOx</t>
        </is>
      </c>
      <c r="AC37" t="inlineStr">
        <is>
          <t>PM2.5</t>
        </is>
      </c>
      <c r="AD37" t="inlineStr">
        <is>
          <t>NMVOC</t>
        </is>
      </c>
      <c r="AE37" t="inlineStr">
        <is>
          <t>Ethane</t>
        </is>
      </c>
      <c r="AF37" t="inlineStr">
        <is>
          <t>Propane</t>
        </is>
      </c>
      <c r="AG37" t="inlineStr">
        <is>
          <t>Butane</t>
        </is>
      </c>
      <c r="AH37" t="inlineStr">
        <is>
          <t>Pentane</t>
        </is>
      </c>
      <c r="AI37" t="inlineStr">
        <is>
          <t>Hexane</t>
        </is>
      </c>
      <c r="AJ37" t="inlineStr">
        <is>
          <t>Cyclohexane</t>
        </is>
      </c>
      <c r="AK37" t="inlineStr">
        <is>
          <t>Heptane</t>
        </is>
      </c>
      <c r="AL37" t="inlineStr">
        <is>
          <t>Ethene</t>
        </is>
      </c>
      <c r="AM37" t="inlineStr">
        <is>
          <t>Propene</t>
        </is>
      </c>
      <c r="AN37" t="inlineStr">
        <is>
          <t>1-Pentene</t>
        </is>
      </c>
      <c r="AO37" t="inlineStr">
        <is>
          <t>Benzene</t>
        </is>
      </c>
      <c r="AP37" t="inlineStr">
        <is>
          <t>Toluene</t>
        </is>
      </c>
      <c r="AQ37" t="inlineStr">
        <is>
          <t>m-Xylene</t>
        </is>
      </c>
      <c r="AR37" t="inlineStr">
        <is>
          <t>o-Xylene</t>
        </is>
      </c>
      <c r="AS37" t="inlineStr">
        <is>
          <t>Formaldehyde</t>
        </is>
      </c>
      <c r="AT37" t="inlineStr">
        <is>
          <t>Acetaldehyde</t>
        </is>
      </c>
      <c r="AU37" t="inlineStr">
        <is>
          <t>Benzaldehyde</t>
        </is>
      </c>
      <c r="AV37" t="inlineStr">
        <is>
          <t>Acetone</t>
        </is>
      </c>
      <c r="AW37" t="inlineStr">
        <is>
          <t>Methyl ethyl ketone</t>
        </is>
      </c>
      <c r="AX37" t="inlineStr">
        <is>
          <t>Acrolein</t>
        </is>
      </c>
      <c r="AY37" t="inlineStr">
        <is>
          <t>Styrene</t>
        </is>
      </c>
      <c r="AZ37" t="inlineStr">
        <is>
          <t>PAHs</t>
        </is>
      </c>
      <c r="BA37" t="inlineStr">
        <is>
          <t>Arsenic</t>
        </is>
      </c>
      <c r="BB37" t="inlineStr">
        <is>
          <t>Selenium</t>
        </is>
      </c>
      <c r="BC37" t="inlineStr">
        <is>
          <t>Zinc</t>
        </is>
      </c>
      <c r="BD37" t="inlineStr">
        <is>
          <t>Copper</t>
        </is>
      </c>
      <c r="BE37" t="inlineStr">
        <is>
          <t>Nickel</t>
        </is>
      </c>
      <c r="BF37" t="inlineStr">
        <is>
          <t>Chromium</t>
        </is>
      </c>
      <c r="BG37" t="inlineStr">
        <is>
          <t>Chromium VI</t>
        </is>
      </c>
      <c r="BH37" t="inlineStr">
        <is>
          <t>Mercury</t>
        </is>
      </c>
      <c r="BI37" t="inlineStr">
        <is>
          <t>Cadmium</t>
        </is>
      </c>
      <c r="BJ37" t="inlineStr">
        <is>
          <t>Road wear [kg/km]</t>
        </is>
      </c>
      <c r="BK37" t="inlineStr">
        <is>
          <t>Tire wear [kg/km]</t>
        </is>
      </c>
      <c r="BL37" t="inlineStr">
        <is>
          <t>Brake wear [kg/km]</t>
        </is>
      </c>
    </row>
    <row r="38">
      <c r="A38" t="inlineStr">
        <is>
          <t>Kick Scooter, battery electric, &lt;1kW</t>
        </is>
      </c>
      <c r="B38" t="inlineStr">
        <is>
          <t>RER</t>
        </is>
      </c>
      <c r="C38" t="inlineStr">
        <is>
          <t>GLO</t>
        </is>
      </c>
      <c r="D38" t="inlineStr">
        <is>
          <t>RER</t>
        </is>
      </c>
      <c r="E38" t="inlineStr">
        <is>
          <t>GLO</t>
        </is>
      </c>
      <c r="F38" t="inlineStr">
        <is>
          <t>GLO</t>
        </is>
      </c>
      <c r="G38" t="inlineStr">
        <is>
          <t>GLO</t>
        </is>
      </c>
      <c r="J38" t="inlineStr">
        <is>
          <t>GLO</t>
        </is>
      </c>
      <c r="L38" t="inlineStr">
        <is>
          <t>CH</t>
        </is>
      </c>
      <c r="M38" t="inlineStr">
        <is>
          <t>CH</t>
        </is>
      </c>
      <c r="N38" t="inlineStr">
        <is>
          <t>CH</t>
        </is>
      </c>
      <c r="O38" t="inlineStr">
        <is>
          <t>CH</t>
        </is>
      </c>
      <c r="P38" t="inlineStr">
        <is>
          <t>CH</t>
        </is>
      </c>
      <c r="Q38" t="inlineStr">
        <is>
          <t>CH</t>
        </is>
      </c>
      <c r="R38" t="inlineStr">
        <is>
          <t>GLO</t>
        </is>
      </c>
      <c r="BJ38" t="inlineStr">
        <is>
          <t>RER</t>
        </is>
      </c>
      <c r="BK38" t="inlineStr">
        <is>
          <t>RER</t>
        </is>
      </c>
      <c r="BL38" t="inlineStr">
        <is>
          <t>RER</t>
        </is>
      </c>
    </row>
    <row r="39">
      <c r="A39" t="inlineStr">
        <is>
          <t>Bicycle, conventional, urban</t>
        </is>
      </c>
      <c r="B39" t="inlineStr">
        <is>
          <t>RER</t>
        </is>
      </c>
      <c r="C39" t="inlineStr">
        <is>
          <t>GLO</t>
        </is>
      </c>
      <c r="D39" t="inlineStr">
        <is>
          <t>RER</t>
        </is>
      </c>
      <c r="F39" t="inlineStr">
        <is>
          <t>GLO</t>
        </is>
      </c>
      <c r="G39" t="inlineStr">
        <is>
          <t>GLO</t>
        </is>
      </c>
      <c r="J39" t="inlineStr">
        <is>
          <t>GLO</t>
        </is>
      </c>
      <c r="L39" t="inlineStr">
        <is>
          <t>CH</t>
        </is>
      </c>
      <c r="M39" t="inlineStr">
        <is>
          <t>CH</t>
        </is>
      </c>
      <c r="N39" t="inlineStr">
        <is>
          <t>CH</t>
        </is>
      </c>
      <c r="O39" t="inlineStr">
        <is>
          <t>CH</t>
        </is>
      </c>
      <c r="P39" t="inlineStr">
        <is>
          <t>CH</t>
        </is>
      </c>
      <c r="R39" t="inlineStr">
        <is>
          <t>GLO</t>
        </is>
      </c>
      <c r="BJ39" t="inlineStr">
        <is>
          <t>RER</t>
        </is>
      </c>
      <c r="BK39" t="inlineStr">
        <is>
          <t>RER</t>
        </is>
      </c>
      <c r="BL39" t="inlineStr">
        <is>
          <t>RER</t>
        </is>
      </c>
    </row>
    <row r="40">
      <c r="A40" t="inlineStr">
        <is>
          <t>Bicycle, electric (&lt;25 km/h)</t>
        </is>
      </c>
      <c r="B40" t="inlineStr">
        <is>
          <t>RER</t>
        </is>
      </c>
      <c r="C40" t="inlineStr">
        <is>
          <t>GLO</t>
        </is>
      </c>
      <c r="D40" t="inlineStr">
        <is>
          <t>RER</t>
        </is>
      </c>
      <c r="E40" t="inlineStr">
        <is>
          <t>GLO</t>
        </is>
      </c>
      <c r="F40" t="inlineStr">
        <is>
          <t>GLO</t>
        </is>
      </c>
      <c r="G40" t="inlineStr">
        <is>
          <t>GLO</t>
        </is>
      </c>
      <c r="J40" t="inlineStr">
        <is>
          <t>GLO</t>
        </is>
      </c>
      <c r="L40" t="inlineStr">
        <is>
          <t>CH</t>
        </is>
      </c>
      <c r="M40" t="inlineStr">
        <is>
          <t>CH</t>
        </is>
      </c>
      <c r="N40" t="inlineStr">
        <is>
          <t>CH</t>
        </is>
      </c>
      <c r="O40" t="inlineStr">
        <is>
          <t>CH</t>
        </is>
      </c>
      <c r="P40" t="inlineStr">
        <is>
          <t>CH</t>
        </is>
      </c>
      <c r="Q40" t="inlineStr">
        <is>
          <t>CH</t>
        </is>
      </c>
      <c r="R40" t="inlineStr">
        <is>
          <t>GLO</t>
        </is>
      </c>
      <c r="BJ40" t="inlineStr">
        <is>
          <t>RER</t>
        </is>
      </c>
      <c r="BK40" t="inlineStr">
        <is>
          <t>RER</t>
        </is>
      </c>
      <c r="BL40" t="inlineStr">
        <is>
          <t>RER</t>
        </is>
      </c>
    </row>
    <row r="41">
      <c r="A41" t="inlineStr">
        <is>
          <t>Bicycle, electric (&lt;45 km/h)</t>
        </is>
      </c>
      <c r="B41" t="inlineStr">
        <is>
          <t>RER</t>
        </is>
      </c>
      <c r="C41" t="inlineStr">
        <is>
          <t>GLO</t>
        </is>
      </c>
      <c r="D41" t="inlineStr">
        <is>
          <t>RER</t>
        </is>
      </c>
      <c r="E41" t="inlineStr">
        <is>
          <t>GLO</t>
        </is>
      </c>
      <c r="F41" t="inlineStr">
        <is>
          <t>GLO</t>
        </is>
      </c>
      <c r="G41" t="inlineStr">
        <is>
          <t>GLO</t>
        </is>
      </c>
      <c r="J41" t="inlineStr">
        <is>
          <t>GLO</t>
        </is>
      </c>
      <c r="L41" t="inlineStr">
        <is>
          <t>CH</t>
        </is>
      </c>
      <c r="M41" t="inlineStr">
        <is>
          <t>CH</t>
        </is>
      </c>
      <c r="N41" t="inlineStr">
        <is>
          <t>CH</t>
        </is>
      </c>
      <c r="O41" t="inlineStr">
        <is>
          <t>CH</t>
        </is>
      </c>
      <c r="P41" t="inlineStr">
        <is>
          <t>CH</t>
        </is>
      </c>
      <c r="Q41" t="inlineStr">
        <is>
          <t>CH</t>
        </is>
      </c>
      <c r="R41" t="inlineStr">
        <is>
          <t>GLO</t>
        </is>
      </c>
      <c r="BJ41" t="inlineStr">
        <is>
          <t>RER</t>
        </is>
      </c>
      <c r="BK41" t="inlineStr">
        <is>
          <t>RER</t>
        </is>
      </c>
      <c r="BL41" t="inlineStr">
        <is>
          <t>RER</t>
        </is>
      </c>
    </row>
    <row r="42">
      <c r="A42" t="inlineStr">
        <is>
          <t>Bicycle, battery electric, cargo bike</t>
        </is>
      </c>
      <c r="B42" t="inlineStr">
        <is>
          <t>RER</t>
        </is>
      </c>
      <c r="C42" t="inlineStr">
        <is>
          <t>GLO</t>
        </is>
      </c>
      <c r="D42" t="inlineStr">
        <is>
          <t>RER</t>
        </is>
      </c>
      <c r="E42" t="inlineStr">
        <is>
          <t>GLO</t>
        </is>
      </c>
      <c r="F42" t="inlineStr">
        <is>
          <t>GLO</t>
        </is>
      </c>
      <c r="G42" t="inlineStr">
        <is>
          <t>GLO</t>
        </is>
      </c>
      <c r="J42" t="inlineStr">
        <is>
          <t>GLO</t>
        </is>
      </c>
      <c r="L42" t="inlineStr">
        <is>
          <t>CH</t>
        </is>
      </c>
      <c r="M42" t="inlineStr">
        <is>
          <t>CH</t>
        </is>
      </c>
      <c r="N42" t="inlineStr">
        <is>
          <t>CH</t>
        </is>
      </c>
      <c r="O42" t="inlineStr">
        <is>
          <t>CH</t>
        </is>
      </c>
      <c r="P42" t="inlineStr">
        <is>
          <t>CH</t>
        </is>
      </c>
      <c r="Q42" t="inlineStr">
        <is>
          <t>CH</t>
        </is>
      </c>
      <c r="R42" t="inlineStr">
        <is>
          <t>GLO</t>
        </is>
      </c>
      <c r="BJ42" t="inlineStr">
        <is>
          <t>RER</t>
        </is>
      </c>
      <c r="BK42" t="inlineStr">
        <is>
          <t>RER</t>
        </is>
      </c>
      <c r="BL42" t="inlineStr">
        <is>
          <t>RER</t>
        </is>
      </c>
    </row>
    <row r="43">
      <c r="A43" t="inlineStr">
        <is>
          <t>Tram, electric</t>
        </is>
      </c>
      <c r="B43" t="inlineStr">
        <is>
          <t>RER</t>
        </is>
      </c>
      <c r="C43" t="inlineStr">
        <is>
          <t>GLO</t>
        </is>
      </c>
      <c r="D43" t="inlineStr">
        <is>
          <t>RER</t>
        </is>
      </c>
      <c r="E43" t="inlineStr">
        <is>
          <t>RER</t>
        </is>
      </c>
      <c r="F43" t="inlineStr">
        <is>
          <t>GLO</t>
        </is>
      </c>
      <c r="G43" t="inlineStr">
        <is>
          <t>GLO</t>
        </is>
      </c>
      <c r="L43" t="inlineStr">
        <is>
          <t>CH</t>
        </is>
      </c>
      <c r="M43" t="inlineStr">
        <is>
          <t>CH</t>
        </is>
      </c>
      <c r="N43" t="inlineStr">
        <is>
          <t>CH</t>
        </is>
      </c>
      <c r="O43" t="inlineStr">
        <is>
          <t>CH</t>
        </is>
      </c>
      <c r="P43" t="inlineStr">
        <is>
          <t>CH</t>
        </is>
      </c>
      <c r="Q43" t="inlineStr">
        <is>
          <t>CH</t>
        </is>
      </c>
      <c r="R43" t="inlineStr">
        <is>
          <t>GLO</t>
        </is>
      </c>
      <c r="BJ43" t="inlineStr">
        <is>
          <t>RER</t>
        </is>
      </c>
      <c r="BK43" t="inlineStr">
        <is>
          <t>RER</t>
        </is>
      </c>
      <c r="BL43" t="inlineStr">
        <is>
          <t>RER</t>
        </is>
      </c>
    </row>
    <row r="44">
      <c r="A44" t="inlineStr">
        <is>
          <t>Moped, gasoline, &lt;4kW, EURO-3</t>
        </is>
      </c>
      <c r="B44" t="inlineStr">
        <is>
          <t>RER</t>
        </is>
      </c>
      <c r="C44" t="inlineStr">
        <is>
          <t>GLO</t>
        </is>
      </c>
      <c r="D44" t="inlineStr">
        <is>
          <t>RER</t>
        </is>
      </c>
      <c r="I44" t="inlineStr">
        <is>
          <t>RER</t>
        </is>
      </c>
      <c r="K44" t="inlineStr">
        <is>
          <t>CH</t>
        </is>
      </c>
      <c r="M44" t="inlineStr">
        <is>
          <t>CH</t>
        </is>
      </c>
      <c r="N44" t="inlineStr">
        <is>
          <t>CH</t>
        </is>
      </c>
      <c r="O44" t="inlineStr">
        <is>
          <t>CH</t>
        </is>
      </c>
      <c r="R44" t="inlineStr">
        <is>
          <t>GLO</t>
        </is>
      </c>
      <c r="BJ44" t="inlineStr">
        <is>
          <t>RER</t>
        </is>
      </c>
      <c r="BK44" t="inlineStr">
        <is>
          <t>RER</t>
        </is>
      </c>
      <c r="BL44" t="inlineStr">
        <is>
          <t>RER</t>
        </is>
      </c>
    </row>
    <row r="45">
      <c r="A45" t="inlineStr">
        <is>
          <t>Moped, gasoline, &lt;4kW, EURO-4</t>
        </is>
      </c>
      <c r="B45" t="inlineStr">
        <is>
          <t>RER</t>
        </is>
      </c>
      <c r="C45" t="inlineStr">
        <is>
          <t>GLO</t>
        </is>
      </c>
      <c r="D45" t="inlineStr">
        <is>
          <t>RER</t>
        </is>
      </c>
      <c r="I45" t="inlineStr">
        <is>
          <t>RER</t>
        </is>
      </c>
      <c r="K45" t="inlineStr">
        <is>
          <t>CH</t>
        </is>
      </c>
      <c r="M45" t="inlineStr">
        <is>
          <t>CH</t>
        </is>
      </c>
      <c r="N45" t="inlineStr">
        <is>
          <t>CH</t>
        </is>
      </c>
      <c r="O45" t="inlineStr">
        <is>
          <t>CH</t>
        </is>
      </c>
      <c r="R45" t="inlineStr">
        <is>
          <t>GLO</t>
        </is>
      </c>
      <c r="BJ45" t="inlineStr">
        <is>
          <t>RER</t>
        </is>
      </c>
      <c r="BK45" t="inlineStr">
        <is>
          <t>RER</t>
        </is>
      </c>
      <c r="BL45" t="inlineStr">
        <is>
          <t>RER</t>
        </is>
      </c>
    </row>
    <row r="46">
      <c r="A46" t="inlineStr">
        <is>
          <t>Moped, gasoline, &lt;4kW, EURO-5</t>
        </is>
      </c>
      <c r="B46" t="inlineStr">
        <is>
          <t>RER</t>
        </is>
      </c>
      <c r="C46" t="inlineStr">
        <is>
          <t>GLO</t>
        </is>
      </c>
      <c r="D46" t="inlineStr">
        <is>
          <t>RER</t>
        </is>
      </c>
      <c r="I46" t="inlineStr">
        <is>
          <t>RER</t>
        </is>
      </c>
      <c r="K46" t="inlineStr">
        <is>
          <t>CH</t>
        </is>
      </c>
      <c r="M46" t="inlineStr">
        <is>
          <t>CH</t>
        </is>
      </c>
      <c r="N46" t="inlineStr">
        <is>
          <t>CH</t>
        </is>
      </c>
      <c r="O46" t="inlineStr">
        <is>
          <t>CH</t>
        </is>
      </c>
      <c r="R46" t="inlineStr">
        <is>
          <t>GLO</t>
        </is>
      </c>
      <c r="BJ46" t="inlineStr">
        <is>
          <t>RER</t>
        </is>
      </c>
      <c r="BK46" t="inlineStr">
        <is>
          <t>RER</t>
        </is>
      </c>
      <c r="BL46" t="inlineStr">
        <is>
          <t>RER</t>
        </is>
      </c>
    </row>
    <row r="47">
      <c r="A47" t="inlineStr">
        <is>
          <t>Scooter, gasoline, &lt;4kW, EURO-3</t>
        </is>
      </c>
      <c r="B47" t="inlineStr">
        <is>
          <t>RER</t>
        </is>
      </c>
      <c r="C47" t="inlineStr">
        <is>
          <t>GLO</t>
        </is>
      </c>
      <c r="D47" t="inlineStr">
        <is>
          <t>RER</t>
        </is>
      </c>
      <c r="I47" t="inlineStr">
        <is>
          <t>RER</t>
        </is>
      </c>
      <c r="K47" t="inlineStr">
        <is>
          <t>CH</t>
        </is>
      </c>
      <c r="M47" t="inlineStr">
        <is>
          <t>CH</t>
        </is>
      </c>
      <c r="N47" t="inlineStr">
        <is>
          <t>CH</t>
        </is>
      </c>
      <c r="O47" t="inlineStr">
        <is>
          <t>CH</t>
        </is>
      </c>
      <c r="R47" t="inlineStr">
        <is>
          <t>GLO</t>
        </is>
      </c>
      <c r="BJ47" t="inlineStr">
        <is>
          <t>RER</t>
        </is>
      </c>
      <c r="BK47" t="inlineStr">
        <is>
          <t>RER</t>
        </is>
      </c>
      <c r="BL47" t="inlineStr">
        <is>
          <t>RER</t>
        </is>
      </c>
    </row>
    <row r="48">
      <c r="A48" t="inlineStr">
        <is>
          <t>Scooter, gasoline, &lt;4kW, EURO-4</t>
        </is>
      </c>
      <c r="B48" t="inlineStr">
        <is>
          <t>RER</t>
        </is>
      </c>
      <c r="C48" t="inlineStr">
        <is>
          <t>GLO</t>
        </is>
      </c>
      <c r="D48" t="inlineStr">
        <is>
          <t>RER</t>
        </is>
      </c>
      <c r="I48" t="inlineStr">
        <is>
          <t>RER</t>
        </is>
      </c>
      <c r="K48" t="inlineStr">
        <is>
          <t>CH</t>
        </is>
      </c>
      <c r="M48" t="inlineStr">
        <is>
          <t>CH</t>
        </is>
      </c>
      <c r="N48" t="inlineStr">
        <is>
          <t>CH</t>
        </is>
      </c>
      <c r="O48" t="inlineStr">
        <is>
          <t>CH</t>
        </is>
      </c>
      <c r="R48" t="inlineStr">
        <is>
          <t>GLO</t>
        </is>
      </c>
      <c r="BJ48" t="inlineStr">
        <is>
          <t>RER</t>
        </is>
      </c>
      <c r="BK48" t="inlineStr">
        <is>
          <t>RER</t>
        </is>
      </c>
      <c r="BL48" t="inlineStr">
        <is>
          <t>RER</t>
        </is>
      </c>
    </row>
    <row r="49">
      <c r="A49" t="inlineStr">
        <is>
          <t>Scooter, gasoline, &lt;4kW, EURO-5</t>
        </is>
      </c>
      <c r="B49" t="inlineStr">
        <is>
          <t>RER</t>
        </is>
      </c>
      <c r="C49" t="inlineStr">
        <is>
          <t>GLO</t>
        </is>
      </c>
      <c r="D49" t="inlineStr">
        <is>
          <t>RER</t>
        </is>
      </c>
      <c r="I49" t="inlineStr">
        <is>
          <t>RER</t>
        </is>
      </c>
      <c r="K49" t="inlineStr">
        <is>
          <t>CH</t>
        </is>
      </c>
      <c r="M49" t="inlineStr">
        <is>
          <t>CH</t>
        </is>
      </c>
      <c r="N49" t="inlineStr">
        <is>
          <t>CH</t>
        </is>
      </c>
      <c r="O49" t="inlineStr">
        <is>
          <t>CH</t>
        </is>
      </c>
      <c r="R49" t="inlineStr">
        <is>
          <t>GLO</t>
        </is>
      </c>
      <c r="BJ49" t="inlineStr">
        <is>
          <t>RER</t>
        </is>
      </c>
      <c r="BK49" t="inlineStr">
        <is>
          <t>RER</t>
        </is>
      </c>
      <c r="BL49" t="inlineStr">
        <is>
          <t>RER</t>
        </is>
      </c>
    </row>
    <row r="50">
      <c r="A50" t="inlineStr">
        <is>
          <t>Scooter, gasoline, 4-11kW, EURO-3</t>
        </is>
      </c>
      <c r="B50" t="inlineStr">
        <is>
          <t>RER</t>
        </is>
      </c>
      <c r="C50" t="inlineStr">
        <is>
          <t>GLO</t>
        </is>
      </c>
      <c r="D50" t="inlineStr">
        <is>
          <t>RER</t>
        </is>
      </c>
      <c r="I50" t="inlineStr">
        <is>
          <t>RER</t>
        </is>
      </c>
      <c r="K50" t="inlineStr">
        <is>
          <t>CH</t>
        </is>
      </c>
      <c r="M50" t="inlineStr">
        <is>
          <t>CH</t>
        </is>
      </c>
      <c r="N50" t="inlineStr">
        <is>
          <t>CH</t>
        </is>
      </c>
      <c r="O50" t="inlineStr">
        <is>
          <t>CH</t>
        </is>
      </c>
      <c r="R50" t="inlineStr">
        <is>
          <t>GLO</t>
        </is>
      </c>
      <c r="BJ50" t="inlineStr">
        <is>
          <t>RER</t>
        </is>
      </c>
      <c r="BK50" t="inlineStr">
        <is>
          <t>RER</t>
        </is>
      </c>
      <c r="BL50" t="inlineStr">
        <is>
          <t>RER</t>
        </is>
      </c>
    </row>
    <row r="51">
      <c r="A51" t="inlineStr">
        <is>
          <t>Scooter, gasoline, 4-11kW, EURO-4</t>
        </is>
      </c>
      <c r="B51" t="inlineStr">
        <is>
          <t>RER</t>
        </is>
      </c>
      <c r="C51" t="inlineStr">
        <is>
          <t>GLO</t>
        </is>
      </c>
      <c r="D51" t="inlineStr">
        <is>
          <t>RER</t>
        </is>
      </c>
      <c r="I51" t="inlineStr">
        <is>
          <t>RER</t>
        </is>
      </c>
      <c r="K51" t="inlineStr">
        <is>
          <t>CH</t>
        </is>
      </c>
      <c r="M51" t="inlineStr">
        <is>
          <t>CH</t>
        </is>
      </c>
      <c r="N51" t="inlineStr">
        <is>
          <t>CH</t>
        </is>
      </c>
      <c r="O51" t="inlineStr">
        <is>
          <t>CH</t>
        </is>
      </c>
      <c r="R51" t="inlineStr">
        <is>
          <t>GLO</t>
        </is>
      </c>
      <c r="BJ51" t="inlineStr">
        <is>
          <t>RER</t>
        </is>
      </c>
      <c r="BK51" t="inlineStr">
        <is>
          <t>RER</t>
        </is>
      </c>
      <c r="BL51" t="inlineStr">
        <is>
          <t>RER</t>
        </is>
      </c>
    </row>
    <row r="52">
      <c r="A52" t="inlineStr">
        <is>
          <t>Scooter, gasoline, 4-11kW, EURO-5</t>
        </is>
      </c>
      <c r="B52" t="inlineStr">
        <is>
          <t>RER</t>
        </is>
      </c>
      <c r="C52" t="inlineStr">
        <is>
          <t>GLO</t>
        </is>
      </c>
      <c r="D52" t="inlineStr">
        <is>
          <t>RER</t>
        </is>
      </c>
      <c r="I52" t="inlineStr">
        <is>
          <t>RER</t>
        </is>
      </c>
      <c r="K52" t="inlineStr">
        <is>
          <t>CH</t>
        </is>
      </c>
      <c r="M52" t="inlineStr">
        <is>
          <t>CH</t>
        </is>
      </c>
      <c r="N52" t="inlineStr">
        <is>
          <t>CH</t>
        </is>
      </c>
      <c r="O52" t="inlineStr">
        <is>
          <t>CH</t>
        </is>
      </c>
      <c r="R52" t="inlineStr">
        <is>
          <t>GLO</t>
        </is>
      </c>
      <c r="BJ52" t="inlineStr">
        <is>
          <t>RER</t>
        </is>
      </c>
      <c r="BK52" t="inlineStr">
        <is>
          <t>RER</t>
        </is>
      </c>
      <c r="BL52" t="inlineStr">
        <is>
          <t>RER</t>
        </is>
      </c>
    </row>
    <row r="53">
      <c r="A53" t="inlineStr">
        <is>
          <t>Scooter, battery electric, &lt;4kW</t>
        </is>
      </c>
      <c r="B53" t="inlineStr">
        <is>
          <t>GLO</t>
        </is>
      </c>
      <c r="C53" t="inlineStr">
        <is>
          <t>GLO</t>
        </is>
      </c>
      <c r="D53" t="inlineStr">
        <is>
          <t>GLO</t>
        </is>
      </c>
      <c r="E53" t="inlineStr">
        <is>
          <t>GLO</t>
        </is>
      </c>
      <c r="F53" t="inlineStr">
        <is>
          <t>GLO</t>
        </is>
      </c>
      <c r="G53" t="inlineStr">
        <is>
          <t>GLO</t>
        </is>
      </c>
      <c r="J53" t="inlineStr">
        <is>
          <t>GLO</t>
        </is>
      </c>
      <c r="L53" t="inlineStr">
        <is>
          <t>CH</t>
        </is>
      </c>
      <c r="M53" t="inlineStr">
        <is>
          <t>GLO</t>
        </is>
      </c>
      <c r="N53" t="inlineStr">
        <is>
          <t>CH</t>
        </is>
      </c>
      <c r="O53" t="inlineStr">
        <is>
          <t>CH</t>
        </is>
      </c>
      <c r="P53" t="inlineStr">
        <is>
          <t>GLO</t>
        </is>
      </c>
      <c r="Q53" t="inlineStr">
        <is>
          <t>GLO</t>
        </is>
      </c>
      <c r="R53" t="inlineStr">
        <is>
          <t>GLO</t>
        </is>
      </c>
      <c r="BJ53" t="inlineStr">
        <is>
          <t>RER</t>
        </is>
      </c>
      <c r="BK53" t="inlineStr">
        <is>
          <t>RER</t>
        </is>
      </c>
      <c r="BL53" t="inlineStr">
        <is>
          <t>RER</t>
        </is>
      </c>
    </row>
    <row r="54">
      <c r="A54" t="inlineStr">
        <is>
          <t>Scooter, battery electric, 4-11kW</t>
        </is>
      </c>
      <c r="B54" t="inlineStr">
        <is>
          <t>GLO</t>
        </is>
      </c>
      <c r="C54" t="inlineStr">
        <is>
          <t>GLO</t>
        </is>
      </c>
      <c r="D54" t="inlineStr">
        <is>
          <t>GLO</t>
        </is>
      </c>
      <c r="E54" t="inlineStr">
        <is>
          <t>GLO</t>
        </is>
      </c>
      <c r="F54" t="inlineStr">
        <is>
          <t>GLO</t>
        </is>
      </c>
      <c r="G54" t="inlineStr">
        <is>
          <t>GLO</t>
        </is>
      </c>
      <c r="J54" t="inlineStr">
        <is>
          <t>GLO</t>
        </is>
      </c>
      <c r="L54" t="inlineStr">
        <is>
          <t>CH</t>
        </is>
      </c>
      <c r="M54" t="inlineStr">
        <is>
          <t>GLO</t>
        </is>
      </c>
      <c r="N54" t="inlineStr">
        <is>
          <t>CH</t>
        </is>
      </c>
      <c r="O54" t="inlineStr">
        <is>
          <t>CH</t>
        </is>
      </c>
      <c r="P54" t="inlineStr">
        <is>
          <t>GLO</t>
        </is>
      </c>
      <c r="Q54" t="inlineStr">
        <is>
          <t>GLO</t>
        </is>
      </c>
      <c r="R54" t="inlineStr">
        <is>
          <t>GLO</t>
        </is>
      </c>
      <c r="BJ54" t="inlineStr">
        <is>
          <t>RER</t>
        </is>
      </c>
      <c r="BK54" t="inlineStr">
        <is>
          <t>RER</t>
        </is>
      </c>
      <c r="BL54" t="inlineStr">
        <is>
          <t>RER</t>
        </is>
      </c>
    </row>
    <row r="55">
      <c r="A55" t="inlineStr">
        <is>
          <t>Motorbike, gasoline, 4-11kW, EURO-3</t>
        </is>
      </c>
      <c r="B55" t="inlineStr">
        <is>
          <t>RER</t>
        </is>
      </c>
      <c r="C55" t="inlineStr">
        <is>
          <t>GLO</t>
        </is>
      </c>
      <c r="D55" t="inlineStr">
        <is>
          <t>RER</t>
        </is>
      </c>
      <c r="I55" t="inlineStr">
        <is>
          <t>RER</t>
        </is>
      </c>
      <c r="K55" t="inlineStr">
        <is>
          <t>CH</t>
        </is>
      </c>
      <c r="M55" t="inlineStr">
        <is>
          <t>CH</t>
        </is>
      </c>
      <c r="N55" t="inlineStr">
        <is>
          <t>CH</t>
        </is>
      </c>
      <c r="O55" t="inlineStr">
        <is>
          <t>CH</t>
        </is>
      </c>
      <c r="R55" t="inlineStr">
        <is>
          <t>GLO</t>
        </is>
      </c>
      <c r="BJ55" t="inlineStr">
        <is>
          <t>RER</t>
        </is>
      </c>
      <c r="BK55" t="inlineStr">
        <is>
          <t>RER</t>
        </is>
      </c>
      <c r="BL55" t="inlineStr">
        <is>
          <t>RER</t>
        </is>
      </c>
    </row>
    <row r="56">
      <c r="A56" t="inlineStr">
        <is>
          <t>Motorbike, gasoline, 4-11kW, EURO-4</t>
        </is>
      </c>
      <c r="B56" t="inlineStr">
        <is>
          <t>RER</t>
        </is>
      </c>
      <c r="C56" t="inlineStr">
        <is>
          <t>GLO</t>
        </is>
      </c>
      <c r="D56" t="inlineStr">
        <is>
          <t>RER</t>
        </is>
      </c>
      <c r="I56" t="inlineStr">
        <is>
          <t>RER</t>
        </is>
      </c>
      <c r="K56" t="inlineStr">
        <is>
          <t>CH</t>
        </is>
      </c>
      <c r="M56" t="inlineStr">
        <is>
          <t>CH</t>
        </is>
      </c>
      <c r="N56" t="inlineStr">
        <is>
          <t>CH</t>
        </is>
      </c>
      <c r="O56" t="inlineStr">
        <is>
          <t>CH</t>
        </is>
      </c>
      <c r="R56" t="inlineStr">
        <is>
          <t>GLO</t>
        </is>
      </c>
      <c r="BJ56" t="inlineStr">
        <is>
          <t>RER</t>
        </is>
      </c>
      <c r="BK56" t="inlineStr">
        <is>
          <t>RER</t>
        </is>
      </c>
      <c r="BL56" t="inlineStr">
        <is>
          <t>RER</t>
        </is>
      </c>
    </row>
    <row r="57">
      <c r="A57" t="inlineStr">
        <is>
          <t>Motorbike, gasoline, 4-11kW, EURO-5</t>
        </is>
      </c>
      <c r="B57" t="inlineStr">
        <is>
          <t>RER</t>
        </is>
      </c>
      <c r="C57" t="inlineStr">
        <is>
          <t>GLO</t>
        </is>
      </c>
      <c r="D57" t="inlineStr">
        <is>
          <t>RER</t>
        </is>
      </c>
      <c r="I57" t="inlineStr">
        <is>
          <t>RER</t>
        </is>
      </c>
      <c r="K57" t="inlineStr">
        <is>
          <t>CH</t>
        </is>
      </c>
      <c r="M57" t="inlineStr">
        <is>
          <t>CH</t>
        </is>
      </c>
      <c r="N57" t="inlineStr">
        <is>
          <t>CH</t>
        </is>
      </c>
      <c r="O57" t="inlineStr">
        <is>
          <t>CH</t>
        </is>
      </c>
      <c r="R57" t="inlineStr">
        <is>
          <t>GLO</t>
        </is>
      </c>
      <c r="BJ57" t="inlineStr">
        <is>
          <t>RER</t>
        </is>
      </c>
      <c r="BK57" t="inlineStr">
        <is>
          <t>RER</t>
        </is>
      </c>
      <c r="BL57" t="inlineStr">
        <is>
          <t>RER</t>
        </is>
      </c>
    </row>
    <row r="58">
      <c r="A58" t="inlineStr">
        <is>
          <t>Motorbike, gasoline, 11-35kW, EURO-3</t>
        </is>
      </c>
      <c r="B58" t="inlineStr">
        <is>
          <t>RER</t>
        </is>
      </c>
      <c r="C58" t="inlineStr">
        <is>
          <t>GLO</t>
        </is>
      </c>
      <c r="D58" t="inlineStr">
        <is>
          <t>RER</t>
        </is>
      </c>
      <c r="I58" t="inlineStr">
        <is>
          <t>RER</t>
        </is>
      </c>
      <c r="K58" t="inlineStr">
        <is>
          <t>CH</t>
        </is>
      </c>
      <c r="M58" t="inlineStr">
        <is>
          <t>CH</t>
        </is>
      </c>
      <c r="N58" t="inlineStr">
        <is>
          <t>CH</t>
        </is>
      </c>
      <c r="O58" t="inlineStr">
        <is>
          <t>CH</t>
        </is>
      </c>
      <c r="R58" t="inlineStr">
        <is>
          <t>GLO</t>
        </is>
      </c>
      <c r="BJ58" t="inlineStr">
        <is>
          <t>RER</t>
        </is>
      </c>
      <c r="BK58" t="inlineStr">
        <is>
          <t>RER</t>
        </is>
      </c>
      <c r="BL58" t="inlineStr">
        <is>
          <t>RER</t>
        </is>
      </c>
    </row>
    <row r="59">
      <c r="A59" t="inlineStr">
        <is>
          <t>Motorbike, gasoline, 11-35kW, EURO-4</t>
        </is>
      </c>
      <c r="B59" t="inlineStr">
        <is>
          <t>RER</t>
        </is>
      </c>
      <c r="C59" t="inlineStr">
        <is>
          <t>GLO</t>
        </is>
      </c>
      <c r="D59" t="inlineStr">
        <is>
          <t>RER</t>
        </is>
      </c>
      <c r="I59" t="inlineStr">
        <is>
          <t>RER</t>
        </is>
      </c>
      <c r="K59" t="inlineStr">
        <is>
          <t>CH</t>
        </is>
      </c>
      <c r="M59" t="inlineStr">
        <is>
          <t>CH</t>
        </is>
      </c>
      <c r="N59" t="inlineStr">
        <is>
          <t>CH</t>
        </is>
      </c>
      <c r="O59" t="inlineStr">
        <is>
          <t>CH</t>
        </is>
      </c>
      <c r="R59" t="inlineStr">
        <is>
          <t>GLO</t>
        </is>
      </c>
      <c r="BJ59" t="inlineStr">
        <is>
          <t>RER</t>
        </is>
      </c>
      <c r="BK59" t="inlineStr">
        <is>
          <t>RER</t>
        </is>
      </c>
      <c r="BL59" t="inlineStr">
        <is>
          <t>RER</t>
        </is>
      </c>
    </row>
    <row r="60">
      <c r="A60" t="inlineStr">
        <is>
          <t>Motorbike, gasoline, 11-35kW, EURO-5</t>
        </is>
      </c>
      <c r="B60" t="inlineStr">
        <is>
          <t>RER</t>
        </is>
      </c>
      <c r="C60" t="inlineStr">
        <is>
          <t>GLO</t>
        </is>
      </c>
      <c r="D60" t="inlineStr">
        <is>
          <t>RER</t>
        </is>
      </c>
      <c r="I60" t="inlineStr">
        <is>
          <t>RER</t>
        </is>
      </c>
      <c r="K60" t="inlineStr">
        <is>
          <t>CH</t>
        </is>
      </c>
      <c r="M60" t="inlineStr">
        <is>
          <t>CH</t>
        </is>
      </c>
      <c r="N60" t="inlineStr">
        <is>
          <t>CH</t>
        </is>
      </c>
      <c r="O60" t="inlineStr">
        <is>
          <t>CH</t>
        </is>
      </c>
      <c r="R60" t="inlineStr">
        <is>
          <t>GLO</t>
        </is>
      </c>
      <c r="BJ60" t="inlineStr">
        <is>
          <t>RER</t>
        </is>
      </c>
      <c r="BK60" t="inlineStr">
        <is>
          <t>RER</t>
        </is>
      </c>
      <c r="BL60" t="inlineStr">
        <is>
          <t>RER</t>
        </is>
      </c>
    </row>
    <row r="61">
      <c r="A61" t="inlineStr">
        <is>
          <t>Motorbike, gasoline, &gt;35kW, EURO-3</t>
        </is>
      </c>
      <c r="B61" t="inlineStr">
        <is>
          <t>RER</t>
        </is>
      </c>
      <c r="C61" t="inlineStr">
        <is>
          <t>GLO</t>
        </is>
      </c>
      <c r="D61" t="inlineStr">
        <is>
          <t>RER</t>
        </is>
      </c>
      <c r="I61" t="inlineStr">
        <is>
          <t>RER</t>
        </is>
      </c>
      <c r="K61" t="inlineStr">
        <is>
          <t>CH</t>
        </is>
      </c>
      <c r="M61" t="inlineStr">
        <is>
          <t>CH</t>
        </is>
      </c>
      <c r="N61" t="inlineStr">
        <is>
          <t>CH</t>
        </is>
      </c>
      <c r="O61" t="inlineStr">
        <is>
          <t>CH</t>
        </is>
      </c>
      <c r="R61" t="inlineStr">
        <is>
          <t>GLO</t>
        </is>
      </c>
      <c r="BJ61" t="inlineStr">
        <is>
          <t>RER</t>
        </is>
      </c>
      <c r="BK61" t="inlineStr">
        <is>
          <t>RER</t>
        </is>
      </c>
      <c r="BL61" t="inlineStr">
        <is>
          <t>RER</t>
        </is>
      </c>
    </row>
    <row r="62">
      <c r="A62" t="inlineStr">
        <is>
          <t>Motorbike, gasoline, &gt;35kW, EURO-4</t>
        </is>
      </c>
      <c r="B62" t="inlineStr">
        <is>
          <t>RER</t>
        </is>
      </c>
      <c r="C62" t="inlineStr">
        <is>
          <t>GLO</t>
        </is>
      </c>
      <c r="D62" t="inlineStr">
        <is>
          <t>RER</t>
        </is>
      </c>
      <c r="I62" t="inlineStr">
        <is>
          <t>RER</t>
        </is>
      </c>
      <c r="K62" t="inlineStr">
        <is>
          <t>CH</t>
        </is>
      </c>
      <c r="M62" t="inlineStr">
        <is>
          <t>CH</t>
        </is>
      </c>
      <c r="N62" t="inlineStr">
        <is>
          <t>CH</t>
        </is>
      </c>
      <c r="O62" t="inlineStr">
        <is>
          <t>CH</t>
        </is>
      </c>
      <c r="R62" t="inlineStr">
        <is>
          <t>GLO</t>
        </is>
      </c>
      <c r="BJ62" t="inlineStr">
        <is>
          <t>RER</t>
        </is>
      </c>
      <c r="BK62" t="inlineStr">
        <is>
          <t>RER</t>
        </is>
      </c>
      <c r="BL62" t="inlineStr">
        <is>
          <t>RER</t>
        </is>
      </c>
    </row>
    <row r="63">
      <c r="A63" t="inlineStr">
        <is>
          <t>Motorbike, gasoline, &gt;35kW, EURO-5</t>
        </is>
      </c>
      <c r="B63" t="inlineStr">
        <is>
          <t>RER</t>
        </is>
      </c>
      <c r="C63" t="inlineStr">
        <is>
          <t>GLO</t>
        </is>
      </c>
      <c r="D63" t="inlineStr">
        <is>
          <t>RER</t>
        </is>
      </c>
      <c r="I63" t="inlineStr">
        <is>
          <t>RER</t>
        </is>
      </c>
      <c r="K63" t="inlineStr">
        <is>
          <t>CH</t>
        </is>
      </c>
      <c r="M63" t="inlineStr">
        <is>
          <t>CH</t>
        </is>
      </c>
      <c r="N63" t="inlineStr">
        <is>
          <t>CH</t>
        </is>
      </c>
      <c r="O63" t="inlineStr">
        <is>
          <t>CH</t>
        </is>
      </c>
      <c r="R63" t="inlineStr">
        <is>
          <t>GLO</t>
        </is>
      </c>
      <c r="BJ63" t="inlineStr">
        <is>
          <t>RER</t>
        </is>
      </c>
      <c r="BK63" t="inlineStr">
        <is>
          <t>RER</t>
        </is>
      </c>
      <c r="BL63" t="inlineStr">
        <is>
          <t>RER</t>
        </is>
      </c>
    </row>
    <row r="64">
      <c r="A64" t="inlineStr">
        <is>
          <t>Motorbike, battery electric, &lt;4kW</t>
        </is>
      </c>
      <c r="B64" t="inlineStr">
        <is>
          <t>GLO</t>
        </is>
      </c>
      <c r="C64" t="inlineStr">
        <is>
          <t>GLO</t>
        </is>
      </c>
      <c r="D64" t="inlineStr">
        <is>
          <t>GLO</t>
        </is>
      </c>
      <c r="E64" t="inlineStr">
        <is>
          <t>GLO</t>
        </is>
      </c>
      <c r="F64" t="inlineStr">
        <is>
          <t>GLO</t>
        </is>
      </c>
      <c r="G64" t="inlineStr">
        <is>
          <t>GLO</t>
        </is>
      </c>
      <c r="J64" t="inlineStr">
        <is>
          <t>GLO</t>
        </is>
      </c>
      <c r="L64" t="inlineStr">
        <is>
          <t>CH</t>
        </is>
      </c>
      <c r="M64" t="inlineStr">
        <is>
          <t>GLO</t>
        </is>
      </c>
      <c r="N64" t="inlineStr">
        <is>
          <t>CH</t>
        </is>
      </c>
      <c r="O64" t="inlineStr">
        <is>
          <t>CH</t>
        </is>
      </c>
      <c r="P64" t="inlineStr">
        <is>
          <t>GLO</t>
        </is>
      </c>
      <c r="Q64" t="inlineStr">
        <is>
          <t>GLO</t>
        </is>
      </c>
      <c r="R64" t="inlineStr">
        <is>
          <t>GLO</t>
        </is>
      </c>
      <c r="BJ64" t="inlineStr">
        <is>
          <t>RER</t>
        </is>
      </c>
      <c r="BK64" t="inlineStr">
        <is>
          <t>RER</t>
        </is>
      </c>
      <c r="BL64" t="inlineStr">
        <is>
          <t>RER</t>
        </is>
      </c>
    </row>
    <row r="65">
      <c r="A65" t="inlineStr">
        <is>
          <t>Motorbike, battery electric, 4-11kW</t>
        </is>
      </c>
      <c r="B65" t="inlineStr">
        <is>
          <t>GLO</t>
        </is>
      </c>
      <c r="C65" t="inlineStr">
        <is>
          <t>GLO</t>
        </is>
      </c>
      <c r="D65" t="inlineStr">
        <is>
          <t>GLO</t>
        </is>
      </c>
      <c r="E65" t="inlineStr">
        <is>
          <t>GLO</t>
        </is>
      </c>
      <c r="F65" t="inlineStr">
        <is>
          <t>GLO</t>
        </is>
      </c>
      <c r="G65" t="inlineStr">
        <is>
          <t>GLO</t>
        </is>
      </c>
      <c r="J65" t="inlineStr">
        <is>
          <t>GLO</t>
        </is>
      </c>
      <c r="L65" t="inlineStr">
        <is>
          <t>CH</t>
        </is>
      </c>
      <c r="M65" t="inlineStr">
        <is>
          <t>GLO</t>
        </is>
      </c>
      <c r="N65" t="inlineStr">
        <is>
          <t>CH</t>
        </is>
      </c>
      <c r="O65" t="inlineStr">
        <is>
          <t>CH</t>
        </is>
      </c>
      <c r="P65" t="inlineStr">
        <is>
          <t>GLO</t>
        </is>
      </c>
      <c r="Q65" t="inlineStr">
        <is>
          <t>GLO</t>
        </is>
      </c>
      <c r="R65" t="inlineStr">
        <is>
          <t>GLO</t>
        </is>
      </c>
      <c r="BJ65" t="inlineStr">
        <is>
          <t>RER</t>
        </is>
      </c>
      <c r="BK65" t="inlineStr">
        <is>
          <t>RER</t>
        </is>
      </c>
      <c r="BL65" t="inlineStr">
        <is>
          <t>RER</t>
        </is>
      </c>
    </row>
    <row r="66">
      <c r="A66" t="inlineStr">
        <is>
          <t>Motorbike, battery electric, 11-35kW</t>
        </is>
      </c>
      <c r="B66" t="inlineStr">
        <is>
          <t>GLO</t>
        </is>
      </c>
      <c r="C66" t="inlineStr">
        <is>
          <t>GLO</t>
        </is>
      </c>
      <c r="D66" t="inlineStr">
        <is>
          <t>GLO</t>
        </is>
      </c>
      <c r="E66" t="inlineStr">
        <is>
          <t>GLO</t>
        </is>
      </c>
      <c r="F66" t="inlineStr">
        <is>
          <t>GLO</t>
        </is>
      </c>
      <c r="G66" t="inlineStr">
        <is>
          <t>GLO</t>
        </is>
      </c>
      <c r="J66" t="inlineStr">
        <is>
          <t>GLO</t>
        </is>
      </c>
      <c r="L66" t="inlineStr">
        <is>
          <t>CH</t>
        </is>
      </c>
      <c r="M66" t="inlineStr">
        <is>
          <t>GLO</t>
        </is>
      </c>
      <c r="N66" t="inlineStr">
        <is>
          <t>CH</t>
        </is>
      </c>
      <c r="O66" t="inlineStr">
        <is>
          <t>CH</t>
        </is>
      </c>
      <c r="P66" t="inlineStr">
        <is>
          <t>GLO</t>
        </is>
      </c>
      <c r="Q66" t="inlineStr">
        <is>
          <t>GLO</t>
        </is>
      </c>
      <c r="R66" t="inlineStr">
        <is>
          <t>GLO</t>
        </is>
      </c>
      <c r="BJ66" t="inlineStr">
        <is>
          <t>RER</t>
        </is>
      </c>
      <c r="BK66" t="inlineStr">
        <is>
          <t>RER</t>
        </is>
      </c>
      <c r="BL66" t="inlineStr">
        <is>
          <t>RER</t>
        </is>
      </c>
    </row>
    <row r="67">
      <c r="A67" t="inlineStr">
        <is>
          <t>Motorbike, battery electric, &gt;35kW</t>
        </is>
      </c>
      <c r="B67" t="inlineStr">
        <is>
          <t>GLO</t>
        </is>
      </c>
      <c r="C67" t="inlineStr">
        <is>
          <t>GLO</t>
        </is>
      </c>
      <c r="D67" t="inlineStr">
        <is>
          <t>GLO</t>
        </is>
      </c>
      <c r="E67" t="inlineStr">
        <is>
          <t>GLO</t>
        </is>
      </c>
      <c r="F67" t="inlineStr">
        <is>
          <t>GLO</t>
        </is>
      </c>
      <c r="G67" t="inlineStr">
        <is>
          <t>GLO</t>
        </is>
      </c>
      <c r="J67" t="inlineStr">
        <is>
          <t>GLO</t>
        </is>
      </c>
      <c r="L67" t="inlineStr">
        <is>
          <t>CH</t>
        </is>
      </c>
      <c r="M67" t="inlineStr">
        <is>
          <t>GLO</t>
        </is>
      </c>
      <c r="N67" t="inlineStr">
        <is>
          <t>CH</t>
        </is>
      </c>
      <c r="O67" t="inlineStr">
        <is>
          <t>CH</t>
        </is>
      </c>
      <c r="P67" t="inlineStr">
        <is>
          <t>GLO</t>
        </is>
      </c>
      <c r="Q67" t="inlineStr">
        <is>
          <t>GLO</t>
        </is>
      </c>
      <c r="R67" t="inlineStr">
        <is>
          <t>GLO</t>
        </is>
      </c>
      <c r="BJ67" t="inlineStr">
        <is>
          <t>RER</t>
        </is>
      </c>
      <c r="BK67" t="inlineStr">
        <is>
          <t>RER</t>
        </is>
      </c>
      <c r="BL67" t="inlineStr">
        <is>
          <t>RER</t>
        </is>
      </c>
    </row>
    <row r="68"/>
    <row r="69">
      <c r="A69" t="inlineStr">
        <is>
          <t>reference product</t>
        </is>
      </c>
    </row>
    <row r="70">
      <c r="B70" t="inlineStr">
        <is>
          <t>Glider base mass [kg]</t>
        </is>
      </c>
      <c r="C70" t="inlineStr">
        <is>
          <t>Lightweighting rate [%]</t>
        </is>
      </c>
      <c r="D70" t="inlineStr">
        <is>
          <t>Mechanical powertrain mass [kg]</t>
        </is>
      </c>
      <c r="E70" t="inlineStr">
        <is>
          <t>Electric powertrain mass [kg]</t>
        </is>
      </c>
      <c r="F70" t="inlineStr">
        <is>
          <t>Energy battery cell mass [kg]</t>
        </is>
      </c>
      <c r="G70" t="inlineStr">
        <is>
          <t>Energy battery BoP mass [kg]</t>
        </is>
      </c>
      <c r="H70" t="inlineStr">
        <is>
          <t>Fuel mass [kg]</t>
        </is>
      </c>
      <c r="I70" t="inlineStr">
        <is>
          <t>Fuel tank mass [kg]</t>
        </is>
      </c>
      <c r="J70" t="inlineStr">
        <is>
          <t>Charging station per vehicle [unit]</t>
        </is>
      </c>
      <c r="K70" t="inlineStr">
        <is>
          <t>Gasoline consumption [MJ/km]</t>
        </is>
      </c>
      <c r="L70" t="inlineStr">
        <is>
          <t>Electricity consumption [MJ/km]</t>
        </is>
      </c>
      <c r="M70" t="inlineStr">
        <is>
          <t>Servicing [unit]</t>
        </is>
      </c>
      <c r="N70" t="inlineStr">
        <is>
          <t>Road/track use [m*year/vkm or pkm]</t>
        </is>
      </c>
      <c r="O70" t="inlineStr">
        <is>
          <t>Road maintenance [m*year/vkm]</t>
        </is>
      </c>
      <c r="P70" t="inlineStr">
        <is>
          <t>Discarding glider [kg]</t>
        </is>
      </c>
      <c r="Q70" t="inlineStr">
        <is>
          <t>Discarding powertrain [kg]</t>
        </is>
      </c>
      <c r="R70" t="inlineStr">
        <is>
          <t>Discarding battery [kg]</t>
        </is>
      </c>
      <c r="S70" t="inlineStr">
        <is>
          <t>CO2</t>
        </is>
      </c>
      <c r="T70" t="inlineStr">
        <is>
          <t>CO2, bio</t>
        </is>
      </c>
      <c r="U70" t="inlineStr">
        <is>
          <t>SO2</t>
        </is>
      </c>
      <c r="V70" t="inlineStr">
        <is>
          <t>Benzene</t>
        </is>
      </c>
      <c r="W70" t="inlineStr">
        <is>
          <t>CH4</t>
        </is>
      </c>
      <c r="X70" t="inlineStr">
        <is>
          <t>CO</t>
        </is>
      </c>
      <c r="Y70" t="inlineStr">
        <is>
          <t>N2O</t>
        </is>
      </c>
      <c r="Z70" t="inlineStr">
        <is>
          <t>NH3</t>
        </is>
      </c>
      <c r="AA70" t="inlineStr">
        <is>
          <t>NMHC</t>
        </is>
      </c>
      <c r="AB70" t="inlineStr">
        <is>
          <t>NOx</t>
        </is>
      </c>
      <c r="AC70" t="inlineStr">
        <is>
          <t>PM2.5</t>
        </is>
      </c>
      <c r="AD70" t="inlineStr">
        <is>
          <t>NMVOC</t>
        </is>
      </c>
      <c r="AE70" t="inlineStr">
        <is>
          <t>Ethane</t>
        </is>
      </c>
      <c r="AF70" t="inlineStr">
        <is>
          <t>Propane</t>
        </is>
      </c>
      <c r="AG70" t="inlineStr">
        <is>
          <t>Butane</t>
        </is>
      </c>
      <c r="AH70" t="inlineStr">
        <is>
          <t>Pentane</t>
        </is>
      </c>
      <c r="AI70" t="inlineStr">
        <is>
          <t>Hexane</t>
        </is>
      </c>
      <c r="AJ70" t="inlineStr">
        <is>
          <t>Cyclohexane</t>
        </is>
      </c>
      <c r="AK70" t="inlineStr">
        <is>
          <t>Heptane</t>
        </is>
      </c>
      <c r="AL70" t="inlineStr">
        <is>
          <t>Ethene</t>
        </is>
      </c>
      <c r="AM70" t="inlineStr">
        <is>
          <t>Propene</t>
        </is>
      </c>
      <c r="AN70" t="inlineStr">
        <is>
          <t>1-Pentene</t>
        </is>
      </c>
      <c r="AO70" t="inlineStr">
        <is>
          <t>Benzene</t>
        </is>
      </c>
      <c r="AP70" t="inlineStr">
        <is>
          <t>Toluene</t>
        </is>
      </c>
      <c r="AQ70" t="inlineStr">
        <is>
          <t>m-Xylene</t>
        </is>
      </c>
      <c r="AR70" t="inlineStr">
        <is>
          <t>o-Xylene</t>
        </is>
      </c>
      <c r="AS70" t="inlineStr">
        <is>
          <t>Formaldehyde</t>
        </is>
      </c>
      <c r="AT70" t="inlineStr">
        <is>
          <t>Acetaldehyde</t>
        </is>
      </c>
      <c r="AU70" t="inlineStr">
        <is>
          <t>Benzaldehyde</t>
        </is>
      </c>
      <c r="AV70" t="inlineStr">
        <is>
          <t>Acetone</t>
        </is>
      </c>
      <c r="AW70" t="inlineStr">
        <is>
          <t>Methyl ethyl ketone</t>
        </is>
      </c>
      <c r="AX70" t="inlineStr">
        <is>
          <t>Acrolein</t>
        </is>
      </c>
      <c r="AY70" t="inlineStr">
        <is>
          <t>Styrene</t>
        </is>
      </c>
      <c r="AZ70" t="inlineStr">
        <is>
          <t>PAHs</t>
        </is>
      </c>
      <c r="BA70" t="inlineStr">
        <is>
          <t>Arsenic</t>
        </is>
      </c>
      <c r="BB70" t="inlineStr">
        <is>
          <t>Selenium</t>
        </is>
      </c>
      <c r="BC70" t="inlineStr">
        <is>
          <t>Zinc</t>
        </is>
      </c>
      <c r="BD70" t="inlineStr">
        <is>
          <t>Copper</t>
        </is>
      </c>
      <c r="BE70" t="inlineStr">
        <is>
          <t>Nickel</t>
        </is>
      </c>
      <c r="BF70" t="inlineStr">
        <is>
          <t>Chromium</t>
        </is>
      </c>
      <c r="BG70" t="inlineStr">
        <is>
          <t>Chromium VI</t>
        </is>
      </c>
      <c r="BH70" t="inlineStr">
        <is>
          <t>Mercury</t>
        </is>
      </c>
      <c r="BI70" t="inlineStr">
        <is>
          <t>Cadmium</t>
        </is>
      </c>
      <c r="BJ70" t="inlineStr">
        <is>
          <t>Road wear [kg/km]</t>
        </is>
      </c>
      <c r="BK70" t="inlineStr">
        <is>
          <t>Tire wear [kg/km]</t>
        </is>
      </c>
      <c r="BL70" t="inlineStr">
        <is>
          <t>Brake wear [kg/km]</t>
        </is>
      </c>
    </row>
    <row r="71">
      <c r="A71" t="inlineStr">
        <is>
          <t>Kick Scooter, battery electric, &lt;1kW</t>
        </is>
      </c>
      <c r="B71" t="inlineStr">
        <is>
          <t>bicycle</t>
        </is>
      </c>
      <c r="C71" t="inlineStr">
        <is>
          <t>Glider lightweighting</t>
        </is>
      </c>
      <c r="D71" t="inlineStr">
        <is>
          <t>bicycle</t>
        </is>
      </c>
      <c r="E71" t="inlineStr">
        <is>
          <t>electric motor, vehicle</t>
        </is>
      </c>
      <c r="F71" t="inlineStr">
        <is>
          <t>battery cell, Li-ion, NMC811</t>
        </is>
      </c>
      <c r="G71" t="inlineStr">
        <is>
          <t>battery management system, for Li-ion battery</t>
        </is>
      </c>
      <c r="J71" t="inlineStr">
        <is>
          <t>charging station, 100W</t>
        </is>
      </c>
      <c r="L71" t="inlineStr">
        <is>
          <t>electricity, low voltage</t>
        </is>
      </c>
      <c r="M71" t="inlineStr">
        <is>
          <t>maintenance, bicycle</t>
        </is>
      </c>
      <c r="N71" t="inlineStr">
        <is>
          <t>road</t>
        </is>
      </c>
      <c r="O71" t="inlineStr">
        <is>
          <t>road maintenance</t>
        </is>
      </c>
      <c r="P71" t="inlineStr">
        <is>
          <t>used bicycle</t>
        </is>
      </c>
      <c r="Q71" t="inlineStr">
        <is>
          <t>used electric bicycle</t>
        </is>
      </c>
      <c r="R71" t="inlineStr">
        <is>
          <t>used Li-ion battery</t>
        </is>
      </c>
      <c r="BJ71" t="inlineStr">
        <is>
          <t>road wear emissions, passenger car</t>
        </is>
      </c>
      <c r="BK71" t="inlineStr">
        <is>
          <t>tyre wear emissions, passenger car</t>
        </is>
      </c>
      <c r="BL71" t="inlineStr">
        <is>
          <t>brake wear emissions, passenger car</t>
        </is>
      </c>
    </row>
    <row r="72">
      <c r="A72" t="inlineStr">
        <is>
          <t>Bicycle, conventional, urban</t>
        </is>
      </c>
      <c r="B72" t="inlineStr">
        <is>
          <t>bicycle</t>
        </is>
      </c>
      <c r="C72" t="inlineStr">
        <is>
          <t>Glider lightweighting</t>
        </is>
      </c>
      <c r="D72" t="inlineStr">
        <is>
          <t>bicycle</t>
        </is>
      </c>
      <c r="E72" s="13" t="n"/>
      <c r="F72" t="inlineStr">
        <is>
          <t>battery cell, Li-ion, NMC811</t>
        </is>
      </c>
      <c r="G72" t="inlineStr">
        <is>
          <t>battery management system, for Li-ion battery</t>
        </is>
      </c>
      <c r="J72" t="inlineStr">
        <is>
          <t>charging station, 500W</t>
        </is>
      </c>
      <c r="L72" t="inlineStr">
        <is>
          <t>electricity, low voltage</t>
        </is>
      </c>
      <c r="M72" t="inlineStr">
        <is>
          <t>maintenance, bicycle</t>
        </is>
      </c>
      <c r="N72" t="inlineStr">
        <is>
          <t>road</t>
        </is>
      </c>
      <c r="O72" t="inlineStr">
        <is>
          <t>road maintenance</t>
        </is>
      </c>
      <c r="P72" t="inlineStr">
        <is>
          <t>used bicycle</t>
        </is>
      </c>
      <c r="R72" t="inlineStr">
        <is>
          <t>used Li-ion battery</t>
        </is>
      </c>
      <c r="BJ72" t="inlineStr">
        <is>
          <t>road wear emissions, passenger car</t>
        </is>
      </c>
      <c r="BK72" t="inlineStr">
        <is>
          <t>tyre wear emissions, passenger car</t>
        </is>
      </c>
      <c r="BL72" t="inlineStr">
        <is>
          <t>brake wear emissions, passenger car</t>
        </is>
      </c>
    </row>
    <row r="73">
      <c r="A73" t="inlineStr">
        <is>
          <t>Bicycle, electric (&lt;25 km/h)</t>
        </is>
      </c>
      <c r="B73" s="13" t="inlineStr">
        <is>
          <t>electric bicycle, without battery and motor</t>
        </is>
      </c>
      <c r="C73" t="inlineStr">
        <is>
          <t>Glider lightweighting</t>
        </is>
      </c>
      <c r="D73" s="13" t="inlineStr">
        <is>
          <t>electric bicycle, without battery and motor</t>
        </is>
      </c>
      <c r="E73" t="inlineStr">
        <is>
          <t>electric motor, vehicle</t>
        </is>
      </c>
      <c r="F73" t="inlineStr">
        <is>
          <t>battery cell, Li-ion, NMC811</t>
        </is>
      </c>
      <c r="G73" t="inlineStr">
        <is>
          <t>battery management system, for Li-ion battery</t>
        </is>
      </c>
      <c r="J73" t="inlineStr">
        <is>
          <t>charging station, 500W</t>
        </is>
      </c>
      <c r="L73" t="inlineStr">
        <is>
          <t>electricity, low voltage</t>
        </is>
      </c>
      <c r="M73" t="inlineStr">
        <is>
          <t>maintenance, electric bicycle, without battery</t>
        </is>
      </c>
      <c r="N73" t="inlineStr">
        <is>
          <t>road</t>
        </is>
      </c>
      <c r="O73" t="inlineStr">
        <is>
          <t>road maintenance</t>
        </is>
      </c>
      <c r="P73" t="inlineStr">
        <is>
          <t>used electric bicycle</t>
        </is>
      </c>
      <c r="Q73" t="inlineStr">
        <is>
          <t>used electric bicycle</t>
        </is>
      </c>
      <c r="R73" t="inlineStr">
        <is>
          <t>used Li-ion battery</t>
        </is>
      </c>
      <c r="BJ73" t="inlineStr">
        <is>
          <t>road wear emissions, passenger car</t>
        </is>
      </c>
      <c r="BK73" t="inlineStr">
        <is>
          <t>tyre wear emissions, passenger car</t>
        </is>
      </c>
      <c r="BL73" t="inlineStr">
        <is>
          <t>brake wear emissions, passenger car</t>
        </is>
      </c>
    </row>
    <row r="74">
      <c r="A74" t="inlineStr">
        <is>
          <t>Bicycle, electric (&lt;45 km/h)</t>
        </is>
      </c>
      <c r="B74" s="13" t="inlineStr">
        <is>
          <t>electric bicycle, without battery and motor</t>
        </is>
      </c>
      <c r="C74" t="inlineStr">
        <is>
          <t>Glider lightweighting</t>
        </is>
      </c>
      <c r="D74" s="13" t="inlineStr">
        <is>
          <t>electric bicycle, without battery and motor</t>
        </is>
      </c>
      <c r="E74" t="inlineStr">
        <is>
          <t>electric motor, vehicle</t>
        </is>
      </c>
      <c r="F74" t="inlineStr">
        <is>
          <t>battery cell, Li-ion, NMC811</t>
        </is>
      </c>
      <c r="G74" t="inlineStr">
        <is>
          <t>battery management system, for Li-ion battery</t>
        </is>
      </c>
      <c r="J74" t="inlineStr">
        <is>
          <t>charging station, 500W</t>
        </is>
      </c>
      <c r="L74" t="inlineStr">
        <is>
          <t>electricity, low voltage</t>
        </is>
      </c>
      <c r="M74" t="inlineStr">
        <is>
          <t>maintenance, electric bicycle, without battery</t>
        </is>
      </c>
      <c r="N74" t="inlineStr">
        <is>
          <t>road</t>
        </is>
      </c>
      <c r="O74" t="inlineStr">
        <is>
          <t>road maintenance</t>
        </is>
      </c>
      <c r="P74" t="inlineStr">
        <is>
          <t>used electric bicycle</t>
        </is>
      </c>
      <c r="Q74" t="inlineStr">
        <is>
          <t>used electric bicycle</t>
        </is>
      </c>
      <c r="R74" t="inlineStr">
        <is>
          <t>used Li-ion battery</t>
        </is>
      </c>
      <c r="BJ74" t="inlineStr">
        <is>
          <t>road wear emissions, passenger car</t>
        </is>
      </c>
      <c r="BK74" t="inlineStr">
        <is>
          <t>tyre wear emissions, passenger car</t>
        </is>
      </c>
      <c r="BL74" t="inlineStr">
        <is>
          <t>brake wear emissions, passenger car</t>
        </is>
      </c>
    </row>
    <row r="75">
      <c r="A75" t="inlineStr">
        <is>
          <t>Bicycle, battery electric, cargo bike</t>
        </is>
      </c>
      <c r="B75" s="13" t="inlineStr">
        <is>
          <t>electric bicycle, without battery and motor</t>
        </is>
      </c>
      <c r="C75" t="inlineStr">
        <is>
          <t>Glider lightweighting</t>
        </is>
      </c>
      <c r="D75" s="13" t="inlineStr">
        <is>
          <t>electric bicycle, without battery and motor</t>
        </is>
      </c>
      <c r="E75" t="inlineStr">
        <is>
          <t>electric motor, vehicle</t>
        </is>
      </c>
      <c r="F75" t="inlineStr">
        <is>
          <t>battery cell, Li-ion, NMC811</t>
        </is>
      </c>
      <c r="G75" t="inlineStr">
        <is>
          <t>battery management system, for Li-ion battery</t>
        </is>
      </c>
      <c r="J75" t="inlineStr">
        <is>
          <t>charging station, 500W</t>
        </is>
      </c>
      <c r="L75" t="inlineStr">
        <is>
          <t>electricity, low voltage</t>
        </is>
      </c>
      <c r="M75" t="inlineStr">
        <is>
          <t>maintenance, electric bicycle, without battery</t>
        </is>
      </c>
      <c r="N75" t="inlineStr">
        <is>
          <t>road</t>
        </is>
      </c>
      <c r="O75" t="inlineStr">
        <is>
          <t>road maintenance</t>
        </is>
      </c>
      <c r="P75" t="inlineStr">
        <is>
          <t>used electric bicycle</t>
        </is>
      </c>
      <c r="Q75" t="inlineStr">
        <is>
          <t>used electric bicycle</t>
        </is>
      </c>
      <c r="R75" t="inlineStr">
        <is>
          <t>used Li-ion battery</t>
        </is>
      </c>
      <c r="BJ75" t="inlineStr">
        <is>
          <t>road wear emissions, passenger car</t>
        </is>
      </c>
      <c r="BK75" t="inlineStr">
        <is>
          <t>tyre wear emissions, passenger car</t>
        </is>
      </c>
      <c r="BL75" t="inlineStr">
        <is>
          <t>brake wear emissions, passenger car</t>
        </is>
      </c>
    </row>
    <row r="76">
      <c r="A76" t="inlineStr">
        <is>
          <t>Tram, electric</t>
        </is>
      </c>
      <c r="B76" t="inlineStr">
        <is>
          <t>tram</t>
        </is>
      </c>
      <c r="C76" t="inlineStr">
        <is>
          <t>Glider lightweighting</t>
        </is>
      </c>
      <c r="D76" t="inlineStr">
        <is>
          <t>tram</t>
        </is>
      </c>
      <c r="E76" t="inlineStr">
        <is>
          <t>tram</t>
        </is>
      </c>
      <c r="F76" t="inlineStr">
        <is>
          <t>battery cell, Li-ion, NMC811</t>
        </is>
      </c>
      <c r="G76" t="inlineStr">
        <is>
          <t>battery management system, for Li-ion battery</t>
        </is>
      </c>
      <c r="L76" t="inlineStr">
        <is>
          <t>electricity, medium voltage</t>
        </is>
      </c>
      <c r="M76" t="inlineStr">
        <is>
          <t>maintenance, tram</t>
        </is>
      </c>
      <c r="N76" t="inlineStr">
        <is>
          <t>tram track</t>
        </is>
      </c>
      <c r="P76" t="inlineStr">
        <is>
          <t>used tram</t>
        </is>
      </c>
      <c r="Q76" t="inlineStr">
        <is>
          <t>used tram</t>
        </is>
      </c>
      <c r="R76" t="inlineStr">
        <is>
          <t>used Li-ion battery</t>
        </is>
      </c>
      <c r="BJ76" t="inlineStr">
        <is>
          <t>road wear emissions, passenger car</t>
        </is>
      </c>
      <c r="BK76" t="inlineStr">
        <is>
          <t>tyre wear emissions, passenger car</t>
        </is>
      </c>
      <c r="BL76" t="inlineStr">
        <is>
          <t>brake wear emissions, passenger car</t>
        </is>
      </c>
    </row>
    <row r="77">
      <c r="A77" t="inlineStr">
        <is>
          <t>Moped, gasoline, &lt;4kW, EURO-3</t>
        </is>
      </c>
      <c r="B77" t="inlineStr">
        <is>
          <t>motor scooter, 50 cubic cm engine</t>
        </is>
      </c>
      <c r="C77" t="inlineStr">
        <is>
          <t>Glider lightweighting</t>
        </is>
      </c>
      <c r="D77" t="inlineStr">
        <is>
          <t>motor scooter, 50 cubic cm engine</t>
        </is>
      </c>
      <c r="I77" t="inlineStr">
        <is>
          <t>polyethylene, high density, granulate</t>
        </is>
      </c>
      <c r="K77" t="inlineStr">
        <is>
          <t>petrol, two-stroke blend</t>
        </is>
      </c>
      <c r="M77" t="inlineStr">
        <is>
          <t>maintenance, motor scooter</t>
        </is>
      </c>
      <c r="N77" t="inlineStr">
        <is>
          <t>road</t>
        </is>
      </c>
      <c r="O77" t="inlineStr">
        <is>
          <t>road maintenance</t>
        </is>
      </c>
      <c r="R77" t="inlineStr">
        <is>
          <t>used Li-ion battery</t>
        </is>
      </c>
      <c r="BJ77" t="inlineStr">
        <is>
          <t>road wear emissions, passenger car</t>
        </is>
      </c>
      <c r="BK77" t="inlineStr">
        <is>
          <t>tyre wear emissions, passenger car</t>
        </is>
      </c>
      <c r="BL77" t="inlineStr">
        <is>
          <t>brake wear emissions, passenger car</t>
        </is>
      </c>
    </row>
    <row r="78">
      <c r="A78" t="inlineStr">
        <is>
          <t>Moped, gasoline, &lt;4kW, EURO-4</t>
        </is>
      </c>
      <c r="B78" t="inlineStr">
        <is>
          <t>motor scooter, 50 cubic cm engine</t>
        </is>
      </c>
      <c r="C78" t="inlineStr">
        <is>
          <t>Glider lightweighting</t>
        </is>
      </c>
      <c r="D78" t="inlineStr">
        <is>
          <t>motor scooter, 50 cubic cm engine</t>
        </is>
      </c>
      <c r="I78" t="inlineStr">
        <is>
          <t>polyethylene, high density, granulate</t>
        </is>
      </c>
      <c r="K78" t="inlineStr">
        <is>
          <t>petrol, two-stroke blend</t>
        </is>
      </c>
      <c r="M78" t="inlineStr">
        <is>
          <t>maintenance, motor scooter</t>
        </is>
      </c>
      <c r="N78" t="inlineStr">
        <is>
          <t>road</t>
        </is>
      </c>
      <c r="O78" t="inlineStr">
        <is>
          <t>road maintenance</t>
        </is>
      </c>
      <c r="R78" t="inlineStr">
        <is>
          <t>used Li-ion battery</t>
        </is>
      </c>
      <c r="BJ78" t="inlineStr">
        <is>
          <t>road wear emissions, passenger car</t>
        </is>
      </c>
      <c r="BK78" t="inlineStr">
        <is>
          <t>tyre wear emissions, passenger car</t>
        </is>
      </c>
      <c r="BL78" t="inlineStr">
        <is>
          <t>brake wear emissions, passenger car</t>
        </is>
      </c>
    </row>
    <row r="79">
      <c r="A79" t="inlineStr">
        <is>
          <t>Moped, gasoline, &lt;4kW, EURO-5</t>
        </is>
      </c>
      <c r="B79" t="inlineStr">
        <is>
          <t>motor scooter, 50 cubic cm engine</t>
        </is>
      </c>
      <c r="C79" t="inlineStr">
        <is>
          <t>Glider lightweighting</t>
        </is>
      </c>
      <c r="D79" t="inlineStr">
        <is>
          <t>motor scooter, 50 cubic cm engine</t>
        </is>
      </c>
      <c r="I79" t="inlineStr">
        <is>
          <t>polyethylene, high density, granulate</t>
        </is>
      </c>
      <c r="K79" t="inlineStr">
        <is>
          <t>petrol, two-stroke blend</t>
        </is>
      </c>
      <c r="M79" t="inlineStr">
        <is>
          <t>maintenance, motor scooter</t>
        </is>
      </c>
      <c r="N79" t="inlineStr">
        <is>
          <t>road</t>
        </is>
      </c>
      <c r="O79" t="inlineStr">
        <is>
          <t>road maintenance</t>
        </is>
      </c>
      <c r="R79" t="inlineStr">
        <is>
          <t>used Li-ion battery</t>
        </is>
      </c>
      <c r="BJ79" t="inlineStr">
        <is>
          <t>road wear emissions, passenger car</t>
        </is>
      </c>
      <c r="BK79" t="inlineStr">
        <is>
          <t>tyre wear emissions, passenger car</t>
        </is>
      </c>
      <c r="BL79" t="inlineStr">
        <is>
          <t>brake wear emissions, passenger car</t>
        </is>
      </c>
    </row>
    <row r="80">
      <c r="A80" t="inlineStr">
        <is>
          <t>Scooter, gasoline, &lt;4kW, EURO-3</t>
        </is>
      </c>
      <c r="B80" t="inlineStr">
        <is>
          <t>motor scooter, 50 cubic cm engine</t>
        </is>
      </c>
      <c r="C80" t="inlineStr">
        <is>
          <t>Glider lightweighting</t>
        </is>
      </c>
      <c r="D80" t="inlineStr">
        <is>
          <t>motor scooter, 50 cubic cm engine</t>
        </is>
      </c>
      <c r="I80" t="inlineStr">
        <is>
          <t>polyethylene, high density, granulate</t>
        </is>
      </c>
      <c r="K80" t="inlineStr">
        <is>
          <t>petrol, two-stroke blend</t>
        </is>
      </c>
      <c r="M80" t="inlineStr">
        <is>
          <t>maintenance, motor scooter</t>
        </is>
      </c>
      <c r="N80" t="inlineStr">
        <is>
          <t>road</t>
        </is>
      </c>
      <c r="O80" t="inlineStr">
        <is>
          <t>road maintenance</t>
        </is>
      </c>
      <c r="R80" t="inlineStr">
        <is>
          <t>used Li-ion battery</t>
        </is>
      </c>
      <c r="BJ80" t="inlineStr">
        <is>
          <t>road wear emissions, passenger car</t>
        </is>
      </c>
      <c r="BK80" t="inlineStr">
        <is>
          <t>tyre wear emissions, passenger car</t>
        </is>
      </c>
      <c r="BL80" t="inlineStr">
        <is>
          <t>brake wear emissions, passenger car</t>
        </is>
      </c>
    </row>
    <row r="81">
      <c r="A81" t="inlineStr">
        <is>
          <t>Scooter, gasoline, &lt;4kW, EURO-4</t>
        </is>
      </c>
      <c r="B81" t="inlineStr">
        <is>
          <t>motor scooter, 50 cubic cm engine</t>
        </is>
      </c>
      <c r="C81" t="inlineStr">
        <is>
          <t>Glider lightweighting</t>
        </is>
      </c>
      <c r="D81" t="inlineStr">
        <is>
          <t>motor scooter, 50 cubic cm engine</t>
        </is>
      </c>
      <c r="I81" t="inlineStr">
        <is>
          <t>polyethylene, high density, granulate</t>
        </is>
      </c>
      <c r="K81" t="inlineStr">
        <is>
          <t>petrol, two-stroke blend</t>
        </is>
      </c>
      <c r="M81" t="inlineStr">
        <is>
          <t>maintenance, motor scooter</t>
        </is>
      </c>
      <c r="N81" t="inlineStr">
        <is>
          <t>road</t>
        </is>
      </c>
      <c r="O81" t="inlineStr">
        <is>
          <t>road maintenance</t>
        </is>
      </c>
      <c r="R81" t="inlineStr">
        <is>
          <t>used Li-ion battery</t>
        </is>
      </c>
      <c r="BJ81" t="inlineStr">
        <is>
          <t>road wear emissions, passenger car</t>
        </is>
      </c>
      <c r="BK81" t="inlineStr">
        <is>
          <t>tyre wear emissions, passenger car</t>
        </is>
      </c>
      <c r="BL81" t="inlineStr">
        <is>
          <t>brake wear emissions, passenger car</t>
        </is>
      </c>
    </row>
    <row r="82">
      <c r="A82" t="inlineStr">
        <is>
          <t>Scooter, gasoline, &lt;4kW, EURO-5</t>
        </is>
      </c>
      <c r="B82" t="inlineStr">
        <is>
          <t>motor scooter, 50 cubic cm engine</t>
        </is>
      </c>
      <c r="C82" t="inlineStr">
        <is>
          <t>Glider lightweighting</t>
        </is>
      </c>
      <c r="D82" t="inlineStr">
        <is>
          <t>motor scooter, 50 cubic cm engine</t>
        </is>
      </c>
      <c r="I82" t="inlineStr">
        <is>
          <t>polyethylene, high density, granulate</t>
        </is>
      </c>
      <c r="K82" t="inlineStr">
        <is>
          <t>petrol, two-stroke blend</t>
        </is>
      </c>
      <c r="M82" t="inlineStr">
        <is>
          <t>maintenance, motor scooter</t>
        </is>
      </c>
      <c r="N82" t="inlineStr">
        <is>
          <t>road</t>
        </is>
      </c>
      <c r="O82" t="inlineStr">
        <is>
          <t>road maintenance</t>
        </is>
      </c>
      <c r="R82" t="inlineStr">
        <is>
          <t>used Li-ion battery</t>
        </is>
      </c>
      <c r="BJ82" t="inlineStr">
        <is>
          <t>road wear emissions, passenger car</t>
        </is>
      </c>
      <c r="BK82" t="inlineStr">
        <is>
          <t>tyre wear emissions, passenger car</t>
        </is>
      </c>
      <c r="BL82" t="inlineStr">
        <is>
          <t>brake wear emissions, passenger car</t>
        </is>
      </c>
    </row>
    <row r="83">
      <c r="A83" t="inlineStr">
        <is>
          <t>Scooter, gasoline, 4-11kW, EURO-3</t>
        </is>
      </c>
      <c r="B83" t="inlineStr">
        <is>
          <t>motor scooter, 50 cubic cm engine</t>
        </is>
      </c>
      <c r="C83" t="inlineStr">
        <is>
          <t>Glider lightweighting</t>
        </is>
      </c>
      <c r="D83" t="inlineStr">
        <is>
          <t>motor scooter, 50 cubic cm engine</t>
        </is>
      </c>
      <c r="I83" t="inlineStr">
        <is>
          <t>polyethylene, high density, granulate</t>
        </is>
      </c>
      <c r="K83" t="inlineStr">
        <is>
          <t>gasoline blend</t>
        </is>
      </c>
      <c r="M83" t="inlineStr">
        <is>
          <t>maintenance, motor scooter</t>
        </is>
      </c>
      <c r="N83" t="inlineStr">
        <is>
          <t>road</t>
        </is>
      </c>
      <c r="O83" t="inlineStr">
        <is>
          <t>road maintenance</t>
        </is>
      </c>
      <c r="R83" t="inlineStr">
        <is>
          <t>used Li-ion battery</t>
        </is>
      </c>
      <c r="BJ83" t="inlineStr">
        <is>
          <t>road wear emissions, passenger car</t>
        </is>
      </c>
      <c r="BK83" t="inlineStr">
        <is>
          <t>tyre wear emissions, passenger car</t>
        </is>
      </c>
      <c r="BL83" t="inlineStr">
        <is>
          <t>brake wear emissions, passenger car</t>
        </is>
      </c>
    </row>
    <row r="84">
      <c r="A84" t="inlineStr">
        <is>
          <t>Scooter, gasoline, 4-11kW, EURO-4</t>
        </is>
      </c>
      <c r="B84" t="inlineStr">
        <is>
          <t>motor scooter, 50 cubic cm engine</t>
        </is>
      </c>
      <c r="C84" t="inlineStr">
        <is>
          <t>Glider lightweighting</t>
        </is>
      </c>
      <c r="D84" t="inlineStr">
        <is>
          <t>motor scooter, 50 cubic cm engine</t>
        </is>
      </c>
      <c r="I84" t="inlineStr">
        <is>
          <t>polyethylene, high density, granulate</t>
        </is>
      </c>
      <c r="K84" t="inlineStr">
        <is>
          <t>gasoline blend</t>
        </is>
      </c>
      <c r="M84" t="inlineStr">
        <is>
          <t>maintenance, motor scooter</t>
        </is>
      </c>
      <c r="N84" t="inlineStr">
        <is>
          <t>road</t>
        </is>
      </c>
      <c r="O84" t="inlineStr">
        <is>
          <t>road maintenance</t>
        </is>
      </c>
      <c r="R84" t="inlineStr">
        <is>
          <t>used Li-ion battery</t>
        </is>
      </c>
      <c r="BJ84" t="inlineStr">
        <is>
          <t>road wear emissions, passenger car</t>
        </is>
      </c>
      <c r="BK84" t="inlineStr">
        <is>
          <t>tyre wear emissions, passenger car</t>
        </is>
      </c>
      <c r="BL84" t="inlineStr">
        <is>
          <t>brake wear emissions, passenger car</t>
        </is>
      </c>
    </row>
    <row r="85">
      <c r="A85" t="inlineStr">
        <is>
          <t>Scooter, gasoline, 4-11kW, EURO-5</t>
        </is>
      </c>
      <c r="B85" t="inlineStr">
        <is>
          <t>motor scooter, 50 cubic cm engine</t>
        </is>
      </c>
      <c r="C85" t="inlineStr">
        <is>
          <t>Glider lightweighting</t>
        </is>
      </c>
      <c r="D85" t="inlineStr">
        <is>
          <t>motor scooter, 50 cubic cm engine</t>
        </is>
      </c>
      <c r="I85" t="inlineStr">
        <is>
          <t>polyethylene, high density, granulate</t>
        </is>
      </c>
      <c r="K85" t="inlineStr">
        <is>
          <t>gasoline blend</t>
        </is>
      </c>
      <c r="M85" t="inlineStr">
        <is>
          <t>maintenance, motor scooter</t>
        </is>
      </c>
      <c r="N85" t="inlineStr">
        <is>
          <t>road</t>
        </is>
      </c>
      <c r="O85" t="inlineStr">
        <is>
          <t>road maintenance</t>
        </is>
      </c>
      <c r="R85" t="inlineStr">
        <is>
          <t>used Li-ion battery</t>
        </is>
      </c>
      <c r="BJ85" t="inlineStr">
        <is>
          <t>road wear emissions, passenger car</t>
        </is>
      </c>
      <c r="BK85" t="inlineStr">
        <is>
          <t>tyre wear emissions, passenger car</t>
        </is>
      </c>
      <c r="BL85" t="inlineStr">
        <is>
          <t>brake wear emissions, passenger car</t>
        </is>
      </c>
    </row>
    <row r="86">
      <c r="A86" t="inlineStr">
        <is>
          <t>Scooter, battery electric, &lt;4kW</t>
        </is>
      </c>
      <c r="B86" t="inlineStr">
        <is>
          <t>glider, for electric scooter</t>
        </is>
      </c>
      <c r="C86" t="inlineStr">
        <is>
          <t>Glider lightweighting</t>
        </is>
      </c>
      <c r="D86" t="inlineStr">
        <is>
          <t>glider, for electric scooter</t>
        </is>
      </c>
      <c r="E86" t="inlineStr">
        <is>
          <t>powertrain, for electric scooter</t>
        </is>
      </c>
      <c r="F86" t="inlineStr">
        <is>
          <t>battery cell, Li-ion, NMC811</t>
        </is>
      </c>
      <c r="G86" t="inlineStr">
        <is>
          <t>battery management system, for Li-ion battery</t>
        </is>
      </c>
      <c r="J86" t="inlineStr">
        <is>
          <t>charging station, 3kW</t>
        </is>
      </c>
      <c r="L86" t="inlineStr">
        <is>
          <t>electricity, low voltage</t>
        </is>
      </c>
      <c r="M86" t="inlineStr">
        <is>
          <t>maintenance, electric scooter, without battery</t>
        </is>
      </c>
      <c r="N86" t="inlineStr">
        <is>
          <t>road</t>
        </is>
      </c>
      <c r="O86" t="inlineStr">
        <is>
          <t>road maintenance</t>
        </is>
      </c>
      <c r="P86" t="inlineStr">
        <is>
          <t>manual dismantling of electric scooter</t>
        </is>
      </c>
      <c r="Q86" t="inlineStr">
        <is>
          <t>manual dismantling of electric scooter</t>
        </is>
      </c>
      <c r="R86" t="inlineStr">
        <is>
          <t>used Li-ion battery</t>
        </is>
      </c>
      <c r="BJ86" t="inlineStr">
        <is>
          <t>road wear emissions, passenger car</t>
        </is>
      </c>
      <c r="BK86" t="inlineStr">
        <is>
          <t>tyre wear emissions, passenger car</t>
        </is>
      </c>
      <c r="BL86" t="inlineStr">
        <is>
          <t>brake wear emissions, passenger car</t>
        </is>
      </c>
    </row>
    <row r="87">
      <c r="A87" t="inlineStr">
        <is>
          <t>Scooter, battery electric, 4-11kW</t>
        </is>
      </c>
      <c r="B87" t="inlineStr">
        <is>
          <t>glider, for electric scooter</t>
        </is>
      </c>
      <c r="C87" t="inlineStr">
        <is>
          <t>Glider lightweighting</t>
        </is>
      </c>
      <c r="D87" t="inlineStr">
        <is>
          <t>glider, for electric scooter</t>
        </is>
      </c>
      <c r="E87" t="inlineStr">
        <is>
          <t>powertrain, for electric scooter</t>
        </is>
      </c>
      <c r="F87" t="inlineStr">
        <is>
          <t>battery cell, Li-ion, NMC811</t>
        </is>
      </c>
      <c r="G87" t="inlineStr">
        <is>
          <t>battery management system, for Li-ion battery</t>
        </is>
      </c>
      <c r="J87" t="inlineStr">
        <is>
          <t>charging station, 3kW</t>
        </is>
      </c>
      <c r="L87" t="inlineStr">
        <is>
          <t>electricity, low voltage</t>
        </is>
      </c>
      <c r="M87" t="inlineStr">
        <is>
          <t>maintenance, electric scooter, without battery</t>
        </is>
      </c>
      <c r="N87" t="inlineStr">
        <is>
          <t>road</t>
        </is>
      </c>
      <c r="O87" t="inlineStr">
        <is>
          <t>road maintenance</t>
        </is>
      </c>
      <c r="P87" t="inlineStr">
        <is>
          <t>manual dismantling of electric scooter</t>
        </is>
      </c>
      <c r="Q87" t="inlineStr">
        <is>
          <t>manual dismantling of electric scooter</t>
        </is>
      </c>
      <c r="R87" t="inlineStr">
        <is>
          <t>used Li-ion battery</t>
        </is>
      </c>
      <c r="BJ87" t="inlineStr">
        <is>
          <t>road wear emissions, passenger car</t>
        </is>
      </c>
      <c r="BK87" t="inlineStr">
        <is>
          <t>tyre wear emissions, passenger car</t>
        </is>
      </c>
      <c r="BL87" t="inlineStr">
        <is>
          <t>brake wear emissions, passenger car</t>
        </is>
      </c>
    </row>
    <row r="88">
      <c r="A88" t="inlineStr">
        <is>
          <t>Motorbike, gasoline, 4-11kW, EURO-3</t>
        </is>
      </c>
      <c r="B88" t="inlineStr">
        <is>
          <t>motor scooter, 50 cubic cm engine</t>
        </is>
      </c>
      <c r="C88" t="inlineStr">
        <is>
          <t>Glider lightweighting</t>
        </is>
      </c>
      <c r="D88" t="inlineStr">
        <is>
          <t>motor scooter, 50 cubic cm engine</t>
        </is>
      </c>
      <c r="I88" t="inlineStr">
        <is>
          <t>polyethylene, high density, granulate</t>
        </is>
      </c>
      <c r="K88" t="inlineStr">
        <is>
          <t>gasoline blend</t>
        </is>
      </c>
      <c r="M88" t="inlineStr">
        <is>
          <t>maintenance, motor scooter</t>
        </is>
      </c>
      <c r="N88" t="inlineStr">
        <is>
          <t>road</t>
        </is>
      </c>
      <c r="O88" t="inlineStr">
        <is>
          <t>road maintenance</t>
        </is>
      </c>
      <c r="R88" t="inlineStr">
        <is>
          <t>used Li-ion battery</t>
        </is>
      </c>
      <c r="BJ88" t="inlineStr">
        <is>
          <t>road wear emissions, passenger car</t>
        </is>
      </c>
      <c r="BK88" t="inlineStr">
        <is>
          <t>tyre wear emissions, passenger car</t>
        </is>
      </c>
      <c r="BL88" t="inlineStr">
        <is>
          <t>brake wear emissions, passenger car</t>
        </is>
      </c>
    </row>
    <row r="89">
      <c r="A89" t="inlineStr">
        <is>
          <t>Motorbike, gasoline, 4-11kW, EURO-4</t>
        </is>
      </c>
      <c r="B89" t="inlineStr">
        <is>
          <t>motor scooter, 50 cubic cm engine</t>
        </is>
      </c>
      <c r="C89" t="inlineStr">
        <is>
          <t>Glider lightweighting</t>
        </is>
      </c>
      <c r="D89" t="inlineStr">
        <is>
          <t>motor scooter, 50 cubic cm engine</t>
        </is>
      </c>
      <c r="I89" t="inlineStr">
        <is>
          <t>polyethylene, high density, granulate</t>
        </is>
      </c>
      <c r="K89" t="inlineStr">
        <is>
          <t>gasoline blend</t>
        </is>
      </c>
      <c r="M89" t="inlineStr">
        <is>
          <t>maintenance, motor scooter</t>
        </is>
      </c>
      <c r="N89" t="inlineStr">
        <is>
          <t>road</t>
        </is>
      </c>
      <c r="O89" t="inlineStr">
        <is>
          <t>road maintenance</t>
        </is>
      </c>
      <c r="R89" t="inlineStr">
        <is>
          <t>used Li-ion battery</t>
        </is>
      </c>
      <c r="BJ89" t="inlineStr">
        <is>
          <t>road wear emissions, passenger car</t>
        </is>
      </c>
      <c r="BK89" t="inlineStr">
        <is>
          <t>tyre wear emissions, passenger car</t>
        </is>
      </c>
      <c r="BL89" t="inlineStr">
        <is>
          <t>brake wear emissions, passenger car</t>
        </is>
      </c>
    </row>
    <row r="90">
      <c r="A90" t="inlineStr">
        <is>
          <t>Motorbike, gasoline, 4-11kW, EURO-5</t>
        </is>
      </c>
      <c r="B90" t="inlineStr">
        <is>
          <t>motor scooter, 50 cubic cm engine</t>
        </is>
      </c>
      <c r="C90" t="inlineStr">
        <is>
          <t>Glider lightweighting</t>
        </is>
      </c>
      <c r="D90" t="inlineStr">
        <is>
          <t>motor scooter, 50 cubic cm engine</t>
        </is>
      </c>
      <c r="I90" t="inlineStr">
        <is>
          <t>polyethylene, high density, granulate</t>
        </is>
      </c>
      <c r="K90" t="inlineStr">
        <is>
          <t>gasoline blend</t>
        </is>
      </c>
      <c r="M90" t="inlineStr">
        <is>
          <t>maintenance, motor scooter</t>
        </is>
      </c>
      <c r="N90" t="inlineStr">
        <is>
          <t>road</t>
        </is>
      </c>
      <c r="O90" t="inlineStr">
        <is>
          <t>road maintenance</t>
        </is>
      </c>
      <c r="R90" t="inlineStr">
        <is>
          <t>used Li-ion battery</t>
        </is>
      </c>
      <c r="BJ90" t="inlineStr">
        <is>
          <t>road wear emissions, passenger car</t>
        </is>
      </c>
      <c r="BK90" t="inlineStr">
        <is>
          <t>tyre wear emissions, passenger car</t>
        </is>
      </c>
      <c r="BL90" t="inlineStr">
        <is>
          <t>brake wear emissions, passenger car</t>
        </is>
      </c>
    </row>
    <row r="91">
      <c r="A91" t="inlineStr">
        <is>
          <t>Motorbike, gasoline, 11-35kW, EURO-3</t>
        </is>
      </c>
      <c r="B91" t="inlineStr">
        <is>
          <t>motor scooter, 50 cubic cm engine</t>
        </is>
      </c>
      <c r="C91" t="inlineStr">
        <is>
          <t>Glider lightweighting</t>
        </is>
      </c>
      <c r="D91" t="inlineStr">
        <is>
          <t>motor scooter, 50 cubic cm engine</t>
        </is>
      </c>
      <c r="I91" t="inlineStr">
        <is>
          <t>polyethylene, high density, granulate</t>
        </is>
      </c>
      <c r="K91" t="inlineStr">
        <is>
          <t>gasoline blend</t>
        </is>
      </c>
      <c r="M91" t="inlineStr">
        <is>
          <t>maintenance, motor scooter</t>
        </is>
      </c>
      <c r="N91" t="inlineStr">
        <is>
          <t>road</t>
        </is>
      </c>
      <c r="O91" t="inlineStr">
        <is>
          <t>road maintenance</t>
        </is>
      </c>
      <c r="R91" t="inlineStr">
        <is>
          <t>used Li-ion battery</t>
        </is>
      </c>
      <c r="BJ91" t="inlineStr">
        <is>
          <t>road wear emissions, passenger car</t>
        </is>
      </c>
      <c r="BK91" t="inlineStr">
        <is>
          <t>tyre wear emissions, passenger car</t>
        </is>
      </c>
      <c r="BL91" t="inlineStr">
        <is>
          <t>brake wear emissions, passenger car</t>
        </is>
      </c>
    </row>
    <row r="92">
      <c r="A92" t="inlineStr">
        <is>
          <t>Motorbike, gasoline, 11-35kW, EURO-4</t>
        </is>
      </c>
      <c r="B92" t="inlineStr">
        <is>
          <t>motor scooter, 50 cubic cm engine</t>
        </is>
      </c>
      <c r="C92" t="inlineStr">
        <is>
          <t>Glider lightweighting</t>
        </is>
      </c>
      <c r="D92" t="inlineStr">
        <is>
          <t>motor scooter, 50 cubic cm engine</t>
        </is>
      </c>
      <c r="I92" t="inlineStr">
        <is>
          <t>polyethylene, high density, granulate</t>
        </is>
      </c>
      <c r="K92" t="inlineStr">
        <is>
          <t>gasoline blend</t>
        </is>
      </c>
      <c r="M92" t="inlineStr">
        <is>
          <t>maintenance, motor scooter</t>
        </is>
      </c>
      <c r="N92" t="inlineStr">
        <is>
          <t>road</t>
        </is>
      </c>
      <c r="O92" t="inlineStr">
        <is>
          <t>road maintenance</t>
        </is>
      </c>
      <c r="R92" t="inlineStr">
        <is>
          <t>used Li-ion battery</t>
        </is>
      </c>
      <c r="BJ92" t="inlineStr">
        <is>
          <t>road wear emissions, passenger car</t>
        </is>
      </c>
      <c r="BK92" t="inlineStr">
        <is>
          <t>tyre wear emissions, passenger car</t>
        </is>
      </c>
      <c r="BL92" t="inlineStr">
        <is>
          <t>brake wear emissions, passenger car</t>
        </is>
      </c>
    </row>
    <row r="93">
      <c r="A93" t="inlineStr">
        <is>
          <t>Motorbike, gasoline, 11-35kW, EURO-5</t>
        </is>
      </c>
      <c r="B93" t="inlineStr">
        <is>
          <t>motor scooter, 50 cubic cm engine</t>
        </is>
      </c>
      <c r="C93" t="inlineStr">
        <is>
          <t>Glider lightweighting</t>
        </is>
      </c>
      <c r="D93" t="inlineStr">
        <is>
          <t>motor scooter, 50 cubic cm engine</t>
        </is>
      </c>
      <c r="I93" t="inlineStr">
        <is>
          <t>polyethylene, high density, granulate</t>
        </is>
      </c>
      <c r="K93" t="inlineStr">
        <is>
          <t>gasoline blend</t>
        </is>
      </c>
      <c r="M93" t="inlineStr">
        <is>
          <t>maintenance, motor scooter</t>
        </is>
      </c>
      <c r="N93" t="inlineStr">
        <is>
          <t>road</t>
        </is>
      </c>
      <c r="O93" t="inlineStr">
        <is>
          <t>road maintenance</t>
        </is>
      </c>
      <c r="R93" t="inlineStr">
        <is>
          <t>used Li-ion battery</t>
        </is>
      </c>
      <c r="BJ93" t="inlineStr">
        <is>
          <t>road wear emissions, passenger car</t>
        </is>
      </c>
      <c r="BK93" t="inlineStr">
        <is>
          <t>tyre wear emissions, passenger car</t>
        </is>
      </c>
      <c r="BL93" t="inlineStr">
        <is>
          <t>brake wear emissions, passenger car</t>
        </is>
      </c>
    </row>
    <row r="94">
      <c r="A94" t="inlineStr">
        <is>
          <t>Motorbike, gasoline, &gt;35kW, EURO-3</t>
        </is>
      </c>
      <c r="B94" t="inlineStr">
        <is>
          <t>motor scooter, 50 cubic cm engine</t>
        </is>
      </c>
      <c r="C94" t="inlineStr">
        <is>
          <t>Glider lightweighting</t>
        </is>
      </c>
      <c r="D94" t="inlineStr">
        <is>
          <t>motor scooter, 50 cubic cm engine</t>
        </is>
      </c>
      <c r="I94" t="inlineStr">
        <is>
          <t>polyethylene, high density, granulate</t>
        </is>
      </c>
      <c r="K94" t="inlineStr">
        <is>
          <t>gasoline blend</t>
        </is>
      </c>
      <c r="M94" t="inlineStr">
        <is>
          <t>maintenance, motor scooter</t>
        </is>
      </c>
      <c r="N94" t="inlineStr">
        <is>
          <t>road</t>
        </is>
      </c>
      <c r="O94" t="inlineStr">
        <is>
          <t>road maintenance</t>
        </is>
      </c>
      <c r="R94" t="inlineStr">
        <is>
          <t>used Li-ion battery</t>
        </is>
      </c>
      <c r="BJ94" t="inlineStr">
        <is>
          <t>road wear emissions, passenger car</t>
        </is>
      </c>
      <c r="BK94" t="inlineStr">
        <is>
          <t>tyre wear emissions, passenger car</t>
        </is>
      </c>
      <c r="BL94" t="inlineStr">
        <is>
          <t>brake wear emissions, passenger car</t>
        </is>
      </c>
    </row>
    <row r="95">
      <c r="A95" t="inlineStr">
        <is>
          <t>Motorbike, gasoline, &gt;35kW, EURO-4</t>
        </is>
      </c>
      <c r="B95" t="inlineStr">
        <is>
          <t>motor scooter, 50 cubic cm engine</t>
        </is>
      </c>
      <c r="C95" t="inlineStr">
        <is>
          <t>Glider lightweighting</t>
        </is>
      </c>
      <c r="D95" t="inlineStr">
        <is>
          <t>motor scooter, 50 cubic cm engine</t>
        </is>
      </c>
      <c r="I95" t="inlineStr">
        <is>
          <t>polyethylene, high density, granulate</t>
        </is>
      </c>
      <c r="K95" t="inlineStr">
        <is>
          <t>gasoline blend</t>
        </is>
      </c>
      <c r="M95" t="inlineStr">
        <is>
          <t>maintenance, motor scooter</t>
        </is>
      </c>
      <c r="N95" t="inlineStr">
        <is>
          <t>road</t>
        </is>
      </c>
      <c r="O95" t="inlineStr">
        <is>
          <t>road maintenance</t>
        </is>
      </c>
      <c r="R95" t="inlineStr">
        <is>
          <t>used Li-ion battery</t>
        </is>
      </c>
      <c r="BJ95" t="inlineStr">
        <is>
          <t>road wear emissions, passenger car</t>
        </is>
      </c>
      <c r="BK95" t="inlineStr">
        <is>
          <t>tyre wear emissions, passenger car</t>
        </is>
      </c>
      <c r="BL95" t="inlineStr">
        <is>
          <t>brake wear emissions, passenger car</t>
        </is>
      </c>
    </row>
    <row r="96">
      <c r="A96" t="inlineStr">
        <is>
          <t>Motorbike, gasoline, &gt;35kW, EURO-5</t>
        </is>
      </c>
      <c r="B96" t="inlineStr">
        <is>
          <t>motor scooter, 50 cubic cm engine</t>
        </is>
      </c>
      <c r="C96" t="inlineStr">
        <is>
          <t>Glider lightweighting</t>
        </is>
      </c>
      <c r="D96" t="inlineStr">
        <is>
          <t>motor scooter, 50 cubic cm engine</t>
        </is>
      </c>
      <c r="I96" t="inlineStr">
        <is>
          <t>polyethylene, high density, granulate</t>
        </is>
      </c>
      <c r="K96" t="inlineStr">
        <is>
          <t>gasoline blend</t>
        </is>
      </c>
      <c r="M96" t="inlineStr">
        <is>
          <t>maintenance, motor scooter</t>
        </is>
      </c>
      <c r="N96" t="inlineStr">
        <is>
          <t>road</t>
        </is>
      </c>
      <c r="O96" t="inlineStr">
        <is>
          <t>road maintenance</t>
        </is>
      </c>
      <c r="R96" t="inlineStr">
        <is>
          <t>used Li-ion battery</t>
        </is>
      </c>
      <c r="BJ96" t="inlineStr">
        <is>
          <t>road wear emissions, passenger car</t>
        </is>
      </c>
      <c r="BK96" t="inlineStr">
        <is>
          <t>tyre wear emissions, passenger car</t>
        </is>
      </c>
      <c r="BL96" t="inlineStr">
        <is>
          <t>brake wear emissions, passenger car</t>
        </is>
      </c>
    </row>
    <row r="97">
      <c r="A97" t="inlineStr">
        <is>
          <t>Motorbike, battery electric, &lt;4kW</t>
        </is>
      </c>
      <c r="B97" t="inlineStr">
        <is>
          <t>glider, for electric scooter</t>
        </is>
      </c>
      <c r="C97" t="inlineStr">
        <is>
          <t>Glider lightweighting</t>
        </is>
      </c>
      <c r="D97" t="inlineStr">
        <is>
          <t>glider, for electric scooter</t>
        </is>
      </c>
      <c r="E97" t="inlineStr">
        <is>
          <t>powertrain, for electric scooter</t>
        </is>
      </c>
      <c r="F97" t="inlineStr">
        <is>
          <t>battery cell, Li-ion, NMC811</t>
        </is>
      </c>
      <c r="G97" t="inlineStr">
        <is>
          <t>battery management system, for Li-ion battery</t>
        </is>
      </c>
      <c r="J97" t="inlineStr">
        <is>
          <t>charging station, 3kW</t>
        </is>
      </c>
      <c r="L97" t="inlineStr">
        <is>
          <t>electricity, low voltage</t>
        </is>
      </c>
      <c r="M97" t="inlineStr">
        <is>
          <t>maintenance, electric scooter, without battery</t>
        </is>
      </c>
      <c r="N97" t="inlineStr">
        <is>
          <t>road</t>
        </is>
      </c>
      <c r="O97" t="inlineStr">
        <is>
          <t>road maintenance</t>
        </is>
      </c>
      <c r="P97" t="inlineStr">
        <is>
          <t>manual dismantling of electric scooter</t>
        </is>
      </c>
      <c r="Q97" t="inlineStr">
        <is>
          <t>manual dismantling of electric scooter</t>
        </is>
      </c>
      <c r="R97" t="inlineStr">
        <is>
          <t>used Li-ion battery</t>
        </is>
      </c>
      <c r="BJ97" t="inlineStr">
        <is>
          <t>road wear emissions, passenger car</t>
        </is>
      </c>
      <c r="BK97" t="inlineStr">
        <is>
          <t>tyre wear emissions, passenger car</t>
        </is>
      </c>
      <c r="BL97" t="inlineStr">
        <is>
          <t>brake wear emissions, passenger car</t>
        </is>
      </c>
    </row>
    <row r="98">
      <c r="A98" t="inlineStr">
        <is>
          <t>Motorbike, battery electric, 4-11kW</t>
        </is>
      </c>
      <c r="B98" t="inlineStr">
        <is>
          <t>glider, for electric scooter</t>
        </is>
      </c>
      <c r="C98" t="inlineStr">
        <is>
          <t>Glider lightweighting</t>
        </is>
      </c>
      <c r="D98" t="inlineStr">
        <is>
          <t>glider, for electric scooter</t>
        </is>
      </c>
      <c r="E98" t="inlineStr">
        <is>
          <t>powertrain, for electric scooter</t>
        </is>
      </c>
      <c r="F98" t="inlineStr">
        <is>
          <t>battery cell, Li-ion, NMC811</t>
        </is>
      </c>
      <c r="G98" t="inlineStr">
        <is>
          <t>battery management system, for Li-ion battery</t>
        </is>
      </c>
      <c r="J98" t="inlineStr">
        <is>
          <t>charging station, 3kW</t>
        </is>
      </c>
      <c r="L98" t="inlineStr">
        <is>
          <t>electricity, low voltage</t>
        </is>
      </c>
      <c r="M98" t="inlineStr">
        <is>
          <t>maintenance, electric scooter, without battery</t>
        </is>
      </c>
      <c r="N98" t="inlineStr">
        <is>
          <t>road</t>
        </is>
      </c>
      <c r="O98" t="inlineStr">
        <is>
          <t>road maintenance</t>
        </is>
      </c>
      <c r="P98" t="inlineStr">
        <is>
          <t>manual dismantling of electric scooter</t>
        </is>
      </c>
      <c r="Q98" t="inlineStr">
        <is>
          <t>manual dismantling of electric scooter</t>
        </is>
      </c>
      <c r="R98" t="inlineStr">
        <is>
          <t>used Li-ion battery</t>
        </is>
      </c>
      <c r="BJ98" t="inlineStr">
        <is>
          <t>road wear emissions, passenger car</t>
        </is>
      </c>
      <c r="BK98" t="inlineStr">
        <is>
          <t>tyre wear emissions, passenger car</t>
        </is>
      </c>
      <c r="BL98" t="inlineStr">
        <is>
          <t>brake wear emissions, passenger car</t>
        </is>
      </c>
    </row>
    <row r="99">
      <c r="A99" t="inlineStr">
        <is>
          <t>Motorbike, battery electric, 11-35kW</t>
        </is>
      </c>
      <c r="B99" t="inlineStr">
        <is>
          <t>glider, for electric scooter</t>
        </is>
      </c>
      <c r="C99" t="inlineStr">
        <is>
          <t>Glider lightweighting</t>
        </is>
      </c>
      <c r="D99" t="inlineStr">
        <is>
          <t>glider, for electric scooter</t>
        </is>
      </c>
      <c r="E99" t="inlineStr">
        <is>
          <t>powertrain, for electric scooter</t>
        </is>
      </c>
      <c r="F99" t="inlineStr">
        <is>
          <t>battery cell, Li-ion, NMC811</t>
        </is>
      </c>
      <c r="G99" t="inlineStr">
        <is>
          <t>battery management system, for Li-ion battery</t>
        </is>
      </c>
      <c r="J99" t="inlineStr">
        <is>
          <t>charging station, 3kW</t>
        </is>
      </c>
      <c r="L99" t="inlineStr">
        <is>
          <t>electricity, low voltage</t>
        </is>
      </c>
      <c r="M99" t="inlineStr">
        <is>
          <t>maintenance, electric scooter, without battery</t>
        </is>
      </c>
      <c r="N99" t="inlineStr">
        <is>
          <t>road</t>
        </is>
      </c>
      <c r="O99" t="inlineStr">
        <is>
          <t>road maintenance</t>
        </is>
      </c>
      <c r="P99" t="inlineStr">
        <is>
          <t>manual dismantling of electric scooter</t>
        </is>
      </c>
      <c r="Q99" t="inlineStr">
        <is>
          <t>manual dismantling of electric scooter</t>
        </is>
      </c>
      <c r="R99" t="inlineStr">
        <is>
          <t>used Li-ion battery</t>
        </is>
      </c>
      <c r="BJ99" t="inlineStr">
        <is>
          <t>road wear emissions, passenger car</t>
        </is>
      </c>
      <c r="BK99" t="inlineStr">
        <is>
          <t>tyre wear emissions, passenger car</t>
        </is>
      </c>
      <c r="BL99" t="inlineStr">
        <is>
          <t>brake wear emissions, passenger car</t>
        </is>
      </c>
    </row>
    <row r="100">
      <c r="A100" t="inlineStr">
        <is>
          <t>Motorbike, battery electric, &gt;35kW</t>
        </is>
      </c>
      <c r="B100" t="inlineStr">
        <is>
          <t>glider, for electric scooter</t>
        </is>
      </c>
      <c r="C100" t="inlineStr">
        <is>
          <t>Glider lightweighting</t>
        </is>
      </c>
      <c r="D100" t="inlineStr">
        <is>
          <t>glider, for electric scooter</t>
        </is>
      </c>
      <c r="E100" t="inlineStr">
        <is>
          <t>powertrain, for electric scooter</t>
        </is>
      </c>
      <c r="F100" t="inlineStr">
        <is>
          <t>battery cell, Li-ion, NMC811</t>
        </is>
      </c>
      <c r="G100" t="inlineStr">
        <is>
          <t>battery management system, for Li-ion battery</t>
        </is>
      </c>
      <c r="J100" t="inlineStr">
        <is>
          <t>charging station, 3kW</t>
        </is>
      </c>
      <c r="L100" t="inlineStr">
        <is>
          <t>electricity, low voltage</t>
        </is>
      </c>
      <c r="M100" t="inlineStr">
        <is>
          <t>maintenance, electric scooter, without battery</t>
        </is>
      </c>
      <c r="N100" t="inlineStr">
        <is>
          <t>road</t>
        </is>
      </c>
      <c r="O100" t="inlineStr">
        <is>
          <t>road maintenance</t>
        </is>
      </c>
      <c r="P100" t="inlineStr">
        <is>
          <t>manual dismantling of electric scooter</t>
        </is>
      </c>
      <c r="Q100" t="inlineStr">
        <is>
          <t>manual dismantling of electric scooter</t>
        </is>
      </c>
      <c r="R100" t="inlineStr">
        <is>
          <t>used Li-ion battery</t>
        </is>
      </c>
      <c r="BJ100" t="inlineStr">
        <is>
          <t>road wear emissions, passenger car</t>
        </is>
      </c>
      <c r="BK100" t="inlineStr">
        <is>
          <t>tyre wear emissions, passenger car</t>
        </is>
      </c>
      <c r="BL100" t="inlineStr">
        <is>
          <t>brake wear emissions, passenger car</t>
        </is>
      </c>
    </row>
    <row r="101"/>
    <row r="102">
      <c r="A102" t="inlineStr">
        <is>
          <t>unit</t>
        </is>
      </c>
    </row>
    <row r="103">
      <c r="B103" t="inlineStr">
        <is>
          <t>Glider base mass [kg]</t>
        </is>
      </c>
      <c r="C103" t="inlineStr">
        <is>
          <t>Lightweighting rate [%]</t>
        </is>
      </c>
      <c r="D103" t="inlineStr">
        <is>
          <t>Mechanical powertrain mass [kg]</t>
        </is>
      </c>
      <c r="E103" t="inlineStr">
        <is>
          <t>Electric powertrain mass [kg]</t>
        </is>
      </c>
      <c r="F103" t="inlineStr">
        <is>
          <t>Energy battery cell mass [kg]</t>
        </is>
      </c>
      <c r="G103" t="inlineStr">
        <is>
          <t>Energy battery BoP mass [kg]</t>
        </is>
      </c>
      <c r="H103" t="inlineStr">
        <is>
          <t>Fuel mass [kg]</t>
        </is>
      </c>
      <c r="I103" t="inlineStr">
        <is>
          <t>Fuel tank mass [kg]</t>
        </is>
      </c>
      <c r="J103" t="inlineStr">
        <is>
          <t>Charging station per vehicle [unit]</t>
        </is>
      </c>
      <c r="K103" t="inlineStr">
        <is>
          <t>Gasoline consumption [MJ/km]</t>
        </is>
      </c>
      <c r="L103" t="inlineStr">
        <is>
          <t>Electricity consumption [MJ/km]</t>
        </is>
      </c>
      <c r="M103" t="inlineStr">
        <is>
          <t>Servicing [unit]</t>
        </is>
      </c>
      <c r="N103" t="inlineStr">
        <is>
          <t>Road/track use [m*year/vkm or pkm]</t>
        </is>
      </c>
      <c r="O103" t="inlineStr">
        <is>
          <t>Road maintenance [m*year/vkm]</t>
        </is>
      </c>
      <c r="P103" t="inlineStr">
        <is>
          <t>Discarding glider [kg]</t>
        </is>
      </c>
      <c r="Q103" t="inlineStr">
        <is>
          <t>Discarding powertrain [kg]</t>
        </is>
      </c>
      <c r="R103" t="inlineStr">
        <is>
          <t>Discarding battery [kg]</t>
        </is>
      </c>
      <c r="S103" t="inlineStr">
        <is>
          <t>CO2</t>
        </is>
      </c>
      <c r="T103" t="inlineStr">
        <is>
          <t>CO2, bio</t>
        </is>
      </c>
      <c r="U103" t="inlineStr">
        <is>
          <t>SO2</t>
        </is>
      </c>
      <c r="V103" t="inlineStr">
        <is>
          <t>Benzene</t>
        </is>
      </c>
      <c r="W103" t="inlineStr">
        <is>
          <t>CH4</t>
        </is>
      </c>
      <c r="X103" t="inlineStr">
        <is>
          <t>CO</t>
        </is>
      </c>
      <c r="Y103" t="inlineStr">
        <is>
          <t>N2O</t>
        </is>
      </c>
      <c r="Z103" t="inlineStr">
        <is>
          <t>NH3</t>
        </is>
      </c>
      <c r="AA103" t="inlineStr">
        <is>
          <t>NMHC</t>
        </is>
      </c>
      <c r="AB103" t="inlineStr">
        <is>
          <t>NOx</t>
        </is>
      </c>
      <c r="AC103" t="inlineStr">
        <is>
          <t>PM2.5</t>
        </is>
      </c>
      <c r="AD103" t="inlineStr">
        <is>
          <t>NMVOC</t>
        </is>
      </c>
      <c r="AE103" t="inlineStr">
        <is>
          <t>Ethane</t>
        </is>
      </c>
      <c r="AF103" t="inlineStr">
        <is>
          <t>Propane</t>
        </is>
      </c>
      <c r="AG103" t="inlineStr">
        <is>
          <t>Butane</t>
        </is>
      </c>
      <c r="AH103" t="inlineStr">
        <is>
          <t>Pentane</t>
        </is>
      </c>
      <c r="AI103" t="inlineStr">
        <is>
          <t>Hexane</t>
        </is>
      </c>
      <c r="AJ103" t="inlineStr">
        <is>
          <t>Cyclohexane</t>
        </is>
      </c>
      <c r="AK103" t="inlineStr">
        <is>
          <t>Heptane</t>
        </is>
      </c>
      <c r="AL103" t="inlineStr">
        <is>
          <t>Ethene</t>
        </is>
      </c>
      <c r="AM103" t="inlineStr">
        <is>
          <t>Propene</t>
        </is>
      </c>
      <c r="AN103" t="inlineStr">
        <is>
          <t>1-Pentene</t>
        </is>
      </c>
      <c r="AO103" t="inlineStr">
        <is>
          <t>Benzene</t>
        </is>
      </c>
      <c r="AP103" t="inlineStr">
        <is>
          <t>Toluene</t>
        </is>
      </c>
      <c r="AQ103" t="inlineStr">
        <is>
          <t>m-Xylene</t>
        </is>
      </c>
      <c r="AR103" t="inlineStr">
        <is>
          <t>o-Xylene</t>
        </is>
      </c>
      <c r="AS103" t="inlineStr">
        <is>
          <t>Formaldehyde</t>
        </is>
      </c>
      <c r="AT103" t="inlineStr">
        <is>
          <t>Acetaldehyde</t>
        </is>
      </c>
      <c r="AU103" t="inlineStr">
        <is>
          <t>Benzaldehyde</t>
        </is>
      </c>
      <c r="AV103" t="inlineStr">
        <is>
          <t>Acetone</t>
        </is>
      </c>
      <c r="AW103" t="inlineStr">
        <is>
          <t>Methyl ethyl ketone</t>
        </is>
      </c>
      <c r="AX103" t="inlineStr">
        <is>
          <t>Acrolein</t>
        </is>
      </c>
      <c r="AY103" t="inlineStr">
        <is>
          <t>Styrene</t>
        </is>
      </c>
      <c r="AZ103" t="inlineStr">
        <is>
          <t>PAHs</t>
        </is>
      </c>
      <c r="BA103" t="inlineStr">
        <is>
          <t>Arsenic</t>
        </is>
      </c>
      <c r="BB103" t="inlineStr">
        <is>
          <t>Selenium</t>
        </is>
      </c>
      <c r="BC103" t="inlineStr">
        <is>
          <t>Zinc</t>
        </is>
      </c>
      <c r="BD103" t="inlineStr">
        <is>
          <t>Copper</t>
        </is>
      </c>
      <c r="BE103" t="inlineStr">
        <is>
          <t>Nickel</t>
        </is>
      </c>
      <c r="BF103" t="inlineStr">
        <is>
          <t>Chromium</t>
        </is>
      </c>
      <c r="BG103" t="inlineStr">
        <is>
          <t>Chromium VI</t>
        </is>
      </c>
      <c r="BH103" t="inlineStr">
        <is>
          <t>Mercury</t>
        </is>
      </c>
      <c r="BI103" t="inlineStr">
        <is>
          <t>Cadmium</t>
        </is>
      </c>
      <c r="BJ103" t="inlineStr">
        <is>
          <t>Road wear [kg/km]</t>
        </is>
      </c>
      <c r="BK103" t="inlineStr">
        <is>
          <t>Tire wear [kg/km]</t>
        </is>
      </c>
      <c r="BL103" t="inlineStr">
        <is>
          <t>Brake wear [kg/km]</t>
        </is>
      </c>
    </row>
    <row r="104">
      <c r="A104" t="inlineStr">
        <is>
          <t>Kick Scooter, battery electric, &lt;1kW</t>
        </is>
      </c>
      <c r="B104" t="inlineStr">
        <is>
          <t>unit</t>
        </is>
      </c>
      <c r="C104" t="inlineStr">
        <is>
          <t>kilogram</t>
        </is>
      </c>
      <c r="D104" t="inlineStr">
        <is>
          <t>unit</t>
        </is>
      </c>
      <c r="E104" t="inlineStr">
        <is>
          <t>kilogram</t>
        </is>
      </c>
      <c r="F104" t="inlineStr">
        <is>
          <t>kilogram</t>
        </is>
      </c>
      <c r="G104" t="inlineStr">
        <is>
          <t>kilogram</t>
        </is>
      </c>
      <c r="J104" t="inlineStr">
        <is>
          <t>unit</t>
        </is>
      </c>
      <c r="K104" t="inlineStr">
        <is>
          <t>kilogram</t>
        </is>
      </c>
      <c r="L104" t="inlineStr">
        <is>
          <t>kilowatt hour</t>
        </is>
      </c>
      <c r="M104" t="inlineStr">
        <is>
          <t>unit</t>
        </is>
      </c>
      <c r="N104" t="inlineStr">
        <is>
          <t>meter-year</t>
        </is>
      </c>
      <c r="O104" t="inlineStr">
        <is>
          <t>meter-year</t>
        </is>
      </c>
      <c r="P104" t="inlineStr">
        <is>
          <t>unit</t>
        </is>
      </c>
      <c r="Q104" t="inlineStr">
        <is>
          <t>unit</t>
        </is>
      </c>
      <c r="R104" t="inlineStr">
        <is>
          <t>kilogram</t>
        </is>
      </c>
      <c r="S104" t="inlineStr">
        <is>
          <t>kilogram</t>
        </is>
      </c>
      <c r="T104" t="inlineStr">
        <is>
          <t>kilogram</t>
        </is>
      </c>
      <c r="U104" t="inlineStr">
        <is>
          <t>kilogram</t>
        </is>
      </c>
      <c r="V104" t="inlineStr">
        <is>
          <t>kilogram</t>
        </is>
      </c>
      <c r="W104" t="inlineStr">
        <is>
          <t>kilogram</t>
        </is>
      </c>
      <c r="X104" t="inlineStr">
        <is>
          <t>kilogram</t>
        </is>
      </c>
      <c r="Y104" t="inlineStr">
        <is>
          <t>kilogram</t>
        </is>
      </c>
      <c r="Z104" t="inlineStr">
        <is>
          <t>kilogram</t>
        </is>
      </c>
      <c r="AA104" t="inlineStr">
        <is>
          <t>kilogram</t>
        </is>
      </c>
      <c r="AB104" t="inlineStr">
        <is>
          <t>kilogram</t>
        </is>
      </c>
      <c r="AC104" t="inlineStr">
        <is>
          <t>kilogram</t>
        </is>
      </c>
      <c r="AD104" t="inlineStr">
        <is>
          <t>kilogram</t>
        </is>
      </c>
      <c r="AE104" t="inlineStr">
        <is>
          <t>kilogram</t>
        </is>
      </c>
      <c r="AF104" t="inlineStr">
        <is>
          <t>kilogram</t>
        </is>
      </c>
      <c r="AG104" t="inlineStr">
        <is>
          <t>kilogram</t>
        </is>
      </c>
      <c r="AH104" t="inlineStr">
        <is>
          <t>kilogram</t>
        </is>
      </c>
      <c r="AI104" t="inlineStr">
        <is>
          <t>kilogram</t>
        </is>
      </c>
      <c r="AJ104" t="inlineStr">
        <is>
          <t>kilogram</t>
        </is>
      </c>
      <c r="AK104" t="inlineStr">
        <is>
          <t>kilogram</t>
        </is>
      </c>
      <c r="AL104" t="inlineStr">
        <is>
          <t>kilogram</t>
        </is>
      </c>
      <c r="AM104" t="inlineStr">
        <is>
          <t>kilogram</t>
        </is>
      </c>
      <c r="AN104" t="inlineStr">
        <is>
          <t>kilogram</t>
        </is>
      </c>
      <c r="AO104" t="inlineStr">
        <is>
          <t>kilogram</t>
        </is>
      </c>
      <c r="AP104" t="inlineStr">
        <is>
          <t>kilogram</t>
        </is>
      </c>
      <c r="AQ104" t="inlineStr">
        <is>
          <t>kilogram</t>
        </is>
      </c>
      <c r="AR104" t="inlineStr">
        <is>
          <t>kilogram</t>
        </is>
      </c>
      <c r="AS104" t="inlineStr">
        <is>
          <t>kilogram</t>
        </is>
      </c>
      <c r="AT104" t="inlineStr">
        <is>
          <t>kilogram</t>
        </is>
      </c>
      <c r="AU104" t="inlineStr">
        <is>
          <t>kilogram</t>
        </is>
      </c>
      <c r="AV104" t="inlineStr">
        <is>
          <t>kilogram</t>
        </is>
      </c>
      <c r="AW104" t="inlineStr">
        <is>
          <t>kilogram</t>
        </is>
      </c>
      <c r="AX104" t="inlineStr">
        <is>
          <t>kilogram</t>
        </is>
      </c>
      <c r="AY104" t="inlineStr">
        <is>
          <t>kilogram</t>
        </is>
      </c>
      <c r="AZ104" t="inlineStr">
        <is>
          <t>kilogram</t>
        </is>
      </c>
      <c r="BA104" t="inlineStr">
        <is>
          <t>kilogram</t>
        </is>
      </c>
      <c r="BB104" t="inlineStr">
        <is>
          <t>kilogram</t>
        </is>
      </c>
      <c r="BC104" t="inlineStr">
        <is>
          <t>kilogram</t>
        </is>
      </c>
      <c r="BD104" t="inlineStr">
        <is>
          <t>kilogram</t>
        </is>
      </c>
      <c r="BE104" t="inlineStr">
        <is>
          <t>kilogram</t>
        </is>
      </c>
      <c r="BF104" t="inlineStr">
        <is>
          <t>kilogram</t>
        </is>
      </c>
      <c r="BG104" t="inlineStr">
        <is>
          <t>kilogram</t>
        </is>
      </c>
      <c r="BH104" t="inlineStr">
        <is>
          <t>kilogram</t>
        </is>
      </c>
      <c r="BI104" t="inlineStr">
        <is>
          <t>kilogram</t>
        </is>
      </c>
      <c r="BJ104" t="inlineStr">
        <is>
          <t>kilogram</t>
        </is>
      </c>
      <c r="BK104" t="inlineStr">
        <is>
          <t>kilogram</t>
        </is>
      </c>
      <c r="BL104" t="inlineStr">
        <is>
          <t>kilogram</t>
        </is>
      </c>
    </row>
    <row r="105">
      <c r="A105" t="inlineStr">
        <is>
          <t>Bicycle, conventional, urban</t>
        </is>
      </c>
      <c r="B105" t="inlineStr">
        <is>
          <t>unit</t>
        </is>
      </c>
      <c r="C105" t="inlineStr">
        <is>
          <t>kilogram</t>
        </is>
      </c>
      <c r="D105" t="inlineStr">
        <is>
          <t>unit</t>
        </is>
      </c>
      <c r="F105" t="inlineStr">
        <is>
          <t>kilogram</t>
        </is>
      </c>
      <c r="G105" t="inlineStr">
        <is>
          <t>kilogram</t>
        </is>
      </c>
      <c r="J105" t="inlineStr">
        <is>
          <t>unit</t>
        </is>
      </c>
      <c r="K105" t="inlineStr">
        <is>
          <t>kilogram</t>
        </is>
      </c>
      <c r="L105" t="inlineStr">
        <is>
          <t>kilowatt hour</t>
        </is>
      </c>
      <c r="M105" t="inlineStr">
        <is>
          <t>unit</t>
        </is>
      </c>
      <c r="N105" t="inlineStr">
        <is>
          <t>meter-year</t>
        </is>
      </c>
      <c r="O105" t="inlineStr">
        <is>
          <t>meter-year</t>
        </is>
      </c>
      <c r="P105" t="inlineStr">
        <is>
          <t>unit</t>
        </is>
      </c>
      <c r="R105" t="inlineStr">
        <is>
          <t>kilogram</t>
        </is>
      </c>
      <c r="S105" t="inlineStr">
        <is>
          <t>kilogram</t>
        </is>
      </c>
      <c r="T105" t="inlineStr">
        <is>
          <t>kilogram</t>
        </is>
      </c>
      <c r="U105" t="inlineStr">
        <is>
          <t>kilogram</t>
        </is>
      </c>
      <c r="V105" t="inlineStr">
        <is>
          <t>kilogram</t>
        </is>
      </c>
      <c r="W105" t="inlineStr">
        <is>
          <t>kilogram</t>
        </is>
      </c>
      <c r="X105" t="inlineStr">
        <is>
          <t>kilogram</t>
        </is>
      </c>
      <c r="Y105" t="inlineStr">
        <is>
          <t>kilogram</t>
        </is>
      </c>
      <c r="Z105" t="inlineStr">
        <is>
          <t>kilogram</t>
        </is>
      </c>
      <c r="AA105" t="inlineStr">
        <is>
          <t>kilogram</t>
        </is>
      </c>
      <c r="AB105" t="inlineStr">
        <is>
          <t>kilogram</t>
        </is>
      </c>
      <c r="AC105" t="inlineStr">
        <is>
          <t>kilogram</t>
        </is>
      </c>
      <c r="AD105" t="inlineStr">
        <is>
          <t>kilogram</t>
        </is>
      </c>
      <c r="AE105" t="inlineStr">
        <is>
          <t>kilogram</t>
        </is>
      </c>
      <c r="AF105" t="inlineStr">
        <is>
          <t>kilogram</t>
        </is>
      </c>
      <c r="AG105" t="inlineStr">
        <is>
          <t>kilogram</t>
        </is>
      </c>
      <c r="AH105" t="inlineStr">
        <is>
          <t>kilogram</t>
        </is>
      </c>
      <c r="AI105" t="inlineStr">
        <is>
          <t>kilogram</t>
        </is>
      </c>
      <c r="AJ105" t="inlineStr">
        <is>
          <t>kilogram</t>
        </is>
      </c>
      <c r="AK105" t="inlineStr">
        <is>
          <t>kilogram</t>
        </is>
      </c>
      <c r="AL105" t="inlineStr">
        <is>
          <t>kilogram</t>
        </is>
      </c>
      <c r="AM105" t="inlineStr">
        <is>
          <t>kilogram</t>
        </is>
      </c>
      <c r="AN105" t="inlineStr">
        <is>
          <t>kilogram</t>
        </is>
      </c>
      <c r="AO105" t="inlineStr">
        <is>
          <t>kilogram</t>
        </is>
      </c>
      <c r="AP105" t="inlineStr">
        <is>
          <t>kilogram</t>
        </is>
      </c>
      <c r="AQ105" t="inlineStr">
        <is>
          <t>kilogram</t>
        </is>
      </c>
      <c r="AR105" t="inlineStr">
        <is>
          <t>kilogram</t>
        </is>
      </c>
      <c r="AS105" t="inlineStr">
        <is>
          <t>kilogram</t>
        </is>
      </c>
      <c r="AT105" t="inlineStr">
        <is>
          <t>kilogram</t>
        </is>
      </c>
      <c r="AU105" t="inlineStr">
        <is>
          <t>kilogram</t>
        </is>
      </c>
      <c r="AV105" t="inlineStr">
        <is>
          <t>kilogram</t>
        </is>
      </c>
      <c r="AW105" t="inlineStr">
        <is>
          <t>kilogram</t>
        </is>
      </c>
      <c r="AX105" t="inlineStr">
        <is>
          <t>kilogram</t>
        </is>
      </c>
      <c r="AY105" t="inlineStr">
        <is>
          <t>kilogram</t>
        </is>
      </c>
      <c r="AZ105" t="inlineStr">
        <is>
          <t>kilogram</t>
        </is>
      </c>
      <c r="BA105" t="inlineStr">
        <is>
          <t>kilogram</t>
        </is>
      </c>
      <c r="BB105" t="inlineStr">
        <is>
          <t>kilogram</t>
        </is>
      </c>
      <c r="BC105" t="inlineStr">
        <is>
          <t>kilogram</t>
        </is>
      </c>
      <c r="BD105" t="inlineStr">
        <is>
          <t>kilogram</t>
        </is>
      </c>
      <c r="BE105" t="inlineStr">
        <is>
          <t>kilogram</t>
        </is>
      </c>
      <c r="BF105" t="inlineStr">
        <is>
          <t>kilogram</t>
        </is>
      </c>
      <c r="BG105" t="inlineStr">
        <is>
          <t>kilogram</t>
        </is>
      </c>
      <c r="BH105" t="inlineStr">
        <is>
          <t>kilogram</t>
        </is>
      </c>
      <c r="BI105" t="inlineStr">
        <is>
          <t>kilogram</t>
        </is>
      </c>
      <c r="BJ105" t="inlineStr">
        <is>
          <t>kilogram</t>
        </is>
      </c>
      <c r="BK105" t="inlineStr">
        <is>
          <t>kilogram</t>
        </is>
      </c>
      <c r="BL105" t="inlineStr">
        <is>
          <t>kilogram</t>
        </is>
      </c>
    </row>
    <row r="106">
      <c r="A106" t="inlineStr">
        <is>
          <t>Bicycle, electric (&lt;25 km/h)</t>
        </is>
      </c>
      <c r="B106" t="inlineStr">
        <is>
          <t>unit</t>
        </is>
      </c>
      <c r="C106" t="inlineStr">
        <is>
          <t>kilogram</t>
        </is>
      </c>
      <c r="D106" t="inlineStr">
        <is>
          <t>unit</t>
        </is>
      </c>
      <c r="E106" t="inlineStr">
        <is>
          <t>kilogram</t>
        </is>
      </c>
      <c r="F106" t="inlineStr">
        <is>
          <t>kilogram</t>
        </is>
      </c>
      <c r="G106" t="inlineStr">
        <is>
          <t>kilogram</t>
        </is>
      </c>
      <c r="J106" t="inlineStr">
        <is>
          <t>unit</t>
        </is>
      </c>
      <c r="K106" t="inlineStr">
        <is>
          <t>kilogram</t>
        </is>
      </c>
      <c r="L106" t="inlineStr">
        <is>
          <t>kilowatt hour</t>
        </is>
      </c>
      <c r="M106" t="inlineStr">
        <is>
          <t>unit</t>
        </is>
      </c>
      <c r="N106" t="inlineStr">
        <is>
          <t>meter-year</t>
        </is>
      </c>
      <c r="O106" t="inlineStr">
        <is>
          <t>meter-year</t>
        </is>
      </c>
      <c r="P106" t="inlineStr">
        <is>
          <t>unit</t>
        </is>
      </c>
      <c r="Q106" t="inlineStr">
        <is>
          <t>unit</t>
        </is>
      </c>
      <c r="R106" t="inlineStr">
        <is>
          <t>kilogram</t>
        </is>
      </c>
      <c r="S106" t="inlineStr">
        <is>
          <t>kilogram</t>
        </is>
      </c>
      <c r="T106" t="inlineStr">
        <is>
          <t>kilogram</t>
        </is>
      </c>
      <c r="U106" t="inlineStr">
        <is>
          <t>kilogram</t>
        </is>
      </c>
      <c r="V106" t="inlineStr">
        <is>
          <t>kilogram</t>
        </is>
      </c>
      <c r="W106" t="inlineStr">
        <is>
          <t>kilogram</t>
        </is>
      </c>
      <c r="X106" t="inlineStr">
        <is>
          <t>kilogram</t>
        </is>
      </c>
      <c r="Y106" t="inlineStr">
        <is>
          <t>kilogram</t>
        </is>
      </c>
      <c r="Z106" t="inlineStr">
        <is>
          <t>kilogram</t>
        </is>
      </c>
      <c r="AA106" t="inlineStr">
        <is>
          <t>kilogram</t>
        </is>
      </c>
      <c r="AB106" t="inlineStr">
        <is>
          <t>kilogram</t>
        </is>
      </c>
      <c r="AC106" t="inlineStr">
        <is>
          <t>kilogram</t>
        </is>
      </c>
      <c r="AD106" t="inlineStr">
        <is>
          <t>kilogram</t>
        </is>
      </c>
      <c r="AE106" t="inlineStr">
        <is>
          <t>kilogram</t>
        </is>
      </c>
      <c r="AF106" t="inlineStr">
        <is>
          <t>kilogram</t>
        </is>
      </c>
      <c r="AG106" t="inlineStr">
        <is>
          <t>kilogram</t>
        </is>
      </c>
      <c r="AH106" t="inlineStr">
        <is>
          <t>kilogram</t>
        </is>
      </c>
      <c r="AI106" t="inlineStr">
        <is>
          <t>kilogram</t>
        </is>
      </c>
      <c r="AJ106" t="inlineStr">
        <is>
          <t>kilogram</t>
        </is>
      </c>
      <c r="AK106" t="inlineStr">
        <is>
          <t>kilogram</t>
        </is>
      </c>
      <c r="AL106" t="inlineStr">
        <is>
          <t>kilogram</t>
        </is>
      </c>
      <c r="AM106" t="inlineStr">
        <is>
          <t>kilogram</t>
        </is>
      </c>
      <c r="AN106" t="inlineStr">
        <is>
          <t>kilogram</t>
        </is>
      </c>
      <c r="AO106" t="inlineStr">
        <is>
          <t>kilogram</t>
        </is>
      </c>
      <c r="AP106" t="inlineStr">
        <is>
          <t>kilogram</t>
        </is>
      </c>
      <c r="AQ106" t="inlineStr">
        <is>
          <t>kilogram</t>
        </is>
      </c>
      <c r="AR106" t="inlineStr">
        <is>
          <t>kilogram</t>
        </is>
      </c>
      <c r="AS106" t="inlineStr">
        <is>
          <t>kilogram</t>
        </is>
      </c>
      <c r="AT106" t="inlineStr">
        <is>
          <t>kilogram</t>
        </is>
      </c>
      <c r="AU106" t="inlineStr">
        <is>
          <t>kilogram</t>
        </is>
      </c>
      <c r="AV106" t="inlineStr">
        <is>
          <t>kilogram</t>
        </is>
      </c>
      <c r="AW106" t="inlineStr">
        <is>
          <t>kilogram</t>
        </is>
      </c>
      <c r="AX106" t="inlineStr">
        <is>
          <t>kilogram</t>
        </is>
      </c>
      <c r="AY106" t="inlineStr">
        <is>
          <t>kilogram</t>
        </is>
      </c>
      <c r="AZ106" t="inlineStr">
        <is>
          <t>kilogram</t>
        </is>
      </c>
      <c r="BA106" t="inlineStr">
        <is>
          <t>kilogram</t>
        </is>
      </c>
      <c r="BB106" t="inlineStr">
        <is>
          <t>kilogram</t>
        </is>
      </c>
      <c r="BC106" t="inlineStr">
        <is>
          <t>kilogram</t>
        </is>
      </c>
      <c r="BD106" t="inlineStr">
        <is>
          <t>kilogram</t>
        </is>
      </c>
      <c r="BE106" t="inlineStr">
        <is>
          <t>kilogram</t>
        </is>
      </c>
      <c r="BF106" t="inlineStr">
        <is>
          <t>kilogram</t>
        </is>
      </c>
      <c r="BG106" t="inlineStr">
        <is>
          <t>kilogram</t>
        </is>
      </c>
      <c r="BH106" t="inlineStr">
        <is>
          <t>kilogram</t>
        </is>
      </c>
      <c r="BI106" t="inlineStr">
        <is>
          <t>kilogram</t>
        </is>
      </c>
      <c r="BJ106" t="inlineStr">
        <is>
          <t>kilogram</t>
        </is>
      </c>
      <c r="BK106" t="inlineStr">
        <is>
          <t>kilogram</t>
        </is>
      </c>
      <c r="BL106" t="inlineStr">
        <is>
          <t>kilogram</t>
        </is>
      </c>
    </row>
    <row r="107">
      <c r="A107" t="inlineStr">
        <is>
          <t>Bicycle, electric (&lt;45 km/h)</t>
        </is>
      </c>
      <c r="B107" t="inlineStr">
        <is>
          <t>unit</t>
        </is>
      </c>
      <c r="C107" t="inlineStr">
        <is>
          <t>kilogram</t>
        </is>
      </c>
      <c r="D107" t="inlineStr">
        <is>
          <t>unit</t>
        </is>
      </c>
      <c r="E107" t="inlineStr">
        <is>
          <t>kilogram</t>
        </is>
      </c>
      <c r="F107" t="inlineStr">
        <is>
          <t>kilogram</t>
        </is>
      </c>
      <c r="G107" t="inlineStr">
        <is>
          <t>kilogram</t>
        </is>
      </c>
      <c r="J107" t="inlineStr">
        <is>
          <t>unit</t>
        </is>
      </c>
      <c r="K107" t="inlineStr">
        <is>
          <t>kilogram</t>
        </is>
      </c>
      <c r="L107" t="inlineStr">
        <is>
          <t>kilowatt hour</t>
        </is>
      </c>
      <c r="M107" t="inlineStr">
        <is>
          <t>unit</t>
        </is>
      </c>
      <c r="N107" t="inlineStr">
        <is>
          <t>meter-year</t>
        </is>
      </c>
      <c r="O107" t="inlineStr">
        <is>
          <t>meter-year</t>
        </is>
      </c>
      <c r="P107" t="inlineStr">
        <is>
          <t>unit</t>
        </is>
      </c>
      <c r="Q107" t="inlineStr">
        <is>
          <t>unit</t>
        </is>
      </c>
      <c r="R107" t="inlineStr">
        <is>
          <t>kilogram</t>
        </is>
      </c>
      <c r="S107" t="inlineStr">
        <is>
          <t>kilogram</t>
        </is>
      </c>
      <c r="T107" t="inlineStr">
        <is>
          <t>kilogram</t>
        </is>
      </c>
      <c r="U107" t="inlineStr">
        <is>
          <t>kilogram</t>
        </is>
      </c>
      <c r="V107" t="inlineStr">
        <is>
          <t>kilogram</t>
        </is>
      </c>
      <c r="W107" t="inlineStr">
        <is>
          <t>kilogram</t>
        </is>
      </c>
      <c r="X107" t="inlineStr">
        <is>
          <t>kilogram</t>
        </is>
      </c>
      <c r="Y107" t="inlineStr">
        <is>
          <t>kilogram</t>
        </is>
      </c>
      <c r="Z107" t="inlineStr">
        <is>
          <t>kilogram</t>
        </is>
      </c>
      <c r="AA107" t="inlineStr">
        <is>
          <t>kilogram</t>
        </is>
      </c>
      <c r="AB107" t="inlineStr">
        <is>
          <t>kilogram</t>
        </is>
      </c>
      <c r="AC107" t="inlineStr">
        <is>
          <t>kilogram</t>
        </is>
      </c>
      <c r="AD107" t="inlineStr">
        <is>
          <t>kilogram</t>
        </is>
      </c>
      <c r="AE107" t="inlineStr">
        <is>
          <t>kilogram</t>
        </is>
      </c>
      <c r="AF107" t="inlineStr">
        <is>
          <t>kilogram</t>
        </is>
      </c>
      <c r="AG107" t="inlineStr">
        <is>
          <t>kilogram</t>
        </is>
      </c>
      <c r="AH107" t="inlineStr">
        <is>
          <t>kilogram</t>
        </is>
      </c>
      <c r="AI107" t="inlineStr">
        <is>
          <t>kilogram</t>
        </is>
      </c>
      <c r="AJ107" t="inlineStr">
        <is>
          <t>kilogram</t>
        </is>
      </c>
      <c r="AK107" t="inlineStr">
        <is>
          <t>kilogram</t>
        </is>
      </c>
      <c r="AL107" t="inlineStr">
        <is>
          <t>kilogram</t>
        </is>
      </c>
      <c r="AM107" t="inlineStr">
        <is>
          <t>kilogram</t>
        </is>
      </c>
      <c r="AN107" t="inlineStr">
        <is>
          <t>kilogram</t>
        </is>
      </c>
      <c r="AO107" t="inlineStr">
        <is>
          <t>kilogram</t>
        </is>
      </c>
      <c r="AP107" t="inlineStr">
        <is>
          <t>kilogram</t>
        </is>
      </c>
      <c r="AQ107" t="inlineStr">
        <is>
          <t>kilogram</t>
        </is>
      </c>
      <c r="AR107" t="inlineStr">
        <is>
          <t>kilogram</t>
        </is>
      </c>
      <c r="AS107" t="inlineStr">
        <is>
          <t>kilogram</t>
        </is>
      </c>
      <c r="AT107" t="inlineStr">
        <is>
          <t>kilogram</t>
        </is>
      </c>
      <c r="AU107" t="inlineStr">
        <is>
          <t>kilogram</t>
        </is>
      </c>
      <c r="AV107" t="inlineStr">
        <is>
          <t>kilogram</t>
        </is>
      </c>
      <c r="AW107" t="inlineStr">
        <is>
          <t>kilogram</t>
        </is>
      </c>
      <c r="AX107" t="inlineStr">
        <is>
          <t>kilogram</t>
        </is>
      </c>
      <c r="AY107" t="inlineStr">
        <is>
          <t>kilogram</t>
        </is>
      </c>
      <c r="AZ107" t="inlineStr">
        <is>
          <t>kilogram</t>
        </is>
      </c>
      <c r="BA107" t="inlineStr">
        <is>
          <t>kilogram</t>
        </is>
      </c>
      <c r="BB107" t="inlineStr">
        <is>
          <t>kilogram</t>
        </is>
      </c>
      <c r="BC107" t="inlineStr">
        <is>
          <t>kilogram</t>
        </is>
      </c>
      <c r="BD107" t="inlineStr">
        <is>
          <t>kilogram</t>
        </is>
      </c>
      <c r="BE107" t="inlineStr">
        <is>
          <t>kilogram</t>
        </is>
      </c>
      <c r="BF107" t="inlineStr">
        <is>
          <t>kilogram</t>
        </is>
      </c>
      <c r="BG107" t="inlineStr">
        <is>
          <t>kilogram</t>
        </is>
      </c>
      <c r="BH107" t="inlineStr">
        <is>
          <t>kilogram</t>
        </is>
      </c>
      <c r="BI107" t="inlineStr">
        <is>
          <t>kilogram</t>
        </is>
      </c>
      <c r="BJ107" t="inlineStr">
        <is>
          <t>kilogram</t>
        </is>
      </c>
      <c r="BK107" t="inlineStr">
        <is>
          <t>kilogram</t>
        </is>
      </c>
      <c r="BL107" t="inlineStr">
        <is>
          <t>kilogram</t>
        </is>
      </c>
    </row>
    <row r="108">
      <c r="A108" t="inlineStr">
        <is>
          <t>Bicycle, battery electric, cargo bike</t>
        </is>
      </c>
      <c r="B108" t="inlineStr">
        <is>
          <t>unit</t>
        </is>
      </c>
      <c r="C108" t="inlineStr">
        <is>
          <t>kilogram</t>
        </is>
      </c>
      <c r="D108" t="inlineStr">
        <is>
          <t>unit</t>
        </is>
      </c>
      <c r="E108" t="inlineStr">
        <is>
          <t>kilogram</t>
        </is>
      </c>
      <c r="F108" t="inlineStr">
        <is>
          <t>kilogram</t>
        </is>
      </c>
      <c r="G108" t="inlineStr">
        <is>
          <t>kilogram</t>
        </is>
      </c>
      <c r="J108" t="inlineStr">
        <is>
          <t>unit</t>
        </is>
      </c>
      <c r="K108" t="inlineStr">
        <is>
          <t>kilogram</t>
        </is>
      </c>
      <c r="L108" t="inlineStr">
        <is>
          <t>kilowatt hour</t>
        </is>
      </c>
      <c r="M108" t="inlineStr">
        <is>
          <t>unit</t>
        </is>
      </c>
      <c r="N108" t="inlineStr">
        <is>
          <t>meter-year</t>
        </is>
      </c>
      <c r="O108" t="inlineStr">
        <is>
          <t>meter-year</t>
        </is>
      </c>
      <c r="P108" t="inlineStr">
        <is>
          <t>unit</t>
        </is>
      </c>
      <c r="Q108" t="inlineStr">
        <is>
          <t>unit</t>
        </is>
      </c>
      <c r="R108" t="inlineStr">
        <is>
          <t>kilogram</t>
        </is>
      </c>
      <c r="S108" t="inlineStr">
        <is>
          <t>kilogram</t>
        </is>
      </c>
      <c r="T108" t="inlineStr">
        <is>
          <t>kilogram</t>
        </is>
      </c>
      <c r="U108" t="inlineStr">
        <is>
          <t>kilogram</t>
        </is>
      </c>
      <c r="V108" t="inlineStr">
        <is>
          <t>kilogram</t>
        </is>
      </c>
      <c r="W108" t="inlineStr">
        <is>
          <t>kilogram</t>
        </is>
      </c>
      <c r="X108" t="inlineStr">
        <is>
          <t>kilogram</t>
        </is>
      </c>
      <c r="Y108" t="inlineStr">
        <is>
          <t>kilogram</t>
        </is>
      </c>
      <c r="Z108" t="inlineStr">
        <is>
          <t>kilogram</t>
        </is>
      </c>
      <c r="AA108" t="inlineStr">
        <is>
          <t>kilogram</t>
        </is>
      </c>
      <c r="AB108" t="inlineStr">
        <is>
          <t>kilogram</t>
        </is>
      </c>
      <c r="AC108" t="inlineStr">
        <is>
          <t>kilogram</t>
        </is>
      </c>
      <c r="AD108" t="inlineStr">
        <is>
          <t>kilogram</t>
        </is>
      </c>
      <c r="AE108" t="inlineStr">
        <is>
          <t>kilogram</t>
        </is>
      </c>
      <c r="AF108" t="inlineStr">
        <is>
          <t>kilogram</t>
        </is>
      </c>
      <c r="AG108" t="inlineStr">
        <is>
          <t>kilogram</t>
        </is>
      </c>
      <c r="AH108" t="inlineStr">
        <is>
          <t>kilogram</t>
        </is>
      </c>
      <c r="AI108" t="inlineStr">
        <is>
          <t>kilogram</t>
        </is>
      </c>
      <c r="AJ108" t="inlineStr">
        <is>
          <t>kilogram</t>
        </is>
      </c>
      <c r="AK108" t="inlineStr">
        <is>
          <t>kilogram</t>
        </is>
      </c>
      <c r="AL108" t="inlineStr">
        <is>
          <t>kilogram</t>
        </is>
      </c>
      <c r="AM108" t="inlineStr">
        <is>
          <t>kilogram</t>
        </is>
      </c>
      <c r="AN108" t="inlineStr">
        <is>
          <t>kilogram</t>
        </is>
      </c>
      <c r="AO108" t="inlineStr">
        <is>
          <t>kilogram</t>
        </is>
      </c>
      <c r="AP108" t="inlineStr">
        <is>
          <t>kilogram</t>
        </is>
      </c>
      <c r="AQ108" t="inlineStr">
        <is>
          <t>kilogram</t>
        </is>
      </c>
      <c r="AR108" t="inlineStr">
        <is>
          <t>kilogram</t>
        </is>
      </c>
      <c r="AS108" t="inlineStr">
        <is>
          <t>kilogram</t>
        </is>
      </c>
      <c r="AT108" t="inlineStr">
        <is>
          <t>kilogram</t>
        </is>
      </c>
      <c r="AU108" t="inlineStr">
        <is>
          <t>kilogram</t>
        </is>
      </c>
      <c r="AV108" t="inlineStr">
        <is>
          <t>kilogram</t>
        </is>
      </c>
      <c r="AW108" t="inlineStr">
        <is>
          <t>kilogram</t>
        </is>
      </c>
      <c r="AX108" t="inlineStr">
        <is>
          <t>kilogram</t>
        </is>
      </c>
      <c r="AY108" t="inlineStr">
        <is>
          <t>kilogram</t>
        </is>
      </c>
      <c r="AZ108" t="inlineStr">
        <is>
          <t>kilogram</t>
        </is>
      </c>
      <c r="BA108" t="inlineStr">
        <is>
          <t>kilogram</t>
        </is>
      </c>
      <c r="BB108" t="inlineStr">
        <is>
          <t>kilogram</t>
        </is>
      </c>
      <c r="BC108" t="inlineStr">
        <is>
          <t>kilogram</t>
        </is>
      </c>
      <c r="BD108" t="inlineStr">
        <is>
          <t>kilogram</t>
        </is>
      </c>
      <c r="BE108" t="inlineStr">
        <is>
          <t>kilogram</t>
        </is>
      </c>
      <c r="BF108" t="inlineStr">
        <is>
          <t>kilogram</t>
        </is>
      </c>
      <c r="BG108" t="inlineStr">
        <is>
          <t>kilogram</t>
        </is>
      </c>
      <c r="BH108" t="inlineStr">
        <is>
          <t>kilogram</t>
        </is>
      </c>
      <c r="BI108" t="inlineStr">
        <is>
          <t>kilogram</t>
        </is>
      </c>
      <c r="BJ108" t="inlineStr">
        <is>
          <t>kilogram</t>
        </is>
      </c>
      <c r="BK108" t="inlineStr">
        <is>
          <t>kilogram</t>
        </is>
      </c>
      <c r="BL108" t="inlineStr">
        <is>
          <t>kilogram</t>
        </is>
      </c>
    </row>
    <row r="109">
      <c r="A109" t="inlineStr">
        <is>
          <t>Tram, electric</t>
        </is>
      </c>
      <c r="B109" t="inlineStr">
        <is>
          <t>unit</t>
        </is>
      </c>
      <c r="C109" t="inlineStr">
        <is>
          <t>kilogram</t>
        </is>
      </c>
      <c r="D109" t="inlineStr">
        <is>
          <t>unit</t>
        </is>
      </c>
      <c r="E109" t="inlineStr">
        <is>
          <t>unit</t>
        </is>
      </c>
      <c r="F109" t="inlineStr">
        <is>
          <t>kilogram</t>
        </is>
      </c>
      <c r="G109" t="inlineStr">
        <is>
          <t>kilogram</t>
        </is>
      </c>
      <c r="K109" t="inlineStr">
        <is>
          <t>kilogram</t>
        </is>
      </c>
      <c r="L109" t="inlineStr">
        <is>
          <t>kilowatt hour</t>
        </is>
      </c>
      <c r="M109" t="inlineStr">
        <is>
          <t>unit</t>
        </is>
      </c>
      <c r="N109" t="inlineStr">
        <is>
          <t>meter-year</t>
        </is>
      </c>
      <c r="P109" t="inlineStr">
        <is>
          <t>unit</t>
        </is>
      </c>
      <c r="Q109" t="inlineStr">
        <is>
          <t>unit</t>
        </is>
      </c>
      <c r="R109" t="inlineStr">
        <is>
          <t>kilogram</t>
        </is>
      </c>
      <c r="S109" t="inlineStr">
        <is>
          <t>kilogram</t>
        </is>
      </c>
      <c r="T109" t="inlineStr">
        <is>
          <t>kilogram</t>
        </is>
      </c>
      <c r="U109" t="inlineStr">
        <is>
          <t>kilogram</t>
        </is>
      </c>
      <c r="V109" t="inlineStr">
        <is>
          <t>kilogram</t>
        </is>
      </c>
      <c r="W109" t="inlineStr">
        <is>
          <t>kilogram</t>
        </is>
      </c>
      <c r="X109" t="inlineStr">
        <is>
          <t>kilogram</t>
        </is>
      </c>
      <c r="Y109" t="inlineStr">
        <is>
          <t>kilogram</t>
        </is>
      </c>
      <c r="Z109" t="inlineStr">
        <is>
          <t>kilogram</t>
        </is>
      </c>
      <c r="AA109" t="inlineStr">
        <is>
          <t>kilogram</t>
        </is>
      </c>
      <c r="AB109" t="inlineStr">
        <is>
          <t>kilogram</t>
        </is>
      </c>
      <c r="AC109" t="inlineStr">
        <is>
          <t>kilogram</t>
        </is>
      </c>
      <c r="AD109" t="inlineStr">
        <is>
          <t>kilogram</t>
        </is>
      </c>
      <c r="AE109" t="inlineStr">
        <is>
          <t>kilogram</t>
        </is>
      </c>
      <c r="AF109" t="inlineStr">
        <is>
          <t>kilogram</t>
        </is>
      </c>
      <c r="AG109" t="inlineStr">
        <is>
          <t>kilogram</t>
        </is>
      </c>
      <c r="AH109" t="inlineStr">
        <is>
          <t>kilogram</t>
        </is>
      </c>
      <c r="AI109" t="inlineStr">
        <is>
          <t>kilogram</t>
        </is>
      </c>
      <c r="AJ109" t="inlineStr">
        <is>
          <t>kilogram</t>
        </is>
      </c>
      <c r="AK109" t="inlineStr">
        <is>
          <t>kilogram</t>
        </is>
      </c>
      <c r="AL109" t="inlineStr">
        <is>
          <t>kilogram</t>
        </is>
      </c>
      <c r="AM109" t="inlineStr">
        <is>
          <t>kilogram</t>
        </is>
      </c>
      <c r="AN109" t="inlineStr">
        <is>
          <t>kilogram</t>
        </is>
      </c>
      <c r="AO109" t="inlineStr">
        <is>
          <t>kilogram</t>
        </is>
      </c>
      <c r="AP109" t="inlineStr">
        <is>
          <t>kilogram</t>
        </is>
      </c>
      <c r="AQ109" t="inlineStr">
        <is>
          <t>kilogram</t>
        </is>
      </c>
      <c r="AR109" t="inlineStr">
        <is>
          <t>kilogram</t>
        </is>
      </c>
      <c r="AS109" t="inlineStr">
        <is>
          <t>kilogram</t>
        </is>
      </c>
      <c r="AT109" t="inlineStr">
        <is>
          <t>kilogram</t>
        </is>
      </c>
      <c r="AU109" t="inlineStr">
        <is>
          <t>kilogram</t>
        </is>
      </c>
      <c r="AV109" t="inlineStr">
        <is>
          <t>kilogram</t>
        </is>
      </c>
      <c r="AW109" t="inlineStr">
        <is>
          <t>kilogram</t>
        </is>
      </c>
      <c r="AX109" t="inlineStr">
        <is>
          <t>kilogram</t>
        </is>
      </c>
      <c r="AY109" t="inlineStr">
        <is>
          <t>kilogram</t>
        </is>
      </c>
      <c r="AZ109" t="inlineStr">
        <is>
          <t>kilogram</t>
        </is>
      </c>
      <c r="BA109" t="inlineStr">
        <is>
          <t>kilogram</t>
        </is>
      </c>
      <c r="BB109" t="inlineStr">
        <is>
          <t>kilogram</t>
        </is>
      </c>
      <c r="BC109" t="inlineStr">
        <is>
          <t>kilogram</t>
        </is>
      </c>
      <c r="BD109" t="inlineStr">
        <is>
          <t>kilogram</t>
        </is>
      </c>
      <c r="BE109" t="inlineStr">
        <is>
          <t>kilogram</t>
        </is>
      </c>
      <c r="BF109" t="inlineStr">
        <is>
          <t>kilogram</t>
        </is>
      </c>
      <c r="BG109" t="inlineStr">
        <is>
          <t>kilogram</t>
        </is>
      </c>
      <c r="BH109" t="inlineStr">
        <is>
          <t>kilogram</t>
        </is>
      </c>
      <c r="BI109" t="inlineStr">
        <is>
          <t>kilogram</t>
        </is>
      </c>
      <c r="BJ109" t="inlineStr">
        <is>
          <t>kilogram</t>
        </is>
      </c>
      <c r="BK109" t="inlineStr">
        <is>
          <t>kilogram</t>
        </is>
      </c>
      <c r="BL109" t="inlineStr">
        <is>
          <t>kilogram</t>
        </is>
      </c>
    </row>
    <row r="110">
      <c r="A110" t="inlineStr">
        <is>
          <t>Moped, gasoline, &lt;4kW, EURO-3</t>
        </is>
      </c>
      <c r="B110" t="inlineStr">
        <is>
          <t>unit</t>
        </is>
      </c>
      <c r="C110" t="inlineStr">
        <is>
          <t>kilogram</t>
        </is>
      </c>
      <c r="D110" t="inlineStr">
        <is>
          <t>unit</t>
        </is>
      </c>
      <c r="I110" t="inlineStr">
        <is>
          <t>kilogram</t>
        </is>
      </c>
      <c r="K110" t="inlineStr">
        <is>
          <t>kilogram</t>
        </is>
      </c>
      <c r="L110" t="inlineStr">
        <is>
          <t>kilowatt hour</t>
        </is>
      </c>
      <c r="M110" t="inlineStr">
        <is>
          <t>unit</t>
        </is>
      </c>
      <c r="N110" t="inlineStr">
        <is>
          <t>meter-year</t>
        </is>
      </c>
      <c r="O110" t="inlineStr">
        <is>
          <t>meter-year</t>
        </is>
      </c>
      <c r="R110" t="inlineStr">
        <is>
          <t>kilogram</t>
        </is>
      </c>
      <c r="S110" t="inlineStr">
        <is>
          <t>kilogram</t>
        </is>
      </c>
      <c r="T110" t="inlineStr">
        <is>
          <t>kilogram</t>
        </is>
      </c>
      <c r="U110" t="inlineStr">
        <is>
          <t>kilogram</t>
        </is>
      </c>
      <c r="V110" t="inlineStr">
        <is>
          <t>kilogram</t>
        </is>
      </c>
      <c r="W110" t="inlineStr">
        <is>
          <t>kilogram</t>
        </is>
      </c>
      <c r="X110" t="inlineStr">
        <is>
          <t>kilogram</t>
        </is>
      </c>
      <c r="Y110" t="inlineStr">
        <is>
          <t>kilogram</t>
        </is>
      </c>
      <c r="Z110" t="inlineStr">
        <is>
          <t>kilogram</t>
        </is>
      </c>
      <c r="AA110" t="inlineStr">
        <is>
          <t>kilogram</t>
        </is>
      </c>
      <c r="AB110" t="inlineStr">
        <is>
          <t>kilogram</t>
        </is>
      </c>
      <c r="AC110" t="inlineStr">
        <is>
          <t>kilogram</t>
        </is>
      </c>
      <c r="AD110" t="inlineStr">
        <is>
          <t>kilogram</t>
        </is>
      </c>
      <c r="AE110" t="inlineStr">
        <is>
          <t>kilogram</t>
        </is>
      </c>
      <c r="AF110" t="inlineStr">
        <is>
          <t>kilogram</t>
        </is>
      </c>
      <c r="AG110" t="inlineStr">
        <is>
          <t>kilogram</t>
        </is>
      </c>
      <c r="AH110" t="inlineStr">
        <is>
          <t>kilogram</t>
        </is>
      </c>
      <c r="AI110" t="inlineStr">
        <is>
          <t>kilogram</t>
        </is>
      </c>
      <c r="AJ110" t="inlineStr">
        <is>
          <t>kilogram</t>
        </is>
      </c>
      <c r="AK110" t="inlineStr">
        <is>
          <t>kilogram</t>
        </is>
      </c>
      <c r="AL110" t="inlineStr">
        <is>
          <t>kilogram</t>
        </is>
      </c>
      <c r="AM110" t="inlineStr">
        <is>
          <t>kilogram</t>
        </is>
      </c>
      <c r="AN110" t="inlineStr">
        <is>
          <t>kilogram</t>
        </is>
      </c>
      <c r="AO110" t="inlineStr">
        <is>
          <t>kilogram</t>
        </is>
      </c>
      <c r="AP110" t="inlineStr">
        <is>
          <t>kilogram</t>
        </is>
      </c>
      <c r="AQ110" t="inlineStr">
        <is>
          <t>kilogram</t>
        </is>
      </c>
      <c r="AR110" t="inlineStr">
        <is>
          <t>kilogram</t>
        </is>
      </c>
      <c r="AS110" t="inlineStr">
        <is>
          <t>kilogram</t>
        </is>
      </c>
      <c r="AT110" t="inlineStr">
        <is>
          <t>kilogram</t>
        </is>
      </c>
      <c r="AU110" t="inlineStr">
        <is>
          <t>kilogram</t>
        </is>
      </c>
      <c r="AV110" t="inlineStr">
        <is>
          <t>kilogram</t>
        </is>
      </c>
      <c r="AW110" t="inlineStr">
        <is>
          <t>kilogram</t>
        </is>
      </c>
      <c r="AX110" t="inlineStr">
        <is>
          <t>kilogram</t>
        </is>
      </c>
      <c r="AY110" t="inlineStr">
        <is>
          <t>kilogram</t>
        </is>
      </c>
      <c r="AZ110" t="inlineStr">
        <is>
          <t>kilogram</t>
        </is>
      </c>
      <c r="BA110" t="inlineStr">
        <is>
          <t>kilogram</t>
        </is>
      </c>
      <c r="BB110" t="inlineStr">
        <is>
          <t>kilogram</t>
        </is>
      </c>
      <c r="BC110" t="inlineStr">
        <is>
          <t>kilogram</t>
        </is>
      </c>
      <c r="BD110" t="inlineStr">
        <is>
          <t>kilogram</t>
        </is>
      </c>
      <c r="BE110" t="inlineStr">
        <is>
          <t>kilogram</t>
        </is>
      </c>
      <c r="BF110" t="inlineStr">
        <is>
          <t>kilogram</t>
        </is>
      </c>
      <c r="BG110" t="inlineStr">
        <is>
          <t>kilogram</t>
        </is>
      </c>
      <c r="BH110" t="inlineStr">
        <is>
          <t>kilogram</t>
        </is>
      </c>
      <c r="BI110" t="inlineStr">
        <is>
          <t>kilogram</t>
        </is>
      </c>
      <c r="BJ110" t="inlineStr">
        <is>
          <t>kilogram</t>
        </is>
      </c>
      <c r="BK110" t="inlineStr">
        <is>
          <t>kilogram</t>
        </is>
      </c>
      <c r="BL110" t="inlineStr">
        <is>
          <t>kilogram</t>
        </is>
      </c>
    </row>
    <row r="111">
      <c r="A111" t="inlineStr">
        <is>
          <t>Moped, gasoline, &lt;4kW, EURO-4</t>
        </is>
      </c>
      <c r="B111" t="inlineStr">
        <is>
          <t>unit</t>
        </is>
      </c>
      <c r="C111" t="inlineStr">
        <is>
          <t>kilogram</t>
        </is>
      </c>
      <c r="D111" t="inlineStr">
        <is>
          <t>unit</t>
        </is>
      </c>
      <c r="I111" t="inlineStr">
        <is>
          <t>kilogram</t>
        </is>
      </c>
      <c r="K111" t="inlineStr">
        <is>
          <t>kilogram</t>
        </is>
      </c>
      <c r="L111" t="inlineStr">
        <is>
          <t>kilowatt hour</t>
        </is>
      </c>
      <c r="M111" t="inlineStr">
        <is>
          <t>unit</t>
        </is>
      </c>
      <c r="N111" t="inlineStr">
        <is>
          <t>meter-year</t>
        </is>
      </c>
      <c r="O111" t="inlineStr">
        <is>
          <t>meter-year</t>
        </is>
      </c>
      <c r="R111" t="inlineStr">
        <is>
          <t>kilogram</t>
        </is>
      </c>
      <c r="S111" t="inlineStr">
        <is>
          <t>kilogram</t>
        </is>
      </c>
      <c r="T111" t="inlineStr">
        <is>
          <t>kilogram</t>
        </is>
      </c>
      <c r="U111" t="inlineStr">
        <is>
          <t>kilogram</t>
        </is>
      </c>
      <c r="V111" t="inlineStr">
        <is>
          <t>kilogram</t>
        </is>
      </c>
      <c r="W111" t="inlineStr">
        <is>
          <t>kilogram</t>
        </is>
      </c>
      <c r="X111" t="inlineStr">
        <is>
          <t>kilogram</t>
        </is>
      </c>
      <c r="Y111" t="inlineStr">
        <is>
          <t>kilogram</t>
        </is>
      </c>
      <c r="Z111" t="inlineStr">
        <is>
          <t>kilogram</t>
        </is>
      </c>
      <c r="AA111" t="inlineStr">
        <is>
          <t>kilogram</t>
        </is>
      </c>
      <c r="AB111" t="inlineStr">
        <is>
          <t>kilogram</t>
        </is>
      </c>
      <c r="AC111" t="inlineStr">
        <is>
          <t>kilogram</t>
        </is>
      </c>
      <c r="AD111" t="inlineStr">
        <is>
          <t>kilogram</t>
        </is>
      </c>
      <c r="AE111" t="inlineStr">
        <is>
          <t>kilogram</t>
        </is>
      </c>
      <c r="AF111" t="inlineStr">
        <is>
          <t>kilogram</t>
        </is>
      </c>
      <c r="AG111" t="inlineStr">
        <is>
          <t>kilogram</t>
        </is>
      </c>
      <c r="AH111" t="inlineStr">
        <is>
          <t>kilogram</t>
        </is>
      </c>
      <c r="AI111" t="inlineStr">
        <is>
          <t>kilogram</t>
        </is>
      </c>
      <c r="AJ111" t="inlineStr">
        <is>
          <t>kilogram</t>
        </is>
      </c>
      <c r="AK111" t="inlineStr">
        <is>
          <t>kilogram</t>
        </is>
      </c>
      <c r="AL111" t="inlineStr">
        <is>
          <t>kilogram</t>
        </is>
      </c>
      <c r="AM111" t="inlineStr">
        <is>
          <t>kilogram</t>
        </is>
      </c>
      <c r="AN111" t="inlineStr">
        <is>
          <t>kilogram</t>
        </is>
      </c>
      <c r="AO111" t="inlineStr">
        <is>
          <t>kilogram</t>
        </is>
      </c>
      <c r="AP111" t="inlineStr">
        <is>
          <t>kilogram</t>
        </is>
      </c>
      <c r="AQ111" t="inlineStr">
        <is>
          <t>kilogram</t>
        </is>
      </c>
      <c r="AR111" t="inlineStr">
        <is>
          <t>kilogram</t>
        </is>
      </c>
      <c r="AS111" t="inlineStr">
        <is>
          <t>kilogram</t>
        </is>
      </c>
      <c r="AT111" t="inlineStr">
        <is>
          <t>kilogram</t>
        </is>
      </c>
      <c r="AU111" t="inlineStr">
        <is>
          <t>kilogram</t>
        </is>
      </c>
      <c r="AV111" t="inlineStr">
        <is>
          <t>kilogram</t>
        </is>
      </c>
      <c r="AW111" t="inlineStr">
        <is>
          <t>kilogram</t>
        </is>
      </c>
      <c r="AX111" t="inlineStr">
        <is>
          <t>kilogram</t>
        </is>
      </c>
      <c r="AY111" t="inlineStr">
        <is>
          <t>kilogram</t>
        </is>
      </c>
      <c r="AZ111" t="inlineStr">
        <is>
          <t>kilogram</t>
        </is>
      </c>
      <c r="BA111" t="inlineStr">
        <is>
          <t>kilogram</t>
        </is>
      </c>
      <c r="BB111" t="inlineStr">
        <is>
          <t>kilogram</t>
        </is>
      </c>
      <c r="BC111" t="inlineStr">
        <is>
          <t>kilogram</t>
        </is>
      </c>
      <c r="BD111" t="inlineStr">
        <is>
          <t>kilogram</t>
        </is>
      </c>
      <c r="BE111" t="inlineStr">
        <is>
          <t>kilogram</t>
        </is>
      </c>
      <c r="BF111" t="inlineStr">
        <is>
          <t>kilogram</t>
        </is>
      </c>
      <c r="BG111" t="inlineStr">
        <is>
          <t>kilogram</t>
        </is>
      </c>
      <c r="BH111" t="inlineStr">
        <is>
          <t>kilogram</t>
        </is>
      </c>
      <c r="BI111" t="inlineStr">
        <is>
          <t>kilogram</t>
        </is>
      </c>
      <c r="BJ111" t="inlineStr">
        <is>
          <t>kilogram</t>
        </is>
      </c>
      <c r="BK111" t="inlineStr">
        <is>
          <t>kilogram</t>
        </is>
      </c>
      <c r="BL111" t="inlineStr">
        <is>
          <t>kilogram</t>
        </is>
      </c>
    </row>
    <row r="112">
      <c r="A112" t="inlineStr">
        <is>
          <t>Moped, gasoline, &lt;4kW, EURO-5</t>
        </is>
      </c>
      <c r="B112" t="inlineStr">
        <is>
          <t>unit</t>
        </is>
      </c>
      <c r="C112" t="inlineStr">
        <is>
          <t>kilogram</t>
        </is>
      </c>
      <c r="D112" t="inlineStr">
        <is>
          <t>unit</t>
        </is>
      </c>
      <c r="I112" t="inlineStr">
        <is>
          <t>kilogram</t>
        </is>
      </c>
      <c r="K112" t="inlineStr">
        <is>
          <t>kilogram</t>
        </is>
      </c>
      <c r="L112" t="inlineStr">
        <is>
          <t>kilowatt hour</t>
        </is>
      </c>
      <c r="M112" t="inlineStr">
        <is>
          <t>unit</t>
        </is>
      </c>
      <c r="N112" t="inlineStr">
        <is>
          <t>meter-year</t>
        </is>
      </c>
      <c r="O112" t="inlineStr">
        <is>
          <t>meter-year</t>
        </is>
      </c>
      <c r="R112" t="inlineStr">
        <is>
          <t>kilogram</t>
        </is>
      </c>
      <c r="S112" t="inlineStr">
        <is>
          <t>kilogram</t>
        </is>
      </c>
      <c r="T112" t="inlineStr">
        <is>
          <t>kilogram</t>
        </is>
      </c>
      <c r="U112" t="inlineStr">
        <is>
          <t>kilogram</t>
        </is>
      </c>
      <c r="V112" t="inlineStr">
        <is>
          <t>kilogram</t>
        </is>
      </c>
      <c r="W112" t="inlineStr">
        <is>
          <t>kilogram</t>
        </is>
      </c>
      <c r="X112" t="inlineStr">
        <is>
          <t>kilogram</t>
        </is>
      </c>
      <c r="Y112" t="inlineStr">
        <is>
          <t>kilogram</t>
        </is>
      </c>
      <c r="Z112" t="inlineStr">
        <is>
          <t>kilogram</t>
        </is>
      </c>
      <c r="AA112" t="inlineStr">
        <is>
          <t>kilogram</t>
        </is>
      </c>
      <c r="AB112" t="inlineStr">
        <is>
          <t>kilogram</t>
        </is>
      </c>
      <c r="AC112" t="inlineStr">
        <is>
          <t>kilogram</t>
        </is>
      </c>
      <c r="AD112" t="inlineStr">
        <is>
          <t>kilogram</t>
        </is>
      </c>
      <c r="AE112" t="inlineStr">
        <is>
          <t>kilogram</t>
        </is>
      </c>
      <c r="AF112" t="inlineStr">
        <is>
          <t>kilogram</t>
        </is>
      </c>
      <c r="AG112" t="inlineStr">
        <is>
          <t>kilogram</t>
        </is>
      </c>
      <c r="AH112" t="inlineStr">
        <is>
          <t>kilogram</t>
        </is>
      </c>
      <c r="AI112" t="inlineStr">
        <is>
          <t>kilogram</t>
        </is>
      </c>
      <c r="AJ112" t="inlineStr">
        <is>
          <t>kilogram</t>
        </is>
      </c>
      <c r="AK112" t="inlineStr">
        <is>
          <t>kilogram</t>
        </is>
      </c>
      <c r="AL112" t="inlineStr">
        <is>
          <t>kilogram</t>
        </is>
      </c>
      <c r="AM112" t="inlineStr">
        <is>
          <t>kilogram</t>
        </is>
      </c>
      <c r="AN112" t="inlineStr">
        <is>
          <t>kilogram</t>
        </is>
      </c>
      <c r="AO112" t="inlineStr">
        <is>
          <t>kilogram</t>
        </is>
      </c>
      <c r="AP112" t="inlineStr">
        <is>
          <t>kilogram</t>
        </is>
      </c>
      <c r="AQ112" t="inlineStr">
        <is>
          <t>kilogram</t>
        </is>
      </c>
      <c r="AR112" t="inlineStr">
        <is>
          <t>kilogram</t>
        </is>
      </c>
      <c r="AS112" t="inlineStr">
        <is>
          <t>kilogram</t>
        </is>
      </c>
      <c r="AT112" t="inlineStr">
        <is>
          <t>kilogram</t>
        </is>
      </c>
      <c r="AU112" t="inlineStr">
        <is>
          <t>kilogram</t>
        </is>
      </c>
      <c r="AV112" t="inlineStr">
        <is>
          <t>kilogram</t>
        </is>
      </c>
      <c r="AW112" t="inlineStr">
        <is>
          <t>kilogram</t>
        </is>
      </c>
      <c r="AX112" t="inlineStr">
        <is>
          <t>kilogram</t>
        </is>
      </c>
      <c r="AY112" t="inlineStr">
        <is>
          <t>kilogram</t>
        </is>
      </c>
      <c r="AZ112" t="inlineStr">
        <is>
          <t>kilogram</t>
        </is>
      </c>
      <c r="BA112" t="inlineStr">
        <is>
          <t>kilogram</t>
        </is>
      </c>
      <c r="BB112" t="inlineStr">
        <is>
          <t>kilogram</t>
        </is>
      </c>
      <c r="BC112" t="inlineStr">
        <is>
          <t>kilogram</t>
        </is>
      </c>
      <c r="BD112" t="inlineStr">
        <is>
          <t>kilogram</t>
        </is>
      </c>
      <c r="BE112" t="inlineStr">
        <is>
          <t>kilogram</t>
        </is>
      </c>
      <c r="BF112" t="inlineStr">
        <is>
          <t>kilogram</t>
        </is>
      </c>
      <c r="BG112" t="inlineStr">
        <is>
          <t>kilogram</t>
        </is>
      </c>
      <c r="BH112" t="inlineStr">
        <is>
          <t>kilogram</t>
        </is>
      </c>
      <c r="BI112" t="inlineStr">
        <is>
          <t>kilogram</t>
        </is>
      </c>
      <c r="BJ112" t="inlineStr">
        <is>
          <t>kilogram</t>
        </is>
      </c>
      <c r="BK112" t="inlineStr">
        <is>
          <t>kilogram</t>
        </is>
      </c>
      <c r="BL112" t="inlineStr">
        <is>
          <t>kilogram</t>
        </is>
      </c>
    </row>
    <row r="113">
      <c r="A113" t="inlineStr">
        <is>
          <t>Scooter, gasoline, &lt;4kW, EURO-3</t>
        </is>
      </c>
      <c r="B113" t="inlineStr">
        <is>
          <t>unit</t>
        </is>
      </c>
      <c r="C113" t="inlineStr">
        <is>
          <t>kilogram</t>
        </is>
      </c>
      <c r="D113" t="inlineStr">
        <is>
          <t>unit</t>
        </is>
      </c>
      <c r="I113" t="inlineStr">
        <is>
          <t>kilogram</t>
        </is>
      </c>
      <c r="K113" t="inlineStr">
        <is>
          <t>kilogram</t>
        </is>
      </c>
      <c r="L113" t="inlineStr">
        <is>
          <t>kilowatt hour</t>
        </is>
      </c>
      <c r="M113" t="inlineStr">
        <is>
          <t>unit</t>
        </is>
      </c>
      <c r="N113" t="inlineStr">
        <is>
          <t>meter-year</t>
        </is>
      </c>
      <c r="O113" t="inlineStr">
        <is>
          <t>meter-year</t>
        </is>
      </c>
      <c r="R113" t="inlineStr">
        <is>
          <t>kilogram</t>
        </is>
      </c>
      <c r="S113" t="inlineStr">
        <is>
          <t>kilogram</t>
        </is>
      </c>
      <c r="T113" t="inlineStr">
        <is>
          <t>kilogram</t>
        </is>
      </c>
      <c r="U113" t="inlineStr">
        <is>
          <t>kilogram</t>
        </is>
      </c>
      <c r="V113" t="inlineStr">
        <is>
          <t>kilogram</t>
        </is>
      </c>
      <c r="W113" t="inlineStr">
        <is>
          <t>kilogram</t>
        </is>
      </c>
      <c r="X113" t="inlineStr">
        <is>
          <t>kilogram</t>
        </is>
      </c>
      <c r="Y113" t="inlineStr">
        <is>
          <t>kilogram</t>
        </is>
      </c>
      <c r="Z113" t="inlineStr">
        <is>
          <t>kilogram</t>
        </is>
      </c>
      <c r="AA113" t="inlineStr">
        <is>
          <t>kilogram</t>
        </is>
      </c>
      <c r="AB113" t="inlineStr">
        <is>
          <t>kilogram</t>
        </is>
      </c>
      <c r="AC113" t="inlineStr">
        <is>
          <t>kilogram</t>
        </is>
      </c>
      <c r="AD113" t="inlineStr">
        <is>
          <t>kilogram</t>
        </is>
      </c>
      <c r="AE113" t="inlineStr">
        <is>
          <t>kilogram</t>
        </is>
      </c>
      <c r="AF113" t="inlineStr">
        <is>
          <t>kilogram</t>
        </is>
      </c>
      <c r="AG113" t="inlineStr">
        <is>
          <t>kilogram</t>
        </is>
      </c>
      <c r="AH113" t="inlineStr">
        <is>
          <t>kilogram</t>
        </is>
      </c>
      <c r="AI113" t="inlineStr">
        <is>
          <t>kilogram</t>
        </is>
      </c>
      <c r="AJ113" t="inlineStr">
        <is>
          <t>kilogram</t>
        </is>
      </c>
      <c r="AK113" t="inlineStr">
        <is>
          <t>kilogram</t>
        </is>
      </c>
      <c r="AL113" t="inlineStr">
        <is>
          <t>kilogram</t>
        </is>
      </c>
      <c r="AM113" t="inlineStr">
        <is>
          <t>kilogram</t>
        </is>
      </c>
      <c r="AN113" t="inlineStr">
        <is>
          <t>kilogram</t>
        </is>
      </c>
      <c r="AO113" t="inlineStr">
        <is>
          <t>kilogram</t>
        </is>
      </c>
      <c r="AP113" t="inlineStr">
        <is>
          <t>kilogram</t>
        </is>
      </c>
      <c r="AQ113" t="inlineStr">
        <is>
          <t>kilogram</t>
        </is>
      </c>
      <c r="AR113" t="inlineStr">
        <is>
          <t>kilogram</t>
        </is>
      </c>
      <c r="AS113" t="inlineStr">
        <is>
          <t>kilogram</t>
        </is>
      </c>
      <c r="AT113" t="inlineStr">
        <is>
          <t>kilogram</t>
        </is>
      </c>
      <c r="AU113" t="inlineStr">
        <is>
          <t>kilogram</t>
        </is>
      </c>
      <c r="AV113" t="inlineStr">
        <is>
          <t>kilogram</t>
        </is>
      </c>
      <c r="AW113" t="inlineStr">
        <is>
          <t>kilogram</t>
        </is>
      </c>
      <c r="AX113" t="inlineStr">
        <is>
          <t>kilogram</t>
        </is>
      </c>
      <c r="AY113" t="inlineStr">
        <is>
          <t>kilogram</t>
        </is>
      </c>
      <c r="AZ113" t="inlineStr">
        <is>
          <t>kilogram</t>
        </is>
      </c>
      <c r="BA113" t="inlineStr">
        <is>
          <t>kilogram</t>
        </is>
      </c>
      <c r="BB113" t="inlineStr">
        <is>
          <t>kilogram</t>
        </is>
      </c>
      <c r="BC113" t="inlineStr">
        <is>
          <t>kilogram</t>
        </is>
      </c>
      <c r="BD113" t="inlineStr">
        <is>
          <t>kilogram</t>
        </is>
      </c>
      <c r="BE113" t="inlineStr">
        <is>
          <t>kilogram</t>
        </is>
      </c>
      <c r="BF113" t="inlineStr">
        <is>
          <t>kilogram</t>
        </is>
      </c>
      <c r="BG113" t="inlineStr">
        <is>
          <t>kilogram</t>
        </is>
      </c>
      <c r="BH113" t="inlineStr">
        <is>
          <t>kilogram</t>
        </is>
      </c>
      <c r="BI113" t="inlineStr">
        <is>
          <t>kilogram</t>
        </is>
      </c>
      <c r="BJ113" t="inlineStr">
        <is>
          <t>kilogram</t>
        </is>
      </c>
      <c r="BK113" t="inlineStr">
        <is>
          <t>kilogram</t>
        </is>
      </c>
      <c r="BL113" t="inlineStr">
        <is>
          <t>kilogram</t>
        </is>
      </c>
    </row>
    <row r="114">
      <c r="A114" t="inlineStr">
        <is>
          <t>Scooter, gasoline, &lt;4kW, EURO-4</t>
        </is>
      </c>
      <c r="B114" t="inlineStr">
        <is>
          <t>unit</t>
        </is>
      </c>
      <c r="C114" t="inlineStr">
        <is>
          <t>kilogram</t>
        </is>
      </c>
      <c r="D114" t="inlineStr">
        <is>
          <t>unit</t>
        </is>
      </c>
      <c r="I114" t="inlineStr">
        <is>
          <t>kilogram</t>
        </is>
      </c>
      <c r="K114" t="inlineStr">
        <is>
          <t>kilogram</t>
        </is>
      </c>
      <c r="L114" t="inlineStr">
        <is>
          <t>kilowatt hour</t>
        </is>
      </c>
      <c r="M114" t="inlineStr">
        <is>
          <t>unit</t>
        </is>
      </c>
      <c r="N114" t="inlineStr">
        <is>
          <t>meter-year</t>
        </is>
      </c>
      <c r="O114" t="inlineStr">
        <is>
          <t>meter-year</t>
        </is>
      </c>
      <c r="R114" t="inlineStr">
        <is>
          <t>kilogram</t>
        </is>
      </c>
      <c r="S114" t="inlineStr">
        <is>
          <t>kilogram</t>
        </is>
      </c>
      <c r="T114" t="inlineStr">
        <is>
          <t>kilogram</t>
        </is>
      </c>
      <c r="U114" t="inlineStr">
        <is>
          <t>kilogram</t>
        </is>
      </c>
      <c r="V114" t="inlineStr">
        <is>
          <t>kilogram</t>
        </is>
      </c>
      <c r="W114" t="inlineStr">
        <is>
          <t>kilogram</t>
        </is>
      </c>
      <c r="X114" t="inlineStr">
        <is>
          <t>kilogram</t>
        </is>
      </c>
      <c r="Y114" t="inlineStr">
        <is>
          <t>kilogram</t>
        </is>
      </c>
      <c r="Z114" t="inlineStr">
        <is>
          <t>kilogram</t>
        </is>
      </c>
      <c r="AA114" t="inlineStr">
        <is>
          <t>kilogram</t>
        </is>
      </c>
      <c r="AB114" t="inlineStr">
        <is>
          <t>kilogram</t>
        </is>
      </c>
      <c r="AC114" t="inlineStr">
        <is>
          <t>kilogram</t>
        </is>
      </c>
      <c r="AD114" t="inlineStr">
        <is>
          <t>kilogram</t>
        </is>
      </c>
      <c r="AE114" t="inlineStr">
        <is>
          <t>kilogram</t>
        </is>
      </c>
      <c r="AF114" t="inlineStr">
        <is>
          <t>kilogram</t>
        </is>
      </c>
      <c r="AG114" t="inlineStr">
        <is>
          <t>kilogram</t>
        </is>
      </c>
      <c r="AH114" t="inlineStr">
        <is>
          <t>kilogram</t>
        </is>
      </c>
      <c r="AI114" t="inlineStr">
        <is>
          <t>kilogram</t>
        </is>
      </c>
      <c r="AJ114" t="inlineStr">
        <is>
          <t>kilogram</t>
        </is>
      </c>
      <c r="AK114" t="inlineStr">
        <is>
          <t>kilogram</t>
        </is>
      </c>
      <c r="AL114" t="inlineStr">
        <is>
          <t>kilogram</t>
        </is>
      </c>
      <c r="AM114" t="inlineStr">
        <is>
          <t>kilogram</t>
        </is>
      </c>
      <c r="AN114" t="inlineStr">
        <is>
          <t>kilogram</t>
        </is>
      </c>
      <c r="AO114" t="inlineStr">
        <is>
          <t>kilogram</t>
        </is>
      </c>
      <c r="AP114" t="inlineStr">
        <is>
          <t>kilogram</t>
        </is>
      </c>
      <c r="AQ114" t="inlineStr">
        <is>
          <t>kilogram</t>
        </is>
      </c>
      <c r="AR114" t="inlineStr">
        <is>
          <t>kilogram</t>
        </is>
      </c>
      <c r="AS114" t="inlineStr">
        <is>
          <t>kilogram</t>
        </is>
      </c>
      <c r="AT114" t="inlineStr">
        <is>
          <t>kilogram</t>
        </is>
      </c>
      <c r="AU114" t="inlineStr">
        <is>
          <t>kilogram</t>
        </is>
      </c>
      <c r="AV114" t="inlineStr">
        <is>
          <t>kilogram</t>
        </is>
      </c>
      <c r="AW114" t="inlineStr">
        <is>
          <t>kilogram</t>
        </is>
      </c>
      <c r="AX114" t="inlineStr">
        <is>
          <t>kilogram</t>
        </is>
      </c>
      <c r="AY114" t="inlineStr">
        <is>
          <t>kilogram</t>
        </is>
      </c>
      <c r="AZ114" t="inlineStr">
        <is>
          <t>kilogram</t>
        </is>
      </c>
      <c r="BA114" t="inlineStr">
        <is>
          <t>kilogram</t>
        </is>
      </c>
      <c r="BB114" t="inlineStr">
        <is>
          <t>kilogram</t>
        </is>
      </c>
      <c r="BC114" t="inlineStr">
        <is>
          <t>kilogram</t>
        </is>
      </c>
      <c r="BD114" t="inlineStr">
        <is>
          <t>kilogram</t>
        </is>
      </c>
      <c r="BE114" t="inlineStr">
        <is>
          <t>kilogram</t>
        </is>
      </c>
      <c r="BF114" t="inlineStr">
        <is>
          <t>kilogram</t>
        </is>
      </c>
      <c r="BG114" t="inlineStr">
        <is>
          <t>kilogram</t>
        </is>
      </c>
      <c r="BH114" t="inlineStr">
        <is>
          <t>kilogram</t>
        </is>
      </c>
      <c r="BI114" t="inlineStr">
        <is>
          <t>kilogram</t>
        </is>
      </c>
      <c r="BJ114" t="inlineStr">
        <is>
          <t>kilogram</t>
        </is>
      </c>
      <c r="BK114" t="inlineStr">
        <is>
          <t>kilogram</t>
        </is>
      </c>
      <c r="BL114" t="inlineStr">
        <is>
          <t>kilogram</t>
        </is>
      </c>
    </row>
    <row r="115">
      <c r="A115" t="inlineStr">
        <is>
          <t>Scooter, gasoline, &lt;4kW, EURO-5</t>
        </is>
      </c>
      <c r="B115" t="inlineStr">
        <is>
          <t>unit</t>
        </is>
      </c>
      <c r="C115" t="inlineStr">
        <is>
          <t>kilogram</t>
        </is>
      </c>
      <c r="D115" t="inlineStr">
        <is>
          <t>unit</t>
        </is>
      </c>
      <c r="I115" t="inlineStr">
        <is>
          <t>kilogram</t>
        </is>
      </c>
      <c r="K115" t="inlineStr">
        <is>
          <t>kilogram</t>
        </is>
      </c>
      <c r="L115" t="inlineStr">
        <is>
          <t>kilowatt hour</t>
        </is>
      </c>
      <c r="M115" t="inlineStr">
        <is>
          <t>unit</t>
        </is>
      </c>
      <c r="N115" t="inlineStr">
        <is>
          <t>meter-year</t>
        </is>
      </c>
      <c r="O115" t="inlineStr">
        <is>
          <t>meter-year</t>
        </is>
      </c>
      <c r="R115" t="inlineStr">
        <is>
          <t>kilogram</t>
        </is>
      </c>
      <c r="S115" t="inlineStr">
        <is>
          <t>kilogram</t>
        </is>
      </c>
      <c r="T115" t="inlineStr">
        <is>
          <t>kilogram</t>
        </is>
      </c>
      <c r="U115" t="inlineStr">
        <is>
          <t>kilogram</t>
        </is>
      </c>
      <c r="V115" t="inlineStr">
        <is>
          <t>kilogram</t>
        </is>
      </c>
      <c r="W115" t="inlineStr">
        <is>
          <t>kilogram</t>
        </is>
      </c>
      <c r="X115" t="inlineStr">
        <is>
          <t>kilogram</t>
        </is>
      </c>
      <c r="Y115" t="inlineStr">
        <is>
          <t>kilogram</t>
        </is>
      </c>
      <c r="Z115" t="inlineStr">
        <is>
          <t>kilogram</t>
        </is>
      </c>
      <c r="AA115" t="inlineStr">
        <is>
          <t>kilogram</t>
        </is>
      </c>
      <c r="AB115" t="inlineStr">
        <is>
          <t>kilogram</t>
        </is>
      </c>
      <c r="AC115" t="inlineStr">
        <is>
          <t>kilogram</t>
        </is>
      </c>
      <c r="AD115" t="inlineStr">
        <is>
          <t>kilogram</t>
        </is>
      </c>
      <c r="AE115" t="inlineStr">
        <is>
          <t>kilogram</t>
        </is>
      </c>
      <c r="AF115" t="inlineStr">
        <is>
          <t>kilogram</t>
        </is>
      </c>
      <c r="AG115" t="inlineStr">
        <is>
          <t>kilogram</t>
        </is>
      </c>
      <c r="AH115" t="inlineStr">
        <is>
          <t>kilogram</t>
        </is>
      </c>
      <c r="AI115" t="inlineStr">
        <is>
          <t>kilogram</t>
        </is>
      </c>
      <c r="AJ115" t="inlineStr">
        <is>
          <t>kilogram</t>
        </is>
      </c>
      <c r="AK115" t="inlineStr">
        <is>
          <t>kilogram</t>
        </is>
      </c>
      <c r="AL115" t="inlineStr">
        <is>
          <t>kilogram</t>
        </is>
      </c>
      <c r="AM115" t="inlineStr">
        <is>
          <t>kilogram</t>
        </is>
      </c>
      <c r="AN115" t="inlineStr">
        <is>
          <t>kilogram</t>
        </is>
      </c>
      <c r="AO115" t="inlineStr">
        <is>
          <t>kilogram</t>
        </is>
      </c>
      <c r="AP115" t="inlineStr">
        <is>
          <t>kilogram</t>
        </is>
      </c>
      <c r="AQ115" t="inlineStr">
        <is>
          <t>kilogram</t>
        </is>
      </c>
      <c r="AR115" t="inlineStr">
        <is>
          <t>kilogram</t>
        </is>
      </c>
      <c r="AS115" t="inlineStr">
        <is>
          <t>kilogram</t>
        </is>
      </c>
      <c r="AT115" t="inlineStr">
        <is>
          <t>kilogram</t>
        </is>
      </c>
      <c r="AU115" t="inlineStr">
        <is>
          <t>kilogram</t>
        </is>
      </c>
      <c r="AV115" t="inlineStr">
        <is>
          <t>kilogram</t>
        </is>
      </c>
      <c r="AW115" t="inlineStr">
        <is>
          <t>kilogram</t>
        </is>
      </c>
      <c r="AX115" t="inlineStr">
        <is>
          <t>kilogram</t>
        </is>
      </c>
      <c r="AY115" t="inlineStr">
        <is>
          <t>kilogram</t>
        </is>
      </c>
      <c r="AZ115" t="inlineStr">
        <is>
          <t>kilogram</t>
        </is>
      </c>
      <c r="BA115" t="inlineStr">
        <is>
          <t>kilogram</t>
        </is>
      </c>
      <c r="BB115" t="inlineStr">
        <is>
          <t>kilogram</t>
        </is>
      </c>
      <c r="BC115" t="inlineStr">
        <is>
          <t>kilogram</t>
        </is>
      </c>
      <c r="BD115" t="inlineStr">
        <is>
          <t>kilogram</t>
        </is>
      </c>
      <c r="BE115" t="inlineStr">
        <is>
          <t>kilogram</t>
        </is>
      </c>
      <c r="BF115" t="inlineStr">
        <is>
          <t>kilogram</t>
        </is>
      </c>
      <c r="BG115" t="inlineStr">
        <is>
          <t>kilogram</t>
        </is>
      </c>
      <c r="BH115" t="inlineStr">
        <is>
          <t>kilogram</t>
        </is>
      </c>
      <c r="BI115" t="inlineStr">
        <is>
          <t>kilogram</t>
        </is>
      </c>
      <c r="BJ115" t="inlineStr">
        <is>
          <t>kilogram</t>
        </is>
      </c>
      <c r="BK115" t="inlineStr">
        <is>
          <t>kilogram</t>
        </is>
      </c>
      <c r="BL115" t="inlineStr">
        <is>
          <t>kilogram</t>
        </is>
      </c>
    </row>
    <row r="116">
      <c r="A116" t="inlineStr">
        <is>
          <t>Scooter, gasoline, 4-11kW, EURO-3</t>
        </is>
      </c>
      <c r="B116" t="inlineStr">
        <is>
          <t>unit</t>
        </is>
      </c>
      <c r="C116" t="inlineStr">
        <is>
          <t>kilogram</t>
        </is>
      </c>
      <c r="D116" t="inlineStr">
        <is>
          <t>unit</t>
        </is>
      </c>
      <c r="I116" t="inlineStr">
        <is>
          <t>kilogram</t>
        </is>
      </c>
      <c r="K116" t="inlineStr">
        <is>
          <t>kilogram</t>
        </is>
      </c>
      <c r="L116" t="inlineStr">
        <is>
          <t>kilowatt hour</t>
        </is>
      </c>
      <c r="M116" t="inlineStr">
        <is>
          <t>unit</t>
        </is>
      </c>
      <c r="N116" t="inlineStr">
        <is>
          <t>meter-year</t>
        </is>
      </c>
      <c r="O116" t="inlineStr">
        <is>
          <t>meter-year</t>
        </is>
      </c>
      <c r="R116" t="inlineStr">
        <is>
          <t>kilogram</t>
        </is>
      </c>
      <c r="S116" t="inlineStr">
        <is>
          <t>kilogram</t>
        </is>
      </c>
      <c r="T116" t="inlineStr">
        <is>
          <t>kilogram</t>
        </is>
      </c>
      <c r="U116" t="inlineStr">
        <is>
          <t>kilogram</t>
        </is>
      </c>
      <c r="V116" t="inlineStr">
        <is>
          <t>kilogram</t>
        </is>
      </c>
      <c r="W116" t="inlineStr">
        <is>
          <t>kilogram</t>
        </is>
      </c>
      <c r="X116" t="inlineStr">
        <is>
          <t>kilogram</t>
        </is>
      </c>
      <c r="Y116" t="inlineStr">
        <is>
          <t>kilogram</t>
        </is>
      </c>
      <c r="Z116" t="inlineStr">
        <is>
          <t>kilogram</t>
        </is>
      </c>
      <c r="AA116" t="inlineStr">
        <is>
          <t>kilogram</t>
        </is>
      </c>
      <c r="AB116" t="inlineStr">
        <is>
          <t>kilogram</t>
        </is>
      </c>
      <c r="AC116" t="inlineStr">
        <is>
          <t>kilogram</t>
        </is>
      </c>
      <c r="AD116" t="inlineStr">
        <is>
          <t>kilogram</t>
        </is>
      </c>
      <c r="AE116" t="inlineStr">
        <is>
          <t>kilogram</t>
        </is>
      </c>
      <c r="AF116" t="inlineStr">
        <is>
          <t>kilogram</t>
        </is>
      </c>
      <c r="AG116" t="inlineStr">
        <is>
          <t>kilogram</t>
        </is>
      </c>
      <c r="AH116" t="inlineStr">
        <is>
          <t>kilogram</t>
        </is>
      </c>
      <c r="AI116" t="inlineStr">
        <is>
          <t>kilogram</t>
        </is>
      </c>
      <c r="AJ116" t="inlineStr">
        <is>
          <t>kilogram</t>
        </is>
      </c>
      <c r="AK116" t="inlineStr">
        <is>
          <t>kilogram</t>
        </is>
      </c>
      <c r="AL116" t="inlineStr">
        <is>
          <t>kilogram</t>
        </is>
      </c>
      <c r="AM116" t="inlineStr">
        <is>
          <t>kilogram</t>
        </is>
      </c>
      <c r="AN116" t="inlineStr">
        <is>
          <t>kilogram</t>
        </is>
      </c>
      <c r="AO116" t="inlineStr">
        <is>
          <t>kilogram</t>
        </is>
      </c>
      <c r="AP116" t="inlineStr">
        <is>
          <t>kilogram</t>
        </is>
      </c>
      <c r="AQ116" t="inlineStr">
        <is>
          <t>kilogram</t>
        </is>
      </c>
      <c r="AR116" t="inlineStr">
        <is>
          <t>kilogram</t>
        </is>
      </c>
      <c r="AS116" t="inlineStr">
        <is>
          <t>kilogram</t>
        </is>
      </c>
      <c r="AT116" t="inlineStr">
        <is>
          <t>kilogram</t>
        </is>
      </c>
      <c r="AU116" t="inlineStr">
        <is>
          <t>kilogram</t>
        </is>
      </c>
      <c r="AV116" t="inlineStr">
        <is>
          <t>kilogram</t>
        </is>
      </c>
      <c r="AW116" t="inlineStr">
        <is>
          <t>kilogram</t>
        </is>
      </c>
      <c r="AX116" t="inlineStr">
        <is>
          <t>kilogram</t>
        </is>
      </c>
      <c r="AY116" t="inlineStr">
        <is>
          <t>kilogram</t>
        </is>
      </c>
      <c r="AZ116" t="inlineStr">
        <is>
          <t>kilogram</t>
        </is>
      </c>
      <c r="BA116" t="inlineStr">
        <is>
          <t>kilogram</t>
        </is>
      </c>
      <c r="BB116" t="inlineStr">
        <is>
          <t>kilogram</t>
        </is>
      </c>
      <c r="BC116" t="inlineStr">
        <is>
          <t>kilogram</t>
        </is>
      </c>
      <c r="BD116" t="inlineStr">
        <is>
          <t>kilogram</t>
        </is>
      </c>
      <c r="BE116" t="inlineStr">
        <is>
          <t>kilogram</t>
        </is>
      </c>
      <c r="BF116" t="inlineStr">
        <is>
          <t>kilogram</t>
        </is>
      </c>
      <c r="BG116" t="inlineStr">
        <is>
          <t>kilogram</t>
        </is>
      </c>
      <c r="BH116" t="inlineStr">
        <is>
          <t>kilogram</t>
        </is>
      </c>
      <c r="BI116" t="inlineStr">
        <is>
          <t>kilogram</t>
        </is>
      </c>
      <c r="BJ116" t="inlineStr">
        <is>
          <t>kilogram</t>
        </is>
      </c>
      <c r="BK116" t="inlineStr">
        <is>
          <t>kilogram</t>
        </is>
      </c>
      <c r="BL116" t="inlineStr">
        <is>
          <t>kilogram</t>
        </is>
      </c>
    </row>
    <row r="117">
      <c r="A117" t="inlineStr">
        <is>
          <t>Scooter, gasoline, 4-11kW, EURO-4</t>
        </is>
      </c>
      <c r="B117" t="inlineStr">
        <is>
          <t>unit</t>
        </is>
      </c>
      <c r="C117" t="inlineStr">
        <is>
          <t>kilogram</t>
        </is>
      </c>
      <c r="D117" t="inlineStr">
        <is>
          <t>unit</t>
        </is>
      </c>
      <c r="I117" t="inlineStr">
        <is>
          <t>kilogram</t>
        </is>
      </c>
      <c r="K117" t="inlineStr">
        <is>
          <t>kilogram</t>
        </is>
      </c>
      <c r="L117" t="inlineStr">
        <is>
          <t>kilowatt hour</t>
        </is>
      </c>
      <c r="M117" t="inlineStr">
        <is>
          <t>unit</t>
        </is>
      </c>
      <c r="N117" t="inlineStr">
        <is>
          <t>meter-year</t>
        </is>
      </c>
      <c r="O117" t="inlineStr">
        <is>
          <t>meter-year</t>
        </is>
      </c>
      <c r="R117" t="inlineStr">
        <is>
          <t>kilogram</t>
        </is>
      </c>
      <c r="S117" t="inlineStr">
        <is>
          <t>kilogram</t>
        </is>
      </c>
      <c r="T117" t="inlineStr">
        <is>
          <t>kilogram</t>
        </is>
      </c>
      <c r="U117" t="inlineStr">
        <is>
          <t>kilogram</t>
        </is>
      </c>
      <c r="V117" t="inlineStr">
        <is>
          <t>kilogram</t>
        </is>
      </c>
      <c r="W117" t="inlineStr">
        <is>
          <t>kilogram</t>
        </is>
      </c>
      <c r="X117" t="inlineStr">
        <is>
          <t>kilogram</t>
        </is>
      </c>
      <c r="Y117" t="inlineStr">
        <is>
          <t>kilogram</t>
        </is>
      </c>
      <c r="Z117" t="inlineStr">
        <is>
          <t>kilogram</t>
        </is>
      </c>
      <c r="AA117" t="inlineStr">
        <is>
          <t>kilogram</t>
        </is>
      </c>
      <c r="AB117" t="inlineStr">
        <is>
          <t>kilogram</t>
        </is>
      </c>
      <c r="AC117" t="inlineStr">
        <is>
          <t>kilogram</t>
        </is>
      </c>
      <c r="AD117" t="inlineStr">
        <is>
          <t>kilogram</t>
        </is>
      </c>
      <c r="AE117" t="inlineStr">
        <is>
          <t>kilogram</t>
        </is>
      </c>
      <c r="AF117" t="inlineStr">
        <is>
          <t>kilogram</t>
        </is>
      </c>
      <c r="AG117" t="inlineStr">
        <is>
          <t>kilogram</t>
        </is>
      </c>
      <c r="AH117" t="inlineStr">
        <is>
          <t>kilogram</t>
        </is>
      </c>
      <c r="AI117" t="inlineStr">
        <is>
          <t>kilogram</t>
        </is>
      </c>
      <c r="AJ117" t="inlineStr">
        <is>
          <t>kilogram</t>
        </is>
      </c>
      <c r="AK117" t="inlineStr">
        <is>
          <t>kilogram</t>
        </is>
      </c>
      <c r="AL117" t="inlineStr">
        <is>
          <t>kilogram</t>
        </is>
      </c>
      <c r="AM117" t="inlineStr">
        <is>
          <t>kilogram</t>
        </is>
      </c>
      <c r="AN117" t="inlineStr">
        <is>
          <t>kilogram</t>
        </is>
      </c>
      <c r="AO117" t="inlineStr">
        <is>
          <t>kilogram</t>
        </is>
      </c>
      <c r="AP117" t="inlineStr">
        <is>
          <t>kilogram</t>
        </is>
      </c>
      <c r="AQ117" t="inlineStr">
        <is>
          <t>kilogram</t>
        </is>
      </c>
      <c r="AR117" t="inlineStr">
        <is>
          <t>kilogram</t>
        </is>
      </c>
      <c r="AS117" t="inlineStr">
        <is>
          <t>kilogram</t>
        </is>
      </c>
      <c r="AT117" t="inlineStr">
        <is>
          <t>kilogram</t>
        </is>
      </c>
      <c r="AU117" t="inlineStr">
        <is>
          <t>kilogram</t>
        </is>
      </c>
      <c r="AV117" t="inlineStr">
        <is>
          <t>kilogram</t>
        </is>
      </c>
      <c r="AW117" t="inlineStr">
        <is>
          <t>kilogram</t>
        </is>
      </c>
      <c r="AX117" t="inlineStr">
        <is>
          <t>kilogram</t>
        </is>
      </c>
      <c r="AY117" t="inlineStr">
        <is>
          <t>kilogram</t>
        </is>
      </c>
      <c r="AZ117" t="inlineStr">
        <is>
          <t>kilogram</t>
        </is>
      </c>
      <c r="BA117" t="inlineStr">
        <is>
          <t>kilogram</t>
        </is>
      </c>
      <c r="BB117" t="inlineStr">
        <is>
          <t>kilogram</t>
        </is>
      </c>
      <c r="BC117" t="inlineStr">
        <is>
          <t>kilogram</t>
        </is>
      </c>
      <c r="BD117" t="inlineStr">
        <is>
          <t>kilogram</t>
        </is>
      </c>
      <c r="BE117" t="inlineStr">
        <is>
          <t>kilogram</t>
        </is>
      </c>
      <c r="BF117" t="inlineStr">
        <is>
          <t>kilogram</t>
        </is>
      </c>
      <c r="BG117" t="inlineStr">
        <is>
          <t>kilogram</t>
        </is>
      </c>
      <c r="BH117" t="inlineStr">
        <is>
          <t>kilogram</t>
        </is>
      </c>
      <c r="BI117" t="inlineStr">
        <is>
          <t>kilogram</t>
        </is>
      </c>
      <c r="BJ117" t="inlineStr">
        <is>
          <t>kilogram</t>
        </is>
      </c>
      <c r="BK117" t="inlineStr">
        <is>
          <t>kilogram</t>
        </is>
      </c>
      <c r="BL117" t="inlineStr">
        <is>
          <t>kilogram</t>
        </is>
      </c>
    </row>
    <row r="118">
      <c r="A118" t="inlineStr">
        <is>
          <t>Scooter, gasoline, 4-11kW, EURO-5</t>
        </is>
      </c>
      <c r="B118" t="inlineStr">
        <is>
          <t>unit</t>
        </is>
      </c>
      <c r="C118" t="inlineStr">
        <is>
          <t>kilogram</t>
        </is>
      </c>
      <c r="D118" t="inlineStr">
        <is>
          <t>unit</t>
        </is>
      </c>
      <c r="I118" t="inlineStr">
        <is>
          <t>kilogram</t>
        </is>
      </c>
      <c r="K118" t="inlineStr">
        <is>
          <t>kilogram</t>
        </is>
      </c>
      <c r="L118" t="inlineStr">
        <is>
          <t>kilowatt hour</t>
        </is>
      </c>
      <c r="M118" t="inlineStr">
        <is>
          <t>unit</t>
        </is>
      </c>
      <c r="N118" t="inlineStr">
        <is>
          <t>meter-year</t>
        </is>
      </c>
      <c r="O118" t="inlineStr">
        <is>
          <t>meter-year</t>
        </is>
      </c>
      <c r="R118" t="inlineStr">
        <is>
          <t>kilogram</t>
        </is>
      </c>
      <c r="S118" t="inlineStr">
        <is>
          <t>kilogram</t>
        </is>
      </c>
      <c r="T118" t="inlineStr">
        <is>
          <t>kilogram</t>
        </is>
      </c>
      <c r="U118" t="inlineStr">
        <is>
          <t>kilogram</t>
        </is>
      </c>
      <c r="V118" t="inlineStr">
        <is>
          <t>kilogram</t>
        </is>
      </c>
      <c r="W118" t="inlineStr">
        <is>
          <t>kilogram</t>
        </is>
      </c>
      <c r="X118" t="inlineStr">
        <is>
          <t>kilogram</t>
        </is>
      </c>
      <c r="Y118" t="inlineStr">
        <is>
          <t>kilogram</t>
        </is>
      </c>
      <c r="Z118" t="inlineStr">
        <is>
          <t>kilogram</t>
        </is>
      </c>
      <c r="AA118" t="inlineStr">
        <is>
          <t>kilogram</t>
        </is>
      </c>
      <c r="AB118" t="inlineStr">
        <is>
          <t>kilogram</t>
        </is>
      </c>
      <c r="AC118" t="inlineStr">
        <is>
          <t>kilogram</t>
        </is>
      </c>
      <c r="AD118" t="inlineStr">
        <is>
          <t>kilogram</t>
        </is>
      </c>
      <c r="AE118" t="inlineStr">
        <is>
          <t>kilogram</t>
        </is>
      </c>
      <c r="AF118" t="inlineStr">
        <is>
          <t>kilogram</t>
        </is>
      </c>
      <c r="AG118" t="inlineStr">
        <is>
          <t>kilogram</t>
        </is>
      </c>
      <c r="AH118" t="inlineStr">
        <is>
          <t>kilogram</t>
        </is>
      </c>
      <c r="AI118" t="inlineStr">
        <is>
          <t>kilogram</t>
        </is>
      </c>
      <c r="AJ118" t="inlineStr">
        <is>
          <t>kilogram</t>
        </is>
      </c>
      <c r="AK118" t="inlineStr">
        <is>
          <t>kilogram</t>
        </is>
      </c>
      <c r="AL118" t="inlineStr">
        <is>
          <t>kilogram</t>
        </is>
      </c>
      <c r="AM118" t="inlineStr">
        <is>
          <t>kilogram</t>
        </is>
      </c>
      <c r="AN118" t="inlineStr">
        <is>
          <t>kilogram</t>
        </is>
      </c>
      <c r="AO118" t="inlineStr">
        <is>
          <t>kilogram</t>
        </is>
      </c>
      <c r="AP118" t="inlineStr">
        <is>
          <t>kilogram</t>
        </is>
      </c>
      <c r="AQ118" t="inlineStr">
        <is>
          <t>kilogram</t>
        </is>
      </c>
      <c r="AR118" t="inlineStr">
        <is>
          <t>kilogram</t>
        </is>
      </c>
      <c r="AS118" t="inlineStr">
        <is>
          <t>kilogram</t>
        </is>
      </c>
      <c r="AT118" t="inlineStr">
        <is>
          <t>kilogram</t>
        </is>
      </c>
      <c r="AU118" t="inlineStr">
        <is>
          <t>kilogram</t>
        </is>
      </c>
      <c r="AV118" t="inlineStr">
        <is>
          <t>kilogram</t>
        </is>
      </c>
      <c r="AW118" t="inlineStr">
        <is>
          <t>kilogram</t>
        </is>
      </c>
      <c r="AX118" t="inlineStr">
        <is>
          <t>kilogram</t>
        </is>
      </c>
      <c r="AY118" t="inlineStr">
        <is>
          <t>kilogram</t>
        </is>
      </c>
      <c r="AZ118" t="inlineStr">
        <is>
          <t>kilogram</t>
        </is>
      </c>
      <c r="BA118" t="inlineStr">
        <is>
          <t>kilogram</t>
        </is>
      </c>
      <c r="BB118" t="inlineStr">
        <is>
          <t>kilogram</t>
        </is>
      </c>
      <c r="BC118" t="inlineStr">
        <is>
          <t>kilogram</t>
        </is>
      </c>
      <c r="BD118" t="inlineStr">
        <is>
          <t>kilogram</t>
        </is>
      </c>
      <c r="BE118" t="inlineStr">
        <is>
          <t>kilogram</t>
        </is>
      </c>
      <c r="BF118" t="inlineStr">
        <is>
          <t>kilogram</t>
        </is>
      </c>
      <c r="BG118" t="inlineStr">
        <is>
          <t>kilogram</t>
        </is>
      </c>
      <c r="BH118" t="inlineStr">
        <is>
          <t>kilogram</t>
        </is>
      </c>
      <c r="BI118" t="inlineStr">
        <is>
          <t>kilogram</t>
        </is>
      </c>
      <c r="BJ118" t="inlineStr">
        <is>
          <t>kilogram</t>
        </is>
      </c>
      <c r="BK118" t="inlineStr">
        <is>
          <t>kilogram</t>
        </is>
      </c>
      <c r="BL118" t="inlineStr">
        <is>
          <t>kilogram</t>
        </is>
      </c>
    </row>
    <row r="119">
      <c r="A119" t="inlineStr">
        <is>
          <t>Scooter, battery electric, &lt;4kW</t>
        </is>
      </c>
      <c r="B119" t="inlineStr">
        <is>
          <t>kilogram</t>
        </is>
      </c>
      <c r="C119" t="inlineStr">
        <is>
          <t>kilogram</t>
        </is>
      </c>
      <c r="D119" t="inlineStr">
        <is>
          <t>kilogram</t>
        </is>
      </c>
      <c r="E119" t="inlineStr">
        <is>
          <t>kilogram</t>
        </is>
      </c>
      <c r="F119" t="inlineStr">
        <is>
          <t>kilogram</t>
        </is>
      </c>
      <c r="G119" t="inlineStr">
        <is>
          <t>kilogram</t>
        </is>
      </c>
      <c r="J119" t="inlineStr">
        <is>
          <t>unit</t>
        </is>
      </c>
      <c r="K119" t="inlineStr">
        <is>
          <t>kilogram</t>
        </is>
      </c>
      <c r="L119" t="inlineStr">
        <is>
          <t>kilowatt hour</t>
        </is>
      </c>
      <c r="M119" t="inlineStr">
        <is>
          <t>unit</t>
        </is>
      </c>
      <c r="N119" t="inlineStr">
        <is>
          <t>meter-year</t>
        </is>
      </c>
      <c r="O119" t="inlineStr">
        <is>
          <t>meter-year</t>
        </is>
      </c>
      <c r="P119" t="inlineStr">
        <is>
          <t>unit</t>
        </is>
      </c>
      <c r="Q119" t="inlineStr">
        <is>
          <t>unit</t>
        </is>
      </c>
      <c r="R119" t="inlineStr">
        <is>
          <t>kilogram</t>
        </is>
      </c>
      <c r="S119" t="inlineStr">
        <is>
          <t>kilogram</t>
        </is>
      </c>
      <c r="T119" t="inlineStr">
        <is>
          <t>kilogram</t>
        </is>
      </c>
      <c r="U119" t="inlineStr">
        <is>
          <t>kilogram</t>
        </is>
      </c>
      <c r="V119" t="inlineStr">
        <is>
          <t>kilogram</t>
        </is>
      </c>
      <c r="W119" t="inlineStr">
        <is>
          <t>kilogram</t>
        </is>
      </c>
      <c r="X119" t="inlineStr">
        <is>
          <t>kilogram</t>
        </is>
      </c>
      <c r="Y119" t="inlineStr">
        <is>
          <t>kilogram</t>
        </is>
      </c>
      <c r="Z119" t="inlineStr">
        <is>
          <t>kilogram</t>
        </is>
      </c>
      <c r="AA119" t="inlineStr">
        <is>
          <t>kilogram</t>
        </is>
      </c>
      <c r="AB119" t="inlineStr">
        <is>
          <t>kilogram</t>
        </is>
      </c>
      <c r="AC119" t="inlineStr">
        <is>
          <t>kilogram</t>
        </is>
      </c>
      <c r="AD119" t="inlineStr">
        <is>
          <t>kilogram</t>
        </is>
      </c>
      <c r="AE119" t="inlineStr">
        <is>
          <t>kilogram</t>
        </is>
      </c>
      <c r="AF119" t="inlineStr">
        <is>
          <t>kilogram</t>
        </is>
      </c>
      <c r="AG119" t="inlineStr">
        <is>
          <t>kilogram</t>
        </is>
      </c>
      <c r="AH119" t="inlineStr">
        <is>
          <t>kilogram</t>
        </is>
      </c>
      <c r="AI119" t="inlineStr">
        <is>
          <t>kilogram</t>
        </is>
      </c>
      <c r="AJ119" t="inlineStr">
        <is>
          <t>kilogram</t>
        </is>
      </c>
      <c r="AK119" t="inlineStr">
        <is>
          <t>kilogram</t>
        </is>
      </c>
      <c r="AL119" t="inlineStr">
        <is>
          <t>kilogram</t>
        </is>
      </c>
      <c r="AM119" t="inlineStr">
        <is>
          <t>kilogram</t>
        </is>
      </c>
      <c r="AN119" t="inlineStr">
        <is>
          <t>kilogram</t>
        </is>
      </c>
      <c r="AO119" t="inlineStr">
        <is>
          <t>kilogram</t>
        </is>
      </c>
      <c r="AP119" t="inlineStr">
        <is>
          <t>kilogram</t>
        </is>
      </c>
      <c r="AQ119" t="inlineStr">
        <is>
          <t>kilogram</t>
        </is>
      </c>
      <c r="AR119" t="inlineStr">
        <is>
          <t>kilogram</t>
        </is>
      </c>
      <c r="AS119" t="inlineStr">
        <is>
          <t>kilogram</t>
        </is>
      </c>
      <c r="AT119" t="inlineStr">
        <is>
          <t>kilogram</t>
        </is>
      </c>
      <c r="AU119" t="inlineStr">
        <is>
          <t>kilogram</t>
        </is>
      </c>
      <c r="AV119" t="inlineStr">
        <is>
          <t>kilogram</t>
        </is>
      </c>
      <c r="AW119" t="inlineStr">
        <is>
          <t>kilogram</t>
        </is>
      </c>
      <c r="AX119" t="inlineStr">
        <is>
          <t>kilogram</t>
        </is>
      </c>
      <c r="AY119" t="inlineStr">
        <is>
          <t>kilogram</t>
        </is>
      </c>
      <c r="AZ119" t="inlineStr">
        <is>
          <t>kilogram</t>
        </is>
      </c>
      <c r="BA119" t="inlineStr">
        <is>
          <t>kilogram</t>
        </is>
      </c>
      <c r="BB119" t="inlineStr">
        <is>
          <t>kilogram</t>
        </is>
      </c>
      <c r="BC119" t="inlineStr">
        <is>
          <t>kilogram</t>
        </is>
      </c>
      <c r="BD119" t="inlineStr">
        <is>
          <t>kilogram</t>
        </is>
      </c>
      <c r="BE119" t="inlineStr">
        <is>
          <t>kilogram</t>
        </is>
      </c>
      <c r="BF119" t="inlineStr">
        <is>
          <t>kilogram</t>
        </is>
      </c>
      <c r="BG119" t="inlineStr">
        <is>
          <t>kilogram</t>
        </is>
      </c>
      <c r="BH119" t="inlineStr">
        <is>
          <t>kilogram</t>
        </is>
      </c>
      <c r="BI119" t="inlineStr">
        <is>
          <t>kilogram</t>
        </is>
      </c>
      <c r="BJ119" t="inlineStr">
        <is>
          <t>kilogram</t>
        </is>
      </c>
      <c r="BK119" t="inlineStr">
        <is>
          <t>kilogram</t>
        </is>
      </c>
      <c r="BL119" t="inlineStr">
        <is>
          <t>kilogram</t>
        </is>
      </c>
    </row>
    <row r="120">
      <c r="A120" t="inlineStr">
        <is>
          <t>Scooter, battery electric, 4-11kW</t>
        </is>
      </c>
      <c r="B120" t="inlineStr">
        <is>
          <t>kilogram</t>
        </is>
      </c>
      <c r="C120" t="inlineStr">
        <is>
          <t>kilogram</t>
        </is>
      </c>
      <c r="D120" t="inlineStr">
        <is>
          <t>kilogram</t>
        </is>
      </c>
      <c r="E120" t="inlineStr">
        <is>
          <t>kilogram</t>
        </is>
      </c>
      <c r="F120" t="inlineStr">
        <is>
          <t>kilogram</t>
        </is>
      </c>
      <c r="G120" t="inlineStr">
        <is>
          <t>kilogram</t>
        </is>
      </c>
      <c r="J120" t="inlineStr">
        <is>
          <t>unit</t>
        </is>
      </c>
      <c r="K120" t="inlineStr">
        <is>
          <t>kilogram</t>
        </is>
      </c>
      <c r="L120" t="inlineStr">
        <is>
          <t>kilowatt hour</t>
        </is>
      </c>
      <c r="M120" t="inlineStr">
        <is>
          <t>unit</t>
        </is>
      </c>
      <c r="N120" t="inlineStr">
        <is>
          <t>meter-year</t>
        </is>
      </c>
      <c r="O120" t="inlineStr">
        <is>
          <t>meter-year</t>
        </is>
      </c>
      <c r="P120" t="inlineStr">
        <is>
          <t>unit</t>
        </is>
      </c>
      <c r="Q120" t="inlineStr">
        <is>
          <t>unit</t>
        </is>
      </c>
      <c r="R120" t="inlineStr">
        <is>
          <t>kilogram</t>
        </is>
      </c>
      <c r="S120" t="inlineStr">
        <is>
          <t>kilogram</t>
        </is>
      </c>
      <c r="T120" t="inlineStr">
        <is>
          <t>kilogram</t>
        </is>
      </c>
      <c r="U120" t="inlineStr">
        <is>
          <t>kilogram</t>
        </is>
      </c>
      <c r="V120" t="inlineStr">
        <is>
          <t>kilogram</t>
        </is>
      </c>
      <c r="W120" t="inlineStr">
        <is>
          <t>kilogram</t>
        </is>
      </c>
      <c r="X120" t="inlineStr">
        <is>
          <t>kilogram</t>
        </is>
      </c>
      <c r="Y120" t="inlineStr">
        <is>
          <t>kilogram</t>
        </is>
      </c>
      <c r="Z120" t="inlineStr">
        <is>
          <t>kilogram</t>
        </is>
      </c>
      <c r="AA120" t="inlineStr">
        <is>
          <t>kilogram</t>
        </is>
      </c>
      <c r="AB120" t="inlineStr">
        <is>
          <t>kilogram</t>
        </is>
      </c>
      <c r="AC120" t="inlineStr">
        <is>
          <t>kilogram</t>
        </is>
      </c>
      <c r="AD120" t="inlineStr">
        <is>
          <t>kilogram</t>
        </is>
      </c>
      <c r="AE120" t="inlineStr">
        <is>
          <t>kilogram</t>
        </is>
      </c>
      <c r="AF120" t="inlineStr">
        <is>
          <t>kilogram</t>
        </is>
      </c>
      <c r="AG120" t="inlineStr">
        <is>
          <t>kilogram</t>
        </is>
      </c>
      <c r="AH120" t="inlineStr">
        <is>
          <t>kilogram</t>
        </is>
      </c>
      <c r="AI120" t="inlineStr">
        <is>
          <t>kilogram</t>
        </is>
      </c>
      <c r="AJ120" t="inlineStr">
        <is>
          <t>kilogram</t>
        </is>
      </c>
      <c r="AK120" t="inlineStr">
        <is>
          <t>kilogram</t>
        </is>
      </c>
      <c r="AL120" t="inlineStr">
        <is>
          <t>kilogram</t>
        </is>
      </c>
      <c r="AM120" t="inlineStr">
        <is>
          <t>kilogram</t>
        </is>
      </c>
      <c r="AN120" t="inlineStr">
        <is>
          <t>kilogram</t>
        </is>
      </c>
      <c r="AO120" t="inlineStr">
        <is>
          <t>kilogram</t>
        </is>
      </c>
      <c r="AP120" t="inlineStr">
        <is>
          <t>kilogram</t>
        </is>
      </c>
      <c r="AQ120" t="inlineStr">
        <is>
          <t>kilogram</t>
        </is>
      </c>
      <c r="AR120" t="inlineStr">
        <is>
          <t>kilogram</t>
        </is>
      </c>
      <c r="AS120" t="inlineStr">
        <is>
          <t>kilogram</t>
        </is>
      </c>
      <c r="AT120" t="inlineStr">
        <is>
          <t>kilogram</t>
        </is>
      </c>
      <c r="AU120" t="inlineStr">
        <is>
          <t>kilogram</t>
        </is>
      </c>
      <c r="AV120" t="inlineStr">
        <is>
          <t>kilogram</t>
        </is>
      </c>
      <c r="AW120" t="inlineStr">
        <is>
          <t>kilogram</t>
        </is>
      </c>
      <c r="AX120" t="inlineStr">
        <is>
          <t>kilogram</t>
        </is>
      </c>
      <c r="AY120" t="inlineStr">
        <is>
          <t>kilogram</t>
        </is>
      </c>
      <c r="AZ120" t="inlineStr">
        <is>
          <t>kilogram</t>
        </is>
      </c>
      <c r="BA120" t="inlineStr">
        <is>
          <t>kilogram</t>
        </is>
      </c>
      <c r="BB120" t="inlineStr">
        <is>
          <t>kilogram</t>
        </is>
      </c>
      <c r="BC120" t="inlineStr">
        <is>
          <t>kilogram</t>
        </is>
      </c>
      <c r="BD120" t="inlineStr">
        <is>
          <t>kilogram</t>
        </is>
      </c>
      <c r="BE120" t="inlineStr">
        <is>
          <t>kilogram</t>
        </is>
      </c>
      <c r="BF120" t="inlineStr">
        <is>
          <t>kilogram</t>
        </is>
      </c>
      <c r="BG120" t="inlineStr">
        <is>
          <t>kilogram</t>
        </is>
      </c>
      <c r="BH120" t="inlineStr">
        <is>
          <t>kilogram</t>
        </is>
      </c>
      <c r="BI120" t="inlineStr">
        <is>
          <t>kilogram</t>
        </is>
      </c>
      <c r="BJ120" t="inlineStr">
        <is>
          <t>kilogram</t>
        </is>
      </c>
      <c r="BK120" t="inlineStr">
        <is>
          <t>kilogram</t>
        </is>
      </c>
      <c r="BL120" t="inlineStr">
        <is>
          <t>kilogram</t>
        </is>
      </c>
    </row>
    <row r="121">
      <c r="A121" t="inlineStr">
        <is>
          <t>Motorbike, gasoline, 4-11kW, EURO-3</t>
        </is>
      </c>
      <c r="B121" t="inlineStr">
        <is>
          <t>unit</t>
        </is>
      </c>
      <c r="C121" t="inlineStr">
        <is>
          <t>kilogram</t>
        </is>
      </c>
      <c r="D121" t="inlineStr">
        <is>
          <t>unit</t>
        </is>
      </c>
      <c r="I121" t="inlineStr">
        <is>
          <t>kilogram</t>
        </is>
      </c>
      <c r="K121" t="inlineStr">
        <is>
          <t>kilogram</t>
        </is>
      </c>
      <c r="L121" t="inlineStr">
        <is>
          <t>kilowatt hour</t>
        </is>
      </c>
      <c r="M121" t="inlineStr">
        <is>
          <t>unit</t>
        </is>
      </c>
      <c r="N121" t="inlineStr">
        <is>
          <t>meter-year</t>
        </is>
      </c>
      <c r="O121" t="inlineStr">
        <is>
          <t>meter-year</t>
        </is>
      </c>
      <c r="R121" t="inlineStr">
        <is>
          <t>kilogram</t>
        </is>
      </c>
      <c r="S121" t="inlineStr">
        <is>
          <t>kilogram</t>
        </is>
      </c>
      <c r="T121" t="inlineStr">
        <is>
          <t>kilogram</t>
        </is>
      </c>
      <c r="U121" t="inlineStr">
        <is>
          <t>kilogram</t>
        </is>
      </c>
      <c r="V121" t="inlineStr">
        <is>
          <t>kilogram</t>
        </is>
      </c>
      <c r="W121" t="inlineStr">
        <is>
          <t>kilogram</t>
        </is>
      </c>
      <c r="X121" t="inlineStr">
        <is>
          <t>kilogram</t>
        </is>
      </c>
      <c r="Y121" t="inlineStr">
        <is>
          <t>kilogram</t>
        </is>
      </c>
      <c r="Z121" t="inlineStr">
        <is>
          <t>kilogram</t>
        </is>
      </c>
      <c r="AA121" t="inlineStr">
        <is>
          <t>kilogram</t>
        </is>
      </c>
      <c r="AB121" t="inlineStr">
        <is>
          <t>kilogram</t>
        </is>
      </c>
      <c r="AC121" t="inlineStr">
        <is>
          <t>kilogram</t>
        </is>
      </c>
      <c r="AD121" t="inlineStr">
        <is>
          <t>kilogram</t>
        </is>
      </c>
      <c r="AE121" t="inlineStr">
        <is>
          <t>kilogram</t>
        </is>
      </c>
      <c r="AF121" t="inlineStr">
        <is>
          <t>kilogram</t>
        </is>
      </c>
      <c r="AG121" t="inlineStr">
        <is>
          <t>kilogram</t>
        </is>
      </c>
      <c r="AH121" t="inlineStr">
        <is>
          <t>kilogram</t>
        </is>
      </c>
      <c r="AI121" t="inlineStr">
        <is>
          <t>kilogram</t>
        </is>
      </c>
      <c r="AJ121" t="inlineStr">
        <is>
          <t>kilogram</t>
        </is>
      </c>
      <c r="AK121" t="inlineStr">
        <is>
          <t>kilogram</t>
        </is>
      </c>
      <c r="AL121" t="inlineStr">
        <is>
          <t>kilogram</t>
        </is>
      </c>
      <c r="AM121" t="inlineStr">
        <is>
          <t>kilogram</t>
        </is>
      </c>
      <c r="AN121" t="inlineStr">
        <is>
          <t>kilogram</t>
        </is>
      </c>
      <c r="AO121" t="inlineStr">
        <is>
          <t>kilogram</t>
        </is>
      </c>
      <c r="AP121" t="inlineStr">
        <is>
          <t>kilogram</t>
        </is>
      </c>
      <c r="AQ121" t="inlineStr">
        <is>
          <t>kilogram</t>
        </is>
      </c>
      <c r="AR121" t="inlineStr">
        <is>
          <t>kilogram</t>
        </is>
      </c>
      <c r="AS121" t="inlineStr">
        <is>
          <t>kilogram</t>
        </is>
      </c>
      <c r="AT121" t="inlineStr">
        <is>
          <t>kilogram</t>
        </is>
      </c>
      <c r="AU121" t="inlineStr">
        <is>
          <t>kilogram</t>
        </is>
      </c>
      <c r="AV121" t="inlineStr">
        <is>
          <t>kilogram</t>
        </is>
      </c>
      <c r="AW121" t="inlineStr">
        <is>
          <t>kilogram</t>
        </is>
      </c>
      <c r="AX121" t="inlineStr">
        <is>
          <t>kilogram</t>
        </is>
      </c>
      <c r="AY121" t="inlineStr">
        <is>
          <t>kilogram</t>
        </is>
      </c>
      <c r="AZ121" t="inlineStr">
        <is>
          <t>kilogram</t>
        </is>
      </c>
      <c r="BA121" t="inlineStr">
        <is>
          <t>kilogram</t>
        </is>
      </c>
      <c r="BB121" t="inlineStr">
        <is>
          <t>kilogram</t>
        </is>
      </c>
      <c r="BC121" t="inlineStr">
        <is>
          <t>kilogram</t>
        </is>
      </c>
      <c r="BD121" t="inlineStr">
        <is>
          <t>kilogram</t>
        </is>
      </c>
      <c r="BE121" t="inlineStr">
        <is>
          <t>kilogram</t>
        </is>
      </c>
      <c r="BF121" t="inlineStr">
        <is>
          <t>kilogram</t>
        </is>
      </c>
      <c r="BG121" t="inlineStr">
        <is>
          <t>kilogram</t>
        </is>
      </c>
      <c r="BH121" t="inlineStr">
        <is>
          <t>kilogram</t>
        </is>
      </c>
      <c r="BI121" t="inlineStr">
        <is>
          <t>kilogram</t>
        </is>
      </c>
      <c r="BJ121" t="inlineStr">
        <is>
          <t>kilogram</t>
        </is>
      </c>
      <c r="BK121" t="inlineStr">
        <is>
          <t>kilogram</t>
        </is>
      </c>
      <c r="BL121" t="inlineStr">
        <is>
          <t>kilogram</t>
        </is>
      </c>
    </row>
    <row r="122">
      <c r="A122" t="inlineStr">
        <is>
          <t>Motorbike, gasoline, 4-11kW, EURO-4</t>
        </is>
      </c>
      <c r="B122" t="inlineStr">
        <is>
          <t>unit</t>
        </is>
      </c>
      <c r="C122" t="inlineStr">
        <is>
          <t>kilogram</t>
        </is>
      </c>
      <c r="D122" t="inlineStr">
        <is>
          <t>unit</t>
        </is>
      </c>
      <c r="I122" t="inlineStr">
        <is>
          <t>kilogram</t>
        </is>
      </c>
      <c r="K122" t="inlineStr">
        <is>
          <t>kilogram</t>
        </is>
      </c>
      <c r="L122" t="inlineStr">
        <is>
          <t>kilowatt hour</t>
        </is>
      </c>
      <c r="M122" t="inlineStr">
        <is>
          <t>unit</t>
        </is>
      </c>
      <c r="N122" t="inlineStr">
        <is>
          <t>meter-year</t>
        </is>
      </c>
      <c r="O122" t="inlineStr">
        <is>
          <t>meter-year</t>
        </is>
      </c>
      <c r="R122" t="inlineStr">
        <is>
          <t>kilogram</t>
        </is>
      </c>
      <c r="S122" t="inlineStr">
        <is>
          <t>kilogram</t>
        </is>
      </c>
      <c r="T122" t="inlineStr">
        <is>
          <t>kilogram</t>
        </is>
      </c>
      <c r="U122" t="inlineStr">
        <is>
          <t>kilogram</t>
        </is>
      </c>
      <c r="V122" t="inlineStr">
        <is>
          <t>kilogram</t>
        </is>
      </c>
      <c r="W122" t="inlineStr">
        <is>
          <t>kilogram</t>
        </is>
      </c>
      <c r="X122" t="inlineStr">
        <is>
          <t>kilogram</t>
        </is>
      </c>
      <c r="Y122" t="inlineStr">
        <is>
          <t>kilogram</t>
        </is>
      </c>
      <c r="Z122" t="inlineStr">
        <is>
          <t>kilogram</t>
        </is>
      </c>
      <c r="AA122" t="inlineStr">
        <is>
          <t>kilogram</t>
        </is>
      </c>
      <c r="AB122" t="inlineStr">
        <is>
          <t>kilogram</t>
        </is>
      </c>
      <c r="AC122" t="inlineStr">
        <is>
          <t>kilogram</t>
        </is>
      </c>
      <c r="AD122" t="inlineStr">
        <is>
          <t>kilogram</t>
        </is>
      </c>
      <c r="AE122" t="inlineStr">
        <is>
          <t>kilogram</t>
        </is>
      </c>
      <c r="AF122" t="inlineStr">
        <is>
          <t>kilogram</t>
        </is>
      </c>
      <c r="AG122" t="inlineStr">
        <is>
          <t>kilogram</t>
        </is>
      </c>
      <c r="AH122" t="inlineStr">
        <is>
          <t>kilogram</t>
        </is>
      </c>
      <c r="AI122" t="inlineStr">
        <is>
          <t>kilogram</t>
        </is>
      </c>
      <c r="AJ122" t="inlineStr">
        <is>
          <t>kilogram</t>
        </is>
      </c>
      <c r="AK122" t="inlineStr">
        <is>
          <t>kilogram</t>
        </is>
      </c>
      <c r="AL122" t="inlineStr">
        <is>
          <t>kilogram</t>
        </is>
      </c>
      <c r="AM122" t="inlineStr">
        <is>
          <t>kilogram</t>
        </is>
      </c>
      <c r="AN122" t="inlineStr">
        <is>
          <t>kilogram</t>
        </is>
      </c>
      <c r="AO122" t="inlineStr">
        <is>
          <t>kilogram</t>
        </is>
      </c>
      <c r="AP122" t="inlineStr">
        <is>
          <t>kilogram</t>
        </is>
      </c>
      <c r="AQ122" t="inlineStr">
        <is>
          <t>kilogram</t>
        </is>
      </c>
      <c r="AR122" t="inlineStr">
        <is>
          <t>kilogram</t>
        </is>
      </c>
      <c r="AS122" t="inlineStr">
        <is>
          <t>kilogram</t>
        </is>
      </c>
      <c r="AT122" t="inlineStr">
        <is>
          <t>kilogram</t>
        </is>
      </c>
      <c r="AU122" t="inlineStr">
        <is>
          <t>kilogram</t>
        </is>
      </c>
      <c r="AV122" t="inlineStr">
        <is>
          <t>kilogram</t>
        </is>
      </c>
      <c r="AW122" t="inlineStr">
        <is>
          <t>kilogram</t>
        </is>
      </c>
      <c r="AX122" t="inlineStr">
        <is>
          <t>kilogram</t>
        </is>
      </c>
      <c r="AY122" t="inlineStr">
        <is>
          <t>kilogram</t>
        </is>
      </c>
      <c r="AZ122" t="inlineStr">
        <is>
          <t>kilogram</t>
        </is>
      </c>
      <c r="BA122" t="inlineStr">
        <is>
          <t>kilogram</t>
        </is>
      </c>
      <c r="BB122" t="inlineStr">
        <is>
          <t>kilogram</t>
        </is>
      </c>
      <c r="BC122" t="inlineStr">
        <is>
          <t>kilogram</t>
        </is>
      </c>
      <c r="BD122" t="inlineStr">
        <is>
          <t>kilogram</t>
        </is>
      </c>
      <c r="BE122" t="inlineStr">
        <is>
          <t>kilogram</t>
        </is>
      </c>
      <c r="BF122" t="inlineStr">
        <is>
          <t>kilogram</t>
        </is>
      </c>
      <c r="BG122" t="inlineStr">
        <is>
          <t>kilogram</t>
        </is>
      </c>
      <c r="BH122" t="inlineStr">
        <is>
          <t>kilogram</t>
        </is>
      </c>
      <c r="BI122" t="inlineStr">
        <is>
          <t>kilogram</t>
        </is>
      </c>
      <c r="BJ122" t="inlineStr">
        <is>
          <t>kilogram</t>
        </is>
      </c>
      <c r="BK122" t="inlineStr">
        <is>
          <t>kilogram</t>
        </is>
      </c>
      <c r="BL122" t="inlineStr">
        <is>
          <t>kilogram</t>
        </is>
      </c>
    </row>
    <row r="123">
      <c r="A123" t="inlineStr">
        <is>
          <t>Motorbike, gasoline, 4-11kW, EURO-5</t>
        </is>
      </c>
      <c r="B123" t="inlineStr">
        <is>
          <t>unit</t>
        </is>
      </c>
      <c r="C123" t="inlineStr">
        <is>
          <t>kilogram</t>
        </is>
      </c>
      <c r="D123" t="inlineStr">
        <is>
          <t>unit</t>
        </is>
      </c>
      <c r="I123" t="inlineStr">
        <is>
          <t>kilogram</t>
        </is>
      </c>
      <c r="K123" t="inlineStr">
        <is>
          <t>kilogram</t>
        </is>
      </c>
      <c r="L123" t="inlineStr">
        <is>
          <t>kilowatt hour</t>
        </is>
      </c>
      <c r="M123" t="inlineStr">
        <is>
          <t>unit</t>
        </is>
      </c>
      <c r="N123" t="inlineStr">
        <is>
          <t>meter-year</t>
        </is>
      </c>
      <c r="O123" t="inlineStr">
        <is>
          <t>meter-year</t>
        </is>
      </c>
      <c r="R123" t="inlineStr">
        <is>
          <t>kilogram</t>
        </is>
      </c>
      <c r="S123" t="inlineStr">
        <is>
          <t>kilogram</t>
        </is>
      </c>
      <c r="T123" t="inlineStr">
        <is>
          <t>kilogram</t>
        </is>
      </c>
      <c r="U123" t="inlineStr">
        <is>
          <t>kilogram</t>
        </is>
      </c>
      <c r="V123" t="inlineStr">
        <is>
          <t>kilogram</t>
        </is>
      </c>
      <c r="W123" t="inlineStr">
        <is>
          <t>kilogram</t>
        </is>
      </c>
      <c r="X123" t="inlineStr">
        <is>
          <t>kilogram</t>
        </is>
      </c>
      <c r="Y123" t="inlineStr">
        <is>
          <t>kilogram</t>
        </is>
      </c>
      <c r="Z123" t="inlineStr">
        <is>
          <t>kilogram</t>
        </is>
      </c>
      <c r="AA123" t="inlineStr">
        <is>
          <t>kilogram</t>
        </is>
      </c>
      <c r="AB123" t="inlineStr">
        <is>
          <t>kilogram</t>
        </is>
      </c>
      <c r="AC123" t="inlineStr">
        <is>
          <t>kilogram</t>
        </is>
      </c>
      <c r="AD123" t="inlineStr">
        <is>
          <t>kilogram</t>
        </is>
      </c>
      <c r="AE123" t="inlineStr">
        <is>
          <t>kilogram</t>
        </is>
      </c>
      <c r="AF123" t="inlineStr">
        <is>
          <t>kilogram</t>
        </is>
      </c>
      <c r="AG123" t="inlineStr">
        <is>
          <t>kilogram</t>
        </is>
      </c>
      <c r="AH123" t="inlineStr">
        <is>
          <t>kilogram</t>
        </is>
      </c>
      <c r="AI123" t="inlineStr">
        <is>
          <t>kilogram</t>
        </is>
      </c>
      <c r="AJ123" t="inlineStr">
        <is>
          <t>kilogram</t>
        </is>
      </c>
      <c r="AK123" t="inlineStr">
        <is>
          <t>kilogram</t>
        </is>
      </c>
      <c r="AL123" t="inlineStr">
        <is>
          <t>kilogram</t>
        </is>
      </c>
      <c r="AM123" t="inlineStr">
        <is>
          <t>kilogram</t>
        </is>
      </c>
      <c r="AN123" t="inlineStr">
        <is>
          <t>kilogram</t>
        </is>
      </c>
      <c r="AO123" t="inlineStr">
        <is>
          <t>kilogram</t>
        </is>
      </c>
      <c r="AP123" t="inlineStr">
        <is>
          <t>kilogram</t>
        </is>
      </c>
      <c r="AQ123" t="inlineStr">
        <is>
          <t>kilogram</t>
        </is>
      </c>
      <c r="AR123" t="inlineStr">
        <is>
          <t>kilogram</t>
        </is>
      </c>
      <c r="AS123" t="inlineStr">
        <is>
          <t>kilogram</t>
        </is>
      </c>
      <c r="AT123" t="inlineStr">
        <is>
          <t>kilogram</t>
        </is>
      </c>
      <c r="AU123" t="inlineStr">
        <is>
          <t>kilogram</t>
        </is>
      </c>
      <c r="AV123" t="inlineStr">
        <is>
          <t>kilogram</t>
        </is>
      </c>
      <c r="AW123" t="inlineStr">
        <is>
          <t>kilogram</t>
        </is>
      </c>
      <c r="AX123" t="inlineStr">
        <is>
          <t>kilogram</t>
        </is>
      </c>
      <c r="AY123" t="inlineStr">
        <is>
          <t>kilogram</t>
        </is>
      </c>
      <c r="AZ123" t="inlineStr">
        <is>
          <t>kilogram</t>
        </is>
      </c>
      <c r="BA123" t="inlineStr">
        <is>
          <t>kilogram</t>
        </is>
      </c>
      <c r="BB123" t="inlineStr">
        <is>
          <t>kilogram</t>
        </is>
      </c>
      <c r="BC123" t="inlineStr">
        <is>
          <t>kilogram</t>
        </is>
      </c>
      <c r="BD123" t="inlineStr">
        <is>
          <t>kilogram</t>
        </is>
      </c>
      <c r="BE123" t="inlineStr">
        <is>
          <t>kilogram</t>
        </is>
      </c>
      <c r="BF123" t="inlineStr">
        <is>
          <t>kilogram</t>
        </is>
      </c>
      <c r="BG123" t="inlineStr">
        <is>
          <t>kilogram</t>
        </is>
      </c>
      <c r="BH123" t="inlineStr">
        <is>
          <t>kilogram</t>
        </is>
      </c>
      <c r="BI123" t="inlineStr">
        <is>
          <t>kilogram</t>
        </is>
      </c>
      <c r="BJ123" t="inlineStr">
        <is>
          <t>kilogram</t>
        </is>
      </c>
      <c r="BK123" t="inlineStr">
        <is>
          <t>kilogram</t>
        </is>
      </c>
      <c r="BL123" t="inlineStr">
        <is>
          <t>kilogram</t>
        </is>
      </c>
    </row>
    <row r="124">
      <c r="A124" t="inlineStr">
        <is>
          <t>Motorbike, gasoline, 11-35kW, EURO-3</t>
        </is>
      </c>
      <c r="B124" t="inlineStr">
        <is>
          <t>unit</t>
        </is>
      </c>
      <c r="C124" t="inlineStr">
        <is>
          <t>kilogram</t>
        </is>
      </c>
      <c r="D124" t="inlineStr">
        <is>
          <t>unit</t>
        </is>
      </c>
      <c r="I124" t="inlineStr">
        <is>
          <t>kilogram</t>
        </is>
      </c>
      <c r="K124" t="inlineStr">
        <is>
          <t>kilogram</t>
        </is>
      </c>
      <c r="L124" t="inlineStr">
        <is>
          <t>kilowatt hour</t>
        </is>
      </c>
      <c r="M124" t="inlineStr">
        <is>
          <t>unit</t>
        </is>
      </c>
      <c r="N124" t="inlineStr">
        <is>
          <t>meter-year</t>
        </is>
      </c>
      <c r="O124" t="inlineStr">
        <is>
          <t>meter-year</t>
        </is>
      </c>
      <c r="R124" t="inlineStr">
        <is>
          <t>kilogram</t>
        </is>
      </c>
      <c r="S124" t="inlineStr">
        <is>
          <t>kilogram</t>
        </is>
      </c>
      <c r="T124" t="inlineStr">
        <is>
          <t>kilogram</t>
        </is>
      </c>
      <c r="U124" t="inlineStr">
        <is>
          <t>kilogram</t>
        </is>
      </c>
      <c r="V124" t="inlineStr">
        <is>
          <t>kilogram</t>
        </is>
      </c>
      <c r="W124" t="inlineStr">
        <is>
          <t>kilogram</t>
        </is>
      </c>
      <c r="X124" t="inlineStr">
        <is>
          <t>kilogram</t>
        </is>
      </c>
      <c r="Y124" t="inlineStr">
        <is>
          <t>kilogram</t>
        </is>
      </c>
      <c r="Z124" t="inlineStr">
        <is>
          <t>kilogram</t>
        </is>
      </c>
      <c r="AA124" t="inlineStr">
        <is>
          <t>kilogram</t>
        </is>
      </c>
      <c r="AB124" t="inlineStr">
        <is>
          <t>kilogram</t>
        </is>
      </c>
      <c r="AC124" t="inlineStr">
        <is>
          <t>kilogram</t>
        </is>
      </c>
      <c r="AD124" t="inlineStr">
        <is>
          <t>kilogram</t>
        </is>
      </c>
      <c r="AE124" t="inlineStr">
        <is>
          <t>kilogram</t>
        </is>
      </c>
      <c r="AF124" t="inlineStr">
        <is>
          <t>kilogram</t>
        </is>
      </c>
      <c r="AG124" t="inlineStr">
        <is>
          <t>kilogram</t>
        </is>
      </c>
      <c r="AH124" t="inlineStr">
        <is>
          <t>kilogram</t>
        </is>
      </c>
      <c r="AI124" t="inlineStr">
        <is>
          <t>kilogram</t>
        </is>
      </c>
      <c r="AJ124" t="inlineStr">
        <is>
          <t>kilogram</t>
        </is>
      </c>
      <c r="AK124" t="inlineStr">
        <is>
          <t>kilogram</t>
        </is>
      </c>
      <c r="AL124" t="inlineStr">
        <is>
          <t>kilogram</t>
        </is>
      </c>
      <c r="AM124" t="inlineStr">
        <is>
          <t>kilogram</t>
        </is>
      </c>
      <c r="AN124" t="inlineStr">
        <is>
          <t>kilogram</t>
        </is>
      </c>
      <c r="AO124" t="inlineStr">
        <is>
          <t>kilogram</t>
        </is>
      </c>
      <c r="AP124" t="inlineStr">
        <is>
          <t>kilogram</t>
        </is>
      </c>
      <c r="AQ124" t="inlineStr">
        <is>
          <t>kilogram</t>
        </is>
      </c>
      <c r="AR124" t="inlineStr">
        <is>
          <t>kilogram</t>
        </is>
      </c>
      <c r="AS124" t="inlineStr">
        <is>
          <t>kilogram</t>
        </is>
      </c>
      <c r="AT124" t="inlineStr">
        <is>
          <t>kilogram</t>
        </is>
      </c>
      <c r="AU124" t="inlineStr">
        <is>
          <t>kilogram</t>
        </is>
      </c>
      <c r="AV124" t="inlineStr">
        <is>
          <t>kilogram</t>
        </is>
      </c>
      <c r="AW124" t="inlineStr">
        <is>
          <t>kilogram</t>
        </is>
      </c>
      <c r="AX124" t="inlineStr">
        <is>
          <t>kilogram</t>
        </is>
      </c>
      <c r="AY124" t="inlineStr">
        <is>
          <t>kilogram</t>
        </is>
      </c>
      <c r="AZ124" t="inlineStr">
        <is>
          <t>kilogram</t>
        </is>
      </c>
      <c r="BA124" t="inlineStr">
        <is>
          <t>kilogram</t>
        </is>
      </c>
      <c r="BB124" t="inlineStr">
        <is>
          <t>kilogram</t>
        </is>
      </c>
      <c r="BC124" t="inlineStr">
        <is>
          <t>kilogram</t>
        </is>
      </c>
      <c r="BD124" t="inlineStr">
        <is>
          <t>kilogram</t>
        </is>
      </c>
      <c r="BE124" t="inlineStr">
        <is>
          <t>kilogram</t>
        </is>
      </c>
      <c r="BF124" t="inlineStr">
        <is>
          <t>kilogram</t>
        </is>
      </c>
      <c r="BG124" t="inlineStr">
        <is>
          <t>kilogram</t>
        </is>
      </c>
      <c r="BH124" t="inlineStr">
        <is>
          <t>kilogram</t>
        </is>
      </c>
      <c r="BI124" t="inlineStr">
        <is>
          <t>kilogram</t>
        </is>
      </c>
      <c r="BJ124" t="inlineStr">
        <is>
          <t>kilogram</t>
        </is>
      </c>
      <c r="BK124" t="inlineStr">
        <is>
          <t>kilogram</t>
        </is>
      </c>
      <c r="BL124" t="inlineStr">
        <is>
          <t>kilogram</t>
        </is>
      </c>
    </row>
    <row r="125">
      <c r="A125" t="inlineStr">
        <is>
          <t>Motorbike, gasoline, 11-35kW, EURO-4</t>
        </is>
      </c>
      <c r="B125" t="inlineStr">
        <is>
          <t>unit</t>
        </is>
      </c>
      <c r="C125" t="inlineStr">
        <is>
          <t>kilogram</t>
        </is>
      </c>
      <c r="D125" t="inlineStr">
        <is>
          <t>unit</t>
        </is>
      </c>
      <c r="I125" t="inlineStr">
        <is>
          <t>kilogram</t>
        </is>
      </c>
      <c r="K125" t="inlineStr">
        <is>
          <t>kilogram</t>
        </is>
      </c>
      <c r="L125" t="inlineStr">
        <is>
          <t>kilowatt hour</t>
        </is>
      </c>
      <c r="M125" t="inlineStr">
        <is>
          <t>unit</t>
        </is>
      </c>
      <c r="N125" t="inlineStr">
        <is>
          <t>meter-year</t>
        </is>
      </c>
      <c r="O125" t="inlineStr">
        <is>
          <t>meter-year</t>
        </is>
      </c>
      <c r="R125" t="inlineStr">
        <is>
          <t>kilogram</t>
        </is>
      </c>
      <c r="S125" t="inlineStr">
        <is>
          <t>kilogram</t>
        </is>
      </c>
      <c r="T125" t="inlineStr">
        <is>
          <t>kilogram</t>
        </is>
      </c>
      <c r="U125" t="inlineStr">
        <is>
          <t>kilogram</t>
        </is>
      </c>
      <c r="V125" t="inlineStr">
        <is>
          <t>kilogram</t>
        </is>
      </c>
      <c r="W125" t="inlineStr">
        <is>
          <t>kilogram</t>
        </is>
      </c>
      <c r="X125" t="inlineStr">
        <is>
          <t>kilogram</t>
        </is>
      </c>
      <c r="Y125" t="inlineStr">
        <is>
          <t>kilogram</t>
        </is>
      </c>
      <c r="Z125" t="inlineStr">
        <is>
          <t>kilogram</t>
        </is>
      </c>
      <c r="AA125" t="inlineStr">
        <is>
          <t>kilogram</t>
        </is>
      </c>
      <c r="AB125" t="inlineStr">
        <is>
          <t>kilogram</t>
        </is>
      </c>
      <c r="AC125" t="inlineStr">
        <is>
          <t>kilogram</t>
        </is>
      </c>
      <c r="AD125" t="inlineStr">
        <is>
          <t>kilogram</t>
        </is>
      </c>
      <c r="AE125" t="inlineStr">
        <is>
          <t>kilogram</t>
        </is>
      </c>
      <c r="AF125" t="inlineStr">
        <is>
          <t>kilogram</t>
        </is>
      </c>
      <c r="AG125" t="inlineStr">
        <is>
          <t>kilogram</t>
        </is>
      </c>
      <c r="AH125" t="inlineStr">
        <is>
          <t>kilogram</t>
        </is>
      </c>
      <c r="AI125" t="inlineStr">
        <is>
          <t>kilogram</t>
        </is>
      </c>
      <c r="AJ125" t="inlineStr">
        <is>
          <t>kilogram</t>
        </is>
      </c>
      <c r="AK125" t="inlineStr">
        <is>
          <t>kilogram</t>
        </is>
      </c>
      <c r="AL125" t="inlineStr">
        <is>
          <t>kilogram</t>
        </is>
      </c>
      <c r="AM125" t="inlineStr">
        <is>
          <t>kilogram</t>
        </is>
      </c>
      <c r="AN125" t="inlineStr">
        <is>
          <t>kilogram</t>
        </is>
      </c>
      <c r="AO125" t="inlineStr">
        <is>
          <t>kilogram</t>
        </is>
      </c>
      <c r="AP125" t="inlineStr">
        <is>
          <t>kilogram</t>
        </is>
      </c>
      <c r="AQ125" t="inlineStr">
        <is>
          <t>kilogram</t>
        </is>
      </c>
      <c r="AR125" t="inlineStr">
        <is>
          <t>kilogram</t>
        </is>
      </c>
      <c r="AS125" t="inlineStr">
        <is>
          <t>kilogram</t>
        </is>
      </c>
      <c r="AT125" t="inlineStr">
        <is>
          <t>kilogram</t>
        </is>
      </c>
      <c r="AU125" t="inlineStr">
        <is>
          <t>kilogram</t>
        </is>
      </c>
      <c r="AV125" t="inlineStr">
        <is>
          <t>kilogram</t>
        </is>
      </c>
      <c r="AW125" t="inlineStr">
        <is>
          <t>kilogram</t>
        </is>
      </c>
      <c r="AX125" t="inlineStr">
        <is>
          <t>kilogram</t>
        </is>
      </c>
      <c r="AY125" t="inlineStr">
        <is>
          <t>kilogram</t>
        </is>
      </c>
      <c r="AZ125" t="inlineStr">
        <is>
          <t>kilogram</t>
        </is>
      </c>
      <c r="BA125" t="inlineStr">
        <is>
          <t>kilogram</t>
        </is>
      </c>
      <c r="BB125" t="inlineStr">
        <is>
          <t>kilogram</t>
        </is>
      </c>
      <c r="BC125" t="inlineStr">
        <is>
          <t>kilogram</t>
        </is>
      </c>
      <c r="BD125" t="inlineStr">
        <is>
          <t>kilogram</t>
        </is>
      </c>
      <c r="BE125" t="inlineStr">
        <is>
          <t>kilogram</t>
        </is>
      </c>
      <c r="BF125" t="inlineStr">
        <is>
          <t>kilogram</t>
        </is>
      </c>
      <c r="BG125" t="inlineStr">
        <is>
          <t>kilogram</t>
        </is>
      </c>
      <c r="BH125" t="inlineStr">
        <is>
          <t>kilogram</t>
        </is>
      </c>
      <c r="BI125" t="inlineStr">
        <is>
          <t>kilogram</t>
        </is>
      </c>
      <c r="BJ125" t="inlineStr">
        <is>
          <t>kilogram</t>
        </is>
      </c>
      <c r="BK125" t="inlineStr">
        <is>
          <t>kilogram</t>
        </is>
      </c>
      <c r="BL125" t="inlineStr">
        <is>
          <t>kilogram</t>
        </is>
      </c>
    </row>
    <row r="126">
      <c r="A126" t="inlineStr">
        <is>
          <t>Motorbike, gasoline, 11-35kW, EURO-5</t>
        </is>
      </c>
      <c r="B126" t="inlineStr">
        <is>
          <t>unit</t>
        </is>
      </c>
      <c r="C126" t="inlineStr">
        <is>
          <t>kilogram</t>
        </is>
      </c>
      <c r="D126" t="inlineStr">
        <is>
          <t>unit</t>
        </is>
      </c>
      <c r="I126" t="inlineStr">
        <is>
          <t>kilogram</t>
        </is>
      </c>
      <c r="K126" t="inlineStr">
        <is>
          <t>kilogram</t>
        </is>
      </c>
      <c r="L126" t="inlineStr">
        <is>
          <t>kilowatt hour</t>
        </is>
      </c>
      <c r="M126" t="inlineStr">
        <is>
          <t>unit</t>
        </is>
      </c>
      <c r="N126" t="inlineStr">
        <is>
          <t>meter-year</t>
        </is>
      </c>
      <c r="O126" t="inlineStr">
        <is>
          <t>meter-year</t>
        </is>
      </c>
      <c r="R126" t="inlineStr">
        <is>
          <t>kilogram</t>
        </is>
      </c>
      <c r="S126" t="inlineStr">
        <is>
          <t>kilogram</t>
        </is>
      </c>
      <c r="T126" t="inlineStr">
        <is>
          <t>kilogram</t>
        </is>
      </c>
      <c r="U126" t="inlineStr">
        <is>
          <t>kilogram</t>
        </is>
      </c>
      <c r="V126" t="inlineStr">
        <is>
          <t>kilogram</t>
        </is>
      </c>
      <c r="W126" t="inlineStr">
        <is>
          <t>kilogram</t>
        </is>
      </c>
      <c r="X126" t="inlineStr">
        <is>
          <t>kilogram</t>
        </is>
      </c>
      <c r="Y126" t="inlineStr">
        <is>
          <t>kilogram</t>
        </is>
      </c>
      <c r="Z126" t="inlineStr">
        <is>
          <t>kilogram</t>
        </is>
      </c>
      <c r="AA126" t="inlineStr">
        <is>
          <t>kilogram</t>
        </is>
      </c>
      <c r="AB126" t="inlineStr">
        <is>
          <t>kilogram</t>
        </is>
      </c>
      <c r="AC126" t="inlineStr">
        <is>
          <t>kilogram</t>
        </is>
      </c>
      <c r="AD126" t="inlineStr">
        <is>
          <t>kilogram</t>
        </is>
      </c>
      <c r="AE126" t="inlineStr">
        <is>
          <t>kilogram</t>
        </is>
      </c>
      <c r="AF126" t="inlineStr">
        <is>
          <t>kilogram</t>
        </is>
      </c>
      <c r="AG126" t="inlineStr">
        <is>
          <t>kilogram</t>
        </is>
      </c>
      <c r="AH126" t="inlineStr">
        <is>
          <t>kilogram</t>
        </is>
      </c>
      <c r="AI126" t="inlineStr">
        <is>
          <t>kilogram</t>
        </is>
      </c>
      <c r="AJ126" t="inlineStr">
        <is>
          <t>kilogram</t>
        </is>
      </c>
      <c r="AK126" t="inlineStr">
        <is>
          <t>kilogram</t>
        </is>
      </c>
      <c r="AL126" t="inlineStr">
        <is>
          <t>kilogram</t>
        </is>
      </c>
      <c r="AM126" t="inlineStr">
        <is>
          <t>kilogram</t>
        </is>
      </c>
      <c r="AN126" t="inlineStr">
        <is>
          <t>kilogram</t>
        </is>
      </c>
      <c r="AO126" t="inlineStr">
        <is>
          <t>kilogram</t>
        </is>
      </c>
      <c r="AP126" t="inlineStr">
        <is>
          <t>kilogram</t>
        </is>
      </c>
      <c r="AQ126" t="inlineStr">
        <is>
          <t>kilogram</t>
        </is>
      </c>
      <c r="AR126" t="inlineStr">
        <is>
          <t>kilogram</t>
        </is>
      </c>
      <c r="AS126" t="inlineStr">
        <is>
          <t>kilogram</t>
        </is>
      </c>
      <c r="AT126" t="inlineStr">
        <is>
          <t>kilogram</t>
        </is>
      </c>
      <c r="AU126" t="inlineStr">
        <is>
          <t>kilogram</t>
        </is>
      </c>
      <c r="AV126" t="inlineStr">
        <is>
          <t>kilogram</t>
        </is>
      </c>
      <c r="AW126" t="inlineStr">
        <is>
          <t>kilogram</t>
        </is>
      </c>
      <c r="AX126" t="inlineStr">
        <is>
          <t>kilogram</t>
        </is>
      </c>
      <c r="AY126" t="inlineStr">
        <is>
          <t>kilogram</t>
        </is>
      </c>
      <c r="AZ126" t="inlineStr">
        <is>
          <t>kilogram</t>
        </is>
      </c>
      <c r="BA126" t="inlineStr">
        <is>
          <t>kilogram</t>
        </is>
      </c>
      <c r="BB126" t="inlineStr">
        <is>
          <t>kilogram</t>
        </is>
      </c>
      <c r="BC126" t="inlineStr">
        <is>
          <t>kilogram</t>
        </is>
      </c>
      <c r="BD126" t="inlineStr">
        <is>
          <t>kilogram</t>
        </is>
      </c>
      <c r="BE126" t="inlineStr">
        <is>
          <t>kilogram</t>
        </is>
      </c>
      <c r="BF126" t="inlineStr">
        <is>
          <t>kilogram</t>
        </is>
      </c>
      <c r="BG126" t="inlineStr">
        <is>
          <t>kilogram</t>
        </is>
      </c>
      <c r="BH126" t="inlineStr">
        <is>
          <t>kilogram</t>
        </is>
      </c>
      <c r="BI126" t="inlineStr">
        <is>
          <t>kilogram</t>
        </is>
      </c>
      <c r="BJ126" t="inlineStr">
        <is>
          <t>kilogram</t>
        </is>
      </c>
      <c r="BK126" t="inlineStr">
        <is>
          <t>kilogram</t>
        </is>
      </c>
      <c r="BL126" t="inlineStr">
        <is>
          <t>kilogram</t>
        </is>
      </c>
    </row>
    <row r="127">
      <c r="A127" t="inlineStr">
        <is>
          <t>Motorbike, gasoline, &gt;35kW, EURO-3</t>
        </is>
      </c>
      <c r="B127" t="inlineStr">
        <is>
          <t>unit</t>
        </is>
      </c>
      <c r="C127" t="inlineStr">
        <is>
          <t>kilogram</t>
        </is>
      </c>
      <c r="D127" t="inlineStr">
        <is>
          <t>unit</t>
        </is>
      </c>
      <c r="I127" t="inlineStr">
        <is>
          <t>kilogram</t>
        </is>
      </c>
      <c r="K127" t="inlineStr">
        <is>
          <t>kilogram</t>
        </is>
      </c>
      <c r="L127" t="inlineStr">
        <is>
          <t>kilowatt hour</t>
        </is>
      </c>
      <c r="M127" t="inlineStr">
        <is>
          <t>unit</t>
        </is>
      </c>
      <c r="N127" t="inlineStr">
        <is>
          <t>meter-year</t>
        </is>
      </c>
      <c r="O127" t="inlineStr">
        <is>
          <t>meter-year</t>
        </is>
      </c>
      <c r="R127" t="inlineStr">
        <is>
          <t>kilogram</t>
        </is>
      </c>
      <c r="S127" t="inlineStr">
        <is>
          <t>kilogram</t>
        </is>
      </c>
      <c r="T127" t="inlineStr">
        <is>
          <t>kilogram</t>
        </is>
      </c>
      <c r="U127" t="inlineStr">
        <is>
          <t>kilogram</t>
        </is>
      </c>
      <c r="V127" t="inlineStr">
        <is>
          <t>kilogram</t>
        </is>
      </c>
      <c r="W127" t="inlineStr">
        <is>
          <t>kilogram</t>
        </is>
      </c>
      <c r="X127" t="inlineStr">
        <is>
          <t>kilogram</t>
        </is>
      </c>
      <c r="Y127" t="inlineStr">
        <is>
          <t>kilogram</t>
        </is>
      </c>
      <c r="Z127" t="inlineStr">
        <is>
          <t>kilogram</t>
        </is>
      </c>
      <c r="AA127" t="inlineStr">
        <is>
          <t>kilogram</t>
        </is>
      </c>
      <c r="AB127" t="inlineStr">
        <is>
          <t>kilogram</t>
        </is>
      </c>
      <c r="AC127" t="inlineStr">
        <is>
          <t>kilogram</t>
        </is>
      </c>
      <c r="AD127" t="inlineStr">
        <is>
          <t>kilogram</t>
        </is>
      </c>
      <c r="AE127" t="inlineStr">
        <is>
          <t>kilogram</t>
        </is>
      </c>
      <c r="AF127" t="inlineStr">
        <is>
          <t>kilogram</t>
        </is>
      </c>
      <c r="AG127" t="inlineStr">
        <is>
          <t>kilogram</t>
        </is>
      </c>
      <c r="AH127" t="inlineStr">
        <is>
          <t>kilogram</t>
        </is>
      </c>
      <c r="AI127" t="inlineStr">
        <is>
          <t>kilogram</t>
        </is>
      </c>
      <c r="AJ127" t="inlineStr">
        <is>
          <t>kilogram</t>
        </is>
      </c>
      <c r="AK127" t="inlineStr">
        <is>
          <t>kilogram</t>
        </is>
      </c>
      <c r="AL127" t="inlineStr">
        <is>
          <t>kilogram</t>
        </is>
      </c>
      <c r="AM127" t="inlineStr">
        <is>
          <t>kilogram</t>
        </is>
      </c>
      <c r="AN127" t="inlineStr">
        <is>
          <t>kilogram</t>
        </is>
      </c>
      <c r="AO127" t="inlineStr">
        <is>
          <t>kilogram</t>
        </is>
      </c>
      <c r="AP127" t="inlineStr">
        <is>
          <t>kilogram</t>
        </is>
      </c>
      <c r="AQ127" t="inlineStr">
        <is>
          <t>kilogram</t>
        </is>
      </c>
      <c r="AR127" t="inlineStr">
        <is>
          <t>kilogram</t>
        </is>
      </c>
      <c r="AS127" t="inlineStr">
        <is>
          <t>kilogram</t>
        </is>
      </c>
      <c r="AT127" t="inlineStr">
        <is>
          <t>kilogram</t>
        </is>
      </c>
      <c r="AU127" t="inlineStr">
        <is>
          <t>kilogram</t>
        </is>
      </c>
      <c r="AV127" t="inlineStr">
        <is>
          <t>kilogram</t>
        </is>
      </c>
      <c r="AW127" t="inlineStr">
        <is>
          <t>kilogram</t>
        </is>
      </c>
      <c r="AX127" t="inlineStr">
        <is>
          <t>kilogram</t>
        </is>
      </c>
      <c r="AY127" t="inlineStr">
        <is>
          <t>kilogram</t>
        </is>
      </c>
      <c r="AZ127" t="inlineStr">
        <is>
          <t>kilogram</t>
        </is>
      </c>
      <c r="BA127" t="inlineStr">
        <is>
          <t>kilogram</t>
        </is>
      </c>
      <c r="BB127" t="inlineStr">
        <is>
          <t>kilogram</t>
        </is>
      </c>
      <c r="BC127" t="inlineStr">
        <is>
          <t>kilogram</t>
        </is>
      </c>
      <c r="BD127" t="inlineStr">
        <is>
          <t>kilogram</t>
        </is>
      </c>
      <c r="BE127" t="inlineStr">
        <is>
          <t>kilogram</t>
        </is>
      </c>
      <c r="BF127" t="inlineStr">
        <is>
          <t>kilogram</t>
        </is>
      </c>
      <c r="BG127" t="inlineStr">
        <is>
          <t>kilogram</t>
        </is>
      </c>
      <c r="BH127" t="inlineStr">
        <is>
          <t>kilogram</t>
        </is>
      </c>
      <c r="BI127" t="inlineStr">
        <is>
          <t>kilogram</t>
        </is>
      </c>
      <c r="BJ127" t="inlineStr">
        <is>
          <t>kilogram</t>
        </is>
      </c>
      <c r="BK127" t="inlineStr">
        <is>
          <t>kilogram</t>
        </is>
      </c>
      <c r="BL127" t="inlineStr">
        <is>
          <t>kilogram</t>
        </is>
      </c>
    </row>
    <row r="128">
      <c r="A128" t="inlineStr">
        <is>
          <t>Motorbike, gasoline, &gt;35kW, EURO-4</t>
        </is>
      </c>
      <c r="B128" t="inlineStr">
        <is>
          <t>unit</t>
        </is>
      </c>
      <c r="C128" t="inlineStr">
        <is>
          <t>kilogram</t>
        </is>
      </c>
      <c r="D128" t="inlineStr">
        <is>
          <t>unit</t>
        </is>
      </c>
      <c r="I128" t="inlineStr">
        <is>
          <t>kilogram</t>
        </is>
      </c>
      <c r="K128" t="inlineStr">
        <is>
          <t>kilogram</t>
        </is>
      </c>
      <c r="L128" t="inlineStr">
        <is>
          <t>kilowatt hour</t>
        </is>
      </c>
      <c r="M128" t="inlineStr">
        <is>
          <t>unit</t>
        </is>
      </c>
      <c r="N128" t="inlineStr">
        <is>
          <t>meter-year</t>
        </is>
      </c>
      <c r="O128" t="inlineStr">
        <is>
          <t>meter-year</t>
        </is>
      </c>
      <c r="R128" t="inlineStr">
        <is>
          <t>kilogram</t>
        </is>
      </c>
      <c r="S128" t="inlineStr">
        <is>
          <t>kilogram</t>
        </is>
      </c>
      <c r="T128" t="inlineStr">
        <is>
          <t>kilogram</t>
        </is>
      </c>
      <c r="U128" t="inlineStr">
        <is>
          <t>kilogram</t>
        </is>
      </c>
      <c r="V128" t="inlineStr">
        <is>
          <t>kilogram</t>
        </is>
      </c>
      <c r="W128" t="inlineStr">
        <is>
          <t>kilogram</t>
        </is>
      </c>
      <c r="X128" t="inlineStr">
        <is>
          <t>kilogram</t>
        </is>
      </c>
      <c r="Y128" t="inlineStr">
        <is>
          <t>kilogram</t>
        </is>
      </c>
      <c r="Z128" t="inlineStr">
        <is>
          <t>kilogram</t>
        </is>
      </c>
      <c r="AA128" t="inlineStr">
        <is>
          <t>kilogram</t>
        </is>
      </c>
      <c r="AB128" t="inlineStr">
        <is>
          <t>kilogram</t>
        </is>
      </c>
      <c r="AC128" t="inlineStr">
        <is>
          <t>kilogram</t>
        </is>
      </c>
      <c r="AD128" t="inlineStr">
        <is>
          <t>kilogram</t>
        </is>
      </c>
      <c r="AE128" t="inlineStr">
        <is>
          <t>kilogram</t>
        </is>
      </c>
      <c r="AF128" t="inlineStr">
        <is>
          <t>kilogram</t>
        </is>
      </c>
      <c r="AG128" t="inlineStr">
        <is>
          <t>kilogram</t>
        </is>
      </c>
      <c r="AH128" t="inlineStr">
        <is>
          <t>kilogram</t>
        </is>
      </c>
      <c r="AI128" t="inlineStr">
        <is>
          <t>kilogram</t>
        </is>
      </c>
      <c r="AJ128" t="inlineStr">
        <is>
          <t>kilogram</t>
        </is>
      </c>
      <c r="AK128" t="inlineStr">
        <is>
          <t>kilogram</t>
        </is>
      </c>
      <c r="AL128" t="inlineStr">
        <is>
          <t>kilogram</t>
        </is>
      </c>
      <c r="AM128" t="inlineStr">
        <is>
          <t>kilogram</t>
        </is>
      </c>
      <c r="AN128" t="inlineStr">
        <is>
          <t>kilogram</t>
        </is>
      </c>
      <c r="AO128" t="inlineStr">
        <is>
          <t>kilogram</t>
        </is>
      </c>
      <c r="AP128" t="inlineStr">
        <is>
          <t>kilogram</t>
        </is>
      </c>
      <c r="AQ128" t="inlineStr">
        <is>
          <t>kilogram</t>
        </is>
      </c>
      <c r="AR128" t="inlineStr">
        <is>
          <t>kilogram</t>
        </is>
      </c>
      <c r="AS128" t="inlineStr">
        <is>
          <t>kilogram</t>
        </is>
      </c>
      <c r="AT128" t="inlineStr">
        <is>
          <t>kilogram</t>
        </is>
      </c>
      <c r="AU128" t="inlineStr">
        <is>
          <t>kilogram</t>
        </is>
      </c>
      <c r="AV128" t="inlineStr">
        <is>
          <t>kilogram</t>
        </is>
      </c>
      <c r="AW128" t="inlineStr">
        <is>
          <t>kilogram</t>
        </is>
      </c>
      <c r="AX128" t="inlineStr">
        <is>
          <t>kilogram</t>
        </is>
      </c>
      <c r="AY128" t="inlineStr">
        <is>
          <t>kilogram</t>
        </is>
      </c>
      <c r="AZ128" t="inlineStr">
        <is>
          <t>kilogram</t>
        </is>
      </c>
      <c r="BA128" t="inlineStr">
        <is>
          <t>kilogram</t>
        </is>
      </c>
      <c r="BB128" t="inlineStr">
        <is>
          <t>kilogram</t>
        </is>
      </c>
      <c r="BC128" t="inlineStr">
        <is>
          <t>kilogram</t>
        </is>
      </c>
      <c r="BD128" t="inlineStr">
        <is>
          <t>kilogram</t>
        </is>
      </c>
      <c r="BE128" t="inlineStr">
        <is>
          <t>kilogram</t>
        </is>
      </c>
      <c r="BF128" t="inlineStr">
        <is>
          <t>kilogram</t>
        </is>
      </c>
      <c r="BG128" t="inlineStr">
        <is>
          <t>kilogram</t>
        </is>
      </c>
      <c r="BH128" t="inlineStr">
        <is>
          <t>kilogram</t>
        </is>
      </c>
      <c r="BI128" t="inlineStr">
        <is>
          <t>kilogram</t>
        </is>
      </c>
      <c r="BJ128" t="inlineStr">
        <is>
          <t>kilogram</t>
        </is>
      </c>
      <c r="BK128" t="inlineStr">
        <is>
          <t>kilogram</t>
        </is>
      </c>
      <c r="BL128" t="inlineStr">
        <is>
          <t>kilogram</t>
        </is>
      </c>
    </row>
    <row r="129">
      <c r="A129" t="inlineStr">
        <is>
          <t>Motorbike, gasoline, &gt;35kW, EURO-5</t>
        </is>
      </c>
      <c r="B129" t="inlineStr">
        <is>
          <t>unit</t>
        </is>
      </c>
      <c r="C129" t="inlineStr">
        <is>
          <t>kilogram</t>
        </is>
      </c>
      <c r="D129" t="inlineStr">
        <is>
          <t>unit</t>
        </is>
      </c>
      <c r="I129" t="inlineStr">
        <is>
          <t>kilogram</t>
        </is>
      </c>
      <c r="K129" t="inlineStr">
        <is>
          <t>kilogram</t>
        </is>
      </c>
      <c r="L129" t="inlineStr">
        <is>
          <t>kilowatt hour</t>
        </is>
      </c>
      <c r="M129" t="inlineStr">
        <is>
          <t>unit</t>
        </is>
      </c>
      <c r="N129" t="inlineStr">
        <is>
          <t>meter-year</t>
        </is>
      </c>
      <c r="O129" t="inlineStr">
        <is>
          <t>meter-year</t>
        </is>
      </c>
      <c r="R129" t="inlineStr">
        <is>
          <t>kilogram</t>
        </is>
      </c>
      <c r="S129" t="inlineStr">
        <is>
          <t>kilogram</t>
        </is>
      </c>
      <c r="T129" t="inlineStr">
        <is>
          <t>kilogram</t>
        </is>
      </c>
      <c r="U129" t="inlineStr">
        <is>
          <t>kilogram</t>
        </is>
      </c>
      <c r="V129" t="inlineStr">
        <is>
          <t>kilogram</t>
        </is>
      </c>
      <c r="W129" t="inlineStr">
        <is>
          <t>kilogram</t>
        </is>
      </c>
      <c r="X129" t="inlineStr">
        <is>
          <t>kilogram</t>
        </is>
      </c>
      <c r="Y129" t="inlineStr">
        <is>
          <t>kilogram</t>
        </is>
      </c>
      <c r="Z129" t="inlineStr">
        <is>
          <t>kilogram</t>
        </is>
      </c>
      <c r="AA129" t="inlineStr">
        <is>
          <t>kilogram</t>
        </is>
      </c>
      <c r="AB129" t="inlineStr">
        <is>
          <t>kilogram</t>
        </is>
      </c>
      <c r="AC129" t="inlineStr">
        <is>
          <t>kilogram</t>
        </is>
      </c>
      <c r="AD129" t="inlineStr">
        <is>
          <t>kilogram</t>
        </is>
      </c>
      <c r="AE129" t="inlineStr">
        <is>
          <t>kilogram</t>
        </is>
      </c>
      <c r="AF129" t="inlineStr">
        <is>
          <t>kilogram</t>
        </is>
      </c>
      <c r="AG129" t="inlineStr">
        <is>
          <t>kilogram</t>
        </is>
      </c>
      <c r="AH129" t="inlineStr">
        <is>
          <t>kilogram</t>
        </is>
      </c>
      <c r="AI129" t="inlineStr">
        <is>
          <t>kilogram</t>
        </is>
      </c>
      <c r="AJ129" t="inlineStr">
        <is>
          <t>kilogram</t>
        </is>
      </c>
      <c r="AK129" t="inlineStr">
        <is>
          <t>kilogram</t>
        </is>
      </c>
      <c r="AL129" t="inlineStr">
        <is>
          <t>kilogram</t>
        </is>
      </c>
      <c r="AM129" t="inlineStr">
        <is>
          <t>kilogram</t>
        </is>
      </c>
      <c r="AN129" t="inlineStr">
        <is>
          <t>kilogram</t>
        </is>
      </c>
      <c r="AO129" t="inlineStr">
        <is>
          <t>kilogram</t>
        </is>
      </c>
      <c r="AP129" t="inlineStr">
        <is>
          <t>kilogram</t>
        </is>
      </c>
      <c r="AQ129" t="inlineStr">
        <is>
          <t>kilogram</t>
        </is>
      </c>
      <c r="AR129" t="inlineStr">
        <is>
          <t>kilogram</t>
        </is>
      </c>
      <c r="AS129" t="inlineStr">
        <is>
          <t>kilogram</t>
        </is>
      </c>
      <c r="AT129" t="inlineStr">
        <is>
          <t>kilogram</t>
        </is>
      </c>
      <c r="AU129" t="inlineStr">
        <is>
          <t>kilogram</t>
        </is>
      </c>
      <c r="AV129" t="inlineStr">
        <is>
          <t>kilogram</t>
        </is>
      </c>
      <c r="AW129" t="inlineStr">
        <is>
          <t>kilogram</t>
        </is>
      </c>
      <c r="AX129" t="inlineStr">
        <is>
          <t>kilogram</t>
        </is>
      </c>
      <c r="AY129" t="inlineStr">
        <is>
          <t>kilogram</t>
        </is>
      </c>
      <c r="AZ129" t="inlineStr">
        <is>
          <t>kilogram</t>
        </is>
      </c>
      <c r="BA129" t="inlineStr">
        <is>
          <t>kilogram</t>
        </is>
      </c>
      <c r="BB129" t="inlineStr">
        <is>
          <t>kilogram</t>
        </is>
      </c>
      <c r="BC129" t="inlineStr">
        <is>
          <t>kilogram</t>
        </is>
      </c>
      <c r="BD129" t="inlineStr">
        <is>
          <t>kilogram</t>
        </is>
      </c>
      <c r="BE129" t="inlineStr">
        <is>
          <t>kilogram</t>
        </is>
      </c>
      <c r="BF129" t="inlineStr">
        <is>
          <t>kilogram</t>
        </is>
      </c>
      <c r="BG129" t="inlineStr">
        <is>
          <t>kilogram</t>
        </is>
      </c>
      <c r="BH129" t="inlineStr">
        <is>
          <t>kilogram</t>
        </is>
      </c>
      <c r="BI129" t="inlineStr">
        <is>
          <t>kilogram</t>
        </is>
      </c>
      <c r="BJ129" t="inlineStr">
        <is>
          <t>kilogram</t>
        </is>
      </c>
      <c r="BK129" t="inlineStr">
        <is>
          <t>kilogram</t>
        </is>
      </c>
      <c r="BL129" t="inlineStr">
        <is>
          <t>kilogram</t>
        </is>
      </c>
    </row>
    <row r="130">
      <c r="A130" t="inlineStr">
        <is>
          <t>Motorbike, battery electric, &lt;4kW</t>
        </is>
      </c>
      <c r="B130" t="inlineStr">
        <is>
          <t>kilogram</t>
        </is>
      </c>
      <c r="C130" t="inlineStr">
        <is>
          <t>kilogram</t>
        </is>
      </c>
      <c r="D130" t="inlineStr">
        <is>
          <t>kilogram</t>
        </is>
      </c>
      <c r="E130" t="inlineStr">
        <is>
          <t>kilogram</t>
        </is>
      </c>
      <c r="F130" t="inlineStr">
        <is>
          <t>kilogram</t>
        </is>
      </c>
      <c r="G130" t="inlineStr">
        <is>
          <t>kilogram</t>
        </is>
      </c>
      <c r="J130" t="inlineStr">
        <is>
          <t>unit</t>
        </is>
      </c>
      <c r="K130" t="inlineStr">
        <is>
          <t>kilogram</t>
        </is>
      </c>
      <c r="L130" t="inlineStr">
        <is>
          <t>kilowatt hour</t>
        </is>
      </c>
      <c r="M130" t="inlineStr">
        <is>
          <t>unit</t>
        </is>
      </c>
      <c r="N130" t="inlineStr">
        <is>
          <t>meter-year</t>
        </is>
      </c>
      <c r="O130" t="inlineStr">
        <is>
          <t>meter-year</t>
        </is>
      </c>
      <c r="P130" t="inlineStr">
        <is>
          <t>unit</t>
        </is>
      </c>
      <c r="Q130" t="inlineStr">
        <is>
          <t>unit</t>
        </is>
      </c>
      <c r="R130" t="inlineStr">
        <is>
          <t>kilogram</t>
        </is>
      </c>
      <c r="S130" t="inlineStr">
        <is>
          <t>kilogram</t>
        </is>
      </c>
      <c r="T130" t="inlineStr">
        <is>
          <t>kilogram</t>
        </is>
      </c>
      <c r="U130" t="inlineStr">
        <is>
          <t>kilogram</t>
        </is>
      </c>
      <c r="V130" t="inlineStr">
        <is>
          <t>kilogram</t>
        </is>
      </c>
      <c r="W130" t="inlineStr">
        <is>
          <t>kilogram</t>
        </is>
      </c>
      <c r="X130" t="inlineStr">
        <is>
          <t>kilogram</t>
        </is>
      </c>
      <c r="Y130" t="inlineStr">
        <is>
          <t>kilogram</t>
        </is>
      </c>
      <c r="Z130" t="inlineStr">
        <is>
          <t>kilogram</t>
        </is>
      </c>
      <c r="AA130" t="inlineStr">
        <is>
          <t>kilogram</t>
        </is>
      </c>
      <c r="AB130" t="inlineStr">
        <is>
          <t>kilogram</t>
        </is>
      </c>
      <c r="AC130" t="inlineStr">
        <is>
          <t>kilogram</t>
        </is>
      </c>
      <c r="AD130" t="inlineStr">
        <is>
          <t>kilogram</t>
        </is>
      </c>
      <c r="AE130" t="inlineStr">
        <is>
          <t>kilogram</t>
        </is>
      </c>
      <c r="AF130" t="inlineStr">
        <is>
          <t>kilogram</t>
        </is>
      </c>
      <c r="AG130" t="inlineStr">
        <is>
          <t>kilogram</t>
        </is>
      </c>
      <c r="AH130" t="inlineStr">
        <is>
          <t>kilogram</t>
        </is>
      </c>
      <c r="AI130" t="inlineStr">
        <is>
          <t>kilogram</t>
        </is>
      </c>
      <c r="AJ130" t="inlineStr">
        <is>
          <t>kilogram</t>
        </is>
      </c>
      <c r="AK130" t="inlineStr">
        <is>
          <t>kilogram</t>
        </is>
      </c>
      <c r="AL130" t="inlineStr">
        <is>
          <t>kilogram</t>
        </is>
      </c>
      <c r="AM130" t="inlineStr">
        <is>
          <t>kilogram</t>
        </is>
      </c>
      <c r="AN130" t="inlineStr">
        <is>
          <t>kilogram</t>
        </is>
      </c>
      <c r="AO130" t="inlineStr">
        <is>
          <t>kilogram</t>
        </is>
      </c>
      <c r="AP130" t="inlineStr">
        <is>
          <t>kilogram</t>
        </is>
      </c>
      <c r="AQ130" t="inlineStr">
        <is>
          <t>kilogram</t>
        </is>
      </c>
      <c r="AR130" t="inlineStr">
        <is>
          <t>kilogram</t>
        </is>
      </c>
      <c r="AS130" t="inlineStr">
        <is>
          <t>kilogram</t>
        </is>
      </c>
      <c r="AT130" t="inlineStr">
        <is>
          <t>kilogram</t>
        </is>
      </c>
      <c r="AU130" t="inlineStr">
        <is>
          <t>kilogram</t>
        </is>
      </c>
      <c r="AV130" t="inlineStr">
        <is>
          <t>kilogram</t>
        </is>
      </c>
      <c r="AW130" t="inlineStr">
        <is>
          <t>kilogram</t>
        </is>
      </c>
      <c r="AX130" t="inlineStr">
        <is>
          <t>kilogram</t>
        </is>
      </c>
      <c r="AY130" t="inlineStr">
        <is>
          <t>kilogram</t>
        </is>
      </c>
      <c r="AZ130" t="inlineStr">
        <is>
          <t>kilogram</t>
        </is>
      </c>
      <c r="BA130" t="inlineStr">
        <is>
          <t>kilogram</t>
        </is>
      </c>
      <c r="BB130" t="inlineStr">
        <is>
          <t>kilogram</t>
        </is>
      </c>
      <c r="BC130" t="inlineStr">
        <is>
          <t>kilogram</t>
        </is>
      </c>
      <c r="BD130" t="inlineStr">
        <is>
          <t>kilogram</t>
        </is>
      </c>
      <c r="BE130" t="inlineStr">
        <is>
          <t>kilogram</t>
        </is>
      </c>
      <c r="BF130" t="inlineStr">
        <is>
          <t>kilogram</t>
        </is>
      </c>
      <c r="BG130" t="inlineStr">
        <is>
          <t>kilogram</t>
        </is>
      </c>
      <c r="BH130" t="inlineStr">
        <is>
          <t>kilogram</t>
        </is>
      </c>
      <c r="BI130" t="inlineStr">
        <is>
          <t>kilogram</t>
        </is>
      </c>
      <c r="BJ130" t="inlineStr">
        <is>
          <t>kilogram</t>
        </is>
      </c>
      <c r="BK130" t="inlineStr">
        <is>
          <t>kilogram</t>
        </is>
      </c>
      <c r="BL130" t="inlineStr">
        <is>
          <t>kilogram</t>
        </is>
      </c>
    </row>
    <row r="131">
      <c r="A131" t="inlineStr">
        <is>
          <t>Motorbike, battery electric, 4-11kW</t>
        </is>
      </c>
      <c r="B131" t="inlineStr">
        <is>
          <t>kilogram</t>
        </is>
      </c>
      <c r="C131" t="inlineStr">
        <is>
          <t>kilogram</t>
        </is>
      </c>
      <c r="D131" t="inlineStr">
        <is>
          <t>kilogram</t>
        </is>
      </c>
      <c r="E131" t="inlineStr">
        <is>
          <t>kilogram</t>
        </is>
      </c>
      <c r="F131" t="inlineStr">
        <is>
          <t>kilogram</t>
        </is>
      </c>
      <c r="G131" t="inlineStr">
        <is>
          <t>kilogram</t>
        </is>
      </c>
      <c r="J131" t="inlineStr">
        <is>
          <t>unit</t>
        </is>
      </c>
      <c r="K131" t="inlineStr">
        <is>
          <t>kilogram</t>
        </is>
      </c>
      <c r="L131" t="inlineStr">
        <is>
          <t>kilowatt hour</t>
        </is>
      </c>
      <c r="M131" t="inlineStr">
        <is>
          <t>unit</t>
        </is>
      </c>
      <c r="N131" t="inlineStr">
        <is>
          <t>meter-year</t>
        </is>
      </c>
      <c r="O131" t="inlineStr">
        <is>
          <t>meter-year</t>
        </is>
      </c>
      <c r="P131" t="inlineStr">
        <is>
          <t>unit</t>
        </is>
      </c>
      <c r="Q131" t="inlineStr">
        <is>
          <t>unit</t>
        </is>
      </c>
      <c r="R131" t="inlineStr">
        <is>
          <t>kilogram</t>
        </is>
      </c>
      <c r="S131" t="inlineStr">
        <is>
          <t>kilogram</t>
        </is>
      </c>
      <c r="T131" t="inlineStr">
        <is>
          <t>kilogram</t>
        </is>
      </c>
      <c r="U131" t="inlineStr">
        <is>
          <t>kilogram</t>
        </is>
      </c>
      <c r="V131" t="inlineStr">
        <is>
          <t>kilogram</t>
        </is>
      </c>
      <c r="W131" t="inlineStr">
        <is>
          <t>kilogram</t>
        </is>
      </c>
      <c r="X131" t="inlineStr">
        <is>
          <t>kilogram</t>
        </is>
      </c>
      <c r="Y131" t="inlineStr">
        <is>
          <t>kilogram</t>
        </is>
      </c>
      <c r="Z131" t="inlineStr">
        <is>
          <t>kilogram</t>
        </is>
      </c>
      <c r="AA131" t="inlineStr">
        <is>
          <t>kilogram</t>
        </is>
      </c>
      <c r="AB131" t="inlineStr">
        <is>
          <t>kilogram</t>
        </is>
      </c>
      <c r="AC131" t="inlineStr">
        <is>
          <t>kilogram</t>
        </is>
      </c>
      <c r="AD131" t="inlineStr">
        <is>
          <t>kilogram</t>
        </is>
      </c>
      <c r="AE131" t="inlineStr">
        <is>
          <t>kilogram</t>
        </is>
      </c>
      <c r="AF131" t="inlineStr">
        <is>
          <t>kilogram</t>
        </is>
      </c>
      <c r="AG131" t="inlineStr">
        <is>
          <t>kilogram</t>
        </is>
      </c>
      <c r="AH131" t="inlineStr">
        <is>
          <t>kilogram</t>
        </is>
      </c>
      <c r="AI131" t="inlineStr">
        <is>
          <t>kilogram</t>
        </is>
      </c>
      <c r="AJ131" t="inlineStr">
        <is>
          <t>kilogram</t>
        </is>
      </c>
      <c r="AK131" t="inlineStr">
        <is>
          <t>kilogram</t>
        </is>
      </c>
      <c r="AL131" t="inlineStr">
        <is>
          <t>kilogram</t>
        </is>
      </c>
      <c r="AM131" t="inlineStr">
        <is>
          <t>kilogram</t>
        </is>
      </c>
      <c r="AN131" t="inlineStr">
        <is>
          <t>kilogram</t>
        </is>
      </c>
      <c r="AO131" t="inlineStr">
        <is>
          <t>kilogram</t>
        </is>
      </c>
      <c r="AP131" t="inlineStr">
        <is>
          <t>kilogram</t>
        </is>
      </c>
      <c r="AQ131" t="inlineStr">
        <is>
          <t>kilogram</t>
        </is>
      </c>
      <c r="AR131" t="inlineStr">
        <is>
          <t>kilogram</t>
        </is>
      </c>
      <c r="AS131" t="inlineStr">
        <is>
          <t>kilogram</t>
        </is>
      </c>
      <c r="AT131" t="inlineStr">
        <is>
          <t>kilogram</t>
        </is>
      </c>
      <c r="AU131" t="inlineStr">
        <is>
          <t>kilogram</t>
        </is>
      </c>
      <c r="AV131" t="inlineStr">
        <is>
          <t>kilogram</t>
        </is>
      </c>
      <c r="AW131" t="inlineStr">
        <is>
          <t>kilogram</t>
        </is>
      </c>
      <c r="AX131" t="inlineStr">
        <is>
          <t>kilogram</t>
        </is>
      </c>
      <c r="AY131" t="inlineStr">
        <is>
          <t>kilogram</t>
        </is>
      </c>
      <c r="AZ131" t="inlineStr">
        <is>
          <t>kilogram</t>
        </is>
      </c>
      <c r="BA131" t="inlineStr">
        <is>
          <t>kilogram</t>
        </is>
      </c>
      <c r="BB131" t="inlineStr">
        <is>
          <t>kilogram</t>
        </is>
      </c>
      <c r="BC131" t="inlineStr">
        <is>
          <t>kilogram</t>
        </is>
      </c>
      <c r="BD131" t="inlineStr">
        <is>
          <t>kilogram</t>
        </is>
      </c>
      <c r="BE131" t="inlineStr">
        <is>
          <t>kilogram</t>
        </is>
      </c>
      <c r="BF131" t="inlineStr">
        <is>
          <t>kilogram</t>
        </is>
      </c>
      <c r="BG131" t="inlineStr">
        <is>
          <t>kilogram</t>
        </is>
      </c>
      <c r="BH131" t="inlineStr">
        <is>
          <t>kilogram</t>
        </is>
      </c>
      <c r="BI131" t="inlineStr">
        <is>
          <t>kilogram</t>
        </is>
      </c>
      <c r="BJ131" t="inlineStr">
        <is>
          <t>kilogram</t>
        </is>
      </c>
      <c r="BK131" t="inlineStr">
        <is>
          <t>kilogram</t>
        </is>
      </c>
      <c r="BL131" t="inlineStr">
        <is>
          <t>kilogram</t>
        </is>
      </c>
    </row>
    <row r="132">
      <c r="A132" t="inlineStr">
        <is>
          <t>Motorbike, battery electric, 11-35kW</t>
        </is>
      </c>
      <c r="B132" t="inlineStr">
        <is>
          <t>kilogram</t>
        </is>
      </c>
      <c r="C132" t="inlineStr">
        <is>
          <t>kilogram</t>
        </is>
      </c>
      <c r="D132" t="inlineStr">
        <is>
          <t>kilogram</t>
        </is>
      </c>
      <c r="E132" t="inlineStr">
        <is>
          <t>kilogram</t>
        </is>
      </c>
      <c r="F132" t="inlineStr">
        <is>
          <t>kilogram</t>
        </is>
      </c>
      <c r="G132" t="inlineStr">
        <is>
          <t>kilogram</t>
        </is>
      </c>
      <c r="J132" t="inlineStr">
        <is>
          <t>unit</t>
        </is>
      </c>
      <c r="K132" t="inlineStr">
        <is>
          <t>kilogram</t>
        </is>
      </c>
      <c r="L132" t="inlineStr">
        <is>
          <t>kilowatt hour</t>
        </is>
      </c>
      <c r="M132" t="inlineStr">
        <is>
          <t>unit</t>
        </is>
      </c>
      <c r="N132" t="inlineStr">
        <is>
          <t>meter-year</t>
        </is>
      </c>
      <c r="O132" t="inlineStr">
        <is>
          <t>meter-year</t>
        </is>
      </c>
      <c r="P132" t="inlineStr">
        <is>
          <t>unit</t>
        </is>
      </c>
      <c r="Q132" t="inlineStr">
        <is>
          <t>unit</t>
        </is>
      </c>
      <c r="R132" t="inlineStr">
        <is>
          <t>kilogram</t>
        </is>
      </c>
      <c r="S132" t="inlineStr">
        <is>
          <t>kilogram</t>
        </is>
      </c>
      <c r="T132" t="inlineStr">
        <is>
          <t>kilogram</t>
        </is>
      </c>
      <c r="U132" t="inlineStr">
        <is>
          <t>kilogram</t>
        </is>
      </c>
      <c r="V132" t="inlineStr">
        <is>
          <t>kilogram</t>
        </is>
      </c>
      <c r="W132" t="inlineStr">
        <is>
          <t>kilogram</t>
        </is>
      </c>
      <c r="X132" t="inlineStr">
        <is>
          <t>kilogram</t>
        </is>
      </c>
      <c r="Y132" t="inlineStr">
        <is>
          <t>kilogram</t>
        </is>
      </c>
      <c r="Z132" t="inlineStr">
        <is>
          <t>kilogram</t>
        </is>
      </c>
      <c r="AA132" t="inlineStr">
        <is>
          <t>kilogram</t>
        </is>
      </c>
      <c r="AB132" t="inlineStr">
        <is>
          <t>kilogram</t>
        </is>
      </c>
      <c r="AC132" t="inlineStr">
        <is>
          <t>kilogram</t>
        </is>
      </c>
      <c r="AD132" t="inlineStr">
        <is>
          <t>kilogram</t>
        </is>
      </c>
      <c r="AE132" t="inlineStr">
        <is>
          <t>kilogram</t>
        </is>
      </c>
      <c r="AF132" t="inlineStr">
        <is>
          <t>kilogram</t>
        </is>
      </c>
      <c r="AG132" t="inlineStr">
        <is>
          <t>kilogram</t>
        </is>
      </c>
      <c r="AH132" t="inlineStr">
        <is>
          <t>kilogram</t>
        </is>
      </c>
      <c r="AI132" t="inlineStr">
        <is>
          <t>kilogram</t>
        </is>
      </c>
      <c r="AJ132" t="inlineStr">
        <is>
          <t>kilogram</t>
        </is>
      </c>
      <c r="AK132" t="inlineStr">
        <is>
          <t>kilogram</t>
        </is>
      </c>
      <c r="AL132" t="inlineStr">
        <is>
          <t>kilogram</t>
        </is>
      </c>
      <c r="AM132" t="inlineStr">
        <is>
          <t>kilogram</t>
        </is>
      </c>
      <c r="AN132" t="inlineStr">
        <is>
          <t>kilogram</t>
        </is>
      </c>
      <c r="AO132" t="inlineStr">
        <is>
          <t>kilogram</t>
        </is>
      </c>
      <c r="AP132" t="inlineStr">
        <is>
          <t>kilogram</t>
        </is>
      </c>
      <c r="AQ132" t="inlineStr">
        <is>
          <t>kilogram</t>
        </is>
      </c>
      <c r="AR132" t="inlineStr">
        <is>
          <t>kilogram</t>
        </is>
      </c>
      <c r="AS132" t="inlineStr">
        <is>
          <t>kilogram</t>
        </is>
      </c>
      <c r="AT132" t="inlineStr">
        <is>
          <t>kilogram</t>
        </is>
      </c>
      <c r="AU132" t="inlineStr">
        <is>
          <t>kilogram</t>
        </is>
      </c>
      <c r="AV132" t="inlineStr">
        <is>
          <t>kilogram</t>
        </is>
      </c>
      <c r="AW132" t="inlineStr">
        <is>
          <t>kilogram</t>
        </is>
      </c>
      <c r="AX132" t="inlineStr">
        <is>
          <t>kilogram</t>
        </is>
      </c>
      <c r="AY132" t="inlineStr">
        <is>
          <t>kilogram</t>
        </is>
      </c>
      <c r="AZ132" t="inlineStr">
        <is>
          <t>kilogram</t>
        </is>
      </c>
      <c r="BA132" t="inlineStr">
        <is>
          <t>kilogram</t>
        </is>
      </c>
      <c r="BB132" t="inlineStr">
        <is>
          <t>kilogram</t>
        </is>
      </c>
      <c r="BC132" t="inlineStr">
        <is>
          <t>kilogram</t>
        </is>
      </c>
      <c r="BD132" t="inlineStr">
        <is>
          <t>kilogram</t>
        </is>
      </c>
      <c r="BE132" t="inlineStr">
        <is>
          <t>kilogram</t>
        </is>
      </c>
      <c r="BF132" t="inlineStr">
        <is>
          <t>kilogram</t>
        </is>
      </c>
      <c r="BG132" t="inlineStr">
        <is>
          <t>kilogram</t>
        </is>
      </c>
      <c r="BH132" t="inlineStr">
        <is>
          <t>kilogram</t>
        </is>
      </c>
      <c r="BI132" t="inlineStr">
        <is>
          <t>kilogram</t>
        </is>
      </c>
      <c r="BJ132" t="inlineStr">
        <is>
          <t>kilogram</t>
        </is>
      </c>
      <c r="BK132" t="inlineStr">
        <is>
          <t>kilogram</t>
        </is>
      </c>
      <c r="BL132" t="inlineStr">
        <is>
          <t>kilogram</t>
        </is>
      </c>
    </row>
    <row r="133">
      <c r="A133" t="inlineStr">
        <is>
          <t>Motorbike, battery electric, &gt;35kW</t>
        </is>
      </c>
      <c r="B133" t="inlineStr">
        <is>
          <t>kilogram</t>
        </is>
      </c>
      <c r="C133" t="inlineStr">
        <is>
          <t>kilogram</t>
        </is>
      </c>
      <c r="D133" t="inlineStr">
        <is>
          <t>kilogram</t>
        </is>
      </c>
      <c r="E133" t="inlineStr">
        <is>
          <t>kilogram</t>
        </is>
      </c>
      <c r="F133" t="inlineStr">
        <is>
          <t>kilogram</t>
        </is>
      </c>
      <c r="G133" t="inlineStr">
        <is>
          <t>kilogram</t>
        </is>
      </c>
      <c r="J133" t="inlineStr">
        <is>
          <t>unit</t>
        </is>
      </c>
      <c r="K133" t="inlineStr">
        <is>
          <t>kilogram</t>
        </is>
      </c>
      <c r="L133" t="inlineStr">
        <is>
          <t>kilowatt hour</t>
        </is>
      </c>
      <c r="M133" t="inlineStr">
        <is>
          <t>unit</t>
        </is>
      </c>
      <c r="N133" t="inlineStr">
        <is>
          <t>meter-year</t>
        </is>
      </c>
      <c r="O133" t="inlineStr">
        <is>
          <t>meter-year</t>
        </is>
      </c>
      <c r="P133" t="inlineStr">
        <is>
          <t>unit</t>
        </is>
      </c>
      <c r="Q133" t="inlineStr">
        <is>
          <t>unit</t>
        </is>
      </c>
      <c r="R133" t="inlineStr">
        <is>
          <t>kilogram</t>
        </is>
      </c>
      <c r="S133" t="inlineStr">
        <is>
          <t>kilogram</t>
        </is>
      </c>
      <c r="T133" t="inlineStr">
        <is>
          <t>kilogram</t>
        </is>
      </c>
      <c r="U133" t="inlineStr">
        <is>
          <t>kilogram</t>
        </is>
      </c>
      <c r="V133" t="inlineStr">
        <is>
          <t>kilogram</t>
        </is>
      </c>
      <c r="W133" t="inlineStr">
        <is>
          <t>kilogram</t>
        </is>
      </c>
      <c r="X133" t="inlineStr">
        <is>
          <t>kilogram</t>
        </is>
      </c>
      <c r="Y133" t="inlineStr">
        <is>
          <t>kilogram</t>
        </is>
      </c>
      <c r="Z133" t="inlineStr">
        <is>
          <t>kilogram</t>
        </is>
      </c>
      <c r="AA133" t="inlineStr">
        <is>
          <t>kilogram</t>
        </is>
      </c>
      <c r="AB133" t="inlineStr">
        <is>
          <t>kilogram</t>
        </is>
      </c>
      <c r="AC133" t="inlineStr">
        <is>
          <t>kilogram</t>
        </is>
      </c>
      <c r="AD133" t="inlineStr">
        <is>
          <t>kilogram</t>
        </is>
      </c>
      <c r="AE133" t="inlineStr">
        <is>
          <t>kilogram</t>
        </is>
      </c>
      <c r="AF133" t="inlineStr">
        <is>
          <t>kilogram</t>
        </is>
      </c>
      <c r="AG133" t="inlineStr">
        <is>
          <t>kilogram</t>
        </is>
      </c>
      <c r="AH133" t="inlineStr">
        <is>
          <t>kilogram</t>
        </is>
      </c>
      <c r="AI133" t="inlineStr">
        <is>
          <t>kilogram</t>
        </is>
      </c>
      <c r="AJ133" t="inlineStr">
        <is>
          <t>kilogram</t>
        </is>
      </c>
      <c r="AK133" t="inlineStr">
        <is>
          <t>kilogram</t>
        </is>
      </c>
      <c r="AL133" t="inlineStr">
        <is>
          <t>kilogram</t>
        </is>
      </c>
      <c r="AM133" t="inlineStr">
        <is>
          <t>kilogram</t>
        </is>
      </c>
      <c r="AN133" t="inlineStr">
        <is>
          <t>kilogram</t>
        </is>
      </c>
      <c r="AO133" t="inlineStr">
        <is>
          <t>kilogram</t>
        </is>
      </c>
      <c r="AP133" t="inlineStr">
        <is>
          <t>kilogram</t>
        </is>
      </c>
      <c r="AQ133" t="inlineStr">
        <is>
          <t>kilogram</t>
        </is>
      </c>
      <c r="AR133" t="inlineStr">
        <is>
          <t>kilogram</t>
        </is>
      </c>
      <c r="AS133" t="inlineStr">
        <is>
          <t>kilogram</t>
        </is>
      </c>
      <c r="AT133" t="inlineStr">
        <is>
          <t>kilogram</t>
        </is>
      </c>
      <c r="AU133" t="inlineStr">
        <is>
          <t>kilogram</t>
        </is>
      </c>
      <c r="AV133" t="inlineStr">
        <is>
          <t>kilogram</t>
        </is>
      </c>
      <c r="AW133" t="inlineStr">
        <is>
          <t>kilogram</t>
        </is>
      </c>
      <c r="AX133" t="inlineStr">
        <is>
          <t>kilogram</t>
        </is>
      </c>
      <c r="AY133" t="inlineStr">
        <is>
          <t>kilogram</t>
        </is>
      </c>
      <c r="AZ133" t="inlineStr">
        <is>
          <t>kilogram</t>
        </is>
      </c>
      <c r="BA133" t="inlineStr">
        <is>
          <t>kilogram</t>
        </is>
      </c>
      <c r="BB133" t="inlineStr">
        <is>
          <t>kilogram</t>
        </is>
      </c>
      <c r="BC133" t="inlineStr">
        <is>
          <t>kilogram</t>
        </is>
      </c>
      <c r="BD133" t="inlineStr">
        <is>
          <t>kilogram</t>
        </is>
      </c>
      <c r="BE133" t="inlineStr">
        <is>
          <t>kilogram</t>
        </is>
      </c>
      <c r="BF133" t="inlineStr">
        <is>
          <t>kilogram</t>
        </is>
      </c>
      <c r="BG133" t="inlineStr">
        <is>
          <t>kilogram</t>
        </is>
      </c>
      <c r="BH133" t="inlineStr">
        <is>
          <t>kilogram</t>
        </is>
      </c>
      <c r="BI133" t="inlineStr">
        <is>
          <t>kilogram</t>
        </is>
      </c>
      <c r="BJ133" t="inlineStr">
        <is>
          <t>kilogram</t>
        </is>
      </c>
      <c r="BK133" t="inlineStr">
        <is>
          <t>kilogram</t>
        </is>
      </c>
      <c r="BL133" t="inlineStr">
        <is>
          <t>kilogram</t>
        </is>
      </c>
    </row>
    <row r="134"/>
    <row r="135">
      <c r="A135" t="inlineStr">
        <is>
          <t>multiplication factor</t>
        </is>
      </c>
      <c r="B135" t="inlineStr">
        <is>
          <t>vehicle</t>
        </is>
      </c>
      <c r="C135" t="inlineStr">
        <is>
          <t>vehicle</t>
        </is>
      </c>
      <c r="D135" t="inlineStr">
        <is>
          <t>vehicle</t>
        </is>
      </c>
      <c r="E135" t="inlineStr">
        <is>
          <t>vehicle</t>
        </is>
      </c>
      <c r="F135" t="inlineStr">
        <is>
          <t>vehicle</t>
        </is>
      </c>
      <c r="G135" t="inlineStr">
        <is>
          <t>vehicle</t>
        </is>
      </c>
      <c r="H135" t="inlineStr">
        <is>
          <t>vehicle</t>
        </is>
      </c>
      <c r="I135" t="inlineStr">
        <is>
          <t>vehicle</t>
        </is>
      </c>
      <c r="J135" t="inlineStr">
        <is>
          <t>vehicle</t>
        </is>
      </c>
      <c r="K135" t="inlineStr">
        <is>
          <t>transport</t>
        </is>
      </c>
      <c r="L135" t="inlineStr">
        <is>
          <t>transport</t>
        </is>
      </c>
      <c r="M135" t="inlineStr">
        <is>
          <t>transport</t>
        </is>
      </c>
      <c r="N135" t="inlineStr">
        <is>
          <t>vehicle</t>
        </is>
      </c>
      <c r="O135" t="inlineStr">
        <is>
          <t>transport</t>
        </is>
      </c>
      <c r="P135" t="inlineStr">
        <is>
          <t>vehicle</t>
        </is>
      </c>
      <c r="Q135" t="inlineStr">
        <is>
          <t>vehicle</t>
        </is>
      </c>
      <c r="R135" t="inlineStr">
        <is>
          <t>vehicle</t>
        </is>
      </c>
      <c r="S135" t="inlineStr">
        <is>
          <t>transport</t>
        </is>
      </c>
      <c r="T135" t="inlineStr">
        <is>
          <t>transport</t>
        </is>
      </c>
      <c r="U135" t="inlineStr">
        <is>
          <t>transport</t>
        </is>
      </c>
      <c r="V135" t="inlineStr">
        <is>
          <t>transport</t>
        </is>
      </c>
      <c r="W135" t="inlineStr">
        <is>
          <t>transport</t>
        </is>
      </c>
      <c r="X135" t="inlineStr">
        <is>
          <t>transport</t>
        </is>
      </c>
      <c r="Y135" t="inlineStr">
        <is>
          <t>transport</t>
        </is>
      </c>
      <c r="Z135" t="inlineStr">
        <is>
          <t>transport</t>
        </is>
      </c>
      <c r="AA135" t="inlineStr">
        <is>
          <t>transport</t>
        </is>
      </c>
      <c r="AB135" t="inlineStr">
        <is>
          <t>transport</t>
        </is>
      </c>
      <c r="AC135" t="inlineStr">
        <is>
          <t>transport</t>
        </is>
      </c>
      <c r="BJ135" t="inlineStr">
        <is>
          <t>transport</t>
        </is>
      </c>
      <c r="BK135" t="inlineStr">
        <is>
          <t>transport</t>
        </is>
      </c>
      <c r="BL135" t="inlineStr">
        <is>
          <t>transport</t>
        </is>
      </c>
    </row>
    <row r="136">
      <c r="B136" t="inlineStr">
        <is>
          <t>Glider base mass [kg]</t>
        </is>
      </c>
      <c r="C136" t="inlineStr">
        <is>
          <t>Lightweighting rate [%]</t>
        </is>
      </c>
      <c r="D136" t="inlineStr">
        <is>
          <t>Mechanical powertrain mass [kg]</t>
        </is>
      </c>
      <c r="E136" t="inlineStr">
        <is>
          <t>Electric powertrain mass [kg]</t>
        </is>
      </c>
      <c r="F136" t="inlineStr">
        <is>
          <t>Energy battery cell mass [kg]</t>
        </is>
      </c>
      <c r="G136" t="inlineStr">
        <is>
          <t>Energy battery BoP mass [kg]</t>
        </is>
      </c>
      <c r="H136" t="inlineStr">
        <is>
          <t>Fuel mass [kg]</t>
        </is>
      </c>
      <c r="I136" t="inlineStr">
        <is>
          <t>Fuel tank mass [kg]</t>
        </is>
      </c>
      <c r="J136" t="inlineStr">
        <is>
          <t>Charging station per vehicle [unit]</t>
        </is>
      </c>
      <c r="K136" t="inlineStr">
        <is>
          <t>Gasoline consumption [MJ/km]</t>
        </is>
      </c>
      <c r="L136" t="inlineStr">
        <is>
          <t>Electricity consumption [MJ/km]</t>
        </is>
      </c>
      <c r="M136" t="inlineStr">
        <is>
          <t>Servicing [unit]</t>
        </is>
      </c>
      <c r="N136" t="inlineStr">
        <is>
          <t>Road/track use [m*year/vkm or pkm]</t>
        </is>
      </c>
      <c r="O136" t="inlineStr">
        <is>
          <t>Road maintenance [m*year/vkm]</t>
        </is>
      </c>
      <c r="P136" t="inlineStr">
        <is>
          <t>Discarding glider [kg]</t>
        </is>
      </c>
      <c r="Q136" t="inlineStr">
        <is>
          <t>Discarding powertrain [kg]</t>
        </is>
      </c>
      <c r="R136" t="inlineStr">
        <is>
          <t>Discarding battery [kg]</t>
        </is>
      </c>
      <c r="S136" t="inlineStr">
        <is>
          <t>CO2</t>
        </is>
      </c>
      <c r="T136" t="inlineStr">
        <is>
          <t>CO2, bio</t>
        </is>
      </c>
      <c r="U136" t="inlineStr">
        <is>
          <t>SO2</t>
        </is>
      </c>
      <c r="V136" t="inlineStr">
        <is>
          <t>Benzene</t>
        </is>
      </c>
      <c r="W136" t="inlineStr">
        <is>
          <t>CH4</t>
        </is>
      </c>
      <c r="X136" t="inlineStr">
        <is>
          <t>CO</t>
        </is>
      </c>
      <c r="Y136" t="inlineStr">
        <is>
          <t>N2O</t>
        </is>
      </c>
      <c r="Z136" t="inlineStr">
        <is>
          <t>NH3</t>
        </is>
      </c>
      <c r="AA136" t="inlineStr">
        <is>
          <t>NMHC</t>
        </is>
      </c>
      <c r="AB136" t="inlineStr">
        <is>
          <t>NOx</t>
        </is>
      </c>
      <c r="AC136" t="inlineStr">
        <is>
          <t>PM2.5</t>
        </is>
      </c>
      <c r="AD136" t="inlineStr">
        <is>
          <t>NMVOC</t>
        </is>
      </c>
      <c r="AE136" t="inlineStr">
        <is>
          <t>Ethane</t>
        </is>
      </c>
      <c r="AF136" t="inlineStr">
        <is>
          <t>Propane</t>
        </is>
      </c>
      <c r="AG136" t="inlineStr">
        <is>
          <t>Butane</t>
        </is>
      </c>
      <c r="AH136" t="inlineStr">
        <is>
          <t>Pentane</t>
        </is>
      </c>
      <c r="AI136" t="inlineStr">
        <is>
          <t>Hexane</t>
        </is>
      </c>
      <c r="AJ136" t="inlineStr">
        <is>
          <t>Cyclohexane</t>
        </is>
      </c>
      <c r="AK136" t="inlineStr">
        <is>
          <t>Heptane</t>
        </is>
      </c>
      <c r="AL136" t="inlineStr">
        <is>
          <t>Ethene</t>
        </is>
      </c>
      <c r="AM136" t="inlineStr">
        <is>
          <t>Propene</t>
        </is>
      </c>
      <c r="AN136" t="inlineStr">
        <is>
          <t>1-Pentene</t>
        </is>
      </c>
      <c r="AO136" t="inlineStr">
        <is>
          <t>Benzene</t>
        </is>
      </c>
      <c r="AP136" t="inlineStr">
        <is>
          <t>Toluene</t>
        </is>
      </c>
      <c r="AQ136" t="inlineStr">
        <is>
          <t>m-Xylene</t>
        </is>
      </c>
      <c r="AR136" t="inlineStr">
        <is>
          <t>o-Xylene</t>
        </is>
      </c>
      <c r="AS136" t="inlineStr">
        <is>
          <t>Formaldehyde</t>
        </is>
      </c>
      <c r="AT136" t="inlineStr">
        <is>
          <t>Acetaldehyde</t>
        </is>
      </c>
      <c r="AU136" t="inlineStr">
        <is>
          <t>Benzaldehyde</t>
        </is>
      </c>
      <c r="AV136" t="inlineStr">
        <is>
          <t>Acetone</t>
        </is>
      </c>
      <c r="AW136" t="inlineStr">
        <is>
          <t>Methyl ethyl ketone</t>
        </is>
      </c>
      <c r="AX136" t="inlineStr">
        <is>
          <t>Acrolein</t>
        </is>
      </c>
      <c r="AY136" t="inlineStr">
        <is>
          <t>Styrene</t>
        </is>
      </c>
      <c r="AZ136" t="inlineStr">
        <is>
          <t>PAHs</t>
        </is>
      </c>
      <c r="BA136" t="inlineStr">
        <is>
          <t>Arsenic</t>
        </is>
      </c>
      <c r="BB136" t="inlineStr">
        <is>
          <t>Selenium</t>
        </is>
      </c>
      <c r="BC136" t="inlineStr">
        <is>
          <t>Zinc</t>
        </is>
      </c>
      <c r="BD136" t="inlineStr">
        <is>
          <t>Copper</t>
        </is>
      </c>
      <c r="BE136" t="inlineStr">
        <is>
          <t>Nickel</t>
        </is>
      </c>
      <c r="BF136" t="inlineStr">
        <is>
          <t>Chromium</t>
        </is>
      </c>
      <c r="BG136" t="inlineStr">
        <is>
          <t>Chromium VI</t>
        </is>
      </c>
      <c r="BH136" t="inlineStr">
        <is>
          <t>Mercury</t>
        </is>
      </c>
      <c r="BI136" t="inlineStr">
        <is>
          <t>Cadmium</t>
        </is>
      </c>
      <c r="BJ136" t="inlineStr">
        <is>
          <t>Road wear [kg/km]</t>
        </is>
      </c>
      <c r="BK136" t="inlineStr">
        <is>
          <t>Tire wear [kg/km]</t>
        </is>
      </c>
      <c r="BL136" t="inlineStr">
        <is>
          <t>Brake wear [kg/km]</t>
        </is>
      </c>
    </row>
    <row r="137">
      <c r="A137" t="inlineStr">
        <is>
          <t>Kick Scooter, battery electric, &lt;1kW - 2020 - NMC - CH</t>
        </is>
      </c>
      <c r="B137">
        <f>1/17</f>
        <v>5.8823529411764705E-2</v>
      </c>
      <c r="C137" s="2">
        <f>'vehicles specifications'!S3</f>
        <v>7</v>
      </c>
      <c r="D137">
        <f>1/17</f>
        <v>5.8823529411764705E-2</v>
      </c>
      <c r="E137" t="n">
        <v>1</v>
      </c>
      <c r="F137">
        <f>1+'vehicles specifications'!AD3</f>
        <v>1</v>
      </c>
      <c r="G137">
        <f>1+'vehicles specifications'!AD3</f>
        <v>1</v>
      </c>
      <c r="J137" t="n">
        <v>1</v>
      </c>
      <c r="K137">
        <f>1/('fuels and tailpipe emissions'!$C$3*3.6)</f>
        <v>2.3474178403755867E-2</v>
      </c>
      <c r="L137">
        <f>1/3.6*1.1</f>
        <v>0.30555555555555558</v>
      </c>
      <c r="M137">
        <f>1/'vehicles specifications'!J3</f>
        <v>5.602240896358543E-4</v>
      </c>
      <c r="N137" t="n">
        <v>1</v>
      </c>
      <c r="O137">
        <f>1</f>
        <v>1</v>
      </c>
      <c r="P137">
        <f>-1/17</f>
        <v>-5.8823529411764705E-2</v>
      </c>
      <c r="Q137">
        <f>-1/24</f>
        <v>-4.1666666666666664E-2</v>
      </c>
      <c r="R137">
        <f>-1-'vehicles specifications'!AD3</f>
        <v>-1</v>
      </c>
      <c r="S137" t="n">
        <v>1</v>
      </c>
      <c r="T137" t="n">
        <v>1</v>
      </c>
      <c r="U137" t="n">
        <v>1</v>
      </c>
      <c r="V137" t="n">
        <v>1</v>
      </c>
      <c r="W137" t="n">
        <v>1</v>
      </c>
      <c r="X137" t="n">
        <v>1</v>
      </c>
      <c r="Y137" t="n">
        <v>1</v>
      </c>
      <c r="Z137" t="n">
        <v>1</v>
      </c>
      <c r="AA137" t="n">
        <v>1</v>
      </c>
      <c r="AB137" t="n">
        <v>1</v>
      </c>
      <c r="AC137" t="n">
        <v>1</v>
      </c>
      <c r="AD137" t="n">
        <v>1</v>
      </c>
      <c r="AE137" t="n">
        <v>1</v>
      </c>
      <c r="AF137" t="n">
        <v>1</v>
      </c>
      <c r="AG137" t="n">
        <v>1</v>
      </c>
      <c r="AH137" t="n">
        <v>1</v>
      </c>
      <c r="AI137" t="n">
        <v>1</v>
      </c>
      <c r="AJ137" t="n">
        <v>1</v>
      </c>
      <c r="AK137" t="n">
        <v>1</v>
      </c>
      <c r="AL137" t="n">
        <v>1</v>
      </c>
      <c r="AM137" t="n">
        <v>1</v>
      </c>
      <c r="AN137" t="n">
        <v>1</v>
      </c>
      <c r="AO137" t="n">
        <v>1</v>
      </c>
      <c r="AP137" t="n">
        <v>1</v>
      </c>
      <c r="AQ137" t="n">
        <v>1</v>
      </c>
      <c r="AR137" t="n">
        <v>1</v>
      </c>
      <c r="AS137" t="n">
        <v>1</v>
      </c>
      <c r="AT137" t="n">
        <v>1</v>
      </c>
      <c r="AU137" t="n">
        <v>1</v>
      </c>
      <c r="AV137" t="n">
        <v>1</v>
      </c>
      <c r="AW137" t="n">
        <v>1</v>
      </c>
      <c r="AX137" t="n">
        <v>1</v>
      </c>
      <c r="AY137" t="n">
        <v>1</v>
      </c>
      <c r="AZ137" t="n">
        <v>1</v>
      </c>
      <c r="BA137" t="n">
        <v>1</v>
      </c>
      <c r="BB137" t="n">
        <v>1</v>
      </c>
      <c r="BC137" t="n">
        <v>1</v>
      </c>
      <c r="BD137" t="n">
        <v>1</v>
      </c>
      <c r="BE137" t="n">
        <v>1</v>
      </c>
      <c r="BF137" t="n">
        <v>1</v>
      </c>
      <c r="BG137" t="n">
        <v>1</v>
      </c>
      <c r="BH137" t="n">
        <v>1</v>
      </c>
      <c r="BI137" t="n">
        <v>1</v>
      </c>
      <c r="BJ137">
        <f>-1/'vehicles specifications'!$M3</f>
        <v>-1</v>
      </c>
      <c r="BK137">
        <f>-1/'vehicles specifications'!$M3</f>
        <v>-1</v>
      </c>
      <c r="BL137">
        <f>-1/'vehicles specifications'!$M3</f>
        <v>-1</v>
      </c>
    </row>
    <row r="138">
      <c r="A138" t="inlineStr">
        <is>
          <t>Kick Scooter, battery electric, &lt;1kW - 2030 - NMC - CH</t>
        </is>
      </c>
      <c r="B138">
        <f>1/17</f>
        <v>5.8823529411764705E-2</v>
      </c>
      <c r="C138" s="2">
        <f>'vehicles specifications'!S4</f>
        <v>7</v>
      </c>
      <c r="D138">
        <f>1/17</f>
        <v>5.8823529411764705E-2</v>
      </c>
      <c r="E138" t="n">
        <v>1</v>
      </c>
      <c r="F138">
        <f>1+'vehicles specifications'!AD4</f>
        <v>1</v>
      </c>
      <c r="G138">
        <f>1+'vehicles specifications'!AD4</f>
        <v>1</v>
      </c>
      <c r="J138" t="n">
        <v>1</v>
      </c>
      <c r="K138">
        <f>1/('fuels and tailpipe emissions'!$C$3*3.6)</f>
        <v>2.3474178403755867E-2</v>
      </c>
      <c r="L138">
        <f>1/3.6*1.1</f>
        <v>0.30555555555555558</v>
      </c>
      <c r="M138">
        <f>1/'vehicles specifications'!J4</f>
        <v>5.602240896358543E-4</v>
      </c>
      <c r="N138" t="n">
        <v>1</v>
      </c>
      <c r="O138">
        <f>1</f>
        <v>1</v>
      </c>
      <c r="P138">
        <f>-1/17</f>
        <v>-5.8823529411764705E-2</v>
      </c>
      <c r="Q138">
        <f>-1/24</f>
        <v>-4.1666666666666664E-2</v>
      </c>
      <c r="R138">
        <f>-1-'vehicles specifications'!AD4</f>
        <v>-1</v>
      </c>
      <c r="S138" t="n">
        <v>1</v>
      </c>
      <c r="T138" t="n">
        <v>1</v>
      </c>
      <c r="U138" t="n">
        <v>1</v>
      </c>
      <c r="V138" t="n">
        <v>1</v>
      </c>
      <c r="W138" t="n">
        <v>1</v>
      </c>
      <c r="X138" t="n">
        <v>1</v>
      </c>
      <c r="Y138" t="n">
        <v>1</v>
      </c>
      <c r="Z138" t="n">
        <v>1</v>
      </c>
      <c r="AA138" t="n">
        <v>1</v>
      </c>
      <c r="AB138" t="n">
        <v>1</v>
      </c>
      <c r="AC138" t="n">
        <v>1</v>
      </c>
      <c r="AD138" t="n">
        <v>1</v>
      </c>
      <c r="AE138" t="n">
        <v>1</v>
      </c>
      <c r="AF138" t="n">
        <v>1</v>
      </c>
      <c r="AG138" t="n">
        <v>1</v>
      </c>
      <c r="AH138" t="n">
        <v>1</v>
      </c>
      <c r="AI138" t="n">
        <v>1</v>
      </c>
      <c r="AJ138" t="n">
        <v>1</v>
      </c>
      <c r="AK138" t="n">
        <v>1</v>
      </c>
      <c r="AL138" t="n">
        <v>1</v>
      </c>
      <c r="AM138" t="n">
        <v>1</v>
      </c>
      <c r="AN138" t="n">
        <v>1</v>
      </c>
      <c r="AO138" t="n">
        <v>1</v>
      </c>
      <c r="AP138" t="n">
        <v>1</v>
      </c>
      <c r="AQ138" t="n">
        <v>1</v>
      </c>
      <c r="AR138" t="n">
        <v>1</v>
      </c>
      <c r="AS138" t="n">
        <v>1</v>
      </c>
      <c r="AT138" t="n">
        <v>1</v>
      </c>
      <c r="AU138" t="n">
        <v>1</v>
      </c>
      <c r="AV138" t="n">
        <v>1</v>
      </c>
      <c r="AW138" t="n">
        <v>1</v>
      </c>
      <c r="AX138" t="n">
        <v>1</v>
      </c>
      <c r="AY138" t="n">
        <v>1</v>
      </c>
      <c r="AZ138" t="n">
        <v>1</v>
      </c>
      <c r="BA138" t="n">
        <v>1</v>
      </c>
      <c r="BB138" t="n">
        <v>1</v>
      </c>
      <c r="BC138" t="n">
        <v>1</v>
      </c>
      <c r="BD138" t="n">
        <v>1</v>
      </c>
      <c r="BE138" t="n">
        <v>1</v>
      </c>
      <c r="BF138" t="n">
        <v>1</v>
      </c>
      <c r="BG138" t="n">
        <v>1</v>
      </c>
      <c r="BH138" t="n">
        <v>1</v>
      </c>
      <c r="BI138" t="n">
        <v>1</v>
      </c>
      <c r="BJ138">
        <f>-1/'vehicles specifications'!$M4</f>
        <v>-1</v>
      </c>
      <c r="BK138">
        <f>-1/'vehicles specifications'!$M4</f>
        <v>-1</v>
      </c>
      <c r="BL138">
        <f>-1/'vehicles specifications'!$M4</f>
        <v>-1</v>
      </c>
    </row>
    <row r="139">
      <c r="A139" t="inlineStr">
        <is>
          <t>Kick Scooter, battery electric, &lt;1kW - 2040 - NMC - CH</t>
        </is>
      </c>
      <c r="B139">
        <f>1/17</f>
        <v>5.8823529411764705E-2</v>
      </c>
      <c r="C139" s="2">
        <f>'vehicles specifications'!S5</f>
        <v>7</v>
      </c>
      <c r="D139">
        <f>1/17</f>
        <v>5.8823529411764705E-2</v>
      </c>
      <c r="E139" t="n">
        <v>1</v>
      </c>
      <c r="F139">
        <f>1+'vehicles specifications'!AD5</f>
        <v>1</v>
      </c>
      <c r="G139">
        <f>1+'vehicles specifications'!AD5</f>
        <v>1</v>
      </c>
      <c r="J139" t="n">
        <v>1</v>
      </c>
      <c r="K139">
        <f>1/('fuels and tailpipe emissions'!$C$3*3.6)</f>
        <v>2.3474178403755867E-2</v>
      </c>
      <c r="L139">
        <f>1/3.6*1.1</f>
        <v>0.30555555555555558</v>
      </c>
      <c r="M139">
        <f>1/'vehicles specifications'!J5</f>
        <v>5.602240896358543E-4</v>
      </c>
      <c r="N139" t="n">
        <v>1</v>
      </c>
      <c r="O139">
        <f>1</f>
        <v>1</v>
      </c>
      <c r="P139">
        <f>-1/17</f>
        <v>-5.8823529411764705E-2</v>
      </c>
      <c r="Q139">
        <f>-1/24</f>
        <v>-4.1666666666666664E-2</v>
      </c>
      <c r="R139">
        <f>-1-'vehicles specifications'!AD5</f>
        <v>-1</v>
      </c>
      <c r="S139" t="n">
        <v>1</v>
      </c>
      <c r="T139" t="n">
        <v>1</v>
      </c>
      <c r="U139" t="n">
        <v>1</v>
      </c>
      <c r="V139" t="n">
        <v>1</v>
      </c>
      <c r="W139" t="n">
        <v>1</v>
      </c>
      <c r="X139" t="n">
        <v>1</v>
      </c>
      <c r="Y139" t="n">
        <v>1</v>
      </c>
      <c r="Z139" t="n">
        <v>1</v>
      </c>
      <c r="AA139" t="n">
        <v>1</v>
      </c>
      <c r="AB139" t="n">
        <v>1</v>
      </c>
      <c r="AC139" t="n">
        <v>1</v>
      </c>
      <c r="AD139" t="n">
        <v>1</v>
      </c>
      <c r="AE139" t="n">
        <v>1</v>
      </c>
      <c r="AF139" t="n">
        <v>1</v>
      </c>
      <c r="AG139" t="n">
        <v>1</v>
      </c>
      <c r="AH139" t="n">
        <v>1</v>
      </c>
      <c r="AI139" t="n">
        <v>1</v>
      </c>
      <c r="AJ139" t="n">
        <v>1</v>
      </c>
      <c r="AK139" t="n">
        <v>1</v>
      </c>
      <c r="AL139" t="n">
        <v>1</v>
      </c>
      <c r="AM139" t="n">
        <v>1</v>
      </c>
      <c r="AN139" t="n">
        <v>1</v>
      </c>
      <c r="AO139" t="n">
        <v>1</v>
      </c>
      <c r="AP139" t="n">
        <v>1</v>
      </c>
      <c r="AQ139" t="n">
        <v>1</v>
      </c>
      <c r="AR139" t="n">
        <v>1</v>
      </c>
      <c r="AS139" t="n">
        <v>1</v>
      </c>
      <c r="AT139" t="n">
        <v>1</v>
      </c>
      <c r="AU139" t="n">
        <v>1</v>
      </c>
      <c r="AV139" t="n">
        <v>1</v>
      </c>
      <c r="AW139" t="n">
        <v>1</v>
      </c>
      <c r="AX139" t="n">
        <v>1</v>
      </c>
      <c r="AY139" t="n">
        <v>1</v>
      </c>
      <c r="AZ139" t="n">
        <v>1</v>
      </c>
      <c r="BA139" t="n">
        <v>1</v>
      </c>
      <c r="BB139" t="n">
        <v>1</v>
      </c>
      <c r="BC139" t="n">
        <v>1</v>
      </c>
      <c r="BD139" t="n">
        <v>1</v>
      </c>
      <c r="BE139" t="n">
        <v>1</v>
      </c>
      <c r="BF139" t="n">
        <v>1</v>
      </c>
      <c r="BG139" t="n">
        <v>1</v>
      </c>
      <c r="BH139" t="n">
        <v>1</v>
      </c>
      <c r="BI139" t="n">
        <v>1</v>
      </c>
      <c r="BJ139">
        <f>-1/'vehicles specifications'!$M5</f>
        <v>-1</v>
      </c>
      <c r="BK139">
        <f>-1/'vehicles specifications'!$M5</f>
        <v>-1</v>
      </c>
      <c r="BL139">
        <f>-1/'vehicles specifications'!$M5</f>
        <v>-1</v>
      </c>
    </row>
    <row r="140">
      <c r="A140" t="inlineStr">
        <is>
          <t>Kick Scooter, battery electric, &lt;1kW - 2050 - NMC - CH</t>
        </is>
      </c>
      <c r="B140">
        <f>1/17</f>
        <v>5.8823529411764705E-2</v>
      </c>
      <c r="C140" s="2">
        <f>'vehicles specifications'!S6</f>
        <v>7</v>
      </c>
      <c r="D140">
        <f>1/17</f>
        <v>5.8823529411764705E-2</v>
      </c>
      <c r="E140" t="n">
        <v>1</v>
      </c>
      <c r="F140">
        <f>1+'vehicles specifications'!AD6</f>
        <v>1</v>
      </c>
      <c r="G140">
        <f>1+'vehicles specifications'!AD6</f>
        <v>1</v>
      </c>
      <c r="J140" t="n">
        <v>1</v>
      </c>
      <c r="K140">
        <f>1/('fuels and tailpipe emissions'!$C$3*3.6)</f>
        <v>2.3474178403755867E-2</v>
      </c>
      <c r="L140">
        <f>1/3.6*1.1</f>
        <v>0.30555555555555558</v>
      </c>
      <c r="M140">
        <f>1/'vehicles specifications'!J6</f>
        <v>5.602240896358543E-4</v>
      </c>
      <c r="N140" t="n">
        <v>1</v>
      </c>
      <c r="O140">
        <f>1</f>
        <v>1</v>
      </c>
      <c r="P140">
        <f>-1/17</f>
        <v>-5.8823529411764705E-2</v>
      </c>
      <c r="Q140">
        <f>-1/24</f>
        <v>-4.1666666666666664E-2</v>
      </c>
      <c r="R140">
        <f>-1-'vehicles specifications'!AD6</f>
        <v>-1</v>
      </c>
      <c r="S140" t="n">
        <v>1</v>
      </c>
      <c r="T140" t="n">
        <v>1</v>
      </c>
      <c r="U140" t="n">
        <v>1</v>
      </c>
      <c r="V140" t="n">
        <v>1</v>
      </c>
      <c r="W140" t="n">
        <v>1</v>
      </c>
      <c r="X140" t="n">
        <v>1</v>
      </c>
      <c r="Y140" t="n">
        <v>1</v>
      </c>
      <c r="Z140" t="n">
        <v>1</v>
      </c>
      <c r="AA140" t="n">
        <v>1</v>
      </c>
      <c r="AB140" t="n">
        <v>1</v>
      </c>
      <c r="AC140" t="n">
        <v>1</v>
      </c>
      <c r="AD140" t="n">
        <v>1</v>
      </c>
      <c r="AE140" t="n">
        <v>1</v>
      </c>
      <c r="AF140" t="n">
        <v>1</v>
      </c>
      <c r="AG140" t="n">
        <v>1</v>
      </c>
      <c r="AH140" t="n">
        <v>1</v>
      </c>
      <c r="AI140" t="n">
        <v>1</v>
      </c>
      <c r="AJ140" t="n">
        <v>1</v>
      </c>
      <c r="AK140" t="n">
        <v>1</v>
      </c>
      <c r="AL140" t="n">
        <v>1</v>
      </c>
      <c r="AM140" t="n">
        <v>1</v>
      </c>
      <c r="AN140" t="n">
        <v>1</v>
      </c>
      <c r="AO140" t="n">
        <v>1</v>
      </c>
      <c r="AP140" t="n">
        <v>1</v>
      </c>
      <c r="AQ140" t="n">
        <v>1</v>
      </c>
      <c r="AR140" t="n">
        <v>1</v>
      </c>
      <c r="AS140" t="n">
        <v>1</v>
      </c>
      <c r="AT140" t="n">
        <v>1</v>
      </c>
      <c r="AU140" t="n">
        <v>1</v>
      </c>
      <c r="AV140" t="n">
        <v>1</v>
      </c>
      <c r="AW140" t="n">
        <v>1</v>
      </c>
      <c r="AX140" t="n">
        <v>1</v>
      </c>
      <c r="AY140" t="n">
        <v>1</v>
      </c>
      <c r="AZ140" t="n">
        <v>1</v>
      </c>
      <c r="BA140" t="n">
        <v>1</v>
      </c>
      <c r="BB140" t="n">
        <v>1</v>
      </c>
      <c r="BC140" t="n">
        <v>1</v>
      </c>
      <c r="BD140" t="n">
        <v>1</v>
      </c>
      <c r="BE140" t="n">
        <v>1</v>
      </c>
      <c r="BF140" t="n">
        <v>1</v>
      </c>
      <c r="BG140" t="n">
        <v>1</v>
      </c>
      <c r="BH140" t="n">
        <v>1</v>
      </c>
      <c r="BI140" t="n">
        <v>1</v>
      </c>
      <c r="BJ140">
        <f>-1/'vehicles specifications'!$M6</f>
        <v>-1</v>
      </c>
      <c r="BK140">
        <f>-1/'vehicles specifications'!$M6</f>
        <v>-1</v>
      </c>
      <c r="BL140">
        <f>-1/'vehicles specifications'!$M6</f>
        <v>-1</v>
      </c>
    </row>
    <row r="141">
      <c r="A141" t="inlineStr">
        <is>
          <t>Kick Scooter, battery electric, &lt;1kW - 2020 - LFP - CH</t>
        </is>
      </c>
      <c r="B141">
        <f>1/17</f>
        <v>5.8823529411764705E-2</v>
      </c>
      <c r="C141" s="2">
        <f>'vehicles specifications'!S7</f>
        <v>7</v>
      </c>
      <c r="D141">
        <f>1/17</f>
        <v>5.8823529411764705E-2</v>
      </c>
      <c r="E141" t="n">
        <v>1</v>
      </c>
      <c r="F141">
        <f>1+'vehicles specifications'!AD7</f>
        <v>1</v>
      </c>
      <c r="G141">
        <f>1+'vehicles specifications'!AD7</f>
        <v>1</v>
      </c>
      <c r="J141" t="n">
        <v>1</v>
      </c>
      <c r="K141">
        <f>1/('fuels and tailpipe emissions'!$C$3*3.6)</f>
        <v>2.3474178403755867E-2</v>
      </c>
      <c r="L141">
        <f>1/3.6*1.1</f>
        <v>0.30555555555555558</v>
      </c>
      <c r="M141">
        <f>1/'vehicles specifications'!J7</f>
        <v>5.602240896358543E-4</v>
      </c>
      <c r="N141" t="n">
        <v>1</v>
      </c>
      <c r="O141">
        <f>1</f>
        <v>1</v>
      </c>
      <c r="P141">
        <f>-1/17</f>
        <v>-5.8823529411764705E-2</v>
      </c>
      <c r="Q141">
        <f>-1/24</f>
        <v>-4.1666666666666664E-2</v>
      </c>
      <c r="R141">
        <f>-1-'vehicles specifications'!AD7</f>
        <v>-1</v>
      </c>
      <c r="S141" t="n">
        <v>1</v>
      </c>
      <c r="T141" t="n">
        <v>1</v>
      </c>
      <c r="U141" t="n">
        <v>1</v>
      </c>
      <c r="V141" t="n">
        <v>1</v>
      </c>
      <c r="W141" t="n">
        <v>1</v>
      </c>
      <c r="X141" t="n">
        <v>1</v>
      </c>
      <c r="Y141" t="n">
        <v>1</v>
      </c>
      <c r="Z141" t="n">
        <v>1</v>
      </c>
      <c r="AA141" t="n">
        <v>1</v>
      </c>
      <c r="AB141" t="n">
        <v>1</v>
      </c>
      <c r="AC141" t="n">
        <v>1</v>
      </c>
      <c r="AD141" t="n">
        <v>1</v>
      </c>
      <c r="AE141" t="n">
        <v>1</v>
      </c>
      <c r="AF141" t="n">
        <v>1</v>
      </c>
      <c r="AG141" t="n">
        <v>1</v>
      </c>
      <c r="AH141" t="n">
        <v>1</v>
      </c>
      <c r="AI141" t="n">
        <v>1</v>
      </c>
      <c r="AJ141" t="n">
        <v>1</v>
      </c>
      <c r="AK141" t="n">
        <v>1</v>
      </c>
      <c r="AL141" t="n">
        <v>1</v>
      </c>
      <c r="AM141" t="n">
        <v>1</v>
      </c>
      <c r="AN141" t="n">
        <v>1</v>
      </c>
      <c r="AO141" t="n">
        <v>1</v>
      </c>
      <c r="AP141" t="n">
        <v>1</v>
      </c>
      <c r="AQ141" t="n">
        <v>1</v>
      </c>
      <c r="AR141" t="n">
        <v>1</v>
      </c>
      <c r="AS141" t="n">
        <v>1</v>
      </c>
      <c r="AT141" t="n">
        <v>1</v>
      </c>
      <c r="AU141" t="n">
        <v>1</v>
      </c>
      <c r="AV141" t="n">
        <v>1</v>
      </c>
      <c r="AW141" t="n">
        <v>1</v>
      </c>
      <c r="AX141" t="n">
        <v>1</v>
      </c>
      <c r="AY141" t="n">
        <v>1</v>
      </c>
      <c r="AZ141" t="n">
        <v>1</v>
      </c>
      <c r="BA141" t="n">
        <v>1</v>
      </c>
      <c r="BB141" t="n">
        <v>1</v>
      </c>
      <c r="BC141" t="n">
        <v>1</v>
      </c>
      <c r="BD141" t="n">
        <v>1</v>
      </c>
      <c r="BE141" t="n">
        <v>1</v>
      </c>
      <c r="BF141" t="n">
        <v>1</v>
      </c>
      <c r="BG141" t="n">
        <v>1</v>
      </c>
      <c r="BH141" t="n">
        <v>1</v>
      </c>
      <c r="BI141" t="n">
        <v>1</v>
      </c>
      <c r="BJ141">
        <f>-1/'vehicles specifications'!$M7</f>
        <v>-1</v>
      </c>
      <c r="BK141">
        <f>-1/'vehicles specifications'!$M7</f>
        <v>-1</v>
      </c>
      <c r="BL141">
        <f>-1/'vehicles specifications'!$M7</f>
        <v>-1</v>
      </c>
    </row>
    <row r="142">
      <c r="A142" t="inlineStr">
        <is>
          <t>Kick Scooter, battery electric, &lt;1kW - 2030 - LFP - CH</t>
        </is>
      </c>
      <c r="B142">
        <f>1/17</f>
        <v>5.8823529411764705E-2</v>
      </c>
      <c r="C142" s="2">
        <f>'vehicles specifications'!S8</f>
        <v>7</v>
      </c>
      <c r="D142">
        <f>1/17</f>
        <v>5.8823529411764705E-2</v>
      </c>
      <c r="E142" t="n">
        <v>1</v>
      </c>
      <c r="F142">
        <f>1+'vehicles specifications'!AD8</f>
        <v>1</v>
      </c>
      <c r="G142">
        <f>1+'vehicles specifications'!AD8</f>
        <v>1</v>
      </c>
      <c r="J142" t="n">
        <v>1</v>
      </c>
      <c r="K142">
        <f>1/('fuels and tailpipe emissions'!$C$3*3.6)</f>
        <v>2.3474178403755867E-2</v>
      </c>
      <c r="L142">
        <f>1/3.6*1.1</f>
        <v>0.30555555555555558</v>
      </c>
      <c r="M142">
        <f>1/'vehicles specifications'!J8</f>
        <v>5.602240896358543E-4</v>
      </c>
      <c r="N142" t="n">
        <v>1</v>
      </c>
      <c r="O142">
        <f>1</f>
        <v>1</v>
      </c>
      <c r="P142">
        <f>-1/17</f>
        <v>-5.8823529411764705E-2</v>
      </c>
      <c r="Q142">
        <f>-1/24</f>
        <v>-4.1666666666666664E-2</v>
      </c>
      <c r="R142">
        <f>-1-'vehicles specifications'!AD8</f>
        <v>-1</v>
      </c>
      <c r="S142" t="n">
        <v>1</v>
      </c>
      <c r="T142" t="n">
        <v>1</v>
      </c>
      <c r="U142" t="n">
        <v>1</v>
      </c>
      <c r="V142" t="n">
        <v>1</v>
      </c>
      <c r="W142" t="n">
        <v>1</v>
      </c>
      <c r="X142" t="n">
        <v>1</v>
      </c>
      <c r="Y142" t="n">
        <v>1</v>
      </c>
      <c r="Z142" t="n">
        <v>1</v>
      </c>
      <c r="AA142" t="n">
        <v>1</v>
      </c>
      <c r="AB142" t="n">
        <v>1</v>
      </c>
      <c r="AC142" t="n">
        <v>1</v>
      </c>
      <c r="AD142" t="n">
        <v>1</v>
      </c>
      <c r="AE142" t="n">
        <v>1</v>
      </c>
      <c r="AF142" t="n">
        <v>1</v>
      </c>
      <c r="AG142" t="n">
        <v>1</v>
      </c>
      <c r="AH142" t="n">
        <v>1</v>
      </c>
      <c r="AI142" t="n">
        <v>1</v>
      </c>
      <c r="AJ142" t="n">
        <v>1</v>
      </c>
      <c r="AK142" t="n">
        <v>1</v>
      </c>
      <c r="AL142" t="n">
        <v>1</v>
      </c>
      <c r="AM142" t="n">
        <v>1</v>
      </c>
      <c r="AN142" t="n">
        <v>1</v>
      </c>
      <c r="AO142" t="n">
        <v>1</v>
      </c>
      <c r="AP142" t="n">
        <v>1</v>
      </c>
      <c r="AQ142" t="n">
        <v>1</v>
      </c>
      <c r="AR142" t="n">
        <v>1</v>
      </c>
      <c r="AS142" t="n">
        <v>1</v>
      </c>
      <c r="AT142" t="n">
        <v>1</v>
      </c>
      <c r="AU142" t="n">
        <v>1</v>
      </c>
      <c r="AV142" t="n">
        <v>1</v>
      </c>
      <c r="AW142" t="n">
        <v>1</v>
      </c>
      <c r="AX142" t="n">
        <v>1</v>
      </c>
      <c r="AY142" t="n">
        <v>1</v>
      </c>
      <c r="AZ142" t="n">
        <v>1</v>
      </c>
      <c r="BA142" t="n">
        <v>1</v>
      </c>
      <c r="BB142" t="n">
        <v>1</v>
      </c>
      <c r="BC142" t="n">
        <v>1</v>
      </c>
      <c r="BD142" t="n">
        <v>1</v>
      </c>
      <c r="BE142" t="n">
        <v>1</v>
      </c>
      <c r="BF142" t="n">
        <v>1</v>
      </c>
      <c r="BG142" t="n">
        <v>1</v>
      </c>
      <c r="BH142" t="n">
        <v>1</v>
      </c>
      <c r="BI142" t="n">
        <v>1</v>
      </c>
      <c r="BJ142">
        <f>-1/'vehicles specifications'!$M8</f>
        <v>-1</v>
      </c>
      <c r="BK142">
        <f>-1/'vehicles specifications'!$M8</f>
        <v>-1</v>
      </c>
      <c r="BL142">
        <f>-1/'vehicles specifications'!$M8</f>
        <v>-1</v>
      </c>
    </row>
    <row r="143">
      <c r="A143" t="inlineStr">
        <is>
          <t>Kick Scooter, battery electric, &lt;1kW - 2040 - LFP - CH</t>
        </is>
      </c>
      <c r="B143">
        <f>1/17</f>
        <v>5.8823529411764705E-2</v>
      </c>
      <c r="C143" s="2">
        <f>'vehicles specifications'!S9</f>
        <v>7</v>
      </c>
      <c r="D143">
        <f>1/17</f>
        <v>5.8823529411764705E-2</v>
      </c>
      <c r="E143" t="n">
        <v>1</v>
      </c>
      <c r="F143">
        <f>1+'vehicles specifications'!AD9</f>
        <v>1</v>
      </c>
      <c r="G143">
        <f>1+'vehicles specifications'!AD9</f>
        <v>1</v>
      </c>
      <c r="J143" t="n">
        <v>1</v>
      </c>
      <c r="K143">
        <f>1/('fuels and tailpipe emissions'!$C$3*3.6)</f>
        <v>2.3474178403755867E-2</v>
      </c>
      <c r="L143">
        <f>1/3.6*1.1</f>
        <v>0.30555555555555558</v>
      </c>
      <c r="M143">
        <f>1/'vehicles specifications'!J9</f>
        <v>5.602240896358543E-4</v>
      </c>
      <c r="N143" t="n">
        <v>1</v>
      </c>
      <c r="O143">
        <f>1</f>
        <v>1</v>
      </c>
      <c r="P143">
        <f>-1/17</f>
        <v>-5.8823529411764705E-2</v>
      </c>
      <c r="Q143">
        <f>-1/24</f>
        <v>-4.1666666666666664E-2</v>
      </c>
      <c r="R143">
        <f>-1-'vehicles specifications'!AD9</f>
        <v>-1</v>
      </c>
      <c r="S143" t="n">
        <v>1</v>
      </c>
      <c r="T143" t="n">
        <v>1</v>
      </c>
      <c r="U143" t="n">
        <v>1</v>
      </c>
      <c r="V143" t="n">
        <v>1</v>
      </c>
      <c r="W143" t="n">
        <v>1</v>
      </c>
      <c r="X143" t="n">
        <v>1</v>
      </c>
      <c r="Y143" t="n">
        <v>1</v>
      </c>
      <c r="Z143" t="n">
        <v>1</v>
      </c>
      <c r="AA143" t="n">
        <v>1</v>
      </c>
      <c r="AB143" t="n">
        <v>1</v>
      </c>
      <c r="AC143" t="n">
        <v>1</v>
      </c>
      <c r="AD143" t="n">
        <v>1</v>
      </c>
      <c r="AE143" t="n">
        <v>1</v>
      </c>
      <c r="AF143" t="n">
        <v>1</v>
      </c>
      <c r="AG143" t="n">
        <v>1</v>
      </c>
      <c r="AH143" t="n">
        <v>1</v>
      </c>
      <c r="AI143" t="n">
        <v>1</v>
      </c>
      <c r="AJ143" t="n">
        <v>1</v>
      </c>
      <c r="AK143" t="n">
        <v>1</v>
      </c>
      <c r="AL143" t="n">
        <v>1</v>
      </c>
      <c r="AM143" t="n">
        <v>1</v>
      </c>
      <c r="AN143" t="n">
        <v>1</v>
      </c>
      <c r="AO143" t="n">
        <v>1</v>
      </c>
      <c r="AP143" t="n">
        <v>1</v>
      </c>
      <c r="AQ143" t="n">
        <v>1</v>
      </c>
      <c r="AR143" t="n">
        <v>1</v>
      </c>
      <c r="AS143" t="n">
        <v>1</v>
      </c>
      <c r="AT143" t="n">
        <v>1</v>
      </c>
      <c r="AU143" t="n">
        <v>1</v>
      </c>
      <c r="AV143" t="n">
        <v>1</v>
      </c>
      <c r="AW143" t="n">
        <v>1</v>
      </c>
      <c r="AX143" t="n">
        <v>1</v>
      </c>
      <c r="AY143" t="n">
        <v>1</v>
      </c>
      <c r="AZ143" t="n">
        <v>1</v>
      </c>
      <c r="BA143" t="n">
        <v>1</v>
      </c>
      <c r="BB143" t="n">
        <v>1</v>
      </c>
      <c r="BC143" t="n">
        <v>1</v>
      </c>
      <c r="BD143" t="n">
        <v>1</v>
      </c>
      <c r="BE143" t="n">
        <v>1</v>
      </c>
      <c r="BF143" t="n">
        <v>1</v>
      </c>
      <c r="BG143" t="n">
        <v>1</v>
      </c>
      <c r="BH143" t="n">
        <v>1</v>
      </c>
      <c r="BI143" t="n">
        <v>1</v>
      </c>
      <c r="BJ143">
        <f>-1/'vehicles specifications'!$M9</f>
        <v>-1</v>
      </c>
      <c r="BK143">
        <f>-1/'vehicles specifications'!$M9</f>
        <v>-1</v>
      </c>
      <c r="BL143">
        <f>-1/'vehicles specifications'!$M9</f>
        <v>-1</v>
      </c>
    </row>
    <row r="144">
      <c r="A144" t="inlineStr">
        <is>
          <t>Kick Scooter, battery electric, &lt;1kW - 2050 - LFP - CH</t>
        </is>
      </c>
      <c r="B144">
        <f>1/17</f>
        <v>5.8823529411764705E-2</v>
      </c>
      <c r="C144" s="2">
        <f>'vehicles specifications'!S10</f>
        <v>7</v>
      </c>
      <c r="D144">
        <f>1/17</f>
        <v>5.8823529411764705E-2</v>
      </c>
      <c r="E144" t="n">
        <v>1</v>
      </c>
      <c r="F144">
        <f>1+'vehicles specifications'!AD10</f>
        <v>1</v>
      </c>
      <c r="G144">
        <f>1+'vehicles specifications'!AD10</f>
        <v>1</v>
      </c>
      <c r="J144" t="n">
        <v>1</v>
      </c>
      <c r="K144">
        <f>1/('fuels and tailpipe emissions'!$C$3*3.6)</f>
        <v>2.3474178403755867E-2</v>
      </c>
      <c r="L144">
        <f>1/3.6*1.1</f>
        <v>0.30555555555555558</v>
      </c>
      <c r="M144">
        <f>1/'vehicles specifications'!J10</f>
        <v>5.602240896358543E-4</v>
      </c>
      <c r="N144" t="n">
        <v>1</v>
      </c>
      <c r="O144">
        <f>1</f>
        <v>1</v>
      </c>
      <c r="P144">
        <f>-1/17</f>
        <v>-5.8823529411764705E-2</v>
      </c>
      <c r="Q144">
        <f>-1/24</f>
        <v>-4.1666666666666664E-2</v>
      </c>
      <c r="R144">
        <f>-1-'vehicles specifications'!AD10</f>
        <v>-1</v>
      </c>
      <c r="S144" t="n">
        <v>1</v>
      </c>
      <c r="T144" t="n">
        <v>1</v>
      </c>
      <c r="U144" t="n">
        <v>1</v>
      </c>
      <c r="V144" t="n">
        <v>1</v>
      </c>
      <c r="W144" t="n">
        <v>1</v>
      </c>
      <c r="X144" t="n">
        <v>1</v>
      </c>
      <c r="Y144" t="n">
        <v>1</v>
      </c>
      <c r="Z144" t="n">
        <v>1</v>
      </c>
      <c r="AA144" t="n">
        <v>1</v>
      </c>
      <c r="AB144" t="n">
        <v>1</v>
      </c>
      <c r="AC144" t="n">
        <v>1</v>
      </c>
      <c r="AD144" t="n">
        <v>1</v>
      </c>
      <c r="AE144" t="n">
        <v>1</v>
      </c>
      <c r="AF144" t="n">
        <v>1</v>
      </c>
      <c r="AG144" t="n">
        <v>1</v>
      </c>
      <c r="AH144" t="n">
        <v>1</v>
      </c>
      <c r="AI144" t="n">
        <v>1</v>
      </c>
      <c r="AJ144" t="n">
        <v>1</v>
      </c>
      <c r="AK144" t="n">
        <v>1</v>
      </c>
      <c r="AL144" t="n">
        <v>1</v>
      </c>
      <c r="AM144" t="n">
        <v>1</v>
      </c>
      <c r="AN144" t="n">
        <v>1</v>
      </c>
      <c r="AO144" t="n">
        <v>1</v>
      </c>
      <c r="AP144" t="n">
        <v>1</v>
      </c>
      <c r="AQ144" t="n">
        <v>1</v>
      </c>
      <c r="AR144" t="n">
        <v>1</v>
      </c>
      <c r="AS144" t="n">
        <v>1</v>
      </c>
      <c r="AT144" t="n">
        <v>1</v>
      </c>
      <c r="AU144" t="n">
        <v>1</v>
      </c>
      <c r="AV144" t="n">
        <v>1</v>
      </c>
      <c r="AW144" t="n">
        <v>1</v>
      </c>
      <c r="AX144" t="n">
        <v>1</v>
      </c>
      <c r="AY144" t="n">
        <v>1</v>
      </c>
      <c r="AZ144" t="n">
        <v>1</v>
      </c>
      <c r="BA144" t="n">
        <v>1</v>
      </c>
      <c r="BB144" t="n">
        <v>1</v>
      </c>
      <c r="BC144" t="n">
        <v>1</v>
      </c>
      <c r="BD144" t="n">
        <v>1</v>
      </c>
      <c r="BE144" t="n">
        <v>1</v>
      </c>
      <c r="BF144" t="n">
        <v>1</v>
      </c>
      <c r="BG144" t="n">
        <v>1</v>
      </c>
      <c r="BH144" t="n">
        <v>1</v>
      </c>
      <c r="BI144" t="n">
        <v>1</v>
      </c>
      <c r="BJ144">
        <f>-1/'vehicles specifications'!$M10</f>
        <v>-1</v>
      </c>
      <c r="BK144">
        <f>-1/'vehicles specifications'!$M10</f>
        <v>-1</v>
      </c>
      <c r="BL144">
        <f>-1/'vehicles specifications'!$M10</f>
        <v>-1</v>
      </c>
    </row>
    <row r="145">
      <c r="A145" t="inlineStr">
        <is>
          <t>Kick Scooter, battery electric, &lt;1kW - 2020 - NCA - CH</t>
        </is>
      </c>
      <c r="B145">
        <f>1/17</f>
        <v>5.8823529411764705E-2</v>
      </c>
      <c r="C145" s="2">
        <f>'vehicles specifications'!S11</f>
        <v>7</v>
      </c>
      <c r="D145">
        <f>1/17</f>
        <v>5.8823529411764705E-2</v>
      </c>
      <c r="E145" t="n">
        <v>1</v>
      </c>
      <c r="F145">
        <f>1+'vehicles specifications'!AD11</f>
        <v>1</v>
      </c>
      <c r="G145">
        <f>1+'vehicles specifications'!AD11</f>
        <v>1</v>
      </c>
      <c r="J145" t="n">
        <v>1</v>
      </c>
      <c r="K145">
        <f>1/('fuels and tailpipe emissions'!$C$3*3.6)</f>
        <v>2.3474178403755867E-2</v>
      </c>
      <c r="L145">
        <f>1/3.6*1.1</f>
        <v>0.30555555555555558</v>
      </c>
      <c r="M145">
        <f>1/'vehicles specifications'!J11</f>
        <v>5.602240896358543E-4</v>
      </c>
      <c r="N145" t="n">
        <v>1</v>
      </c>
      <c r="O145">
        <f>1</f>
        <v>1</v>
      </c>
      <c r="P145">
        <f>-1/17</f>
        <v>-5.8823529411764705E-2</v>
      </c>
      <c r="Q145">
        <f>-1/24</f>
        <v>-4.1666666666666664E-2</v>
      </c>
      <c r="R145">
        <f>-1-'vehicles specifications'!AD11</f>
        <v>-1</v>
      </c>
      <c r="S145" t="n">
        <v>1</v>
      </c>
      <c r="T145" t="n">
        <v>1</v>
      </c>
      <c r="U145" t="n">
        <v>1</v>
      </c>
      <c r="V145" t="n">
        <v>1</v>
      </c>
      <c r="W145" t="n">
        <v>1</v>
      </c>
      <c r="X145" t="n">
        <v>1</v>
      </c>
      <c r="Y145" t="n">
        <v>1</v>
      </c>
      <c r="Z145" t="n">
        <v>1</v>
      </c>
      <c r="AA145" t="n">
        <v>1</v>
      </c>
      <c r="AB145" t="n">
        <v>1</v>
      </c>
      <c r="AC145" t="n">
        <v>1</v>
      </c>
      <c r="AD145" t="n">
        <v>1</v>
      </c>
      <c r="AE145" t="n">
        <v>1</v>
      </c>
      <c r="AF145" t="n">
        <v>1</v>
      </c>
      <c r="AG145" t="n">
        <v>1</v>
      </c>
      <c r="AH145" t="n">
        <v>1</v>
      </c>
      <c r="AI145" t="n">
        <v>1</v>
      </c>
      <c r="AJ145" t="n">
        <v>1</v>
      </c>
      <c r="AK145" t="n">
        <v>1</v>
      </c>
      <c r="AL145" t="n">
        <v>1</v>
      </c>
      <c r="AM145" t="n">
        <v>1</v>
      </c>
      <c r="AN145" t="n">
        <v>1</v>
      </c>
      <c r="AO145" t="n">
        <v>1</v>
      </c>
      <c r="AP145" t="n">
        <v>1</v>
      </c>
      <c r="AQ145" t="n">
        <v>1</v>
      </c>
      <c r="AR145" t="n">
        <v>1</v>
      </c>
      <c r="AS145" t="n">
        <v>1</v>
      </c>
      <c r="AT145" t="n">
        <v>1</v>
      </c>
      <c r="AU145" t="n">
        <v>1</v>
      </c>
      <c r="AV145" t="n">
        <v>1</v>
      </c>
      <c r="AW145" t="n">
        <v>1</v>
      </c>
      <c r="AX145" t="n">
        <v>1</v>
      </c>
      <c r="AY145" t="n">
        <v>1</v>
      </c>
      <c r="AZ145" t="n">
        <v>1</v>
      </c>
      <c r="BA145" t="n">
        <v>1</v>
      </c>
      <c r="BB145" t="n">
        <v>1</v>
      </c>
      <c r="BC145" t="n">
        <v>1</v>
      </c>
      <c r="BD145" t="n">
        <v>1</v>
      </c>
      <c r="BE145" t="n">
        <v>1</v>
      </c>
      <c r="BF145" t="n">
        <v>1</v>
      </c>
      <c r="BG145" t="n">
        <v>1</v>
      </c>
      <c r="BH145" t="n">
        <v>1</v>
      </c>
      <c r="BI145" t="n">
        <v>1</v>
      </c>
      <c r="BJ145">
        <f>-1/'vehicles specifications'!$M11</f>
        <v>-1</v>
      </c>
      <c r="BK145">
        <f>-1/'vehicles specifications'!$M11</f>
        <v>-1</v>
      </c>
      <c r="BL145">
        <f>-1/'vehicles specifications'!$M11</f>
        <v>-1</v>
      </c>
    </row>
    <row r="146">
      <c r="A146" t="inlineStr">
        <is>
          <t>Kick Scooter, battery electric, &lt;1kW - 2030 - NCA - CH</t>
        </is>
      </c>
      <c r="B146">
        <f>1/17</f>
        <v>5.8823529411764705E-2</v>
      </c>
      <c r="C146" s="2">
        <f>'vehicles specifications'!S12</f>
        <v>7</v>
      </c>
      <c r="D146">
        <f>1/17</f>
        <v>5.8823529411764705E-2</v>
      </c>
      <c r="E146" t="n">
        <v>1</v>
      </c>
      <c r="F146">
        <f>1+'vehicles specifications'!AD12</f>
        <v>1</v>
      </c>
      <c r="G146">
        <f>1+'vehicles specifications'!AD12</f>
        <v>1</v>
      </c>
      <c r="J146" t="n">
        <v>1</v>
      </c>
      <c r="K146">
        <f>1/('fuels and tailpipe emissions'!$C$3*3.6)</f>
        <v>2.3474178403755867E-2</v>
      </c>
      <c r="L146">
        <f>1/3.6*1.1</f>
        <v>0.30555555555555558</v>
      </c>
      <c r="M146">
        <f>1/'vehicles specifications'!J12</f>
        <v>5.602240896358543E-4</v>
      </c>
      <c r="N146" t="n">
        <v>1</v>
      </c>
      <c r="O146">
        <f>1</f>
        <v>1</v>
      </c>
      <c r="P146">
        <f>-1/17</f>
        <v>-5.8823529411764705E-2</v>
      </c>
      <c r="Q146">
        <f>-1/24</f>
        <v>-4.1666666666666664E-2</v>
      </c>
      <c r="R146">
        <f>-1-'vehicles specifications'!AD12</f>
        <v>-1</v>
      </c>
      <c r="S146" t="n">
        <v>1</v>
      </c>
      <c r="T146" t="n">
        <v>1</v>
      </c>
      <c r="U146" t="n">
        <v>1</v>
      </c>
      <c r="V146" t="n">
        <v>1</v>
      </c>
      <c r="W146" t="n">
        <v>1</v>
      </c>
      <c r="X146" t="n">
        <v>1</v>
      </c>
      <c r="Y146" t="n">
        <v>1</v>
      </c>
      <c r="Z146" t="n">
        <v>1</v>
      </c>
      <c r="AA146" t="n">
        <v>1</v>
      </c>
      <c r="AB146" t="n">
        <v>1</v>
      </c>
      <c r="AC146" t="n">
        <v>1</v>
      </c>
      <c r="AD146" t="n">
        <v>1</v>
      </c>
      <c r="AE146" t="n">
        <v>1</v>
      </c>
      <c r="AF146" t="n">
        <v>1</v>
      </c>
      <c r="AG146" t="n">
        <v>1</v>
      </c>
      <c r="AH146" t="n">
        <v>1</v>
      </c>
      <c r="AI146" t="n">
        <v>1</v>
      </c>
      <c r="AJ146" t="n">
        <v>1</v>
      </c>
      <c r="AK146" t="n">
        <v>1</v>
      </c>
      <c r="AL146" t="n">
        <v>1</v>
      </c>
      <c r="AM146" t="n">
        <v>1</v>
      </c>
      <c r="AN146" t="n">
        <v>1</v>
      </c>
      <c r="AO146" t="n">
        <v>1</v>
      </c>
      <c r="AP146" t="n">
        <v>1</v>
      </c>
      <c r="AQ146" t="n">
        <v>1</v>
      </c>
      <c r="AR146" t="n">
        <v>1</v>
      </c>
      <c r="AS146" t="n">
        <v>1</v>
      </c>
      <c r="AT146" t="n">
        <v>1</v>
      </c>
      <c r="AU146" t="n">
        <v>1</v>
      </c>
      <c r="AV146" t="n">
        <v>1</v>
      </c>
      <c r="AW146" t="n">
        <v>1</v>
      </c>
      <c r="AX146" t="n">
        <v>1</v>
      </c>
      <c r="AY146" t="n">
        <v>1</v>
      </c>
      <c r="AZ146" t="n">
        <v>1</v>
      </c>
      <c r="BA146" t="n">
        <v>1</v>
      </c>
      <c r="BB146" t="n">
        <v>1</v>
      </c>
      <c r="BC146" t="n">
        <v>1</v>
      </c>
      <c r="BD146" t="n">
        <v>1</v>
      </c>
      <c r="BE146" t="n">
        <v>1</v>
      </c>
      <c r="BF146" t="n">
        <v>1</v>
      </c>
      <c r="BG146" t="n">
        <v>1</v>
      </c>
      <c r="BH146" t="n">
        <v>1</v>
      </c>
      <c r="BI146" t="n">
        <v>1</v>
      </c>
      <c r="BJ146">
        <f>-1/'vehicles specifications'!$M12</f>
        <v>-1</v>
      </c>
      <c r="BK146">
        <f>-1/'vehicles specifications'!$M12</f>
        <v>-1</v>
      </c>
      <c r="BL146">
        <f>-1/'vehicles specifications'!$M12</f>
        <v>-1</v>
      </c>
    </row>
    <row r="147">
      <c r="A147" t="inlineStr">
        <is>
          <t>Kick Scooter, battery electric, &lt;1kW - 2040 - NCA - CH</t>
        </is>
      </c>
      <c r="B147">
        <f>1/17</f>
        <v>5.8823529411764705E-2</v>
      </c>
      <c r="C147" s="2">
        <f>'vehicles specifications'!S13</f>
        <v>7</v>
      </c>
      <c r="D147">
        <f>1/17</f>
        <v>5.8823529411764705E-2</v>
      </c>
      <c r="E147" t="n">
        <v>1</v>
      </c>
      <c r="F147">
        <f>1+'vehicles specifications'!AD13</f>
        <v>1</v>
      </c>
      <c r="G147">
        <f>1+'vehicles specifications'!AD13</f>
        <v>1</v>
      </c>
      <c r="J147" t="n">
        <v>1</v>
      </c>
      <c r="K147">
        <f>1/('fuels and tailpipe emissions'!$C$3*3.6)</f>
        <v>2.3474178403755867E-2</v>
      </c>
      <c r="L147">
        <f>1/3.6*1.1</f>
        <v>0.30555555555555558</v>
      </c>
      <c r="M147">
        <f>1/'vehicles specifications'!J13</f>
        <v>5.602240896358543E-4</v>
      </c>
      <c r="N147" t="n">
        <v>1</v>
      </c>
      <c r="O147">
        <f>1</f>
        <v>1</v>
      </c>
      <c r="P147">
        <f>-1/17</f>
        <v>-5.8823529411764705E-2</v>
      </c>
      <c r="Q147">
        <f>-1/24</f>
        <v>-4.1666666666666664E-2</v>
      </c>
      <c r="R147">
        <f>-1-'vehicles specifications'!AD13</f>
        <v>-1</v>
      </c>
      <c r="S147" t="n">
        <v>1</v>
      </c>
      <c r="T147" t="n">
        <v>1</v>
      </c>
      <c r="U147" t="n">
        <v>1</v>
      </c>
      <c r="V147" t="n">
        <v>1</v>
      </c>
      <c r="W147" t="n">
        <v>1</v>
      </c>
      <c r="X147" t="n">
        <v>1</v>
      </c>
      <c r="Y147" t="n">
        <v>1</v>
      </c>
      <c r="Z147" t="n">
        <v>1</v>
      </c>
      <c r="AA147" t="n">
        <v>1</v>
      </c>
      <c r="AB147" t="n">
        <v>1</v>
      </c>
      <c r="AC147" t="n">
        <v>1</v>
      </c>
      <c r="AD147" t="n">
        <v>1</v>
      </c>
      <c r="AE147" t="n">
        <v>1</v>
      </c>
      <c r="AF147" t="n">
        <v>1</v>
      </c>
      <c r="AG147" t="n">
        <v>1</v>
      </c>
      <c r="AH147" t="n">
        <v>1</v>
      </c>
      <c r="AI147" t="n">
        <v>1</v>
      </c>
      <c r="AJ147" t="n">
        <v>1</v>
      </c>
      <c r="AK147" t="n">
        <v>1</v>
      </c>
      <c r="AL147" t="n">
        <v>1</v>
      </c>
      <c r="AM147" t="n">
        <v>1</v>
      </c>
      <c r="AN147" t="n">
        <v>1</v>
      </c>
      <c r="AO147" t="n">
        <v>1</v>
      </c>
      <c r="AP147" t="n">
        <v>1</v>
      </c>
      <c r="AQ147" t="n">
        <v>1</v>
      </c>
      <c r="AR147" t="n">
        <v>1</v>
      </c>
      <c r="AS147" t="n">
        <v>1</v>
      </c>
      <c r="AT147" t="n">
        <v>1</v>
      </c>
      <c r="AU147" t="n">
        <v>1</v>
      </c>
      <c r="AV147" t="n">
        <v>1</v>
      </c>
      <c r="AW147" t="n">
        <v>1</v>
      </c>
      <c r="AX147" t="n">
        <v>1</v>
      </c>
      <c r="AY147" t="n">
        <v>1</v>
      </c>
      <c r="AZ147" t="n">
        <v>1</v>
      </c>
      <c r="BA147" t="n">
        <v>1</v>
      </c>
      <c r="BB147" t="n">
        <v>1</v>
      </c>
      <c r="BC147" t="n">
        <v>1</v>
      </c>
      <c r="BD147" t="n">
        <v>1</v>
      </c>
      <c r="BE147" t="n">
        <v>1</v>
      </c>
      <c r="BF147" t="n">
        <v>1</v>
      </c>
      <c r="BG147" t="n">
        <v>1</v>
      </c>
      <c r="BH147" t="n">
        <v>1</v>
      </c>
      <c r="BI147" t="n">
        <v>1</v>
      </c>
      <c r="BJ147">
        <f>-1/'vehicles specifications'!$M13</f>
        <v>-1</v>
      </c>
      <c r="BK147">
        <f>-1/'vehicles specifications'!$M13</f>
        <v>-1</v>
      </c>
      <c r="BL147">
        <f>-1/'vehicles specifications'!$M13</f>
        <v>-1</v>
      </c>
    </row>
    <row r="148">
      <c r="A148" t="inlineStr">
        <is>
          <t>Kick Scooter, battery electric, &lt;1kW - 2050 - NCA - CH</t>
        </is>
      </c>
      <c r="B148">
        <f>1/17</f>
        <v>5.8823529411764705E-2</v>
      </c>
      <c r="C148" s="2">
        <f>'vehicles specifications'!S14</f>
        <v>7</v>
      </c>
      <c r="D148">
        <f>1/17</f>
        <v>5.8823529411764705E-2</v>
      </c>
      <c r="E148" t="n">
        <v>1</v>
      </c>
      <c r="F148">
        <f>1+'vehicles specifications'!AD14</f>
        <v>1</v>
      </c>
      <c r="G148">
        <f>1+'vehicles specifications'!AD14</f>
        <v>1</v>
      </c>
      <c r="J148" t="n">
        <v>1</v>
      </c>
      <c r="K148">
        <f>1/('fuels and tailpipe emissions'!$C$3*3.6)</f>
        <v>2.3474178403755867E-2</v>
      </c>
      <c r="L148">
        <f>1/3.6*1.1</f>
        <v>0.30555555555555558</v>
      </c>
      <c r="M148">
        <f>1/'vehicles specifications'!J14</f>
        <v>5.602240896358543E-4</v>
      </c>
      <c r="N148" t="n">
        <v>1</v>
      </c>
      <c r="O148">
        <f>1</f>
        <v>1</v>
      </c>
      <c r="P148">
        <f>-1/17</f>
        <v>-5.8823529411764705E-2</v>
      </c>
      <c r="Q148">
        <f>-1/24</f>
        <v>-4.1666666666666664E-2</v>
      </c>
      <c r="R148">
        <f>-1-'vehicles specifications'!AD14</f>
        <v>-1</v>
      </c>
      <c r="S148" t="n">
        <v>1</v>
      </c>
      <c r="T148" t="n">
        <v>1</v>
      </c>
      <c r="U148" t="n">
        <v>1</v>
      </c>
      <c r="V148" t="n">
        <v>1</v>
      </c>
      <c r="W148" t="n">
        <v>1</v>
      </c>
      <c r="X148" t="n">
        <v>1</v>
      </c>
      <c r="Y148" t="n">
        <v>1</v>
      </c>
      <c r="Z148" t="n">
        <v>1</v>
      </c>
      <c r="AA148" t="n">
        <v>1</v>
      </c>
      <c r="AB148" t="n">
        <v>1</v>
      </c>
      <c r="AC148" t="n">
        <v>1</v>
      </c>
      <c r="AD148" t="n">
        <v>1</v>
      </c>
      <c r="AE148" t="n">
        <v>1</v>
      </c>
      <c r="AF148" t="n">
        <v>1</v>
      </c>
      <c r="AG148" t="n">
        <v>1</v>
      </c>
      <c r="AH148" t="n">
        <v>1</v>
      </c>
      <c r="AI148" t="n">
        <v>1</v>
      </c>
      <c r="AJ148" t="n">
        <v>1</v>
      </c>
      <c r="AK148" t="n">
        <v>1</v>
      </c>
      <c r="AL148" t="n">
        <v>1</v>
      </c>
      <c r="AM148" t="n">
        <v>1</v>
      </c>
      <c r="AN148" t="n">
        <v>1</v>
      </c>
      <c r="AO148" t="n">
        <v>1</v>
      </c>
      <c r="AP148" t="n">
        <v>1</v>
      </c>
      <c r="AQ148" t="n">
        <v>1</v>
      </c>
      <c r="AR148" t="n">
        <v>1</v>
      </c>
      <c r="AS148" t="n">
        <v>1</v>
      </c>
      <c r="AT148" t="n">
        <v>1</v>
      </c>
      <c r="AU148" t="n">
        <v>1</v>
      </c>
      <c r="AV148" t="n">
        <v>1</v>
      </c>
      <c r="AW148" t="n">
        <v>1</v>
      </c>
      <c r="AX148" t="n">
        <v>1</v>
      </c>
      <c r="AY148" t="n">
        <v>1</v>
      </c>
      <c r="AZ148" t="n">
        <v>1</v>
      </c>
      <c r="BA148" t="n">
        <v>1</v>
      </c>
      <c r="BB148" t="n">
        <v>1</v>
      </c>
      <c r="BC148" t="n">
        <v>1</v>
      </c>
      <c r="BD148" t="n">
        <v>1</v>
      </c>
      <c r="BE148" t="n">
        <v>1</v>
      </c>
      <c r="BF148" t="n">
        <v>1</v>
      </c>
      <c r="BG148" t="n">
        <v>1</v>
      </c>
      <c r="BH148" t="n">
        <v>1</v>
      </c>
      <c r="BI148" t="n">
        <v>1</v>
      </c>
      <c r="BJ148">
        <f>-1/'vehicles specifications'!$M14</f>
        <v>-1</v>
      </c>
      <c r="BK148">
        <f>-1/'vehicles specifications'!$M14</f>
        <v>-1</v>
      </c>
      <c r="BL148">
        <f>-1/'vehicles specifications'!$M14</f>
        <v>-1</v>
      </c>
    </row>
    <row r="149">
      <c r="A149" t="inlineStr">
        <is>
          <t>Bicycle, conventional, urban - 2020 - CH</t>
        </is>
      </c>
      <c r="B149">
        <f>1/17</f>
        <v>5.8823529411764705E-2</v>
      </c>
      <c r="C149" s="2">
        <f>'vehicles specifications'!S15</f>
        <v>12</v>
      </c>
      <c r="D149">
        <f>1/17</f>
        <v>5.8823529411764705E-2</v>
      </c>
      <c r="F149">
        <f>1+'vehicles specifications'!AD15</f>
        <v>1</v>
      </c>
      <c r="G149">
        <f>1+'vehicles specifications'!AD15</f>
        <v>1</v>
      </c>
      <c r="K149">
        <f>1/('fuels and tailpipe emissions'!$C$3*3.6)</f>
        <v>2.3474178403755867E-2</v>
      </c>
      <c r="L149">
        <f>1/3.6*1.1</f>
        <v>0.30555555555555558</v>
      </c>
      <c r="M149">
        <f>1/'vehicles specifications'!J15</f>
        <v>6.666666666666667E-5</v>
      </c>
      <c r="N149" t="n">
        <v>1</v>
      </c>
      <c r="O149">
        <f>1</f>
        <v>1</v>
      </c>
      <c r="P149">
        <f>-1/17</f>
        <v>-5.8823529411764705E-2</v>
      </c>
      <c r="Q149" t="n">
        <v>-1</v>
      </c>
      <c r="R149">
        <f>-1-'vehicles specifications'!AD15</f>
        <v>-1</v>
      </c>
      <c r="S149" t="n">
        <v>1</v>
      </c>
      <c r="T149" t="n">
        <v>1</v>
      </c>
      <c r="U149" t="n">
        <v>1</v>
      </c>
      <c r="V149" t="n">
        <v>1</v>
      </c>
      <c r="W149" t="n">
        <v>1</v>
      </c>
      <c r="X149" t="n">
        <v>1</v>
      </c>
      <c r="Y149" t="n">
        <v>1</v>
      </c>
      <c r="Z149" t="n">
        <v>1</v>
      </c>
      <c r="AA149" t="n">
        <v>1</v>
      </c>
      <c r="AB149" t="n">
        <v>1</v>
      </c>
      <c r="AC149" t="n">
        <v>1</v>
      </c>
      <c r="AD149" t="n">
        <v>1</v>
      </c>
      <c r="AE149" t="n">
        <v>1</v>
      </c>
      <c r="AF149" t="n">
        <v>1</v>
      </c>
      <c r="AG149" t="n">
        <v>1</v>
      </c>
      <c r="AH149" t="n">
        <v>1</v>
      </c>
      <c r="AI149" t="n">
        <v>1</v>
      </c>
      <c r="AJ149" t="n">
        <v>1</v>
      </c>
      <c r="AK149" t="n">
        <v>1</v>
      </c>
      <c r="AL149" t="n">
        <v>1</v>
      </c>
      <c r="AM149" t="n">
        <v>1</v>
      </c>
      <c r="AN149" t="n">
        <v>1</v>
      </c>
      <c r="AO149" t="n">
        <v>1</v>
      </c>
      <c r="AP149" t="n">
        <v>1</v>
      </c>
      <c r="AQ149" t="n">
        <v>1</v>
      </c>
      <c r="AR149" t="n">
        <v>1</v>
      </c>
      <c r="AS149" t="n">
        <v>1</v>
      </c>
      <c r="AT149" t="n">
        <v>1</v>
      </c>
      <c r="AU149" t="n">
        <v>1</v>
      </c>
      <c r="AV149" t="n">
        <v>1</v>
      </c>
      <c r="AW149" t="n">
        <v>1</v>
      </c>
      <c r="AX149" t="n">
        <v>1</v>
      </c>
      <c r="AY149" t="n">
        <v>1</v>
      </c>
      <c r="AZ149" t="n">
        <v>1</v>
      </c>
      <c r="BA149" t="n">
        <v>1</v>
      </c>
      <c r="BB149" t="n">
        <v>1</v>
      </c>
      <c r="BC149" t="n">
        <v>1</v>
      </c>
      <c r="BD149" t="n">
        <v>1</v>
      </c>
      <c r="BE149" t="n">
        <v>1</v>
      </c>
      <c r="BF149" t="n">
        <v>1</v>
      </c>
      <c r="BG149" t="n">
        <v>1</v>
      </c>
      <c r="BH149" t="n">
        <v>1</v>
      </c>
      <c r="BI149" t="n">
        <v>1</v>
      </c>
      <c r="BJ149">
        <f>-1/'vehicles specifications'!$M15</f>
        <v>-1</v>
      </c>
      <c r="BK149">
        <f>-1/'vehicles specifications'!$M15</f>
        <v>-1</v>
      </c>
      <c r="BL149">
        <f>-1/'vehicles specifications'!$M15</f>
        <v>-1</v>
      </c>
    </row>
    <row r="150">
      <c r="A150" t="inlineStr">
        <is>
          <t>Bicycle, conventional, urban - 2030 - CH</t>
        </is>
      </c>
      <c r="B150">
        <f>1/17</f>
        <v>5.8823529411764705E-2</v>
      </c>
      <c r="C150" s="2">
        <f>'vehicles specifications'!S16</f>
        <v>12</v>
      </c>
      <c r="D150">
        <f>1/17</f>
        <v>5.8823529411764705E-2</v>
      </c>
      <c r="F150">
        <f>1+'vehicles specifications'!AD16</f>
        <v>1</v>
      </c>
      <c r="G150">
        <f>1+'vehicles specifications'!AD16</f>
        <v>1</v>
      </c>
      <c r="K150">
        <f>1/('fuels and tailpipe emissions'!$C$3*3.6)</f>
        <v>2.3474178403755867E-2</v>
      </c>
      <c r="L150">
        <f>1/3.6*1.1</f>
        <v>0.30555555555555558</v>
      </c>
      <c r="M150">
        <f>1/'vehicles specifications'!J16</f>
        <v>6.666666666666667E-5</v>
      </c>
      <c r="N150" t="n">
        <v>1</v>
      </c>
      <c r="O150">
        <f>1</f>
        <v>1</v>
      </c>
      <c r="P150">
        <f>-1/17</f>
        <v>-5.8823529411764705E-2</v>
      </c>
      <c r="Q150" t="n">
        <v>-1</v>
      </c>
      <c r="R150">
        <f>-1-'vehicles specifications'!AD16</f>
        <v>-1</v>
      </c>
      <c r="S150" t="n">
        <v>1</v>
      </c>
      <c r="T150" t="n">
        <v>1</v>
      </c>
      <c r="U150" t="n">
        <v>1</v>
      </c>
      <c r="V150" t="n">
        <v>1</v>
      </c>
      <c r="W150" t="n">
        <v>1</v>
      </c>
      <c r="X150" t="n">
        <v>1</v>
      </c>
      <c r="Y150" t="n">
        <v>1</v>
      </c>
      <c r="Z150" t="n">
        <v>1</v>
      </c>
      <c r="AA150" t="n">
        <v>1</v>
      </c>
      <c r="AB150" t="n">
        <v>1</v>
      </c>
      <c r="AC150" t="n">
        <v>1</v>
      </c>
      <c r="AD150" t="n">
        <v>1</v>
      </c>
      <c r="AE150" t="n">
        <v>1</v>
      </c>
      <c r="AF150" t="n">
        <v>1</v>
      </c>
      <c r="AG150" t="n">
        <v>1</v>
      </c>
      <c r="AH150" t="n">
        <v>1</v>
      </c>
      <c r="AI150" t="n">
        <v>1</v>
      </c>
      <c r="AJ150" t="n">
        <v>1</v>
      </c>
      <c r="AK150" t="n">
        <v>1</v>
      </c>
      <c r="AL150" t="n">
        <v>1</v>
      </c>
      <c r="AM150" t="n">
        <v>1</v>
      </c>
      <c r="AN150" t="n">
        <v>1</v>
      </c>
      <c r="AO150" t="n">
        <v>1</v>
      </c>
      <c r="AP150" t="n">
        <v>1</v>
      </c>
      <c r="AQ150" t="n">
        <v>1</v>
      </c>
      <c r="AR150" t="n">
        <v>1</v>
      </c>
      <c r="AS150" t="n">
        <v>1</v>
      </c>
      <c r="AT150" t="n">
        <v>1</v>
      </c>
      <c r="AU150" t="n">
        <v>1</v>
      </c>
      <c r="AV150" t="n">
        <v>1</v>
      </c>
      <c r="AW150" t="n">
        <v>1</v>
      </c>
      <c r="AX150" t="n">
        <v>1</v>
      </c>
      <c r="AY150" t="n">
        <v>1</v>
      </c>
      <c r="AZ150" t="n">
        <v>1</v>
      </c>
      <c r="BA150" t="n">
        <v>1</v>
      </c>
      <c r="BB150" t="n">
        <v>1</v>
      </c>
      <c r="BC150" t="n">
        <v>1</v>
      </c>
      <c r="BD150" t="n">
        <v>1</v>
      </c>
      <c r="BE150" t="n">
        <v>1</v>
      </c>
      <c r="BF150" t="n">
        <v>1</v>
      </c>
      <c r="BG150" t="n">
        <v>1</v>
      </c>
      <c r="BH150" t="n">
        <v>1</v>
      </c>
      <c r="BI150" t="n">
        <v>1</v>
      </c>
      <c r="BJ150">
        <f>-1/'vehicles specifications'!$M16</f>
        <v>-1</v>
      </c>
      <c r="BK150">
        <f>-1/'vehicles specifications'!$M16</f>
        <v>-1</v>
      </c>
      <c r="BL150">
        <f>-1/'vehicles specifications'!$M16</f>
        <v>-1</v>
      </c>
    </row>
    <row r="151">
      <c r="A151" t="inlineStr">
        <is>
          <t>Bicycle, conventional, urban - 2040 - CH</t>
        </is>
      </c>
      <c r="B151">
        <f>1/17</f>
        <v>5.8823529411764705E-2</v>
      </c>
      <c r="C151" s="2">
        <f>'vehicles specifications'!S17</f>
        <v>12</v>
      </c>
      <c r="D151">
        <f>1/17</f>
        <v>5.8823529411764705E-2</v>
      </c>
      <c r="F151">
        <f>1+'vehicles specifications'!AD17</f>
        <v>1</v>
      </c>
      <c r="G151">
        <f>1+'vehicles specifications'!AD17</f>
        <v>1</v>
      </c>
      <c r="K151">
        <f>1/('fuels and tailpipe emissions'!$C$3*3.6)</f>
        <v>2.3474178403755867E-2</v>
      </c>
      <c r="L151">
        <f>1/3.6*1.1</f>
        <v>0.30555555555555558</v>
      </c>
      <c r="M151">
        <f>1/'vehicles specifications'!J17</f>
        <v>6.666666666666667E-5</v>
      </c>
      <c r="N151" t="n">
        <v>1</v>
      </c>
      <c r="O151">
        <f>1</f>
        <v>1</v>
      </c>
      <c r="P151">
        <f>-1/17</f>
        <v>-5.8823529411764705E-2</v>
      </c>
      <c r="Q151" t="n">
        <v>-1</v>
      </c>
      <c r="R151">
        <f>-1-'vehicles specifications'!AD17</f>
        <v>-1</v>
      </c>
      <c r="S151" t="n">
        <v>1</v>
      </c>
      <c r="T151" t="n">
        <v>1</v>
      </c>
      <c r="U151" t="n">
        <v>1</v>
      </c>
      <c r="V151" t="n">
        <v>1</v>
      </c>
      <c r="W151" t="n">
        <v>1</v>
      </c>
      <c r="X151" t="n">
        <v>1</v>
      </c>
      <c r="Y151" t="n">
        <v>1</v>
      </c>
      <c r="Z151" t="n">
        <v>1</v>
      </c>
      <c r="AA151" t="n">
        <v>1</v>
      </c>
      <c r="AB151" t="n">
        <v>1</v>
      </c>
      <c r="AC151" t="n">
        <v>1</v>
      </c>
      <c r="AD151" t="n">
        <v>1</v>
      </c>
      <c r="AE151" t="n">
        <v>1</v>
      </c>
      <c r="AF151" t="n">
        <v>1</v>
      </c>
      <c r="AG151" t="n">
        <v>1</v>
      </c>
      <c r="AH151" t="n">
        <v>1</v>
      </c>
      <c r="AI151" t="n">
        <v>1</v>
      </c>
      <c r="AJ151" t="n">
        <v>1</v>
      </c>
      <c r="AK151" t="n">
        <v>1</v>
      </c>
      <c r="AL151" t="n">
        <v>1</v>
      </c>
      <c r="AM151" t="n">
        <v>1</v>
      </c>
      <c r="AN151" t="n">
        <v>1</v>
      </c>
      <c r="AO151" t="n">
        <v>1</v>
      </c>
      <c r="AP151" t="n">
        <v>1</v>
      </c>
      <c r="AQ151" t="n">
        <v>1</v>
      </c>
      <c r="AR151" t="n">
        <v>1</v>
      </c>
      <c r="AS151" t="n">
        <v>1</v>
      </c>
      <c r="AT151" t="n">
        <v>1</v>
      </c>
      <c r="AU151" t="n">
        <v>1</v>
      </c>
      <c r="AV151" t="n">
        <v>1</v>
      </c>
      <c r="AW151" t="n">
        <v>1</v>
      </c>
      <c r="AX151" t="n">
        <v>1</v>
      </c>
      <c r="AY151" t="n">
        <v>1</v>
      </c>
      <c r="AZ151" t="n">
        <v>1</v>
      </c>
      <c r="BA151" t="n">
        <v>1</v>
      </c>
      <c r="BB151" t="n">
        <v>1</v>
      </c>
      <c r="BC151" t="n">
        <v>1</v>
      </c>
      <c r="BD151" t="n">
        <v>1</v>
      </c>
      <c r="BE151" t="n">
        <v>1</v>
      </c>
      <c r="BF151" t="n">
        <v>1</v>
      </c>
      <c r="BG151" t="n">
        <v>1</v>
      </c>
      <c r="BH151" t="n">
        <v>1</v>
      </c>
      <c r="BI151" t="n">
        <v>1</v>
      </c>
      <c r="BJ151">
        <f>-1/'vehicles specifications'!$M17</f>
        <v>-1</v>
      </c>
      <c r="BK151">
        <f>-1/'vehicles specifications'!$M17</f>
        <v>-1</v>
      </c>
      <c r="BL151">
        <f>-1/'vehicles specifications'!$M17</f>
        <v>-1</v>
      </c>
    </row>
    <row r="152">
      <c r="A152" t="inlineStr">
        <is>
          <t>Bicycle, conventional, urban - 2050 - CH</t>
        </is>
      </c>
      <c r="B152">
        <f>1/17</f>
        <v>5.8823529411764705E-2</v>
      </c>
      <c r="C152" s="2">
        <f>'vehicles specifications'!S18</f>
        <v>12</v>
      </c>
      <c r="D152">
        <f>1/17</f>
        <v>5.8823529411764705E-2</v>
      </c>
      <c r="F152">
        <f>1+'vehicles specifications'!AD18</f>
        <v>1</v>
      </c>
      <c r="G152">
        <f>1+'vehicles specifications'!AD18</f>
        <v>1</v>
      </c>
      <c r="K152">
        <f>1/('fuels and tailpipe emissions'!$C$3*3.6)</f>
        <v>2.3474178403755867E-2</v>
      </c>
      <c r="L152">
        <f>1/3.6*1.1</f>
        <v>0.30555555555555558</v>
      </c>
      <c r="M152">
        <f>1/'vehicles specifications'!J18</f>
        <v>6.666666666666667E-5</v>
      </c>
      <c r="N152" t="n">
        <v>1</v>
      </c>
      <c r="O152">
        <f>1</f>
        <v>1</v>
      </c>
      <c r="P152">
        <f>-1/17</f>
        <v>-5.8823529411764705E-2</v>
      </c>
      <c r="Q152" t="n">
        <v>-1</v>
      </c>
      <c r="R152">
        <f>-1-'vehicles specifications'!AD18</f>
        <v>-1</v>
      </c>
      <c r="S152" t="n">
        <v>1</v>
      </c>
      <c r="T152" t="n">
        <v>1</v>
      </c>
      <c r="U152" t="n">
        <v>1</v>
      </c>
      <c r="V152" t="n">
        <v>1</v>
      </c>
      <c r="W152" t="n">
        <v>1</v>
      </c>
      <c r="X152" t="n">
        <v>1</v>
      </c>
      <c r="Y152" t="n">
        <v>1</v>
      </c>
      <c r="Z152" t="n">
        <v>1</v>
      </c>
      <c r="AA152" t="n">
        <v>1</v>
      </c>
      <c r="AB152" t="n">
        <v>1</v>
      </c>
      <c r="AC152" t="n">
        <v>1</v>
      </c>
      <c r="AD152" t="n">
        <v>1</v>
      </c>
      <c r="AE152" t="n">
        <v>1</v>
      </c>
      <c r="AF152" t="n">
        <v>1</v>
      </c>
      <c r="AG152" t="n">
        <v>1</v>
      </c>
      <c r="AH152" t="n">
        <v>1</v>
      </c>
      <c r="AI152" t="n">
        <v>1</v>
      </c>
      <c r="AJ152" t="n">
        <v>1</v>
      </c>
      <c r="AK152" t="n">
        <v>1</v>
      </c>
      <c r="AL152" t="n">
        <v>1</v>
      </c>
      <c r="AM152" t="n">
        <v>1</v>
      </c>
      <c r="AN152" t="n">
        <v>1</v>
      </c>
      <c r="AO152" t="n">
        <v>1</v>
      </c>
      <c r="AP152" t="n">
        <v>1</v>
      </c>
      <c r="AQ152" t="n">
        <v>1</v>
      </c>
      <c r="AR152" t="n">
        <v>1</v>
      </c>
      <c r="AS152" t="n">
        <v>1</v>
      </c>
      <c r="AT152" t="n">
        <v>1</v>
      </c>
      <c r="AU152" t="n">
        <v>1</v>
      </c>
      <c r="AV152" t="n">
        <v>1</v>
      </c>
      <c r="AW152" t="n">
        <v>1</v>
      </c>
      <c r="AX152" t="n">
        <v>1</v>
      </c>
      <c r="AY152" t="n">
        <v>1</v>
      </c>
      <c r="AZ152" t="n">
        <v>1</v>
      </c>
      <c r="BA152" t="n">
        <v>1</v>
      </c>
      <c r="BB152" t="n">
        <v>1</v>
      </c>
      <c r="BC152" t="n">
        <v>1</v>
      </c>
      <c r="BD152" t="n">
        <v>1</v>
      </c>
      <c r="BE152" t="n">
        <v>1</v>
      </c>
      <c r="BF152" t="n">
        <v>1</v>
      </c>
      <c r="BG152" t="n">
        <v>1</v>
      </c>
      <c r="BH152" t="n">
        <v>1</v>
      </c>
      <c r="BI152" t="n">
        <v>1</v>
      </c>
      <c r="BJ152">
        <f>-1/'vehicles specifications'!$M18</f>
        <v>-1</v>
      </c>
      <c r="BK152">
        <f>-1/'vehicles specifications'!$M18</f>
        <v>-1</v>
      </c>
      <c r="BL152">
        <f>-1/'vehicles specifications'!$M18</f>
        <v>-1</v>
      </c>
    </row>
    <row r="153">
      <c r="A153" t="inlineStr">
        <is>
          <t>Bicycle, electric (&lt;25 km/h) - 2020 - NMC - CH</t>
        </is>
      </c>
      <c r="B153">
        <f>1/17</f>
        <v>5.8823529411764705E-2</v>
      </c>
      <c r="C153" s="2">
        <f>'vehicles specifications'!S19</f>
        <v>16</v>
      </c>
      <c r="D153">
        <f>1/17</f>
        <v>5.8823529411764705E-2</v>
      </c>
      <c r="E153" t="n">
        <v>1</v>
      </c>
      <c r="F153">
        <f>1+'vehicles specifications'!AD19</f>
        <v>2</v>
      </c>
      <c r="G153">
        <f>1+'vehicles specifications'!AD19</f>
        <v>2</v>
      </c>
      <c r="J153" t="n">
        <v>1</v>
      </c>
      <c r="K153">
        <f>1/('fuels and tailpipe emissions'!$C$3*3.6)</f>
        <v>2.3474178403755867E-2</v>
      </c>
      <c r="L153">
        <f>1/3.6*1.1</f>
        <v>0.30555555555555558</v>
      </c>
      <c r="M153">
        <f>1/'vehicles specifications'!J19</f>
        <v>5.0000000000000002E-5</v>
      </c>
      <c r="N153" t="n">
        <v>1</v>
      </c>
      <c r="O153">
        <f>1</f>
        <v>1</v>
      </c>
      <c r="P153">
        <f>-1/24</f>
        <v>-4.1666666666666664E-2</v>
      </c>
      <c r="Q153">
        <f>-1/24</f>
        <v>-4.1666666666666664E-2</v>
      </c>
      <c r="R153">
        <f>-1-'vehicles specifications'!AD19</f>
        <v>-2</v>
      </c>
      <c r="S153" t="n">
        <v>1</v>
      </c>
      <c r="T153" t="n">
        <v>1</v>
      </c>
      <c r="U153" t="n">
        <v>1</v>
      </c>
      <c r="V153" t="n">
        <v>1</v>
      </c>
      <c r="W153" t="n">
        <v>1</v>
      </c>
      <c r="X153" t="n">
        <v>1</v>
      </c>
      <c r="Y153" t="n">
        <v>1</v>
      </c>
      <c r="Z153" t="n">
        <v>1</v>
      </c>
      <c r="AA153" t="n">
        <v>1</v>
      </c>
      <c r="AB153" t="n">
        <v>1</v>
      </c>
      <c r="AC153" t="n">
        <v>1</v>
      </c>
      <c r="AD153" t="n">
        <v>1</v>
      </c>
      <c r="AE153" t="n">
        <v>1</v>
      </c>
      <c r="AF153" t="n">
        <v>1</v>
      </c>
      <c r="AG153" t="n">
        <v>1</v>
      </c>
      <c r="AH153" t="n">
        <v>1</v>
      </c>
      <c r="AI153" t="n">
        <v>1</v>
      </c>
      <c r="AJ153" t="n">
        <v>1</v>
      </c>
      <c r="AK153" t="n">
        <v>1</v>
      </c>
      <c r="AL153" t="n">
        <v>1</v>
      </c>
      <c r="AM153" t="n">
        <v>1</v>
      </c>
      <c r="AN153" t="n">
        <v>1</v>
      </c>
      <c r="AO153" t="n">
        <v>1</v>
      </c>
      <c r="AP153" t="n">
        <v>1</v>
      </c>
      <c r="AQ153" t="n">
        <v>1</v>
      </c>
      <c r="AR153" t="n">
        <v>1</v>
      </c>
      <c r="AS153" t="n">
        <v>1</v>
      </c>
      <c r="AT153" t="n">
        <v>1</v>
      </c>
      <c r="AU153" t="n">
        <v>1</v>
      </c>
      <c r="AV153" t="n">
        <v>1</v>
      </c>
      <c r="AW153" t="n">
        <v>1</v>
      </c>
      <c r="AX153" t="n">
        <v>1</v>
      </c>
      <c r="AY153" t="n">
        <v>1</v>
      </c>
      <c r="AZ153" t="n">
        <v>1</v>
      </c>
      <c r="BA153" t="n">
        <v>1</v>
      </c>
      <c r="BB153" t="n">
        <v>1</v>
      </c>
      <c r="BC153" t="n">
        <v>1</v>
      </c>
      <c r="BD153" t="n">
        <v>1</v>
      </c>
      <c r="BE153" t="n">
        <v>1</v>
      </c>
      <c r="BF153" t="n">
        <v>1</v>
      </c>
      <c r="BG153" t="n">
        <v>1</v>
      </c>
      <c r="BH153" t="n">
        <v>1</v>
      </c>
      <c r="BI153" t="n">
        <v>1</v>
      </c>
      <c r="BJ153">
        <f>-1/'vehicles specifications'!$M19</f>
        <v>-1</v>
      </c>
      <c r="BK153">
        <f>-1/'vehicles specifications'!$M19</f>
        <v>-1</v>
      </c>
      <c r="BL153">
        <f>-1/'vehicles specifications'!$M19</f>
        <v>-1</v>
      </c>
    </row>
    <row r="154">
      <c r="A154" t="inlineStr">
        <is>
          <t>Bicycle, electric (&lt;25 km/h) - 2030 - NMC - CH</t>
        </is>
      </c>
      <c r="B154">
        <f>1/17</f>
        <v>5.8823529411764705E-2</v>
      </c>
      <c r="C154" s="2">
        <f>'vehicles specifications'!S20</f>
        <v>16</v>
      </c>
      <c r="D154">
        <f>1/17</f>
        <v>5.8823529411764705E-2</v>
      </c>
      <c r="E154" t="n">
        <v>1</v>
      </c>
      <c r="F154">
        <f>1+'vehicles specifications'!AD20</f>
        <v>1.5</v>
      </c>
      <c r="G154">
        <f>1+'vehicles specifications'!AD20</f>
        <v>1.5</v>
      </c>
      <c r="J154" t="n">
        <v>1</v>
      </c>
      <c r="K154">
        <f>1/('fuels and tailpipe emissions'!$C$3*3.6)</f>
        <v>2.3474178403755867E-2</v>
      </c>
      <c r="L154">
        <f>1/3.6*1.1</f>
        <v>0.30555555555555558</v>
      </c>
      <c r="M154">
        <f>1/'vehicles specifications'!J20</f>
        <v>5.0000000000000002E-5</v>
      </c>
      <c r="N154" t="n">
        <v>1</v>
      </c>
      <c r="O154">
        <f>1</f>
        <v>1</v>
      </c>
      <c r="P154">
        <f>-1/24</f>
        <v>-4.1666666666666664E-2</v>
      </c>
      <c r="Q154">
        <f>-1/24</f>
        <v>-4.1666666666666664E-2</v>
      </c>
      <c r="R154">
        <f>-1-'vehicles specifications'!AD20</f>
        <v>-1.5</v>
      </c>
      <c r="S154" t="n">
        <v>1</v>
      </c>
      <c r="T154" t="n">
        <v>1</v>
      </c>
      <c r="U154" t="n">
        <v>1</v>
      </c>
      <c r="V154" t="n">
        <v>1</v>
      </c>
      <c r="W154" t="n">
        <v>1</v>
      </c>
      <c r="X154" t="n">
        <v>1</v>
      </c>
      <c r="Y154" t="n">
        <v>1</v>
      </c>
      <c r="Z154" t="n">
        <v>1</v>
      </c>
      <c r="AA154" t="n">
        <v>1</v>
      </c>
      <c r="AB154" t="n">
        <v>1</v>
      </c>
      <c r="AC154" t="n">
        <v>1</v>
      </c>
      <c r="AD154" t="n">
        <v>1</v>
      </c>
      <c r="AE154" t="n">
        <v>1</v>
      </c>
      <c r="AF154" t="n">
        <v>1</v>
      </c>
      <c r="AG154" t="n">
        <v>1</v>
      </c>
      <c r="AH154" t="n">
        <v>1</v>
      </c>
      <c r="AI154" t="n">
        <v>1</v>
      </c>
      <c r="AJ154" t="n">
        <v>1</v>
      </c>
      <c r="AK154" t="n">
        <v>1</v>
      </c>
      <c r="AL154" t="n">
        <v>1</v>
      </c>
      <c r="AM154" t="n">
        <v>1</v>
      </c>
      <c r="AN154" t="n">
        <v>1</v>
      </c>
      <c r="AO154" t="n">
        <v>1</v>
      </c>
      <c r="AP154" t="n">
        <v>1</v>
      </c>
      <c r="AQ154" t="n">
        <v>1</v>
      </c>
      <c r="AR154" t="n">
        <v>1</v>
      </c>
      <c r="AS154" t="n">
        <v>1</v>
      </c>
      <c r="AT154" t="n">
        <v>1</v>
      </c>
      <c r="AU154" t="n">
        <v>1</v>
      </c>
      <c r="AV154" t="n">
        <v>1</v>
      </c>
      <c r="AW154" t="n">
        <v>1</v>
      </c>
      <c r="AX154" t="n">
        <v>1</v>
      </c>
      <c r="AY154" t="n">
        <v>1</v>
      </c>
      <c r="AZ154" t="n">
        <v>1</v>
      </c>
      <c r="BA154" t="n">
        <v>1</v>
      </c>
      <c r="BB154" t="n">
        <v>1</v>
      </c>
      <c r="BC154" t="n">
        <v>1</v>
      </c>
      <c r="BD154" t="n">
        <v>1</v>
      </c>
      <c r="BE154" t="n">
        <v>1</v>
      </c>
      <c r="BF154" t="n">
        <v>1</v>
      </c>
      <c r="BG154" t="n">
        <v>1</v>
      </c>
      <c r="BH154" t="n">
        <v>1</v>
      </c>
      <c r="BI154" t="n">
        <v>1</v>
      </c>
      <c r="BJ154">
        <f>-1/'vehicles specifications'!$M20</f>
        <v>-1</v>
      </c>
      <c r="BK154">
        <f>-1/'vehicles specifications'!$M20</f>
        <v>-1</v>
      </c>
      <c r="BL154">
        <f>-1/'vehicles specifications'!$M20</f>
        <v>-1</v>
      </c>
    </row>
    <row r="155">
      <c r="A155" t="inlineStr">
        <is>
          <t>Bicycle, electric (&lt;25 km/h) - 2040 - NMC - CH</t>
        </is>
      </c>
      <c r="B155">
        <f>1/17</f>
        <v>5.8823529411764705E-2</v>
      </c>
      <c r="C155" s="2">
        <f>'vehicles specifications'!S21</f>
        <v>16</v>
      </c>
      <c r="D155">
        <f>1/17</f>
        <v>5.8823529411764705E-2</v>
      </c>
      <c r="E155" t="n">
        <v>1</v>
      </c>
      <c r="F155">
        <f>1+'vehicles specifications'!AD21</f>
        <v>1.25</v>
      </c>
      <c r="G155">
        <f>1+'vehicles specifications'!AD21</f>
        <v>1.25</v>
      </c>
      <c r="J155" t="n">
        <v>1</v>
      </c>
      <c r="K155">
        <f>1/('fuels and tailpipe emissions'!$C$3*3.6)</f>
        <v>2.3474178403755867E-2</v>
      </c>
      <c r="L155">
        <f>1/3.6*1.1</f>
        <v>0.30555555555555558</v>
      </c>
      <c r="M155">
        <f>1/'vehicles specifications'!J21</f>
        <v>5.0000000000000002E-5</v>
      </c>
      <c r="N155" t="n">
        <v>1</v>
      </c>
      <c r="O155">
        <f>1</f>
        <v>1</v>
      </c>
      <c r="P155">
        <f>-1/24</f>
        <v>-4.1666666666666664E-2</v>
      </c>
      <c r="Q155">
        <f>-1/24</f>
        <v>-4.1666666666666664E-2</v>
      </c>
      <c r="R155">
        <f>-1-'vehicles specifications'!AD21</f>
        <v>-1.25</v>
      </c>
      <c r="S155" t="n">
        <v>1</v>
      </c>
      <c r="T155" t="n">
        <v>1</v>
      </c>
      <c r="U155" t="n">
        <v>1</v>
      </c>
      <c r="V155" t="n">
        <v>1</v>
      </c>
      <c r="W155" t="n">
        <v>1</v>
      </c>
      <c r="X155" t="n">
        <v>1</v>
      </c>
      <c r="Y155" t="n">
        <v>1</v>
      </c>
      <c r="Z155" t="n">
        <v>1</v>
      </c>
      <c r="AA155" t="n">
        <v>1</v>
      </c>
      <c r="AB155" t="n">
        <v>1</v>
      </c>
      <c r="AC155" t="n">
        <v>1</v>
      </c>
      <c r="AD155" t="n">
        <v>1</v>
      </c>
      <c r="AE155" t="n">
        <v>1</v>
      </c>
      <c r="AF155" t="n">
        <v>1</v>
      </c>
      <c r="AG155" t="n">
        <v>1</v>
      </c>
      <c r="AH155" t="n">
        <v>1</v>
      </c>
      <c r="AI155" t="n">
        <v>1</v>
      </c>
      <c r="AJ155" t="n">
        <v>1</v>
      </c>
      <c r="AK155" t="n">
        <v>1</v>
      </c>
      <c r="AL155" t="n">
        <v>1</v>
      </c>
      <c r="AM155" t="n">
        <v>1</v>
      </c>
      <c r="AN155" t="n">
        <v>1</v>
      </c>
      <c r="AO155" t="n">
        <v>1</v>
      </c>
      <c r="AP155" t="n">
        <v>1</v>
      </c>
      <c r="AQ155" t="n">
        <v>1</v>
      </c>
      <c r="AR155" t="n">
        <v>1</v>
      </c>
      <c r="AS155" t="n">
        <v>1</v>
      </c>
      <c r="AT155" t="n">
        <v>1</v>
      </c>
      <c r="AU155" t="n">
        <v>1</v>
      </c>
      <c r="AV155" t="n">
        <v>1</v>
      </c>
      <c r="AW155" t="n">
        <v>1</v>
      </c>
      <c r="AX155" t="n">
        <v>1</v>
      </c>
      <c r="AY155" t="n">
        <v>1</v>
      </c>
      <c r="AZ155" t="n">
        <v>1</v>
      </c>
      <c r="BA155" t="n">
        <v>1</v>
      </c>
      <c r="BB155" t="n">
        <v>1</v>
      </c>
      <c r="BC155" t="n">
        <v>1</v>
      </c>
      <c r="BD155" t="n">
        <v>1</v>
      </c>
      <c r="BE155" t="n">
        <v>1</v>
      </c>
      <c r="BF155" t="n">
        <v>1</v>
      </c>
      <c r="BG155" t="n">
        <v>1</v>
      </c>
      <c r="BH155" t="n">
        <v>1</v>
      </c>
      <c r="BI155" t="n">
        <v>1</v>
      </c>
      <c r="BJ155">
        <f>-1/'vehicles specifications'!$M21</f>
        <v>-1</v>
      </c>
      <c r="BK155">
        <f>-1/'vehicles specifications'!$M21</f>
        <v>-1</v>
      </c>
      <c r="BL155">
        <f>-1/'vehicles specifications'!$M21</f>
        <v>-1</v>
      </c>
    </row>
    <row r="156">
      <c r="A156" t="inlineStr">
        <is>
          <t>Bicycle, electric (&lt;25 km/h) - 2050 - NMC - CH</t>
        </is>
      </c>
      <c r="B156">
        <f>1/17</f>
        <v>5.8823529411764705E-2</v>
      </c>
      <c r="C156" s="2">
        <f>'vehicles specifications'!S22</f>
        <v>16</v>
      </c>
      <c r="D156">
        <f>1/17</f>
        <v>5.8823529411764705E-2</v>
      </c>
      <c r="E156" t="n">
        <v>1</v>
      </c>
      <c r="F156">
        <f>1+'vehicles specifications'!AD22</f>
        <v>1</v>
      </c>
      <c r="G156">
        <f>1+'vehicles specifications'!AD22</f>
        <v>1</v>
      </c>
      <c r="J156" t="n">
        <v>1</v>
      </c>
      <c r="K156">
        <f>1/('fuels and tailpipe emissions'!$C$3*3.6)</f>
        <v>2.3474178403755867E-2</v>
      </c>
      <c r="L156">
        <f>1/3.6*1.1</f>
        <v>0.30555555555555558</v>
      </c>
      <c r="M156">
        <f>1/'vehicles specifications'!J22</f>
        <v>5.0000000000000002E-5</v>
      </c>
      <c r="N156" t="n">
        <v>1</v>
      </c>
      <c r="O156">
        <f>1</f>
        <v>1</v>
      </c>
      <c r="P156">
        <f>-1/24</f>
        <v>-4.1666666666666664E-2</v>
      </c>
      <c r="Q156">
        <f>-1/24</f>
        <v>-4.1666666666666664E-2</v>
      </c>
      <c r="R156">
        <f>-1-'vehicles specifications'!AD22</f>
        <v>-1</v>
      </c>
      <c r="S156" t="n">
        <v>1</v>
      </c>
      <c r="T156" t="n">
        <v>1</v>
      </c>
      <c r="U156" t="n">
        <v>1</v>
      </c>
      <c r="V156" t="n">
        <v>1</v>
      </c>
      <c r="W156" t="n">
        <v>1</v>
      </c>
      <c r="X156" t="n">
        <v>1</v>
      </c>
      <c r="Y156" t="n">
        <v>1</v>
      </c>
      <c r="Z156" t="n">
        <v>1</v>
      </c>
      <c r="AA156" t="n">
        <v>1</v>
      </c>
      <c r="AB156" t="n">
        <v>1</v>
      </c>
      <c r="AC156" t="n">
        <v>1</v>
      </c>
      <c r="AD156" t="n">
        <v>1</v>
      </c>
      <c r="AE156" t="n">
        <v>1</v>
      </c>
      <c r="AF156" t="n">
        <v>1</v>
      </c>
      <c r="AG156" t="n">
        <v>1</v>
      </c>
      <c r="AH156" t="n">
        <v>1</v>
      </c>
      <c r="AI156" t="n">
        <v>1</v>
      </c>
      <c r="AJ156" t="n">
        <v>1</v>
      </c>
      <c r="AK156" t="n">
        <v>1</v>
      </c>
      <c r="AL156" t="n">
        <v>1</v>
      </c>
      <c r="AM156" t="n">
        <v>1</v>
      </c>
      <c r="AN156" t="n">
        <v>1</v>
      </c>
      <c r="AO156" t="n">
        <v>1</v>
      </c>
      <c r="AP156" t="n">
        <v>1</v>
      </c>
      <c r="AQ156" t="n">
        <v>1</v>
      </c>
      <c r="AR156" t="n">
        <v>1</v>
      </c>
      <c r="AS156" t="n">
        <v>1</v>
      </c>
      <c r="AT156" t="n">
        <v>1</v>
      </c>
      <c r="AU156" t="n">
        <v>1</v>
      </c>
      <c r="AV156" t="n">
        <v>1</v>
      </c>
      <c r="AW156" t="n">
        <v>1</v>
      </c>
      <c r="AX156" t="n">
        <v>1</v>
      </c>
      <c r="AY156" t="n">
        <v>1</v>
      </c>
      <c r="AZ156" t="n">
        <v>1</v>
      </c>
      <c r="BA156" t="n">
        <v>1</v>
      </c>
      <c r="BB156" t="n">
        <v>1</v>
      </c>
      <c r="BC156" t="n">
        <v>1</v>
      </c>
      <c r="BD156" t="n">
        <v>1</v>
      </c>
      <c r="BE156" t="n">
        <v>1</v>
      </c>
      <c r="BF156" t="n">
        <v>1</v>
      </c>
      <c r="BG156" t="n">
        <v>1</v>
      </c>
      <c r="BH156" t="n">
        <v>1</v>
      </c>
      <c r="BI156" t="n">
        <v>1</v>
      </c>
      <c r="BJ156">
        <f>-1/'vehicles specifications'!$M22</f>
        <v>-1</v>
      </c>
      <c r="BK156">
        <f>-1/'vehicles specifications'!$M22</f>
        <v>-1</v>
      </c>
      <c r="BL156">
        <f>-1/'vehicles specifications'!$M22</f>
        <v>-1</v>
      </c>
    </row>
    <row r="157">
      <c r="A157" t="inlineStr">
        <is>
          <t>Bicycle, electric (&lt;45 km/h) - 2020 - NMC - CH</t>
        </is>
      </c>
      <c r="B157">
        <f>1/17</f>
        <v>5.8823529411764705E-2</v>
      </c>
      <c r="C157" s="2">
        <f>'vehicles specifications'!S23</f>
        <v>19</v>
      </c>
      <c r="D157">
        <f>1/17</f>
        <v>5.8823529411764705E-2</v>
      </c>
      <c r="E157" t="n">
        <v>1</v>
      </c>
      <c r="F157">
        <f>1+'vehicles specifications'!AD23</f>
        <v>2</v>
      </c>
      <c r="G157">
        <f>1+'vehicles specifications'!AD23</f>
        <v>2</v>
      </c>
      <c r="J157" t="n">
        <v>1</v>
      </c>
      <c r="K157">
        <f>1/('fuels and tailpipe emissions'!$C$3*3.6)</f>
        <v>2.3474178403755867E-2</v>
      </c>
      <c r="L157">
        <f>1/3.6*1.1</f>
        <v>0.30555555555555558</v>
      </c>
      <c r="M157">
        <f>1/'vehicles specifications'!J23</f>
        <v>3.3333333333333335E-5</v>
      </c>
      <c r="N157" t="n">
        <v>1</v>
      </c>
      <c r="O157">
        <f>1</f>
        <v>1</v>
      </c>
      <c r="P157">
        <f>-1/24</f>
        <v>-4.1666666666666664E-2</v>
      </c>
      <c r="Q157">
        <f>-1/24</f>
        <v>-4.1666666666666664E-2</v>
      </c>
      <c r="R157">
        <f>-1-'vehicles specifications'!AD23</f>
        <v>-2</v>
      </c>
      <c r="S157" t="n">
        <v>1</v>
      </c>
      <c r="T157" t="n">
        <v>1</v>
      </c>
      <c r="U157" t="n">
        <v>1</v>
      </c>
      <c r="V157" t="n">
        <v>1</v>
      </c>
      <c r="W157" t="n">
        <v>1</v>
      </c>
      <c r="X157" t="n">
        <v>1</v>
      </c>
      <c r="Y157" t="n">
        <v>1</v>
      </c>
      <c r="Z157" t="n">
        <v>1</v>
      </c>
      <c r="AA157" t="n">
        <v>1</v>
      </c>
      <c r="AB157" t="n">
        <v>1</v>
      </c>
      <c r="AC157" t="n">
        <v>1</v>
      </c>
      <c r="AD157" t="n">
        <v>1</v>
      </c>
      <c r="AE157" t="n">
        <v>1</v>
      </c>
      <c r="AF157" t="n">
        <v>1</v>
      </c>
      <c r="AG157" t="n">
        <v>1</v>
      </c>
      <c r="AH157" t="n">
        <v>1</v>
      </c>
      <c r="AI157" t="n">
        <v>1</v>
      </c>
      <c r="AJ157" t="n">
        <v>1</v>
      </c>
      <c r="AK157" t="n">
        <v>1</v>
      </c>
      <c r="AL157" t="n">
        <v>1</v>
      </c>
      <c r="AM157" t="n">
        <v>1</v>
      </c>
      <c r="AN157" t="n">
        <v>1</v>
      </c>
      <c r="AO157" t="n">
        <v>1</v>
      </c>
      <c r="AP157" t="n">
        <v>1</v>
      </c>
      <c r="AQ157" t="n">
        <v>1</v>
      </c>
      <c r="AR157" t="n">
        <v>1</v>
      </c>
      <c r="AS157" t="n">
        <v>1</v>
      </c>
      <c r="AT157" t="n">
        <v>1</v>
      </c>
      <c r="AU157" t="n">
        <v>1</v>
      </c>
      <c r="AV157" t="n">
        <v>1</v>
      </c>
      <c r="AW157" t="n">
        <v>1</v>
      </c>
      <c r="AX157" t="n">
        <v>1</v>
      </c>
      <c r="AY157" t="n">
        <v>1</v>
      </c>
      <c r="AZ157" t="n">
        <v>1</v>
      </c>
      <c r="BA157" t="n">
        <v>1</v>
      </c>
      <c r="BB157" t="n">
        <v>1</v>
      </c>
      <c r="BC157" t="n">
        <v>1</v>
      </c>
      <c r="BD157" t="n">
        <v>1</v>
      </c>
      <c r="BE157" t="n">
        <v>1</v>
      </c>
      <c r="BF157" t="n">
        <v>1</v>
      </c>
      <c r="BG157" t="n">
        <v>1</v>
      </c>
      <c r="BH157" t="n">
        <v>1</v>
      </c>
      <c r="BI157" t="n">
        <v>1</v>
      </c>
      <c r="BJ157">
        <f>-1/'vehicles specifications'!$M23</f>
        <v>-1</v>
      </c>
      <c r="BK157">
        <f>-1/'vehicles specifications'!$M23</f>
        <v>-1</v>
      </c>
      <c r="BL157">
        <f>-1/'vehicles specifications'!$M23</f>
        <v>-1</v>
      </c>
    </row>
    <row r="158">
      <c r="A158" t="inlineStr">
        <is>
          <t>Bicycle, electric (&lt;45 km/h) - 2030 - NMC - CH</t>
        </is>
      </c>
      <c r="B158">
        <f>1/17</f>
        <v>5.8823529411764705E-2</v>
      </c>
      <c r="C158" s="2">
        <f>'vehicles specifications'!S24</f>
        <v>19</v>
      </c>
      <c r="D158">
        <f>1/17</f>
        <v>5.8823529411764705E-2</v>
      </c>
      <c r="E158" t="n">
        <v>1</v>
      </c>
      <c r="F158">
        <f>1+'vehicles specifications'!AD24</f>
        <v>1.5</v>
      </c>
      <c r="G158">
        <f>1+'vehicles specifications'!AD24</f>
        <v>1.5</v>
      </c>
      <c r="J158" t="n">
        <v>1</v>
      </c>
      <c r="K158">
        <f>1/('fuels and tailpipe emissions'!$C$3*3.6)</f>
        <v>2.3474178403755867E-2</v>
      </c>
      <c r="L158">
        <f>1/3.6*1.1</f>
        <v>0.30555555555555558</v>
      </c>
      <c r="M158">
        <f>1/'vehicles specifications'!J24</f>
        <v>3.3333333333333335E-5</v>
      </c>
      <c r="N158" t="n">
        <v>1</v>
      </c>
      <c r="O158">
        <f>1</f>
        <v>1</v>
      </c>
      <c r="P158">
        <f>-1/24</f>
        <v>-4.1666666666666664E-2</v>
      </c>
      <c r="Q158">
        <f>-1/24</f>
        <v>-4.1666666666666664E-2</v>
      </c>
      <c r="R158">
        <f>-1-'vehicles specifications'!AD24</f>
        <v>-1.5</v>
      </c>
      <c r="S158" t="n">
        <v>1</v>
      </c>
      <c r="T158" t="n">
        <v>1</v>
      </c>
      <c r="U158" t="n">
        <v>1</v>
      </c>
      <c r="V158" t="n">
        <v>1</v>
      </c>
      <c r="W158" t="n">
        <v>1</v>
      </c>
      <c r="X158" t="n">
        <v>1</v>
      </c>
      <c r="Y158" t="n">
        <v>1</v>
      </c>
      <c r="Z158" t="n">
        <v>1</v>
      </c>
      <c r="AA158" t="n">
        <v>1</v>
      </c>
      <c r="AB158" t="n">
        <v>1</v>
      </c>
      <c r="AC158" t="n">
        <v>1</v>
      </c>
      <c r="AD158" t="n">
        <v>1</v>
      </c>
      <c r="AE158" t="n">
        <v>1</v>
      </c>
      <c r="AF158" t="n">
        <v>1</v>
      </c>
      <c r="AG158" t="n">
        <v>1</v>
      </c>
      <c r="AH158" t="n">
        <v>1</v>
      </c>
      <c r="AI158" t="n">
        <v>1</v>
      </c>
      <c r="AJ158" t="n">
        <v>1</v>
      </c>
      <c r="AK158" t="n">
        <v>1</v>
      </c>
      <c r="AL158" t="n">
        <v>1</v>
      </c>
      <c r="AM158" t="n">
        <v>1</v>
      </c>
      <c r="AN158" t="n">
        <v>1</v>
      </c>
      <c r="AO158" t="n">
        <v>1</v>
      </c>
      <c r="AP158" t="n">
        <v>1</v>
      </c>
      <c r="AQ158" t="n">
        <v>1</v>
      </c>
      <c r="AR158" t="n">
        <v>1</v>
      </c>
      <c r="AS158" t="n">
        <v>1</v>
      </c>
      <c r="AT158" t="n">
        <v>1</v>
      </c>
      <c r="AU158" t="n">
        <v>1</v>
      </c>
      <c r="AV158" t="n">
        <v>1</v>
      </c>
      <c r="AW158" t="n">
        <v>1</v>
      </c>
      <c r="AX158" t="n">
        <v>1</v>
      </c>
      <c r="AY158" t="n">
        <v>1</v>
      </c>
      <c r="AZ158" t="n">
        <v>1</v>
      </c>
      <c r="BA158" t="n">
        <v>1</v>
      </c>
      <c r="BB158" t="n">
        <v>1</v>
      </c>
      <c r="BC158" t="n">
        <v>1</v>
      </c>
      <c r="BD158" t="n">
        <v>1</v>
      </c>
      <c r="BE158" t="n">
        <v>1</v>
      </c>
      <c r="BF158" t="n">
        <v>1</v>
      </c>
      <c r="BG158" t="n">
        <v>1</v>
      </c>
      <c r="BH158" t="n">
        <v>1</v>
      </c>
      <c r="BI158" t="n">
        <v>1</v>
      </c>
      <c r="BJ158">
        <f>-1/'vehicles specifications'!$M24</f>
        <v>-1</v>
      </c>
      <c r="BK158">
        <f>-1/'vehicles specifications'!$M24</f>
        <v>-1</v>
      </c>
      <c r="BL158">
        <f>-1/'vehicles specifications'!$M24</f>
        <v>-1</v>
      </c>
    </row>
    <row r="159">
      <c r="A159" t="inlineStr">
        <is>
          <t>Bicycle, electric (&lt;45 km/h) - 2040 - NMC - CH</t>
        </is>
      </c>
      <c r="B159">
        <f>1/17</f>
        <v>5.8823529411764705E-2</v>
      </c>
      <c r="C159" s="2">
        <f>'vehicles specifications'!S25</f>
        <v>19</v>
      </c>
      <c r="D159">
        <f>1/17</f>
        <v>5.8823529411764705E-2</v>
      </c>
      <c r="E159" t="n">
        <v>1</v>
      </c>
      <c r="F159">
        <f>1+'vehicles specifications'!AD25</f>
        <v>1.25</v>
      </c>
      <c r="G159">
        <f>1+'vehicles specifications'!AD25</f>
        <v>1.25</v>
      </c>
      <c r="J159" t="n">
        <v>1</v>
      </c>
      <c r="K159">
        <f>1/('fuels and tailpipe emissions'!$C$3*3.6)</f>
        <v>2.3474178403755867E-2</v>
      </c>
      <c r="L159">
        <f>1/3.6*1.1</f>
        <v>0.30555555555555558</v>
      </c>
      <c r="M159">
        <f>1/'vehicles specifications'!J25</f>
        <v>3.3333333333333335E-5</v>
      </c>
      <c r="N159" t="n">
        <v>1</v>
      </c>
      <c r="O159">
        <f>1</f>
        <v>1</v>
      </c>
      <c r="P159">
        <f>-1/24</f>
        <v>-4.1666666666666664E-2</v>
      </c>
      <c r="Q159">
        <f>-1/24</f>
        <v>-4.1666666666666664E-2</v>
      </c>
      <c r="R159">
        <f>-1-'vehicles specifications'!AD25</f>
        <v>-1.25</v>
      </c>
      <c r="S159" t="n">
        <v>1</v>
      </c>
      <c r="T159" t="n">
        <v>1</v>
      </c>
      <c r="U159" t="n">
        <v>1</v>
      </c>
      <c r="V159" t="n">
        <v>1</v>
      </c>
      <c r="W159" t="n">
        <v>1</v>
      </c>
      <c r="X159" t="n">
        <v>1</v>
      </c>
      <c r="Y159" t="n">
        <v>1</v>
      </c>
      <c r="Z159" t="n">
        <v>1</v>
      </c>
      <c r="AA159" t="n">
        <v>1</v>
      </c>
      <c r="AB159" t="n">
        <v>1</v>
      </c>
      <c r="AC159" t="n">
        <v>1</v>
      </c>
      <c r="AD159" t="n">
        <v>1</v>
      </c>
      <c r="AE159" t="n">
        <v>1</v>
      </c>
      <c r="AF159" t="n">
        <v>1</v>
      </c>
      <c r="AG159" t="n">
        <v>1</v>
      </c>
      <c r="AH159" t="n">
        <v>1</v>
      </c>
      <c r="AI159" t="n">
        <v>1</v>
      </c>
      <c r="AJ159" t="n">
        <v>1</v>
      </c>
      <c r="AK159" t="n">
        <v>1</v>
      </c>
      <c r="AL159" t="n">
        <v>1</v>
      </c>
      <c r="AM159" t="n">
        <v>1</v>
      </c>
      <c r="AN159" t="n">
        <v>1</v>
      </c>
      <c r="AO159" t="n">
        <v>1</v>
      </c>
      <c r="AP159" t="n">
        <v>1</v>
      </c>
      <c r="AQ159" t="n">
        <v>1</v>
      </c>
      <c r="AR159" t="n">
        <v>1</v>
      </c>
      <c r="AS159" t="n">
        <v>1</v>
      </c>
      <c r="AT159" t="n">
        <v>1</v>
      </c>
      <c r="AU159" t="n">
        <v>1</v>
      </c>
      <c r="AV159" t="n">
        <v>1</v>
      </c>
      <c r="AW159" t="n">
        <v>1</v>
      </c>
      <c r="AX159" t="n">
        <v>1</v>
      </c>
      <c r="AY159" t="n">
        <v>1</v>
      </c>
      <c r="AZ159" t="n">
        <v>1</v>
      </c>
      <c r="BA159" t="n">
        <v>1</v>
      </c>
      <c r="BB159" t="n">
        <v>1</v>
      </c>
      <c r="BC159" t="n">
        <v>1</v>
      </c>
      <c r="BD159" t="n">
        <v>1</v>
      </c>
      <c r="BE159" t="n">
        <v>1</v>
      </c>
      <c r="BF159" t="n">
        <v>1</v>
      </c>
      <c r="BG159" t="n">
        <v>1</v>
      </c>
      <c r="BH159" t="n">
        <v>1</v>
      </c>
      <c r="BI159" t="n">
        <v>1</v>
      </c>
      <c r="BJ159">
        <f>-1/'vehicles specifications'!$M25</f>
        <v>-1</v>
      </c>
      <c r="BK159">
        <f>-1/'vehicles specifications'!$M25</f>
        <v>-1</v>
      </c>
      <c r="BL159">
        <f>-1/'vehicles specifications'!$M25</f>
        <v>-1</v>
      </c>
    </row>
    <row r="160">
      <c r="A160" t="inlineStr">
        <is>
          <t>Bicycle, electric (&lt;45 km/h) - 2050 - NMC - CH</t>
        </is>
      </c>
      <c r="B160">
        <f>1/17</f>
        <v>5.8823529411764705E-2</v>
      </c>
      <c r="C160" s="2">
        <f>'vehicles specifications'!S26</f>
        <v>19</v>
      </c>
      <c r="D160">
        <f>1/17</f>
        <v>5.8823529411764705E-2</v>
      </c>
      <c r="E160" t="n">
        <v>1</v>
      </c>
      <c r="F160">
        <f>1+'vehicles specifications'!AD26</f>
        <v>1</v>
      </c>
      <c r="G160">
        <f>1+'vehicles specifications'!AD26</f>
        <v>1</v>
      </c>
      <c r="J160" t="n">
        <v>1</v>
      </c>
      <c r="K160">
        <f>1/('fuels and tailpipe emissions'!$C$3*3.6)</f>
        <v>2.3474178403755867E-2</v>
      </c>
      <c r="L160">
        <f>1/3.6*1.1</f>
        <v>0.30555555555555558</v>
      </c>
      <c r="M160">
        <f>1/'vehicles specifications'!J26</f>
        <v>3.3333333333333335E-5</v>
      </c>
      <c r="N160" t="n">
        <v>1</v>
      </c>
      <c r="O160">
        <f>1</f>
        <v>1</v>
      </c>
      <c r="P160">
        <f>-1/24</f>
        <v>-4.1666666666666664E-2</v>
      </c>
      <c r="Q160">
        <f>-1/24</f>
        <v>-4.1666666666666664E-2</v>
      </c>
      <c r="R160">
        <f>-1-'vehicles specifications'!AD26</f>
        <v>-1</v>
      </c>
      <c r="S160" t="n">
        <v>1</v>
      </c>
      <c r="T160" t="n">
        <v>1</v>
      </c>
      <c r="U160" t="n">
        <v>1</v>
      </c>
      <c r="V160" t="n">
        <v>1</v>
      </c>
      <c r="W160" t="n">
        <v>1</v>
      </c>
      <c r="X160" t="n">
        <v>1</v>
      </c>
      <c r="Y160" t="n">
        <v>1</v>
      </c>
      <c r="Z160" t="n">
        <v>1</v>
      </c>
      <c r="AA160" t="n">
        <v>1</v>
      </c>
      <c r="AB160" t="n">
        <v>1</v>
      </c>
      <c r="AC160" t="n">
        <v>1</v>
      </c>
      <c r="AD160" t="n">
        <v>1</v>
      </c>
      <c r="AE160" t="n">
        <v>1</v>
      </c>
      <c r="AF160" t="n">
        <v>1</v>
      </c>
      <c r="AG160" t="n">
        <v>1</v>
      </c>
      <c r="AH160" t="n">
        <v>1</v>
      </c>
      <c r="AI160" t="n">
        <v>1</v>
      </c>
      <c r="AJ160" t="n">
        <v>1</v>
      </c>
      <c r="AK160" t="n">
        <v>1</v>
      </c>
      <c r="AL160" t="n">
        <v>1</v>
      </c>
      <c r="AM160" t="n">
        <v>1</v>
      </c>
      <c r="AN160" t="n">
        <v>1</v>
      </c>
      <c r="AO160" t="n">
        <v>1</v>
      </c>
      <c r="AP160" t="n">
        <v>1</v>
      </c>
      <c r="AQ160" t="n">
        <v>1</v>
      </c>
      <c r="AR160" t="n">
        <v>1</v>
      </c>
      <c r="AS160" t="n">
        <v>1</v>
      </c>
      <c r="AT160" t="n">
        <v>1</v>
      </c>
      <c r="AU160" t="n">
        <v>1</v>
      </c>
      <c r="AV160" t="n">
        <v>1</v>
      </c>
      <c r="AW160" t="n">
        <v>1</v>
      </c>
      <c r="AX160" t="n">
        <v>1</v>
      </c>
      <c r="AY160" t="n">
        <v>1</v>
      </c>
      <c r="AZ160" t="n">
        <v>1</v>
      </c>
      <c r="BA160" t="n">
        <v>1</v>
      </c>
      <c r="BB160" t="n">
        <v>1</v>
      </c>
      <c r="BC160" t="n">
        <v>1</v>
      </c>
      <c r="BD160" t="n">
        <v>1</v>
      </c>
      <c r="BE160" t="n">
        <v>1</v>
      </c>
      <c r="BF160" t="n">
        <v>1</v>
      </c>
      <c r="BG160" t="n">
        <v>1</v>
      </c>
      <c r="BH160" t="n">
        <v>1</v>
      </c>
      <c r="BI160" t="n">
        <v>1</v>
      </c>
      <c r="BJ160">
        <f>-1/'vehicles specifications'!$M26</f>
        <v>-1</v>
      </c>
      <c r="BK160">
        <f>-1/'vehicles specifications'!$M26</f>
        <v>-1</v>
      </c>
      <c r="BL160">
        <f>-1/'vehicles specifications'!$M26</f>
        <v>-1</v>
      </c>
    </row>
    <row r="161">
      <c r="A161" t="inlineStr">
        <is>
          <t>Bicycle, battery electric, cargo bike - 2020 - NMC - CH</t>
        </is>
      </c>
      <c r="B161">
        <f>1/17</f>
        <v>5.8823529411764705E-2</v>
      </c>
      <c r="C161" s="2">
        <f>'vehicles specifications'!S27</f>
        <v>38</v>
      </c>
      <c r="D161">
        <f>1/17</f>
        <v>5.8823529411764705E-2</v>
      </c>
      <c r="E161" t="n">
        <v>1</v>
      </c>
      <c r="F161">
        <f>1+'vehicles specifications'!AD27</f>
        <v>2</v>
      </c>
      <c r="G161">
        <f>1+'vehicles specifications'!AD27</f>
        <v>2</v>
      </c>
      <c r="J161" t="n">
        <v>1</v>
      </c>
      <c r="K161">
        <f>1/('fuels and tailpipe emissions'!$C$3*3.6)</f>
        <v>2.3474178403755867E-2</v>
      </c>
      <c r="L161">
        <f>1/3.6*1.1</f>
        <v>0.30555555555555558</v>
      </c>
      <c r="M161">
        <f>1/'vehicles specifications'!J27</f>
        <v>5.0000000000000002E-5</v>
      </c>
      <c r="N161" t="n">
        <v>1</v>
      </c>
      <c r="O161">
        <f>1</f>
        <v>1</v>
      </c>
      <c r="P161">
        <f>-1/24</f>
        <v>-4.1666666666666664E-2</v>
      </c>
      <c r="Q161">
        <f>-1/24</f>
        <v>-4.1666666666666664E-2</v>
      </c>
      <c r="R161">
        <f>-1-'vehicles specifications'!AD27</f>
        <v>-2</v>
      </c>
      <c r="S161" t="n">
        <v>1</v>
      </c>
      <c r="T161" t="n">
        <v>1</v>
      </c>
      <c r="U161" t="n">
        <v>1</v>
      </c>
      <c r="V161" t="n">
        <v>1</v>
      </c>
      <c r="W161" t="n">
        <v>1</v>
      </c>
      <c r="X161" t="n">
        <v>1</v>
      </c>
      <c r="Y161" t="n">
        <v>1</v>
      </c>
      <c r="Z161" t="n">
        <v>1</v>
      </c>
      <c r="AA161" t="n">
        <v>1</v>
      </c>
      <c r="AB161" t="n">
        <v>1</v>
      </c>
      <c r="AC161" t="n">
        <v>1</v>
      </c>
      <c r="AD161" t="n">
        <v>1</v>
      </c>
      <c r="AE161" t="n">
        <v>1</v>
      </c>
      <c r="AF161" t="n">
        <v>1</v>
      </c>
      <c r="AG161" t="n">
        <v>1</v>
      </c>
      <c r="AH161" t="n">
        <v>1</v>
      </c>
      <c r="AI161" t="n">
        <v>1</v>
      </c>
      <c r="AJ161" t="n">
        <v>1</v>
      </c>
      <c r="AK161" t="n">
        <v>1</v>
      </c>
      <c r="AL161" t="n">
        <v>1</v>
      </c>
      <c r="AM161" t="n">
        <v>1</v>
      </c>
      <c r="AN161" t="n">
        <v>1</v>
      </c>
      <c r="AO161" t="n">
        <v>1</v>
      </c>
      <c r="AP161" t="n">
        <v>1</v>
      </c>
      <c r="AQ161" t="n">
        <v>1</v>
      </c>
      <c r="AR161" t="n">
        <v>1</v>
      </c>
      <c r="AS161" t="n">
        <v>1</v>
      </c>
      <c r="AT161" t="n">
        <v>1</v>
      </c>
      <c r="AU161" t="n">
        <v>1</v>
      </c>
      <c r="AV161" t="n">
        <v>1</v>
      </c>
      <c r="AW161" t="n">
        <v>1</v>
      </c>
      <c r="AX161" t="n">
        <v>1</v>
      </c>
      <c r="AY161" t="n">
        <v>1</v>
      </c>
      <c r="AZ161" t="n">
        <v>1</v>
      </c>
      <c r="BA161" t="n">
        <v>1</v>
      </c>
      <c r="BB161" t="n">
        <v>1</v>
      </c>
      <c r="BC161" t="n">
        <v>1</v>
      </c>
      <c r="BD161" t="n">
        <v>1</v>
      </c>
      <c r="BE161" t="n">
        <v>1</v>
      </c>
      <c r="BF161" t="n">
        <v>1</v>
      </c>
      <c r="BG161" t="n">
        <v>1</v>
      </c>
      <c r="BH161" t="n">
        <v>1</v>
      </c>
      <c r="BI161" t="n">
        <v>1</v>
      </c>
      <c r="BJ161">
        <f>-1/'vehicles specifications'!$M27</f>
        <v>-1</v>
      </c>
      <c r="BK161">
        <f>-1/'vehicles specifications'!$M27</f>
        <v>-1</v>
      </c>
      <c r="BL161">
        <f>-1/'vehicles specifications'!$M27</f>
        <v>-1</v>
      </c>
    </row>
    <row r="162">
      <c r="A162" t="inlineStr">
        <is>
          <t>Bicycle, battery electric, cargo bike - 2030 - NMC - CH</t>
        </is>
      </c>
      <c r="B162">
        <f>1/17</f>
        <v>5.8823529411764705E-2</v>
      </c>
      <c r="C162" s="2">
        <f>'vehicles specifications'!S28</f>
        <v>38</v>
      </c>
      <c r="D162">
        <f>1/17</f>
        <v>5.8823529411764705E-2</v>
      </c>
      <c r="E162" t="n">
        <v>1</v>
      </c>
      <c r="F162">
        <f>1+'vehicles specifications'!AD28</f>
        <v>1.5</v>
      </c>
      <c r="G162">
        <f>1+'vehicles specifications'!AD28</f>
        <v>1.5</v>
      </c>
      <c r="J162" t="n">
        <v>1</v>
      </c>
      <c r="K162">
        <f>1/('fuels and tailpipe emissions'!$C$3*3.6)</f>
        <v>2.3474178403755867E-2</v>
      </c>
      <c r="L162">
        <f>1/3.6*1.1</f>
        <v>0.30555555555555558</v>
      </c>
      <c r="M162">
        <f>1/'vehicles specifications'!J28</f>
        <v>5.0000000000000002E-5</v>
      </c>
      <c r="N162" t="n">
        <v>1</v>
      </c>
      <c r="O162">
        <f>1</f>
        <v>1</v>
      </c>
      <c r="P162">
        <f>-1/24</f>
        <v>-4.1666666666666664E-2</v>
      </c>
      <c r="Q162">
        <f>-1/24</f>
        <v>-4.1666666666666664E-2</v>
      </c>
      <c r="R162">
        <f>-1-'vehicles specifications'!AD28</f>
        <v>-1.5</v>
      </c>
      <c r="S162" t="n">
        <v>1</v>
      </c>
      <c r="T162" t="n">
        <v>1</v>
      </c>
      <c r="U162" t="n">
        <v>1</v>
      </c>
      <c r="V162" t="n">
        <v>1</v>
      </c>
      <c r="W162" t="n">
        <v>1</v>
      </c>
      <c r="X162" t="n">
        <v>1</v>
      </c>
      <c r="Y162" t="n">
        <v>1</v>
      </c>
      <c r="Z162" t="n">
        <v>1</v>
      </c>
      <c r="AA162" t="n">
        <v>1</v>
      </c>
      <c r="AB162" t="n">
        <v>1</v>
      </c>
      <c r="AC162" t="n">
        <v>1</v>
      </c>
      <c r="AD162" t="n">
        <v>1</v>
      </c>
      <c r="AE162" t="n">
        <v>1</v>
      </c>
      <c r="AF162" t="n">
        <v>1</v>
      </c>
      <c r="AG162" t="n">
        <v>1</v>
      </c>
      <c r="AH162" t="n">
        <v>1</v>
      </c>
      <c r="AI162" t="n">
        <v>1</v>
      </c>
      <c r="AJ162" t="n">
        <v>1</v>
      </c>
      <c r="AK162" t="n">
        <v>1</v>
      </c>
      <c r="AL162" t="n">
        <v>1</v>
      </c>
      <c r="AM162" t="n">
        <v>1</v>
      </c>
      <c r="AN162" t="n">
        <v>1</v>
      </c>
      <c r="AO162" t="n">
        <v>1</v>
      </c>
      <c r="AP162" t="n">
        <v>1</v>
      </c>
      <c r="AQ162" t="n">
        <v>1</v>
      </c>
      <c r="AR162" t="n">
        <v>1</v>
      </c>
      <c r="AS162" t="n">
        <v>1</v>
      </c>
      <c r="AT162" t="n">
        <v>1</v>
      </c>
      <c r="AU162" t="n">
        <v>1</v>
      </c>
      <c r="AV162" t="n">
        <v>1</v>
      </c>
      <c r="AW162" t="n">
        <v>1</v>
      </c>
      <c r="AX162" t="n">
        <v>1</v>
      </c>
      <c r="AY162" t="n">
        <v>1</v>
      </c>
      <c r="AZ162" t="n">
        <v>1</v>
      </c>
      <c r="BA162" t="n">
        <v>1</v>
      </c>
      <c r="BB162" t="n">
        <v>1</v>
      </c>
      <c r="BC162" t="n">
        <v>1</v>
      </c>
      <c r="BD162" t="n">
        <v>1</v>
      </c>
      <c r="BE162" t="n">
        <v>1</v>
      </c>
      <c r="BF162" t="n">
        <v>1</v>
      </c>
      <c r="BG162" t="n">
        <v>1</v>
      </c>
      <c r="BH162" t="n">
        <v>1</v>
      </c>
      <c r="BI162" t="n">
        <v>1</v>
      </c>
      <c r="BJ162">
        <f>-1/'vehicles specifications'!$M28</f>
        <v>-1</v>
      </c>
      <c r="BK162">
        <f>-1/'vehicles specifications'!$M28</f>
        <v>-1</v>
      </c>
      <c r="BL162">
        <f>-1/'vehicles specifications'!$M28</f>
        <v>-1</v>
      </c>
    </row>
    <row r="163">
      <c r="A163" t="inlineStr">
        <is>
          <t>Bicycle, battery electric, cargo bike - 2040 - NMC - CH</t>
        </is>
      </c>
      <c r="B163">
        <f>1/17</f>
        <v>5.8823529411764705E-2</v>
      </c>
      <c r="C163" s="2">
        <f>'vehicles specifications'!S29</f>
        <v>38</v>
      </c>
      <c r="D163">
        <f>1/17</f>
        <v>5.8823529411764705E-2</v>
      </c>
      <c r="E163" t="n">
        <v>1</v>
      </c>
      <c r="F163">
        <f>1+'vehicles specifications'!AD29</f>
        <v>1.25</v>
      </c>
      <c r="G163">
        <f>1+'vehicles specifications'!AD29</f>
        <v>1.25</v>
      </c>
      <c r="J163" t="n">
        <v>1</v>
      </c>
      <c r="K163">
        <f>1/('fuels and tailpipe emissions'!$C$3*3.6)</f>
        <v>2.3474178403755867E-2</v>
      </c>
      <c r="L163">
        <f>1/3.6*1.1</f>
        <v>0.30555555555555558</v>
      </c>
      <c r="M163">
        <f>1/'vehicles specifications'!J29</f>
        <v>5.0000000000000002E-5</v>
      </c>
      <c r="N163" t="n">
        <v>1</v>
      </c>
      <c r="O163">
        <f>1</f>
        <v>1</v>
      </c>
      <c r="P163">
        <f>-1/24</f>
        <v>-4.1666666666666664E-2</v>
      </c>
      <c r="Q163">
        <f>-1/24</f>
        <v>-4.1666666666666664E-2</v>
      </c>
      <c r="R163">
        <f>-1-'vehicles specifications'!AD29</f>
        <v>-1.25</v>
      </c>
      <c r="S163" t="n">
        <v>1</v>
      </c>
      <c r="T163" t="n">
        <v>1</v>
      </c>
      <c r="U163" t="n">
        <v>1</v>
      </c>
      <c r="V163" t="n">
        <v>1</v>
      </c>
      <c r="W163" t="n">
        <v>1</v>
      </c>
      <c r="X163" t="n">
        <v>1</v>
      </c>
      <c r="Y163" t="n">
        <v>1</v>
      </c>
      <c r="Z163" t="n">
        <v>1</v>
      </c>
      <c r="AA163" t="n">
        <v>1</v>
      </c>
      <c r="AB163" t="n">
        <v>1</v>
      </c>
      <c r="AC163" t="n">
        <v>1</v>
      </c>
      <c r="AD163" t="n">
        <v>1</v>
      </c>
      <c r="AE163" t="n">
        <v>1</v>
      </c>
      <c r="AF163" t="n">
        <v>1</v>
      </c>
      <c r="AG163" t="n">
        <v>1</v>
      </c>
      <c r="AH163" t="n">
        <v>1</v>
      </c>
      <c r="AI163" t="n">
        <v>1</v>
      </c>
      <c r="AJ163" t="n">
        <v>1</v>
      </c>
      <c r="AK163" t="n">
        <v>1</v>
      </c>
      <c r="AL163" t="n">
        <v>1</v>
      </c>
      <c r="AM163" t="n">
        <v>1</v>
      </c>
      <c r="AN163" t="n">
        <v>1</v>
      </c>
      <c r="AO163" t="n">
        <v>1</v>
      </c>
      <c r="AP163" t="n">
        <v>1</v>
      </c>
      <c r="AQ163" t="n">
        <v>1</v>
      </c>
      <c r="AR163" t="n">
        <v>1</v>
      </c>
      <c r="AS163" t="n">
        <v>1</v>
      </c>
      <c r="AT163" t="n">
        <v>1</v>
      </c>
      <c r="AU163" t="n">
        <v>1</v>
      </c>
      <c r="AV163" t="n">
        <v>1</v>
      </c>
      <c r="AW163" t="n">
        <v>1</v>
      </c>
      <c r="AX163" t="n">
        <v>1</v>
      </c>
      <c r="AY163" t="n">
        <v>1</v>
      </c>
      <c r="AZ163" t="n">
        <v>1</v>
      </c>
      <c r="BA163" t="n">
        <v>1</v>
      </c>
      <c r="BB163" t="n">
        <v>1</v>
      </c>
      <c r="BC163" t="n">
        <v>1</v>
      </c>
      <c r="BD163" t="n">
        <v>1</v>
      </c>
      <c r="BE163" t="n">
        <v>1</v>
      </c>
      <c r="BF163" t="n">
        <v>1</v>
      </c>
      <c r="BG163" t="n">
        <v>1</v>
      </c>
      <c r="BH163" t="n">
        <v>1</v>
      </c>
      <c r="BI163" t="n">
        <v>1</v>
      </c>
      <c r="BJ163">
        <f>-1/'vehicles specifications'!$M29</f>
        <v>-1</v>
      </c>
      <c r="BK163">
        <f>-1/'vehicles specifications'!$M29</f>
        <v>-1</v>
      </c>
      <c r="BL163">
        <f>-1/'vehicles specifications'!$M29</f>
        <v>-1</v>
      </c>
    </row>
    <row r="164">
      <c r="A164" t="inlineStr">
        <is>
          <t>Bicycle, battery electric, cargo bike - 2050 - NMC - CH</t>
        </is>
      </c>
      <c r="B164">
        <f>1/17</f>
        <v>5.8823529411764705E-2</v>
      </c>
      <c r="C164" s="2">
        <f>'vehicles specifications'!S30</f>
        <v>38</v>
      </c>
      <c r="D164">
        <f>1/17</f>
        <v>5.8823529411764705E-2</v>
      </c>
      <c r="E164" t="n">
        <v>1</v>
      </c>
      <c r="F164">
        <f>1+'vehicles specifications'!AD30</f>
        <v>1</v>
      </c>
      <c r="G164">
        <f>1+'vehicles specifications'!AD30</f>
        <v>1</v>
      </c>
      <c r="J164" t="n">
        <v>1</v>
      </c>
      <c r="K164">
        <f>1/('fuels and tailpipe emissions'!$C$3*3.6)</f>
        <v>2.3474178403755867E-2</v>
      </c>
      <c r="L164">
        <f>1/3.6*1.1</f>
        <v>0.30555555555555558</v>
      </c>
      <c r="M164">
        <f>1/'vehicles specifications'!J30</f>
        <v>5.0000000000000002E-5</v>
      </c>
      <c r="N164" t="n">
        <v>1</v>
      </c>
      <c r="O164">
        <f>1</f>
        <v>1</v>
      </c>
      <c r="P164">
        <f>-1/24</f>
        <v>-4.1666666666666664E-2</v>
      </c>
      <c r="Q164">
        <f>-1/24</f>
        <v>-4.1666666666666664E-2</v>
      </c>
      <c r="R164">
        <f>-1-'vehicles specifications'!AD30</f>
        <v>-1</v>
      </c>
      <c r="S164" t="n">
        <v>1</v>
      </c>
      <c r="T164" t="n">
        <v>1</v>
      </c>
      <c r="U164" t="n">
        <v>1</v>
      </c>
      <c r="V164" t="n">
        <v>1</v>
      </c>
      <c r="W164" t="n">
        <v>1</v>
      </c>
      <c r="X164" t="n">
        <v>1</v>
      </c>
      <c r="Y164" t="n">
        <v>1</v>
      </c>
      <c r="Z164" t="n">
        <v>1</v>
      </c>
      <c r="AA164" t="n">
        <v>1</v>
      </c>
      <c r="AB164" t="n">
        <v>1</v>
      </c>
      <c r="AC164" t="n">
        <v>1</v>
      </c>
      <c r="AD164" t="n">
        <v>1</v>
      </c>
      <c r="AE164" t="n">
        <v>1</v>
      </c>
      <c r="AF164" t="n">
        <v>1</v>
      </c>
      <c r="AG164" t="n">
        <v>1</v>
      </c>
      <c r="AH164" t="n">
        <v>1</v>
      </c>
      <c r="AI164" t="n">
        <v>1</v>
      </c>
      <c r="AJ164" t="n">
        <v>1</v>
      </c>
      <c r="AK164" t="n">
        <v>1</v>
      </c>
      <c r="AL164" t="n">
        <v>1</v>
      </c>
      <c r="AM164" t="n">
        <v>1</v>
      </c>
      <c r="AN164" t="n">
        <v>1</v>
      </c>
      <c r="AO164" t="n">
        <v>1</v>
      </c>
      <c r="AP164" t="n">
        <v>1</v>
      </c>
      <c r="AQ164" t="n">
        <v>1</v>
      </c>
      <c r="AR164" t="n">
        <v>1</v>
      </c>
      <c r="AS164" t="n">
        <v>1</v>
      </c>
      <c r="AT164" t="n">
        <v>1</v>
      </c>
      <c r="AU164" t="n">
        <v>1</v>
      </c>
      <c r="AV164" t="n">
        <v>1</v>
      </c>
      <c r="AW164" t="n">
        <v>1</v>
      </c>
      <c r="AX164" t="n">
        <v>1</v>
      </c>
      <c r="AY164" t="n">
        <v>1</v>
      </c>
      <c r="AZ164" t="n">
        <v>1</v>
      </c>
      <c r="BA164" t="n">
        <v>1</v>
      </c>
      <c r="BB164" t="n">
        <v>1</v>
      </c>
      <c r="BC164" t="n">
        <v>1</v>
      </c>
      <c r="BD164" t="n">
        <v>1</v>
      </c>
      <c r="BE164" t="n">
        <v>1</v>
      </c>
      <c r="BF164" t="n">
        <v>1</v>
      </c>
      <c r="BG164" t="n">
        <v>1</v>
      </c>
      <c r="BH164" t="n">
        <v>1</v>
      </c>
      <c r="BI164" t="n">
        <v>1</v>
      </c>
      <c r="BJ164">
        <f>-1/'vehicles specifications'!$M30</f>
        <v>-1</v>
      </c>
      <c r="BK164">
        <f>-1/'vehicles specifications'!$M30</f>
        <v>-1</v>
      </c>
      <c r="BL164">
        <f>-1/'vehicles specifications'!$M30</f>
        <v>-1</v>
      </c>
    </row>
    <row r="165">
      <c r="A165" t="inlineStr">
        <is>
          <t>Bicycle, electric (&lt;25 km/h) - 2020 - LFP - CH</t>
        </is>
      </c>
      <c r="B165">
        <f>1/17</f>
        <v>5.8823529411764705E-2</v>
      </c>
      <c r="C165" s="2">
        <f>'vehicles specifications'!S31</f>
        <v>16</v>
      </c>
      <c r="D165">
        <f>1/17</f>
        <v>5.8823529411764705E-2</v>
      </c>
      <c r="E165" t="n">
        <v>1</v>
      </c>
      <c r="F165">
        <f>1+'vehicles specifications'!AD31</f>
        <v>2</v>
      </c>
      <c r="G165">
        <f>1+'vehicles specifications'!AD31</f>
        <v>2</v>
      </c>
      <c r="J165" t="n">
        <v>1</v>
      </c>
      <c r="K165">
        <f>1/('fuels and tailpipe emissions'!$C$3*3.6)</f>
        <v>2.3474178403755867E-2</v>
      </c>
      <c r="L165">
        <f>1/3.6*1.1</f>
        <v>0.30555555555555558</v>
      </c>
      <c r="M165">
        <f>1/'vehicles specifications'!J31</f>
        <v>5.0000000000000002E-5</v>
      </c>
      <c r="N165" t="n">
        <v>1</v>
      </c>
      <c r="O165">
        <f>1</f>
        <v>1</v>
      </c>
      <c r="P165">
        <f>-1/24</f>
        <v>-4.1666666666666664E-2</v>
      </c>
      <c r="Q165">
        <f>-1/24</f>
        <v>-4.1666666666666664E-2</v>
      </c>
      <c r="R165">
        <f>-1-'vehicles specifications'!AD31</f>
        <v>-2</v>
      </c>
      <c r="S165" t="n">
        <v>1</v>
      </c>
      <c r="T165" t="n">
        <v>1</v>
      </c>
      <c r="U165" t="n">
        <v>1</v>
      </c>
      <c r="V165" t="n">
        <v>1</v>
      </c>
      <c r="W165" t="n">
        <v>1</v>
      </c>
      <c r="X165" t="n">
        <v>1</v>
      </c>
      <c r="Y165" t="n">
        <v>1</v>
      </c>
      <c r="Z165" t="n">
        <v>1</v>
      </c>
      <c r="AA165" t="n">
        <v>1</v>
      </c>
      <c r="AB165" t="n">
        <v>1</v>
      </c>
      <c r="AC165" t="n">
        <v>1</v>
      </c>
      <c r="AD165" t="n">
        <v>1</v>
      </c>
      <c r="AE165" t="n">
        <v>1</v>
      </c>
      <c r="AF165" t="n">
        <v>1</v>
      </c>
      <c r="AG165" t="n">
        <v>1</v>
      </c>
      <c r="AH165" t="n">
        <v>1</v>
      </c>
      <c r="AI165" t="n">
        <v>1</v>
      </c>
      <c r="AJ165" t="n">
        <v>1</v>
      </c>
      <c r="AK165" t="n">
        <v>1</v>
      </c>
      <c r="AL165" t="n">
        <v>1</v>
      </c>
      <c r="AM165" t="n">
        <v>1</v>
      </c>
      <c r="AN165" t="n">
        <v>1</v>
      </c>
      <c r="AO165" t="n">
        <v>1</v>
      </c>
      <c r="AP165" t="n">
        <v>1</v>
      </c>
      <c r="AQ165" t="n">
        <v>1</v>
      </c>
      <c r="AR165" t="n">
        <v>1</v>
      </c>
      <c r="AS165" t="n">
        <v>1</v>
      </c>
      <c r="AT165" t="n">
        <v>1</v>
      </c>
      <c r="AU165" t="n">
        <v>1</v>
      </c>
      <c r="AV165" t="n">
        <v>1</v>
      </c>
      <c r="AW165" t="n">
        <v>1</v>
      </c>
      <c r="AX165" t="n">
        <v>1</v>
      </c>
      <c r="AY165" t="n">
        <v>1</v>
      </c>
      <c r="AZ165" t="n">
        <v>1</v>
      </c>
      <c r="BA165" t="n">
        <v>1</v>
      </c>
      <c r="BB165" t="n">
        <v>1</v>
      </c>
      <c r="BC165" t="n">
        <v>1</v>
      </c>
      <c r="BD165" t="n">
        <v>1</v>
      </c>
      <c r="BE165" t="n">
        <v>1</v>
      </c>
      <c r="BF165" t="n">
        <v>1</v>
      </c>
      <c r="BG165" t="n">
        <v>1</v>
      </c>
      <c r="BH165" t="n">
        <v>1</v>
      </c>
      <c r="BI165" t="n">
        <v>1</v>
      </c>
      <c r="BJ165">
        <f>-1/'vehicles specifications'!$M31</f>
        <v>-1</v>
      </c>
      <c r="BK165">
        <f>-1/'vehicles specifications'!$M31</f>
        <v>-1</v>
      </c>
      <c r="BL165">
        <f>-1/'vehicles specifications'!$M31</f>
        <v>-1</v>
      </c>
    </row>
    <row r="166">
      <c r="A166" t="inlineStr">
        <is>
          <t>Bicycle, electric (&lt;25 km/h) - 2030 - LFP - CH</t>
        </is>
      </c>
      <c r="B166">
        <f>1/17</f>
        <v>5.8823529411764705E-2</v>
      </c>
      <c r="C166" s="2">
        <f>'vehicles specifications'!S32</f>
        <v>16</v>
      </c>
      <c r="D166">
        <f>1/17</f>
        <v>5.8823529411764705E-2</v>
      </c>
      <c r="E166" t="n">
        <v>1</v>
      </c>
      <c r="F166">
        <f>1+'vehicles specifications'!AD32</f>
        <v>1.5</v>
      </c>
      <c r="G166">
        <f>1+'vehicles specifications'!AD32</f>
        <v>1.5</v>
      </c>
      <c r="J166" t="n">
        <v>1</v>
      </c>
      <c r="K166">
        <f>1/('fuels and tailpipe emissions'!$C$3*3.6)</f>
        <v>2.3474178403755867E-2</v>
      </c>
      <c r="L166">
        <f>1/3.6*1.1</f>
        <v>0.30555555555555558</v>
      </c>
      <c r="M166">
        <f>1/'vehicles specifications'!J32</f>
        <v>5.0000000000000002E-5</v>
      </c>
      <c r="N166" t="n">
        <v>1</v>
      </c>
      <c r="O166">
        <f>1</f>
        <v>1</v>
      </c>
      <c r="P166">
        <f>-1/24</f>
        <v>-4.1666666666666664E-2</v>
      </c>
      <c r="Q166">
        <f>-1/24</f>
        <v>-4.1666666666666664E-2</v>
      </c>
      <c r="R166">
        <f>-1-'vehicles specifications'!AD32</f>
        <v>-1.5</v>
      </c>
      <c r="S166" t="n">
        <v>1</v>
      </c>
      <c r="T166" t="n">
        <v>1</v>
      </c>
      <c r="U166" t="n">
        <v>1</v>
      </c>
      <c r="V166" t="n">
        <v>1</v>
      </c>
      <c r="W166" t="n">
        <v>1</v>
      </c>
      <c r="X166" t="n">
        <v>1</v>
      </c>
      <c r="Y166" t="n">
        <v>1</v>
      </c>
      <c r="Z166" t="n">
        <v>1</v>
      </c>
      <c r="AA166" t="n">
        <v>1</v>
      </c>
      <c r="AB166" t="n">
        <v>1</v>
      </c>
      <c r="AC166" t="n">
        <v>1</v>
      </c>
      <c r="AD166" t="n">
        <v>1</v>
      </c>
      <c r="AE166" t="n">
        <v>1</v>
      </c>
      <c r="AF166" t="n">
        <v>1</v>
      </c>
      <c r="AG166" t="n">
        <v>1</v>
      </c>
      <c r="AH166" t="n">
        <v>1</v>
      </c>
      <c r="AI166" t="n">
        <v>1</v>
      </c>
      <c r="AJ166" t="n">
        <v>1</v>
      </c>
      <c r="AK166" t="n">
        <v>1</v>
      </c>
      <c r="AL166" t="n">
        <v>1</v>
      </c>
      <c r="AM166" t="n">
        <v>1</v>
      </c>
      <c r="AN166" t="n">
        <v>1</v>
      </c>
      <c r="AO166" t="n">
        <v>1</v>
      </c>
      <c r="AP166" t="n">
        <v>1</v>
      </c>
      <c r="AQ166" t="n">
        <v>1</v>
      </c>
      <c r="AR166" t="n">
        <v>1</v>
      </c>
      <c r="AS166" t="n">
        <v>1</v>
      </c>
      <c r="AT166" t="n">
        <v>1</v>
      </c>
      <c r="AU166" t="n">
        <v>1</v>
      </c>
      <c r="AV166" t="n">
        <v>1</v>
      </c>
      <c r="AW166" t="n">
        <v>1</v>
      </c>
      <c r="AX166" t="n">
        <v>1</v>
      </c>
      <c r="AY166" t="n">
        <v>1</v>
      </c>
      <c r="AZ166" t="n">
        <v>1</v>
      </c>
      <c r="BA166" t="n">
        <v>1</v>
      </c>
      <c r="BB166" t="n">
        <v>1</v>
      </c>
      <c r="BC166" t="n">
        <v>1</v>
      </c>
      <c r="BD166" t="n">
        <v>1</v>
      </c>
      <c r="BE166" t="n">
        <v>1</v>
      </c>
      <c r="BF166" t="n">
        <v>1</v>
      </c>
      <c r="BG166" t="n">
        <v>1</v>
      </c>
      <c r="BH166" t="n">
        <v>1</v>
      </c>
      <c r="BI166" t="n">
        <v>1</v>
      </c>
      <c r="BJ166">
        <f>-1/'vehicles specifications'!$M32</f>
        <v>-1</v>
      </c>
      <c r="BK166">
        <f>-1/'vehicles specifications'!$M32</f>
        <v>-1</v>
      </c>
      <c r="BL166">
        <f>-1/'vehicles specifications'!$M32</f>
        <v>-1</v>
      </c>
    </row>
    <row r="167">
      <c r="A167" t="inlineStr">
        <is>
          <t>Bicycle, electric (&lt;25 km/h) - 2040 - LFP - CH</t>
        </is>
      </c>
      <c r="B167">
        <f>1/17</f>
        <v>5.8823529411764705E-2</v>
      </c>
      <c r="C167" s="2">
        <f>'vehicles specifications'!S33</f>
        <v>16</v>
      </c>
      <c r="D167">
        <f>1/17</f>
        <v>5.8823529411764705E-2</v>
      </c>
      <c r="E167" t="n">
        <v>1</v>
      </c>
      <c r="F167">
        <f>1+'vehicles specifications'!AD33</f>
        <v>1.25</v>
      </c>
      <c r="G167">
        <f>1+'vehicles specifications'!AD33</f>
        <v>1.25</v>
      </c>
      <c r="J167" t="n">
        <v>1</v>
      </c>
      <c r="K167">
        <f>1/('fuels and tailpipe emissions'!$C$3*3.6)</f>
        <v>2.3474178403755867E-2</v>
      </c>
      <c r="L167">
        <f>1/3.6*1.1</f>
        <v>0.30555555555555558</v>
      </c>
      <c r="M167">
        <f>1/'vehicles specifications'!J33</f>
        <v>5.0000000000000002E-5</v>
      </c>
      <c r="N167" t="n">
        <v>1</v>
      </c>
      <c r="O167">
        <f>1</f>
        <v>1</v>
      </c>
      <c r="P167">
        <f>-1/24</f>
        <v>-4.1666666666666664E-2</v>
      </c>
      <c r="Q167">
        <f>-1/24</f>
        <v>-4.1666666666666664E-2</v>
      </c>
      <c r="R167">
        <f>-1-'vehicles specifications'!AD33</f>
        <v>-1.25</v>
      </c>
      <c r="S167" t="n">
        <v>1</v>
      </c>
      <c r="T167" t="n">
        <v>1</v>
      </c>
      <c r="U167" t="n">
        <v>1</v>
      </c>
      <c r="V167" t="n">
        <v>1</v>
      </c>
      <c r="W167" t="n">
        <v>1</v>
      </c>
      <c r="X167" t="n">
        <v>1</v>
      </c>
      <c r="Y167" t="n">
        <v>1</v>
      </c>
      <c r="Z167" t="n">
        <v>1</v>
      </c>
      <c r="AA167" t="n">
        <v>1</v>
      </c>
      <c r="AB167" t="n">
        <v>1</v>
      </c>
      <c r="AC167" t="n">
        <v>1</v>
      </c>
      <c r="AD167" t="n">
        <v>1</v>
      </c>
      <c r="AE167" t="n">
        <v>1</v>
      </c>
      <c r="AF167" t="n">
        <v>1</v>
      </c>
      <c r="AG167" t="n">
        <v>1</v>
      </c>
      <c r="AH167" t="n">
        <v>1</v>
      </c>
      <c r="AI167" t="n">
        <v>1</v>
      </c>
      <c r="AJ167" t="n">
        <v>1</v>
      </c>
      <c r="AK167" t="n">
        <v>1</v>
      </c>
      <c r="AL167" t="n">
        <v>1</v>
      </c>
      <c r="AM167" t="n">
        <v>1</v>
      </c>
      <c r="AN167" t="n">
        <v>1</v>
      </c>
      <c r="AO167" t="n">
        <v>1</v>
      </c>
      <c r="AP167" t="n">
        <v>1</v>
      </c>
      <c r="AQ167" t="n">
        <v>1</v>
      </c>
      <c r="AR167" t="n">
        <v>1</v>
      </c>
      <c r="AS167" t="n">
        <v>1</v>
      </c>
      <c r="AT167" t="n">
        <v>1</v>
      </c>
      <c r="AU167" t="n">
        <v>1</v>
      </c>
      <c r="AV167" t="n">
        <v>1</v>
      </c>
      <c r="AW167" t="n">
        <v>1</v>
      </c>
      <c r="AX167" t="n">
        <v>1</v>
      </c>
      <c r="AY167" t="n">
        <v>1</v>
      </c>
      <c r="AZ167" t="n">
        <v>1</v>
      </c>
      <c r="BA167" t="n">
        <v>1</v>
      </c>
      <c r="BB167" t="n">
        <v>1</v>
      </c>
      <c r="BC167" t="n">
        <v>1</v>
      </c>
      <c r="BD167" t="n">
        <v>1</v>
      </c>
      <c r="BE167" t="n">
        <v>1</v>
      </c>
      <c r="BF167" t="n">
        <v>1</v>
      </c>
      <c r="BG167" t="n">
        <v>1</v>
      </c>
      <c r="BH167" t="n">
        <v>1</v>
      </c>
      <c r="BI167" t="n">
        <v>1</v>
      </c>
      <c r="BJ167">
        <f>-1/'vehicles specifications'!$M33</f>
        <v>-1</v>
      </c>
      <c r="BK167">
        <f>-1/'vehicles specifications'!$M33</f>
        <v>-1</v>
      </c>
      <c r="BL167">
        <f>-1/'vehicles specifications'!$M33</f>
        <v>-1</v>
      </c>
    </row>
    <row r="168">
      <c r="A168" t="inlineStr">
        <is>
          <t>Bicycle, electric (&lt;25 km/h) - 2050 - LFP - CH</t>
        </is>
      </c>
      <c r="B168">
        <f>1/17</f>
        <v>5.8823529411764705E-2</v>
      </c>
      <c r="C168" s="2">
        <f>'vehicles specifications'!S34</f>
        <v>16</v>
      </c>
      <c r="D168">
        <f>1/17</f>
        <v>5.8823529411764705E-2</v>
      </c>
      <c r="E168" t="n">
        <v>1</v>
      </c>
      <c r="F168">
        <f>1+'vehicles specifications'!AD34</f>
        <v>1</v>
      </c>
      <c r="G168">
        <f>1+'vehicles specifications'!AD34</f>
        <v>1</v>
      </c>
      <c r="J168" t="n">
        <v>1</v>
      </c>
      <c r="K168">
        <f>1/('fuels and tailpipe emissions'!$C$3*3.6)</f>
        <v>2.3474178403755867E-2</v>
      </c>
      <c r="L168">
        <f>1/3.6*1.1</f>
        <v>0.30555555555555558</v>
      </c>
      <c r="M168">
        <f>1/'vehicles specifications'!J34</f>
        <v>5.0000000000000002E-5</v>
      </c>
      <c r="N168" t="n">
        <v>1</v>
      </c>
      <c r="O168">
        <f>1</f>
        <v>1</v>
      </c>
      <c r="P168">
        <f>-1/24</f>
        <v>-4.1666666666666664E-2</v>
      </c>
      <c r="Q168">
        <f>-1/24</f>
        <v>-4.1666666666666664E-2</v>
      </c>
      <c r="R168">
        <f>-1-'vehicles specifications'!AD34</f>
        <v>-1</v>
      </c>
      <c r="S168" t="n">
        <v>1</v>
      </c>
      <c r="T168" t="n">
        <v>1</v>
      </c>
      <c r="U168" t="n">
        <v>1</v>
      </c>
      <c r="V168" t="n">
        <v>1</v>
      </c>
      <c r="W168" t="n">
        <v>1</v>
      </c>
      <c r="X168" t="n">
        <v>1</v>
      </c>
      <c r="Y168" t="n">
        <v>1</v>
      </c>
      <c r="Z168" t="n">
        <v>1</v>
      </c>
      <c r="AA168" t="n">
        <v>1</v>
      </c>
      <c r="AB168" t="n">
        <v>1</v>
      </c>
      <c r="AC168" t="n">
        <v>1</v>
      </c>
      <c r="AD168" t="n">
        <v>1</v>
      </c>
      <c r="AE168" t="n">
        <v>1</v>
      </c>
      <c r="AF168" t="n">
        <v>1</v>
      </c>
      <c r="AG168" t="n">
        <v>1</v>
      </c>
      <c r="AH168" t="n">
        <v>1</v>
      </c>
      <c r="AI168" t="n">
        <v>1</v>
      </c>
      <c r="AJ168" t="n">
        <v>1</v>
      </c>
      <c r="AK168" t="n">
        <v>1</v>
      </c>
      <c r="AL168" t="n">
        <v>1</v>
      </c>
      <c r="AM168" t="n">
        <v>1</v>
      </c>
      <c r="AN168" t="n">
        <v>1</v>
      </c>
      <c r="AO168" t="n">
        <v>1</v>
      </c>
      <c r="AP168" t="n">
        <v>1</v>
      </c>
      <c r="AQ168" t="n">
        <v>1</v>
      </c>
      <c r="AR168" t="n">
        <v>1</v>
      </c>
      <c r="AS168" t="n">
        <v>1</v>
      </c>
      <c r="AT168" t="n">
        <v>1</v>
      </c>
      <c r="AU168" t="n">
        <v>1</v>
      </c>
      <c r="AV168" t="n">
        <v>1</v>
      </c>
      <c r="AW168" t="n">
        <v>1</v>
      </c>
      <c r="AX168" t="n">
        <v>1</v>
      </c>
      <c r="AY168" t="n">
        <v>1</v>
      </c>
      <c r="AZ168" t="n">
        <v>1</v>
      </c>
      <c r="BA168" t="n">
        <v>1</v>
      </c>
      <c r="BB168" t="n">
        <v>1</v>
      </c>
      <c r="BC168" t="n">
        <v>1</v>
      </c>
      <c r="BD168" t="n">
        <v>1</v>
      </c>
      <c r="BE168" t="n">
        <v>1</v>
      </c>
      <c r="BF168" t="n">
        <v>1</v>
      </c>
      <c r="BG168" t="n">
        <v>1</v>
      </c>
      <c r="BH168" t="n">
        <v>1</v>
      </c>
      <c r="BI168" t="n">
        <v>1</v>
      </c>
      <c r="BJ168">
        <f>-1/'vehicles specifications'!$M34</f>
        <v>-1</v>
      </c>
      <c r="BK168">
        <f>-1/'vehicles specifications'!$M34</f>
        <v>-1</v>
      </c>
      <c r="BL168">
        <f>-1/'vehicles specifications'!$M34</f>
        <v>-1</v>
      </c>
    </row>
    <row r="169">
      <c r="A169" t="inlineStr">
        <is>
          <t>Bicycle, electric (&lt;45 km/h) - 2020 - LFP - CH</t>
        </is>
      </c>
      <c r="B169">
        <f>1/17</f>
        <v>5.8823529411764705E-2</v>
      </c>
      <c r="C169" s="2">
        <f>'vehicles specifications'!S35</f>
        <v>19</v>
      </c>
      <c r="D169">
        <f>1/17</f>
        <v>5.8823529411764705E-2</v>
      </c>
      <c r="E169" t="n">
        <v>1</v>
      </c>
      <c r="F169">
        <f>1+'vehicles specifications'!AD35</f>
        <v>2</v>
      </c>
      <c r="G169">
        <f>1+'vehicles specifications'!AD35</f>
        <v>2</v>
      </c>
      <c r="J169" t="n">
        <v>1</v>
      </c>
      <c r="K169">
        <f>1/('fuels and tailpipe emissions'!$C$3*3.6)</f>
        <v>2.3474178403755867E-2</v>
      </c>
      <c r="L169">
        <f>1/3.6*1.1</f>
        <v>0.30555555555555558</v>
      </c>
      <c r="M169">
        <f>1/'vehicles specifications'!J35</f>
        <v>3.3333333333333335E-5</v>
      </c>
      <c r="N169" t="n">
        <v>1</v>
      </c>
      <c r="O169">
        <f>1</f>
        <v>1</v>
      </c>
      <c r="P169">
        <f>-1/24</f>
        <v>-4.1666666666666664E-2</v>
      </c>
      <c r="Q169">
        <f>-1/24</f>
        <v>-4.1666666666666664E-2</v>
      </c>
      <c r="R169">
        <f>-1-'vehicles specifications'!AD35</f>
        <v>-2</v>
      </c>
      <c r="S169" t="n">
        <v>1</v>
      </c>
      <c r="T169" t="n">
        <v>1</v>
      </c>
      <c r="U169" t="n">
        <v>1</v>
      </c>
      <c r="V169" t="n">
        <v>1</v>
      </c>
      <c r="W169" t="n">
        <v>1</v>
      </c>
      <c r="X169" t="n">
        <v>1</v>
      </c>
      <c r="Y169" t="n">
        <v>1</v>
      </c>
      <c r="Z169" t="n">
        <v>1</v>
      </c>
      <c r="AA169" t="n">
        <v>1</v>
      </c>
      <c r="AB169" t="n">
        <v>1</v>
      </c>
      <c r="AC169" t="n">
        <v>1</v>
      </c>
      <c r="AD169" t="n">
        <v>1</v>
      </c>
      <c r="AE169" t="n">
        <v>1</v>
      </c>
      <c r="AF169" t="n">
        <v>1</v>
      </c>
      <c r="AG169" t="n">
        <v>1</v>
      </c>
      <c r="AH169" t="n">
        <v>1</v>
      </c>
      <c r="AI169" t="n">
        <v>1</v>
      </c>
      <c r="AJ169" t="n">
        <v>1</v>
      </c>
      <c r="AK169" t="n">
        <v>1</v>
      </c>
      <c r="AL169" t="n">
        <v>1</v>
      </c>
      <c r="AM169" t="n">
        <v>1</v>
      </c>
      <c r="AN169" t="n">
        <v>1</v>
      </c>
      <c r="AO169" t="n">
        <v>1</v>
      </c>
      <c r="AP169" t="n">
        <v>1</v>
      </c>
      <c r="AQ169" t="n">
        <v>1</v>
      </c>
      <c r="AR169" t="n">
        <v>1</v>
      </c>
      <c r="AS169" t="n">
        <v>1</v>
      </c>
      <c r="AT169" t="n">
        <v>1</v>
      </c>
      <c r="AU169" t="n">
        <v>1</v>
      </c>
      <c r="AV169" t="n">
        <v>1</v>
      </c>
      <c r="AW169" t="n">
        <v>1</v>
      </c>
      <c r="AX169" t="n">
        <v>1</v>
      </c>
      <c r="AY169" t="n">
        <v>1</v>
      </c>
      <c r="AZ169" t="n">
        <v>1</v>
      </c>
      <c r="BA169" t="n">
        <v>1</v>
      </c>
      <c r="BB169" t="n">
        <v>1</v>
      </c>
      <c r="BC169" t="n">
        <v>1</v>
      </c>
      <c r="BD169" t="n">
        <v>1</v>
      </c>
      <c r="BE169" t="n">
        <v>1</v>
      </c>
      <c r="BF169" t="n">
        <v>1</v>
      </c>
      <c r="BG169" t="n">
        <v>1</v>
      </c>
      <c r="BH169" t="n">
        <v>1</v>
      </c>
      <c r="BI169" t="n">
        <v>1</v>
      </c>
      <c r="BJ169">
        <f>-1/'vehicles specifications'!$M35</f>
        <v>-1</v>
      </c>
      <c r="BK169">
        <f>-1/'vehicles specifications'!$M35</f>
        <v>-1</v>
      </c>
      <c r="BL169">
        <f>-1/'vehicles specifications'!$M35</f>
        <v>-1</v>
      </c>
    </row>
    <row r="170">
      <c r="A170" t="inlineStr">
        <is>
          <t>Bicycle, electric (&lt;45 km/h) - 2030 - LFP - CH</t>
        </is>
      </c>
      <c r="B170">
        <f>1/17</f>
        <v>5.8823529411764705E-2</v>
      </c>
      <c r="C170" s="2">
        <f>'vehicles specifications'!S36</f>
        <v>19</v>
      </c>
      <c r="D170">
        <f>1/17</f>
        <v>5.8823529411764705E-2</v>
      </c>
      <c r="E170" t="n">
        <v>1</v>
      </c>
      <c r="F170">
        <f>1+'vehicles specifications'!AD36</f>
        <v>1.5</v>
      </c>
      <c r="G170">
        <f>1+'vehicles specifications'!AD36</f>
        <v>1.5</v>
      </c>
      <c r="J170" t="n">
        <v>1</v>
      </c>
      <c r="K170">
        <f>1/('fuels and tailpipe emissions'!$C$3*3.6)</f>
        <v>2.3474178403755867E-2</v>
      </c>
      <c r="L170">
        <f>1/3.6*1.1</f>
        <v>0.30555555555555558</v>
      </c>
      <c r="M170">
        <f>1/'vehicles specifications'!J36</f>
        <v>3.3333333333333335E-5</v>
      </c>
      <c r="N170" t="n">
        <v>1</v>
      </c>
      <c r="O170">
        <f>1</f>
        <v>1</v>
      </c>
      <c r="P170">
        <f>-1/24</f>
        <v>-4.1666666666666664E-2</v>
      </c>
      <c r="Q170">
        <f>-1/24</f>
        <v>-4.1666666666666664E-2</v>
      </c>
      <c r="R170">
        <f>-1-'vehicles specifications'!AD36</f>
        <v>-1.5</v>
      </c>
      <c r="S170" t="n">
        <v>1</v>
      </c>
      <c r="T170" t="n">
        <v>1</v>
      </c>
      <c r="U170" t="n">
        <v>1</v>
      </c>
      <c r="V170" t="n">
        <v>1</v>
      </c>
      <c r="W170" t="n">
        <v>1</v>
      </c>
      <c r="X170" t="n">
        <v>1</v>
      </c>
      <c r="Y170" t="n">
        <v>1</v>
      </c>
      <c r="Z170" t="n">
        <v>1</v>
      </c>
      <c r="AA170" t="n">
        <v>1</v>
      </c>
      <c r="AB170" t="n">
        <v>1</v>
      </c>
      <c r="AC170" t="n">
        <v>1</v>
      </c>
      <c r="AD170" t="n">
        <v>1</v>
      </c>
      <c r="AE170" t="n">
        <v>1</v>
      </c>
      <c r="AF170" t="n">
        <v>1</v>
      </c>
      <c r="AG170" t="n">
        <v>1</v>
      </c>
      <c r="AH170" t="n">
        <v>1</v>
      </c>
      <c r="AI170" t="n">
        <v>1</v>
      </c>
      <c r="AJ170" t="n">
        <v>1</v>
      </c>
      <c r="AK170" t="n">
        <v>1</v>
      </c>
      <c r="AL170" t="n">
        <v>1</v>
      </c>
      <c r="AM170" t="n">
        <v>1</v>
      </c>
      <c r="AN170" t="n">
        <v>1</v>
      </c>
      <c r="AO170" t="n">
        <v>1</v>
      </c>
      <c r="AP170" t="n">
        <v>1</v>
      </c>
      <c r="AQ170" t="n">
        <v>1</v>
      </c>
      <c r="AR170" t="n">
        <v>1</v>
      </c>
      <c r="AS170" t="n">
        <v>1</v>
      </c>
      <c r="AT170" t="n">
        <v>1</v>
      </c>
      <c r="AU170" t="n">
        <v>1</v>
      </c>
      <c r="AV170" t="n">
        <v>1</v>
      </c>
      <c r="AW170" t="n">
        <v>1</v>
      </c>
      <c r="AX170" t="n">
        <v>1</v>
      </c>
      <c r="AY170" t="n">
        <v>1</v>
      </c>
      <c r="AZ170" t="n">
        <v>1</v>
      </c>
      <c r="BA170" t="n">
        <v>1</v>
      </c>
      <c r="BB170" t="n">
        <v>1</v>
      </c>
      <c r="BC170" t="n">
        <v>1</v>
      </c>
      <c r="BD170" t="n">
        <v>1</v>
      </c>
      <c r="BE170" t="n">
        <v>1</v>
      </c>
      <c r="BF170" t="n">
        <v>1</v>
      </c>
      <c r="BG170" t="n">
        <v>1</v>
      </c>
      <c r="BH170" t="n">
        <v>1</v>
      </c>
      <c r="BI170" t="n">
        <v>1</v>
      </c>
      <c r="BJ170">
        <f>-1/'vehicles specifications'!$M36</f>
        <v>-1</v>
      </c>
      <c r="BK170">
        <f>-1/'vehicles specifications'!$M36</f>
        <v>-1</v>
      </c>
      <c r="BL170">
        <f>-1/'vehicles specifications'!$M36</f>
        <v>-1</v>
      </c>
    </row>
    <row r="171">
      <c r="A171" t="inlineStr">
        <is>
          <t>Bicycle, electric (&lt;45 km/h) - 2040 - LFP - CH</t>
        </is>
      </c>
      <c r="B171">
        <f>1/17</f>
        <v>5.8823529411764705E-2</v>
      </c>
      <c r="C171" s="2">
        <f>'vehicles specifications'!S37</f>
        <v>19</v>
      </c>
      <c r="D171">
        <f>1/17</f>
        <v>5.8823529411764705E-2</v>
      </c>
      <c r="E171" t="n">
        <v>1</v>
      </c>
      <c r="F171">
        <f>1+'vehicles specifications'!AD37</f>
        <v>1.25</v>
      </c>
      <c r="G171">
        <f>1+'vehicles specifications'!AD37</f>
        <v>1.25</v>
      </c>
      <c r="J171" t="n">
        <v>1</v>
      </c>
      <c r="K171">
        <f>1/('fuels and tailpipe emissions'!$C$3*3.6)</f>
        <v>2.3474178403755867E-2</v>
      </c>
      <c r="L171">
        <f>1/3.6*1.1</f>
        <v>0.30555555555555558</v>
      </c>
      <c r="M171">
        <f>1/'vehicles specifications'!J37</f>
        <v>3.3333333333333335E-5</v>
      </c>
      <c r="N171" t="n">
        <v>1</v>
      </c>
      <c r="O171">
        <f>1</f>
        <v>1</v>
      </c>
      <c r="P171">
        <f>-1/24</f>
        <v>-4.1666666666666664E-2</v>
      </c>
      <c r="Q171">
        <f>-1/24</f>
        <v>-4.1666666666666664E-2</v>
      </c>
      <c r="R171">
        <f>-1-'vehicles specifications'!AD37</f>
        <v>-1.25</v>
      </c>
      <c r="S171" t="n">
        <v>1</v>
      </c>
      <c r="T171" t="n">
        <v>1</v>
      </c>
      <c r="U171" t="n">
        <v>1</v>
      </c>
      <c r="V171" t="n">
        <v>1</v>
      </c>
      <c r="W171" t="n">
        <v>1</v>
      </c>
      <c r="X171" t="n">
        <v>1</v>
      </c>
      <c r="Y171" t="n">
        <v>1</v>
      </c>
      <c r="Z171" t="n">
        <v>1</v>
      </c>
      <c r="AA171" t="n">
        <v>1</v>
      </c>
      <c r="AB171" t="n">
        <v>1</v>
      </c>
      <c r="AC171" t="n">
        <v>1</v>
      </c>
      <c r="AD171" t="n">
        <v>1</v>
      </c>
      <c r="AE171" t="n">
        <v>1</v>
      </c>
      <c r="AF171" t="n">
        <v>1</v>
      </c>
      <c r="AG171" t="n">
        <v>1</v>
      </c>
      <c r="AH171" t="n">
        <v>1</v>
      </c>
      <c r="AI171" t="n">
        <v>1</v>
      </c>
      <c r="AJ171" t="n">
        <v>1</v>
      </c>
      <c r="AK171" t="n">
        <v>1</v>
      </c>
      <c r="AL171" t="n">
        <v>1</v>
      </c>
      <c r="AM171" t="n">
        <v>1</v>
      </c>
      <c r="AN171" t="n">
        <v>1</v>
      </c>
      <c r="AO171" t="n">
        <v>1</v>
      </c>
      <c r="AP171" t="n">
        <v>1</v>
      </c>
      <c r="AQ171" t="n">
        <v>1</v>
      </c>
      <c r="AR171" t="n">
        <v>1</v>
      </c>
      <c r="AS171" t="n">
        <v>1</v>
      </c>
      <c r="AT171" t="n">
        <v>1</v>
      </c>
      <c r="AU171" t="n">
        <v>1</v>
      </c>
      <c r="AV171" t="n">
        <v>1</v>
      </c>
      <c r="AW171" t="n">
        <v>1</v>
      </c>
      <c r="AX171" t="n">
        <v>1</v>
      </c>
      <c r="AY171" t="n">
        <v>1</v>
      </c>
      <c r="AZ171" t="n">
        <v>1</v>
      </c>
      <c r="BA171" t="n">
        <v>1</v>
      </c>
      <c r="BB171" t="n">
        <v>1</v>
      </c>
      <c r="BC171" t="n">
        <v>1</v>
      </c>
      <c r="BD171" t="n">
        <v>1</v>
      </c>
      <c r="BE171" t="n">
        <v>1</v>
      </c>
      <c r="BF171" t="n">
        <v>1</v>
      </c>
      <c r="BG171" t="n">
        <v>1</v>
      </c>
      <c r="BH171" t="n">
        <v>1</v>
      </c>
      <c r="BI171" t="n">
        <v>1</v>
      </c>
      <c r="BJ171">
        <f>-1/'vehicles specifications'!$M37</f>
        <v>-1</v>
      </c>
      <c r="BK171">
        <f>-1/'vehicles specifications'!$M37</f>
        <v>-1</v>
      </c>
      <c r="BL171">
        <f>-1/'vehicles specifications'!$M37</f>
        <v>-1</v>
      </c>
    </row>
    <row r="172">
      <c r="A172" t="inlineStr">
        <is>
          <t>Bicycle, electric (&lt;45 km/h) - 2050 - LFP - CH</t>
        </is>
      </c>
      <c r="B172">
        <f>1/17</f>
        <v>5.8823529411764705E-2</v>
      </c>
      <c r="C172" s="2">
        <f>'vehicles specifications'!S38</f>
        <v>19</v>
      </c>
      <c r="D172">
        <f>1/17</f>
        <v>5.8823529411764705E-2</v>
      </c>
      <c r="E172" t="n">
        <v>1</v>
      </c>
      <c r="F172">
        <f>1+'vehicles specifications'!AD38</f>
        <v>1</v>
      </c>
      <c r="G172">
        <f>1+'vehicles specifications'!AD38</f>
        <v>1</v>
      </c>
      <c r="J172" t="n">
        <v>1</v>
      </c>
      <c r="K172">
        <f>1/('fuels and tailpipe emissions'!$C$3*3.6)</f>
        <v>2.3474178403755867E-2</v>
      </c>
      <c r="L172">
        <f>1/3.6*1.1</f>
        <v>0.30555555555555558</v>
      </c>
      <c r="M172">
        <f>1/'vehicles specifications'!J38</f>
        <v>3.3333333333333335E-5</v>
      </c>
      <c r="N172" t="n">
        <v>1</v>
      </c>
      <c r="O172">
        <f>1</f>
        <v>1</v>
      </c>
      <c r="P172">
        <f>-1/24</f>
        <v>-4.1666666666666664E-2</v>
      </c>
      <c r="Q172">
        <f>-1/24</f>
        <v>-4.1666666666666664E-2</v>
      </c>
      <c r="R172">
        <f>-1-'vehicles specifications'!AD38</f>
        <v>-1</v>
      </c>
      <c r="S172" t="n">
        <v>1</v>
      </c>
      <c r="T172" t="n">
        <v>1</v>
      </c>
      <c r="U172" t="n">
        <v>1</v>
      </c>
      <c r="V172" t="n">
        <v>1</v>
      </c>
      <c r="W172" t="n">
        <v>1</v>
      </c>
      <c r="X172" t="n">
        <v>1</v>
      </c>
      <c r="Y172" t="n">
        <v>1</v>
      </c>
      <c r="Z172" t="n">
        <v>1</v>
      </c>
      <c r="AA172" t="n">
        <v>1</v>
      </c>
      <c r="AB172" t="n">
        <v>1</v>
      </c>
      <c r="AC172" t="n">
        <v>1</v>
      </c>
      <c r="AD172" t="n">
        <v>1</v>
      </c>
      <c r="AE172" t="n">
        <v>1</v>
      </c>
      <c r="AF172" t="n">
        <v>1</v>
      </c>
      <c r="AG172" t="n">
        <v>1</v>
      </c>
      <c r="AH172" t="n">
        <v>1</v>
      </c>
      <c r="AI172" t="n">
        <v>1</v>
      </c>
      <c r="AJ172" t="n">
        <v>1</v>
      </c>
      <c r="AK172" t="n">
        <v>1</v>
      </c>
      <c r="AL172" t="n">
        <v>1</v>
      </c>
      <c r="AM172" t="n">
        <v>1</v>
      </c>
      <c r="AN172" t="n">
        <v>1</v>
      </c>
      <c r="AO172" t="n">
        <v>1</v>
      </c>
      <c r="AP172" t="n">
        <v>1</v>
      </c>
      <c r="AQ172" t="n">
        <v>1</v>
      </c>
      <c r="AR172" t="n">
        <v>1</v>
      </c>
      <c r="AS172" t="n">
        <v>1</v>
      </c>
      <c r="AT172" t="n">
        <v>1</v>
      </c>
      <c r="AU172" t="n">
        <v>1</v>
      </c>
      <c r="AV172" t="n">
        <v>1</v>
      </c>
      <c r="AW172" t="n">
        <v>1</v>
      </c>
      <c r="AX172" t="n">
        <v>1</v>
      </c>
      <c r="AY172" t="n">
        <v>1</v>
      </c>
      <c r="AZ172" t="n">
        <v>1</v>
      </c>
      <c r="BA172" t="n">
        <v>1</v>
      </c>
      <c r="BB172" t="n">
        <v>1</v>
      </c>
      <c r="BC172" t="n">
        <v>1</v>
      </c>
      <c r="BD172" t="n">
        <v>1</v>
      </c>
      <c r="BE172" t="n">
        <v>1</v>
      </c>
      <c r="BF172" t="n">
        <v>1</v>
      </c>
      <c r="BG172" t="n">
        <v>1</v>
      </c>
      <c r="BH172" t="n">
        <v>1</v>
      </c>
      <c r="BI172" t="n">
        <v>1</v>
      </c>
      <c r="BJ172">
        <f>-1/'vehicles specifications'!$M38</f>
        <v>-1</v>
      </c>
      <c r="BK172">
        <f>-1/'vehicles specifications'!$M38</f>
        <v>-1</v>
      </c>
      <c r="BL172">
        <f>-1/'vehicles specifications'!$M38</f>
        <v>-1</v>
      </c>
    </row>
    <row r="173">
      <c r="A173" t="inlineStr">
        <is>
          <t>Bicycle, battery electric, cargo bike - 2020 - LFP - CH</t>
        </is>
      </c>
      <c r="B173">
        <f>1/17</f>
        <v>5.8823529411764705E-2</v>
      </c>
      <c r="C173" s="2">
        <f>'vehicles specifications'!S39</f>
        <v>38</v>
      </c>
      <c r="D173">
        <f>1/17</f>
        <v>5.8823529411764705E-2</v>
      </c>
      <c r="E173" t="n">
        <v>1</v>
      </c>
      <c r="F173">
        <f>1+'vehicles specifications'!AD39</f>
        <v>2</v>
      </c>
      <c r="G173">
        <f>1+'vehicles specifications'!AD39</f>
        <v>2</v>
      </c>
      <c r="J173" t="n">
        <v>1</v>
      </c>
      <c r="K173">
        <f>1/('fuels and tailpipe emissions'!$C$3*3.6)</f>
        <v>2.3474178403755867E-2</v>
      </c>
      <c r="L173">
        <f>1/3.6*1.1</f>
        <v>0.30555555555555558</v>
      </c>
      <c r="M173">
        <f>1/'vehicles specifications'!J39</f>
        <v>5.0000000000000002E-5</v>
      </c>
      <c r="N173" t="n">
        <v>1</v>
      </c>
      <c r="O173">
        <f>1</f>
        <v>1</v>
      </c>
      <c r="P173">
        <f>-1/24</f>
        <v>-4.1666666666666664E-2</v>
      </c>
      <c r="Q173">
        <f>-1/24</f>
        <v>-4.1666666666666664E-2</v>
      </c>
      <c r="R173">
        <f>-1-'vehicles specifications'!AD39</f>
        <v>-2</v>
      </c>
      <c r="S173" t="n">
        <v>1</v>
      </c>
      <c r="T173" t="n">
        <v>1</v>
      </c>
      <c r="U173" t="n">
        <v>1</v>
      </c>
      <c r="V173" t="n">
        <v>1</v>
      </c>
      <c r="W173" t="n">
        <v>1</v>
      </c>
      <c r="X173" t="n">
        <v>1</v>
      </c>
      <c r="Y173" t="n">
        <v>1</v>
      </c>
      <c r="Z173" t="n">
        <v>1</v>
      </c>
      <c r="AA173" t="n">
        <v>1</v>
      </c>
      <c r="AB173" t="n">
        <v>1</v>
      </c>
      <c r="AC173" t="n">
        <v>1</v>
      </c>
      <c r="AD173" t="n">
        <v>1</v>
      </c>
      <c r="AE173" t="n">
        <v>1</v>
      </c>
      <c r="AF173" t="n">
        <v>1</v>
      </c>
      <c r="AG173" t="n">
        <v>1</v>
      </c>
      <c r="AH173" t="n">
        <v>1</v>
      </c>
      <c r="AI173" t="n">
        <v>1</v>
      </c>
      <c r="AJ173" t="n">
        <v>1</v>
      </c>
      <c r="AK173" t="n">
        <v>1</v>
      </c>
      <c r="AL173" t="n">
        <v>1</v>
      </c>
      <c r="AM173" t="n">
        <v>1</v>
      </c>
      <c r="AN173" t="n">
        <v>1</v>
      </c>
      <c r="AO173" t="n">
        <v>1</v>
      </c>
      <c r="AP173" t="n">
        <v>1</v>
      </c>
      <c r="AQ173" t="n">
        <v>1</v>
      </c>
      <c r="AR173" t="n">
        <v>1</v>
      </c>
      <c r="AS173" t="n">
        <v>1</v>
      </c>
      <c r="AT173" t="n">
        <v>1</v>
      </c>
      <c r="AU173" t="n">
        <v>1</v>
      </c>
      <c r="AV173" t="n">
        <v>1</v>
      </c>
      <c r="AW173" t="n">
        <v>1</v>
      </c>
      <c r="AX173" t="n">
        <v>1</v>
      </c>
      <c r="AY173" t="n">
        <v>1</v>
      </c>
      <c r="AZ173" t="n">
        <v>1</v>
      </c>
      <c r="BA173" t="n">
        <v>1</v>
      </c>
      <c r="BB173" t="n">
        <v>1</v>
      </c>
      <c r="BC173" t="n">
        <v>1</v>
      </c>
      <c r="BD173" t="n">
        <v>1</v>
      </c>
      <c r="BE173" t="n">
        <v>1</v>
      </c>
      <c r="BF173" t="n">
        <v>1</v>
      </c>
      <c r="BG173" t="n">
        <v>1</v>
      </c>
      <c r="BH173" t="n">
        <v>1</v>
      </c>
      <c r="BI173" t="n">
        <v>1</v>
      </c>
      <c r="BJ173">
        <f>-1/'vehicles specifications'!$M39</f>
        <v>-1</v>
      </c>
      <c r="BK173">
        <f>-1/'vehicles specifications'!$M39</f>
        <v>-1</v>
      </c>
      <c r="BL173">
        <f>-1/'vehicles specifications'!$M39</f>
        <v>-1</v>
      </c>
    </row>
    <row r="174">
      <c r="A174" t="inlineStr">
        <is>
          <t>Bicycle, battery electric, cargo bike - 2030 - LFP - CH</t>
        </is>
      </c>
      <c r="B174">
        <f>1/17</f>
        <v>5.8823529411764705E-2</v>
      </c>
      <c r="C174" s="2">
        <f>'vehicles specifications'!S40</f>
        <v>38</v>
      </c>
      <c r="D174">
        <f>1/17</f>
        <v>5.8823529411764705E-2</v>
      </c>
      <c r="E174" t="n">
        <v>1</v>
      </c>
      <c r="F174">
        <f>1+'vehicles specifications'!AD40</f>
        <v>1.5</v>
      </c>
      <c r="G174">
        <f>1+'vehicles specifications'!AD40</f>
        <v>1.5</v>
      </c>
      <c r="J174" t="n">
        <v>1</v>
      </c>
      <c r="K174">
        <f>1/('fuels and tailpipe emissions'!$C$3*3.6)</f>
        <v>2.3474178403755867E-2</v>
      </c>
      <c r="L174">
        <f>1/3.6*1.1</f>
        <v>0.30555555555555558</v>
      </c>
      <c r="M174">
        <f>1/'vehicles specifications'!J40</f>
        <v>5.0000000000000002E-5</v>
      </c>
      <c r="N174" t="n">
        <v>1</v>
      </c>
      <c r="O174">
        <f>1</f>
        <v>1</v>
      </c>
      <c r="P174">
        <f>-1/24</f>
        <v>-4.1666666666666664E-2</v>
      </c>
      <c r="Q174">
        <f>-1/24</f>
        <v>-4.1666666666666664E-2</v>
      </c>
      <c r="R174">
        <f>-1-'vehicles specifications'!AD40</f>
        <v>-1.5</v>
      </c>
      <c r="S174" t="n">
        <v>1</v>
      </c>
      <c r="T174" t="n">
        <v>1</v>
      </c>
      <c r="U174" t="n">
        <v>1</v>
      </c>
      <c r="V174" t="n">
        <v>1</v>
      </c>
      <c r="W174" t="n">
        <v>1</v>
      </c>
      <c r="X174" t="n">
        <v>1</v>
      </c>
      <c r="Y174" t="n">
        <v>1</v>
      </c>
      <c r="Z174" t="n">
        <v>1</v>
      </c>
      <c r="AA174" t="n">
        <v>1</v>
      </c>
      <c r="AB174" t="n">
        <v>1</v>
      </c>
      <c r="AC174" t="n">
        <v>1</v>
      </c>
      <c r="AD174" t="n">
        <v>1</v>
      </c>
      <c r="AE174" t="n">
        <v>1</v>
      </c>
      <c r="AF174" t="n">
        <v>1</v>
      </c>
      <c r="AG174" t="n">
        <v>1</v>
      </c>
      <c r="AH174" t="n">
        <v>1</v>
      </c>
      <c r="AI174" t="n">
        <v>1</v>
      </c>
      <c r="AJ174" t="n">
        <v>1</v>
      </c>
      <c r="AK174" t="n">
        <v>1</v>
      </c>
      <c r="AL174" t="n">
        <v>1</v>
      </c>
      <c r="AM174" t="n">
        <v>1</v>
      </c>
      <c r="AN174" t="n">
        <v>1</v>
      </c>
      <c r="AO174" t="n">
        <v>1</v>
      </c>
      <c r="AP174" t="n">
        <v>1</v>
      </c>
      <c r="AQ174" t="n">
        <v>1</v>
      </c>
      <c r="AR174" t="n">
        <v>1</v>
      </c>
      <c r="AS174" t="n">
        <v>1</v>
      </c>
      <c r="AT174" t="n">
        <v>1</v>
      </c>
      <c r="AU174" t="n">
        <v>1</v>
      </c>
      <c r="AV174" t="n">
        <v>1</v>
      </c>
      <c r="AW174" t="n">
        <v>1</v>
      </c>
      <c r="AX174" t="n">
        <v>1</v>
      </c>
      <c r="AY174" t="n">
        <v>1</v>
      </c>
      <c r="AZ174" t="n">
        <v>1</v>
      </c>
      <c r="BA174" t="n">
        <v>1</v>
      </c>
      <c r="BB174" t="n">
        <v>1</v>
      </c>
      <c r="BC174" t="n">
        <v>1</v>
      </c>
      <c r="BD174" t="n">
        <v>1</v>
      </c>
      <c r="BE174" t="n">
        <v>1</v>
      </c>
      <c r="BF174" t="n">
        <v>1</v>
      </c>
      <c r="BG174" t="n">
        <v>1</v>
      </c>
      <c r="BH174" t="n">
        <v>1</v>
      </c>
      <c r="BI174" t="n">
        <v>1</v>
      </c>
      <c r="BJ174">
        <f>-1/'vehicles specifications'!$M40</f>
        <v>-1</v>
      </c>
      <c r="BK174">
        <f>-1/'vehicles specifications'!$M40</f>
        <v>-1</v>
      </c>
      <c r="BL174">
        <f>-1/'vehicles specifications'!$M40</f>
        <v>-1</v>
      </c>
    </row>
    <row r="175">
      <c r="A175" t="inlineStr">
        <is>
          <t>Bicycle, battery electric, cargo bike - 2040 - LFP - CH</t>
        </is>
      </c>
      <c r="B175">
        <f>1/17</f>
        <v>5.8823529411764705E-2</v>
      </c>
      <c r="C175" s="2">
        <f>'vehicles specifications'!S41</f>
        <v>38</v>
      </c>
      <c r="D175">
        <f>1/17</f>
        <v>5.8823529411764705E-2</v>
      </c>
      <c r="E175" t="n">
        <v>1</v>
      </c>
      <c r="F175">
        <f>1+'vehicles specifications'!AD41</f>
        <v>1.25</v>
      </c>
      <c r="G175">
        <f>1+'vehicles specifications'!AD41</f>
        <v>1.25</v>
      </c>
      <c r="J175" t="n">
        <v>1</v>
      </c>
      <c r="K175">
        <f>1/('fuels and tailpipe emissions'!$C$3*3.6)</f>
        <v>2.3474178403755867E-2</v>
      </c>
      <c r="L175">
        <f>1/3.6*1.1</f>
        <v>0.30555555555555558</v>
      </c>
      <c r="M175">
        <f>1/'vehicles specifications'!J41</f>
        <v>5.0000000000000002E-5</v>
      </c>
      <c r="N175" t="n">
        <v>1</v>
      </c>
      <c r="O175">
        <f>1</f>
        <v>1</v>
      </c>
      <c r="P175">
        <f>-1/24</f>
        <v>-4.1666666666666664E-2</v>
      </c>
      <c r="Q175">
        <f>-1/24</f>
        <v>-4.1666666666666664E-2</v>
      </c>
      <c r="R175">
        <f>-1-'vehicles specifications'!AD41</f>
        <v>-1.25</v>
      </c>
      <c r="S175" t="n">
        <v>1</v>
      </c>
      <c r="T175" t="n">
        <v>1</v>
      </c>
      <c r="U175" t="n">
        <v>1</v>
      </c>
      <c r="V175" t="n">
        <v>1</v>
      </c>
      <c r="W175" t="n">
        <v>1</v>
      </c>
      <c r="X175" t="n">
        <v>1</v>
      </c>
      <c r="Y175" t="n">
        <v>1</v>
      </c>
      <c r="Z175" t="n">
        <v>1</v>
      </c>
      <c r="AA175" t="n">
        <v>1</v>
      </c>
      <c r="AB175" t="n">
        <v>1</v>
      </c>
      <c r="AC175" t="n">
        <v>1</v>
      </c>
      <c r="AD175" t="n">
        <v>1</v>
      </c>
      <c r="AE175" t="n">
        <v>1</v>
      </c>
      <c r="AF175" t="n">
        <v>1</v>
      </c>
      <c r="AG175" t="n">
        <v>1</v>
      </c>
      <c r="AH175" t="n">
        <v>1</v>
      </c>
      <c r="AI175" t="n">
        <v>1</v>
      </c>
      <c r="AJ175" t="n">
        <v>1</v>
      </c>
      <c r="AK175" t="n">
        <v>1</v>
      </c>
      <c r="AL175" t="n">
        <v>1</v>
      </c>
      <c r="AM175" t="n">
        <v>1</v>
      </c>
      <c r="AN175" t="n">
        <v>1</v>
      </c>
      <c r="AO175" t="n">
        <v>1</v>
      </c>
      <c r="AP175" t="n">
        <v>1</v>
      </c>
      <c r="AQ175" t="n">
        <v>1</v>
      </c>
      <c r="AR175" t="n">
        <v>1</v>
      </c>
      <c r="AS175" t="n">
        <v>1</v>
      </c>
      <c r="AT175" t="n">
        <v>1</v>
      </c>
      <c r="AU175" t="n">
        <v>1</v>
      </c>
      <c r="AV175" t="n">
        <v>1</v>
      </c>
      <c r="AW175" t="n">
        <v>1</v>
      </c>
      <c r="AX175" t="n">
        <v>1</v>
      </c>
      <c r="AY175" t="n">
        <v>1</v>
      </c>
      <c r="AZ175" t="n">
        <v>1</v>
      </c>
      <c r="BA175" t="n">
        <v>1</v>
      </c>
      <c r="BB175" t="n">
        <v>1</v>
      </c>
      <c r="BC175" t="n">
        <v>1</v>
      </c>
      <c r="BD175" t="n">
        <v>1</v>
      </c>
      <c r="BE175" t="n">
        <v>1</v>
      </c>
      <c r="BF175" t="n">
        <v>1</v>
      </c>
      <c r="BG175" t="n">
        <v>1</v>
      </c>
      <c r="BH175" t="n">
        <v>1</v>
      </c>
      <c r="BI175" t="n">
        <v>1</v>
      </c>
      <c r="BJ175">
        <f>-1/'vehicles specifications'!$M41</f>
        <v>-1</v>
      </c>
      <c r="BK175">
        <f>-1/'vehicles specifications'!$M41</f>
        <v>-1</v>
      </c>
      <c r="BL175">
        <f>-1/'vehicles specifications'!$M41</f>
        <v>-1</v>
      </c>
    </row>
    <row r="176">
      <c r="A176" t="inlineStr">
        <is>
          <t>Bicycle, battery electric, cargo bike - 2050 - LFP - CH</t>
        </is>
      </c>
      <c r="B176">
        <f>1/17</f>
        <v>5.8823529411764705E-2</v>
      </c>
      <c r="C176" s="2">
        <f>'vehicles specifications'!S42</f>
        <v>38</v>
      </c>
      <c r="D176">
        <f>1/17</f>
        <v>5.8823529411764705E-2</v>
      </c>
      <c r="E176" t="n">
        <v>1</v>
      </c>
      <c r="F176">
        <f>1+'vehicles specifications'!AD42</f>
        <v>1</v>
      </c>
      <c r="G176">
        <f>1+'vehicles specifications'!AD42</f>
        <v>1</v>
      </c>
      <c r="J176" t="n">
        <v>1</v>
      </c>
      <c r="K176">
        <f>1/('fuels and tailpipe emissions'!$C$3*3.6)</f>
        <v>2.3474178403755867E-2</v>
      </c>
      <c r="L176">
        <f>1/3.6*1.1</f>
        <v>0.30555555555555558</v>
      </c>
      <c r="M176">
        <f>1/'vehicles specifications'!J42</f>
        <v>5.0000000000000002E-5</v>
      </c>
      <c r="N176" t="n">
        <v>1</v>
      </c>
      <c r="O176">
        <f>1</f>
        <v>1</v>
      </c>
      <c r="P176">
        <f>-1/24</f>
        <v>-4.1666666666666664E-2</v>
      </c>
      <c r="Q176">
        <f>-1/24</f>
        <v>-4.1666666666666664E-2</v>
      </c>
      <c r="R176">
        <f>-1-'vehicles specifications'!AD42</f>
        <v>-1</v>
      </c>
      <c r="S176" t="n">
        <v>1</v>
      </c>
      <c r="T176" t="n">
        <v>1</v>
      </c>
      <c r="U176" t="n">
        <v>1</v>
      </c>
      <c r="V176" t="n">
        <v>1</v>
      </c>
      <c r="W176" t="n">
        <v>1</v>
      </c>
      <c r="X176" t="n">
        <v>1</v>
      </c>
      <c r="Y176" t="n">
        <v>1</v>
      </c>
      <c r="Z176" t="n">
        <v>1</v>
      </c>
      <c r="AA176" t="n">
        <v>1</v>
      </c>
      <c r="AB176" t="n">
        <v>1</v>
      </c>
      <c r="AC176" t="n">
        <v>1</v>
      </c>
      <c r="AD176" t="n">
        <v>1</v>
      </c>
      <c r="AE176" t="n">
        <v>1</v>
      </c>
      <c r="AF176" t="n">
        <v>1</v>
      </c>
      <c r="AG176" t="n">
        <v>1</v>
      </c>
      <c r="AH176" t="n">
        <v>1</v>
      </c>
      <c r="AI176" t="n">
        <v>1</v>
      </c>
      <c r="AJ176" t="n">
        <v>1</v>
      </c>
      <c r="AK176" t="n">
        <v>1</v>
      </c>
      <c r="AL176" t="n">
        <v>1</v>
      </c>
      <c r="AM176" t="n">
        <v>1</v>
      </c>
      <c r="AN176" t="n">
        <v>1</v>
      </c>
      <c r="AO176" t="n">
        <v>1</v>
      </c>
      <c r="AP176" t="n">
        <v>1</v>
      </c>
      <c r="AQ176" t="n">
        <v>1</v>
      </c>
      <c r="AR176" t="n">
        <v>1</v>
      </c>
      <c r="AS176" t="n">
        <v>1</v>
      </c>
      <c r="AT176" t="n">
        <v>1</v>
      </c>
      <c r="AU176" t="n">
        <v>1</v>
      </c>
      <c r="AV176" t="n">
        <v>1</v>
      </c>
      <c r="AW176" t="n">
        <v>1</v>
      </c>
      <c r="AX176" t="n">
        <v>1</v>
      </c>
      <c r="AY176" t="n">
        <v>1</v>
      </c>
      <c r="AZ176" t="n">
        <v>1</v>
      </c>
      <c r="BA176" t="n">
        <v>1</v>
      </c>
      <c r="BB176" t="n">
        <v>1</v>
      </c>
      <c r="BC176" t="n">
        <v>1</v>
      </c>
      <c r="BD176" t="n">
        <v>1</v>
      </c>
      <c r="BE176" t="n">
        <v>1</v>
      </c>
      <c r="BF176" t="n">
        <v>1</v>
      </c>
      <c r="BG176" t="n">
        <v>1</v>
      </c>
      <c r="BH176" t="n">
        <v>1</v>
      </c>
      <c r="BI176" t="n">
        <v>1</v>
      </c>
      <c r="BJ176">
        <f>-1/'vehicles specifications'!$M42</f>
        <v>-1</v>
      </c>
      <c r="BK176">
        <f>-1/'vehicles specifications'!$M42</f>
        <v>-1</v>
      </c>
      <c r="BL176">
        <f>-1/'vehicles specifications'!$M42</f>
        <v>-1</v>
      </c>
    </row>
    <row r="177">
      <c r="A177" t="inlineStr">
        <is>
          <t>Bicycle, electric (&lt;25 km/h) - 2020 - NCA - CH</t>
        </is>
      </c>
      <c r="B177">
        <f>1/17</f>
        <v>5.8823529411764705E-2</v>
      </c>
      <c r="C177" s="2">
        <f>'vehicles specifications'!S43</f>
        <v>16</v>
      </c>
      <c r="D177">
        <f>1/17</f>
        <v>5.8823529411764705E-2</v>
      </c>
      <c r="E177" t="n">
        <v>1</v>
      </c>
      <c r="F177">
        <f>1+'vehicles specifications'!AD43</f>
        <v>2</v>
      </c>
      <c r="G177">
        <f>1+'vehicles specifications'!AD43</f>
        <v>2</v>
      </c>
      <c r="J177" t="n">
        <v>1</v>
      </c>
      <c r="K177">
        <f>1/('fuels and tailpipe emissions'!$C$3*3.6)</f>
        <v>2.3474178403755867E-2</v>
      </c>
      <c r="L177">
        <f>1/3.6*1.1</f>
        <v>0.30555555555555558</v>
      </c>
      <c r="M177">
        <f>1/'vehicles specifications'!J43</f>
        <v>5.0000000000000002E-5</v>
      </c>
      <c r="N177" t="n">
        <v>1</v>
      </c>
      <c r="O177">
        <f>1</f>
        <v>1</v>
      </c>
      <c r="P177">
        <f>-1/24</f>
        <v>-4.1666666666666664E-2</v>
      </c>
      <c r="Q177">
        <f>-1/24</f>
        <v>-4.1666666666666664E-2</v>
      </c>
      <c r="R177">
        <f>-1-'vehicles specifications'!AD43</f>
        <v>-2</v>
      </c>
      <c r="S177" t="n">
        <v>1</v>
      </c>
      <c r="T177" t="n">
        <v>1</v>
      </c>
      <c r="U177" t="n">
        <v>1</v>
      </c>
      <c r="V177" t="n">
        <v>1</v>
      </c>
      <c r="W177" t="n">
        <v>1</v>
      </c>
      <c r="X177" t="n">
        <v>1</v>
      </c>
      <c r="Y177" t="n">
        <v>1</v>
      </c>
      <c r="Z177" t="n">
        <v>1</v>
      </c>
      <c r="AA177" t="n">
        <v>1</v>
      </c>
      <c r="AB177" t="n">
        <v>1</v>
      </c>
      <c r="AC177" t="n">
        <v>1</v>
      </c>
      <c r="AD177" t="n">
        <v>1</v>
      </c>
      <c r="AE177" t="n">
        <v>1</v>
      </c>
      <c r="AF177" t="n">
        <v>1</v>
      </c>
      <c r="AG177" t="n">
        <v>1</v>
      </c>
      <c r="AH177" t="n">
        <v>1</v>
      </c>
      <c r="AI177" t="n">
        <v>1</v>
      </c>
      <c r="AJ177" t="n">
        <v>1</v>
      </c>
      <c r="AK177" t="n">
        <v>1</v>
      </c>
      <c r="AL177" t="n">
        <v>1</v>
      </c>
      <c r="AM177" t="n">
        <v>1</v>
      </c>
      <c r="AN177" t="n">
        <v>1</v>
      </c>
      <c r="AO177" t="n">
        <v>1</v>
      </c>
      <c r="AP177" t="n">
        <v>1</v>
      </c>
      <c r="AQ177" t="n">
        <v>1</v>
      </c>
      <c r="AR177" t="n">
        <v>1</v>
      </c>
      <c r="AS177" t="n">
        <v>1</v>
      </c>
      <c r="AT177" t="n">
        <v>1</v>
      </c>
      <c r="AU177" t="n">
        <v>1</v>
      </c>
      <c r="AV177" t="n">
        <v>1</v>
      </c>
      <c r="AW177" t="n">
        <v>1</v>
      </c>
      <c r="AX177" t="n">
        <v>1</v>
      </c>
      <c r="AY177" t="n">
        <v>1</v>
      </c>
      <c r="AZ177" t="n">
        <v>1</v>
      </c>
      <c r="BA177" t="n">
        <v>1</v>
      </c>
      <c r="BB177" t="n">
        <v>1</v>
      </c>
      <c r="BC177" t="n">
        <v>1</v>
      </c>
      <c r="BD177" t="n">
        <v>1</v>
      </c>
      <c r="BE177" t="n">
        <v>1</v>
      </c>
      <c r="BF177" t="n">
        <v>1</v>
      </c>
      <c r="BG177" t="n">
        <v>1</v>
      </c>
      <c r="BH177" t="n">
        <v>1</v>
      </c>
      <c r="BI177" t="n">
        <v>1</v>
      </c>
      <c r="BJ177">
        <f>-1/'vehicles specifications'!$M43</f>
        <v>-1</v>
      </c>
      <c r="BK177">
        <f>-1/'vehicles specifications'!$M43</f>
        <v>-1</v>
      </c>
      <c r="BL177">
        <f>-1/'vehicles specifications'!$M43</f>
        <v>-1</v>
      </c>
    </row>
    <row r="178">
      <c r="A178" t="inlineStr">
        <is>
          <t>Bicycle, electric (&lt;25 km/h) - 2030 - NCA - CH</t>
        </is>
      </c>
      <c r="B178">
        <f>1/17</f>
        <v>5.8823529411764705E-2</v>
      </c>
      <c r="C178" s="2">
        <f>'vehicles specifications'!S44</f>
        <v>16</v>
      </c>
      <c r="D178">
        <f>1/17</f>
        <v>5.8823529411764705E-2</v>
      </c>
      <c r="E178" t="n">
        <v>1</v>
      </c>
      <c r="F178">
        <f>1+'vehicles specifications'!AD44</f>
        <v>1.5</v>
      </c>
      <c r="G178">
        <f>1+'vehicles specifications'!AD44</f>
        <v>1.5</v>
      </c>
      <c r="J178" t="n">
        <v>1</v>
      </c>
      <c r="K178">
        <f>1/('fuels and tailpipe emissions'!$C$3*3.6)</f>
        <v>2.3474178403755867E-2</v>
      </c>
      <c r="L178">
        <f>1/3.6*1.1</f>
        <v>0.30555555555555558</v>
      </c>
      <c r="M178">
        <f>1/'vehicles specifications'!J44</f>
        <v>5.0000000000000002E-5</v>
      </c>
      <c r="N178" t="n">
        <v>1</v>
      </c>
      <c r="O178">
        <f>1</f>
        <v>1</v>
      </c>
      <c r="P178">
        <f>-1/24</f>
        <v>-4.1666666666666664E-2</v>
      </c>
      <c r="Q178">
        <f>-1/24</f>
        <v>-4.1666666666666664E-2</v>
      </c>
      <c r="R178">
        <f>-1-'vehicles specifications'!AD44</f>
        <v>-1.5</v>
      </c>
      <c r="S178" t="n">
        <v>1</v>
      </c>
      <c r="T178" t="n">
        <v>1</v>
      </c>
      <c r="U178" t="n">
        <v>1</v>
      </c>
      <c r="V178" t="n">
        <v>1</v>
      </c>
      <c r="W178" t="n">
        <v>1</v>
      </c>
      <c r="X178" t="n">
        <v>1</v>
      </c>
      <c r="Y178" t="n">
        <v>1</v>
      </c>
      <c r="Z178" t="n">
        <v>1</v>
      </c>
      <c r="AA178" t="n">
        <v>1</v>
      </c>
      <c r="AB178" t="n">
        <v>1</v>
      </c>
      <c r="AC178" t="n">
        <v>1</v>
      </c>
      <c r="AD178" t="n">
        <v>1</v>
      </c>
      <c r="AE178" t="n">
        <v>1</v>
      </c>
      <c r="AF178" t="n">
        <v>1</v>
      </c>
      <c r="AG178" t="n">
        <v>1</v>
      </c>
      <c r="AH178" t="n">
        <v>1</v>
      </c>
      <c r="AI178" t="n">
        <v>1</v>
      </c>
      <c r="AJ178" t="n">
        <v>1</v>
      </c>
      <c r="AK178" t="n">
        <v>1</v>
      </c>
      <c r="AL178" t="n">
        <v>1</v>
      </c>
      <c r="AM178" t="n">
        <v>1</v>
      </c>
      <c r="AN178" t="n">
        <v>1</v>
      </c>
      <c r="AO178" t="n">
        <v>1</v>
      </c>
      <c r="AP178" t="n">
        <v>1</v>
      </c>
      <c r="AQ178" t="n">
        <v>1</v>
      </c>
      <c r="AR178" t="n">
        <v>1</v>
      </c>
      <c r="AS178" t="n">
        <v>1</v>
      </c>
      <c r="AT178" t="n">
        <v>1</v>
      </c>
      <c r="AU178" t="n">
        <v>1</v>
      </c>
      <c r="AV178" t="n">
        <v>1</v>
      </c>
      <c r="AW178" t="n">
        <v>1</v>
      </c>
      <c r="AX178" t="n">
        <v>1</v>
      </c>
      <c r="AY178" t="n">
        <v>1</v>
      </c>
      <c r="AZ178" t="n">
        <v>1</v>
      </c>
      <c r="BA178" t="n">
        <v>1</v>
      </c>
      <c r="BB178" t="n">
        <v>1</v>
      </c>
      <c r="BC178" t="n">
        <v>1</v>
      </c>
      <c r="BD178" t="n">
        <v>1</v>
      </c>
      <c r="BE178" t="n">
        <v>1</v>
      </c>
      <c r="BF178" t="n">
        <v>1</v>
      </c>
      <c r="BG178" t="n">
        <v>1</v>
      </c>
      <c r="BH178" t="n">
        <v>1</v>
      </c>
      <c r="BI178" t="n">
        <v>1</v>
      </c>
      <c r="BJ178">
        <f>-1/'vehicles specifications'!$M44</f>
        <v>-1</v>
      </c>
      <c r="BK178">
        <f>-1/'vehicles specifications'!$M44</f>
        <v>-1</v>
      </c>
      <c r="BL178">
        <f>-1/'vehicles specifications'!$M44</f>
        <v>-1</v>
      </c>
    </row>
    <row r="179">
      <c r="A179" t="inlineStr">
        <is>
          <t>Bicycle, electric (&lt;25 km/h) - 2040 - NCA - CH</t>
        </is>
      </c>
      <c r="B179">
        <f>1/17</f>
        <v>5.8823529411764705E-2</v>
      </c>
      <c r="C179" s="2">
        <f>'vehicles specifications'!S45</f>
        <v>16</v>
      </c>
      <c r="D179">
        <f>1/17</f>
        <v>5.8823529411764705E-2</v>
      </c>
      <c r="E179" t="n">
        <v>1</v>
      </c>
      <c r="F179">
        <f>1+'vehicles specifications'!AD45</f>
        <v>1.25</v>
      </c>
      <c r="G179">
        <f>1+'vehicles specifications'!AD45</f>
        <v>1.25</v>
      </c>
      <c r="J179" t="n">
        <v>1</v>
      </c>
      <c r="K179">
        <f>1/('fuels and tailpipe emissions'!$C$3*3.6)</f>
        <v>2.3474178403755867E-2</v>
      </c>
      <c r="L179">
        <f>1/3.6*1.1</f>
        <v>0.30555555555555558</v>
      </c>
      <c r="M179">
        <f>1/'vehicles specifications'!J45</f>
        <v>5.0000000000000002E-5</v>
      </c>
      <c r="N179" t="n">
        <v>1</v>
      </c>
      <c r="O179">
        <f>1</f>
        <v>1</v>
      </c>
      <c r="P179">
        <f>-1/24</f>
        <v>-4.1666666666666664E-2</v>
      </c>
      <c r="Q179">
        <f>-1/24</f>
        <v>-4.1666666666666664E-2</v>
      </c>
      <c r="R179">
        <f>-1-'vehicles specifications'!AD45</f>
        <v>-1.25</v>
      </c>
      <c r="S179" t="n">
        <v>1</v>
      </c>
      <c r="T179" t="n">
        <v>1</v>
      </c>
      <c r="U179" t="n">
        <v>1</v>
      </c>
      <c r="V179" t="n">
        <v>1</v>
      </c>
      <c r="W179" t="n">
        <v>1</v>
      </c>
      <c r="X179" t="n">
        <v>1</v>
      </c>
      <c r="Y179" t="n">
        <v>1</v>
      </c>
      <c r="Z179" t="n">
        <v>1</v>
      </c>
      <c r="AA179" t="n">
        <v>1</v>
      </c>
      <c r="AB179" t="n">
        <v>1</v>
      </c>
      <c r="AC179" t="n">
        <v>1</v>
      </c>
      <c r="AD179" t="n">
        <v>1</v>
      </c>
      <c r="AE179" t="n">
        <v>1</v>
      </c>
      <c r="AF179" t="n">
        <v>1</v>
      </c>
      <c r="AG179" t="n">
        <v>1</v>
      </c>
      <c r="AH179" t="n">
        <v>1</v>
      </c>
      <c r="AI179" t="n">
        <v>1</v>
      </c>
      <c r="AJ179" t="n">
        <v>1</v>
      </c>
      <c r="AK179" t="n">
        <v>1</v>
      </c>
      <c r="AL179" t="n">
        <v>1</v>
      </c>
      <c r="AM179" t="n">
        <v>1</v>
      </c>
      <c r="AN179" t="n">
        <v>1</v>
      </c>
      <c r="AO179" t="n">
        <v>1</v>
      </c>
      <c r="AP179" t="n">
        <v>1</v>
      </c>
      <c r="AQ179" t="n">
        <v>1</v>
      </c>
      <c r="AR179" t="n">
        <v>1</v>
      </c>
      <c r="AS179" t="n">
        <v>1</v>
      </c>
      <c r="AT179" t="n">
        <v>1</v>
      </c>
      <c r="AU179" t="n">
        <v>1</v>
      </c>
      <c r="AV179" t="n">
        <v>1</v>
      </c>
      <c r="AW179" t="n">
        <v>1</v>
      </c>
      <c r="AX179" t="n">
        <v>1</v>
      </c>
      <c r="AY179" t="n">
        <v>1</v>
      </c>
      <c r="AZ179" t="n">
        <v>1</v>
      </c>
      <c r="BA179" t="n">
        <v>1</v>
      </c>
      <c r="BB179" t="n">
        <v>1</v>
      </c>
      <c r="BC179" t="n">
        <v>1</v>
      </c>
      <c r="BD179" t="n">
        <v>1</v>
      </c>
      <c r="BE179" t="n">
        <v>1</v>
      </c>
      <c r="BF179" t="n">
        <v>1</v>
      </c>
      <c r="BG179" t="n">
        <v>1</v>
      </c>
      <c r="BH179" t="n">
        <v>1</v>
      </c>
      <c r="BI179" t="n">
        <v>1</v>
      </c>
      <c r="BJ179">
        <f>-1/'vehicles specifications'!$M45</f>
        <v>-1</v>
      </c>
      <c r="BK179">
        <f>-1/'vehicles specifications'!$M45</f>
        <v>-1</v>
      </c>
      <c r="BL179">
        <f>-1/'vehicles specifications'!$M45</f>
        <v>-1</v>
      </c>
    </row>
    <row r="180">
      <c r="A180" t="inlineStr">
        <is>
          <t>Bicycle, electric (&lt;25 km/h) - 2050 - NCA - CH</t>
        </is>
      </c>
      <c r="B180">
        <f>1/17</f>
        <v>5.8823529411764705E-2</v>
      </c>
      <c r="C180" s="2">
        <f>'vehicles specifications'!S46</f>
        <v>16</v>
      </c>
      <c r="D180">
        <f>1/17</f>
        <v>5.8823529411764705E-2</v>
      </c>
      <c r="E180" t="n">
        <v>1</v>
      </c>
      <c r="F180">
        <f>1+'vehicles specifications'!AD46</f>
        <v>1</v>
      </c>
      <c r="G180">
        <f>1+'vehicles specifications'!AD46</f>
        <v>1</v>
      </c>
      <c r="J180" t="n">
        <v>1</v>
      </c>
      <c r="K180">
        <f>1/('fuels and tailpipe emissions'!$C$3*3.6)</f>
        <v>2.3474178403755867E-2</v>
      </c>
      <c r="L180">
        <f>1/3.6*1.1</f>
        <v>0.30555555555555558</v>
      </c>
      <c r="M180">
        <f>1/'vehicles specifications'!J46</f>
        <v>5.0000000000000002E-5</v>
      </c>
      <c r="N180" t="n">
        <v>1</v>
      </c>
      <c r="O180">
        <f>1</f>
        <v>1</v>
      </c>
      <c r="P180">
        <f>-1/24</f>
        <v>-4.1666666666666664E-2</v>
      </c>
      <c r="Q180">
        <f>-1/24</f>
        <v>-4.1666666666666664E-2</v>
      </c>
      <c r="R180">
        <f>-1-'vehicles specifications'!AD46</f>
        <v>-1</v>
      </c>
      <c r="S180" t="n">
        <v>1</v>
      </c>
      <c r="T180" t="n">
        <v>1</v>
      </c>
      <c r="U180" t="n">
        <v>1</v>
      </c>
      <c r="V180" t="n">
        <v>1</v>
      </c>
      <c r="W180" t="n">
        <v>1</v>
      </c>
      <c r="X180" t="n">
        <v>1</v>
      </c>
      <c r="Y180" t="n">
        <v>1</v>
      </c>
      <c r="Z180" t="n">
        <v>1</v>
      </c>
      <c r="AA180" t="n">
        <v>1</v>
      </c>
      <c r="AB180" t="n">
        <v>1</v>
      </c>
      <c r="AC180" t="n">
        <v>1</v>
      </c>
      <c r="AD180" t="n">
        <v>1</v>
      </c>
      <c r="AE180" t="n">
        <v>1</v>
      </c>
      <c r="AF180" t="n">
        <v>1</v>
      </c>
      <c r="AG180" t="n">
        <v>1</v>
      </c>
      <c r="AH180" t="n">
        <v>1</v>
      </c>
      <c r="AI180" t="n">
        <v>1</v>
      </c>
      <c r="AJ180" t="n">
        <v>1</v>
      </c>
      <c r="AK180" t="n">
        <v>1</v>
      </c>
      <c r="AL180" t="n">
        <v>1</v>
      </c>
      <c r="AM180" t="n">
        <v>1</v>
      </c>
      <c r="AN180" t="n">
        <v>1</v>
      </c>
      <c r="AO180" t="n">
        <v>1</v>
      </c>
      <c r="AP180" t="n">
        <v>1</v>
      </c>
      <c r="AQ180" t="n">
        <v>1</v>
      </c>
      <c r="AR180" t="n">
        <v>1</v>
      </c>
      <c r="AS180" t="n">
        <v>1</v>
      </c>
      <c r="AT180" t="n">
        <v>1</v>
      </c>
      <c r="AU180" t="n">
        <v>1</v>
      </c>
      <c r="AV180" t="n">
        <v>1</v>
      </c>
      <c r="AW180" t="n">
        <v>1</v>
      </c>
      <c r="AX180" t="n">
        <v>1</v>
      </c>
      <c r="AY180" t="n">
        <v>1</v>
      </c>
      <c r="AZ180" t="n">
        <v>1</v>
      </c>
      <c r="BA180" t="n">
        <v>1</v>
      </c>
      <c r="BB180" t="n">
        <v>1</v>
      </c>
      <c r="BC180" t="n">
        <v>1</v>
      </c>
      <c r="BD180" t="n">
        <v>1</v>
      </c>
      <c r="BE180" t="n">
        <v>1</v>
      </c>
      <c r="BF180" t="n">
        <v>1</v>
      </c>
      <c r="BG180" t="n">
        <v>1</v>
      </c>
      <c r="BH180" t="n">
        <v>1</v>
      </c>
      <c r="BI180" t="n">
        <v>1</v>
      </c>
      <c r="BJ180">
        <f>-1/'vehicles specifications'!$M46</f>
        <v>-1</v>
      </c>
      <c r="BK180">
        <f>-1/'vehicles specifications'!$M46</f>
        <v>-1</v>
      </c>
      <c r="BL180">
        <f>-1/'vehicles specifications'!$M46</f>
        <v>-1</v>
      </c>
    </row>
    <row r="181">
      <c r="A181" t="inlineStr">
        <is>
          <t>Bicycle, electric (&lt;45 km/h) - 2020 - NCA - CH</t>
        </is>
      </c>
      <c r="B181">
        <f>1/17</f>
        <v>5.8823529411764705E-2</v>
      </c>
      <c r="C181" s="2">
        <f>'vehicles specifications'!S47</f>
        <v>19</v>
      </c>
      <c r="D181">
        <f>1/17</f>
        <v>5.8823529411764705E-2</v>
      </c>
      <c r="E181" t="n">
        <v>1</v>
      </c>
      <c r="F181">
        <f>1+'vehicles specifications'!AD47</f>
        <v>2</v>
      </c>
      <c r="G181">
        <f>1+'vehicles specifications'!AD47</f>
        <v>2</v>
      </c>
      <c r="J181" t="n">
        <v>1</v>
      </c>
      <c r="K181">
        <f>1/('fuels and tailpipe emissions'!$C$3*3.6)</f>
        <v>2.3474178403755867E-2</v>
      </c>
      <c r="L181">
        <f>1/3.6*1.1</f>
        <v>0.30555555555555558</v>
      </c>
      <c r="M181">
        <f>1/'vehicles specifications'!J47</f>
        <v>3.3333333333333335E-5</v>
      </c>
      <c r="N181" t="n">
        <v>1</v>
      </c>
      <c r="O181">
        <f>1</f>
        <v>1</v>
      </c>
      <c r="P181">
        <f>-1/24</f>
        <v>-4.1666666666666664E-2</v>
      </c>
      <c r="Q181">
        <f>-1/24</f>
        <v>-4.1666666666666664E-2</v>
      </c>
      <c r="R181">
        <f>-1-'vehicles specifications'!AD47</f>
        <v>-2</v>
      </c>
      <c r="S181" t="n">
        <v>1</v>
      </c>
      <c r="T181" t="n">
        <v>1</v>
      </c>
      <c r="U181" t="n">
        <v>1</v>
      </c>
      <c r="V181" t="n">
        <v>1</v>
      </c>
      <c r="W181" t="n">
        <v>1</v>
      </c>
      <c r="X181" t="n">
        <v>1</v>
      </c>
      <c r="Y181" t="n">
        <v>1</v>
      </c>
      <c r="Z181" t="n">
        <v>1</v>
      </c>
      <c r="AA181" t="n">
        <v>1</v>
      </c>
      <c r="AB181" t="n">
        <v>1</v>
      </c>
      <c r="AC181" t="n">
        <v>1</v>
      </c>
      <c r="AD181" t="n">
        <v>1</v>
      </c>
      <c r="AE181" t="n">
        <v>1</v>
      </c>
      <c r="AF181" t="n">
        <v>1</v>
      </c>
      <c r="AG181" t="n">
        <v>1</v>
      </c>
      <c r="AH181" t="n">
        <v>1</v>
      </c>
      <c r="AI181" t="n">
        <v>1</v>
      </c>
      <c r="AJ181" t="n">
        <v>1</v>
      </c>
      <c r="AK181" t="n">
        <v>1</v>
      </c>
      <c r="AL181" t="n">
        <v>1</v>
      </c>
      <c r="AM181" t="n">
        <v>1</v>
      </c>
      <c r="AN181" t="n">
        <v>1</v>
      </c>
      <c r="AO181" t="n">
        <v>1</v>
      </c>
      <c r="AP181" t="n">
        <v>1</v>
      </c>
      <c r="AQ181" t="n">
        <v>1</v>
      </c>
      <c r="AR181" t="n">
        <v>1</v>
      </c>
      <c r="AS181" t="n">
        <v>1</v>
      </c>
      <c r="AT181" t="n">
        <v>1</v>
      </c>
      <c r="AU181" t="n">
        <v>1</v>
      </c>
      <c r="AV181" t="n">
        <v>1</v>
      </c>
      <c r="AW181" t="n">
        <v>1</v>
      </c>
      <c r="AX181" t="n">
        <v>1</v>
      </c>
      <c r="AY181" t="n">
        <v>1</v>
      </c>
      <c r="AZ181" t="n">
        <v>1</v>
      </c>
      <c r="BA181" t="n">
        <v>1</v>
      </c>
      <c r="BB181" t="n">
        <v>1</v>
      </c>
      <c r="BC181" t="n">
        <v>1</v>
      </c>
      <c r="BD181" t="n">
        <v>1</v>
      </c>
      <c r="BE181" t="n">
        <v>1</v>
      </c>
      <c r="BF181" t="n">
        <v>1</v>
      </c>
      <c r="BG181" t="n">
        <v>1</v>
      </c>
      <c r="BH181" t="n">
        <v>1</v>
      </c>
      <c r="BI181" t="n">
        <v>1</v>
      </c>
      <c r="BJ181">
        <f>-1/'vehicles specifications'!$M47</f>
        <v>-1</v>
      </c>
      <c r="BK181">
        <f>-1/'vehicles specifications'!$M47</f>
        <v>-1</v>
      </c>
      <c r="BL181">
        <f>-1/'vehicles specifications'!$M47</f>
        <v>-1</v>
      </c>
    </row>
    <row r="182">
      <c r="A182" t="inlineStr">
        <is>
          <t>Bicycle, electric (&lt;45 km/h) - 2030 - NCA - CH</t>
        </is>
      </c>
      <c r="B182">
        <f>1/17</f>
        <v>5.8823529411764705E-2</v>
      </c>
      <c r="C182" s="2">
        <f>'vehicles specifications'!S48</f>
        <v>19</v>
      </c>
      <c r="D182">
        <f>1/17</f>
        <v>5.8823529411764705E-2</v>
      </c>
      <c r="E182" t="n">
        <v>1</v>
      </c>
      <c r="F182">
        <f>1+'vehicles specifications'!AD48</f>
        <v>1.5</v>
      </c>
      <c r="G182">
        <f>1+'vehicles specifications'!AD48</f>
        <v>1.5</v>
      </c>
      <c r="J182" t="n">
        <v>1</v>
      </c>
      <c r="K182">
        <f>1/('fuels and tailpipe emissions'!$C$3*3.6)</f>
        <v>2.3474178403755867E-2</v>
      </c>
      <c r="L182">
        <f>1/3.6*1.1</f>
        <v>0.30555555555555558</v>
      </c>
      <c r="M182">
        <f>1/'vehicles specifications'!J48</f>
        <v>3.3333333333333335E-5</v>
      </c>
      <c r="N182" t="n">
        <v>1</v>
      </c>
      <c r="O182">
        <f>1</f>
        <v>1</v>
      </c>
      <c r="P182">
        <f>-1/24</f>
        <v>-4.1666666666666664E-2</v>
      </c>
      <c r="Q182">
        <f>-1/24</f>
        <v>-4.1666666666666664E-2</v>
      </c>
      <c r="R182">
        <f>-1-'vehicles specifications'!AD48</f>
        <v>-1.5</v>
      </c>
      <c r="S182" t="n">
        <v>1</v>
      </c>
      <c r="T182" t="n">
        <v>1</v>
      </c>
      <c r="U182" t="n">
        <v>1</v>
      </c>
      <c r="V182" t="n">
        <v>1</v>
      </c>
      <c r="W182" t="n">
        <v>1</v>
      </c>
      <c r="X182" t="n">
        <v>1</v>
      </c>
      <c r="Y182" t="n">
        <v>1</v>
      </c>
      <c r="Z182" t="n">
        <v>1</v>
      </c>
      <c r="AA182" t="n">
        <v>1</v>
      </c>
      <c r="AB182" t="n">
        <v>1</v>
      </c>
      <c r="AC182" t="n">
        <v>1</v>
      </c>
      <c r="AD182" t="n">
        <v>1</v>
      </c>
      <c r="AE182" t="n">
        <v>1</v>
      </c>
      <c r="AF182" t="n">
        <v>1</v>
      </c>
      <c r="AG182" t="n">
        <v>1</v>
      </c>
      <c r="AH182" t="n">
        <v>1</v>
      </c>
      <c r="AI182" t="n">
        <v>1</v>
      </c>
      <c r="AJ182" t="n">
        <v>1</v>
      </c>
      <c r="AK182" t="n">
        <v>1</v>
      </c>
      <c r="AL182" t="n">
        <v>1</v>
      </c>
      <c r="AM182" t="n">
        <v>1</v>
      </c>
      <c r="AN182" t="n">
        <v>1</v>
      </c>
      <c r="AO182" t="n">
        <v>1</v>
      </c>
      <c r="AP182" t="n">
        <v>1</v>
      </c>
      <c r="AQ182" t="n">
        <v>1</v>
      </c>
      <c r="AR182" t="n">
        <v>1</v>
      </c>
      <c r="AS182" t="n">
        <v>1</v>
      </c>
      <c r="AT182" t="n">
        <v>1</v>
      </c>
      <c r="AU182" t="n">
        <v>1</v>
      </c>
      <c r="AV182" t="n">
        <v>1</v>
      </c>
      <c r="AW182" t="n">
        <v>1</v>
      </c>
      <c r="AX182" t="n">
        <v>1</v>
      </c>
      <c r="AY182" t="n">
        <v>1</v>
      </c>
      <c r="AZ182" t="n">
        <v>1</v>
      </c>
      <c r="BA182" t="n">
        <v>1</v>
      </c>
      <c r="BB182" t="n">
        <v>1</v>
      </c>
      <c r="BC182" t="n">
        <v>1</v>
      </c>
      <c r="BD182" t="n">
        <v>1</v>
      </c>
      <c r="BE182" t="n">
        <v>1</v>
      </c>
      <c r="BF182" t="n">
        <v>1</v>
      </c>
      <c r="BG182" t="n">
        <v>1</v>
      </c>
      <c r="BH182" t="n">
        <v>1</v>
      </c>
      <c r="BI182" t="n">
        <v>1</v>
      </c>
      <c r="BJ182">
        <f>-1/'vehicles specifications'!$M48</f>
        <v>-1</v>
      </c>
      <c r="BK182">
        <f>-1/'vehicles specifications'!$M48</f>
        <v>-1</v>
      </c>
      <c r="BL182">
        <f>-1/'vehicles specifications'!$M48</f>
        <v>-1</v>
      </c>
    </row>
    <row r="183">
      <c r="A183" t="inlineStr">
        <is>
          <t>Bicycle, electric (&lt;45 km/h) - 2040 - NCA - CH</t>
        </is>
      </c>
      <c r="B183">
        <f>1/17</f>
        <v>5.8823529411764705E-2</v>
      </c>
      <c r="C183" s="2">
        <f>'vehicles specifications'!S49</f>
        <v>19</v>
      </c>
      <c r="D183">
        <f>1/17</f>
        <v>5.8823529411764705E-2</v>
      </c>
      <c r="E183" t="n">
        <v>1</v>
      </c>
      <c r="F183">
        <f>1+'vehicles specifications'!AD49</f>
        <v>1.25</v>
      </c>
      <c r="G183">
        <f>1+'vehicles specifications'!AD49</f>
        <v>1.25</v>
      </c>
      <c r="J183" t="n">
        <v>1</v>
      </c>
      <c r="K183">
        <f>1/('fuels and tailpipe emissions'!$C$3*3.6)</f>
        <v>2.3474178403755867E-2</v>
      </c>
      <c r="L183">
        <f>1/3.6*1.1</f>
        <v>0.30555555555555558</v>
      </c>
      <c r="M183">
        <f>1/'vehicles specifications'!J49</f>
        <v>3.3333333333333335E-5</v>
      </c>
      <c r="N183" t="n">
        <v>1</v>
      </c>
      <c r="O183">
        <f>1</f>
        <v>1</v>
      </c>
      <c r="P183">
        <f>-1/24</f>
        <v>-4.1666666666666664E-2</v>
      </c>
      <c r="Q183">
        <f>-1/24</f>
        <v>-4.1666666666666664E-2</v>
      </c>
      <c r="R183">
        <f>-1-'vehicles specifications'!AD49</f>
        <v>-1.25</v>
      </c>
      <c r="S183" t="n">
        <v>1</v>
      </c>
      <c r="T183" t="n">
        <v>1</v>
      </c>
      <c r="U183" t="n">
        <v>1</v>
      </c>
      <c r="V183" t="n">
        <v>1</v>
      </c>
      <c r="W183" t="n">
        <v>1</v>
      </c>
      <c r="X183" t="n">
        <v>1</v>
      </c>
      <c r="Y183" t="n">
        <v>1</v>
      </c>
      <c r="Z183" t="n">
        <v>1</v>
      </c>
      <c r="AA183" t="n">
        <v>1</v>
      </c>
      <c r="AB183" t="n">
        <v>1</v>
      </c>
      <c r="AC183" t="n">
        <v>1</v>
      </c>
      <c r="AD183" t="n">
        <v>1</v>
      </c>
      <c r="AE183" t="n">
        <v>1</v>
      </c>
      <c r="AF183" t="n">
        <v>1</v>
      </c>
      <c r="AG183" t="n">
        <v>1</v>
      </c>
      <c r="AH183" t="n">
        <v>1</v>
      </c>
      <c r="AI183" t="n">
        <v>1</v>
      </c>
      <c r="AJ183" t="n">
        <v>1</v>
      </c>
      <c r="AK183" t="n">
        <v>1</v>
      </c>
      <c r="AL183" t="n">
        <v>1</v>
      </c>
      <c r="AM183" t="n">
        <v>1</v>
      </c>
      <c r="AN183" t="n">
        <v>1</v>
      </c>
      <c r="AO183" t="n">
        <v>1</v>
      </c>
      <c r="AP183" t="n">
        <v>1</v>
      </c>
      <c r="AQ183" t="n">
        <v>1</v>
      </c>
      <c r="AR183" t="n">
        <v>1</v>
      </c>
      <c r="AS183" t="n">
        <v>1</v>
      </c>
      <c r="AT183" t="n">
        <v>1</v>
      </c>
      <c r="AU183" t="n">
        <v>1</v>
      </c>
      <c r="AV183" t="n">
        <v>1</v>
      </c>
      <c r="AW183" t="n">
        <v>1</v>
      </c>
      <c r="AX183" t="n">
        <v>1</v>
      </c>
      <c r="AY183" t="n">
        <v>1</v>
      </c>
      <c r="AZ183" t="n">
        <v>1</v>
      </c>
      <c r="BA183" t="n">
        <v>1</v>
      </c>
      <c r="BB183" t="n">
        <v>1</v>
      </c>
      <c r="BC183" t="n">
        <v>1</v>
      </c>
      <c r="BD183" t="n">
        <v>1</v>
      </c>
      <c r="BE183" t="n">
        <v>1</v>
      </c>
      <c r="BF183" t="n">
        <v>1</v>
      </c>
      <c r="BG183" t="n">
        <v>1</v>
      </c>
      <c r="BH183" t="n">
        <v>1</v>
      </c>
      <c r="BI183" t="n">
        <v>1</v>
      </c>
      <c r="BJ183">
        <f>-1/'vehicles specifications'!$M49</f>
        <v>-1</v>
      </c>
      <c r="BK183">
        <f>-1/'vehicles specifications'!$M49</f>
        <v>-1</v>
      </c>
      <c r="BL183">
        <f>-1/'vehicles specifications'!$M49</f>
        <v>-1</v>
      </c>
    </row>
    <row r="184">
      <c r="A184" t="inlineStr">
        <is>
          <t>Bicycle, electric (&lt;45 km/h) - 2050 - NCA - CH</t>
        </is>
      </c>
      <c r="B184">
        <f>1/17</f>
        <v>5.8823529411764705E-2</v>
      </c>
      <c r="C184" s="2">
        <f>'vehicles specifications'!S50</f>
        <v>19</v>
      </c>
      <c r="D184">
        <f>1/17</f>
        <v>5.8823529411764705E-2</v>
      </c>
      <c r="E184" t="n">
        <v>1</v>
      </c>
      <c r="F184">
        <f>1+'vehicles specifications'!AD50</f>
        <v>1</v>
      </c>
      <c r="G184">
        <f>1+'vehicles specifications'!AD50</f>
        <v>1</v>
      </c>
      <c r="J184" t="n">
        <v>1</v>
      </c>
      <c r="K184">
        <f>1/('fuels and tailpipe emissions'!$C$3*3.6)</f>
        <v>2.3474178403755867E-2</v>
      </c>
      <c r="L184">
        <f>1/3.6*1.1</f>
        <v>0.30555555555555558</v>
      </c>
      <c r="M184">
        <f>1/'vehicles specifications'!J50</f>
        <v>3.3333333333333335E-5</v>
      </c>
      <c r="N184" t="n">
        <v>1</v>
      </c>
      <c r="O184">
        <f>1</f>
        <v>1</v>
      </c>
      <c r="P184">
        <f>-1/24</f>
        <v>-4.1666666666666664E-2</v>
      </c>
      <c r="Q184">
        <f>-1/24</f>
        <v>-4.1666666666666664E-2</v>
      </c>
      <c r="R184">
        <f>-1-'vehicles specifications'!AD50</f>
        <v>-1</v>
      </c>
      <c r="S184" t="n">
        <v>1</v>
      </c>
      <c r="T184" t="n">
        <v>1</v>
      </c>
      <c r="U184" t="n">
        <v>1</v>
      </c>
      <c r="V184" t="n">
        <v>1</v>
      </c>
      <c r="W184" t="n">
        <v>1</v>
      </c>
      <c r="X184" t="n">
        <v>1</v>
      </c>
      <c r="Y184" t="n">
        <v>1</v>
      </c>
      <c r="Z184" t="n">
        <v>1</v>
      </c>
      <c r="AA184" t="n">
        <v>1</v>
      </c>
      <c r="AB184" t="n">
        <v>1</v>
      </c>
      <c r="AC184" t="n">
        <v>1</v>
      </c>
      <c r="AD184" t="n">
        <v>1</v>
      </c>
      <c r="AE184" t="n">
        <v>1</v>
      </c>
      <c r="AF184" t="n">
        <v>1</v>
      </c>
      <c r="AG184" t="n">
        <v>1</v>
      </c>
      <c r="AH184" t="n">
        <v>1</v>
      </c>
      <c r="AI184" t="n">
        <v>1</v>
      </c>
      <c r="AJ184" t="n">
        <v>1</v>
      </c>
      <c r="AK184" t="n">
        <v>1</v>
      </c>
      <c r="AL184" t="n">
        <v>1</v>
      </c>
      <c r="AM184" t="n">
        <v>1</v>
      </c>
      <c r="AN184" t="n">
        <v>1</v>
      </c>
      <c r="AO184" t="n">
        <v>1</v>
      </c>
      <c r="AP184" t="n">
        <v>1</v>
      </c>
      <c r="AQ184" t="n">
        <v>1</v>
      </c>
      <c r="AR184" t="n">
        <v>1</v>
      </c>
      <c r="AS184" t="n">
        <v>1</v>
      </c>
      <c r="AT184" t="n">
        <v>1</v>
      </c>
      <c r="AU184" t="n">
        <v>1</v>
      </c>
      <c r="AV184" t="n">
        <v>1</v>
      </c>
      <c r="AW184" t="n">
        <v>1</v>
      </c>
      <c r="AX184" t="n">
        <v>1</v>
      </c>
      <c r="AY184" t="n">
        <v>1</v>
      </c>
      <c r="AZ184" t="n">
        <v>1</v>
      </c>
      <c r="BA184" t="n">
        <v>1</v>
      </c>
      <c r="BB184" t="n">
        <v>1</v>
      </c>
      <c r="BC184" t="n">
        <v>1</v>
      </c>
      <c r="BD184" t="n">
        <v>1</v>
      </c>
      <c r="BE184" t="n">
        <v>1</v>
      </c>
      <c r="BF184" t="n">
        <v>1</v>
      </c>
      <c r="BG184" t="n">
        <v>1</v>
      </c>
      <c r="BH184" t="n">
        <v>1</v>
      </c>
      <c r="BI184" t="n">
        <v>1</v>
      </c>
      <c r="BJ184">
        <f>-1/'vehicles specifications'!$M50</f>
        <v>-1</v>
      </c>
      <c r="BK184">
        <f>-1/'vehicles specifications'!$M50</f>
        <v>-1</v>
      </c>
      <c r="BL184">
        <f>-1/'vehicles specifications'!$M50</f>
        <v>-1</v>
      </c>
    </row>
    <row r="185">
      <c r="A185" t="inlineStr">
        <is>
          <t>Bicycle, battery electric, cargo bike - 2020 - NCA - CH</t>
        </is>
      </c>
      <c r="B185">
        <f>1/17</f>
        <v>5.8823529411764705E-2</v>
      </c>
      <c r="C185" s="2">
        <f>'vehicles specifications'!S51</f>
        <v>38</v>
      </c>
      <c r="D185">
        <f>1/17</f>
        <v>5.8823529411764705E-2</v>
      </c>
      <c r="E185" t="n">
        <v>1</v>
      </c>
      <c r="F185">
        <f>1+'vehicles specifications'!AD51</f>
        <v>2</v>
      </c>
      <c r="G185">
        <f>1+'vehicles specifications'!AD51</f>
        <v>2</v>
      </c>
      <c r="J185" t="n">
        <v>1</v>
      </c>
      <c r="K185">
        <f>1/('fuels and tailpipe emissions'!$C$3*3.6)</f>
        <v>2.3474178403755867E-2</v>
      </c>
      <c r="L185">
        <f>1/3.6*1.1</f>
        <v>0.30555555555555558</v>
      </c>
      <c r="M185">
        <f>1/'vehicles specifications'!J51</f>
        <v>5.0000000000000002E-5</v>
      </c>
      <c r="N185" t="n">
        <v>1</v>
      </c>
      <c r="O185">
        <f>1</f>
        <v>1</v>
      </c>
      <c r="P185">
        <f>-1/24</f>
        <v>-4.1666666666666664E-2</v>
      </c>
      <c r="Q185">
        <f>-1/24</f>
        <v>-4.1666666666666664E-2</v>
      </c>
      <c r="R185">
        <f>-1-'vehicles specifications'!AD51</f>
        <v>-2</v>
      </c>
      <c r="S185" t="n">
        <v>1</v>
      </c>
      <c r="T185" t="n">
        <v>1</v>
      </c>
      <c r="U185" t="n">
        <v>1</v>
      </c>
      <c r="V185" t="n">
        <v>1</v>
      </c>
      <c r="W185" t="n">
        <v>1</v>
      </c>
      <c r="X185" t="n">
        <v>1</v>
      </c>
      <c r="Y185" t="n">
        <v>1</v>
      </c>
      <c r="Z185" t="n">
        <v>1</v>
      </c>
      <c r="AA185" t="n">
        <v>1</v>
      </c>
      <c r="AB185" t="n">
        <v>1</v>
      </c>
      <c r="AC185" t="n">
        <v>1</v>
      </c>
      <c r="AD185" t="n">
        <v>1</v>
      </c>
      <c r="AE185" t="n">
        <v>1</v>
      </c>
      <c r="AF185" t="n">
        <v>1</v>
      </c>
      <c r="AG185" t="n">
        <v>1</v>
      </c>
      <c r="AH185" t="n">
        <v>1</v>
      </c>
      <c r="AI185" t="n">
        <v>1</v>
      </c>
      <c r="AJ185" t="n">
        <v>1</v>
      </c>
      <c r="AK185" t="n">
        <v>1</v>
      </c>
      <c r="AL185" t="n">
        <v>1</v>
      </c>
      <c r="AM185" t="n">
        <v>1</v>
      </c>
      <c r="AN185" t="n">
        <v>1</v>
      </c>
      <c r="AO185" t="n">
        <v>1</v>
      </c>
      <c r="AP185" t="n">
        <v>1</v>
      </c>
      <c r="AQ185" t="n">
        <v>1</v>
      </c>
      <c r="AR185" t="n">
        <v>1</v>
      </c>
      <c r="AS185" t="n">
        <v>1</v>
      </c>
      <c r="AT185" t="n">
        <v>1</v>
      </c>
      <c r="AU185" t="n">
        <v>1</v>
      </c>
      <c r="AV185" t="n">
        <v>1</v>
      </c>
      <c r="AW185" t="n">
        <v>1</v>
      </c>
      <c r="AX185" t="n">
        <v>1</v>
      </c>
      <c r="AY185" t="n">
        <v>1</v>
      </c>
      <c r="AZ185" t="n">
        <v>1</v>
      </c>
      <c r="BA185" t="n">
        <v>1</v>
      </c>
      <c r="BB185" t="n">
        <v>1</v>
      </c>
      <c r="BC185" t="n">
        <v>1</v>
      </c>
      <c r="BD185" t="n">
        <v>1</v>
      </c>
      <c r="BE185" t="n">
        <v>1</v>
      </c>
      <c r="BF185" t="n">
        <v>1</v>
      </c>
      <c r="BG185" t="n">
        <v>1</v>
      </c>
      <c r="BH185" t="n">
        <v>1</v>
      </c>
      <c r="BI185" t="n">
        <v>1</v>
      </c>
      <c r="BJ185">
        <f>-1/'vehicles specifications'!$M51</f>
        <v>-1</v>
      </c>
      <c r="BK185">
        <f>-1/'vehicles specifications'!$M51</f>
        <v>-1</v>
      </c>
      <c r="BL185">
        <f>-1/'vehicles specifications'!$M51</f>
        <v>-1</v>
      </c>
    </row>
    <row r="186">
      <c r="A186" t="inlineStr">
        <is>
          <t>Bicycle, battery electric, cargo bike - 2030 - NCA - CH</t>
        </is>
      </c>
      <c r="B186">
        <f>1/17</f>
        <v>5.8823529411764705E-2</v>
      </c>
      <c r="C186" s="2">
        <f>'vehicles specifications'!S52</f>
        <v>38</v>
      </c>
      <c r="D186">
        <f>1/17</f>
        <v>5.8823529411764705E-2</v>
      </c>
      <c r="E186" t="n">
        <v>1</v>
      </c>
      <c r="F186">
        <f>1+'vehicles specifications'!AD52</f>
        <v>1.5</v>
      </c>
      <c r="G186">
        <f>1+'vehicles specifications'!AD52</f>
        <v>1.5</v>
      </c>
      <c r="J186" t="n">
        <v>1</v>
      </c>
      <c r="K186">
        <f>1/('fuels and tailpipe emissions'!$C$3*3.6)</f>
        <v>2.3474178403755867E-2</v>
      </c>
      <c r="L186">
        <f>1/3.6*1.1</f>
        <v>0.30555555555555558</v>
      </c>
      <c r="M186">
        <f>1/'vehicles specifications'!J52</f>
        <v>5.0000000000000002E-5</v>
      </c>
      <c r="N186" t="n">
        <v>1</v>
      </c>
      <c r="O186">
        <f>1</f>
        <v>1</v>
      </c>
      <c r="P186">
        <f>-1/24</f>
        <v>-4.1666666666666664E-2</v>
      </c>
      <c r="Q186">
        <f>-1/24</f>
        <v>-4.1666666666666664E-2</v>
      </c>
      <c r="R186">
        <f>-1-'vehicles specifications'!AD52</f>
        <v>-1.5</v>
      </c>
      <c r="S186" t="n">
        <v>1</v>
      </c>
      <c r="T186" t="n">
        <v>1</v>
      </c>
      <c r="U186" t="n">
        <v>1</v>
      </c>
      <c r="V186" t="n">
        <v>1</v>
      </c>
      <c r="W186" t="n">
        <v>1</v>
      </c>
      <c r="X186" t="n">
        <v>1</v>
      </c>
      <c r="Y186" t="n">
        <v>1</v>
      </c>
      <c r="Z186" t="n">
        <v>1</v>
      </c>
      <c r="AA186" t="n">
        <v>1</v>
      </c>
      <c r="AB186" t="n">
        <v>1</v>
      </c>
      <c r="AC186" t="n">
        <v>1</v>
      </c>
      <c r="AD186" t="n">
        <v>1</v>
      </c>
      <c r="AE186" t="n">
        <v>1</v>
      </c>
      <c r="AF186" t="n">
        <v>1</v>
      </c>
      <c r="AG186" t="n">
        <v>1</v>
      </c>
      <c r="AH186" t="n">
        <v>1</v>
      </c>
      <c r="AI186" t="n">
        <v>1</v>
      </c>
      <c r="AJ186" t="n">
        <v>1</v>
      </c>
      <c r="AK186" t="n">
        <v>1</v>
      </c>
      <c r="AL186" t="n">
        <v>1</v>
      </c>
      <c r="AM186" t="n">
        <v>1</v>
      </c>
      <c r="AN186" t="n">
        <v>1</v>
      </c>
      <c r="AO186" t="n">
        <v>1</v>
      </c>
      <c r="AP186" t="n">
        <v>1</v>
      </c>
      <c r="AQ186" t="n">
        <v>1</v>
      </c>
      <c r="AR186" t="n">
        <v>1</v>
      </c>
      <c r="AS186" t="n">
        <v>1</v>
      </c>
      <c r="AT186" t="n">
        <v>1</v>
      </c>
      <c r="AU186" t="n">
        <v>1</v>
      </c>
      <c r="AV186" t="n">
        <v>1</v>
      </c>
      <c r="AW186" t="n">
        <v>1</v>
      </c>
      <c r="AX186" t="n">
        <v>1</v>
      </c>
      <c r="AY186" t="n">
        <v>1</v>
      </c>
      <c r="AZ186" t="n">
        <v>1</v>
      </c>
      <c r="BA186" t="n">
        <v>1</v>
      </c>
      <c r="BB186" t="n">
        <v>1</v>
      </c>
      <c r="BC186" t="n">
        <v>1</v>
      </c>
      <c r="BD186" t="n">
        <v>1</v>
      </c>
      <c r="BE186" t="n">
        <v>1</v>
      </c>
      <c r="BF186" t="n">
        <v>1</v>
      </c>
      <c r="BG186" t="n">
        <v>1</v>
      </c>
      <c r="BH186" t="n">
        <v>1</v>
      </c>
      <c r="BI186" t="n">
        <v>1</v>
      </c>
      <c r="BJ186">
        <f>-1/'vehicles specifications'!$M52</f>
        <v>-1</v>
      </c>
      <c r="BK186">
        <f>-1/'vehicles specifications'!$M52</f>
        <v>-1</v>
      </c>
      <c r="BL186">
        <f>-1/'vehicles specifications'!$M52</f>
        <v>-1</v>
      </c>
    </row>
    <row r="187">
      <c r="A187" t="inlineStr">
        <is>
          <t>Bicycle, battery electric, cargo bike - 2040 - NCA - CH</t>
        </is>
      </c>
      <c r="B187">
        <f>1/17</f>
        <v>5.8823529411764705E-2</v>
      </c>
      <c r="C187" s="2">
        <f>'vehicles specifications'!S53</f>
        <v>38</v>
      </c>
      <c r="D187">
        <f>1/17</f>
        <v>5.8823529411764705E-2</v>
      </c>
      <c r="E187" t="n">
        <v>1</v>
      </c>
      <c r="F187">
        <f>1+'vehicles specifications'!AD53</f>
        <v>1.25</v>
      </c>
      <c r="G187">
        <f>1+'vehicles specifications'!AD53</f>
        <v>1.25</v>
      </c>
      <c r="J187" t="n">
        <v>1</v>
      </c>
      <c r="K187">
        <f>1/('fuels and tailpipe emissions'!$C$3*3.6)</f>
        <v>2.3474178403755867E-2</v>
      </c>
      <c r="L187">
        <f>1/3.6*1.1</f>
        <v>0.30555555555555558</v>
      </c>
      <c r="M187">
        <f>1/'vehicles specifications'!J53</f>
        <v>5.0000000000000002E-5</v>
      </c>
      <c r="N187" t="n">
        <v>1</v>
      </c>
      <c r="O187">
        <f>1</f>
        <v>1</v>
      </c>
      <c r="P187">
        <f>-1/24</f>
        <v>-4.1666666666666664E-2</v>
      </c>
      <c r="Q187">
        <f>-1/24</f>
        <v>-4.1666666666666664E-2</v>
      </c>
      <c r="R187">
        <f>-1-'vehicles specifications'!AD53</f>
        <v>-1.25</v>
      </c>
      <c r="S187" t="n">
        <v>1</v>
      </c>
      <c r="T187" t="n">
        <v>1</v>
      </c>
      <c r="U187" t="n">
        <v>1</v>
      </c>
      <c r="V187" t="n">
        <v>1</v>
      </c>
      <c r="W187" t="n">
        <v>1</v>
      </c>
      <c r="X187" t="n">
        <v>1</v>
      </c>
      <c r="Y187" t="n">
        <v>1</v>
      </c>
      <c r="Z187" t="n">
        <v>1</v>
      </c>
      <c r="AA187" t="n">
        <v>1</v>
      </c>
      <c r="AB187" t="n">
        <v>1</v>
      </c>
      <c r="AC187" t="n">
        <v>1</v>
      </c>
      <c r="AD187" t="n">
        <v>1</v>
      </c>
      <c r="AE187" t="n">
        <v>1</v>
      </c>
      <c r="AF187" t="n">
        <v>1</v>
      </c>
      <c r="AG187" t="n">
        <v>1</v>
      </c>
      <c r="AH187" t="n">
        <v>1</v>
      </c>
      <c r="AI187" t="n">
        <v>1</v>
      </c>
      <c r="AJ187" t="n">
        <v>1</v>
      </c>
      <c r="AK187" t="n">
        <v>1</v>
      </c>
      <c r="AL187" t="n">
        <v>1</v>
      </c>
      <c r="AM187" t="n">
        <v>1</v>
      </c>
      <c r="AN187" t="n">
        <v>1</v>
      </c>
      <c r="AO187" t="n">
        <v>1</v>
      </c>
      <c r="AP187" t="n">
        <v>1</v>
      </c>
      <c r="AQ187" t="n">
        <v>1</v>
      </c>
      <c r="AR187" t="n">
        <v>1</v>
      </c>
      <c r="AS187" t="n">
        <v>1</v>
      </c>
      <c r="AT187" t="n">
        <v>1</v>
      </c>
      <c r="AU187" t="n">
        <v>1</v>
      </c>
      <c r="AV187" t="n">
        <v>1</v>
      </c>
      <c r="AW187" t="n">
        <v>1</v>
      </c>
      <c r="AX187" t="n">
        <v>1</v>
      </c>
      <c r="AY187" t="n">
        <v>1</v>
      </c>
      <c r="AZ187" t="n">
        <v>1</v>
      </c>
      <c r="BA187" t="n">
        <v>1</v>
      </c>
      <c r="BB187" t="n">
        <v>1</v>
      </c>
      <c r="BC187" t="n">
        <v>1</v>
      </c>
      <c r="BD187" t="n">
        <v>1</v>
      </c>
      <c r="BE187" t="n">
        <v>1</v>
      </c>
      <c r="BF187" t="n">
        <v>1</v>
      </c>
      <c r="BG187" t="n">
        <v>1</v>
      </c>
      <c r="BH187" t="n">
        <v>1</v>
      </c>
      <c r="BI187" t="n">
        <v>1</v>
      </c>
      <c r="BJ187">
        <f>-1/'vehicles specifications'!$M53</f>
        <v>-1</v>
      </c>
      <c r="BK187">
        <f>-1/'vehicles specifications'!$M53</f>
        <v>-1</v>
      </c>
      <c r="BL187">
        <f>-1/'vehicles specifications'!$M53</f>
        <v>-1</v>
      </c>
    </row>
    <row r="188">
      <c r="A188" t="inlineStr">
        <is>
          <t>Bicycle, battery electric, cargo bike - 2050 - NCA - CH</t>
        </is>
      </c>
      <c r="B188">
        <f>1/17</f>
        <v>5.8823529411764705E-2</v>
      </c>
      <c r="C188" s="2">
        <f>'vehicles specifications'!S54</f>
        <v>38</v>
      </c>
      <c r="D188">
        <f>1/17</f>
        <v>5.8823529411764705E-2</v>
      </c>
      <c r="E188" t="n">
        <v>1</v>
      </c>
      <c r="F188">
        <f>1+'vehicles specifications'!AD54</f>
        <v>1</v>
      </c>
      <c r="G188">
        <f>1+'vehicles specifications'!AD54</f>
        <v>1</v>
      </c>
      <c r="J188" t="n">
        <v>1</v>
      </c>
      <c r="K188">
        <f>1/('fuels and tailpipe emissions'!$C$3*3.6)</f>
        <v>2.3474178403755867E-2</v>
      </c>
      <c r="L188">
        <f>1/3.6*1.1</f>
        <v>0.30555555555555558</v>
      </c>
      <c r="M188">
        <f>1/'vehicles specifications'!J54</f>
        <v>5.0000000000000002E-5</v>
      </c>
      <c r="N188" t="n">
        <v>1</v>
      </c>
      <c r="O188">
        <f>1</f>
        <v>1</v>
      </c>
      <c r="P188">
        <f>-1/24</f>
        <v>-4.1666666666666664E-2</v>
      </c>
      <c r="Q188">
        <f>-1/24</f>
        <v>-4.1666666666666664E-2</v>
      </c>
      <c r="R188">
        <f>-1-'vehicles specifications'!AD54</f>
        <v>-1</v>
      </c>
      <c r="S188" t="n">
        <v>1</v>
      </c>
      <c r="T188" t="n">
        <v>1</v>
      </c>
      <c r="U188" t="n">
        <v>1</v>
      </c>
      <c r="V188" t="n">
        <v>1</v>
      </c>
      <c r="W188" t="n">
        <v>1</v>
      </c>
      <c r="X188" t="n">
        <v>1</v>
      </c>
      <c r="Y188" t="n">
        <v>1</v>
      </c>
      <c r="Z188" t="n">
        <v>1</v>
      </c>
      <c r="AA188" t="n">
        <v>1</v>
      </c>
      <c r="AB188" t="n">
        <v>1</v>
      </c>
      <c r="AC188" t="n">
        <v>1</v>
      </c>
      <c r="AD188" t="n">
        <v>1</v>
      </c>
      <c r="AE188" t="n">
        <v>1</v>
      </c>
      <c r="AF188" t="n">
        <v>1</v>
      </c>
      <c r="AG188" t="n">
        <v>1</v>
      </c>
      <c r="AH188" t="n">
        <v>1</v>
      </c>
      <c r="AI188" t="n">
        <v>1</v>
      </c>
      <c r="AJ188" t="n">
        <v>1</v>
      </c>
      <c r="AK188" t="n">
        <v>1</v>
      </c>
      <c r="AL188" t="n">
        <v>1</v>
      </c>
      <c r="AM188" t="n">
        <v>1</v>
      </c>
      <c r="AN188" t="n">
        <v>1</v>
      </c>
      <c r="AO188" t="n">
        <v>1</v>
      </c>
      <c r="AP188" t="n">
        <v>1</v>
      </c>
      <c r="AQ188" t="n">
        <v>1</v>
      </c>
      <c r="AR188" t="n">
        <v>1</v>
      </c>
      <c r="AS188" t="n">
        <v>1</v>
      </c>
      <c r="AT188" t="n">
        <v>1</v>
      </c>
      <c r="AU188" t="n">
        <v>1</v>
      </c>
      <c r="AV188" t="n">
        <v>1</v>
      </c>
      <c r="AW188" t="n">
        <v>1</v>
      </c>
      <c r="AX188" t="n">
        <v>1</v>
      </c>
      <c r="AY188" t="n">
        <v>1</v>
      </c>
      <c r="AZ188" t="n">
        <v>1</v>
      </c>
      <c r="BA188" t="n">
        <v>1</v>
      </c>
      <c r="BB188" t="n">
        <v>1</v>
      </c>
      <c r="BC188" t="n">
        <v>1</v>
      </c>
      <c r="BD188" t="n">
        <v>1</v>
      </c>
      <c r="BE188" t="n">
        <v>1</v>
      </c>
      <c r="BF188" t="n">
        <v>1</v>
      </c>
      <c r="BG188" t="n">
        <v>1</v>
      </c>
      <c r="BH188" t="n">
        <v>1</v>
      </c>
      <c r="BI188" t="n">
        <v>1</v>
      </c>
      <c r="BJ188">
        <f>-1/'vehicles specifications'!$M54</f>
        <v>-1</v>
      </c>
      <c r="BK188">
        <f>-1/'vehicles specifications'!$M54</f>
        <v>-1</v>
      </c>
      <c r="BL188">
        <f>-1/'vehicles specifications'!$M54</f>
        <v>-1</v>
      </c>
    </row>
    <row r="189">
      <c r="A189" t="inlineStr">
        <is>
          <t>Tram, electric - 2020 - CH</t>
        </is>
      </c>
      <c r="B189">
        <f>1/20992</f>
        <v>4.7637195121951221E-5</v>
      </c>
      <c r="C189" s="2">
        <f>'vehicles specifications'!S55</f>
        <v>43200</v>
      </c>
      <c r="D189">
        <f>1/20992</f>
        <v>4.7637195121951221E-5</v>
      </c>
      <c r="E189">
        <f>1/20992</f>
        <v>4.7637195121951221E-5</v>
      </c>
      <c r="F189">
        <f>1+'vehicles specifications'!AD55</f>
        <v>1</v>
      </c>
      <c r="G189">
        <f>1+'vehicles specifications'!AD55</f>
        <v>1</v>
      </c>
      <c r="H189" t="n">
        <v>1</v>
      </c>
      <c r="I189" t="n">
        <v>1</v>
      </c>
      <c r="K189">
        <f>1/('fuels and tailpipe emissions'!$C$3*3.6)</f>
        <v>2.3474178403755867E-2</v>
      </c>
      <c r="L189" t="n">
        <v>0.007309941520467836</v>
      </c>
      <c r="M189">
        <f>1/'vehicles specifications'!J55/'vehicles specifications'!M55</f>
        <v>9.3984962406015038E-9</v>
      </c>
      <c r="N189" t="n">
        <v>1</v>
      </c>
      <c r="O189">
        <f>1/'vehicles specifications'!M55</f>
        <v>2.6315789473684209E-2</v>
      </c>
      <c r="P189">
        <f>-1/20992</f>
        <v>-4.7637195121951221E-5</v>
      </c>
      <c r="Q189">
        <f>-1/20992</f>
        <v>-4.7637195121951221E-5</v>
      </c>
      <c r="R189">
        <f>-1-'vehicles specifications'!AD55</f>
        <v>-1</v>
      </c>
      <c r="S189">
        <f>1/'vehicles specifications'!$M55</f>
        <v>2.6315789473684209E-2</v>
      </c>
      <c r="T189">
        <f>1/'vehicles specifications'!$M55</f>
        <v>2.6315789473684209E-2</v>
      </c>
      <c r="U189">
        <f>1/'vehicles specifications'!$M55</f>
        <v>2.6315789473684209E-2</v>
      </c>
      <c r="V189">
        <f>1/'vehicles specifications'!$M55</f>
        <v>2.6315789473684209E-2</v>
      </c>
      <c r="W189">
        <f>1/'vehicles specifications'!$M55</f>
        <v>2.6315789473684209E-2</v>
      </c>
      <c r="X189">
        <f>1/'vehicles specifications'!$M55</f>
        <v>2.6315789473684209E-2</v>
      </c>
      <c r="Y189">
        <f>1/'vehicles specifications'!$M55</f>
        <v>2.6315789473684209E-2</v>
      </c>
      <c r="Z189">
        <f>1/'vehicles specifications'!$M55</f>
        <v>2.6315789473684209E-2</v>
      </c>
      <c r="AA189">
        <f>1/'vehicles specifications'!$M55</f>
        <v>2.6315789473684209E-2</v>
      </c>
      <c r="AB189">
        <f>1/'vehicles specifications'!$M55</f>
        <v>2.6315789473684209E-2</v>
      </c>
      <c r="AC189">
        <f>1/'vehicles specifications'!$M55</f>
        <v>2.6315789473684209E-2</v>
      </c>
      <c r="AD189">
        <f>1/'vehicles specifications'!$M55</f>
        <v>2.6315789473684209E-2</v>
      </c>
      <c r="AE189">
        <f>1/'vehicles specifications'!$M55</f>
        <v>2.6315789473684209E-2</v>
      </c>
      <c r="AF189">
        <f>1/'vehicles specifications'!$M55</f>
        <v>2.6315789473684209E-2</v>
      </c>
      <c r="AG189">
        <f>1/'vehicles specifications'!$M55</f>
        <v>2.6315789473684209E-2</v>
      </c>
      <c r="AH189">
        <f>1/'vehicles specifications'!$M55</f>
        <v>2.6315789473684209E-2</v>
      </c>
      <c r="AI189">
        <f>1/'vehicles specifications'!$M55</f>
        <v>2.6315789473684209E-2</v>
      </c>
      <c r="AJ189">
        <f>1/'vehicles specifications'!$M55</f>
        <v>2.6315789473684209E-2</v>
      </c>
      <c r="AK189">
        <f>1/'vehicles specifications'!$M55</f>
        <v>2.6315789473684209E-2</v>
      </c>
      <c r="AL189">
        <f>1/'vehicles specifications'!$M55</f>
        <v>2.6315789473684209E-2</v>
      </c>
      <c r="AM189">
        <f>1/'vehicles specifications'!$M55</f>
        <v>2.6315789473684209E-2</v>
      </c>
      <c r="AN189">
        <f>1/'vehicles specifications'!$M55</f>
        <v>2.6315789473684209E-2</v>
      </c>
      <c r="AO189">
        <f>1/'vehicles specifications'!$M55</f>
        <v>2.6315789473684209E-2</v>
      </c>
      <c r="AP189">
        <f>1/'vehicles specifications'!$M55</f>
        <v>2.6315789473684209E-2</v>
      </c>
      <c r="AQ189">
        <f>1/'vehicles specifications'!$M55</f>
        <v>2.6315789473684209E-2</v>
      </c>
      <c r="AR189">
        <f>1/'vehicles specifications'!$M55</f>
        <v>2.6315789473684209E-2</v>
      </c>
      <c r="AS189">
        <f>1/'vehicles specifications'!$M55</f>
        <v>2.6315789473684209E-2</v>
      </c>
      <c r="AT189">
        <f>1/'vehicles specifications'!$M55</f>
        <v>2.6315789473684209E-2</v>
      </c>
      <c r="AU189">
        <f>1/'vehicles specifications'!$M55</f>
        <v>2.6315789473684209E-2</v>
      </c>
      <c r="AV189">
        <f>1/'vehicles specifications'!$M55</f>
        <v>2.6315789473684209E-2</v>
      </c>
      <c r="AW189">
        <f>1/'vehicles specifications'!$M55</f>
        <v>2.6315789473684209E-2</v>
      </c>
      <c r="AX189">
        <f>1/'vehicles specifications'!$M55</f>
        <v>2.6315789473684209E-2</v>
      </c>
      <c r="AY189">
        <f>1/'vehicles specifications'!$M55</f>
        <v>2.6315789473684209E-2</v>
      </c>
      <c r="AZ189">
        <f>1/'vehicles specifications'!$M55</f>
        <v>2.6315789473684209E-2</v>
      </c>
      <c r="BA189">
        <f>1/'vehicles specifications'!$M55</f>
        <v>2.6315789473684209E-2</v>
      </c>
      <c r="BB189">
        <f>1/'vehicles specifications'!$M55</f>
        <v>2.6315789473684209E-2</v>
      </c>
      <c r="BC189">
        <f>1/'vehicles specifications'!$M55</f>
        <v>2.6315789473684209E-2</v>
      </c>
      <c r="BD189">
        <f>1/'vehicles specifications'!$M55</f>
        <v>2.6315789473684209E-2</v>
      </c>
      <c r="BE189">
        <f>1/'vehicles specifications'!$M55</f>
        <v>2.6315789473684209E-2</v>
      </c>
      <c r="BF189">
        <f>1/'vehicles specifications'!$M55</f>
        <v>2.6315789473684209E-2</v>
      </c>
      <c r="BG189">
        <f>1/'vehicles specifications'!$M55</f>
        <v>2.6315789473684209E-2</v>
      </c>
      <c r="BH189">
        <f>1/'vehicles specifications'!$M55</f>
        <v>2.6315789473684209E-2</v>
      </c>
      <c r="BI189">
        <f>1/'vehicles specifications'!$M55</f>
        <v>2.6315789473684209E-2</v>
      </c>
      <c r="BJ189">
        <f>-1/'vehicles specifications'!$M55</f>
        <v>-2.6315789473684209E-2</v>
      </c>
      <c r="BK189">
        <f>-1/'vehicles specifications'!$M55</f>
        <v>-2.6315789473684209E-2</v>
      </c>
      <c r="BL189">
        <f>-1/'vehicles specifications'!$M55</f>
        <v>-2.6315789473684209E-2</v>
      </c>
    </row>
    <row r="190">
      <c r="A190" t="inlineStr">
        <is>
          <t>Tram, electric - 2030 - CH</t>
        </is>
      </c>
      <c r="B190">
        <f>1/20992</f>
        <v>4.7637195121951221E-5</v>
      </c>
      <c r="C190" s="2">
        <f>'vehicles specifications'!S56</f>
        <v>43200</v>
      </c>
      <c r="D190">
        <f>1/20992</f>
        <v>4.7637195121951221E-5</v>
      </c>
      <c r="E190">
        <f>1/20992</f>
        <v>4.7637195121951221E-5</v>
      </c>
      <c r="F190">
        <f>1+'vehicles specifications'!AD56</f>
        <v>1</v>
      </c>
      <c r="G190">
        <f>1+'vehicles specifications'!AD56</f>
        <v>1</v>
      </c>
      <c r="H190" t="n">
        <v>1</v>
      </c>
      <c r="I190" t="n">
        <v>1</v>
      </c>
      <c r="K190">
        <f>1/('fuels and tailpipe emissions'!$C$3*3.6)</f>
        <v>2.3474178403755867E-2</v>
      </c>
      <c r="L190" t="n">
        <v>0.007309941520467836</v>
      </c>
      <c r="M190">
        <f>1/'vehicles specifications'!J56/'vehicles specifications'!M56</f>
        <v>9.3984962406015038E-9</v>
      </c>
      <c r="N190" t="n">
        <v>1</v>
      </c>
      <c r="O190">
        <f>1/'vehicles specifications'!M56</f>
        <v>2.6315789473684209E-2</v>
      </c>
      <c r="P190">
        <f>-1/20992</f>
        <v>-4.7637195121951221E-5</v>
      </c>
      <c r="Q190">
        <f>-1/20992</f>
        <v>-4.7637195121951221E-5</v>
      </c>
      <c r="R190">
        <f>-1-'vehicles specifications'!AD56</f>
        <v>-1</v>
      </c>
      <c r="S190">
        <f>1/'vehicles specifications'!$M56</f>
        <v>2.6315789473684209E-2</v>
      </c>
      <c r="T190">
        <f>1/'vehicles specifications'!$M56</f>
        <v>2.6315789473684209E-2</v>
      </c>
      <c r="U190">
        <f>1/'vehicles specifications'!$M56</f>
        <v>2.6315789473684209E-2</v>
      </c>
      <c r="V190">
        <f>1/'vehicles specifications'!$M56</f>
        <v>2.6315789473684209E-2</v>
      </c>
      <c r="W190">
        <f>1/'vehicles specifications'!$M56</f>
        <v>2.6315789473684209E-2</v>
      </c>
      <c r="X190">
        <f>1/'vehicles specifications'!$M56</f>
        <v>2.6315789473684209E-2</v>
      </c>
      <c r="Y190">
        <f>1/'vehicles specifications'!$M56</f>
        <v>2.6315789473684209E-2</v>
      </c>
      <c r="Z190">
        <f>1/'vehicles specifications'!$M56</f>
        <v>2.6315789473684209E-2</v>
      </c>
      <c r="AA190">
        <f>1/'vehicles specifications'!$M56</f>
        <v>2.6315789473684209E-2</v>
      </c>
      <c r="AB190">
        <f>1/'vehicles specifications'!$M56</f>
        <v>2.6315789473684209E-2</v>
      </c>
      <c r="AC190">
        <f>1/'vehicles specifications'!$M56</f>
        <v>2.6315789473684209E-2</v>
      </c>
      <c r="AD190">
        <f>1/'vehicles specifications'!$M56</f>
        <v>2.6315789473684209E-2</v>
      </c>
      <c r="AE190">
        <f>1/'vehicles specifications'!$M56</f>
        <v>2.6315789473684209E-2</v>
      </c>
      <c r="AF190">
        <f>1/'vehicles specifications'!$M56</f>
        <v>2.6315789473684209E-2</v>
      </c>
      <c r="AG190">
        <f>1/'vehicles specifications'!$M56</f>
        <v>2.6315789473684209E-2</v>
      </c>
      <c r="AH190">
        <f>1/'vehicles specifications'!$M56</f>
        <v>2.6315789473684209E-2</v>
      </c>
      <c r="AI190">
        <f>1/'vehicles specifications'!$M56</f>
        <v>2.6315789473684209E-2</v>
      </c>
      <c r="AJ190">
        <f>1/'vehicles specifications'!$M56</f>
        <v>2.6315789473684209E-2</v>
      </c>
      <c r="AK190">
        <f>1/'vehicles specifications'!$M56</f>
        <v>2.6315789473684209E-2</v>
      </c>
      <c r="AL190">
        <f>1/'vehicles specifications'!$M56</f>
        <v>2.6315789473684209E-2</v>
      </c>
      <c r="AM190">
        <f>1/'vehicles specifications'!$M56</f>
        <v>2.6315789473684209E-2</v>
      </c>
      <c r="AN190">
        <f>1/'vehicles specifications'!$M56</f>
        <v>2.6315789473684209E-2</v>
      </c>
      <c r="AO190">
        <f>1/'vehicles specifications'!$M56</f>
        <v>2.6315789473684209E-2</v>
      </c>
      <c r="AP190">
        <f>1/'vehicles specifications'!$M56</f>
        <v>2.6315789473684209E-2</v>
      </c>
      <c r="AQ190">
        <f>1/'vehicles specifications'!$M56</f>
        <v>2.6315789473684209E-2</v>
      </c>
      <c r="AR190">
        <f>1/'vehicles specifications'!$M56</f>
        <v>2.6315789473684209E-2</v>
      </c>
      <c r="AS190">
        <f>1/'vehicles specifications'!$M56</f>
        <v>2.6315789473684209E-2</v>
      </c>
      <c r="AT190">
        <f>1/'vehicles specifications'!$M56</f>
        <v>2.6315789473684209E-2</v>
      </c>
      <c r="AU190">
        <f>1/'vehicles specifications'!$M56</f>
        <v>2.6315789473684209E-2</v>
      </c>
      <c r="AV190">
        <f>1/'vehicles specifications'!$M56</f>
        <v>2.6315789473684209E-2</v>
      </c>
      <c r="AW190">
        <f>1/'vehicles specifications'!$M56</f>
        <v>2.6315789473684209E-2</v>
      </c>
      <c r="AX190">
        <f>1/'vehicles specifications'!$M56</f>
        <v>2.6315789473684209E-2</v>
      </c>
      <c r="AY190">
        <f>1/'vehicles specifications'!$M56</f>
        <v>2.6315789473684209E-2</v>
      </c>
      <c r="AZ190">
        <f>1/'vehicles specifications'!$M56</f>
        <v>2.6315789473684209E-2</v>
      </c>
      <c r="BA190">
        <f>1/'vehicles specifications'!$M56</f>
        <v>2.6315789473684209E-2</v>
      </c>
      <c r="BB190">
        <f>1/'vehicles specifications'!$M56</f>
        <v>2.6315789473684209E-2</v>
      </c>
      <c r="BC190">
        <f>1/'vehicles specifications'!$M56</f>
        <v>2.6315789473684209E-2</v>
      </c>
      <c r="BD190">
        <f>1/'vehicles specifications'!$M56</f>
        <v>2.6315789473684209E-2</v>
      </c>
      <c r="BE190">
        <f>1/'vehicles specifications'!$M56</f>
        <v>2.6315789473684209E-2</v>
      </c>
      <c r="BF190">
        <f>1/'vehicles specifications'!$M56</f>
        <v>2.6315789473684209E-2</v>
      </c>
      <c r="BG190">
        <f>1/'vehicles specifications'!$M56</f>
        <v>2.6315789473684209E-2</v>
      </c>
      <c r="BH190">
        <f>1/'vehicles specifications'!$M56</f>
        <v>2.6315789473684209E-2</v>
      </c>
      <c r="BI190">
        <f>1/'vehicles specifications'!$M56</f>
        <v>2.6315789473684209E-2</v>
      </c>
      <c r="BJ190">
        <f>-1/'vehicles specifications'!$M56</f>
        <v>-2.6315789473684209E-2</v>
      </c>
      <c r="BK190">
        <f>-1/'vehicles specifications'!$M56</f>
        <v>-2.6315789473684209E-2</v>
      </c>
      <c r="BL190">
        <f>-1/'vehicles specifications'!$M56</f>
        <v>-2.6315789473684209E-2</v>
      </c>
    </row>
    <row r="191">
      <c r="A191" t="inlineStr">
        <is>
          <t>Tram, electric - 2040 - CH</t>
        </is>
      </c>
      <c r="B191">
        <f>1/20992</f>
        <v>4.7637195121951221E-5</v>
      </c>
      <c r="C191" s="2">
        <f>'vehicles specifications'!S57</f>
        <v>43200</v>
      </c>
      <c r="D191">
        <f>1/20992</f>
        <v>4.7637195121951221E-5</v>
      </c>
      <c r="E191">
        <f>1/20992</f>
        <v>4.7637195121951221E-5</v>
      </c>
      <c r="F191">
        <f>1+'vehicles specifications'!AD57</f>
        <v>1</v>
      </c>
      <c r="G191">
        <f>1+'vehicles specifications'!AD57</f>
        <v>1</v>
      </c>
      <c r="H191" t="n">
        <v>1</v>
      </c>
      <c r="I191" t="n">
        <v>1</v>
      </c>
      <c r="K191">
        <f>1/('fuels and tailpipe emissions'!$C$3*3.6)</f>
        <v>2.3474178403755867E-2</v>
      </c>
      <c r="L191" t="n">
        <v>0.007309941520467836</v>
      </c>
      <c r="M191">
        <f>1/'vehicles specifications'!J57/'vehicles specifications'!M57</f>
        <v>9.3984962406015038E-9</v>
      </c>
      <c r="N191" t="n">
        <v>1</v>
      </c>
      <c r="O191">
        <f>1/'vehicles specifications'!M57</f>
        <v>2.6315789473684209E-2</v>
      </c>
      <c r="P191">
        <f>-1/20992</f>
        <v>-4.7637195121951221E-5</v>
      </c>
      <c r="Q191">
        <f>-1/20992</f>
        <v>-4.7637195121951221E-5</v>
      </c>
      <c r="R191">
        <f>-1-'vehicles specifications'!AD57</f>
        <v>-1</v>
      </c>
      <c r="S191">
        <f>1/'vehicles specifications'!$M57</f>
        <v>2.6315789473684209E-2</v>
      </c>
      <c r="T191">
        <f>1/'vehicles specifications'!$M57</f>
        <v>2.6315789473684209E-2</v>
      </c>
      <c r="U191">
        <f>1/'vehicles specifications'!$M57</f>
        <v>2.6315789473684209E-2</v>
      </c>
      <c r="V191">
        <f>1/'vehicles specifications'!$M57</f>
        <v>2.6315789473684209E-2</v>
      </c>
      <c r="W191">
        <f>1/'vehicles specifications'!$M57</f>
        <v>2.6315789473684209E-2</v>
      </c>
      <c r="X191">
        <f>1/'vehicles specifications'!$M57</f>
        <v>2.6315789473684209E-2</v>
      </c>
      <c r="Y191">
        <f>1/'vehicles specifications'!$M57</f>
        <v>2.6315789473684209E-2</v>
      </c>
      <c r="Z191">
        <f>1/'vehicles specifications'!$M57</f>
        <v>2.6315789473684209E-2</v>
      </c>
      <c r="AA191">
        <f>1/'vehicles specifications'!$M57</f>
        <v>2.6315789473684209E-2</v>
      </c>
      <c r="AB191">
        <f>1/'vehicles specifications'!$M57</f>
        <v>2.6315789473684209E-2</v>
      </c>
      <c r="AC191">
        <f>1/'vehicles specifications'!$M57</f>
        <v>2.6315789473684209E-2</v>
      </c>
      <c r="AD191">
        <f>1/'vehicles specifications'!$M57</f>
        <v>2.6315789473684209E-2</v>
      </c>
      <c r="AE191">
        <f>1/'vehicles specifications'!$M57</f>
        <v>2.6315789473684209E-2</v>
      </c>
      <c r="AF191">
        <f>1/'vehicles specifications'!$M57</f>
        <v>2.6315789473684209E-2</v>
      </c>
      <c r="AG191">
        <f>1/'vehicles specifications'!$M57</f>
        <v>2.6315789473684209E-2</v>
      </c>
      <c r="AH191">
        <f>1/'vehicles specifications'!$M57</f>
        <v>2.6315789473684209E-2</v>
      </c>
      <c r="AI191">
        <f>1/'vehicles specifications'!$M57</f>
        <v>2.6315789473684209E-2</v>
      </c>
      <c r="AJ191">
        <f>1/'vehicles specifications'!$M57</f>
        <v>2.6315789473684209E-2</v>
      </c>
      <c r="AK191">
        <f>1/'vehicles specifications'!$M57</f>
        <v>2.6315789473684209E-2</v>
      </c>
      <c r="AL191">
        <f>1/'vehicles specifications'!$M57</f>
        <v>2.6315789473684209E-2</v>
      </c>
      <c r="AM191">
        <f>1/'vehicles specifications'!$M57</f>
        <v>2.6315789473684209E-2</v>
      </c>
      <c r="AN191">
        <f>1/'vehicles specifications'!$M57</f>
        <v>2.6315789473684209E-2</v>
      </c>
      <c r="AO191">
        <f>1/'vehicles specifications'!$M57</f>
        <v>2.6315789473684209E-2</v>
      </c>
      <c r="AP191">
        <f>1/'vehicles specifications'!$M57</f>
        <v>2.6315789473684209E-2</v>
      </c>
      <c r="AQ191">
        <f>1/'vehicles specifications'!$M57</f>
        <v>2.6315789473684209E-2</v>
      </c>
      <c r="AR191">
        <f>1/'vehicles specifications'!$M57</f>
        <v>2.6315789473684209E-2</v>
      </c>
      <c r="AS191">
        <f>1/'vehicles specifications'!$M57</f>
        <v>2.6315789473684209E-2</v>
      </c>
      <c r="AT191">
        <f>1/'vehicles specifications'!$M57</f>
        <v>2.6315789473684209E-2</v>
      </c>
      <c r="AU191">
        <f>1/'vehicles specifications'!$M57</f>
        <v>2.6315789473684209E-2</v>
      </c>
      <c r="AV191">
        <f>1/'vehicles specifications'!$M57</f>
        <v>2.6315789473684209E-2</v>
      </c>
      <c r="AW191">
        <f>1/'vehicles specifications'!$M57</f>
        <v>2.6315789473684209E-2</v>
      </c>
      <c r="AX191">
        <f>1/'vehicles specifications'!$M57</f>
        <v>2.6315789473684209E-2</v>
      </c>
      <c r="AY191">
        <f>1/'vehicles specifications'!$M57</f>
        <v>2.6315789473684209E-2</v>
      </c>
      <c r="AZ191">
        <f>1/'vehicles specifications'!$M57</f>
        <v>2.6315789473684209E-2</v>
      </c>
      <c r="BA191">
        <f>1/'vehicles specifications'!$M57</f>
        <v>2.6315789473684209E-2</v>
      </c>
      <c r="BB191">
        <f>1/'vehicles specifications'!$M57</f>
        <v>2.6315789473684209E-2</v>
      </c>
      <c r="BC191">
        <f>1/'vehicles specifications'!$M57</f>
        <v>2.6315789473684209E-2</v>
      </c>
      <c r="BD191">
        <f>1/'vehicles specifications'!$M57</f>
        <v>2.6315789473684209E-2</v>
      </c>
      <c r="BE191">
        <f>1/'vehicles specifications'!$M57</f>
        <v>2.6315789473684209E-2</v>
      </c>
      <c r="BF191">
        <f>1/'vehicles specifications'!$M57</f>
        <v>2.6315789473684209E-2</v>
      </c>
      <c r="BG191">
        <f>1/'vehicles specifications'!$M57</f>
        <v>2.6315789473684209E-2</v>
      </c>
      <c r="BH191">
        <f>1/'vehicles specifications'!$M57</f>
        <v>2.6315789473684209E-2</v>
      </c>
      <c r="BI191">
        <f>1/'vehicles specifications'!$M57</f>
        <v>2.6315789473684209E-2</v>
      </c>
      <c r="BJ191">
        <f>-1/'vehicles specifications'!$M57</f>
        <v>-2.6315789473684209E-2</v>
      </c>
      <c r="BK191">
        <f>-1/'vehicles specifications'!$M57</f>
        <v>-2.6315789473684209E-2</v>
      </c>
      <c r="BL191">
        <f>-1/'vehicles specifications'!$M57</f>
        <v>-2.6315789473684209E-2</v>
      </c>
    </row>
    <row r="192">
      <c r="A192" t="inlineStr">
        <is>
          <t>Tram, electric - 2050 - CH</t>
        </is>
      </c>
      <c r="B192">
        <f>1/20992</f>
        <v>4.7637195121951221E-5</v>
      </c>
      <c r="C192" s="2">
        <f>'vehicles specifications'!S58</f>
        <v>43200</v>
      </c>
      <c r="D192">
        <f>1/20992</f>
        <v>4.7637195121951221E-5</v>
      </c>
      <c r="E192">
        <f>1/20992</f>
        <v>4.7637195121951221E-5</v>
      </c>
      <c r="F192">
        <f>1+'vehicles specifications'!AD58</f>
        <v>1</v>
      </c>
      <c r="G192">
        <f>1+'vehicles specifications'!AD58</f>
        <v>1</v>
      </c>
      <c r="H192" t="n">
        <v>1</v>
      </c>
      <c r="I192" t="n">
        <v>1</v>
      </c>
      <c r="K192">
        <f>1/('fuels and tailpipe emissions'!$C$3*3.6)</f>
        <v>2.3474178403755867E-2</v>
      </c>
      <c r="L192" t="n">
        <v>0.007309941520467836</v>
      </c>
      <c r="M192">
        <f>1/'vehicles specifications'!J58/'vehicles specifications'!M58</f>
        <v>9.3984962406015038E-9</v>
      </c>
      <c r="N192" t="n">
        <v>1</v>
      </c>
      <c r="O192">
        <f>1/'vehicles specifications'!M58</f>
        <v>2.6315789473684209E-2</v>
      </c>
      <c r="P192">
        <f>-1/20992</f>
        <v>-4.7637195121951221E-5</v>
      </c>
      <c r="Q192">
        <f>-1/20992</f>
        <v>-4.7637195121951221E-5</v>
      </c>
      <c r="R192">
        <f>-1-'vehicles specifications'!AD58</f>
        <v>-1</v>
      </c>
      <c r="S192">
        <f>1/'vehicles specifications'!$M58</f>
        <v>2.6315789473684209E-2</v>
      </c>
      <c r="T192">
        <f>1/'vehicles specifications'!$M58</f>
        <v>2.6315789473684209E-2</v>
      </c>
      <c r="U192">
        <f>1/'vehicles specifications'!$M58</f>
        <v>2.6315789473684209E-2</v>
      </c>
      <c r="V192">
        <f>1/'vehicles specifications'!$M58</f>
        <v>2.6315789473684209E-2</v>
      </c>
      <c r="W192">
        <f>1/'vehicles specifications'!$M58</f>
        <v>2.6315789473684209E-2</v>
      </c>
      <c r="X192">
        <f>1/'vehicles specifications'!$M58</f>
        <v>2.6315789473684209E-2</v>
      </c>
      <c r="Y192">
        <f>1/'vehicles specifications'!$M58</f>
        <v>2.6315789473684209E-2</v>
      </c>
      <c r="Z192">
        <f>1/'vehicles specifications'!$M58</f>
        <v>2.6315789473684209E-2</v>
      </c>
      <c r="AA192">
        <f>1/'vehicles specifications'!$M58</f>
        <v>2.6315789473684209E-2</v>
      </c>
      <c r="AB192">
        <f>1/'vehicles specifications'!$M58</f>
        <v>2.6315789473684209E-2</v>
      </c>
      <c r="AC192">
        <f>1/'vehicles specifications'!$M58</f>
        <v>2.6315789473684209E-2</v>
      </c>
      <c r="AD192">
        <f>1/'vehicles specifications'!$M58</f>
        <v>2.6315789473684209E-2</v>
      </c>
      <c r="AE192">
        <f>1/'vehicles specifications'!$M58</f>
        <v>2.6315789473684209E-2</v>
      </c>
      <c r="AF192">
        <f>1/'vehicles specifications'!$M58</f>
        <v>2.6315789473684209E-2</v>
      </c>
      <c r="AG192">
        <f>1/'vehicles specifications'!$M58</f>
        <v>2.6315789473684209E-2</v>
      </c>
      <c r="AH192">
        <f>1/'vehicles specifications'!$M58</f>
        <v>2.6315789473684209E-2</v>
      </c>
      <c r="AI192">
        <f>1/'vehicles specifications'!$M58</f>
        <v>2.6315789473684209E-2</v>
      </c>
      <c r="AJ192">
        <f>1/'vehicles specifications'!$M58</f>
        <v>2.6315789473684209E-2</v>
      </c>
      <c r="AK192">
        <f>1/'vehicles specifications'!$M58</f>
        <v>2.6315789473684209E-2</v>
      </c>
      <c r="AL192">
        <f>1/'vehicles specifications'!$M58</f>
        <v>2.6315789473684209E-2</v>
      </c>
      <c r="AM192">
        <f>1/'vehicles specifications'!$M58</f>
        <v>2.6315789473684209E-2</v>
      </c>
      <c r="AN192">
        <f>1/'vehicles specifications'!$M58</f>
        <v>2.6315789473684209E-2</v>
      </c>
      <c r="AO192">
        <f>1/'vehicles specifications'!$M58</f>
        <v>2.6315789473684209E-2</v>
      </c>
      <c r="AP192">
        <f>1/'vehicles specifications'!$M58</f>
        <v>2.6315789473684209E-2</v>
      </c>
      <c r="AQ192">
        <f>1/'vehicles specifications'!$M58</f>
        <v>2.6315789473684209E-2</v>
      </c>
      <c r="AR192">
        <f>1/'vehicles specifications'!$M58</f>
        <v>2.6315789473684209E-2</v>
      </c>
      <c r="AS192">
        <f>1/'vehicles specifications'!$M58</f>
        <v>2.6315789473684209E-2</v>
      </c>
      <c r="AT192">
        <f>1/'vehicles specifications'!$M58</f>
        <v>2.6315789473684209E-2</v>
      </c>
      <c r="AU192">
        <f>1/'vehicles specifications'!$M58</f>
        <v>2.6315789473684209E-2</v>
      </c>
      <c r="AV192">
        <f>1/'vehicles specifications'!$M58</f>
        <v>2.6315789473684209E-2</v>
      </c>
      <c r="AW192">
        <f>1/'vehicles specifications'!$M58</f>
        <v>2.6315789473684209E-2</v>
      </c>
      <c r="AX192">
        <f>1/'vehicles specifications'!$M58</f>
        <v>2.6315789473684209E-2</v>
      </c>
      <c r="AY192">
        <f>1/'vehicles specifications'!$M58</f>
        <v>2.6315789473684209E-2</v>
      </c>
      <c r="AZ192">
        <f>1/'vehicles specifications'!$M58</f>
        <v>2.6315789473684209E-2</v>
      </c>
      <c r="BA192">
        <f>1/'vehicles specifications'!$M58</f>
        <v>2.6315789473684209E-2</v>
      </c>
      <c r="BB192">
        <f>1/'vehicles specifications'!$M58</f>
        <v>2.6315789473684209E-2</v>
      </c>
      <c r="BC192">
        <f>1/'vehicles specifications'!$M58</f>
        <v>2.6315789473684209E-2</v>
      </c>
      <c r="BD192">
        <f>1/'vehicles specifications'!$M58</f>
        <v>2.6315789473684209E-2</v>
      </c>
      <c r="BE192">
        <f>1/'vehicles specifications'!$M58</f>
        <v>2.6315789473684209E-2</v>
      </c>
      <c r="BF192">
        <f>1/'vehicles specifications'!$M58</f>
        <v>2.6315789473684209E-2</v>
      </c>
      <c r="BG192">
        <f>1/'vehicles specifications'!$M58</f>
        <v>2.6315789473684209E-2</v>
      </c>
      <c r="BH192">
        <f>1/'vehicles specifications'!$M58</f>
        <v>2.6315789473684209E-2</v>
      </c>
      <c r="BI192">
        <f>1/'vehicles specifications'!$M58</f>
        <v>2.6315789473684209E-2</v>
      </c>
      <c r="BJ192">
        <f>-1/'vehicles specifications'!$M58</f>
        <v>-2.6315789473684209E-2</v>
      </c>
      <c r="BK192">
        <f>-1/'vehicles specifications'!$M58</f>
        <v>-2.6315789473684209E-2</v>
      </c>
      <c r="BL192">
        <f>-1/'vehicles specifications'!$M58</f>
        <v>-2.6315789473684209E-2</v>
      </c>
    </row>
    <row r="193">
      <c r="A193" t="inlineStr">
        <is>
          <t>Moped, gasoline, &lt;4kW, EURO-3 - 2006 - CH</t>
        </is>
      </c>
      <c r="B193">
        <f>1/90</f>
        <v>1.1111111111111112E-2</v>
      </c>
      <c r="C193" s="2">
        <f>'vehicles specifications'!S59</f>
        <v>41.962499999999999</v>
      </c>
      <c r="D193">
        <f>1/90</f>
        <v>1.1111111111111112E-2</v>
      </c>
      <c r="F193">
        <f>1+'vehicles specifications'!AD59</f>
        <v>1</v>
      </c>
      <c r="G193">
        <f>1+'vehicles specifications'!AD59</f>
        <v>1</v>
      </c>
      <c r="H193" t="n">
        <v>1</v>
      </c>
      <c r="I193" t="n">
        <v>1</v>
      </c>
      <c r="K193">
        <f>1/('fuels and tailpipe emissions'!$C$3*3.6)</f>
        <v>2.3474178403755867E-2</v>
      </c>
      <c r="L193">
        <f>1/3.6*1.1</f>
        <v>0.30555555555555558</v>
      </c>
      <c r="M193">
        <f>1/'vehicles specifications'!J59</f>
        <v>4.0000000000000003E-5</v>
      </c>
      <c r="N193" t="n">
        <v>1</v>
      </c>
      <c r="O193">
        <f>1</f>
        <v>1</v>
      </c>
      <c r="P193" t="n">
        <v>-1</v>
      </c>
      <c r="Q193" t="n">
        <v>-1</v>
      </c>
      <c r="R193">
        <f>-1-'vehicles specifications'!AD59</f>
        <v>-1</v>
      </c>
      <c r="S193" t="n">
        <v>1</v>
      </c>
      <c r="T193" t="n">
        <v>1</v>
      </c>
      <c r="U193" t="n">
        <v>1</v>
      </c>
      <c r="V193" t="n">
        <v>1</v>
      </c>
      <c r="W193" t="n">
        <v>1</v>
      </c>
      <c r="X193" t="n">
        <v>1</v>
      </c>
      <c r="Y193" t="n">
        <v>1</v>
      </c>
      <c r="Z193" t="n">
        <v>1</v>
      </c>
      <c r="AA193" t="n">
        <v>1</v>
      </c>
      <c r="AB193" t="n">
        <v>1</v>
      </c>
      <c r="AC193" t="n">
        <v>1</v>
      </c>
      <c r="AD193" t="n">
        <v>1</v>
      </c>
      <c r="AE193" t="n">
        <v>1</v>
      </c>
      <c r="AF193" t="n">
        <v>1</v>
      </c>
      <c r="AG193" t="n">
        <v>1</v>
      </c>
      <c r="AH193" t="n">
        <v>1</v>
      </c>
      <c r="AI193" t="n">
        <v>1</v>
      </c>
      <c r="AJ193" t="n">
        <v>1</v>
      </c>
      <c r="AK193" t="n">
        <v>1</v>
      </c>
      <c r="AL193" t="n">
        <v>1</v>
      </c>
      <c r="AM193" t="n">
        <v>1</v>
      </c>
      <c r="AN193" t="n">
        <v>1</v>
      </c>
      <c r="AO193" t="n">
        <v>1</v>
      </c>
      <c r="AP193" t="n">
        <v>1</v>
      </c>
      <c r="AQ193" t="n">
        <v>1</v>
      </c>
      <c r="AR193" t="n">
        <v>1</v>
      </c>
      <c r="AS193" t="n">
        <v>1</v>
      </c>
      <c r="AT193" t="n">
        <v>1</v>
      </c>
      <c r="AU193" t="n">
        <v>1</v>
      </c>
      <c r="AV193" t="n">
        <v>1</v>
      </c>
      <c r="AW193" t="n">
        <v>1</v>
      </c>
      <c r="AX193" t="n">
        <v>1</v>
      </c>
      <c r="AY193" t="n">
        <v>1</v>
      </c>
      <c r="AZ193" t="n">
        <v>1</v>
      </c>
      <c r="BA193" t="n">
        <v>1</v>
      </c>
      <c r="BB193" t="n">
        <v>1</v>
      </c>
      <c r="BC193" t="n">
        <v>1</v>
      </c>
      <c r="BD193" t="n">
        <v>1</v>
      </c>
      <c r="BE193" t="n">
        <v>1</v>
      </c>
      <c r="BF193" t="n">
        <v>1</v>
      </c>
      <c r="BG193" t="n">
        <v>1</v>
      </c>
      <c r="BH193" t="n">
        <v>1</v>
      </c>
      <c r="BI193" t="n">
        <v>1</v>
      </c>
      <c r="BJ193" t="n">
        <v>-1</v>
      </c>
      <c r="BK193" t="n">
        <v>-1</v>
      </c>
      <c r="BL193" t="n">
        <v>-1</v>
      </c>
    </row>
    <row r="194">
      <c r="A194" t="inlineStr">
        <is>
          <t>Moped, gasoline, &lt;4kW, EURO-4 - 2016 - CH</t>
        </is>
      </c>
      <c r="B194">
        <f>1/90</f>
        <v>1.1111111111111112E-2</v>
      </c>
      <c r="C194" s="2">
        <f>'vehicles specifications'!S60</f>
        <v>41.962499999999999</v>
      </c>
      <c r="D194">
        <f>1/90</f>
        <v>1.1111111111111112E-2</v>
      </c>
      <c r="F194">
        <f>1+'vehicles specifications'!AD60</f>
        <v>1</v>
      </c>
      <c r="G194">
        <f>1+'vehicles specifications'!AD60</f>
        <v>1</v>
      </c>
      <c r="H194" t="n">
        <v>1</v>
      </c>
      <c r="I194" t="n">
        <v>1</v>
      </c>
      <c r="K194">
        <f>1/('fuels and tailpipe emissions'!$C$3*3.6)</f>
        <v>2.3474178403755867E-2</v>
      </c>
      <c r="L194">
        <f>1/3.6*1.1</f>
        <v>0.30555555555555558</v>
      </c>
      <c r="M194">
        <f>1/'vehicles specifications'!J60</f>
        <v>4.0000000000000003E-5</v>
      </c>
      <c r="N194" t="n">
        <v>1</v>
      </c>
      <c r="O194">
        <f>1</f>
        <v>1</v>
      </c>
      <c r="P194" t="n">
        <v>-1</v>
      </c>
      <c r="Q194" t="n">
        <v>-1</v>
      </c>
      <c r="R194">
        <f>-1-'vehicles specifications'!AD60</f>
        <v>-1</v>
      </c>
      <c r="S194" t="n">
        <v>1</v>
      </c>
      <c r="T194" t="n">
        <v>1</v>
      </c>
      <c r="U194" t="n">
        <v>1</v>
      </c>
      <c r="V194" t="n">
        <v>1</v>
      </c>
      <c r="W194" t="n">
        <v>1</v>
      </c>
      <c r="X194" t="n">
        <v>1</v>
      </c>
      <c r="Y194" t="n">
        <v>1</v>
      </c>
      <c r="Z194" t="n">
        <v>1</v>
      </c>
      <c r="AA194" t="n">
        <v>1</v>
      </c>
      <c r="AB194" t="n">
        <v>1</v>
      </c>
      <c r="AC194" t="n">
        <v>1</v>
      </c>
      <c r="AD194" t="n">
        <v>1</v>
      </c>
      <c r="AE194" t="n">
        <v>1</v>
      </c>
      <c r="AF194" t="n">
        <v>1</v>
      </c>
      <c r="AG194" t="n">
        <v>1</v>
      </c>
      <c r="AH194" t="n">
        <v>1</v>
      </c>
      <c r="AI194" t="n">
        <v>1</v>
      </c>
      <c r="AJ194" t="n">
        <v>1</v>
      </c>
      <c r="AK194" t="n">
        <v>1</v>
      </c>
      <c r="AL194" t="n">
        <v>1</v>
      </c>
      <c r="AM194" t="n">
        <v>1</v>
      </c>
      <c r="AN194" t="n">
        <v>1</v>
      </c>
      <c r="AO194" t="n">
        <v>1</v>
      </c>
      <c r="AP194" t="n">
        <v>1</v>
      </c>
      <c r="AQ194" t="n">
        <v>1</v>
      </c>
      <c r="AR194" t="n">
        <v>1</v>
      </c>
      <c r="AS194" t="n">
        <v>1</v>
      </c>
      <c r="AT194" t="n">
        <v>1</v>
      </c>
      <c r="AU194" t="n">
        <v>1</v>
      </c>
      <c r="AV194" t="n">
        <v>1</v>
      </c>
      <c r="AW194" t="n">
        <v>1</v>
      </c>
      <c r="AX194" t="n">
        <v>1</v>
      </c>
      <c r="AY194" t="n">
        <v>1</v>
      </c>
      <c r="AZ194" t="n">
        <v>1</v>
      </c>
      <c r="BA194" t="n">
        <v>1</v>
      </c>
      <c r="BB194" t="n">
        <v>1</v>
      </c>
      <c r="BC194" t="n">
        <v>1</v>
      </c>
      <c r="BD194" t="n">
        <v>1</v>
      </c>
      <c r="BE194" t="n">
        <v>1</v>
      </c>
      <c r="BF194" t="n">
        <v>1</v>
      </c>
      <c r="BG194" t="n">
        <v>1</v>
      </c>
      <c r="BH194" t="n">
        <v>1</v>
      </c>
      <c r="BI194" t="n">
        <v>1</v>
      </c>
      <c r="BJ194" t="n">
        <v>-1</v>
      </c>
      <c r="BK194" t="n">
        <v>-1</v>
      </c>
      <c r="BL194" t="n">
        <v>-1</v>
      </c>
    </row>
    <row r="195">
      <c r="A195" t="inlineStr">
        <is>
          <t>Moped, gasoline, &lt;4kW, EURO-5 - 2020 - CH</t>
        </is>
      </c>
      <c r="B195">
        <f>1/90</f>
        <v>1.1111111111111112E-2</v>
      </c>
      <c r="C195" s="2">
        <f>'vehicles specifications'!S61</f>
        <v>41.962499999999999</v>
      </c>
      <c r="D195">
        <f>1/90</f>
        <v>1.1111111111111112E-2</v>
      </c>
      <c r="F195">
        <f>1+'vehicles specifications'!AD61</f>
        <v>1</v>
      </c>
      <c r="G195">
        <f>1+'vehicles specifications'!AD61</f>
        <v>1</v>
      </c>
      <c r="H195" t="n">
        <v>1</v>
      </c>
      <c r="I195" t="n">
        <v>1</v>
      </c>
      <c r="K195">
        <f>1/('fuels and tailpipe emissions'!$C$3*3.6)</f>
        <v>2.3474178403755867E-2</v>
      </c>
      <c r="L195">
        <f>1/3.6*1.1</f>
        <v>0.30555555555555558</v>
      </c>
      <c r="M195">
        <f>1/'vehicles specifications'!J61</f>
        <v>4.0000000000000003E-5</v>
      </c>
      <c r="N195" t="n">
        <v>1</v>
      </c>
      <c r="O195">
        <f>1</f>
        <v>1</v>
      </c>
      <c r="P195" t="n">
        <v>-1</v>
      </c>
      <c r="Q195" t="n">
        <v>-1</v>
      </c>
      <c r="R195">
        <f>-1-'vehicles specifications'!AD61</f>
        <v>-1</v>
      </c>
      <c r="S195" t="n">
        <v>1</v>
      </c>
      <c r="T195" t="n">
        <v>1</v>
      </c>
      <c r="U195" t="n">
        <v>1</v>
      </c>
      <c r="V195" t="n">
        <v>1</v>
      </c>
      <c r="W195" t="n">
        <v>1</v>
      </c>
      <c r="X195" t="n">
        <v>1</v>
      </c>
      <c r="Y195" t="n">
        <v>1</v>
      </c>
      <c r="Z195" t="n">
        <v>1</v>
      </c>
      <c r="AA195" t="n">
        <v>1</v>
      </c>
      <c r="AB195" t="n">
        <v>1</v>
      </c>
      <c r="AC195" t="n">
        <v>1</v>
      </c>
      <c r="AD195" t="n">
        <v>1</v>
      </c>
      <c r="AE195" t="n">
        <v>1</v>
      </c>
      <c r="AF195" t="n">
        <v>1</v>
      </c>
      <c r="AG195" t="n">
        <v>1</v>
      </c>
      <c r="AH195" t="n">
        <v>1</v>
      </c>
      <c r="AI195" t="n">
        <v>1</v>
      </c>
      <c r="AJ195" t="n">
        <v>1</v>
      </c>
      <c r="AK195" t="n">
        <v>1</v>
      </c>
      <c r="AL195" t="n">
        <v>1</v>
      </c>
      <c r="AM195" t="n">
        <v>1</v>
      </c>
      <c r="AN195" t="n">
        <v>1</v>
      </c>
      <c r="AO195" t="n">
        <v>1</v>
      </c>
      <c r="AP195" t="n">
        <v>1</v>
      </c>
      <c r="AQ195" t="n">
        <v>1</v>
      </c>
      <c r="AR195" t="n">
        <v>1</v>
      </c>
      <c r="AS195" t="n">
        <v>1</v>
      </c>
      <c r="AT195" t="n">
        <v>1</v>
      </c>
      <c r="AU195" t="n">
        <v>1</v>
      </c>
      <c r="AV195" t="n">
        <v>1</v>
      </c>
      <c r="AW195" t="n">
        <v>1</v>
      </c>
      <c r="AX195" t="n">
        <v>1</v>
      </c>
      <c r="AY195" t="n">
        <v>1</v>
      </c>
      <c r="AZ195" t="n">
        <v>1</v>
      </c>
      <c r="BA195" t="n">
        <v>1</v>
      </c>
      <c r="BB195" t="n">
        <v>1</v>
      </c>
      <c r="BC195" t="n">
        <v>1</v>
      </c>
      <c r="BD195" t="n">
        <v>1</v>
      </c>
      <c r="BE195" t="n">
        <v>1</v>
      </c>
      <c r="BF195" t="n">
        <v>1</v>
      </c>
      <c r="BG195" t="n">
        <v>1</v>
      </c>
      <c r="BH195" t="n">
        <v>1</v>
      </c>
      <c r="BI195" t="n">
        <v>1</v>
      </c>
      <c r="BJ195" t="n">
        <v>-1</v>
      </c>
      <c r="BK195" t="n">
        <v>-1</v>
      </c>
      <c r="BL195" t="n">
        <v>-1</v>
      </c>
    </row>
    <row r="196">
      <c r="A196" t="inlineStr">
        <is>
          <t>Moped, gasoline, &lt;4kW, EURO-5 - 2030 - CH</t>
        </is>
      </c>
      <c r="B196">
        <f>1/90</f>
        <v>1.1111111111111112E-2</v>
      </c>
      <c r="C196" s="2">
        <f>'vehicles specifications'!S62</f>
        <v>42.362499999999997</v>
      </c>
      <c r="D196">
        <f>1/90</f>
        <v>1.1111111111111112E-2</v>
      </c>
      <c r="F196">
        <f>1+'vehicles specifications'!AD62</f>
        <v>1</v>
      </c>
      <c r="G196">
        <f>1+'vehicles specifications'!AD62</f>
        <v>1</v>
      </c>
      <c r="H196" t="n">
        <v>1</v>
      </c>
      <c r="I196" t="n">
        <v>1</v>
      </c>
      <c r="K196">
        <f>1/('fuels and tailpipe emissions'!$C$3*3.6)</f>
        <v>2.3474178403755867E-2</v>
      </c>
      <c r="L196">
        <f>1/3.6*1.1</f>
        <v>0.30555555555555558</v>
      </c>
      <c r="M196">
        <f>1/'vehicles specifications'!J62</f>
        <v>4.0000000000000003E-5</v>
      </c>
      <c r="N196" t="n">
        <v>1</v>
      </c>
      <c r="O196">
        <f>1</f>
        <v>1</v>
      </c>
      <c r="P196" t="n">
        <v>-1</v>
      </c>
      <c r="Q196" t="n">
        <v>-1</v>
      </c>
      <c r="R196">
        <f>-1-'vehicles specifications'!AD62</f>
        <v>-1</v>
      </c>
      <c r="S196" t="n">
        <v>1</v>
      </c>
      <c r="T196" t="n">
        <v>1</v>
      </c>
      <c r="U196" t="n">
        <v>1</v>
      </c>
      <c r="V196" t="n">
        <v>1</v>
      </c>
      <c r="W196" t="n">
        <v>1</v>
      </c>
      <c r="X196" t="n">
        <v>1</v>
      </c>
      <c r="Y196" t="n">
        <v>1</v>
      </c>
      <c r="Z196" t="n">
        <v>1</v>
      </c>
      <c r="AA196" t="n">
        <v>1</v>
      </c>
      <c r="AB196" t="n">
        <v>1</v>
      </c>
      <c r="AC196" t="n">
        <v>1</v>
      </c>
      <c r="AD196" t="n">
        <v>1</v>
      </c>
      <c r="AE196" t="n">
        <v>1</v>
      </c>
      <c r="AF196" t="n">
        <v>1</v>
      </c>
      <c r="AG196" t="n">
        <v>1</v>
      </c>
      <c r="AH196" t="n">
        <v>1</v>
      </c>
      <c r="AI196" t="n">
        <v>1</v>
      </c>
      <c r="AJ196" t="n">
        <v>1</v>
      </c>
      <c r="AK196" t="n">
        <v>1</v>
      </c>
      <c r="AL196" t="n">
        <v>1</v>
      </c>
      <c r="AM196" t="n">
        <v>1</v>
      </c>
      <c r="AN196" t="n">
        <v>1</v>
      </c>
      <c r="AO196" t="n">
        <v>1</v>
      </c>
      <c r="AP196" t="n">
        <v>1</v>
      </c>
      <c r="AQ196" t="n">
        <v>1</v>
      </c>
      <c r="AR196" t="n">
        <v>1</v>
      </c>
      <c r="AS196" t="n">
        <v>1</v>
      </c>
      <c r="AT196" t="n">
        <v>1</v>
      </c>
      <c r="AU196" t="n">
        <v>1</v>
      </c>
      <c r="AV196" t="n">
        <v>1</v>
      </c>
      <c r="AW196" t="n">
        <v>1</v>
      </c>
      <c r="AX196" t="n">
        <v>1</v>
      </c>
      <c r="AY196" t="n">
        <v>1</v>
      </c>
      <c r="AZ196" t="n">
        <v>1</v>
      </c>
      <c r="BA196" t="n">
        <v>1</v>
      </c>
      <c r="BB196" t="n">
        <v>1</v>
      </c>
      <c r="BC196" t="n">
        <v>1</v>
      </c>
      <c r="BD196" t="n">
        <v>1</v>
      </c>
      <c r="BE196" t="n">
        <v>1</v>
      </c>
      <c r="BF196" t="n">
        <v>1</v>
      </c>
      <c r="BG196" t="n">
        <v>1</v>
      </c>
      <c r="BH196" t="n">
        <v>1</v>
      </c>
      <c r="BI196" t="n">
        <v>1</v>
      </c>
      <c r="BJ196" t="n">
        <v>-1</v>
      </c>
      <c r="BK196" t="n">
        <v>-1</v>
      </c>
      <c r="BL196" t="n">
        <v>-1</v>
      </c>
    </row>
    <row r="197">
      <c r="A197" t="inlineStr">
        <is>
          <t>Moped, gasoline, &lt;4kW, EURO-5 - 2040 - CH</t>
        </is>
      </c>
      <c r="B197">
        <f>1/90</f>
        <v>1.1111111111111112E-2</v>
      </c>
      <c r="C197" s="2">
        <f>'vehicles specifications'!S63</f>
        <v>42.862499999999997</v>
      </c>
      <c r="D197">
        <f>1/90</f>
        <v>1.1111111111111112E-2</v>
      </c>
      <c r="F197">
        <f>1+'vehicles specifications'!AD63</f>
        <v>1</v>
      </c>
      <c r="G197">
        <f>1+'vehicles specifications'!AD63</f>
        <v>1</v>
      </c>
      <c r="H197" t="n">
        <v>1</v>
      </c>
      <c r="I197" t="n">
        <v>1</v>
      </c>
      <c r="K197">
        <f>1/('fuels and tailpipe emissions'!$C$3*3.6)</f>
        <v>2.3474178403755867E-2</v>
      </c>
      <c r="L197">
        <f>1/3.6*1.1</f>
        <v>0.30555555555555558</v>
      </c>
      <c r="M197">
        <f>1/'vehicles specifications'!J63</f>
        <v>4.0000000000000003E-5</v>
      </c>
      <c r="N197" t="n">
        <v>1</v>
      </c>
      <c r="O197">
        <f>1</f>
        <v>1</v>
      </c>
      <c r="P197" t="n">
        <v>-1</v>
      </c>
      <c r="Q197" t="n">
        <v>-1</v>
      </c>
      <c r="R197">
        <f>-1-'vehicles specifications'!AD63</f>
        <v>-1</v>
      </c>
      <c r="S197" t="n">
        <v>1</v>
      </c>
      <c r="T197" t="n">
        <v>1</v>
      </c>
      <c r="U197" t="n">
        <v>1</v>
      </c>
      <c r="V197" t="n">
        <v>1</v>
      </c>
      <c r="W197" t="n">
        <v>1</v>
      </c>
      <c r="X197" t="n">
        <v>1</v>
      </c>
      <c r="Y197" t="n">
        <v>1</v>
      </c>
      <c r="Z197" t="n">
        <v>1</v>
      </c>
      <c r="AA197" t="n">
        <v>1</v>
      </c>
      <c r="AB197" t="n">
        <v>1</v>
      </c>
      <c r="AC197" t="n">
        <v>1</v>
      </c>
      <c r="AD197" t="n">
        <v>1</v>
      </c>
      <c r="AE197" t="n">
        <v>1</v>
      </c>
      <c r="AF197" t="n">
        <v>1</v>
      </c>
      <c r="AG197" t="n">
        <v>1</v>
      </c>
      <c r="AH197" t="n">
        <v>1</v>
      </c>
      <c r="AI197" t="n">
        <v>1</v>
      </c>
      <c r="AJ197" t="n">
        <v>1</v>
      </c>
      <c r="AK197" t="n">
        <v>1</v>
      </c>
      <c r="AL197" t="n">
        <v>1</v>
      </c>
      <c r="AM197" t="n">
        <v>1</v>
      </c>
      <c r="AN197" t="n">
        <v>1</v>
      </c>
      <c r="AO197" t="n">
        <v>1</v>
      </c>
      <c r="AP197" t="n">
        <v>1</v>
      </c>
      <c r="AQ197" t="n">
        <v>1</v>
      </c>
      <c r="AR197" t="n">
        <v>1</v>
      </c>
      <c r="AS197" t="n">
        <v>1</v>
      </c>
      <c r="AT197" t="n">
        <v>1</v>
      </c>
      <c r="AU197" t="n">
        <v>1</v>
      </c>
      <c r="AV197" t="n">
        <v>1</v>
      </c>
      <c r="AW197" t="n">
        <v>1</v>
      </c>
      <c r="AX197" t="n">
        <v>1</v>
      </c>
      <c r="AY197" t="n">
        <v>1</v>
      </c>
      <c r="AZ197" t="n">
        <v>1</v>
      </c>
      <c r="BA197" t="n">
        <v>1</v>
      </c>
      <c r="BB197" t="n">
        <v>1</v>
      </c>
      <c r="BC197" t="n">
        <v>1</v>
      </c>
      <c r="BD197" t="n">
        <v>1</v>
      </c>
      <c r="BE197" t="n">
        <v>1</v>
      </c>
      <c r="BF197" t="n">
        <v>1</v>
      </c>
      <c r="BG197" t="n">
        <v>1</v>
      </c>
      <c r="BH197" t="n">
        <v>1</v>
      </c>
      <c r="BI197" t="n">
        <v>1</v>
      </c>
      <c r="BJ197" t="n">
        <v>-1</v>
      </c>
      <c r="BK197" t="n">
        <v>-1</v>
      </c>
      <c r="BL197" t="n">
        <v>-1</v>
      </c>
    </row>
    <row r="198">
      <c r="A198" t="inlineStr">
        <is>
          <t>Moped, gasoline, &lt;4kW, EURO-5 - 2050 - CH</t>
        </is>
      </c>
      <c r="B198">
        <f>1/90</f>
        <v>1.1111111111111112E-2</v>
      </c>
      <c r="C198" s="2">
        <f>'vehicles specifications'!S64</f>
        <v>43.262500000000003</v>
      </c>
      <c r="D198">
        <f>1/90</f>
        <v>1.1111111111111112E-2</v>
      </c>
      <c r="F198">
        <f>1+'vehicles specifications'!AD64</f>
        <v>1</v>
      </c>
      <c r="G198">
        <f>1+'vehicles specifications'!AD64</f>
        <v>1</v>
      </c>
      <c r="H198" t="n">
        <v>1</v>
      </c>
      <c r="I198" t="n">
        <v>1</v>
      </c>
      <c r="K198">
        <f>1/('fuels and tailpipe emissions'!$C$3*3.6)</f>
        <v>2.3474178403755867E-2</v>
      </c>
      <c r="L198">
        <f>1/3.6*1.1</f>
        <v>0.30555555555555558</v>
      </c>
      <c r="M198">
        <f>1/'vehicles specifications'!J64</f>
        <v>4.0000000000000003E-5</v>
      </c>
      <c r="N198" t="n">
        <v>1</v>
      </c>
      <c r="O198">
        <f>1</f>
        <v>1</v>
      </c>
      <c r="P198" t="n">
        <v>-1</v>
      </c>
      <c r="Q198" t="n">
        <v>-1</v>
      </c>
      <c r="R198">
        <f>-1-'vehicles specifications'!AD64</f>
        <v>-1</v>
      </c>
      <c r="S198" t="n">
        <v>1</v>
      </c>
      <c r="T198" t="n">
        <v>1</v>
      </c>
      <c r="U198" t="n">
        <v>1</v>
      </c>
      <c r="V198" t="n">
        <v>1</v>
      </c>
      <c r="W198" t="n">
        <v>1</v>
      </c>
      <c r="X198" t="n">
        <v>1</v>
      </c>
      <c r="Y198" t="n">
        <v>1</v>
      </c>
      <c r="Z198" t="n">
        <v>1</v>
      </c>
      <c r="AA198" t="n">
        <v>1</v>
      </c>
      <c r="AB198" t="n">
        <v>1</v>
      </c>
      <c r="AC198" t="n">
        <v>1</v>
      </c>
      <c r="AD198" t="n">
        <v>1</v>
      </c>
      <c r="AE198" t="n">
        <v>1</v>
      </c>
      <c r="AF198" t="n">
        <v>1</v>
      </c>
      <c r="AG198" t="n">
        <v>1</v>
      </c>
      <c r="AH198" t="n">
        <v>1</v>
      </c>
      <c r="AI198" t="n">
        <v>1</v>
      </c>
      <c r="AJ198" t="n">
        <v>1</v>
      </c>
      <c r="AK198" t="n">
        <v>1</v>
      </c>
      <c r="AL198" t="n">
        <v>1</v>
      </c>
      <c r="AM198" t="n">
        <v>1</v>
      </c>
      <c r="AN198" t="n">
        <v>1</v>
      </c>
      <c r="AO198" t="n">
        <v>1</v>
      </c>
      <c r="AP198" t="n">
        <v>1</v>
      </c>
      <c r="AQ198" t="n">
        <v>1</v>
      </c>
      <c r="AR198" t="n">
        <v>1</v>
      </c>
      <c r="AS198" t="n">
        <v>1</v>
      </c>
      <c r="AT198" t="n">
        <v>1</v>
      </c>
      <c r="AU198" t="n">
        <v>1</v>
      </c>
      <c r="AV198" t="n">
        <v>1</v>
      </c>
      <c r="AW198" t="n">
        <v>1</v>
      </c>
      <c r="AX198" t="n">
        <v>1</v>
      </c>
      <c r="AY198" t="n">
        <v>1</v>
      </c>
      <c r="AZ198" t="n">
        <v>1</v>
      </c>
      <c r="BA198" t="n">
        <v>1</v>
      </c>
      <c r="BB198" t="n">
        <v>1</v>
      </c>
      <c r="BC198" t="n">
        <v>1</v>
      </c>
      <c r="BD198" t="n">
        <v>1</v>
      </c>
      <c r="BE198" t="n">
        <v>1</v>
      </c>
      <c r="BF198" t="n">
        <v>1</v>
      </c>
      <c r="BG198" t="n">
        <v>1</v>
      </c>
      <c r="BH198" t="n">
        <v>1</v>
      </c>
      <c r="BI198" t="n">
        <v>1</v>
      </c>
      <c r="BJ198" t="n">
        <v>-1</v>
      </c>
      <c r="BK198" t="n">
        <v>-1</v>
      </c>
      <c r="BL198" t="n">
        <v>-1</v>
      </c>
    </row>
    <row r="199">
      <c r="A199" t="inlineStr">
        <is>
          <t>Scooter, gasoline, &lt;4kW, EURO-3 - 2006 - CH</t>
        </is>
      </c>
      <c r="B199">
        <f>1/90</f>
        <v>1.1111111111111112E-2</v>
      </c>
      <c r="C199" s="2">
        <f>'vehicles specifications'!S65</f>
        <v>53</v>
      </c>
      <c r="D199">
        <f>1/90</f>
        <v>1.1111111111111112E-2</v>
      </c>
      <c r="F199">
        <f>1+'vehicles specifications'!AD65</f>
        <v>1</v>
      </c>
      <c r="G199">
        <f>1+'vehicles specifications'!AD65</f>
        <v>1</v>
      </c>
      <c r="H199" t="n">
        <v>1</v>
      </c>
      <c r="I199" t="n">
        <v>1</v>
      </c>
      <c r="K199">
        <f>1/('fuels and tailpipe emissions'!$C$3*3.6)</f>
        <v>2.3474178403755867E-2</v>
      </c>
      <c r="L199">
        <f>1/3.6*1.1</f>
        <v>0.30555555555555558</v>
      </c>
      <c r="M199">
        <f>1/'vehicles specifications'!J65</f>
        <v>4.0000000000000003E-5</v>
      </c>
      <c r="N199" t="n">
        <v>1</v>
      </c>
      <c r="O199">
        <f>1</f>
        <v>1</v>
      </c>
      <c r="P199" t="n">
        <v>-1</v>
      </c>
      <c r="Q199" t="n">
        <v>-1</v>
      </c>
      <c r="R199">
        <f>-1-'vehicles specifications'!AD65</f>
        <v>-1</v>
      </c>
      <c r="S199" t="n">
        <v>1</v>
      </c>
      <c r="T199" t="n">
        <v>1</v>
      </c>
      <c r="U199" t="n">
        <v>1</v>
      </c>
      <c r="V199" t="n">
        <v>1</v>
      </c>
      <c r="W199" t="n">
        <v>1</v>
      </c>
      <c r="X199" t="n">
        <v>1</v>
      </c>
      <c r="Y199" t="n">
        <v>1</v>
      </c>
      <c r="Z199" t="n">
        <v>1</v>
      </c>
      <c r="AA199" t="n">
        <v>1</v>
      </c>
      <c r="AB199" t="n">
        <v>1</v>
      </c>
      <c r="AC199" t="n">
        <v>1</v>
      </c>
      <c r="AD199" t="n">
        <v>1</v>
      </c>
      <c r="AE199" t="n">
        <v>1</v>
      </c>
      <c r="AF199" t="n">
        <v>1</v>
      </c>
      <c r="AG199" t="n">
        <v>1</v>
      </c>
      <c r="AH199" t="n">
        <v>1</v>
      </c>
      <c r="AI199" t="n">
        <v>1</v>
      </c>
      <c r="AJ199" t="n">
        <v>1</v>
      </c>
      <c r="AK199" t="n">
        <v>1</v>
      </c>
      <c r="AL199" t="n">
        <v>1</v>
      </c>
      <c r="AM199" t="n">
        <v>1</v>
      </c>
      <c r="AN199" t="n">
        <v>1</v>
      </c>
      <c r="AO199" t="n">
        <v>1</v>
      </c>
      <c r="AP199" t="n">
        <v>1</v>
      </c>
      <c r="AQ199" t="n">
        <v>1</v>
      </c>
      <c r="AR199" t="n">
        <v>1</v>
      </c>
      <c r="AS199" t="n">
        <v>1</v>
      </c>
      <c r="AT199" t="n">
        <v>1</v>
      </c>
      <c r="AU199" t="n">
        <v>1</v>
      </c>
      <c r="AV199" t="n">
        <v>1</v>
      </c>
      <c r="AW199" t="n">
        <v>1</v>
      </c>
      <c r="AX199" t="n">
        <v>1</v>
      </c>
      <c r="AY199" t="n">
        <v>1</v>
      </c>
      <c r="AZ199" t="n">
        <v>1</v>
      </c>
      <c r="BA199" t="n">
        <v>1</v>
      </c>
      <c r="BB199" t="n">
        <v>1</v>
      </c>
      <c r="BC199" t="n">
        <v>1</v>
      </c>
      <c r="BD199" t="n">
        <v>1</v>
      </c>
      <c r="BE199" t="n">
        <v>1</v>
      </c>
      <c r="BF199" t="n">
        <v>1</v>
      </c>
      <c r="BG199" t="n">
        <v>1</v>
      </c>
      <c r="BH199" t="n">
        <v>1</v>
      </c>
      <c r="BI199" t="n">
        <v>1</v>
      </c>
      <c r="BJ199" t="n">
        <v>-1</v>
      </c>
      <c r="BK199" t="n">
        <v>-1</v>
      </c>
      <c r="BL199" t="n">
        <v>-1</v>
      </c>
    </row>
    <row r="200">
      <c r="A200" t="inlineStr">
        <is>
          <t>Scooter, gasoline, &lt;4kW, EURO-4 - 2016 - CH</t>
        </is>
      </c>
      <c r="B200">
        <f>1/90</f>
        <v>1.1111111111111112E-2</v>
      </c>
      <c r="C200" s="2">
        <f>'vehicles specifications'!S66</f>
        <v>53</v>
      </c>
      <c r="D200">
        <f>1/90</f>
        <v>1.1111111111111112E-2</v>
      </c>
      <c r="F200">
        <f>1+'vehicles specifications'!AD66</f>
        <v>1</v>
      </c>
      <c r="G200">
        <f>1+'vehicles specifications'!AD66</f>
        <v>1</v>
      </c>
      <c r="H200" t="n">
        <v>1</v>
      </c>
      <c r="I200" t="n">
        <v>1</v>
      </c>
      <c r="K200">
        <f>1/('fuels and tailpipe emissions'!$C$3*3.6)</f>
        <v>2.3474178403755867E-2</v>
      </c>
      <c r="L200">
        <f>1/3.6*1.1</f>
        <v>0.30555555555555558</v>
      </c>
      <c r="M200">
        <f>1/'vehicles specifications'!J66</f>
        <v>4.0000000000000003E-5</v>
      </c>
      <c r="N200" t="n">
        <v>1</v>
      </c>
      <c r="O200">
        <f>1</f>
        <v>1</v>
      </c>
      <c r="P200" t="n">
        <v>-1</v>
      </c>
      <c r="Q200" t="n">
        <v>-1</v>
      </c>
      <c r="R200">
        <f>-1-'vehicles specifications'!AD66</f>
        <v>-1</v>
      </c>
      <c r="S200" t="n">
        <v>1</v>
      </c>
      <c r="T200" t="n">
        <v>1</v>
      </c>
      <c r="U200" t="n">
        <v>1</v>
      </c>
      <c r="V200" t="n">
        <v>1</v>
      </c>
      <c r="W200" t="n">
        <v>1</v>
      </c>
      <c r="X200" t="n">
        <v>1</v>
      </c>
      <c r="Y200" t="n">
        <v>1</v>
      </c>
      <c r="Z200" t="n">
        <v>1</v>
      </c>
      <c r="AA200" t="n">
        <v>1</v>
      </c>
      <c r="AB200" t="n">
        <v>1</v>
      </c>
      <c r="AC200" t="n">
        <v>1</v>
      </c>
      <c r="AD200" t="n">
        <v>1</v>
      </c>
      <c r="AE200" t="n">
        <v>1</v>
      </c>
      <c r="AF200" t="n">
        <v>1</v>
      </c>
      <c r="AG200" t="n">
        <v>1</v>
      </c>
      <c r="AH200" t="n">
        <v>1</v>
      </c>
      <c r="AI200" t="n">
        <v>1</v>
      </c>
      <c r="AJ200" t="n">
        <v>1</v>
      </c>
      <c r="AK200" t="n">
        <v>1</v>
      </c>
      <c r="AL200" t="n">
        <v>1</v>
      </c>
      <c r="AM200" t="n">
        <v>1</v>
      </c>
      <c r="AN200" t="n">
        <v>1</v>
      </c>
      <c r="AO200" t="n">
        <v>1</v>
      </c>
      <c r="AP200" t="n">
        <v>1</v>
      </c>
      <c r="AQ200" t="n">
        <v>1</v>
      </c>
      <c r="AR200" t="n">
        <v>1</v>
      </c>
      <c r="AS200" t="n">
        <v>1</v>
      </c>
      <c r="AT200" t="n">
        <v>1</v>
      </c>
      <c r="AU200" t="n">
        <v>1</v>
      </c>
      <c r="AV200" t="n">
        <v>1</v>
      </c>
      <c r="AW200" t="n">
        <v>1</v>
      </c>
      <c r="AX200" t="n">
        <v>1</v>
      </c>
      <c r="AY200" t="n">
        <v>1</v>
      </c>
      <c r="AZ200" t="n">
        <v>1</v>
      </c>
      <c r="BA200" t="n">
        <v>1</v>
      </c>
      <c r="BB200" t="n">
        <v>1</v>
      </c>
      <c r="BC200" t="n">
        <v>1</v>
      </c>
      <c r="BD200" t="n">
        <v>1</v>
      </c>
      <c r="BE200" t="n">
        <v>1</v>
      </c>
      <c r="BF200" t="n">
        <v>1</v>
      </c>
      <c r="BG200" t="n">
        <v>1</v>
      </c>
      <c r="BH200" t="n">
        <v>1</v>
      </c>
      <c r="BI200" t="n">
        <v>1</v>
      </c>
      <c r="BJ200" t="n">
        <v>-1</v>
      </c>
      <c r="BK200" t="n">
        <v>-1</v>
      </c>
      <c r="BL200" t="n">
        <v>-1</v>
      </c>
    </row>
    <row r="201">
      <c r="A201" t="inlineStr">
        <is>
          <t>Scooter, gasoline, &lt;4kW, EURO-5 - 2020 - CH</t>
        </is>
      </c>
      <c r="B201">
        <f>1/90</f>
        <v>1.1111111111111112E-2</v>
      </c>
      <c r="C201" s="2">
        <f>'vehicles specifications'!S67</f>
        <v>53</v>
      </c>
      <c r="D201">
        <f>1/90</f>
        <v>1.1111111111111112E-2</v>
      </c>
      <c r="F201">
        <f>1+'vehicles specifications'!AD67</f>
        <v>1</v>
      </c>
      <c r="G201">
        <f>1+'vehicles specifications'!AD67</f>
        <v>1</v>
      </c>
      <c r="H201" t="n">
        <v>1</v>
      </c>
      <c r="I201" t="n">
        <v>1</v>
      </c>
      <c r="K201">
        <f>1/('fuels and tailpipe emissions'!$C$3*3.6)</f>
        <v>2.3474178403755867E-2</v>
      </c>
      <c r="L201">
        <f>1/3.6*1.1</f>
        <v>0.30555555555555558</v>
      </c>
      <c r="M201">
        <f>1/'vehicles specifications'!J67</f>
        <v>4.0000000000000003E-5</v>
      </c>
      <c r="N201" t="n">
        <v>1</v>
      </c>
      <c r="O201">
        <f>1</f>
        <v>1</v>
      </c>
      <c r="P201" t="n">
        <v>-1</v>
      </c>
      <c r="Q201" t="n">
        <v>-1</v>
      </c>
      <c r="R201">
        <f>-1-'vehicles specifications'!AD67</f>
        <v>-1</v>
      </c>
      <c r="S201" t="n">
        <v>1</v>
      </c>
      <c r="T201" t="n">
        <v>1</v>
      </c>
      <c r="U201" t="n">
        <v>1</v>
      </c>
      <c r="V201" t="n">
        <v>1</v>
      </c>
      <c r="W201" t="n">
        <v>1</v>
      </c>
      <c r="X201" t="n">
        <v>1</v>
      </c>
      <c r="Y201" t="n">
        <v>1</v>
      </c>
      <c r="Z201" t="n">
        <v>1</v>
      </c>
      <c r="AA201" t="n">
        <v>1</v>
      </c>
      <c r="AB201" t="n">
        <v>1</v>
      </c>
      <c r="AC201" t="n">
        <v>1</v>
      </c>
      <c r="AD201" t="n">
        <v>1</v>
      </c>
      <c r="AE201" t="n">
        <v>1</v>
      </c>
      <c r="AF201" t="n">
        <v>1</v>
      </c>
      <c r="AG201" t="n">
        <v>1</v>
      </c>
      <c r="AH201" t="n">
        <v>1</v>
      </c>
      <c r="AI201" t="n">
        <v>1</v>
      </c>
      <c r="AJ201" t="n">
        <v>1</v>
      </c>
      <c r="AK201" t="n">
        <v>1</v>
      </c>
      <c r="AL201" t="n">
        <v>1</v>
      </c>
      <c r="AM201" t="n">
        <v>1</v>
      </c>
      <c r="AN201" t="n">
        <v>1</v>
      </c>
      <c r="AO201" t="n">
        <v>1</v>
      </c>
      <c r="AP201" t="n">
        <v>1</v>
      </c>
      <c r="AQ201" t="n">
        <v>1</v>
      </c>
      <c r="AR201" t="n">
        <v>1</v>
      </c>
      <c r="AS201" t="n">
        <v>1</v>
      </c>
      <c r="AT201" t="n">
        <v>1</v>
      </c>
      <c r="AU201" t="n">
        <v>1</v>
      </c>
      <c r="AV201" t="n">
        <v>1</v>
      </c>
      <c r="AW201" t="n">
        <v>1</v>
      </c>
      <c r="AX201" t="n">
        <v>1</v>
      </c>
      <c r="AY201" t="n">
        <v>1</v>
      </c>
      <c r="AZ201" t="n">
        <v>1</v>
      </c>
      <c r="BA201" t="n">
        <v>1</v>
      </c>
      <c r="BB201" t="n">
        <v>1</v>
      </c>
      <c r="BC201" t="n">
        <v>1</v>
      </c>
      <c r="BD201" t="n">
        <v>1</v>
      </c>
      <c r="BE201" t="n">
        <v>1</v>
      </c>
      <c r="BF201" t="n">
        <v>1</v>
      </c>
      <c r="BG201" t="n">
        <v>1</v>
      </c>
      <c r="BH201" t="n">
        <v>1</v>
      </c>
      <c r="BI201" t="n">
        <v>1</v>
      </c>
      <c r="BJ201" t="n">
        <v>-1</v>
      </c>
      <c r="BK201" t="n">
        <v>-1</v>
      </c>
      <c r="BL201" t="n">
        <v>-1</v>
      </c>
    </row>
    <row r="202">
      <c r="A202" t="inlineStr">
        <is>
          <t>Scooter, gasoline, &lt;4kW, EURO-5 - 2030 - CH</t>
        </is>
      </c>
      <c r="B202">
        <f>1/90</f>
        <v>1.1111111111111112E-2</v>
      </c>
      <c r="C202" s="2">
        <f>'vehicles specifications'!S68</f>
        <v>53</v>
      </c>
      <c r="D202">
        <f>1/90</f>
        <v>1.1111111111111112E-2</v>
      </c>
      <c r="F202">
        <f>1+'vehicles specifications'!AD68</f>
        <v>1</v>
      </c>
      <c r="G202">
        <f>1+'vehicles specifications'!AD68</f>
        <v>1</v>
      </c>
      <c r="H202" t="n">
        <v>1</v>
      </c>
      <c r="I202" t="n">
        <v>1</v>
      </c>
      <c r="K202">
        <f>1/('fuels and tailpipe emissions'!$C$3*3.6)</f>
        <v>2.3474178403755867E-2</v>
      </c>
      <c r="L202">
        <f>1/3.6*1.1</f>
        <v>0.30555555555555558</v>
      </c>
      <c r="M202">
        <f>1/'vehicles specifications'!J68</f>
        <v>4.0000000000000003E-5</v>
      </c>
      <c r="N202" t="n">
        <v>1</v>
      </c>
      <c r="O202">
        <f>1</f>
        <v>1</v>
      </c>
      <c r="P202" t="n">
        <v>-1</v>
      </c>
      <c r="Q202" t="n">
        <v>-1</v>
      </c>
      <c r="R202">
        <f>-1-'vehicles specifications'!AD68</f>
        <v>-1</v>
      </c>
      <c r="S202" t="n">
        <v>1</v>
      </c>
      <c r="T202" t="n">
        <v>1</v>
      </c>
      <c r="U202" t="n">
        <v>1</v>
      </c>
      <c r="V202" t="n">
        <v>1</v>
      </c>
      <c r="W202" t="n">
        <v>1</v>
      </c>
      <c r="X202" t="n">
        <v>1</v>
      </c>
      <c r="Y202" t="n">
        <v>1</v>
      </c>
      <c r="Z202" t="n">
        <v>1</v>
      </c>
      <c r="AA202" t="n">
        <v>1</v>
      </c>
      <c r="AB202" t="n">
        <v>1</v>
      </c>
      <c r="AC202" t="n">
        <v>1</v>
      </c>
      <c r="AD202" t="n">
        <v>1</v>
      </c>
      <c r="AE202" t="n">
        <v>1</v>
      </c>
      <c r="AF202" t="n">
        <v>1</v>
      </c>
      <c r="AG202" t="n">
        <v>1</v>
      </c>
      <c r="AH202" t="n">
        <v>1</v>
      </c>
      <c r="AI202" t="n">
        <v>1</v>
      </c>
      <c r="AJ202" t="n">
        <v>1</v>
      </c>
      <c r="AK202" t="n">
        <v>1</v>
      </c>
      <c r="AL202" t="n">
        <v>1</v>
      </c>
      <c r="AM202" t="n">
        <v>1</v>
      </c>
      <c r="AN202" t="n">
        <v>1</v>
      </c>
      <c r="AO202" t="n">
        <v>1</v>
      </c>
      <c r="AP202" t="n">
        <v>1</v>
      </c>
      <c r="AQ202" t="n">
        <v>1</v>
      </c>
      <c r="AR202" t="n">
        <v>1</v>
      </c>
      <c r="AS202" t="n">
        <v>1</v>
      </c>
      <c r="AT202" t="n">
        <v>1</v>
      </c>
      <c r="AU202" t="n">
        <v>1</v>
      </c>
      <c r="AV202" t="n">
        <v>1</v>
      </c>
      <c r="AW202" t="n">
        <v>1</v>
      </c>
      <c r="AX202" t="n">
        <v>1</v>
      </c>
      <c r="AY202" t="n">
        <v>1</v>
      </c>
      <c r="AZ202" t="n">
        <v>1</v>
      </c>
      <c r="BA202" t="n">
        <v>1</v>
      </c>
      <c r="BB202" t="n">
        <v>1</v>
      </c>
      <c r="BC202" t="n">
        <v>1</v>
      </c>
      <c r="BD202" t="n">
        <v>1</v>
      </c>
      <c r="BE202" t="n">
        <v>1</v>
      </c>
      <c r="BF202" t="n">
        <v>1</v>
      </c>
      <c r="BG202" t="n">
        <v>1</v>
      </c>
      <c r="BH202" t="n">
        <v>1</v>
      </c>
      <c r="BI202" t="n">
        <v>1</v>
      </c>
      <c r="BJ202" t="n">
        <v>-1</v>
      </c>
      <c r="BK202" t="n">
        <v>-1</v>
      </c>
      <c r="BL202" t="n">
        <v>-1</v>
      </c>
    </row>
    <row r="203">
      <c r="A203" t="inlineStr">
        <is>
          <t>Scooter, gasoline, &lt;4kW, EURO-5 - 2040 - CH</t>
        </is>
      </c>
      <c r="B203">
        <f>1/90</f>
        <v>1.1111111111111112E-2</v>
      </c>
      <c r="C203" s="2">
        <f>'vehicles specifications'!S69</f>
        <v>53</v>
      </c>
      <c r="D203">
        <f>1/90</f>
        <v>1.1111111111111112E-2</v>
      </c>
      <c r="F203">
        <f>1+'vehicles specifications'!AD69</f>
        <v>1</v>
      </c>
      <c r="G203">
        <f>1+'vehicles specifications'!AD69</f>
        <v>1</v>
      </c>
      <c r="H203" t="n">
        <v>1</v>
      </c>
      <c r="I203" t="n">
        <v>1</v>
      </c>
      <c r="K203">
        <f>1/('fuels and tailpipe emissions'!$C$3*3.6)</f>
        <v>2.3474178403755867E-2</v>
      </c>
      <c r="L203">
        <f>1/3.6*1.1</f>
        <v>0.30555555555555558</v>
      </c>
      <c r="M203">
        <f>1/'vehicles specifications'!J69</f>
        <v>4.0000000000000003E-5</v>
      </c>
      <c r="N203" t="n">
        <v>1</v>
      </c>
      <c r="O203">
        <f>1</f>
        <v>1</v>
      </c>
      <c r="P203" t="n">
        <v>-1</v>
      </c>
      <c r="Q203" t="n">
        <v>-1</v>
      </c>
      <c r="R203">
        <f>-1-'vehicles specifications'!AD69</f>
        <v>-1</v>
      </c>
      <c r="S203" t="n">
        <v>1</v>
      </c>
      <c r="T203" t="n">
        <v>1</v>
      </c>
      <c r="U203" t="n">
        <v>1</v>
      </c>
      <c r="V203" t="n">
        <v>1</v>
      </c>
      <c r="W203" t="n">
        <v>1</v>
      </c>
      <c r="X203" t="n">
        <v>1</v>
      </c>
      <c r="Y203" t="n">
        <v>1</v>
      </c>
      <c r="Z203" t="n">
        <v>1</v>
      </c>
      <c r="AA203" t="n">
        <v>1</v>
      </c>
      <c r="AB203" t="n">
        <v>1</v>
      </c>
      <c r="AC203" t="n">
        <v>1</v>
      </c>
      <c r="AD203" t="n">
        <v>1</v>
      </c>
      <c r="AE203" t="n">
        <v>1</v>
      </c>
      <c r="AF203" t="n">
        <v>1</v>
      </c>
      <c r="AG203" t="n">
        <v>1</v>
      </c>
      <c r="AH203" t="n">
        <v>1</v>
      </c>
      <c r="AI203" t="n">
        <v>1</v>
      </c>
      <c r="AJ203" t="n">
        <v>1</v>
      </c>
      <c r="AK203" t="n">
        <v>1</v>
      </c>
      <c r="AL203" t="n">
        <v>1</v>
      </c>
      <c r="AM203" t="n">
        <v>1</v>
      </c>
      <c r="AN203" t="n">
        <v>1</v>
      </c>
      <c r="AO203" t="n">
        <v>1</v>
      </c>
      <c r="AP203" t="n">
        <v>1</v>
      </c>
      <c r="AQ203" t="n">
        <v>1</v>
      </c>
      <c r="AR203" t="n">
        <v>1</v>
      </c>
      <c r="AS203" t="n">
        <v>1</v>
      </c>
      <c r="AT203" t="n">
        <v>1</v>
      </c>
      <c r="AU203" t="n">
        <v>1</v>
      </c>
      <c r="AV203" t="n">
        <v>1</v>
      </c>
      <c r="AW203" t="n">
        <v>1</v>
      </c>
      <c r="AX203" t="n">
        <v>1</v>
      </c>
      <c r="AY203" t="n">
        <v>1</v>
      </c>
      <c r="AZ203" t="n">
        <v>1</v>
      </c>
      <c r="BA203" t="n">
        <v>1</v>
      </c>
      <c r="BB203" t="n">
        <v>1</v>
      </c>
      <c r="BC203" t="n">
        <v>1</v>
      </c>
      <c r="BD203" t="n">
        <v>1</v>
      </c>
      <c r="BE203" t="n">
        <v>1</v>
      </c>
      <c r="BF203" t="n">
        <v>1</v>
      </c>
      <c r="BG203" t="n">
        <v>1</v>
      </c>
      <c r="BH203" t="n">
        <v>1</v>
      </c>
      <c r="BI203" t="n">
        <v>1</v>
      </c>
      <c r="BJ203" t="n">
        <v>-1</v>
      </c>
      <c r="BK203" t="n">
        <v>-1</v>
      </c>
      <c r="BL203" t="n">
        <v>-1</v>
      </c>
    </row>
    <row r="204">
      <c r="A204" t="inlineStr">
        <is>
          <t>Scooter, gasoline, &lt;4kW, EURO-5 - 2050 - CH</t>
        </is>
      </c>
      <c r="B204">
        <f>1/90</f>
        <v>1.1111111111111112E-2</v>
      </c>
      <c r="C204" s="2">
        <f>'vehicles specifications'!S70</f>
        <v>53</v>
      </c>
      <c r="D204">
        <f>1/90</f>
        <v>1.1111111111111112E-2</v>
      </c>
      <c r="F204">
        <f>1+'vehicles specifications'!AD70</f>
        <v>1</v>
      </c>
      <c r="G204">
        <f>1+'vehicles specifications'!AD70</f>
        <v>1</v>
      </c>
      <c r="H204" t="n">
        <v>1</v>
      </c>
      <c r="I204" t="n">
        <v>1</v>
      </c>
      <c r="K204">
        <f>1/('fuels and tailpipe emissions'!$C$3*3.6)</f>
        <v>2.3474178403755867E-2</v>
      </c>
      <c r="L204">
        <f>1/3.6*1.1</f>
        <v>0.30555555555555558</v>
      </c>
      <c r="M204">
        <f>1/'vehicles specifications'!J70</f>
        <v>4.0000000000000003E-5</v>
      </c>
      <c r="N204" t="n">
        <v>1</v>
      </c>
      <c r="O204">
        <f>1</f>
        <v>1</v>
      </c>
      <c r="P204" t="n">
        <v>-1</v>
      </c>
      <c r="Q204" t="n">
        <v>-1</v>
      </c>
      <c r="R204">
        <f>-1-'vehicles specifications'!AD70</f>
        <v>-1</v>
      </c>
      <c r="S204" t="n">
        <v>1</v>
      </c>
      <c r="T204" t="n">
        <v>1</v>
      </c>
      <c r="U204" t="n">
        <v>1</v>
      </c>
      <c r="V204" t="n">
        <v>1</v>
      </c>
      <c r="W204" t="n">
        <v>1</v>
      </c>
      <c r="X204" t="n">
        <v>1</v>
      </c>
      <c r="Y204" t="n">
        <v>1</v>
      </c>
      <c r="Z204" t="n">
        <v>1</v>
      </c>
      <c r="AA204" t="n">
        <v>1</v>
      </c>
      <c r="AB204" t="n">
        <v>1</v>
      </c>
      <c r="AC204" t="n">
        <v>1</v>
      </c>
      <c r="AD204" t="n">
        <v>1</v>
      </c>
      <c r="AE204" t="n">
        <v>1</v>
      </c>
      <c r="AF204" t="n">
        <v>1</v>
      </c>
      <c r="AG204" t="n">
        <v>1</v>
      </c>
      <c r="AH204" t="n">
        <v>1</v>
      </c>
      <c r="AI204" t="n">
        <v>1</v>
      </c>
      <c r="AJ204" t="n">
        <v>1</v>
      </c>
      <c r="AK204" t="n">
        <v>1</v>
      </c>
      <c r="AL204" t="n">
        <v>1</v>
      </c>
      <c r="AM204" t="n">
        <v>1</v>
      </c>
      <c r="AN204" t="n">
        <v>1</v>
      </c>
      <c r="AO204" t="n">
        <v>1</v>
      </c>
      <c r="AP204" t="n">
        <v>1</v>
      </c>
      <c r="AQ204" t="n">
        <v>1</v>
      </c>
      <c r="AR204" t="n">
        <v>1</v>
      </c>
      <c r="AS204" t="n">
        <v>1</v>
      </c>
      <c r="AT204" t="n">
        <v>1</v>
      </c>
      <c r="AU204" t="n">
        <v>1</v>
      </c>
      <c r="AV204" t="n">
        <v>1</v>
      </c>
      <c r="AW204" t="n">
        <v>1</v>
      </c>
      <c r="AX204" t="n">
        <v>1</v>
      </c>
      <c r="AY204" t="n">
        <v>1</v>
      </c>
      <c r="AZ204" t="n">
        <v>1</v>
      </c>
      <c r="BA204" t="n">
        <v>1</v>
      </c>
      <c r="BB204" t="n">
        <v>1</v>
      </c>
      <c r="BC204" t="n">
        <v>1</v>
      </c>
      <c r="BD204" t="n">
        <v>1</v>
      </c>
      <c r="BE204" t="n">
        <v>1</v>
      </c>
      <c r="BF204" t="n">
        <v>1</v>
      </c>
      <c r="BG204" t="n">
        <v>1</v>
      </c>
      <c r="BH204" t="n">
        <v>1</v>
      </c>
      <c r="BI204" t="n">
        <v>1</v>
      </c>
      <c r="BJ204" t="n">
        <v>-1</v>
      </c>
      <c r="BK204" t="n">
        <v>-1</v>
      </c>
      <c r="BL204" t="n">
        <v>-1</v>
      </c>
    </row>
    <row r="205">
      <c r="A205" t="inlineStr">
        <is>
          <t>Scooter, gasoline, 4-11kW, EURO-3 - 2006 - CH</t>
        </is>
      </c>
      <c r="B205">
        <f>1/90</f>
        <v>1.1111111111111112E-2</v>
      </c>
      <c r="C205" s="2">
        <f>'vehicles specifications'!S71</f>
        <v>70</v>
      </c>
      <c r="D205">
        <f>1/90</f>
        <v>1.1111111111111112E-2</v>
      </c>
      <c r="F205">
        <f>1+'vehicles specifications'!AD71</f>
        <v>1</v>
      </c>
      <c r="G205">
        <f>1+'vehicles specifications'!AD71</f>
        <v>1</v>
      </c>
      <c r="H205" t="n">
        <v>1</v>
      </c>
      <c r="I205" t="n">
        <v>1</v>
      </c>
      <c r="K205">
        <f>1/('fuels and tailpipe emissions'!$C$3*3.6)</f>
        <v>2.3474178403755867E-2</v>
      </c>
      <c r="L205">
        <f>1/3.6*1.1</f>
        <v>0.30555555555555558</v>
      </c>
      <c r="M205">
        <f>1/'vehicles specifications'!J71</f>
        <v>3.3333333333333335E-5</v>
      </c>
      <c r="N205" t="n">
        <v>1</v>
      </c>
      <c r="O205">
        <f>1</f>
        <v>1</v>
      </c>
      <c r="P205" t="n">
        <v>-1</v>
      </c>
      <c r="Q205" t="n">
        <v>-1</v>
      </c>
      <c r="R205">
        <f>-1-'vehicles specifications'!AD71</f>
        <v>-1</v>
      </c>
      <c r="S205" t="n">
        <v>1</v>
      </c>
      <c r="T205" t="n">
        <v>1</v>
      </c>
      <c r="U205" t="n">
        <v>1</v>
      </c>
      <c r="V205" t="n">
        <v>1</v>
      </c>
      <c r="W205" t="n">
        <v>1</v>
      </c>
      <c r="X205" t="n">
        <v>1</v>
      </c>
      <c r="Y205" t="n">
        <v>1</v>
      </c>
      <c r="Z205" t="n">
        <v>1</v>
      </c>
      <c r="AA205" t="n">
        <v>1</v>
      </c>
      <c r="AB205" t="n">
        <v>1</v>
      </c>
      <c r="AC205" t="n">
        <v>1</v>
      </c>
      <c r="AD205" t="n">
        <v>1</v>
      </c>
      <c r="AE205" t="n">
        <v>1</v>
      </c>
      <c r="AF205" t="n">
        <v>1</v>
      </c>
      <c r="AG205" t="n">
        <v>1</v>
      </c>
      <c r="AH205" t="n">
        <v>1</v>
      </c>
      <c r="AI205" t="n">
        <v>1</v>
      </c>
      <c r="AJ205" t="n">
        <v>1</v>
      </c>
      <c r="AK205" t="n">
        <v>1</v>
      </c>
      <c r="AL205" t="n">
        <v>1</v>
      </c>
      <c r="AM205" t="n">
        <v>1</v>
      </c>
      <c r="AN205" t="n">
        <v>1</v>
      </c>
      <c r="AO205" t="n">
        <v>1</v>
      </c>
      <c r="AP205" t="n">
        <v>1</v>
      </c>
      <c r="AQ205" t="n">
        <v>1</v>
      </c>
      <c r="AR205" t="n">
        <v>1</v>
      </c>
      <c r="AS205" t="n">
        <v>1</v>
      </c>
      <c r="AT205" t="n">
        <v>1</v>
      </c>
      <c r="AU205" t="n">
        <v>1</v>
      </c>
      <c r="AV205" t="n">
        <v>1</v>
      </c>
      <c r="AW205" t="n">
        <v>1</v>
      </c>
      <c r="AX205" t="n">
        <v>1</v>
      </c>
      <c r="AY205" t="n">
        <v>1</v>
      </c>
      <c r="AZ205" t="n">
        <v>1</v>
      </c>
      <c r="BA205" t="n">
        <v>1</v>
      </c>
      <c r="BB205" t="n">
        <v>1</v>
      </c>
      <c r="BC205" t="n">
        <v>1</v>
      </c>
      <c r="BD205" t="n">
        <v>1</v>
      </c>
      <c r="BE205" t="n">
        <v>1</v>
      </c>
      <c r="BF205" t="n">
        <v>1</v>
      </c>
      <c r="BG205" t="n">
        <v>1</v>
      </c>
      <c r="BH205" t="n">
        <v>1</v>
      </c>
      <c r="BI205" t="n">
        <v>1</v>
      </c>
      <c r="BJ205" t="n">
        <v>-1</v>
      </c>
      <c r="BK205" t="n">
        <v>-1</v>
      </c>
      <c r="BL205" t="n">
        <v>-1</v>
      </c>
    </row>
    <row r="206">
      <c r="A206" t="inlineStr">
        <is>
          <t>Scooter, gasoline, 4-11kW, EURO-4 - 2016 - CH</t>
        </is>
      </c>
      <c r="B206">
        <f>1/90</f>
        <v>1.1111111111111112E-2</v>
      </c>
      <c r="C206" s="2">
        <f>'vehicles specifications'!S72</f>
        <v>70</v>
      </c>
      <c r="D206">
        <f>1/90</f>
        <v>1.1111111111111112E-2</v>
      </c>
      <c r="F206">
        <f>1+'vehicles specifications'!AD72</f>
        <v>1</v>
      </c>
      <c r="G206">
        <f>1+'vehicles specifications'!AD72</f>
        <v>1</v>
      </c>
      <c r="H206" t="n">
        <v>1</v>
      </c>
      <c r="I206" t="n">
        <v>1</v>
      </c>
      <c r="K206">
        <f>1/('fuels and tailpipe emissions'!$C$3*3.6)</f>
        <v>2.3474178403755867E-2</v>
      </c>
      <c r="L206">
        <f>1/3.6*1.1</f>
        <v>0.30555555555555558</v>
      </c>
      <c r="M206">
        <f>1/'vehicles specifications'!J72</f>
        <v>3.3333333333333335E-5</v>
      </c>
      <c r="N206" t="n">
        <v>1</v>
      </c>
      <c r="O206">
        <f>1</f>
        <v>1</v>
      </c>
      <c r="P206" t="n">
        <v>-1</v>
      </c>
      <c r="Q206" t="n">
        <v>-1</v>
      </c>
      <c r="R206">
        <f>-1-'vehicles specifications'!AD72</f>
        <v>-1</v>
      </c>
      <c r="S206" t="n">
        <v>1</v>
      </c>
      <c r="T206" t="n">
        <v>1</v>
      </c>
      <c r="U206" t="n">
        <v>1</v>
      </c>
      <c r="V206" t="n">
        <v>1</v>
      </c>
      <c r="W206" t="n">
        <v>1</v>
      </c>
      <c r="X206" t="n">
        <v>1</v>
      </c>
      <c r="Y206" t="n">
        <v>1</v>
      </c>
      <c r="Z206" t="n">
        <v>1</v>
      </c>
      <c r="AA206" t="n">
        <v>1</v>
      </c>
      <c r="AB206" t="n">
        <v>1</v>
      </c>
      <c r="AC206" t="n">
        <v>1</v>
      </c>
      <c r="AD206" t="n">
        <v>1</v>
      </c>
      <c r="AE206" t="n">
        <v>1</v>
      </c>
      <c r="AF206" t="n">
        <v>1</v>
      </c>
      <c r="AG206" t="n">
        <v>1</v>
      </c>
      <c r="AH206" t="n">
        <v>1</v>
      </c>
      <c r="AI206" t="n">
        <v>1</v>
      </c>
      <c r="AJ206" t="n">
        <v>1</v>
      </c>
      <c r="AK206" t="n">
        <v>1</v>
      </c>
      <c r="AL206" t="n">
        <v>1</v>
      </c>
      <c r="AM206" t="n">
        <v>1</v>
      </c>
      <c r="AN206" t="n">
        <v>1</v>
      </c>
      <c r="AO206" t="n">
        <v>1</v>
      </c>
      <c r="AP206" t="n">
        <v>1</v>
      </c>
      <c r="AQ206" t="n">
        <v>1</v>
      </c>
      <c r="AR206" t="n">
        <v>1</v>
      </c>
      <c r="AS206" t="n">
        <v>1</v>
      </c>
      <c r="AT206" t="n">
        <v>1</v>
      </c>
      <c r="AU206" t="n">
        <v>1</v>
      </c>
      <c r="AV206" t="n">
        <v>1</v>
      </c>
      <c r="AW206" t="n">
        <v>1</v>
      </c>
      <c r="AX206" t="n">
        <v>1</v>
      </c>
      <c r="AY206" t="n">
        <v>1</v>
      </c>
      <c r="AZ206" t="n">
        <v>1</v>
      </c>
      <c r="BA206" t="n">
        <v>1</v>
      </c>
      <c r="BB206" t="n">
        <v>1</v>
      </c>
      <c r="BC206" t="n">
        <v>1</v>
      </c>
      <c r="BD206" t="n">
        <v>1</v>
      </c>
      <c r="BE206" t="n">
        <v>1</v>
      </c>
      <c r="BF206" t="n">
        <v>1</v>
      </c>
      <c r="BG206" t="n">
        <v>1</v>
      </c>
      <c r="BH206" t="n">
        <v>1</v>
      </c>
      <c r="BI206" t="n">
        <v>1</v>
      </c>
      <c r="BJ206" t="n">
        <v>-1</v>
      </c>
      <c r="BK206" t="n">
        <v>-1</v>
      </c>
      <c r="BL206" t="n">
        <v>-1</v>
      </c>
    </row>
    <row r="207">
      <c r="A207" t="inlineStr">
        <is>
          <t>Scooter, gasoline, 4-11kW, EURO-5 - 2020 - CH</t>
        </is>
      </c>
      <c r="B207">
        <f>1/90</f>
        <v>1.1111111111111112E-2</v>
      </c>
      <c r="C207" s="2">
        <f>'vehicles specifications'!S73</f>
        <v>70</v>
      </c>
      <c r="D207">
        <f>1/90</f>
        <v>1.1111111111111112E-2</v>
      </c>
      <c r="F207">
        <f>1+'vehicles specifications'!AD73</f>
        <v>1</v>
      </c>
      <c r="G207">
        <f>1+'vehicles specifications'!AD73</f>
        <v>1</v>
      </c>
      <c r="H207" t="n">
        <v>1</v>
      </c>
      <c r="I207" t="n">
        <v>1</v>
      </c>
      <c r="K207">
        <f>1/('fuels and tailpipe emissions'!$C$3*3.6)</f>
        <v>2.3474178403755867E-2</v>
      </c>
      <c r="L207">
        <f>1/3.6*1.1</f>
        <v>0.30555555555555558</v>
      </c>
      <c r="M207">
        <f>1/'vehicles specifications'!J73</f>
        <v>3.3333333333333335E-5</v>
      </c>
      <c r="N207" t="n">
        <v>1</v>
      </c>
      <c r="O207">
        <f>1</f>
        <v>1</v>
      </c>
      <c r="P207" t="n">
        <v>-1</v>
      </c>
      <c r="Q207" t="n">
        <v>-1</v>
      </c>
      <c r="R207">
        <f>-1-'vehicles specifications'!AD73</f>
        <v>-1</v>
      </c>
      <c r="S207" t="n">
        <v>1</v>
      </c>
      <c r="T207" t="n">
        <v>1</v>
      </c>
      <c r="U207" t="n">
        <v>1</v>
      </c>
      <c r="V207" t="n">
        <v>1</v>
      </c>
      <c r="W207" t="n">
        <v>1</v>
      </c>
      <c r="X207" t="n">
        <v>1</v>
      </c>
      <c r="Y207" t="n">
        <v>1</v>
      </c>
      <c r="Z207" t="n">
        <v>1</v>
      </c>
      <c r="AA207" t="n">
        <v>1</v>
      </c>
      <c r="AB207" t="n">
        <v>1</v>
      </c>
      <c r="AC207" t="n">
        <v>1</v>
      </c>
      <c r="AD207" t="n">
        <v>1</v>
      </c>
      <c r="AE207" t="n">
        <v>1</v>
      </c>
      <c r="AF207" t="n">
        <v>1</v>
      </c>
      <c r="AG207" t="n">
        <v>1</v>
      </c>
      <c r="AH207" t="n">
        <v>1</v>
      </c>
      <c r="AI207" t="n">
        <v>1</v>
      </c>
      <c r="AJ207" t="n">
        <v>1</v>
      </c>
      <c r="AK207" t="n">
        <v>1</v>
      </c>
      <c r="AL207" t="n">
        <v>1</v>
      </c>
      <c r="AM207" t="n">
        <v>1</v>
      </c>
      <c r="AN207" t="n">
        <v>1</v>
      </c>
      <c r="AO207" t="n">
        <v>1</v>
      </c>
      <c r="AP207" t="n">
        <v>1</v>
      </c>
      <c r="AQ207" t="n">
        <v>1</v>
      </c>
      <c r="AR207" t="n">
        <v>1</v>
      </c>
      <c r="AS207" t="n">
        <v>1</v>
      </c>
      <c r="AT207" t="n">
        <v>1</v>
      </c>
      <c r="AU207" t="n">
        <v>1</v>
      </c>
      <c r="AV207" t="n">
        <v>1</v>
      </c>
      <c r="AW207" t="n">
        <v>1</v>
      </c>
      <c r="AX207" t="n">
        <v>1</v>
      </c>
      <c r="AY207" t="n">
        <v>1</v>
      </c>
      <c r="AZ207" t="n">
        <v>1</v>
      </c>
      <c r="BA207" t="n">
        <v>1</v>
      </c>
      <c r="BB207" t="n">
        <v>1</v>
      </c>
      <c r="BC207" t="n">
        <v>1</v>
      </c>
      <c r="BD207" t="n">
        <v>1</v>
      </c>
      <c r="BE207" t="n">
        <v>1</v>
      </c>
      <c r="BF207" t="n">
        <v>1</v>
      </c>
      <c r="BG207" t="n">
        <v>1</v>
      </c>
      <c r="BH207" t="n">
        <v>1</v>
      </c>
      <c r="BI207" t="n">
        <v>1</v>
      </c>
      <c r="BJ207" t="n">
        <v>-1</v>
      </c>
      <c r="BK207" t="n">
        <v>-1</v>
      </c>
      <c r="BL207" t="n">
        <v>-1</v>
      </c>
    </row>
    <row r="208">
      <c r="A208" t="inlineStr">
        <is>
          <t>Scooter, gasoline, 4-11kW, EURO-5 - 2030 - CH</t>
        </is>
      </c>
      <c r="B208">
        <f>1/90</f>
        <v>1.1111111111111112E-2</v>
      </c>
      <c r="C208" s="2">
        <f>'vehicles specifications'!S74</f>
        <v>70</v>
      </c>
      <c r="D208">
        <f>1/90</f>
        <v>1.1111111111111112E-2</v>
      </c>
      <c r="F208">
        <f>1+'vehicles specifications'!AD74</f>
        <v>1</v>
      </c>
      <c r="G208">
        <f>1+'vehicles specifications'!AD74</f>
        <v>1</v>
      </c>
      <c r="H208" t="n">
        <v>1</v>
      </c>
      <c r="I208" t="n">
        <v>1</v>
      </c>
      <c r="K208">
        <f>1/('fuels and tailpipe emissions'!$C$3*3.6)</f>
        <v>2.3474178403755867E-2</v>
      </c>
      <c r="L208">
        <f>1/3.6*1.1</f>
        <v>0.30555555555555558</v>
      </c>
      <c r="M208">
        <f>1/'vehicles specifications'!J74</f>
        <v>3.3333333333333335E-5</v>
      </c>
      <c r="N208" t="n">
        <v>1</v>
      </c>
      <c r="O208">
        <f>1</f>
        <v>1</v>
      </c>
      <c r="P208" t="n">
        <v>-1</v>
      </c>
      <c r="Q208" t="n">
        <v>-1</v>
      </c>
      <c r="R208">
        <f>-1-'vehicles specifications'!AD74</f>
        <v>-1</v>
      </c>
      <c r="S208" t="n">
        <v>1</v>
      </c>
      <c r="T208" t="n">
        <v>1</v>
      </c>
      <c r="U208" t="n">
        <v>1</v>
      </c>
      <c r="V208" t="n">
        <v>1</v>
      </c>
      <c r="W208" t="n">
        <v>1</v>
      </c>
      <c r="X208" t="n">
        <v>1</v>
      </c>
      <c r="Y208" t="n">
        <v>1</v>
      </c>
      <c r="Z208" t="n">
        <v>1</v>
      </c>
      <c r="AA208" t="n">
        <v>1</v>
      </c>
      <c r="AB208" t="n">
        <v>1</v>
      </c>
      <c r="AC208" t="n">
        <v>1</v>
      </c>
      <c r="AD208" t="n">
        <v>1</v>
      </c>
      <c r="AE208" t="n">
        <v>1</v>
      </c>
      <c r="AF208" t="n">
        <v>1</v>
      </c>
      <c r="AG208" t="n">
        <v>1</v>
      </c>
      <c r="AH208" t="n">
        <v>1</v>
      </c>
      <c r="AI208" t="n">
        <v>1</v>
      </c>
      <c r="AJ208" t="n">
        <v>1</v>
      </c>
      <c r="AK208" t="n">
        <v>1</v>
      </c>
      <c r="AL208" t="n">
        <v>1</v>
      </c>
      <c r="AM208" t="n">
        <v>1</v>
      </c>
      <c r="AN208" t="n">
        <v>1</v>
      </c>
      <c r="AO208" t="n">
        <v>1</v>
      </c>
      <c r="AP208" t="n">
        <v>1</v>
      </c>
      <c r="AQ208" t="n">
        <v>1</v>
      </c>
      <c r="AR208" t="n">
        <v>1</v>
      </c>
      <c r="AS208" t="n">
        <v>1</v>
      </c>
      <c r="AT208" t="n">
        <v>1</v>
      </c>
      <c r="AU208" t="n">
        <v>1</v>
      </c>
      <c r="AV208" t="n">
        <v>1</v>
      </c>
      <c r="AW208" t="n">
        <v>1</v>
      </c>
      <c r="AX208" t="n">
        <v>1</v>
      </c>
      <c r="AY208" t="n">
        <v>1</v>
      </c>
      <c r="AZ208" t="n">
        <v>1</v>
      </c>
      <c r="BA208" t="n">
        <v>1</v>
      </c>
      <c r="BB208" t="n">
        <v>1</v>
      </c>
      <c r="BC208" t="n">
        <v>1</v>
      </c>
      <c r="BD208" t="n">
        <v>1</v>
      </c>
      <c r="BE208" t="n">
        <v>1</v>
      </c>
      <c r="BF208" t="n">
        <v>1</v>
      </c>
      <c r="BG208" t="n">
        <v>1</v>
      </c>
      <c r="BH208" t="n">
        <v>1</v>
      </c>
      <c r="BI208" t="n">
        <v>1</v>
      </c>
      <c r="BJ208" t="n">
        <v>-1</v>
      </c>
      <c r="BK208" t="n">
        <v>-1</v>
      </c>
      <c r="BL208" t="n">
        <v>-1</v>
      </c>
    </row>
    <row r="209">
      <c r="A209" t="inlineStr">
        <is>
          <t>Scooter, gasoline, 4-11kW, EURO-5 - 2040 - CH</t>
        </is>
      </c>
      <c r="B209">
        <f>1/90</f>
        <v>1.1111111111111112E-2</v>
      </c>
      <c r="C209" s="2">
        <f>'vehicles specifications'!S75</f>
        <v>70</v>
      </c>
      <c r="D209">
        <f>1/90</f>
        <v>1.1111111111111112E-2</v>
      </c>
      <c r="F209">
        <f>1+'vehicles specifications'!AD75</f>
        <v>1</v>
      </c>
      <c r="G209">
        <f>1+'vehicles specifications'!AD75</f>
        <v>1</v>
      </c>
      <c r="H209" t="n">
        <v>1</v>
      </c>
      <c r="I209" t="n">
        <v>1</v>
      </c>
      <c r="K209">
        <f>1/('fuels and tailpipe emissions'!$C$3*3.6)</f>
        <v>2.3474178403755867E-2</v>
      </c>
      <c r="L209">
        <f>1/3.6*1.1</f>
        <v>0.30555555555555558</v>
      </c>
      <c r="M209">
        <f>1/'vehicles specifications'!J75</f>
        <v>3.3333333333333335E-5</v>
      </c>
      <c r="N209" t="n">
        <v>1</v>
      </c>
      <c r="O209">
        <f>1</f>
        <v>1</v>
      </c>
      <c r="P209" t="n">
        <v>-1</v>
      </c>
      <c r="Q209" t="n">
        <v>-1</v>
      </c>
      <c r="R209">
        <f>-1-'vehicles specifications'!AD75</f>
        <v>-1</v>
      </c>
      <c r="S209" t="n">
        <v>1</v>
      </c>
      <c r="T209" t="n">
        <v>1</v>
      </c>
      <c r="U209" t="n">
        <v>1</v>
      </c>
      <c r="V209" t="n">
        <v>1</v>
      </c>
      <c r="W209" t="n">
        <v>1</v>
      </c>
      <c r="X209" t="n">
        <v>1</v>
      </c>
      <c r="Y209" t="n">
        <v>1</v>
      </c>
      <c r="Z209" t="n">
        <v>1</v>
      </c>
      <c r="AA209" t="n">
        <v>1</v>
      </c>
      <c r="AB209" t="n">
        <v>1</v>
      </c>
      <c r="AC209" t="n">
        <v>1</v>
      </c>
      <c r="AD209" t="n">
        <v>1</v>
      </c>
      <c r="AE209" t="n">
        <v>1</v>
      </c>
      <c r="AF209" t="n">
        <v>1</v>
      </c>
      <c r="AG209" t="n">
        <v>1</v>
      </c>
      <c r="AH209" t="n">
        <v>1</v>
      </c>
      <c r="AI209" t="n">
        <v>1</v>
      </c>
      <c r="AJ209" t="n">
        <v>1</v>
      </c>
      <c r="AK209" t="n">
        <v>1</v>
      </c>
      <c r="AL209" t="n">
        <v>1</v>
      </c>
      <c r="AM209" t="n">
        <v>1</v>
      </c>
      <c r="AN209" t="n">
        <v>1</v>
      </c>
      <c r="AO209" t="n">
        <v>1</v>
      </c>
      <c r="AP209" t="n">
        <v>1</v>
      </c>
      <c r="AQ209" t="n">
        <v>1</v>
      </c>
      <c r="AR209" t="n">
        <v>1</v>
      </c>
      <c r="AS209" t="n">
        <v>1</v>
      </c>
      <c r="AT209" t="n">
        <v>1</v>
      </c>
      <c r="AU209" t="n">
        <v>1</v>
      </c>
      <c r="AV209" t="n">
        <v>1</v>
      </c>
      <c r="AW209" t="n">
        <v>1</v>
      </c>
      <c r="AX209" t="n">
        <v>1</v>
      </c>
      <c r="AY209" t="n">
        <v>1</v>
      </c>
      <c r="AZ209" t="n">
        <v>1</v>
      </c>
      <c r="BA209" t="n">
        <v>1</v>
      </c>
      <c r="BB209" t="n">
        <v>1</v>
      </c>
      <c r="BC209" t="n">
        <v>1</v>
      </c>
      <c r="BD209" t="n">
        <v>1</v>
      </c>
      <c r="BE209" t="n">
        <v>1</v>
      </c>
      <c r="BF209" t="n">
        <v>1</v>
      </c>
      <c r="BG209" t="n">
        <v>1</v>
      </c>
      <c r="BH209" t="n">
        <v>1</v>
      </c>
      <c r="BI209" t="n">
        <v>1</v>
      </c>
      <c r="BJ209" t="n">
        <v>-1</v>
      </c>
      <c r="BK209" t="n">
        <v>-1</v>
      </c>
      <c r="BL209" t="n">
        <v>-1</v>
      </c>
    </row>
    <row r="210">
      <c r="A210" t="inlineStr">
        <is>
          <t>Scooter, gasoline, 4-11kW, EURO-5 - 2050 - CH</t>
        </is>
      </c>
      <c r="B210">
        <f>1/90</f>
        <v>1.1111111111111112E-2</v>
      </c>
      <c r="C210" s="2">
        <f>'vehicles specifications'!S76</f>
        <v>70</v>
      </c>
      <c r="D210">
        <f>1/90</f>
        <v>1.1111111111111112E-2</v>
      </c>
      <c r="F210">
        <f>1+'vehicles specifications'!AD76</f>
        <v>1</v>
      </c>
      <c r="G210">
        <f>1+'vehicles specifications'!AD76</f>
        <v>1</v>
      </c>
      <c r="H210" t="n">
        <v>1</v>
      </c>
      <c r="I210" t="n">
        <v>1</v>
      </c>
      <c r="K210">
        <f>1/('fuels and tailpipe emissions'!$C$3*3.6)</f>
        <v>2.3474178403755867E-2</v>
      </c>
      <c r="L210">
        <f>1/3.6*1.1</f>
        <v>0.30555555555555558</v>
      </c>
      <c r="M210">
        <f>1/'vehicles specifications'!J76</f>
        <v>3.3333333333333335E-5</v>
      </c>
      <c r="N210" t="n">
        <v>1</v>
      </c>
      <c r="O210">
        <f>1</f>
        <v>1</v>
      </c>
      <c r="P210" t="n">
        <v>-1</v>
      </c>
      <c r="Q210" t="n">
        <v>-1</v>
      </c>
      <c r="R210">
        <f>-1-'vehicles specifications'!AD76</f>
        <v>-1</v>
      </c>
      <c r="S210" t="n">
        <v>1</v>
      </c>
      <c r="T210" t="n">
        <v>1</v>
      </c>
      <c r="U210" t="n">
        <v>1</v>
      </c>
      <c r="V210" t="n">
        <v>1</v>
      </c>
      <c r="W210" t="n">
        <v>1</v>
      </c>
      <c r="X210" t="n">
        <v>1</v>
      </c>
      <c r="Y210" t="n">
        <v>1</v>
      </c>
      <c r="Z210" t="n">
        <v>1</v>
      </c>
      <c r="AA210" t="n">
        <v>1</v>
      </c>
      <c r="AB210" t="n">
        <v>1</v>
      </c>
      <c r="AC210" t="n">
        <v>1</v>
      </c>
      <c r="AD210" t="n">
        <v>1</v>
      </c>
      <c r="AE210" t="n">
        <v>1</v>
      </c>
      <c r="AF210" t="n">
        <v>1</v>
      </c>
      <c r="AG210" t="n">
        <v>1</v>
      </c>
      <c r="AH210" t="n">
        <v>1</v>
      </c>
      <c r="AI210" t="n">
        <v>1</v>
      </c>
      <c r="AJ210" t="n">
        <v>1</v>
      </c>
      <c r="AK210" t="n">
        <v>1</v>
      </c>
      <c r="AL210" t="n">
        <v>1</v>
      </c>
      <c r="AM210" t="n">
        <v>1</v>
      </c>
      <c r="AN210" t="n">
        <v>1</v>
      </c>
      <c r="AO210" t="n">
        <v>1</v>
      </c>
      <c r="AP210" t="n">
        <v>1</v>
      </c>
      <c r="AQ210" t="n">
        <v>1</v>
      </c>
      <c r="AR210" t="n">
        <v>1</v>
      </c>
      <c r="AS210" t="n">
        <v>1</v>
      </c>
      <c r="AT210" t="n">
        <v>1</v>
      </c>
      <c r="AU210" t="n">
        <v>1</v>
      </c>
      <c r="AV210" t="n">
        <v>1</v>
      </c>
      <c r="AW210" t="n">
        <v>1</v>
      </c>
      <c r="AX210" t="n">
        <v>1</v>
      </c>
      <c r="AY210" t="n">
        <v>1</v>
      </c>
      <c r="AZ210" t="n">
        <v>1</v>
      </c>
      <c r="BA210" t="n">
        <v>1</v>
      </c>
      <c r="BB210" t="n">
        <v>1</v>
      </c>
      <c r="BC210" t="n">
        <v>1</v>
      </c>
      <c r="BD210" t="n">
        <v>1</v>
      </c>
      <c r="BE210" t="n">
        <v>1</v>
      </c>
      <c r="BF210" t="n">
        <v>1</v>
      </c>
      <c r="BG210" t="n">
        <v>1</v>
      </c>
      <c r="BH210" t="n">
        <v>1</v>
      </c>
      <c r="BI210" t="n">
        <v>1</v>
      </c>
      <c r="BJ210" t="n">
        <v>-1</v>
      </c>
      <c r="BK210" t="n">
        <v>-1</v>
      </c>
      <c r="BL210" t="n">
        <v>-1</v>
      </c>
    </row>
    <row r="211">
      <c r="A211" t="inlineStr">
        <is>
          <t>Scooter, battery electric, &lt;4kW - 2020 - NMC - CH</t>
        </is>
      </c>
      <c r="B211" t="n">
        <v>1</v>
      </c>
      <c r="C211" s="2">
        <f>'vehicles specifications'!S77</f>
        <v>73</v>
      </c>
      <c r="D211" t="n">
        <v>1</v>
      </c>
      <c r="E211" t="n">
        <v>1</v>
      </c>
      <c r="F211">
        <f>1+'vehicles specifications'!AD77</f>
        <v>2</v>
      </c>
      <c r="G211">
        <f>1+'vehicles specifications'!AD77</f>
        <v>2</v>
      </c>
      <c r="J211" t="n">
        <v>1</v>
      </c>
      <c r="K211">
        <f>1/('fuels and tailpipe emissions'!$C$3*3.6)</f>
        <v>2.3474178403755867E-2</v>
      </c>
      <c r="L211">
        <f>1/3.6*1.1</f>
        <v>0.30555555555555558</v>
      </c>
      <c r="M211">
        <f>1/'vehicles specifications'!J77</f>
        <v>4.0000000000000003E-5</v>
      </c>
      <c r="N211" t="n">
        <v>1</v>
      </c>
      <c r="O211">
        <f>1</f>
        <v>1</v>
      </c>
      <c r="P211" t="n">
        <v>1</v>
      </c>
      <c r="Q211" t="n">
        <v>1</v>
      </c>
      <c r="R211">
        <f>-1-'vehicles specifications'!AD77</f>
        <v>-2</v>
      </c>
      <c r="S211" t="n">
        <v>1</v>
      </c>
      <c r="T211" t="n">
        <v>1</v>
      </c>
      <c r="U211" t="n">
        <v>1</v>
      </c>
      <c r="V211" t="n">
        <v>1</v>
      </c>
      <c r="W211" t="n">
        <v>1</v>
      </c>
      <c r="X211" t="n">
        <v>1</v>
      </c>
      <c r="Y211" t="n">
        <v>1</v>
      </c>
      <c r="Z211" t="n">
        <v>1</v>
      </c>
      <c r="AA211" t="n">
        <v>1</v>
      </c>
      <c r="AB211" t="n">
        <v>1</v>
      </c>
      <c r="AC211" t="n">
        <v>1</v>
      </c>
      <c r="AD211" t="n">
        <v>1</v>
      </c>
      <c r="AE211" t="n">
        <v>1</v>
      </c>
      <c r="AF211" t="n">
        <v>1</v>
      </c>
      <c r="AG211" t="n">
        <v>1</v>
      </c>
      <c r="AH211" t="n">
        <v>1</v>
      </c>
      <c r="AI211" t="n">
        <v>1</v>
      </c>
      <c r="AJ211" t="n">
        <v>1</v>
      </c>
      <c r="AK211" t="n">
        <v>1</v>
      </c>
      <c r="AL211" t="n">
        <v>1</v>
      </c>
      <c r="AM211" t="n">
        <v>1</v>
      </c>
      <c r="AN211" t="n">
        <v>1</v>
      </c>
      <c r="AO211" t="n">
        <v>1</v>
      </c>
      <c r="AP211" t="n">
        <v>1</v>
      </c>
      <c r="AQ211" t="n">
        <v>1</v>
      </c>
      <c r="AR211" t="n">
        <v>1</v>
      </c>
      <c r="AS211" t="n">
        <v>1</v>
      </c>
      <c r="AT211" t="n">
        <v>1</v>
      </c>
      <c r="AU211" t="n">
        <v>1</v>
      </c>
      <c r="AV211" t="n">
        <v>1</v>
      </c>
      <c r="AW211" t="n">
        <v>1</v>
      </c>
      <c r="AX211" t="n">
        <v>1</v>
      </c>
      <c r="AY211" t="n">
        <v>1</v>
      </c>
      <c r="AZ211" t="n">
        <v>1</v>
      </c>
      <c r="BA211" t="n">
        <v>1</v>
      </c>
      <c r="BB211" t="n">
        <v>1</v>
      </c>
      <c r="BC211" t="n">
        <v>1</v>
      </c>
      <c r="BD211" t="n">
        <v>1</v>
      </c>
      <c r="BE211" t="n">
        <v>1</v>
      </c>
      <c r="BF211" t="n">
        <v>1</v>
      </c>
      <c r="BG211" t="n">
        <v>1</v>
      </c>
      <c r="BH211" t="n">
        <v>1</v>
      </c>
      <c r="BI211" t="n">
        <v>1</v>
      </c>
      <c r="BJ211" t="n">
        <v>-1</v>
      </c>
      <c r="BK211" t="n">
        <v>-1</v>
      </c>
      <c r="BL211" t="n">
        <v>-1</v>
      </c>
    </row>
    <row r="212">
      <c r="A212" t="inlineStr">
        <is>
          <t>Scooter, battery electric, &lt;4kW - 2030 - NMC - CH</t>
        </is>
      </c>
      <c r="B212" t="n">
        <v>1</v>
      </c>
      <c r="C212" s="2">
        <f>'vehicles specifications'!S78</f>
        <v>73</v>
      </c>
      <c r="D212" t="n">
        <v>1</v>
      </c>
      <c r="E212" t="n">
        <v>1</v>
      </c>
      <c r="F212">
        <f>1+'vehicles specifications'!AD78</f>
        <v>1.5</v>
      </c>
      <c r="G212">
        <f>1+'vehicles specifications'!AD78</f>
        <v>1.5</v>
      </c>
      <c r="J212" t="n">
        <v>1</v>
      </c>
      <c r="K212">
        <f>1/('fuels and tailpipe emissions'!$C$3*3.6)</f>
        <v>2.3474178403755867E-2</v>
      </c>
      <c r="L212">
        <f>1/3.6*1.1</f>
        <v>0.30555555555555558</v>
      </c>
      <c r="M212">
        <f>1/'vehicles specifications'!J78</f>
        <v>4.0000000000000003E-5</v>
      </c>
      <c r="N212" t="n">
        <v>1</v>
      </c>
      <c r="O212">
        <f>1</f>
        <v>1</v>
      </c>
      <c r="P212" t="n">
        <v>1</v>
      </c>
      <c r="Q212" t="n">
        <v>1</v>
      </c>
      <c r="R212">
        <f>-1-'vehicles specifications'!AD78</f>
        <v>-1.5</v>
      </c>
      <c r="S212" t="n">
        <v>1</v>
      </c>
      <c r="T212" t="n">
        <v>1</v>
      </c>
      <c r="U212" t="n">
        <v>1</v>
      </c>
      <c r="V212" t="n">
        <v>1</v>
      </c>
      <c r="W212" t="n">
        <v>1</v>
      </c>
      <c r="X212" t="n">
        <v>1</v>
      </c>
      <c r="Y212" t="n">
        <v>1</v>
      </c>
      <c r="Z212" t="n">
        <v>1</v>
      </c>
      <c r="AA212" t="n">
        <v>1</v>
      </c>
      <c r="AB212" t="n">
        <v>1</v>
      </c>
      <c r="AC212" t="n">
        <v>1</v>
      </c>
      <c r="AD212" t="n">
        <v>1</v>
      </c>
      <c r="AE212" t="n">
        <v>1</v>
      </c>
      <c r="AF212" t="n">
        <v>1</v>
      </c>
      <c r="AG212" t="n">
        <v>1</v>
      </c>
      <c r="AH212" t="n">
        <v>1</v>
      </c>
      <c r="AI212" t="n">
        <v>1</v>
      </c>
      <c r="AJ212" t="n">
        <v>1</v>
      </c>
      <c r="AK212" t="n">
        <v>1</v>
      </c>
      <c r="AL212" t="n">
        <v>1</v>
      </c>
      <c r="AM212" t="n">
        <v>1</v>
      </c>
      <c r="AN212" t="n">
        <v>1</v>
      </c>
      <c r="AO212" t="n">
        <v>1</v>
      </c>
      <c r="AP212" t="n">
        <v>1</v>
      </c>
      <c r="AQ212" t="n">
        <v>1</v>
      </c>
      <c r="AR212" t="n">
        <v>1</v>
      </c>
      <c r="AS212" t="n">
        <v>1</v>
      </c>
      <c r="AT212" t="n">
        <v>1</v>
      </c>
      <c r="AU212" t="n">
        <v>1</v>
      </c>
      <c r="AV212" t="n">
        <v>1</v>
      </c>
      <c r="AW212" t="n">
        <v>1</v>
      </c>
      <c r="AX212" t="n">
        <v>1</v>
      </c>
      <c r="AY212" t="n">
        <v>1</v>
      </c>
      <c r="AZ212" t="n">
        <v>1</v>
      </c>
      <c r="BA212" t="n">
        <v>1</v>
      </c>
      <c r="BB212" t="n">
        <v>1</v>
      </c>
      <c r="BC212" t="n">
        <v>1</v>
      </c>
      <c r="BD212" t="n">
        <v>1</v>
      </c>
      <c r="BE212" t="n">
        <v>1</v>
      </c>
      <c r="BF212" t="n">
        <v>1</v>
      </c>
      <c r="BG212" t="n">
        <v>1</v>
      </c>
      <c r="BH212" t="n">
        <v>1</v>
      </c>
      <c r="BI212" t="n">
        <v>1</v>
      </c>
      <c r="BJ212" t="n">
        <v>-1</v>
      </c>
      <c r="BK212" t="n">
        <v>-1</v>
      </c>
      <c r="BL212" t="n">
        <v>-1</v>
      </c>
    </row>
    <row r="213">
      <c r="A213" t="inlineStr">
        <is>
          <t>Scooter, battery electric, &lt;4kW - 2040 - NMC - CH</t>
        </is>
      </c>
      <c r="B213" t="n">
        <v>1</v>
      </c>
      <c r="C213" s="2">
        <f>'vehicles specifications'!S79</f>
        <v>73</v>
      </c>
      <c r="D213" t="n">
        <v>1</v>
      </c>
      <c r="E213" t="n">
        <v>1</v>
      </c>
      <c r="F213">
        <f>1+'vehicles specifications'!AD79</f>
        <v>1.25</v>
      </c>
      <c r="G213">
        <f>1+'vehicles specifications'!AD79</f>
        <v>1.25</v>
      </c>
      <c r="J213" t="n">
        <v>1</v>
      </c>
      <c r="K213">
        <f>1/('fuels and tailpipe emissions'!$C$3*3.6)</f>
        <v>2.3474178403755867E-2</v>
      </c>
      <c r="L213">
        <f>1/3.6*1.1</f>
        <v>0.30555555555555558</v>
      </c>
      <c r="M213">
        <f>1/'vehicles specifications'!J79</f>
        <v>4.0000000000000003E-5</v>
      </c>
      <c r="N213" t="n">
        <v>1</v>
      </c>
      <c r="O213">
        <f>1</f>
        <v>1</v>
      </c>
      <c r="P213" t="n">
        <v>1</v>
      </c>
      <c r="Q213" t="n">
        <v>1</v>
      </c>
      <c r="R213">
        <f>-1-'vehicles specifications'!AD79</f>
        <v>-1.25</v>
      </c>
      <c r="S213" t="n">
        <v>1</v>
      </c>
      <c r="T213" t="n">
        <v>1</v>
      </c>
      <c r="U213" t="n">
        <v>1</v>
      </c>
      <c r="V213" t="n">
        <v>1</v>
      </c>
      <c r="W213" t="n">
        <v>1</v>
      </c>
      <c r="X213" t="n">
        <v>1</v>
      </c>
      <c r="Y213" t="n">
        <v>1</v>
      </c>
      <c r="Z213" t="n">
        <v>1</v>
      </c>
      <c r="AA213" t="n">
        <v>1</v>
      </c>
      <c r="AB213" t="n">
        <v>1</v>
      </c>
      <c r="AC213" t="n">
        <v>1</v>
      </c>
      <c r="AD213" t="n">
        <v>1</v>
      </c>
      <c r="AE213" t="n">
        <v>1</v>
      </c>
      <c r="AF213" t="n">
        <v>1</v>
      </c>
      <c r="AG213" t="n">
        <v>1</v>
      </c>
      <c r="AH213" t="n">
        <v>1</v>
      </c>
      <c r="AI213" t="n">
        <v>1</v>
      </c>
      <c r="AJ213" t="n">
        <v>1</v>
      </c>
      <c r="AK213" t="n">
        <v>1</v>
      </c>
      <c r="AL213" t="n">
        <v>1</v>
      </c>
      <c r="AM213" t="n">
        <v>1</v>
      </c>
      <c r="AN213" t="n">
        <v>1</v>
      </c>
      <c r="AO213" t="n">
        <v>1</v>
      </c>
      <c r="AP213" t="n">
        <v>1</v>
      </c>
      <c r="AQ213" t="n">
        <v>1</v>
      </c>
      <c r="AR213" t="n">
        <v>1</v>
      </c>
      <c r="AS213" t="n">
        <v>1</v>
      </c>
      <c r="AT213" t="n">
        <v>1</v>
      </c>
      <c r="AU213" t="n">
        <v>1</v>
      </c>
      <c r="AV213" t="n">
        <v>1</v>
      </c>
      <c r="AW213" t="n">
        <v>1</v>
      </c>
      <c r="AX213" t="n">
        <v>1</v>
      </c>
      <c r="AY213" t="n">
        <v>1</v>
      </c>
      <c r="AZ213" t="n">
        <v>1</v>
      </c>
      <c r="BA213" t="n">
        <v>1</v>
      </c>
      <c r="BB213" t="n">
        <v>1</v>
      </c>
      <c r="BC213" t="n">
        <v>1</v>
      </c>
      <c r="BD213" t="n">
        <v>1</v>
      </c>
      <c r="BE213" t="n">
        <v>1</v>
      </c>
      <c r="BF213" t="n">
        <v>1</v>
      </c>
      <c r="BG213" t="n">
        <v>1</v>
      </c>
      <c r="BH213" t="n">
        <v>1</v>
      </c>
      <c r="BI213" t="n">
        <v>1</v>
      </c>
      <c r="BJ213" t="n">
        <v>-1</v>
      </c>
      <c r="BK213" t="n">
        <v>-1</v>
      </c>
      <c r="BL213" t="n">
        <v>-1</v>
      </c>
    </row>
    <row r="214">
      <c r="A214" t="inlineStr">
        <is>
          <t>Scooter, battery electric, &lt;4kW - 2050 - NMC - CH</t>
        </is>
      </c>
      <c r="B214" t="n">
        <v>1</v>
      </c>
      <c r="C214" s="2">
        <f>'vehicles specifications'!S80</f>
        <v>73</v>
      </c>
      <c r="D214" t="n">
        <v>1</v>
      </c>
      <c r="E214" t="n">
        <v>1</v>
      </c>
      <c r="F214">
        <f>1+'vehicles specifications'!AD80</f>
        <v>1</v>
      </c>
      <c r="G214">
        <f>1+'vehicles specifications'!AD80</f>
        <v>1</v>
      </c>
      <c r="J214" t="n">
        <v>1</v>
      </c>
      <c r="K214">
        <f>1/('fuels and tailpipe emissions'!$C$3*3.6)</f>
        <v>2.3474178403755867E-2</v>
      </c>
      <c r="L214">
        <f>1/3.6*1.1</f>
        <v>0.30555555555555558</v>
      </c>
      <c r="M214">
        <f>1/'vehicles specifications'!J80</f>
        <v>4.0000000000000003E-5</v>
      </c>
      <c r="N214" t="n">
        <v>1</v>
      </c>
      <c r="O214">
        <f>1</f>
        <v>1</v>
      </c>
      <c r="P214" t="n">
        <v>1</v>
      </c>
      <c r="Q214" t="n">
        <v>1</v>
      </c>
      <c r="R214">
        <f>-1-'vehicles specifications'!AD80</f>
        <v>-1</v>
      </c>
      <c r="S214" t="n">
        <v>1</v>
      </c>
      <c r="T214" t="n">
        <v>1</v>
      </c>
      <c r="U214" t="n">
        <v>1</v>
      </c>
      <c r="V214" t="n">
        <v>1</v>
      </c>
      <c r="W214" t="n">
        <v>1</v>
      </c>
      <c r="X214" t="n">
        <v>1</v>
      </c>
      <c r="Y214" t="n">
        <v>1</v>
      </c>
      <c r="Z214" t="n">
        <v>1</v>
      </c>
      <c r="AA214" t="n">
        <v>1</v>
      </c>
      <c r="AB214" t="n">
        <v>1</v>
      </c>
      <c r="AC214" t="n">
        <v>1</v>
      </c>
      <c r="AD214" t="n">
        <v>1</v>
      </c>
      <c r="AE214" t="n">
        <v>1</v>
      </c>
      <c r="AF214" t="n">
        <v>1</v>
      </c>
      <c r="AG214" t="n">
        <v>1</v>
      </c>
      <c r="AH214" t="n">
        <v>1</v>
      </c>
      <c r="AI214" t="n">
        <v>1</v>
      </c>
      <c r="AJ214" t="n">
        <v>1</v>
      </c>
      <c r="AK214" t="n">
        <v>1</v>
      </c>
      <c r="AL214" t="n">
        <v>1</v>
      </c>
      <c r="AM214" t="n">
        <v>1</v>
      </c>
      <c r="AN214" t="n">
        <v>1</v>
      </c>
      <c r="AO214" t="n">
        <v>1</v>
      </c>
      <c r="AP214" t="n">
        <v>1</v>
      </c>
      <c r="AQ214" t="n">
        <v>1</v>
      </c>
      <c r="AR214" t="n">
        <v>1</v>
      </c>
      <c r="AS214" t="n">
        <v>1</v>
      </c>
      <c r="AT214" t="n">
        <v>1</v>
      </c>
      <c r="AU214" t="n">
        <v>1</v>
      </c>
      <c r="AV214" t="n">
        <v>1</v>
      </c>
      <c r="AW214" t="n">
        <v>1</v>
      </c>
      <c r="AX214" t="n">
        <v>1</v>
      </c>
      <c r="AY214" t="n">
        <v>1</v>
      </c>
      <c r="AZ214" t="n">
        <v>1</v>
      </c>
      <c r="BA214" t="n">
        <v>1</v>
      </c>
      <c r="BB214" t="n">
        <v>1</v>
      </c>
      <c r="BC214" t="n">
        <v>1</v>
      </c>
      <c r="BD214" t="n">
        <v>1</v>
      </c>
      <c r="BE214" t="n">
        <v>1</v>
      </c>
      <c r="BF214" t="n">
        <v>1</v>
      </c>
      <c r="BG214" t="n">
        <v>1</v>
      </c>
      <c r="BH214" t="n">
        <v>1</v>
      </c>
      <c r="BI214" t="n">
        <v>1</v>
      </c>
      <c r="BJ214" t="n">
        <v>-1</v>
      </c>
      <c r="BK214" t="n">
        <v>-1</v>
      </c>
      <c r="BL214" t="n">
        <v>-1</v>
      </c>
    </row>
    <row r="215">
      <c r="A215" t="inlineStr">
        <is>
          <t>Scooter, battery electric, &lt;4kW - 2020 - LFP - CH</t>
        </is>
      </c>
      <c r="B215" t="n">
        <v>1</v>
      </c>
      <c r="C215" s="2">
        <f>'vehicles specifications'!S77</f>
        <v>73</v>
      </c>
      <c r="D215" t="n">
        <v>1</v>
      </c>
      <c r="E215" t="n">
        <v>1</v>
      </c>
      <c r="F215">
        <f>1+'vehicles specifications'!AD77</f>
        <v>2</v>
      </c>
      <c r="G215">
        <f>1+'vehicles specifications'!AD77</f>
        <v>2</v>
      </c>
      <c r="J215" t="n">
        <v>1</v>
      </c>
      <c r="K215">
        <f>1/('fuels and tailpipe emissions'!$C$3*3.6)</f>
        <v>2.3474178403755867E-2</v>
      </c>
      <c r="L215">
        <f>1/3.6*1.1</f>
        <v>0.30555555555555558</v>
      </c>
      <c r="M215">
        <f>1/'vehicles specifications'!J77</f>
        <v>4.0000000000000003E-5</v>
      </c>
      <c r="N215" t="n">
        <v>1</v>
      </c>
      <c r="O215">
        <f>1</f>
        <v>1</v>
      </c>
      <c r="P215" t="n">
        <v>1</v>
      </c>
      <c r="Q215" t="n">
        <v>1</v>
      </c>
      <c r="R215">
        <f>-1-'vehicles specifications'!AD77</f>
        <v>-2</v>
      </c>
      <c r="S215" t="n">
        <v>1</v>
      </c>
      <c r="T215" t="n">
        <v>1</v>
      </c>
      <c r="U215" t="n">
        <v>1</v>
      </c>
      <c r="V215" t="n">
        <v>1</v>
      </c>
      <c r="W215" t="n">
        <v>1</v>
      </c>
      <c r="X215" t="n">
        <v>1</v>
      </c>
      <c r="Y215" t="n">
        <v>1</v>
      </c>
      <c r="Z215" t="n">
        <v>1</v>
      </c>
      <c r="AA215" t="n">
        <v>1</v>
      </c>
      <c r="AB215" t="n">
        <v>1</v>
      </c>
      <c r="AC215" t="n">
        <v>1</v>
      </c>
      <c r="AD215" t="n">
        <v>1</v>
      </c>
      <c r="AE215" t="n">
        <v>1</v>
      </c>
      <c r="AF215" t="n">
        <v>1</v>
      </c>
      <c r="AG215" t="n">
        <v>1</v>
      </c>
      <c r="AH215" t="n">
        <v>1</v>
      </c>
      <c r="AI215" t="n">
        <v>1</v>
      </c>
      <c r="AJ215" t="n">
        <v>1</v>
      </c>
      <c r="AK215" t="n">
        <v>1</v>
      </c>
      <c r="AL215" t="n">
        <v>1</v>
      </c>
      <c r="AM215" t="n">
        <v>1</v>
      </c>
      <c r="AN215" t="n">
        <v>1</v>
      </c>
      <c r="AO215" t="n">
        <v>1</v>
      </c>
      <c r="AP215" t="n">
        <v>1</v>
      </c>
      <c r="AQ215" t="n">
        <v>1</v>
      </c>
      <c r="AR215" t="n">
        <v>1</v>
      </c>
      <c r="AS215" t="n">
        <v>1</v>
      </c>
      <c r="AT215" t="n">
        <v>1</v>
      </c>
      <c r="AU215" t="n">
        <v>1</v>
      </c>
      <c r="AV215" t="n">
        <v>1</v>
      </c>
      <c r="AW215" t="n">
        <v>1</v>
      </c>
      <c r="AX215" t="n">
        <v>1</v>
      </c>
      <c r="AY215" t="n">
        <v>1</v>
      </c>
      <c r="AZ215" t="n">
        <v>1</v>
      </c>
      <c r="BA215" t="n">
        <v>1</v>
      </c>
      <c r="BB215" t="n">
        <v>1</v>
      </c>
      <c r="BC215" t="n">
        <v>1</v>
      </c>
      <c r="BD215" t="n">
        <v>1</v>
      </c>
      <c r="BE215" t="n">
        <v>1</v>
      </c>
      <c r="BF215" t="n">
        <v>1</v>
      </c>
      <c r="BG215" t="n">
        <v>1</v>
      </c>
      <c r="BH215" t="n">
        <v>1</v>
      </c>
      <c r="BI215" t="n">
        <v>1</v>
      </c>
      <c r="BJ215" t="n">
        <v>-1</v>
      </c>
      <c r="BK215" t="n">
        <v>-1</v>
      </c>
      <c r="BL215" t="n">
        <v>-1</v>
      </c>
    </row>
    <row r="216">
      <c r="A216" t="inlineStr">
        <is>
          <t>Scooter, battery electric, &lt;4kW - 2030 - LFP - CH</t>
        </is>
      </c>
      <c r="B216" t="n">
        <v>1</v>
      </c>
      <c r="C216" s="2">
        <f>'vehicles specifications'!S78</f>
        <v>73</v>
      </c>
      <c r="D216" t="n">
        <v>1</v>
      </c>
      <c r="E216" t="n">
        <v>1</v>
      </c>
      <c r="F216">
        <f>1+'vehicles specifications'!AD78</f>
        <v>1.5</v>
      </c>
      <c r="G216">
        <f>1+'vehicles specifications'!AD78</f>
        <v>1.5</v>
      </c>
      <c r="J216" t="n">
        <v>1</v>
      </c>
      <c r="K216">
        <f>1/('fuels and tailpipe emissions'!$C$3*3.6)</f>
        <v>2.3474178403755867E-2</v>
      </c>
      <c r="L216">
        <f>1/3.6*1.1</f>
        <v>0.30555555555555558</v>
      </c>
      <c r="M216">
        <f>1/'vehicles specifications'!J78</f>
        <v>4.0000000000000003E-5</v>
      </c>
      <c r="N216" t="n">
        <v>1</v>
      </c>
      <c r="O216">
        <f>1</f>
        <v>1</v>
      </c>
      <c r="P216" t="n">
        <v>1</v>
      </c>
      <c r="Q216" t="n">
        <v>1</v>
      </c>
      <c r="R216">
        <f>-1-'vehicles specifications'!AD78</f>
        <v>-1.5</v>
      </c>
      <c r="S216" t="n">
        <v>1</v>
      </c>
      <c r="T216" t="n">
        <v>1</v>
      </c>
      <c r="U216" t="n">
        <v>1</v>
      </c>
      <c r="V216" t="n">
        <v>1</v>
      </c>
      <c r="W216" t="n">
        <v>1</v>
      </c>
      <c r="X216" t="n">
        <v>1</v>
      </c>
      <c r="Y216" t="n">
        <v>1</v>
      </c>
      <c r="Z216" t="n">
        <v>1</v>
      </c>
      <c r="AA216" t="n">
        <v>1</v>
      </c>
      <c r="AB216" t="n">
        <v>1</v>
      </c>
      <c r="AC216" t="n">
        <v>1</v>
      </c>
      <c r="AD216" t="n">
        <v>1</v>
      </c>
      <c r="AE216" t="n">
        <v>1</v>
      </c>
      <c r="AF216" t="n">
        <v>1</v>
      </c>
      <c r="AG216" t="n">
        <v>1</v>
      </c>
      <c r="AH216" t="n">
        <v>1</v>
      </c>
      <c r="AI216" t="n">
        <v>1</v>
      </c>
      <c r="AJ216" t="n">
        <v>1</v>
      </c>
      <c r="AK216" t="n">
        <v>1</v>
      </c>
      <c r="AL216" t="n">
        <v>1</v>
      </c>
      <c r="AM216" t="n">
        <v>1</v>
      </c>
      <c r="AN216" t="n">
        <v>1</v>
      </c>
      <c r="AO216" t="n">
        <v>1</v>
      </c>
      <c r="AP216" t="n">
        <v>1</v>
      </c>
      <c r="AQ216" t="n">
        <v>1</v>
      </c>
      <c r="AR216" t="n">
        <v>1</v>
      </c>
      <c r="AS216" t="n">
        <v>1</v>
      </c>
      <c r="AT216" t="n">
        <v>1</v>
      </c>
      <c r="AU216" t="n">
        <v>1</v>
      </c>
      <c r="AV216" t="n">
        <v>1</v>
      </c>
      <c r="AW216" t="n">
        <v>1</v>
      </c>
      <c r="AX216" t="n">
        <v>1</v>
      </c>
      <c r="AY216" t="n">
        <v>1</v>
      </c>
      <c r="AZ216" t="n">
        <v>1</v>
      </c>
      <c r="BA216" t="n">
        <v>1</v>
      </c>
      <c r="BB216" t="n">
        <v>1</v>
      </c>
      <c r="BC216" t="n">
        <v>1</v>
      </c>
      <c r="BD216" t="n">
        <v>1</v>
      </c>
      <c r="BE216" t="n">
        <v>1</v>
      </c>
      <c r="BF216" t="n">
        <v>1</v>
      </c>
      <c r="BG216" t="n">
        <v>1</v>
      </c>
      <c r="BH216" t="n">
        <v>1</v>
      </c>
      <c r="BI216" t="n">
        <v>1</v>
      </c>
      <c r="BJ216" t="n">
        <v>-1</v>
      </c>
      <c r="BK216" t="n">
        <v>-1</v>
      </c>
      <c r="BL216" t="n">
        <v>-1</v>
      </c>
    </row>
    <row r="217">
      <c r="A217" t="inlineStr">
        <is>
          <t>Scooter, battery electric, &lt;4kW - 2040 - LFP - CH</t>
        </is>
      </c>
      <c r="B217" t="n">
        <v>1</v>
      </c>
      <c r="C217" s="2">
        <f>'vehicles specifications'!S79</f>
        <v>73</v>
      </c>
      <c r="D217" t="n">
        <v>1</v>
      </c>
      <c r="E217" t="n">
        <v>1</v>
      </c>
      <c r="F217">
        <f>1+'vehicles specifications'!AD79</f>
        <v>1.25</v>
      </c>
      <c r="G217">
        <f>1+'vehicles specifications'!AD79</f>
        <v>1.25</v>
      </c>
      <c r="J217" t="n">
        <v>1</v>
      </c>
      <c r="K217">
        <f>1/('fuels and tailpipe emissions'!$C$3*3.6)</f>
        <v>2.3474178403755867E-2</v>
      </c>
      <c r="L217">
        <f>1/3.6*1.1</f>
        <v>0.30555555555555558</v>
      </c>
      <c r="M217">
        <f>1/'vehicles specifications'!J79</f>
        <v>4.0000000000000003E-5</v>
      </c>
      <c r="N217" t="n">
        <v>1</v>
      </c>
      <c r="O217">
        <f>1</f>
        <v>1</v>
      </c>
      <c r="P217" t="n">
        <v>1</v>
      </c>
      <c r="Q217" t="n">
        <v>1</v>
      </c>
      <c r="R217">
        <f>-1-'vehicles specifications'!AD79</f>
        <v>-1.25</v>
      </c>
      <c r="S217" t="n">
        <v>1</v>
      </c>
      <c r="T217" t="n">
        <v>1</v>
      </c>
      <c r="U217" t="n">
        <v>1</v>
      </c>
      <c r="V217" t="n">
        <v>1</v>
      </c>
      <c r="W217" t="n">
        <v>1</v>
      </c>
      <c r="X217" t="n">
        <v>1</v>
      </c>
      <c r="Y217" t="n">
        <v>1</v>
      </c>
      <c r="Z217" t="n">
        <v>1</v>
      </c>
      <c r="AA217" t="n">
        <v>1</v>
      </c>
      <c r="AB217" t="n">
        <v>1</v>
      </c>
      <c r="AC217" t="n">
        <v>1</v>
      </c>
      <c r="AD217" t="n">
        <v>1</v>
      </c>
      <c r="AE217" t="n">
        <v>1</v>
      </c>
      <c r="AF217" t="n">
        <v>1</v>
      </c>
      <c r="AG217" t="n">
        <v>1</v>
      </c>
      <c r="AH217" t="n">
        <v>1</v>
      </c>
      <c r="AI217" t="n">
        <v>1</v>
      </c>
      <c r="AJ217" t="n">
        <v>1</v>
      </c>
      <c r="AK217" t="n">
        <v>1</v>
      </c>
      <c r="AL217" t="n">
        <v>1</v>
      </c>
      <c r="AM217" t="n">
        <v>1</v>
      </c>
      <c r="AN217" t="n">
        <v>1</v>
      </c>
      <c r="AO217" t="n">
        <v>1</v>
      </c>
      <c r="AP217" t="n">
        <v>1</v>
      </c>
      <c r="AQ217" t="n">
        <v>1</v>
      </c>
      <c r="AR217" t="n">
        <v>1</v>
      </c>
      <c r="AS217" t="n">
        <v>1</v>
      </c>
      <c r="AT217" t="n">
        <v>1</v>
      </c>
      <c r="AU217" t="n">
        <v>1</v>
      </c>
      <c r="AV217" t="n">
        <v>1</v>
      </c>
      <c r="AW217" t="n">
        <v>1</v>
      </c>
      <c r="AX217" t="n">
        <v>1</v>
      </c>
      <c r="AY217" t="n">
        <v>1</v>
      </c>
      <c r="AZ217" t="n">
        <v>1</v>
      </c>
      <c r="BA217" t="n">
        <v>1</v>
      </c>
      <c r="BB217" t="n">
        <v>1</v>
      </c>
      <c r="BC217" t="n">
        <v>1</v>
      </c>
      <c r="BD217" t="n">
        <v>1</v>
      </c>
      <c r="BE217" t="n">
        <v>1</v>
      </c>
      <c r="BF217" t="n">
        <v>1</v>
      </c>
      <c r="BG217" t="n">
        <v>1</v>
      </c>
      <c r="BH217" t="n">
        <v>1</v>
      </c>
      <c r="BI217" t="n">
        <v>1</v>
      </c>
      <c r="BJ217" t="n">
        <v>-1</v>
      </c>
      <c r="BK217" t="n">
        <v>-1</v>
      </c>
      <c r="BL217" t="n">
        <v>-1</v>
      </c>
    </row>
    <row r="218">
      <c r="A218" t="inlineStr">
        <is>
          <t>Scooter, battery electric, &lt;4kW - 2050 - LFP - CH</t>
        </is>
      </c>
      <c r="B218" t="n">
        <v>1</v>
      </c>
      <c r="C218" s="2">
        <f>'vehicles specifications'!S80</f>
        <v>73</v>
      </c>
      <c r="D218" t="n">
        <v>1</v>
      </c>
      <c r="E218" t="n">
        <v>1</v>
      </c>
      <c r="F218">
        <f>1+'vehicles specifications'!AD80</f>
        <v>1</v>
      </c>
      <c r="G218">
        <f>1+'vehicles specifications'!AD80</f>
        <v>1</v>
      </c>
      <c r="J218" t="n">
        <v>1</v>
      </c>
      <c r="K218">
        <f>1/('fuels and tailpipe emissions'!$C$3*3.6)</f>
        <v>2.3474178403755867E-2</v>
      </c>
      <c r="L218">
        <f>1/3.6*1.1</f>
        <v>0.30555555555555558</v>
      </c>
      <c r="M218">
        <f>1/'vehicles specifications'!J80</f>
        <v>4.0000000000000003E-5</v>
      </c>
      <c r="N218" t="n">
        <v>1</v>
      </c>
      <c r="O218">
        <f>1</f>
        <v>1</v>
      </c>
      <c r="P218" t="n">
        <v>1</v>
      </c>
      <c r="Q218" t="n">
        <v>1</v>
      </c>
      <c r="R218">
        <f>-1-'vehicles specifications'!AD80</f>
        <v>-1</v>
      </c>
      <c r="S218" t="n">
        <v>1</v>
      </c>
      <c r="T218" t="n">
        <v>1</v>
      </c>
      <c r="U218" t="n">
        <v>1</v>
      </c>
      <c r="V218" t="n">
        <v>1</v>
      </c>
      <c r="W218" t="n">
        <v>1</v>
      </c>
      <c r="X218" t="n">
        <v>1</v>
      </c>
      <c r="Y218" t="n">
        <v>1</v>
      </c>
      <c r="Z218" t="n">
        <v>1</v>
      </c>
      <c r="AA218" t="n">
        <v>1</v>
      </c>
      <c r="AB218" t="n">
        <v>1</v>
      </c>
      <c r="AC218" t="n">
        <v>1</v>
      </c>
      <c r="AD218" t="n">
        <v>1</v>
      </c>
      <c r="AE218" t="n">
        <v>1</v>
      </c>
      <c r="AF218" t="n">
        <v>1</v>
      </c>
      <c r="AG218" t="n">
        <v>1</v>
      </c>
      <c r="AH218" t="n">
        <v>1</v>
      </c>
      <c r="AI218" t="n">
        <v>1</v>
      </c>
      <c r="AJ218" t="n">
        <v>1</v>
      </c>
      <c r="AK218" t="n">
        <v>1</v>
      </c>
      <c r="AL218" t="n">
        <v>1</v>
      </c>
      <c r="AM218" t="n">
        <v>1</v>
      </c>
      <c r="AN218" t="n">
        <v>1</v>
      </c>
      <c r="AO218" t="n">
        <v>1</v>
      </c>
      <c r="AP218" t="n">
        <v>1</v>
      </c>
      <c r="AQ218" t="n">
        <v>1</v>
      </c>
      <c r="AR218" t="n">
        <v>1</v>
      </c>
      <c r="AS218" t="n">
        <v>1</v>
      </c>
      <c r="AT218" t="n">
        <v>1</v>
      </c>
      <c r="AU218" t="n">
        <v>1</v>
      </c>
      <c r="AV218" t="n">
        <v>1</v>
      </c>
      <c r="AW218" t="n">
        <v>1</v>
      </c>
      <c r="AX218" t="n">
        <v>1</v>
      </c>
      <c r="AY218" t="n">
        <v>1</v>
      </c>
      <c r="AZ218" t="n">
        <v>1</v>
      </c>
      <c r="BA218" t="n">
        <v>1</v>
      </c>
      <c r="BB218" t="n">
        <v>1</v>
      </c>
      <c r="BC218" t="n">
        <v>1</v>
      </c>
      <c r="BD218" t="n">
        <v>1</v>
      </c>
      <c r="BE218" t="n">
        <v>1</v>
      </c>
      <c r="BF218" t="n">
        <v>1</v>
      </c>
      <c r="BG218" t="n">
        <v>1</v>
      </c>
      <c r="BH218" t="n">
        <v>1</v>
      </c>
      <c r="BI218" t="n">
        <v>1</v>
      </c>
      <c r="BJ218" t="n">
        <v>-1</v>
      </c>
      <c r="BK218" t="n">
        <v>-1</v>
      </c>
      <c r="BL218" t="n">
        <v>-1</v>
      </c>
    </row>
    <row r="219">
      <c r="A219" t="inlineStr">
        <is>
          <t>Scooter, battery electric, &lt;4kW - 2020 - NCA - CH</t>
        </is>
      </c>
      <c r="B219" t="n">
        <v>1</v>
      </c>
      <c r="C219" s="2">
        <f>'vehicles specifications'!S81</f>
        <v>84</v>
      </c>
      <c r="D219" t="n">
        <v>1</v>
      </c>
      <c r="E219" t="n">
        <v>1</v>
      </c>
      <c r="F219">
        <f>1+'vehicles specifications'!AD81</f>
        <v>2</v>
      </c>
      <c r="G219">
        <f>1+'vehicles specifications'!AD81</f>
        <v>2</v>
      </c>
      <c r="J219" t="n">
        <v>1</v>
      </c>
      <c r="K219">
        <f>1/('fuels and tailpipe emissions'!$C$3*3.6)</f>
        <v>2.3474178403755867E-2</v>
      </c>
      <c r="L219">
        <f>1/3.6*1.1</f>
        <v>0.30555555555555558</v>
      </c>
      <c r="M219">
        <f>1/'vehicles specifications'!J81</f>
        <v>4.0000000000000003E-5</v>
      </c>
      <c r="N219" t="n">
        <v>1</v>
      </c>
      <c r="O219">
        <f>1</f>
        <v>1</v>
      </c>
      <c r="P219" t="n">
        <v>1</v>
      </c>
      <c r="Q219" t="n">
        <v>1</v>
      </c>
      <c r="R219">
        <f>-1-'vehicles specifications'!AD81</f>
        <v>-2</v>
      </c>
      <c r="S219" t="n">
        <v>1</v>
      </c>
      <c r="T219" t="n">
        <v>1</v>
      </c>
      <c r="U219" t="n">
        <v>1</v>
      </c>
      <c r="V219" t="n">
        <v>1</v>
      </c>
      <c r="W219" t="n">
        <v>1</v>
      </c>
      <c r="X219" t="n">
        <v>1</v>
      </c>
      <c r="Y219" t="n">
        <v>1</v>
      </c>
      <c r="Z219" t="n">
        <v>1</v>
      </c>
      <c r="AA219" t="n">
        <v>1</v>
      </c>
      <c r="AB219" t="n">
        <v>1</v>
      </c>
      <c r="AC219" t="n">
        <v>1</v>
      </c>
      <c r="AD219" t="n">
        <v>1</v>
      </c>
      <c r="AE219" t="n">
        <v>1</v>
      </c>
      <c r="AF219" t="n">
        <v>1</v>
      </c>
      <c r="AG219" t="n">
        <v>1</v>
      </c>
      <c r="AH219" t="n">
        <v>1</v>
      </c>
      <c r="AI219" t="n">
        <v>1</v>
      </c>
      <c r="AJ219" t="n">
        <v>1</v>
      </c>
      <c r="AK219" t="n">
        <v>1</v>
      </c>
      <c r="AL219" t="n">
        <v>1</v>
      </c>
      <c r="AM219" t="n">
        <v>1</v>
      </c>
      <c r="AN219" t="n">
        <v>1</v>
      </c>
      <c r="AO219" t="n">
        <v>1</v>
      </c>
      <c r="AP219" t="n">
        <v>1</v>
      </c>
      <c r="AQ219" t="n">
        <v>1</v>
      </c>
      <c r="AR219" t="n">
        <v>1</v>
      </c>
      <c r="AS219" t="n">
        <v>1</v>
      </c>
      <c r="AT219" t="n">
        <v>1</v>
      </c>
      <c r="AU219" t="n">
        <v>1</v>
      </c>
      <c r="AV219" t="n">
        <v>1</v>
      </c>
      <c r="AW219" t="n">
        <v>1</v>
      </c>
      <c r="AX219" t="n">
        <v>1</v>
      </c>
      <c r="AY219" t="n">
        <v>1</v>
      </c>
      <c r="AZ219" t="n">
        <v>1</v>
      </c>
      <c r="BA219" t="n">
        <v>1</v>
      </c>
      <c r="BB219" t="n">
        <v>1</v>
      </c>
      <c r="BC219" t="n">
        <v>1</v>
      </c>
      <c r="BD219" t="n">
        <v>1</v>
      </c>
      <c r="BE219" t="n">
        <v>1</v>
      </c>
      <c r="BF219" t="n">
        <v>1</v>
      </c>
      <c r="BG219" t="n">
        <v>1</v>
      </c>
      <c r="BH219" t="n">
        <v>1</v>
      </c>
      <c r="BI219" t="n">
        <v>1</v>
      </c>
      <c r="BJ219" t="n">
        <v>-1</v>
      </c>
      <c r="BK219" t="n">
        <v>-1</v>
      </c>
      <c r="BL219" t="n">
        <v>-1</v>
      </c>
    </row>
    <row r="220">
      <c r="A220" t="inlineStr">
        <is>
          <t>Scooter, battery electric, &lt;4kW - 2030 - NCA - CH</t>
        </is>
      </c>
      <c r="B220" t="n">
        <v>1</v>
      </c>
      <c r="C220" s="2">
        <f>'vehicles specifications'!S82</f>
        <v>84</v>
      </c>
      <c r="D220" t="n">
        <v>1</v>
      </c>
      <c r="E220" t="n">
        <v>1</v>
      </c>
      <c r="F220">
        <f>1+'vehicles specifications'!AD82</f>
        <v>1.5</v>
      </c>
      <c r="G220">
        <f>1+'vehicles specifications'!AD82</f>
        <v>1.5</v>
      </c>
      <c r="J220" t="n">
        <v>1</v>
      </c>
      <c r="K220">
        <f>1/('fuels and tailpipe emissions'!$C$3*3.6)</f>
        <v>2.3474178403755867E-2</v>
      </c>
      <c r="L220">
        <f>1/3.6*1.1</f>
        <v>0.30555555555555558</v>
      </c>
      <c r="M220">
        <f>1/'vehicles specifications'!J82</f>
        <v>4.0000000000000003E-5</v>
      </c>
      <c r="N220" t="n">
        <v>1</v>
      </c>
      <c r="O220">
        <f>1</f>
        <v>1</v>
      </c>
      <c r="P220" t="n">
        <v>1</v>
      </c>
      <c r="Q220" t="n">
        <v>1</v>
      </c>
      <c r="R220">
        <f>-1-'vehicles specifications'!AD82</f>
        <v>-1.5</v>
      </c>
      <c r="S220" t="n">
        <v>1</v>
      </c>
      <c r="T220" t="n">
        <v>1</v>
      </c>
      <c r="U220" t="n">
        <v>1</v>
      </c>
      <c r="V220" t="n">
        <v>1</v>
      </c>
      <c r="W220" t="n">
        <v>1</v>
      </c>
      <c r="X220" t="n">
        <v>1</v>
      </c>
      <c r="Y220" t="n">
        <v>1</v>
      </c>
      <c r="Z220" t="n">
        <v>1</v>
      </c>
      <c r="AA220" t="n">
        <v>1</v>
      </c>
      <c r="AB220" t="n">
        <v>1</v>
      </c>
      <c r="AC220" t="n">
        <v>1</v>
      </c>
      <c r="AD220" t="n">
        <v>1</v>
      </c>
      <c r="AE220" t="n">
        <v>1</v>
      </c>
      <c r="AF220" t="n">
        <v>1</v>
      </c>
      <c r="AG220" t="n">
        <v>1</v>
      </c>
      <c r="AH220" t="n">
        <v>1</v>
      </c>
      <c r="AI220" t="n">
        <v>1</v>
      </c>
      <c r="AJ220" t="n">
        <v>1</v>
      </c>
      <c r="AK220" t="n">
        <v>1</v>
      </c>
      <c r="AL220" t="n">
        <v>1</v>
      </c>
      <c r="AM220" t="n">
        <v>1</v>
      </c>
      <c r="AN220" t="n">
        <v>1</v>
      </c>
      <c r="AO220" t="n">
        <v>1</v>
      </c>
      <c r="AP220" t="n">
        <v>1</v>
      </c>
      <c r="AQ220" t="n">
        <v>1</v>
      </c>
      <c r="AR220" t="n">
        <v>1</v>
      </c>
      <c r="AS220" t="n">
        <v>1</v>
      </c>
      <c r="AT220" t="n">
        <v>1</v>
      </c>
      <c r="AU220" t="n">
        <v>1</v>
      </c>
      <c r="AV220" t="n">
        <v>1</v>
      </c>
      <c r="AW220" t="n">
        <v>1</v>
      </c>
      <c r="AX220" t="n">
        <v>1</v>
      </c>
      <c r="AY220" t="n">
        <v>1</v>
      </c>
      <c r="AZ220" t="n">
        <v>1</v>
      </c>
      <c r="BA220" t="n">
        <v>1</v>
      </c>
      <c r="BB220" t="n">
        <v>1</v>
      </c>
      <c r="BC220" t="n">
        <v>1</v>
      </c>
      <c r="BD220" t="n">
        <v>1</v>
      </c>
      <c r="BE220" t="n">
        <v>1</v>
      </c>
      <c r="BF220" t="n">
        <v>1</v>
      </c>
      <c r="BG220" t="n">
        <v>1</v>
      </c>
      <c r="BH220" t="n">
        <v>1</v>
      </c>
      <c r="BI220" t="n">
        <v>1</v>
      </c>
      <c r="BJ220" t="n">
        <v>-1</v>
      </c>
      <c r="BK220" t="n">
        <v>-1</v>
      </c>
      <c r="BL220" t="n">
        <v>-1</v>
      </c>
    </row>
    <row r="221">
      <c r="A221" t="inlineStr">
        <is>
          <t>Scooter, battery electric, &lt;4kW - 2040 - NCA - CH</t>
        </is>
      </c>
      <c r="B221" t="n">
        <v>1</v>
      </c>
      <c r="C221" s="2">
        <f>'vehicles specifications'!S83</f>
        <v>84</v>
      </c>
      <c r="D221" t="n">
        <v>1</v>
      </c>
      <c r="E221" t="n">
        <v>1</v>
      </c>
      <c r="F221">
        <f>1+'vehicles specifications'!AD83</f>
        <v>1.25</v>
      </c>
      <c r="G221">
        <f>1+'vehicles specifications'!AD83</f>
        <v>1.25</v>
      </c>
      <c r="J221" t="n">
        <v>1</v>
      </c>
      <c r="K221">
        <f>1/('fuels and tailpipe emissions'!$C$3*3.6)</f>
        <v>2.3474178403755867E-2</v>
      </c>
      <c r="L221">
        <f>1/3.6*1.1</f>
        <v>0.30555555555555558</v>
      </c>
      <c r="M221">
        <f>1/'vehicles specifications'!J83</f>
        <v>4.0000000000000003E-5</v>
      </c>
      <c r="N221" t="n">
        <v>1</v>
      </c>
      <c r="O221">
        <f>1</f>
        <v>1</v>
      </c>
      <c r="P221" t="n">
        <v>1</v>
      </c>
      <c r="Q221" t="n">
        <v>1</v>
      </c>
      <c r="R221">
        <f>-1-'vehicles specifications'!AD83</f>
        <v>-1.25</v>
      </c>
      <c r="S221" t="n">
        <v>1</v>
      </c>
      <c r="T221" t="n">
        <v>1</v>
      </c>
      <c r="U221" t="n">
        <v>1</v>
      </c>
      <c r="V221" t="n">
        <v>1</v>
      </c>
      <c r="W221" t="n">
        <v>1</v>
      </c>
      <c r="X221" t="n">
        <v>1</v>
      </c>
      <c r="Y221" t="n">
        <v>1</v>
      </c>
      <c r="Z221" t="n">
        <v>1</v>
      </c>
      <c r="AA221" t="n">
        <v>1</v>
      </c>
      <c r="AB221" t="n">
        <v>1</v>
      </c>
      <c r="AC221" t="n">
        <v>1</v>
      </c>
      <c r="AD221" t="n">
        <v>1</v>
      </c>
      <c r="AE221" t="n">
        <v>1</v>
      </c>
      <c r="AF221" t="n">
        <v>1</v>
      </c>
      <c r="AG221" t="n">
        <v>1</v>
      </c>
      <c r="AH221" t="n">
        <v>1</v>
      </c>
      <c r="AI221" t="n">
        <v>1</v>
      </c>
      <c r="AJ221" t="n">
        <v>1</v>
      </c>
      <c r="AK221" t="n">
        <v>1</v>
      </c>
      <c r="AL221" t="n">
        <v>1</v>
      </c>
      <c r="AM221" t="n">
        <v>1</v>
      </c>
      <c r="AN221" t="n">
        <v>1</v>
      </c>
      <c r="AO221" t="n">
        <v>1</v>
      </c>
      <c r="AP221" t="n">
        <v>1</v>
      </c>
      <c r="AQ221" t="n">
        <v>1</v>
      </c>
      <c r="AR221" t="n">
        <v>1</v>
      </c>
      <c r="AS221" t="n">
        <v>1</v>
      </c>
      <c r="AT221" t="n">
        <v>1</v>
      </c>
      <c r="AU221" t="n">
        <v>1</v>
      </c>
      <c r="AV221" t="n">
        <v>1</v>
      </c>
      <c r="AW221" t="n">
        <v>1</v>
      </c>
      <c r="AX221" t="n">
        <v>1</v>
      </c>
      <c r="AY221" t="n">
        <v>1</v>
      </c>
      <c r="AZ221" t="n">
        <v>1</v>
      </c>
      <c r="BA221" t="n">
        <v>1</v>
      </c>
      <c r="BB221" t="n">
        <v>1</v>
      </c>
      <c r="BC221" t="n">
        <v>1</v>
      </c>
      <c r="BD221" t="n">
        <v>1</v>
      </c>
      <c r="BE221" t="n">
        <v>1</v>
      </c>
      <c r="BF221" t="n">
        <v>1</v>
      </c>
      <c r="BG221" t="n">
        <v>1</v>
      </c>
      <c r="BH221" t="n">
        <v>1</v>
      </c>
      <c r="BI221" t="n">
        <v>1</v>
      </c>
      <c r="BJ221" t="n">
        <v>-1</v>
      </c>
      <c r="BK221" t="n">
        <v>-1</v>
      </c>
      <c r="BL221" t="n">
        <v>-1</v>
      </c>
    </row>
    <row r="222">
      <c r="A222" t="inlineStr">
        <is>
          <t>Scooter, battery electric, &lt;4kW - 2050 - NCA - CH</t>
        </is>
      </c>
      <c r="B222" t="n">
        <v>1</v>
      </c>
      <c r="C222" s="2">
        <f>'vehicles specifications'!S84</f>
        <v>84</v>
      </c>
      <c r="D222" t="n">
        <v>1</v>
      </c>
      <c r="E222" t="n">
        <v>1</v>
      </c>
      <c r="F222">
        <f>1+'vehicles specifications'!AD84</f>
        <v>1</v>
      </c>
      <c r="G222">
        <f>1+'vehicles specifications'!AD84</f>
        <v>1</v>
      </c>
      <c r="J222" t="n">
        <v>1</v>
      </c>
      <c r="K222">
        <f>1/('fuels and tailpipe emissions'!$C$3*3.6)</f>
        <v>2.3474178403755867E-2</v>
      </c>
      <c r="L222">
        <f>1/3.6*1.1</f>
        <v>0.30555555555555558</v>
      </c>
      <c r="M222">
        <f>1/'vehicles specifications'!J84</f>
        <v>4.0000000000000003E-5</v>
      </c>
      <c r="N222" t="n">
        <v>1</v>
      </c>
      <c r="O222">
        <f>1</f>
        <v>1</v>
      </c>
      <c r="P222" t="n">
        <v>1</v>
      </c>
      <c r="Q222" t="n">
        <v>1</v>
      </c>
      <c r="R222">
        <f>-1-'vehicles specifications'!AD84</f>
        <v>-1</v>
      </c>
      <c r="S222" t="n">
        <v>1</v>
      </c>
      <c r="T222" t="n">
        <v>1</v>
      </c>
      <c r="U222" t="n">
        <v>1</v>
      </c>
      <c r="V222" t="n">
        <v>1</v>
      </c>
      <c r="W222" t="n">
        <v>1</v>
      </c>
      <c r="X222" t="n">
        <v>1</v>
      </c>
      <c r="Y222" t="n">
        <v>1</v>
      </c>
      <c r="Z222" t="n">
        <v>1</v>
      </c>
      <c r="AA222" t="n">
        <v>1</v>
      </c>
      <c r="AB222" t="n">
        <v>1</v>
      </c>
      <c r="AC222" t="n">
        <v>1</v>
      </c>
      <c r="AD222" t="n">
        <v>1</v>
      </c>
      <c r="AE222" t="n">
        <v>1</v>
      </c>
      <c r="AF222" t="n">
        <v>1</v>
      </c>
      <c r="AG222" t="n">
        <v>1</v>
      </c>
      <c r="AH222" t="n">
        <v>1</v>
      </c>
      <c r="AI222" t="n">
        <v>1</v>
      </c>
      <c r="AJ222" t="n">
        <v>1</v>
      </c>
      <c r="AK222" t="n">
        <v>1</v>
      </c>
      <c r="AL222" t="n">
        <v>1</v>
      </c>
      <c r="AM222" t="n">
        <v>1</v>
      </c>
      <c r="AN222" t="n">
        <v>1</v>
      </c>
      <c r="AO222" t="n">
        <v>1</v>
      </c>
      <c r="AP222" t="n">
        <v>1</v>
      </c>
      <c r="AQ222" t="n">
        <v>1</v>
      </c>
      <c r="AR222" t="n">
        <v>1</v>
      </c>
      <c r="AS222" t="n">
        <v>1</v>
      </c>
      <c r="AT222" t="n">
        <v>1</v>
      </c>
      <c r="AU222" t="n">
        <v>1</v>
      </c>
      <c r="AV222" t="n">
        <v>1</v>
      </c>
      <c r="AW222" t="n">
        <v>1</v>
      </c>
      <c r="AX222" t="n">
        <v>1</v>
      </c>
      <c r="AY222" t="n">
        <v>1</v>
      </c>
      <c r="AZ222" t="n">
        <v>1</v>
      </c>
      <c r="BA222" t="n">
        <v>1</v>
      </c>
      <c r="BB222" t="n">
        <v>1</v>
      </c>
      <c r="BC222" t="n">
        <v>1</v>
      </c>
      <c r="BD222" t="n">
        <v>1</v>
      </c>
      <c r="BE222" t="n">
        <v>1</v>
      </c>
      <c r="BF222" t="n">
        <v>1</v>
      </c>
      <c r="BG222" t="n">
        <v>1</v>
      </c>
      <c r="BH222" t="n">
        <v>1</v>
      </c>
      <c r="BI222" t="n">
        <v>1</v>
      </c>
      <c r="BJ222" t="n">
        <v>-1</v>
      </c>
      <c r="BK222" t="n">
        <v>-1</v>
      </c>
      <c r="BL222" t="n">
        <v>-1</v>
      </c>
    </row>
    <row r="223">
      <c r="A223" t="inlineStr">
        <is>
          <t>Scooter, battery electric, 4-11kW - 2020 - NMC - CH</t>
        </is>
      </c>
      <c r="B223" t="n">
        <v>1</v>
      </c>
      <c r="C223" s="2">
        <f>'vehicles specifications'!S81</f>
        <v>84</v>
      </c>
      <c r="D223" t="n">
        <v>1</v>
      </c>
      <c r="E223" t="n">
        <v>1</v>
      </c>
      <c r="F223">
        <f>1+'vehicles specifications'!AD81</f>
        <v>2</v>
      </c>
      <c r="G223">
        <f>1+'vehicles specifications'!AD81</f>
        <v>2</v>
      </c>
      <c r="J223" t="n">
        <v>1</v>
      </c>
      <c r="K223">
        <f>1/('fuels and tailpipe emissions'!$C$3*3.6)</f>
        <v>2.3474178403755867E-2</v>
      </c>
      <c r="L223">
        <f>1/3.6*1.1</f>
        <v>0.30555555555555558</v>
      </c>
      <c r="M223">
        <f>1/'vehicles specifications'!J81</f>
        <v>4.0000000000000003E-5</v>
      </c>
      <c r="N223" t="n">
        <v>1</v>
      </c>
      <c r="O223">
        <f>1</f>
        <v>1</v>
      </c>
      <c r="P223" t="n">
        <v>1</v>
      </c>
      <c r="Q223" t="n">
        <v>1</v>
      </c>
      <c r="R223">
        <f>-1-'vehicles specifications'!AD81</f>
        <v>-2</v>
      </c>
      <c r="S223" t="n">
        <v>1</v>
      </c>
      <c r="T223" t="n">
        <v>1</v>
      </c>
      <c r="U223" t="n">
        <v>1</v>
      </c>
      <c r="V223" t="n">
        <v>1</v>
      </c>
      <c r="W223" t="n">
        <v>1</v>
      </c>
      <c r="X223" t="n">
        <v>1</v>
      </c>
      <c r="Y223" t="n">
        <v>1</v>
      </c>
      <c r="Z223" t="n">
        <v>1</v>
      </c>
      <c r="AA223" t="n">
        <v>1</v>
      </c>
      <c r="AB223" t="n">
        <v>1</v>
      </c>
      <c r="AC223" t="n">
        <v>1</v>
      </c>
      <c r="AD223" t="n">
        <v>1</v>
      </c>
      <c r="AE223" t="n">
        <v>1</v>
      </c>
      <c r="AF223" t="n">
        <v>1</v>
      </c>
      <c r="AG223" t="n">
        <v>1</v>
      </c>
      <c r="AH223" t="n">
        <v>1</v>
      </c>
      <c r="AI223" t="n">
        <v>1</v>
      </c>
      <c r="AJ223" t="n">
        <v>1</v>
      </c>
      <c r="AK223" t="n">
        <v>1</v>
      </c>
      <c r="AL223" t="n">
        <v>1</v>
      </c>
      <c r="AM223" t="n">
        <v>1</v>
      </c>
      <c r="AN223" t="n">
        <v>1</v>
      </c>
      <c r="AO223" t="n">
        <v>1</v>
      </c>
      <c r="AP223" t="n">
        <v>1</v>
      </c>
      <c r="AQ223" t="n">
        <v>1</v>
      </c>
      <c r="AR223" t="n">
        <v>1</v>
      </c>
      <c r="AS223" t="n">
        <v>1</v>
      </c>
      <c r="AT223" t="n">
        <v>1</v>
      </c>
      <c r="AU223" t="n">
        <v>1</v>
      </c>
      <c r="AV223" t="n">
        <v>1</v>
      </c>
      <c r="AW223" t="n">
        <v>1</v>
      </c>
      <c r="AX223" t="n">
        <v>1</v>
      </c>
      <c r="AY223" t="n">
        <v>1</v>
      </c>
      <c r="AZ223" t="n">
        <v>1</v>
      </c>
      <c r="BA223" t="n">
        <v>1</v>
      </c>
      <c r="BB223" t="n">
        <v>1</v>
      </c>
      <c r="BC223" t="n">
        <v>1</v>
      </c>
      <c r="BD223" t="n">
        <v>1</v>
      </c>
      <c r="BE223" t="n">
        <v>1</v>
      </c>
      <c r="BF223" t="n">
        <v>1</v>
      </c>
      <c r="BG223" t="n">
        <v>1</v>
      </c>
      <c r="BH223" t="n">
        <v>1</v>
      </c>
      <c r="BI223" t="n">
        <v>1</v>
      </c>
      <c r="BJ223" t="n">
        <v>-1</v>
      </c>
      <c r="BK223" t="n">
        <v>-1</v>
      </c>
      <c r="BL223" t="n">
        <v>-1</v>
      </c>
    </row>
    <row r="224">
      <c r="A224" t="inlineStr">
        <is>
          <t>Scooter, battery electric, 4-11kW - 2030 - NMC - CH</t>
        </is>
      </c>
      <c r="B224" t="n">
        <v>1</v>
      </c>
      <c r="C224" s="2">
        <f>'vehicles specifications'!S82</f>
        <v>84</v>
      </c>
      <c r="D224" t="n">
        <v>1</v>
      </c>
      <c r="E224" t="n">
        <v>1</v>
      </c>
      <c r="F224">
        <f>1+'vehicles specifications'!AD82</f>
        <v>1.5</v>
      </c>
      <c r="G224">
        <f>1+'vehicles specifications'!AD82</f>
        <v>1.5</v>
      </c>
      <c r="J224" t="n">
        <v>1</v>
      </c>
      <c r="K224">
        <f>1/('fuels and tailpipe emissions'!$C$3*3.6)</f>
        <v>2.3474178403755867E-2</v>
      </c>
      <c r="L224">
        <f>1/3.6*1.1</f>
        <v>0.30555555555555558</v>
      </c>
      <c r="M224">
        <f>1/'vehicles specifications'!J82</f>
        <v>4.0000000000000003E-5</v>
      </c>
      <c r="N224" t="n">
        <v>1</v>
      </c>
      <c r="O224">
        <f>1</f>
        <v>1</v>
      </c>
      <c r="P224" t="n">
        <v>1</v>
      </c>
      <c r="Q224" t="n">
        <v>1</v>
      </c>
      <c r="R224">
        <f>-1-'vehicles specifications'!AD82</f>
        <v>-1.5</v>
      </c>
      <c r="S224" t="n">
        <v>1</v>
      </c>
      <c r="T224" t="n">
        <v>1</v>
      </c>
      <c r="U224" t="n">
        <v>1</v>
      </c>
      <c r="V224" t="n">
        <v>1</v>
      </c>
      <c r="W224" t="n">
        <v>1</v>
      </c>
      <c r="X224" t="n">
        <v>1</v>
      </c>
      <c r="Y224" t="n">
        <v>1</v>
      </c>
      <c r="Z224" t="n">
        <v>1</v>
      </c>
      <c r="AA224" t="n">
        <v>1</v>
      </c>
      <c r="AB224" t="n">
        <v>1</v>
      </c>
      <c r="AC224" t="n">
        <v>1</v>
      </c>
      <c r="AD224" t="n">
        <v>1</v>
      </c>
      <c r="AE224" t="n">
        <v>1</v>
      </c>
      <c r="AF224" t="n">
        <v>1</v>
      </c>
      <c r="AG224" t="n">
        <v>1</v>
      </c>
      <c r="AH224" t="n">
        <v>1</v>
      </c>
      <c r="AI224" t="n">
        <v>1</v>
      </c>
      <c r="AJ224" t="n">
        <v>1</v>
      </c>
      <c r="AK224" t="n">
        <v>1</v>
      </c>
      <c r="AL224" t="n">
        <v>1</v>
      </c>
      <c r="AM224" t="n">
        <v>1</v>
      </c>
      <c r="AN224" t="n">
        <v>1</v>
      </c>
      <c r="AO224" t="n">
        <v>1</v>
      </c>
      <c r="AP224" t="n">
        <v>1</v>
      </c>
      <c r="AQ224" t="n">
        <v>1</v>
      </c>
      <c r="AR224" t="n">
        <v>1</v>
      </c>
      <c r="AS224" t="n">
        <v>1</v>
      </c>
      <c r="AT224" t="n">
        <v>1</v>
      </c>
      <c r="AU224" t="n">
        <v>1</v>
      </c>
      <c r="AV224" t="n">
        <v>1</v>
      </c>
      <c r="AW224" t="n">
        <v>1</v>
      </c>
      <c r="AX224" t="n">
        <v>1</v>
      </c>
      <c r="AY224" t="n">
        <v>1</v>
      </c>
      <c r="AZ224" t="n">
        <v>1</v>
      </c>
      <c r="BA224" t="n">
        <v>1</v>
      </c>
      <c r="BB224" t="n">
        <v>1</v>
      </c>
      <c r="BC224" t="n">
        <v>1</v>
      </c>
      <c r="BD224" t="n">
        <v>1</v>
      </c>
      <c r="BE224" t="n">
        <v>1</v>
      </c>
      <c r="BF224" t="n">
        <v>1</v>
      </c>
      <c r="BG224" t="n">
        <v>1</v>
      </c>
      <c r="BH224" t="n">
        <v>1</v>
      </c>
      <c r="BI224" t="n">
        <v>1</v>
      </c>
      <c r="BJ224" t="n">
        <v>-1</v>
      </c>
      <c r="BK224" t="n">
        <v>-1</v>
      </c>
      <c r="BL224" t="n">
        <v>-1</v>
      </c>
    </row>
    <row r="225">
      <c r="A225" t="inlineStr">
        <is>
          <t>Scooter, battery electric, 4-11kW - 2040 - NMC - CH</t>
        </is>
      </c>
      <c r="B225" t="n">
        <v>1</v>
      </c>
      <c r="C225" s="2">
        <f>'vehicles specifications'!S83</f>
        <v>84</v>
      </c>
      <c r="D225" t="n">
        <v>1</v>
      </c>
      <c r="E225" t="n">
        <v>1</v>
      </c>
      <c r="F225">
        <f>1+'vehicles specifications'!AD83</f>
        <v>1.25</v>
      </c>
      <c r="G225">
        <f>1+'vehicles specifications'!AD83</f>
        <v>1.25</v>
      </c>
      <c r="J225" t="n">
        <v>1</v>
      </c>
      <c r="K225">
        <f>1/('fuels and tailpipe emissions'!$C$3*3.6)</f>
        <v>2.3474178403755867E-2</v>
      </c>
      <c r="L225">
        <f>1/3.6*1.1</f>
        <v>0.30555555555555558</v>
      </c>
      <c r="M225">
        <f>1/'vehicles specifications'!J83</f>
        <v>4.0000000000000003E-5</v>
      </c>
      <c r="N225" t="n">
        <v>1</v>
      </c>
      <c r="O225">
        <f>1</f>
        <v>1</v>
      </c>
      <c r="P225" t="n">
        <v>1</v>
      </c>
      <c r="Q225" t="n">
        <v>1</v>
      </c>
      <c r="R225">
        <f>-1-'vehicles specifications'!AD83</f>
        <v>-1.25</v>
      </c>
      <c r="S225" t="n">
        <v>1</v>
      </c>
      <c r="T225" t="n">
        <v>1</v>
      </c>
      <c r="U225" t="n">
        <v>1</v>
      </c>
      <c r="V225" t="n">
        <v>1</v>
      </c>
      <c r="W225" t="n">
        <v>1</v>
      </c>
      <c r="X225" t="n">
        <v>1</v>
      </c>
      <c r="Y225" t="n">
        <v>1</v>
      </c>
      <c r="Z225" t="n">
        <v>1</v>
      </c>
      <c r="AA225" t="n">
        <v>1</v>
      </c>
      <c r="AB225" t="n">
        <v>1</v>
      </c>
      <c r="AC225" t="n">
        <v>1</v>
      </c>
      <c r="AD225" t="n">
        <v>1</v>
      </c>
      <c r="AE225" t="n">
        <v>1</v>
      </c>
      <c r="AF225" t="n">
        <v>1</v>
      </c>
      <c r="AG225" t="n">
        <v>1</v>
      </c>
      <c r="AH225" t="n">
        <v>1</v>
      </c>
      <c r="AI225" t="n">
        <v>1</v>
      </c>
      <c r="AJ225" t="n">
        <v>1</v>
      </c>
      <c r="AK225" t="n">
        <v>1</v>
      </c>
      <c r="AL225" t="n">
        <v>1</v>
      </c>
      <c r="AM225" t="n">
        <v>1</v>
      </c>
      <c r="AN225" t="n">
        <v>1</v>
      </c>
      <c r="AO225" t="n">
        <v>1</v>
      </c>
      <c r="AP225" t="n">
        <v>1</v>
      </c>
      <c r="AQ225" t="n">
        <v>1</v>
      </c>
      <c r="AR225" t="n">
        <v>1</v>
      </c>
      <c r="AS225" t="n">
        <v>1</v>
      </c>
      <c r="AT225" t="n">
        <v>1</v>
      </c>
      <c r="AU225" t="n">
        <v>1</v>
      </c>
      <c r="AV225" t="n">
        <v>1</v>
      </c>
      <c r="AW225" t="n">
        <v>1</v>
      </c>
      <c r="AX225" t="n">
        <v>1</v>
      </c>
      <c r="AY225" t="n">
        <v>1</v>
      </c>
      <c r="AZ225" t="n">
        <v>1</v>
      </c>
      <c r="BA225" t="n">
        <v>1</v>
      </c>
      <c r="BB225" t="n">
        <v>1</v>
      </c>
      <c r="BC225" t="n">
        <v>1</v>
      </c>
      <c r="BD225" t="n">
        <v>1</v>
      </c>
      <c r="BE225" t="n">
        <v>1</v>
      </c>
      <c r="BF225" t="n">
        <v>1</v>
      </c>
      <c r="BG225" t="n">
        <v>1</v>
      </c>
      <c r="BH225" t="n">
        <v>1</v>
      </c>
      <c r="BI225" t="n">
        <v>1</v>
      </c>
      <c r="BJ225" t="n">
        <v>-1</v>
      </c>
      <c r="BK225" t="n">
        <v>-1</v>
      </c>
      <c r="BL225" t="n">
        <v>-1</v>
      </c>
    </row>
    <row r="226">
      <c r="A226" t="inlineStr">
        <is>
          <t>Scooter, battery electric, 4-11kW - 2050 - NMC - CH</t>
        </is>
      </c>
      <c r="B226" t="n">
        <v>1</v>
      </c>
      <c r="C226" s="2">
        <f>'vehicles specifications'!S84</f>
        <v>84</v>
      </c>
      <c r="D226" t="n">
        <v>1</v>
      </c>
      <c r="E226" t="n">
        <v>1</v>
      </c>
      <c r="F226">
        <f>1+'vehicles specifications'!AD84</f>
        <v>1</v>
      </c>
      <c r="G226">
        <f>1+'vehicles specifications'!AD84</f>
        <v>1</v>
      </c>
      <c r="J226" t="n">
        <v>1</v>
      </c>
      <c r="K226">
        <f>1/('fuels and tailpipe emissions'!$C$3*3.6)</f>
        <v>2.3474178403755867E-2</v>
      </c>
      <c r="L226">
        <f>1/3.6*1.1</f>
        <v>0.30555555555555558</v>
      </c>
      <c r="M226">
        <f>1/'vehicles specifications'!J84</f>
        <v>4.0000000000000003E-5</v>
      </c>
      <c r="N226" t="n">
        <v>1</v>
      </c>
      <c r="O226">
        <f>1</f>
        <v>1</v>
      </c>
      <c r="P226" t="n">
        <v>1</v>
      </c>
      <c r="Q226" t="n">
        <v>1</v>
      </c>
      <c r="R226">
        <f>-1-'vehicles specifications'!AD84</f>
        <v>-1</v>
      </c>
      <c r="S226" t="n">
        <v>1</v>
      </c>
      <c r="T226" t="n">
        <v>1</v>
      </c>
      <c r="U226" t="n">
        <v>1</v>
      </c>
      <c r="V226" t="n">
        <v>1</v>
      </c>
      <c r="W226" t="n">
        <v>1</v>
      </c>
      <c r="X226" t="n">
        <v>1</v>
      </c>
      <c r="Y226" t="n">
        <v>1</v>
      </c>
      <c r="Z226" t="n">
        <v>1</v>
      </c>
      <c r="AA226" t="n">
        <v>1</v>
      </c>
      <c r="AB226" t="n">
        <v>1</v>
      </c>
      <c r="AC226" t="n">
        <v>1</v>
      </c>
      <c r="AD226" t="n">
        <v>1</v>
      </c>
      <c r="AE226" t="n">
        <v>1</v>
      </c>
      <c r="AF226" t="n">
        <v>1</v>
      </c>
      <c r="AG226" t="n">
        <v>1</v>
      </c>
      <c r="AH226" t="n">
        <v>1</v>
      </c>
      <c r="AI226" t="n">
        <v>1</v>
      </c>
      <c r="AJ226" t="n">
        <v>1</v>
      </c>
      <c r="AK226" t="n">
        <v>1</v>
      </c>
      <c r="AL226" t="n">
        <v>1</v>
      </c>
      <c r="AM226" t="n">
        <v>1</v>
      </c>
      <c r="AN226" t="n">
        <v>1</v>
      </c>
      <c r="AO226" t="n">
        <v>1</v>
      </c>
      <c r="AP226" t="n">
        <v>1</v>
      </c>
      <c r="AQ226" t="n">
        <v>1</v>
      </c>
      <c r="AR226" t="n">
        <v>1</v>
      </c>
      <c r="AS226" t="n">
        <v>1</v>
      </c>
      <c r="AT226" t="n">
        <v>1</v>
      </c>
      <c r="AU226" t="n">
        <v>1</v>
      </c>
      <c r="AV226" t="n">
        <v>1</v>
      </c>
      <c r="AW226" t="n">
        <v>1</v>
      </c>
      <c r="AX226" t="n">
        <v>1</v>
      </c>
      <c r="AY226" t="n">
        <v>1</v>
      </c>
      <c r="AZ226" t="n">
        <v>1</v>
      </c>
      <c r="BA226" t="n">
        <v>1</v>
      </c>
      <c r="BB226" t="n">
        <v>1</v>
      </c>
      <c r="BC226" t="n">
        <v>1</v>
      </c>
      <c r="BD226" t="n">
        <v>1</v>
      </c>
      <c r="BE226" t="n">
        <v>1</v>
      </c>
      <c r="BF226" t="n">
        <v>1</v>
      </c>
      <c r="BG226" t="n">
        <v>1</v>
      </c>
      <c r="BH226" t="n">
        <v>1</v>
      </c>
      <c r="BI226" t="n">
        <v>1</v>
      </c>
      <c r="BJ226" t="n">
        <v>-1</v>
      </c>
      <c r="BK226" t="n">
        <v>-1</v>
      </c>
      <c r="BL226" t="n">
        <v>-1</v>
      </c>
    </row>
    <row r="227">
      <c r="A227" t="inlineStr">
        <is>
          <t>Scooter, battery electric, 4-11kW - 2020 - LFP - CH</t>
        </is>
      </c>
      <c r="B227" t="n">
        <v>1</v>
      </c>
      <c r="C227" s="2">
        <f>'vehicles specifications'!S85</f>
        <v>73</v>
      </c>
      <c r="D227" t="n">
        <v>1</v>
      </c>
      <c r="E227" t="n">
        <v>1</v>
      </c>
      <c r="F227">
        <f>1+'vehicles specifications'!AD85</f>
        <v>2</v>
      </c>
      <c r="G227">
        <f>1+'vehicles specifications'!AD85</f>
        <v>2</v>
      </c>
      <c r="J227" t="n">
        <v>1</v>
      </c>
      <c r="K227">
        <f>1/('fuels and tailpipe emissions'!$C$3*3.6)</f>
        <v>2.3474178403755867E-2</v>
      </c>
      <c r="L227">
        <f>1/3.6*1.1</f>
        <v>0.30555555555555558</v>
      </c>
      <c r="M227">
        <f>1/'vehicles specifications'!J85</f>
        <v>4.0000000000000003E-5</v>
      </c>
      <c r="N227" t="n">
        <v>1</v>
      </c>
      <c r="O227">
        <f>1</f>
        <v>1</v>
      </c>
      <c r="P227" t="n">
        <v>1</v>
      </c>
      <c r="Q227" t="n">
        <v>1</v>
      </c>
      <c r="R227">
        <f>-1-'vehicles specifications'!AD85</f>
        <v>-2</v>
      </c>
      <c r="S227" t="n">
        <v>1</v>
      </c>
      <c r="T227" t="n">
        <v>1</v>
      </c>
      <c r="U227" t="n">
        <v>1</v>
      </c>
      <c r="V227" t="n">
        <v>1</v>
      </c>
      <c r="W227" t="n">
        <v>1</v>
      </c>
      <c r="X227" t="n">
        <v>1</v>
      </c>
      <c r="Y227" t="n">
        <v>1</v>
      </c>
      <c r="Z227" t="n">
        <v>1</v>
      </c>
      <c r="AA227" t="n">
        <v>1</v>
      </c>
      <c r="AB227" t="n">
        <v>1</v>
      </c>
      <c r="AC227" t="n">
        <v>1</v>
      </c>
      <c r="AD227" t="n">
        <v>1</v>
      </c>
      <c r="AE227" t="n">
        <v>1</v>
      </c>
      <c r="AF227" t="n">
        <v>1</v>
      </c>
      <c r="AG227" t="n">
        <v>1</v>
      </c>
      <c r="AH227" t="n">
        <v>1</v>
      </c>
      <c r="AI227" t="n">
        <v>1</v>
      </c>
      <c r="AJ227" t="n">
        <v>1</v>
      </c>
      <c r="AK227" t="n">
        <v>1</v>
      </c>
      <c r="AL227" t="n">
        <v>1</v>
      </c>
      <c r="AM227" t="n">
        <v>1</v>
      </c>
      <c r="AN227" t="n">
        <v>1</v>
      </c>
      <c r="AO227" t="n">
        <v>1</v>
      </c>
      <c r="AP227" t="n">
        <v>1</v>
      </c>
      <c r="AQ227" t="n">
        <v>1</v>
      </c>
      <c r="AR227" t="n">
        <v>1</v>
      </c>
      <c r="AS227" t="n">
        <v>1</v>
      </c>
      <c r="AT227" t="n">
        <v>1</v>
      </c>
      <c r="AU227" t="n">
        <v>1</v>
      </c>
      <c r="AV227" t="n">
        <v>1</v>
      </c>
      <c r="AW227" t="n">
        <v>1</v>
      </c>
      <c r="AX227" t="n">
        <v>1</v>
      </c>
      <c r="AY227" t="n">
        <v>1</v>
      </c>
      <c r="AZ227" t="n">
        <v>1</v>
      </c>
      <c r="BA227" t="n">
        <v>1</v>
      </c>
      <c r="BB227" t="n">
        <v>1</v>
      </c>
      <c r="BC227" t="n">
        <v>1</v>
      </c>
      <c r="BD227" t="n">
        <v>1</v>
      </c>
      <c r="BE227" t="n">
        <v>1</v>
      </c>
      <c r="BF227" t="n">
        <v>1</v>
      </c>
      <c r="BG227" t="n">
        <v>1</v>
      </c>
      <c r="BH227" t="n">
        <v>1</v>
      </c>
      <c r="BI227" t="n">
        <v>1</v>
      </c>
      <c r="BJ227" t="n">
        <v>-1</v>
      </c>
      <c r="BK227" t="n">
        <v>-1</v>
      </c>
      <c r="BL227" t="n">
        <v>-1</v>
      </c>
    </row>
    <row r="228">
      <c r="A228" t="inlineStr">
        <is>
          <t>Scooter, battery electric, 4-11kW - 2030 - LFP - CH</t>
        </is>
      </c>
      <c r="B228" t="n">
        <v>1</v>
      </c>
      <c r="C228" s="2">
        <f>'vehicles specifications'!S86</f>
        <v>73</v>
      </c>
      <c r="D228" t="n">
        <v>1</v>
      </c>
      <c r="E228" t="n">
        <v>1</v>
      </c>
      <c r="F228">
        <f>1+'vehicles specifications'!AD86</f>
        <v>1.5</v>
      </c>
      <c r="G228">
        <f>1+'vehicles specifications'!AD86</f>
        <v>1.5</v>
      </c>
      <c r="J228" t="n">
        <v>1</v>
      </c>
      <c r="K228">
        <f>1/('fuels and tailpipe emissions'!$C$3*3.6)</f>
        <v>2.3474178403755867E-2</v>
      </c>
      <c r="L228">
        <f>1/3.6*1.1</f>
        <v>0.30555555555555558</v>
      </c>
      <c r="M228">
        <f>1/'vehicles specifications'!J86</f>
        <v>4.0000000000000003E-5</v>
      </c>
      <c r="N228" t="n">
        <v>1</v>
      </c>
      <c r="O228">
        <f>1</f>
        <v>1</v>
      </c>
      <c r="P228" t="n">
        <v>1</v>
      </c>
      <c r="Q228" t="n">
        <v>1</v>
      </c>
      <c r="R228">
        <f>-1-'vehicles specifications'!AD86</f>
        <v>-1.5</v>
      </c>
      <c r="S228" t="n">
        <v>1</v>
      </c>
      <c r="T228" t="n">
        <v>1</v>
      </c>
      <c r="U228" t="n">
        <v>1</v>
      </c>
      <c r="V228" t="n">
        <v>1</v>
      </c>
      <c r="W228" t="n">
        <v>1</v>
      </c>
      <c r="X228" t="n">
        <v>1</v>
      </c>
      <c r="Y228" t="n">
        <v>1</v>
      </c>
      <c r="Z228" t="n">
        <v>1</v>
      </c>
      <c r="AA228" t="n">
        <v>1</v>
      </c>
      <c r="AB228" t="n">
        <v>1</v>
      </c>
      <c r="AC228" t="n">
        <v>1</v>
      </c>
      <c r="AD228" t="n">
        <v>1</v>
      </c>
      <c r="AE228" t="n">
        <v>1</v>
      </c>
      <c r="AF228" t="n">
        <v>1</v>
      </c>
      <c r="AG228" t="n">
        <v>1</v>
      </c>
      <c r="AH228" t="n">
        <v>1</v>
      </c>
      <c r="AI228" t="n">
        <v>1</v>
      </c>
      <c r="AJ228" t="n">
        <v>1</v>
      </c>
      <c r="AK228" t="n">
        <v>1</v>
      </c>
      <c r="AL228" t="n">
        <v>1</v>
      </c>
      <c r="AM228" t="n">
        <v>1</v>
      </c>
      <c r="AN228" t="n">
        <v>1</v>
      </c>
      <c r="AO228" t="n">
        <v>1</v>
      </c>
      <c r="AP228" t="n">
        <v>1</v>
      </c>
      <c r="AQ228" t="n">
        <v>1</v>
      </c>
      <c r="AR228" t="n">
        <v>1</v>
      </c>
      <c r="AS228" t="n">
        <v>1</v>
      </c>
      <c r="AT228" t="n">
        <v>1</v>
      </c>
      <c r="AU228" t="n">
        <v>1</v>
      </c>
      <c r="AV228" t="n">
        <v>1</v>
      </c>
      <c r="AW228" t="n">
        <v>1</v>
      </c>
      <c r="AX228" t="n">
        <v>1</v>
      </c>
      <c r="AY228" t="n">
        <v>1</v>
      </c>
      <c r="AZ228" t="n">
        <v>1</v>
      </c>
      <c r="BA228" t="n">
        <v>1</v>
      </c>
      <c r="BB228" t="n">
        <v>1</v>
      </c>
      <c r="BC228" t="n">
        <v>1</v>
      </c>
      <c r="BD228" t="n">
        <v>1</v>
      </c>
      <c r="BE228" t="n">
        <v>1</v>
      </c>
      <c r="BF228" t="n">
        <v>1</v>
      </c>
      <c r="BG228" t="n">
        <v>1</v>
      </c>
      <c r="BH228" t="n">
        <v>1</v>
      </c>
      <c r="BI228" t="n">
        <v>1</v>
      </c>
      <c r="BJ228" t="n">
        <v>-1</v>
      </c>
      <c r="BK228" t="n">
        <v>-1</v>
      </c>
      <c r="BL228" t="n">
        <v>-1</v>
      </c>
    </row>
    <row r="229">
      <c r="A229" t="inlineStr">
        <is>
          <t>Scooter, battery electric, 4-11kW - 2040 - LFP - CH</t>
        </is>
      </c>
      <c r="B229" t="n">
        <v>1</v>
      </c>
      <c r="C229" s="2">
        <f>'vehicles specifications'!S87</f>
        <v>73</v>
      </c>
      <c r="D229" t="n">
        <v>1</v>
      </c>
      <c r="E229" t="n">
        <v>1</v>
      </c>
      <c r="F229">
        <f>1+'vehicles specifications'!AD87</f>
        <v>1.25</v>
      </c>
      <c r="G229">
        <f>1+'vehicles specifications'!AD87</f>
        <v>1.25</v>
      </c>
      <c r="J229" t="n">
        <v>1</v>
      </c>
      <c r="K229">
        <f>1/('fuels and tailpipe emissions'!$C$3*3.6)</f>
        <v>2.3474178403755867E-2</v>
      </c>
      <c r="L229">
        <f>1/3.6*1.1</f>
        <v>0.30555555555555558</v>
      </c>
      <c r="M229">
        <f>1/'vehicles specifications'!J87</f>
        <v>4.0000000000000003E-5</v>
      </c>
      <c r="N229" t="n">
        <v>1</v>
      </c>
      <c r="O229">
        <f>1</f>
        <v>1</v>
      </c>
      <c r="P229" t="n">
        <v>1</v>
      </c>
      <c r="Q229" t="n">
        <v>1</v>
      </c>
      <c r="R229">
        <f>-1-'vehicles specifications'!AD87</f>
        <v>-1.25</v>
      </c>
      <c r="S229" t="n">
        <v>1</v>
      </c>
      <c r="T229" t="n">
        <v>1</v>
      </c>
      <c r="U229" t="n">
        <v>1</v>
      </c>
      <c r="V229" t="n">
        <v>1</v>
      </c>
      <c r="W229" t="n">
        <v>1</v>
      </c>
      <c r="X229" t="n">
        <v>1</v>
      </c>
      <c r="Y229" t="n">
        <v>1</v>
      </c>
      <c r="Z229" t="n">
        <v>1</v>
      </c>
      <c r="AA229" t="n">
        <v>1</v>
      </c>
      <c r="AB229" t="n">
        <v>1</v>
      </c>
      <c r="AC229" t="n">
        <v>1</v>
      </c>
      <c r="AD229" t="n">
        <v>1</v>
      </c>
      <c r="AE229" t="n">
        <v>1</v>
      </c>
      <c r="AF229" t="n">
        <v>1</v>
      </c>
      <c r="AG229" t="n">
        <v>1</v>
      </c>
      <c r="AH229" t="n">
        <v>1</v>
      </c>
      <c r="AI229" t="n">
        <v>1</v>
      </c>
      <c r="AJ229" t="n">
        <v>1</v>
      </c>
      <c r="AK229" t="n">
        <v>1</v>
      </c>
      <c r="AL229" t="n">
        <v>1</v>
      </c>
      <c r="AM229" t="n">
        <v>1</v>
      </c>
      <c r="AN229" t="n">
        <v>1</v>
      </c>
      <c r="AO229" t="n">
        <v>1</v>
      </c>
      <c r="AP229" t="n">
        <v>1</v>
      </c>
      <c r="AQ229" t="n">
        <v>1</v>
      </c>
      <c r="AR229" t="n">
        <v>1</v>
      </c>
      <c r="AS229" t="n">
        <v>1</v>
      </c>
      <c r="AT229" t="n">
        <v>1</v>
      </c>
      <c r="AU229" t="n">
        <v>1</v>
      </c>
      <c r="AV229" t="n">
        <v>1</v>
      </c>
      <c r="AW229" t="n">
        <v>1</v>
      </c>
      <c r="AX229" t="n">
        <v>1</v>
      </c>
      <c r="AY229" t="n">
        <v>1</v>
      </c>
      <c r="AZ229" t="n">
        <v>1</v>
      </c>
      <c r="BA229" t="n">
        <v>1</v>
      </c>
      <c r="BB229" t="n">
        <v>1</v>
      </c>
      <c r="BC229" t="n">
        <v>1</v>
      </c>
      <c r="BD229" t="n">
        <v>1</v>
      </c>
      <c r="BE229" t="n">
        <v>1</v>
      </c>
      <c r="BF229" t="n">
        <v>1</v>
      </c>
      <c r="BG229" t="n">
        <v>1</v>
      </c>
      <c r="BH229" t="n">
        <v>1</v>
      </c>
      <c r="BI229" t="n">
        <v>1</v>
      </c>
      <c r="BJ229" t="n">
        <v>-1</v>
      </c>
      <c r="BK229" t="n">
        <v>-1</v>
      </c>
      <c r="BL229" t="n">
        <v>-1</v>
      </c>
    </row>
    <row r="230">
      <c r="A230" t="inlineStr">
        <is>
          <t>Scooter, battery electric, 4-11kW - 2050 - LFP - CH</t>
        </is>
      </c>
      <c r="B230" t="n">
        <v>1</v>
      </c>
      <c r="C230" s="2">
        <f>'vehicles specifications'!S88</f>
        <v>73</v>
      </c>
      <c r="D230" t="n">
        <v>1</v>
      </c>
      <c r="E230" t="n">
        <v>1</v>
      </c>
      <c r="F230">
        <f>1+'vehicles specifications'!AD88</f>
        <v>1</v>
      </c>
      <c r="G230">
        <f>1+'vehicles specifications'!AD88</f>
        <v>1</v>
      </c>
      <c r="J230" t="n">
        <v>1</v>
      </c>
      <c r="K230">
        <f>1/('fuels and tailpipe emissions'!$C$3*3.6)</f>
        <v>2.3474178403755867E-2</v>
      </c>
      <c r="L230">
        <f>1/3.6*1.1</f>
        <v>0.30555555555555558</v>
      </c>
      <c r="M230">
        <f>1/'vehicles specifications'!J88</f>
        <v>4.0000000000000003E-5</v>
      </c>
      <c r="N230" t="n">
        <v>1</v>
      </c>
      <c r="O230">
        <f>1</f>
        <v>1</v>
      </c>
      <c r="P230" t="n">
        <v>1</v>
      </c>
      <c r="Q230" t="n">
        <v>1</v>
      </c>
      <c r="R230">
        <f>-1-'vehicles specifications'!AD88</f>
        <v>-1</v>
      </c>
      <c r="S230" t="n">
        <v>1</v>
      </c>
      <c r="T230" t="n">
        <v>1</v>
      </c>
      <c r="U230" t="n">
        <v>1</v>
      </c>
      <c r="V230" t="n">
        <v>1</v>
      </c>
      <c r="W230" t="n">
        <v>1</v>
      </c>
      <c r="X230" t="n">
        <v>1</v>
      </c>
      <c r="Y230" t="n">
        <v>1</v>
      </c>
      <c r="Z230" t="n">
        <v>1</v>
      </c>
      <c r="AA230" t="n">
        <v>1</v>
      </c>
      <c r="AB230" t="n">
        <v>1</v>
      </c>
      <c r="AC230" t="n">
        <v>1</v>
      </c>
      <c r="AD230" t="n">
        <v>1</v>
      </c>
      <c r="AE230" t="n">
        <v>1</v>
      </c>
      <c r="AF230" t="n">
        <v>1</v>
      </c>
      <c r="AG230" t="n">
        <v>1</v>
      </c>
      <c r="AH230" t="n">
        <v>1</v>
      </c>
      <c r="AI230" t="n">
        <v>1</v>
      </c>
      <c r="AJ230" t="n">
        <v>1</v>
      </c>
      <c r="AK230" t="n">
        <v>1</v>
      </c>
      <c r="AL230" t="n">
        <v>1</v>
      </c>
      <c r="AM230" t="n">
        <v>1</v>
      </c>
      <c r="AN230" t="n">
        <v>1</v>
      </c>
      <c r="AO230" t="n">
        <v>1</v>
      </c>
      <c r="AP230" t="n">
        <v>1</v>
      </c>
      <c r="AQ230" t="n">
        <v>1</v>
      </c>
      <c r="AR230" t="n">
        <v>1</v>
      </c>
      <c r="AS230" t="n">
        <v>1</v>
      </c>
      <c r="AT230" t="n">
        <v>1</v>
      </c>
      <c r="AU230" t="n">
        <v>1</v>
      </c>
      <c r="AV230" t="n">
        <v>1</v>
      </c>
      <c r="AW230" t="n">
        <v>1</v>
      </c>
      <c r="AX230" t="n">
        <v>1</v>
      </c>
      <c r="AY230" t="n">
        <v>1</v>
      </c>
      <c r="AZ230" t="n">
        <v>1</v>
      </c>
      <c r="BA230" t="n">
        <v>1</v>
      </c>
      <c r="BB230" t="n">
        <v>1</v>
      </c>
      <c r="BC230" t="n">
        <v>1</v>
      </c>
      <c r="BD230" t="n">
        <v>1</v>
      </c>
      <c r="BE230" t="n">
        <v>1</v>
      </c>
      <c r="BF230" t="n">
        <v>1</v>
      </c>
      <c r="BG230" t="n">
        <v>1</v>
      </c>
      <c r="BH230" t="n">
        <v>1</v>
      </c>
      <c r="BI230" t="n">
        <v>1</v>
      </c>
      <c r="BJ230" t="n">
        <v>-1</v>
      </c>
      <c r="BK230" t="n">
        <v>-1</v>
      </c>
      <c r="BL230" t="n">
        <v>-1</v>
      </c>
    </row>
    <row r="231">
      <c r="A231" t="inlineStr">
        <is>
          <t>Scooter, battery electric, 4-11kW - 2020 - NCA - CH</t>
        </is>
      </c>
      <c r="B231" t="n">
        <v>1</v>
      </c>
      <c r="C231" s="2">
        <f>'vehicles specifications'!S89</f>
        <v>84</v>
      </c>
      <c r="D231" t="n">
        <v>1</v>
      </c>
      <c r="E231" t="n">
        <v>1</v>
      </c>
      <c r="F231">
        <f>1+'vehicles specifications'!AD89</f>
        <v>2</v>
      </c>
      <c r="G231">
        <f>1+'vehicles specifications'!AD89</f>
        <v>2</v>
      </c>
      <c r="J231" t="n">
        <v>1</v>
      </c>
      <c r="K231">
        <f>1/('fuels and tailpipe emissions'!$C$3*3.6)</f>
        <v>2.3474178403755867E-2</v>
      </c>
      <c r="L231">
        <f>1/3.6*1.1</f>
        <v>0.30555555555555558</v>
      </c>
      <c r="M231">
        <f>1/'vehicles specifications'!J89</f>
        <v>3.3333333333333335E-5</v>
      </c>
      <c r="N231" t="n">
        <v>1</v>
      </c>
      <c r="O231">
        <f>1</f>
        <v>1</v>
      </c>
      <c r="P231" t="n">
        <v>1</v>
      </c>
      <c r="Q231" t="n">
        <v>1</v>
      </c>
      <c r="R231">
        <f>-1-'vehicles specifications'!AD89</f>
        <v>-2</v>
      </c>
      <c r="S231" t="n">
        <v>1</v>
      </c>
      <c r="T231" t="n">
        <v>1</v>
      </c>
      <c r="U231" t="n">
        <v>1</v>
      </c>
      <c r="V231" t="n">
        <v>1</v>
      </c>
      <c r="W231" t="n">
        <v>1</v>
      </c>
      <c r="X231" t="n">
        <v>1</v>
      </c>
      <c r="Y231" t="n">
        <v>1</v>
      </c>
      <c r="Z231" t="n">
        <v>1</v>
      </c>
      <c r="AA231" t="n">
        <v>1</v>
      </c>
      <c r="AB231" t="n">
        <v>1</v>
      </c>
      <c r="AC231" t="n">
        <v>1</v>
      </c>
      <c r="AD231" t="n">
        <v>1</v>
      </c>
      <c r="AE231" t="n">
        <v>1</v>
      </c>
      <c r="AF231" t="n">
        <v>1</v>
      </c>
      <c r="AG231" t="n">
        <v>1</v>
      </c>
      <c r="AH231" t="n">
        <v>1</v>
      </c>
      <c r="AI231" t="n">
        <v>1</v>
      </c>
      <c r="AJ231" t="n">
        <v>1</v>
      </c>
      <c r="AK231" t="n">
        <v>1</v>
      </c>
      <c r="AL231" t="n">
        <v>1</v>
      </c>
      <c r="AM231" t="n">
        <v>1</v>
      </c>
      <c r="AN231" t="n">
        <v>1</v>
      </c>
      <c r="AO231" t="n">
        <v>1</v>
      </c>
      <c r="AP231" t="n">
        <v>1</v>
      </c>
      <c r="AQ231" t="n">
        <v>1</v>
      </c>
      <c r="AR231" t="n">
        <v>1</v>
      </c>
      <c r="AS231" t="n">
        <v>1</v>
      </c>
      <c r="AT231" t="n">
        <v>1</v>
      </c>
      <c r="AU231" t="n">
        <v>1</v>
      </c>
      <c r="AV231" t="n">
        <v>1</v>
      </c>
      <c r="AW231" t="n">
        <v>1</v>
      </c>
      <c r="AX231" t="n">
        <v>1</v>
      </c>
      <c r="AY231" t="n">
        <v>1</v>
      </c>
      <c r="AZ231" t="n">
        <v>1</v>
      </c>
      <c r="BA231" t="n">
        <v>1</v>
      </c>
      <c r="BB231" t="n">
        <v>1</v>
      </c>
      <c r="BC231" t="n">
        <v>1</v>
      </c>
      <c r="BD231" t="n">
        <v>1</v>
      </c>
      <c r="BE231" t="n">
        <v>1</v>
      </c>
      <c r="BF231" t="n">
        <v>1</v>
      </c>
      <c r="BG231" t="n">
        <v>1</v>
      </c>
      <c r="BH231" t="n">
        <v>1</v>
      </c>
      <c r="BI231" t="n">
        <v>1</v>
      </c>
      <c r="BJ231" t="n">
        <v>-1</v>
      </c>
      <c r="BK231" t="n">
        <v>-1</v>
      </c>
      <c r="BL231" t="n">
        <v>-1</v>
      </c>
    </row>
    <row r="232">
      <c r="A232" t="inlineStr">
        <is>
          <t>Scooter, battery electric, 4-11kW - 2030 - NCA - CH</t>
        </is>
      </c>
      <c r="B232" t="n">
        <v>1</v>
      </c>
      <c r="C232" s="2">
        <f>'vehicles specifications'!S90</f>
        <v>84</v>
      </c>
      <c r="D232" t="n">
        <v>1</v>
      </c>
      <c r="E232" t="n">
        <v>1</v>
      </c>
      <c r="F232">
        <f>1+'vehicles specifications'!AD90</f>
        <v>1.5</v>
      </c>
      <c r="G232">
        <f>1+'vehicles specifications'!AD90</f>
        <v>1.5</v>
      </c>
      <c r="J232" t="n">
        <v>1</v>
      </c>
      <c r="K232">
        <f>1/('fuels and tailpipe emissions'!$C$3*3.6)</f>
        <v>2.3474178403755867E-2</v>
      </c>
      <c r="L232">
        <f>1/3.6*1.1</f>
        <v>0.30555555555555558</v>
      </c>
      <c r="M232">
        <f>1/'vehicles specifications'!J90</f>
        <v>3.3333333333333335E-5</v>
      </c>
      <c r="N232" t="n">
        <v>1</v>
      </c>
      <c r="O232">
        <f>1</f>
        <v>1</v>
      </c>
      <c r="P232" t="n">
        <v>1</v>
      </c>
      <c r="Q232" t="n">
        <v>1</v>
      </c>
      <c r="R232">
        <f>-1-'vehicles specifications'!AD90</f>
        <v>-1.5</v>
      </c>
      <c r="S232" t="n">
        <v>1</v>
      </c>
      <c r="T232" t="n">
        <v>1</v>
      </c>
      <c r="U232" t="n">
        <v>1</v>
      </c>
      <c r="V232" t="n">
        <v>1</v>
      </c>
      <c r="W232" t="n">
        <v>1</v>
      </c>
      <c r="X232" t="n">
        <v>1</v>
      </c>
      <c r="Y232" t="n">
        <v>1</v>
      </c>
      <c r="Z232" t="n">
        <v>1</v>
      </c>
      <c r="AA232" t="n">
        <v>1</v>
      </c>
      <c r="AB232" t="n">
        <v>1</v>
      </c>
      <c r="AC232" t="n">
        <v>1</v>
      </c>
      <c r="AD232" t="n">
        <v>1</v>
      </c>
      <c r="AE232" t="n">
        <v>1</v>
      </c>
      <c r="AF232" t="n">
        <v>1</v>
      </c>
      <c r="AG232" t="n">
        <v>1</v>
      </c>
      <c r="AH232" t="n">
        <v>1</v>
      </c>
      <c r="AI232" t="n">
        <v>1</v>
      </c>
      <c r="AJ232" t="n">
        <v>1</v>
      </c>
      <c r="AK232" t="n">
        <v>1</v>
      </c>
      <c r="AL232" t="n">
        <v>1</v>
      </c>
      <c r="AM232" t="n">
        <v>1</v>
      </c>
      <c r="AN232" t="n">
        <v>1</v>
      </c>
      <c r="AO232" t="n">
        <v>1</v>
      </c>
      <c r="AP232" t="n">
        <v>1</v>
      </c>
      <c r="AQ232" t="n">
        <v>1</v>
      </c>
      <c r="AR232" t="n">
        <v>1</v>
      </c>
      <c r="AS232" t="n">
        <v>1</v>
      </c>
      <c r="AT232" t="n">
        <v>1</v>
      </c>
      <c r="AU232" t="n">
        <v>1</v>
      </c>
      <c r="AV232" t="n">
        <v>1</v>
      </c>
      <c r="AW232" t="n">
        <v>1</v>
      </c>
      <c r="AX232" t="n">
        <v>1</v>
      </c>
      <c r="AY232" t="n">
        <v>1</v>
      </c>
      <c r="AZ232" t="n">
        <v>1</v>
      </c>
      <c r="BA232" t="n">
        <v>1</v>
      </c>
      <c r="BB232" t="n">
        <v>1</v>
      </c>
      <c r="BC232" t="n">
        <v>1</v>
      </c>
      <c r="BD232" t="n">
        <v>1</v>
      </c>
      <c r="BE232" t="n">
        <v>1</v>
      </c>
      <c r="BF232" t="n">
        <v>1</v>
      </c>
      <c r="BG232" t="n">
        <v>1</v>
      </c>
      <c r="BH232" t="n">
        <v>1</v>
      </c>
      <c r="BI232" t="n">
        <v>1</v>
      </c>
      <c r="BJ232" t="n">
        <v>-1</v>
      </c>
      <c r="BK232" t="n">
        <v>-1</v>
      </c>
      <c r="BL232" t="n">
        <v>-1</v>
      </c>
    </row>
    <row r="233">
      <c r="A233" t="inlineStr">
        <is>
          <t>Scooter, battery electric, 4-11kW - 2040 - NCA - CH</t>
        </is>
      </c>
      <c r="B233" t="n">
        <v>1</v>
      </c>
      <c r="C233" s="2">
        <f>'vehicles specifications'!S91</f>
        <v>84</v>
      </c>
      <c r="D233" t="n">
        <v>1</v>
      </c>
      <c r="E233" t="n">
        <v>1</v>
      </c>
      <c r="F233">
        <f>1+'vehicles specifications'!AD91</f>
        <v>1.25</v>
      </c>
      <c r="G233">
        <f>1+'vehicles specifications'!AD91</f>
        <v>1.25</v>
      </c>
      <c r="J233" t="n">
        <v>1</v>
      </c>
      <c r="K233">
        <f>1/('fuels and tailpipe emissions'!$C$3*3.6)</f>
        <v>2.3474178403755867E-2</v>
      </c>
      <c r="L233">
        <f>1/3.6*1.1</f>
        <v>0.30555555555555558</v>
      </c>
      <c r="M233">
        <f>1/'vehicles specifications'!J91</f>
        <v>3.3333333333333335E-5</v>
      </c>
      <c r="N233" t="n">
        <v>1</v>
      </c>
      <c r="O233">
        <f>1</f>
        <v>1</v>
      </c>
      <c r="P233" t="n">
        <v>1</v>
      </c>
      <c r="Q233" t="n">
        <v>1</v>
      </c>
      <c r="R233">
        <f>-1-'vehicles specifications'!AD91</f>
        <v>-1.25</v>
      </c>
      <c r="S233" t="n">
        <v>1</v>
      </c>
      <c r="T233" t="n">
        <v>1</v>
      </c>
      <c r="U233" t="n">
        <v>1</v>
      </c>
      <c r="V233" t="n">
        <v>1</v>
      </c>
      <c r="W233" t="n">
        <v>1</v>
      </c>
      <c r="X233" t="n">
        <v>1</v>
      </c>
      <c r="Y233" t="n">
        <v>1</v>
      </c>
      <c r="Z233" t="n">
        <v>1</v>
      </c>
      <c r="AA233" t="n">
        <v>1</v>
      </c>
      <c r="AB233" t="n">
        <v>1</v>
      </c>
      <c r="AC233" t="n">
        <v>1</v>
      </c>
      <c r="AD233" t="n">
        <v>1</v>
      </c>
      <c r="AE233" t="n">
        <v>1</v>
      </c>
      <c r="AF233" t="n">
        <v>1</v>
      </c>
      <c r="AG233" t="n">
        <v>1</v>
      </c>
      <c r="AH233" t="n">
        <v>1</v>
      </c>
      <c r="AI233" t="n">
        <v>1</v>
      </c>
      <c r="AJ233" t="n">
        <v>1</v>
      </c>
      <c r="AK233" t="n">
        <v>1</v>
      </c>
      <c r="AL233" t="n">
        <v>1</v>
      </c>
      <c r="AM233" t="n">
        <v>1</v>
      </c>
      <c r="AN233" t="n">
        <v>1</v>
      </c>
      <c r="AO233" t="n">
        <v>1</v>
      </c>
      <c r="AP233" t="n">
        <v>1</v>
      </c>
      <c r="AQ233" t="n">
        <v>1</v>
      </c>
      <c r="AR233" t="n">
        <v>1</v>
      </c>
      <c r="AS233" t="n">
        <v>1</v>
      </c>
      <c r="AT233" t="n">
        <v>1</v>
      </c>
      <c r="AU233" t="n">
        <v>1</v>
      </c>
      <c r="AV233" t="n">
        <v>1</v>
      </c>
      <c r="AW233" t="n">
        <v>1</v>
      </c>
      <c r="AX233" t="n">
        <v>1</v>
      </c>
      <c r="AY233" t="n">
        <v>1</v>
      </c>
      <c r="AZ233" t="n">
        <v>1</v>
      </c>
      <c r="BA233" t="n">
        <v>1</v>
      </c>
      <c r="BB233" t="n">
        <v>1</v>
      </c>
      <c r="BC233" t="n">
        <v>1</v>
      </c>
      <c r="BD233" t="n">
        <v>1</v>
      </c>
      <c r="BE233" t="n">
        <v>1</v>
      </c>
      <c r="BF233" t="n">
        <v>1</v>
      </c>
      <c r="BG233" t="n">
        <v>1</v>
      </c>
      <c r="BH233" t="n">
        <v>1</v>
      </c>
      <c r="BI233" t="n">
        <v>1</v>
      </c>
      <c r="BJ233" t="n">
        <v>-1</v>
      </c>
      <c r="BK233" t="n">
        <v>-1</v>
      </c>
      <c r="BL233" t="n">
        <v>-1</v>
      </c>
    </row>
    <row r="234">
      <c r="A234" t="inlineStr">
        <is>
          <t>Scooter, battery electric, 4-11kW - 2050 - NCA - CH</t>
        </is>
      </c>
      <c r="B234" t="n">
        <v>1</v>
      </c>
      <c r="C234" s="2">
        <f>'vehicles specifications'!S92</f>
        <v>84</v>
      </c>
      <c r="D234" t="n">
        <v>1</v>
      </c>
      <c r="E234" t="n">
        <v>1</v>
      </c>
      <c r="F234">
        <f>1+'vehicles specifications'!AD92</f>
        <v>1</v>
      </c>
      <c r="G234">
        <f>1+'vehicles specifications'!AD92</f>
        <v>1</v>
      </c>
      <c r="J234" t="n">
        <v>1</v>
      </c>
      <c r="K234">
        <f>1/('fuels and tailpipe emissions'!$C$3*3.6)</f>
        <v>2.3474178403755867E-2</v>
      </c>
      <c r="L234">
        <f>1/3.6*1.1</f>
        <v>0.30555555555555558</v>
      </c>
      <c r="M234">
        <f>1/'vehicles specifications'!J92</f>
        <v>3.3333333333333335E-5</v>
      </c>
      <c r="N234" t="n">
        <v>1</v>
      </c>
      <c r="O234">
        <f>1</f>
        <v>1</v>
      </c>
      <c r="P234" t="n">
        <v>1</v>
      </c>
      <c r="Q234" t="n">
        <v>1</v>
      </c>
      <c r="R234">
        <f>-1-'vehicles specifications'!AD92</f>
        <v>-1</v>
      </c>
      <c r="S234" t="n">
        <v>1</v>
      </c>
      <c r="T234" t="n">
        <v>1</v>
      </c>
      <c r="U234" t="n">
        <v>1</v>
      </c>
      <c r="V234" t="n">
        <v>1</v>
      </c>
      <c r="W234" t="n">
        <v>1</v>
      </c>
      <c r="X234" t="n">
        <v>1</v>
      </c>
      <c r="Y234" t="n">
        <v>1</v>
      </c>
      <c r="Z234" t="n">
        <v>1</v>
      </c>
      <c r="AA234" t="n">
        <v>1</v>
      </c>
      <c r="AB234" t="n">
        <v>1</v>
      </c>
      <c r="AC234" t="n">
        <v>1</v>
      </c>
      <c r="AD234" t="n">
        <v>1</v>
      </c>
      <c r="AE234" t="n">
        <v>1</v>
      </c>
      <c r="AF234" t="n">
        <v>1</v>
      </c>
      <c r="AG234" t="n">
        <v>1</v>
      </c>
      <c r="AH234" t="n">
        <v>1</v>
      </c>
      <c r="AI234" t="n">
        <v>1</v>
      </c>
      <c r="AJ234" t="n">
        <v>1</v>
      </c>
      <c r="AK234" t="n">
        <v>1</v>
      </c>
      <c r="AL234" t="n">
        <v>1</v>
      </c>
      <c r="AM234" t="n">
        <v>1</v>
      </c>
      <c r="AN234" t="n">
        <v>1</v>
      </c>
      <c r="AO234" t="n">
        <v>1</v>
      </c>
      <c r="AP234" t="n">
        <v>1</v>
      </c>
      <c r="AQ234" t="n">
        <v>1</v>
      </c>
      <c r="AR234" t="n">
        <v>1</v>
      </c>
      <c r="AS234" t="n">
        <v>1</v>
      </c>
      <c r="AT234" t="n">
        <v>1</v>
      </c>
      <c r="AU234" t="n">
        <v>1</v>
      </c>
      <c r="AV234" t="n">
        <v>1</v>
      </c>
      <c r="AW234" t="n">
        <v>1</v>
      </c>
      <c r="AX234" t="n">
        <v>1</v>
      </c>
      <c r="AY234" t="n">
        <v>1</v>
      </c>
      <c r="AZ234" t="n">
        <v>1</v>
      </c>
      <c r="BA234" t="n">
        <v>1</v>
      </c>
      <c r="BB234" t="n">
        <v>1</v>
      </c>
      <c r="BC234" t="n">
        <v>1</v>
      </c>
      <c r="BD234" t="n">
        <v>1</v>
      </c>
      <c r="BE234" t="n">
        <v>1</v>
      </c>
      <c r="BF234" t="n">
        <v>1</v>
      </c>
      <c r="BG234" t="n">
        <v>1</v>
      </c>
      <c r="BH234" t="n">
        <v>1</v>
      </c>
      <c r="BI234" t="n">
        <v>1</v>
      </c>
      <c r="BJ234" t="n">
        <v>-1</v>
      </c>
      <c r="BK234" t="n">
        <v>-1</v>
      </c>
      <c r="BL234" t="n">
        <v>-1</v>
      </c>
    </row>
    <row r="235">
      <c r="A235" t="inlineStr">
        <is>
          <t>Motorbike, gasoline, 4-11kW, EURO-3 - 2006 - CH</t>
        </is>
      </c>
      <c r="B235">
        <f>1/90</f>
        <v>1.1111111111111112E-2</v>
      </c>
      <c r="C235" s="2">
        <f>'vehicles specifications'!S101</f>
        <v>65.433826960328489</v>
      </c>
      <c r="D235">
        <f>1/90</f>
        <v>1.1111111111111112E-2</v>
      </c>
      <c r="F235">
        <f>1+'vehicles specifications'!AD101</f>
        <v>1</v>
      </c>
      <c r="G235">
        <f>1+'vehicles specifications'!AD101</f>
        <v>1</v>
      </c>
      <c r="H235" t="n">
        <v>1</v>
      </c>
      <c r="I235" t="n">
        <v>1</v>
      </c>
      <c r="K235">
        <f>1/('fuels and tailpipe emissions'!$C$3*3.6)</f>
        <v>2.3474178403755867E-2</v>
      </c>
      <c r="L235">
        <f>1/3.6*1.1</f>
        <v>0.30555555555555558</v>
      </c>
      <c r="M235">
        <f>1/'vehicles specifications'!J101</f>
        <v>4.0000000000000003E-5</v>
      </c>
      <c r="N235" t="n">
        <v>1</v>
      </c>
      <c r="O235">
        <f>1</f>
        <v>1</v>
      </c>
      <c r="P235" t="n">
        <v>-1</v>
      </c>
      <c r="Q235" t="n">
        <v>-1</v>
      </c>
      <c r="R235">
        <f>-1-'vehicles specifications'!AD101</f>
        <v>-1</v>
      </c>
      <c r="S235" t="n">
        <v>1</v>
      </c>
      <c r="T235" t="n">
        <v>1</v>
      </c>
      <c r="U235" t="n">
        <v>1</v>
      </c>
      <c r="V235" t="n">
        <v>1</v>
      </c>
      <c r="W235" t="n">
        <v>1</v>
      </c>
      <c r="X235" t="n">
        <v>1</v>
      </c>
      <c r="Y235" t="n">
        <v>1</v>
      </c>
      <c r="Z235" t="n">
        <v>1</v>
      </c>
      <c r="AA235" t="n">
        <v>1</v>
      </c>
      <c r="AB235" t="n">
        <v>1</v>
      </c>
      <c r="AC235" t="n">
        <v>1</v>
      </c>
      <c r="AD235" t="n">
        <v>1</v>
      </c>
      <c r="AE235" t="n">
        <v>1</v>
      </c>
      <c r="AF235" t="n">
        <v>1</v>
      </c>
      <c r="AG235" t="n">
        <v>1</v>
      </c>
      <c r="AH235" t="n">
        <v>1</v>
      </c>
      <c r="AI235" t="n">
        <v>1</v>
      </c>
      <c r="AJ235" t="n">
        <v>1</v>
      </c>
      <c r="AK235" t="n">
        <v>1</v>
      </c>
      <c r="AL235" t="n">
        <v>1</v>
      </c>
      <c r="AM235" t="n">
        <v>1</v>
      </c>
      <c r="AN235" t="n">
        <v>1</v>
      </c>
      <c r="AO235" t="n">
        <v>1</v>
      </c>
      <c r="AP235" t="n">
        <v>1</v>
      </c>
      <c r="AQ235" t="n">
        <v>1</v>
      </c>
      <c r="AR235" t="n">
        <v>1</v>
      </c>
      <c r="AS235" t="n">
        <v>1</v>
      </c>
      <c r="AT235" t="n">
        <v>1</v>
      </c>
      <c r="AU235" t="n">
        <v>1</v>
      </c>
      <c r="AV235" t="n">
        <v>1</v>
      </c>
      <c r="AW235" t="n">
        <v>1</v>
      </c>
      <c r="AX235" t="n">
        <v>1</v>
      </c>
      <c r="AY235" t="n">
        <v>1</v>
      </c>
      <c r="AZ235" t="n">
        <v>1</v>
      </c>
      <c r="BA235" t="n">
        <v>1</v>
      </c>
      <c r="BB235" t="n">
        <v>1</v>
      </c>
      <c r="BC235" t="n">
        <v>1</v>
      </c>
      <c r="BD235" t="n">
        <v>1</v>
      </c>
      <c r="BE235" t="n">
        <v>1</v>
      </c>
      <c r="BF235" t="n">
        <v>1</v>
      </c>
      <c r="BG235" t="n">
        <v>1</v>
      </c>
      <c r="BH235" t="n">
        <v>1</v>
      </c>
      <c r="BI235" t="n">
        <v>1</v>
      </c>
      <c r="BJ235" t="n">
        <v>-1</v>
      </c>
      <c r="BK235" t="n">
        <v>-1</v>
      </c>
      <c r="BL235" t="n">
        <v>-1</v>
      </c>
    </row>
    <row r="236">
      <c r="A236" t="inlineStr">
        <is>
          <t>Motorbike, gasoline, 4-11kW, EURO-4 - 2016 - CH</t>
        </is>
      </c>
      <c r="B236">
        <f>1/90</f>
        <v>1.1111111111111112E-2</v>
      </c>
      <c r="C236" s="2">
        <f>'vehicles specifications'!S102</f>
        <v>65.433826960328489</v>
      </c>
      <c r="D236">
        <f>1/90</f>
        <v>1.1111111111111112E-2</v>
      </c>
      <c r="F236">
        <f>1+'vehicles specifications'!AD102</f>
        <v>1</v>
      </c>
      <c r="G236">
        <f>1+'vehicles specifications'!AD102</f>
        <v>1</v>
      </c>
      <c r="H236" t="n">
        <v>1</v>
      </c>
      <c r="I236" t="n">
        <v>1</v>
      </c>
      <c r="K236">
        <f>1/('fuels and tailpipe emissions'!$C$3*3.6)</f>
        <v>2.3474178403755867E-2</v>
      </c>
      <c r="L236">
        <f>1/3.6*1.1</f>
        <v>0.30555555555555558</v>
      </c>
      <c r="M236">
        <f>1/'vehicles specifications'!J102</f>
        <v>4.0000000000000003E-5</v>
      </c>
      <c r="N236" t="n">
        <v>1</v>
      </c>
      <c r="O236">
        <f>1</f>
        <v>1</v>
      </c>
      <c r="P236" t="n">
        <v>-1</v>
      </c>
      <c r="Q236" t="n">
        <v>-1</v>
      </c>
      <c r="R236">
        <f>-1-'vehicles specifications'!AD102</f>
        <v>-1</v>
      </c>
      <c r="S236" t="n">
        <v>1</v>
      </c>
      <c r="T236" t="n">
        <v>1</v>
      </c>
      <c r="U236" t="n">
        <v>1</v>
      </c>
      <c r="V236" t="n">
        <v>1</v>
      </c>
      <c r="W236" t="n">
        <v>1</v>
      </c>
      <c r="X236" t="n">
        <v>1</v>
      </c>
      <c r="Y236" t="n">
        <v>1</v>
      </c>
      <c r="Z236" t="n">
        <v>1</v>
      </c>
      <c r="AA236" t="n">
        <v>1</v>
      </c>
      <c r="AB236" t="n">
        <v>1</v>
      </c>
      <c r="AC236" t="n">
        <v>1</v>
      </c>
      <c r="AD236" t="n">
        <v>1</v>
      </c>
      <c r="AE236" t="n">
        <v>1</v>
      </c>
      <c r="AF236" t="n">
        <v>1</v>
      </c>
      <c r="AG236" t="n">
        <v>1</v>
      </c>
      <c r="AH236" t="n">
        <v>1</v>
      </c>
      <c r="AI236" t="n">
        <v>1</v>
      </c>
      <c r="AJ236" t="n">
        <v>1</v>
      </c>
      <c r="AK236" t="n">
        <v>1</v>
      </c>
      <c r="AL236" t="n">
        <v>1</v>
      </c>
      <c r="AM236" t="n">
        <v>1</v>
      </c>
      <c r="AN236" t="n">
        <v>1</v>
      </c>
      <c r="AO236" t="n">
        <v>1</v>
      </c>
      <c r="AP236" t="n">
        <v>1</v>
      </c>
      <c r="AQ236" t="n">
        <v>1</v>
      </c>
      <c r="AR236" t="n">
        <v>1</v>
      </c>
      <c r="AS236" t="n">
        <v>1</v>
      </c>
      <c r="AT236" t="n">
        <v>1</v>
      </c>
      <c r="AU236" t="n">
        <v>1</v>
      </c>
      <c r="AV236" t="n">
        <v>1</v>
      </c>
      <c r="AW236" t="n">
        <v>1</v>
      </c>
      <c r="AX236" t="n">
        <v>1</v>
      </c>
      <c r="AY236" t="n">
        <v>1</v>
      </c>
      <c r="AZ236" t="n">
        <v>1</v>
      </c>
      <c r="BA236" t="n">
        <v>1</v>
      </c>
      <c r="BB236" t="n">
        <v>1</v>
      </c>
      <c r="BC236" t="n">
        <v>1</v>
      </c>
      <c r="BD236" t="n">
        <v>1</v>
      </c>
      <c r="BE236" t="n">
        <v>1</v>
      </c>
      <c r="BF236" t="n">
        <v>1</v>
      </c>
      <c r="BG236" t="n">
        <v>1</v>
      </c>
      <c r="BH236" t="n">
        <v>1</v>
      </c>
      <c r="BI236" t="n">
        <v>1</v>
      </c>
      <c r="BJ236" t="n">
        <v>-1</v>
      </c>
      <c r="BK236" t="n">
        <v>-1</v>
      </c>
      <c r="BL236" t="n">
        <v>-1</v>
      </c>
    </row>
    <row r="237">
      <c r="A237" t="inlineStr">
        <is>
          <t>Motorbike, gasoline, 4-11kW, EURO-5 - 2020 - CH</t>
        </is>
      </c>
      <c r="B237">
        <f>1/90</f>
        <v>1.1111111111111112E-2</v>
      </c>
      <c r="C237" s="2">
        <f>'vehicles specifications'!S103</f>
        <v>65.433826960328489</v>
      </c>
      <c r="D237">
        <f>1/90</f>
        <v>1.1111111111111112E-2</v>
      </c>
      <c r="F237">
        <f>1+'vehicles specifications'!AD103</f>
        <v>1</v>
      </c>
      <c r="G237">
        <f>1+'vehicles specifications'!AD103</f>
        <v>1</v>
      </c>
      <c r="H237" t="n">
        <v>1</v>
      </c>
      <c r="I237" t="n">
        <v>1</v>
      </c>
      <c r="K237">
        <f>1/('fuels and tailpipe emissions'!$C$3*3.6)</f>
        <v>2.3474178403755867E-2</v>
      </c>
      <c r="L237">
        <f>1/3.6*1.1</f>
        <v>0.30555555555555558</v>
      </c>
      <c r="M237">
        <f>1/'vehicles specifications'!J103</f>
        <v>4.0000000000000003E-5</v>
      </c>
      <c r="N237" t="n">
        <v>1</v>
      </c>
      <c r="O237">
        <f>1</f>
        <v>1</v>
      </c>
      <c r="P237" t="n">
        <v>-1</v>
      </c>
      <c r="Q237" t="n">
        <v>-1</v>
      </c>
      <c r="R237">
        <f>-1-'vehicles specifications'!AD103</f>
        <v>-1</v>
      </c>
      <c r="S237" t="n">
        <v>1</v>
      </c>
      <c r="T237" t="n">
        <v>1</v>
      </c>
      <c r="U237" t="n">
        <v>1</v>
      </c>
      <c r="V237" t="n">
        <v>1</v>
      </c>
      <c r="W237" t="n">
        <v>1</v>
      </c>
      <c r="X237" t="n">
        <v>1</v>
      </c>
      <c r="Y237" t="n">
        <v>1</v>
      </c>
      <c r="Z237" t="n">
        <v>1</v>
      </c>
      <c r="AA237" t="n">
        <v>1</v>
      </c>
      <c r="AB237" t="n">
        <v>1</v>
      </c>
      <c r="AC237" t="n">
        <v>1</v>
      </c>
      <c r="AD237" t="n">
        <v>1</v>
      </c>
      <c r="AE237" t="n">
        <v>1</v>
      </c>
      <c r="AF237" t="n">
        <v>1</v>
      </c>
      <c r="AG237" t="n">
        <v>1</v>
      </c>
      <c r="AH237" t="n">
        <v>1</v>
      </c>
      <c r="AI237" t="n">
        <v>1</v>
      </c>
      <c r="AJ237" t="n">
        <v>1</v>
      </c>
      <c r="AK237" t="n">
        <v>1</v>
      </c>
      <c r="AL237" t="n">
        <v>1</v>
      </c>
      <c r="AM237" t="n">
        <v>1</v>
      </c>
      <c r="AN237" t="n">
        <v>1</v>
      </c>
      <c r="AO237" t="n">
        <v>1</v>
      </c>
      <c r="AP237" t="n">
        <v>1</v>
      </c>
      <c r="AQ237" t="n">
        <v>1</v>
      </c>
      <c r="AR237" t="n">
        <v>1</v>
      </c>
      <c r="AS237" t="n">
        <v>1</v>
      </c>
      <c r="AT237" t="n">
        <v>1</v>
      </c>
      <c r="AU237" t="n">
        <v>1</v>
      </c>
      <c r="AV237" t="n">
        <v>1</v>
      </c>
      <c r="AW237" t="n">
        <v>1</v>
      </c>
      <c r="AX237" t="n">
        <v>1</v>
      </c>
      <c r="AY237" t="n">
        <v>1</v>
      </c>
      <c r="AZ237" t="n">
        <v>1</v>
      </c>
      <c r="BA237" t="n">
        <v>1</v>
      </c>
      <c r="BB237" t="n">
        <v>1</v>
      </c>
      <c r="BC237" t="n">
        <v>1</v>
      </c>
      <c r="BD237" t="n">
        <v>1</v>
      </c>
      <c r="BE237" t="n">
        <v>1</v>
      </c>
      <c r="BF237" t="n">
        <v>1</v>
      </c>
      <c r="BG237" t="n">
        <v>1</v>
      </c>
      <c r="BH237" t="n">
        <v>1</v>
      </c>
      <c r="BI237" t="n">
        <v>1</v>
      </c>
      <c r="BJ237" t="n">
        <v>-1</v>
      </c>
      <c r="BK237" t="n">
        <v>-1</v>
      </c>
      <c r="BL237" t="n">
        <v>-1</v>
      </c>
    </row>
    <row r="238">
      <c r="A238" t="inlineStr">
        <is>
          <t>Motorbike, gasoline, 4-11kW, EURO-5 - 2030 - CH</t>
        </is>
      </c>
      <c r="B238">
        <f>1/90</f>
        <v>1.1111111111111112E-2</v>
      </c>
      <c r="C238" s="2">
        <f>'vehicles specifications'!S104</f>
        <v>65.433826960328489</v>
      </c>
      <c r="D238">
        <f>1/90</f>
        <v>1.1111111111111112E-2</v>
      </c>
      <c r="F238">
        <f>1+'vehicles specifications'!AD104</f>
        <v>1</v>
      </c>
      <c r="G238">
        <f>1+'vehicles specifications'!AD104</f>
        <v>1</v>
      </c>
      <c r="H238" t="n">
        <v>1</v>
      </c>
      <c r="I238" t="n">
        <v>1</v>
      </c>
      <c r="K238">
        <f>1/('fuels and tailpipe emissions'!$C$3*3.6)</f>
        <v>2.3474178403755867E-2</v>
      </c>
      <c r="L238">
        <f>1/3.6*1.1</f>
        <v>0.30555555555555558</v>
      </c>
      <c r="M238">
        <f>1/'vehicles specifications'!J104</f>
        <v>4.0000000000000003E-5</v>
      </c>
      <c r="N238" t="n">
        <v>1</v>
      </c>
      <c r="O238">
        <f>1</f>
        <v>1</v>
      </c>
      <c r="P238" t="n">
        <v>-1</v>
      </c>
      <c r="Q238" t="n">
        <v>-1</v>
      </c>
      <c r="R238">
        <f>-1-'vehicles specifications'!AD104</f>
        <v>-1</v>
      </c>
      <c r="S238" t="n">
        <v>1</v>
      </c>
      <c r="T238" t="n">
        <v>1</v>
      </c>
      <c r="U238" t="n">
        <v>1</v>
      </c>
      <c r="V238" t="n">
        <v>1</v>
      </c>
      <c r="W238" t="n">
        <v>1</v>
      </c>
      <c r="X238" t="n">
        <v>1</v>
      </c>
      <c r="Y238" t="n">
        <v>1</v>
      </c>
      <c r="Z238" t="n">
        <v>1</v>
      </c>
      <c r="AA238" t="n">
        <v>1</v>
      </c>
      <c r="AB238" t="n">
        <v>1</v>
      </c>
      <c r="AC238" t="n">
        <v>1</v>
      </c>
      <c r="AD238" t="n">
        <v>1</v>
      </c>
      <c r="AE238" t="n">
        <v>1</v>
      </c>
      <c r="AF238" t="n">
        <v>1</v>
      </c>
      <c r="AG238" t="n">
        <v>1</v>
      </c>
      <c r="AH238" t="n">
        <v>1</v>
      </c>
      <c r="AI238" t="n">
        <v>1</v>
      </c>
      <c r="AJ238" t="n">
        <v>1</v>
      </c>
      <c r="AK238" t="n">
        <v>1</v>
      </c>
      <c r="AL238" t="n">
        <v>1</v>
      </c>
      <c r="AM238" t="n">
        <v>1</v>
      </c>
      <c r="AN238" t="n">
        <v>1</v>
      </c>
      <c r="AO238" t="n">
        <v>1</v>
      </c>
      <c r="AP238" t="n">
        <v>1</v>
      </c>
      <c r="AQ238" t="n">
        <v>1</v>
      </c>
      <c r="AR238" t="n">
        <v>1</v>
      </c>
      <c r="AS238" t="n">
        <v>1</v>
      </c>
      <c r="AT238" t="n">
        <v>1</v>
      </c>
      <c r="AU238" t="n">
        <v>1</v>
      </c>
      <c r="AV238" t="n">
        <v>1</v>
      </c>
      <c r="AW238" t="n">
        <v>1</v>
      </c>
      <c r="AX238" t="n">
        <v>1</v>
      </c>
      <c r="AY238" t="n">
        <v>1</v>
      </c>
      <c r="AZ238" t="n">
        <v>1</v>
      </c>
      <c r="BA238" t="n">
        <v>1</v>
      </c>
      <c r="BB238" t="n">
        <v>1</v>
      </c>
      <c r="BC238" t="n">
        <v>1</v>
      </c>
      <c r="BD238" t="n">
        <v>1</v>
      </c>
      <c r="BE238" t="n">
        <v>1</v>
      </c>
      <c r="BF238" t="n">
        <v>1</v>
      </c>
      <c r="BG238" t="n">
        <v>1</v>
      </c>
      <c r="BH238" t="n">
        <v>1</v>
      </c>
      <c r="BI238" t="n">
        <v>1</v>
      </c>
      <c r="BJ238" t="n">
        <v>-1</v>
      </c>
      <c r="BK238" t="n">
        <v>-1</v>
      </c>
      <c r="BL238" t="n">
        <v>-1</v>
      </c>
    </row>
    <row r="239">
      <c r="A239" t="inlineStr">
        <is>
          <t>Motorbike, gasoline, 4-11kW, EURO-5 - 2040 - CH</t>
        </is>
      </c>
      <c r="B239">
        <f>1/90</f>
        <v>1.1111111111111112E-2</v>
      </c>
      <c r="C239" s="2">
        <f>'vehicles specifications'!S105</f>
        <v>65.433826960328489</v>
      </c>
      <c r="D239">
        <f>1/90</f>
        <v>1.1111111111111112E-2</v>
      </c>
      <c r="F239">
        <f>1+'vehicles specifications'!AD105</f>
        <v>1</v>
      </c>
      <c r="G239">
        <f>1+'vehicles specifications'!AD105</f>
        <v>1</v>
      </c>
      <c r="H239" t="n">
        <v>1</v>
      </c>
      <c r="I239" t="n">
        <v>1</v>
      </c>
      <c r="K239">
        <f>1/('fuels and tailpipe emissions'!$C$3*3.6)</f>
        <v>2.3474178403755867E-2</v>
      </c>
      <c r="L239">
        <f>1/3.6*1.1</f>
        <v>0.30555555555555558</v>
      </c>
      <c r="M239">
        <f>1/'vehicles specifications'!J105</f>
        <v>4.0000000000000003E-5</v>
      </c>
      <c r="N239" t="n">
        <v>1</v>
      </c>
      <c r="O239">
        <f>1</f>
        <v>1</v>
      </c>
      <c r="P239" t="n">
        <v>-1</v>
      </c>
      <c r="Q239" t="n">
        <v>-1</v>
      </c>
      <c r="R239">
        <f>-1-'vehicles specifications'!AD105</f>
        <v>-1</v>
      </c>
      <c r="S239" t="n">
        <v>1</v>
      </c>
      <c r="T239" t="n">
        <v>1</v>
      </c>
      <c r="U239" t="n">
        <v>1</v>
      </c>
      <c r="V239" t="n">
        <v>1</v>
      </c>
      <c r="W239" t="n">
        <v>1</v>
      </c>
      <c r="X239" t="n">
        <v>1</v>
      </c>
      <c r="Y239" t="n">
        <v>1</v>
      </c>
      <c r="Z239" t="n">
        <v>1</v>
      </c>
      <c r="AA239" t="n">
        <v>1</v>
      </c>
      <c r="AB239" t="n">
        <v>1</v>
      </c>
      <c r="AC239" t="n">
        <v>1</v>
      </c>
      <c r="AD239" t="n">
        <v>1</v>
      </c>
      <c r="AE239" t="n">
        <v>1</v>
      </c>
      <c r="AF239" t="n">
        <v>1</v>
      </c>
      <c r="AG239" t="n">
        <v>1</v>
      </c>
      <c r="AH239" t="n">
        <v>1</v>
      </c>
      <c r="AI239" t="n">
        <v>1</v>
      </c>
      <c r="AJ239" t="n">
        <v>1</v>
      </c>
      <c r="AK239" t="n">
        <v>1</v>
      </c>
      <c r="AL239" t="n">
        <v>1</v>
      </c>
      <c r="AM239" t="n">
        <v>1</v>
      </c>
      <c r="AN239" t="n">
        <v>1</v>
      </c>
      <c r="AO239" t="n">
        <v>1</v>
      </c>
      <c r="AP239" t="n">
        <v>1</v>
      </c>
      <c r="AQ239" t="n">
        <v>1</v>
      </c>
      <c r="AR239" t="n">
        <v>1</v>
      </c>
      <c r="AS239" t="n">
        <v>1</v>
      </c>
      <c r="AT239" t="n">
        <v>1</v>
      </c>
      <c r="AU239" t="n">
        <v>1</v>
      </c>
      <c r="AV239" t="n">
        <v>1</v>
      </c>
      <c r="AW239" t="n">
        <v>1</v>
      </c>
      <c r="AX239" t="n">
        <v>1</v>
      </c>
      <c r="AY239" t="n">
        <v>1</v>
      </c>
      <c r="AZ239" t="n">
        <v>1</v>
      </c>
      <c r="BA239" t="n">
        <v>1</v>
      </c>
      <c r="BB239" t="n">
        <v>1</v>
      </c>
      <c r="BC239" t="n">
        <v>1</v>
      </c>
      <c r="BD239" t="n">
        <v>1</v>
      </c>
      <c r="BE239" t="n">
        <v>1</v>
      </c>
      <c r="BF239" t="n">
        <v>1</v>
      </c>
      <c r="BG239" t="n">
        <v>1</v>
      </c>
      <c r="BH239" t="n">
        <v>1</v>
      </c>
      <c r="BI239" t="n">
        <v>1</v>
      </c>
      <c r="BJ239" t="n">
        <v>-1</v>
      </c>
      <c r="BK239" t="n">
        <v>-1</v>
      </c>
      <c r="BL239" t="n">
        <v>-1</v>
      </c>
    </row>
    <row r="240">
      <c r="A240" t="inlineStr">
        <is>
          <t>Motorbike, gasoline, 4-11kW, EURO-5 - 2050 - CH</t>
        </is>
      </c>
      <c r="B240">
        <f>1/90</f>
        <v>1.1111111111111112E-2</v>
      </c>
      <c r="C240" s="2">
        <f>'vehicles specifications'!S106</f>
        <v>65.433826960328489</v>
      </c>
      <c r="D240">
        <f>1/90</f>
        <v>1.1111111111111112E-2</v>
      </c>
      <c r="F240">
        <f>1+'vehicles specifications'!AD106</f>
        <v>1</v>
      </c>
      <c r="G240">
        <f>1+'vehicles specifications'!AD106</f>
        <v>1</v>
      </c>
      <c r="H240" t="n">
        <v>1</v>
      </c>
      <c r="I240" t="n">
        <v>1</v>
      </c>
      <c r="K240">
        <f>1/('fuels and tailpipe emissions'!$C$3*3.6)</f>
        <v>2.3474178403755867E-2</v>
      </c>
      <c r="L240">
        <f>1/3.6*1.1</f>
        <v>0.30555555555555558</v>
      </c>
      <c r="M240">
        <f>1/'vehicles specifications'!J106</f>
        <v>4.0000000000000003E-5</v>
      </c>
      <c r="N240" t="n">
        <v>1</v>
      </c>
      <c r="O240">
        <f>1</f>
        <v>1</v>
      </c>
      <c r="P240" t="n">
        <v>-1</v>
      </c>
      <c r="Q240" t="n">
        <v>-1</v>
      </c>
      <c r="R240">
        <f>-1-'vehicles specifications'!AD106</f>
        <v>-1</v>
      </c>
      <c r="S240" t="n">
        <v>1</v>
      </c>
      <c r="T240" t="n">
        <v>1</v>
      </c>
      <c r="U240" t="n">
        <v>1</v>
      </c>
      <c r="V240" t="n">
        <v>1</v>
      </c>
      <c r="W240" t="n">
        <v>1</v>
      </c>
      <c r="X240" t="n">
        <v>1</v>
      </c>
      <c r="Y240" t="n">
        <v>1</v>
      </c>
      <c r="Z240" t="n">
        <v>1</v>
      </c>
      <c r="AA240" t="n">
        <v>1</v>
      </c>
      <c r="AB240" t="n">
        <v>1</v>
      </c>
      <c r="AC240" t="n">
        <v>1</v>
      </c>
      <c r="AD240" t="n">
        <v>1</v>
      </c>
      <c r="AE240" t="n">
        <v>1</v>
      </c>
      <c r="AF240" t="n">
        <v>1</v>
      </c>
      <c r="AG240" t="n">
        <v>1</v>
      </c>
      <c r="AH240" t="n">
        <v>1</v>
      </c>
      <c r="AI240" t="n">
        <v>1</v>
      </c>
      <c r="AJ240" t="n">
        <v>1</v>
      </c>
      <c r="AK240" t="n">
        <v>1</v>
      </c>
      <c r="AL240" t="n">
        <v>1</v>
      </c>
      <c r="AM240" t="n">
        <v>1</v>
      </c>
      <c r="AN240" t="n">
        <v>1</v>
      </c>
      <c r="AO240" t="n">
        <v>1</v>
      </c>
      <c r="AP240" t="n">
        <v>1</v>
      </c>
      <c r="AQ240" t="n">
        <v>1</v>
      </c>
      <c r="AR240" t="n">
        <v>1</v>
      </c>
      <c r="AS240" t="n">
        <v>1</v>
      </c>
      <c r="AT240" t="n">
        <v>1</v>
      </c>
      <c r="AU240" t="n">
        <v>1</v>
      </c>
      <c r="AV240" t="n">
        <v>1</v>
      </c>
      <c r="AW240" t="n">
        <v>1</v>
      </c>
      <c r="AX240" t="n">
        <v>1</v>
      </c>
      <c r="AY240" t="n">
        <v>1</v>
      </c>
      <c r="AZ240" t="n">
        <v>1</v>
      </c>
      <c r="BA240" t="n">
        <v>1</v>
      </c>
      <c r="BB240" t="n">
        <v>1</v>
      </c>
      <c r="BC240" t="n">
        <v>1</v>
      </c>
      <c r="BD240" t="n">
        <v>1</v>
      </c>
      <c r="BE240" t="n">
        <v>1</v>
      </c>
      <c r="BF240" t="n">
        <v>1</v>
      </c>
      <c r="BG240" t="n">
        <v>1</v>
      </c>
      <c r="BH240" t="n">
        <v>1</v>
      </c>
      <c r="BI240" t="n">
        <v>1</v>
      </c>
      <c r="BJ240" t="n">
        <v>-1</v>
      </c>
      <c r="BK240" t="n">
        <v>-1</v>
      </c>
      <c r="BL240" t="n">
        <v>-1</v>
      </c>
    </row>
    <row r="241">
      <c r="A241" t="inlineStr">
        <is>
          <t>Motorbike, gasoline, 11-35kW, EURO-3 - 2006 - CH</t>
        </is>
      </c>
      <c r="B241">
        <f>1/90</f>
        <v>1.1111111111111112E-2</v>
      </c>
      <c r="C241" s="2">
        <f>'vehicles specifications'!S107</f>
        <v>81</v>
      </c>
      <c r="D241">
        <f>1/90</f>
        <v>1.1111111111111112E-2</v>
      </c>
      <c r="F241">
        <f>1+'vehicles specifications'!AD107</f>
        <v>1</v>
      </c>
      <c r="G241">
        <f>1+'vehicles specifications'!AD107</f>
        <v>1</v>
      </c>
      <c r="H241" t="n">
        <v>1</v>
      </c>
      <c r="I241" t="n">
        <v>1</v>
      </c>
      <c r="K241">
        <f>1/('fuels and tailpipe emissions'!$C$3*3.6)</f>
        <v>2.3474178403755867E-2</v>
      </c>
      <c r="L241">
        <f>1/3.6*1.1</f>
        <v>0.30555555555555558</v>
      </c>
      <c r="M241">
        <f>1/'vehicles specifications'!J107</f>
        <v>2.5974025974025975E-5</v>
      </c>
      <c r="N241" t="n">
        <v>1</v>
      </c>
      <c r="O241">
        <f>1</f>
        <v>1</v>
      </c>
      <c r="P241" t="n">
        <v>-1</v>
      </c>
      <c r="Q241" t="n">
        <v>-1</v>
      </c>
      <c r="R241">
        <f>-1-'vehicles specifications'!AD107</f>
        <v>-1</v>
      </c>
      <c r="S241" t="n">
        <v>1</v>
      </c>
      <c r="T241" t="n">
        <v>1</v>
      </c>
      <c r="U241" t="n">
        <v>1</v>
      </c>
      <c r="V241" t="n">
        <v>1</v>
      </c>
      <c r="W241" t="n">
        <v>1</v>
      </c>
      <c r="X241" t="n">
        <v>1</v>
      </c>
      <c r="Y241" t="n">
        <v>1</v>
      </c>
      <c r="Z241" t="n">
        <v>1</v>
      </c>
      <c r="AA241" t="n">
        <v>1</v>
      </c>
      <c r="AB241" t="n">
        <v>1</v>
      </c>
      <c r="AC241" t="n">
        <v>1</v>
      </c>
      <c r="AD241" t="n">
        <v>1</v>
      </c>
      <c r="AE241" t="n">
        <v>1</v>
      </c>
      <c r="AF241" t="n">
        <v>1</v>
      </c>
      <c r="AG241" t="n">
        <v>1</v>
      </c>
      <c r="AH241" t="n">
        <v>1</v>
      </c>
      <c r="AI241" t="n">
        <v>1</v>
      </c>
      <c r="AJ241" t="n">
        <v>1</v>
      </c>
      <c r="AK241" t="n">
        <v>1</v>
      </c>
      <c r="AL241" t="n">
        <v>1</v>
      </c>
      <c r="AM241" t="n">
        <v>1</v>
      </c>
      <c r="AN241" t="n">
        <v>1</v>
      </c>
      <c r="AO241" t="n">
        <v>1</v>
      </c>
      <c r="AP241" t="n">
        <v>1</v>
      </c>
      <c r="AQ241" t="n">
        <v>1</v>
      </c>
      <c r="AR241" t="n">
        <v>1</v>
      </c>
      <c r="AS241" t="n">
        <v>1</v>
      </c>
      <c r="AT241" t="n">
        <v>1</v>
      </c>
      <c r="AU241" t="n">
        <v>1</v>
      </c>
      <c r="AV241" t="n">
        <v>1</v>
      </c>
      <c r="AW241" t="n">
        <v>1</v>
      </c>
      <c r="AX241" t="n">
        <v>1</v>
      </c>
      <c r="AY241" t="n">
        <v>1</v>
      </c>
      <c r="AZ241" t="n">
        <v>1</v>
      </c>
      <c r="BA241" t="n">
        <v>1</v>
      </c>
      <c r="BB241" t="n">
        <v>1</v>
      </c>
      <c r="BC241" t="n">
        <v>1</v>
      </c>
      <c r="BD241" t="n">
        <v>1</v>
      </c>
      <c r="BE241" t="n">
        <v>1</v>
      </c>
      <c r="BF241" t="n">
        <v>1</v>
      </c>
      <c r="BG241" t="n">
        <v>1</v>
      </c>
      <c r="BH241" t="n">
        <v>1</v>
      </c>
      <c r="BI241" t="n">
        <v>1</v>
      </c>
      <c r="BJ241" t="n">
        <v>-1</v>
      </c>
      <c r="BK241" t="n">
        <v>-1</v>
      </c>
      <c r="BL241" t="n">
        <v>-1</v>
      </c>
    </row>
    <row r="242">
      <c r="A242" t="inlineStr">
        <is>
          <t>Motorbike, gasoline, 11-35kW, EURO-4 - 2016 - CH</t>
        </is>
      </c>
      <c r="B242">
        <f>1/90</f>
        <v>1.1111111111111112E-2</v>
      </c>
      <c r="C242" s="2">
        <f>'vehicles specifications'!S108</f>
        <v>81</v>
      </c>
      <c r="D242">
        <f>1/90</f>
        <v>1.1111111111111112E-2</v>
      </c>
      <c r="F242">
        <f>1+'vehicles specifications'!AD108</f>
        <v>1</v>
      </c>
      <c r="G242">
        <f>1+'vehicles specifications'!AD108</f>
        <v>1</v>
      </c>
      <c r="H242" t="n">
        <v>1</v>
      </c>
      <c r="I242" t="n">
        <v>1</v>
      </c>
      <c r="K242">
        <f>1/('fuels and tailpipe emissions'!$C$3*3.6)</f>
        <v>2.3474178403755867E-2</v>
      </c>
      <c r="L242">
        <f>1/3.6*1.1</f>
        <v>0.30555555555555558</v>
      </c>
      <c r="M242">
        <f>1/'vehicles specifications'!J108</f>
        <v>2.5974025974025975E-5</v>
      </c>
      <c r="N242" t="n">
        <v>1</v>
      </c>
      <c r="O242">
        <f>1</f>
        <v>1</v>
      </c>
      <c r="P242" t="n">
        <v>-1</v>
      </c>
      <c r="Q242" t="n">
        <v>-1</v>
      </c>
      <c r="R242">
        <f>-1-'vehicles specifications'!AD108</f>
        <v>-1</v>
      </c>
      <c r="S242" t="n">
        <v>1</v>
      </c>
      <c r="T242" t="n">
        <v>1</v>
      </c>
      <c r="U242" t="n">
        <v>1</v>
      </c>
      <c r="V242" t="n">
        <v>1</v>
      </c>
      <c r="W242" t="n">
        <v>1</v>
      </c>
      <c r="X242" t="n">
        <v>1</v>
      </c>
      <c r="Y242" t="n">
        <v>1</v>
      </c>
      <c r="Z242" t="n">
        <v>1</v>
      </c>
      <c r="AA242" t="n">
        <v>1</v>
      </c>
      <c r="AB242" t="n">
        <v>1</v>
      </c>
      <c r="AC242" t="n">
        <v>1</v>
      </c>
      <c r="AD242" t="n">
        <v>1</v>
      </c>
      <c r="AE242" t="n">
        <v>1</v>
      </c>
      <c r="AF242" t="n">
        <v>1</v>
      </c>
      <c r="AG242" t="n">
        <v>1</v>
      </c>
      <c r="AH242" t="n">
        <v>1</v>
      </c>
      <c r="AI242" t="n">
        <v>1</v>
      </c>
      <c r="AJ242" t="n">
        <v>1</v>
      </c>
      <c r="AK242" t="n">
        <v>1</v>
      </c>
      <c r="AL242" t="n">
        <v>1</v>
      </c>
      <c r="AM242" t="n">
        <v>1</v>
      </c>
      <c r="AN242" t="n">
        <v>1</v>
      </c>
      <c r="AO242" t="n">
        <v>1</v>
      </c>
      <c r="AP242" t="n">
        <v>1</v>
      </c>
      <c r="AQ242" t="n">
        <v>1</v>
      </c>
      <c r="AR242" t="n">
        <v>1</v>
      </c>
      <c r="AS242" t="n">
        <v>1</v>
      </c>
      <c r="AT242" t="n">
        <v>1</v>
      </c>
      <c r="AU242" t="n">
        <v>1</v>
      </c>
      <c r="AV242" t="n">
        <v>1</v>
      </c>
      <c r="AW242" t="n">
        <v>1</v>
      </c>
      <c r="AX242" t="n">
        <v>1</v>
      </c>
      <c r="AY242" t="n">
        <v>1</v>
      </c>
      <c r="AZ242" t="n">
        <v>1</v>
      </c>
      <c r="BA242" t="n">
        <v>1</v>
      </c>
      <c r="BB242" t="n">
        <v>1</v>
      </c>
      <c r="BC242" t="n">
        <v>1</v>
      </c>
      <c r="BD242" t="n">
        <v>1</v>
      </c>
      <c r="BE242" t="n">
        <v>1</v>
      </c>
      <c r="BF242" t="n">
        <v>1</v>
      </c>
      <c r="BG242" t="n">
        <v>1</v>
      </c>
      <c r="BH242" t="n">
        <v>1</v>
      </c>
      <c r="BI242" t="n">
        <v>1</v>
      </c>
      <c r="BJ242" t="n">
        <v>-1</v>
      </c>
      <c r="BK242" t="n">
        <v>-1</v>
      </c>
      <c r="BL242" t="n">
        <v>-1</v>
      </c>
    </row>
    <row r="243">
      <c r="A243" t="inlineStr">
        <is>
          <t>Motorbike, gasoline, 11-35kW, EURO-5 - 2020 - CH</t>
        </is>
      </c>
      <c r="B243">
        <f>1/90</f>
        <v>1.1111111111111112E-2</v>
      </c>
      <c r="C243" s="2">
        <f>'vehicles specifications'!S109</f>
        <v>81</v>
      </c>
      <c r="D243">
        <f>1/90</f>
        <v>1.1111111111111112E-2</v>
      </c>
      <c r="F243">
        <f>1+'vehicles specifications'!AD109</f>
        <v>1</v>
      </c>
      <c r="G243">
        <f>1+'vehicles specifications'!AD109</f>
        <v>1</v>
      </c>
      <c r="H243" t="n">
        <v>1</v>
      </c>
      <c r="I243" t="n">
        <v>1</v>
      </c>
      <c r="K243">
        <f>1/('fuels and tailpipe emissions'!$C$3*3.6)</f>
        <v>2.3474178403755867E-2</v>
      </c>
      <c r="L243">
        <f>1/3.6*1.1</f>
        <v>0.30555555555555558</v>
      </c>
      <c r="M243">
        <f>1/'vehicles specifications'!J109</f>
        <v>2.5974025974025975E-5</v>
      </c>
      <c r="N243" t="n">
        <v>1</v>
      </c>
      <c r="O243">
        <f>1</f>
        <v>1</v>
      </c>
      <c r="P243" t="n">
        <v>-1</v>
      </c>
      <c r="Q243" t="n">
        <v>-1</v>
      </c>
      <c r="R243">
        <f>-1-'vehicles specifications'!AD109</f>
        <v>-1</v>
      </c>
      <c r="S243" t="n">
        <v>1</v>
      </c>
      <c r="T243" t="n">
        <v>1</v>
      </c>
      <c r="U243" t="n">
        <v>1</v>
      </c>
      <c r="V243" t="n">
        <v>1</v>
      </c>
      <c r="W243" t="n">
        <v>1</v>
      </c>
      <c r="X243" t="n">
        <v>1</v>
      </c>
      <c r="Y243" t="n">
        <v>1</v>
      </c>
      <c r="Z243" t="n">
        <v>1</v>
      </c>
      <c r="AA243" t="n">
        <v>1</v>
      </c>
      <c r="AB243" t="n">
        <v>1</v>
      </c>
      <c r="AC243" t="n">
        <v>1</v>
      </c>
      <c r="AD243" t="n">
        <v>1</v>
      </c>
      <c r="AE243" t="n">
        <v>1</v>
      </c>
      <c r="AF243" t="n">
        <v>1</v>
      </c>
      <c r="AG243" t="n">
        <v>1</v>
      </c>
      <c r="AH243" t="n">
        <v>1</v>
      </c>
      <c r="AI243" t="n">
        <v>1</v>
      </c>
      <c r="AJ243" t="n">
        <v>1</v>
      </c>
      <c r="AK243" t="n">
        <v>1</v>
      </c>
      <c r="AL243" t="n">
        <v>1</v>
      </c>
      <c r="AM243" t="n">
        <v>1</v>
      </c>
      <c r="AN243" t="n">
        <v>1</v>
      </c>
      <c r="AO243" t="n">
        <v>1</v>
      </c>
      <c r="AP243" t="n">
        <v>1</v>
      </c>
      <c r="AQ243" t="n">
        <v>1</v>
      </c>
      <c r="AR243" t="n">
        <v>1</v>
      </c>
      <c r="AS243" t="n">
        <v>1</v>
      </c>
      <c r="AT243" t="n">
        <v>1</v>
      </c>
      <c r="AU243" t="n">
        <v>1</v>
      </c>
      <c r="AV243" t="n">
        <v>1</v>
      </c>
      <c r="AW243" t="n">
        <v>1</v>
      </c>
      <c r="AX243" t="n">
        <v>1</v>
      </c>
      <c r="AY243" t="n">
        <v>1</v>
      </c>
      <c r="AZ243" t="n">
        <v>1</v>
      </c>
      <c r="BA243" t="n">
        <v>1</v>
      </c>
      <c r="BB243" t="n">
        <v>1</v>
      </c>
      <c r="BC243" t="n">
        <v>1</v>
      </c>
      <c r="BD243" t="n">
        <v>1</v>
      </c>
      <c r="BE243" t="n">
        <v>1</v>
      </c>
      <c r="BF243" t="n">
        <v>1</v>
      </c>
      <c r="BG243" t="n">
        <v>1</v>
      </c>
      <c r="BH243" t="n">
        <v>1</v>
      </c>
      <c r="BI243" t="n">
        <v>1</v>
      </c>
      <c r="BJ243" t="n">
        <v>-1</v>
      </c>
      <c r="BK243" t="n">
        <v>-1</v>
      </c>
      <c r="BL243" t="n">
        <v>-1</v>
      </c>
    </row>
    <row r="244">
      <c r="A244" t="inlineStr">
        <is>
          <t>Motorbike, gasoline, 11-35kW, EURO-5 - 2030 - CH</t>
        </is>
      </c>
      <c r="B244">
        <f>1/90</f>
        <v>1.1111111111111112E-2</v>
      </c>
      <c r="C244" s="2">
        <f>'vehicles specifications'!S110</f>
        <v>81</v>
      </c>
      <c r="D244">
        <f>1/90</f>
        <v>1.1111111111111112E-2</v>
      </c>
      <c r="F244">
        <f>1+'vehicles specifications'!AD110</f>
        <v>1</v>
      </c>
      <c r="G244">
        <f>1+'vehicles specifications'!AD110</f>
        <v>1</v>
      </c>
      <c r="H244" t="n">
        <v>1</v>
      </c>
      <c r="I244" t="n">
        <v>1</v>
      </c>
      <c r="K244">
        <f>1/('fuels and tailpipe emissions'!$C$3*3.6)</f>
        <v>2.3474178403755867E-2</v>
      </c>
      <c r="L244">
        <f>1/3.6*1.1</f>
        <v>0.30555555555555558</v>
      </c>
      <c r="M244">
        <f>1/'vehicles specifications'!J110</f>
        <v>2.5974025974025975E-5</v>
      </c>
      <c r="N244" t="n">
        <v>1</v>
      </c>
      <c r="O244">
        <f>1</f>
        <v>1</v>
      </c>
      <c r="P244" t="n">
        <v>-1</v>
      </c>
      <c r="Q244" t="n">
        <v>-1</v>
      </c>
      <c r="R244">
        <f>-1-'vehicles specifications'!AD110</f>
        <v>-1</v>
      </c>
      <c r="S244" t="n">
        <v>1</v>
      </c>
      <c r="T244" t="n">
        <v>1</v>
      </c>
      <c r="U244" t="n">
        <v>1</v>
      </c>
      <c r="V244" t="n">
        <v>1</v>
      </c>
      <c r="W244" t="n">
        <v>1</v>
      </c>
      <c r="X244" t="n">
        <v>1</v>
      </c>
      <c r="Y244" t="n">
        <v>1</v>
      </c>
      <c r="Z244" t="n">
        <v>1</v>
      </c>
      <c r="AA244" t="n">
        <v>1</v>
      </c>
      <c r="AB244" t="n">
        <v>1</v>
      </c>
      <c r="AC244" t="n">
        <v>1</v>
      </c>
      <c r="AD244" t="n">
        <v>1</v>
      </c>
      <c r="AE244" t="n">
        <v>1</v>
      </c>
      <c r="AF244" t="n">
        <v>1</v>
      </c>
      <c r="AG244" t="n">
        <v>1</v>
      </c>
      <c r="AH244" t="n">
        <v>1</v>
      </c>
      <c r="AI244" t="n">
        <v>1</v>
      </c>
      <c r="AJ244" t="n">
        <v>1</v>
      </c>
      <c r="AK244" t="n">
        <v>1</v>
      </c>
      <c r="AL244" t="n">
        <v>1</v>
      </c>
      <c r="AM244" t="n">
        <v>1</v>
      </c>
      <c r="AN244" t="n">
        <v>1</v>
      </c>
      <c r="AO244" t="n">
        <v>1</v>
      </c>
      <c r="AP244" t="n">
        <v>1</v>
      </c>
      <c r="AQ244" t="n">
        <v>1</v>
      </c>
      <c r="AR244" t="n">
        <v>1</v>
      </c>
      <c r="AS244" t="n">
        <v>1</v>
      </c>
      <c r="AT244" t="n">
        <v>1</v>
      </c>
      <c r="AU244" t="n">
        <v>1</v>
      </c>
      <c r="AV244" t="n">
        <v>1</v>
      </c>
      <c r="AW244" t="n">
        <v>1</v>
      </c>
      <c r="AX244" t="n">
        <v>1</v>
      </c>
      <c r="AY244" t="n">
        <v>1</v>
      </c>
      <c r="AZ244" t="n">
        <v>1</v>
      </c>
      <c r="BA244" t="n">
        <v>1</v>
      </c>
      <c r="BB244" t="n">
        <v>1</v>
      </c>
      <c r="BC244" t="n">
        <v>1</v>
      </c>
      <c r="BD244" t="n">
        <v>1</v>
      </c>
      <c r="BE244" t="n">
        <v>1</v>
      </c>
      <c r="BF244" t="n">
        <v>1</v>
      </c>
      <c r="BG244" t="n">
        <v>1</v>
      </c>
      <c r="BH244" t="n">
        <v>1</v>
      </c>
      <c r="BI244" t="n">
        <v>1</v>
      </c>
      <c r="BJ244" t="n">
        <v>-1</v>
      </c>
      <c r="BK244" t="n">
        <v>-1</v>
      </c>
      <c r="BL244" t="n">
        <v>-1</v>
      </c>
    </row>
    <row r="245">
      <c r="A245" t="inlineStr">
        <is>
          <t>Motorbike, gasoline, 11-35kW, EURO-5 - 2040 - CH</t>
        </is>
      </c>
      <c r="B245">
        <f>1/90</f>
        <v>1.1111111111111112E-2</v>
      </c>
      <c r="C245" s="2">
        <f>'vehicles specifications'!S111</f>
        <v>81</v>
      </c>
      <c r="D245">
        <f>1/90</f>
        <v>1.1111111111111112E-2</v>
      </c>
      <c r="F245">
        <f>1+'vehicles specifications'!AD111</f>
        <v>1</v>
      </c>
      <c r="G245">
        <f>1+'vehicles specifications'!AD111</f>
        <v>1</v>
      </c>
      <c r="H245" t="n">
        <v>1</v>
      </c>
      <c r="I245" t="n">
        <v>1</v>
      </c>
      <c r="K245">
        <f>1/('fuels and tailpipe emissions'!$C$3*3.6)</f>
        <v>2.3474178403755867E-2</v>
      </c>
      <c r="L245">
        <f>1/3.6*1.1</f>
        <v>0.30555555555555558</v>
      </c>
      <c r="M245">
        <f>1/'vehicles specifications'!J111</f>
        <v>2.5974025974025975E-5</v>
      </c>
      <c r="N245" t="n">
        <v>1</v>
      </c>
      <c r="O245">
        <f>1</f>
        <v>1</v>
      </c>
      <c r="P245" t="n">
        <v>-1</v>
      </c>
      <c r="Q245" t="n">
        <v>-1</v>
      </c>
      <c r="R245">
        <f>-1-'vehicles specifications'!AD111</f>
        <v>-1</v>
      </c>
      <c r="S245" t="n">
        <v>1</v>
      </c>
      <c r="T245" t="n">
        <v>1</v>
      </c>
      <c r="U245" t="n">
        <v>1</v>
      </c>
      <c r="V245" t="n">
        <v>1</v>
      </c>
      <c r="W245" t="n">
        <v>1</v>
      </c>
      <c r="X245" t="n">
        <v>1</v>
      </c>
      <c r="Y245" t="n">
        <v>1</v>
      </c>
      <c r="Z245" t="n">
        <v>1</v>
      </c>
      <c r="AA245" t="n">
        <v>1</v>
      </c>
      <c r="AB245" t="n">
        <v>1</v>
      </c>
      <c r="AC245" t="n">
        <v>1</v>
      </c>
      <c r="AD245" t="n">
        <v>1</v>
      </c>
      <c r="AE245" t="n">
        <v>1</v>
      </c>
      <c r="AF245" t="n">
        <v>1</v>
      </c>
      <c r="AG245" t="n">
        <v>1</v>
      </c>
      <c r="AH245" t="n">
        <v>1</v>
      </c>
      <c r="AI245" t="n">
        <v>1</v>
      </c>
      <c r="AJ245" t="n">
        <v>1</v>
      </c>
      <c r="AK245" t="n">
        <v>1</v>
      </c>
      <c r="AL245" t="n">
        <v>1</v>
      </c>
      <c r="AM245" t="n">
        <v>1</v>
      </c>
      <c r="AN245" t="n">
        <v>1</v>
      </c>
      <c r="AO245" t="n">
        <v>1</v>
      </c>
      <c r="AP245" t="n">
        <v>1</v>
      </c>
      <c r="AQ245" t="n">
        <v>1</v>
      </c>
      <c r="AR245" t="n">
        <v>1</v>
      </c>
      <c r="AS245" t="n">
        <v>1</v>
      </c>
      <c r="AT245" t="n">
        <v>1</v>
      </c>
      <c r="AU245" t="n">
        <v>1</v>
      </c>
      <c r="AV245" t="n">
        <v>1</v>
      </c>
      <c r="AW245" t="n">
        <v>1</v>
      </c>
      <c r="AX245" t="n">
        <v>1</v>
      </c>
      <c r="AY245" t="n">
        <v>1</v>
      </c>
      <c r="AZ245" t="n">
        <v>1</v>
      </c>
      <c r="BA245" t="n">
        <v>1</v>
      </c>
      <c r="BB245" t="n">
        <v>1</v>
      </c>
      <c r="BC245" t="n">
        <v>1</v>
      </c>
      <c r="BD245" t="n">
        <v>1</v>
      </c>
      <c r="BE245" t="n">
        <v>1</v>
      </c>
      <c r="BF245" t="n">
        <v>1</v>
      </c>
      <c r="BG245" t="n">
        <v>1</v>
      </c>
      <c r="BH245" t="n">
        <v>1</v>
      </c>
      <c r="BI245" t="n">
        <v>1</v>
      </c>
      <c r="BJ245" t="n">
        <v>-1</v>
      </c>
      <c r="BK245" t="n">
        <v>-1</v>
      </c>
      <c r="BL245" t="n">
        <v>-1</v>
      </c>
    </row>
    <row r="246">
      <c r="A246" t="inlineStr">
        <is>
          <t>Motorbike, gasoline, 11-35kW, EURO-5 - 2050 - CH</t>
        </is>
      </c>
      <c r="B246">
        <f>1/90</f>
        <v>1.1111111111111112E-2</v>
      </c>
      <c r="C246" s="2">
        <f>'vehicles specifications'!S112</f>
        <v>81</v>
      </c>
      <c r="D246">
        <f>1/90</f>
        <v>1.1111111111111112E-2</v>
      </c>
      <c r="F246">
        <f>1+'vehicles specifications'!AD112</f>
        <v>1</v>
      </c>
      <c r="G246">
        <f>1+'vehicles specifications'!AD112</f>
        <v>1</v>
      </c>
      <c r="H246" t="n">
        <v>1</v>
      </c>
      <c r="I246" t="n">
        <v>1</v>
      </c>
      <c r="K246">
        <f>1/('fuels and tailpipe emissions'!$C$3*3.6)</f>
        <v>2.3474178403755867E-2</v>
      </c>
      <c r="L246">
        <f>1/3.6*1.1</f>
        <v>0.30555555555555558</v>
      </c>
      <c r="M246">
        <f>1/'vehicles specifications'!J112</f>
        <v>2.5974025974025975E-5</v>
      </c>
      <c r="N246" t="n">
        <v>1</v>
      </c>
      <c r="O246">
        <f>1</f>
        <v>1</v>
      </c>
      <c r="P246" t="n">
        <v>-1</v>
      </c>
      <c r="Q246" t="n">
        <v>-1</v>
      </c>
      <c r="R246">
        <f>-1-'vehicles specifications'!AD112</f>
        <v>-1</v>
      </c>
      <c r="S246" t="n">
        <v>1</v>
      </c>
      <c r="T246" t="n">
        <v>1</v>
      </c>
      <c r="U246" t="n">
        <v>1</v>
      </c>
      <c r="V246" t="n">
        <v>1</v>
      </c>
      <c r="W246" t="n">
        <v>1</v>
      </c>
      <c r="X246" t="n">
        <v>1</v>
      </c>
      <c r="Y246" t="n">
        <v>1</v>
      </c>
      <c r="Z246" t="n">
        <v>1</v>
      </c>
      <c r="AA246" t="n">
        <v>1</v>
      </c>
      <c r="AB246" t="n">
        <v>1</v>
      </c>
      <c r="AC246" t="n">
        <v>1</v>
      </c>
      <c r="AD246" t="n">
        <v>1</v>
      </c>
      <c r="AE246" t="n">
        <v>1</v>
      </c>
      <c r="AF246" t="n">
        <v>1</v>
      </c>
      <c r="AG246" t="n">
        <v>1</v>
      </c>
      <c r="AH246" t="n">
        <v>1</v>
      </c>
      <c r="AI246" t="n">
        <v>1</v>
      </c>
      <c r="AJ246" t="n">
        <v>1</v>
      </c>
      <c r="AK246" t="n">
        <v>1</v>
      </c>
      <c r="AL246" t="n">
        <v>1</v>
      </c>
      <c r="AM246" t="n">
        <v>1</v>
      </c>
      <c r="AN246" t="n">
        <v>1</v>
      </c>
      <c r="AO246" t="n">
        <v>1</v>
      </c>
      <c r="AP246" t="n">
        <v>1</v>
      </c>
      <c r="AQ246" t="n">
        <v>1</v>
      </c>
      <c r="AR246" t="n">
        <v>1</v>
      </c>
      <c r="AS246" t="n">
        <v>1</v>
      </c>
      <c r="AT246" t="n">
        <v>1</v>
      </c>
      <c r="AU246" t="n">
        <v>1</v>
      </c>
      <c r="AV246" t="n">
        <v>1</v>
      </c>
      <c r="AW246" t="n">
        <v>1</v>
      </c>
      <c r="AX246" t="n">
        <v>1</v>
      </c>
      <c r="AY246" t="n">
        <v>1</v>
      </c>
      <c r="AZ246" t="n">
        <v>1</v>
      </c>
      <c r="BA246" t="n">
        <v>1</v>
      </c>
      <c r="BB246" t="n">
        <v>1</v>
      </c>
      <c r="BC246" t="n">
        <v>1</v>
      </c>
      <c r="BD246" t="n">
        <v>1</v>
      </c>
      <c r="BE246" t="n">
        <v>1</v>
      </c>
      <c r="BF246" t="n">
        <v>1</v>
      </c>
      <c r="BG246" t="n">
        <v>1</v>
      </c>
      <c r="BH246" t="n">
        <v>1</v>
      </c>
      <c r="BI246" t="n">
        <v>1</v>
      </c>
      <c r="BJ246" t="n">
        <v>-1</v>
      </c>
      <c r="BK246" t="n">
        <v>-1</v>
      </c>
      <c r="BL246" t="n">
        <v>-1</v>
      </c>
    </row>
    <row r="247">
      <c r="A247" t="inlineStr">
        <is>
          <t>Motorbike, gasoline, &gt;35kW, EURO-3 - 2006 - CH</t>
        </is>
      </c>
      <c r="B247">
        <f>1/90</f>
        <v>1.1111111111111112E-2</v>
      </c>
      <c r="C247" s="2">
        <f>'vehicles specifications'!S113</f>
        <v>111</v>
      </c>
      <c r="D247">
        <f>1/90</f>
        <v>1.1111111111111112E-2</v>
      </c>
      <c r="F247">
        <f>1+'vehicles specifications'!AD113</f>
        <v>1</v>
      </c>
      <c r="G247">
        <f>1+'vehicles specifications'!AD113</f>
        <v>1</v>
      </c>
      <c r="H247" t="n">
        <v>1</v>
      </c>
      <c r="I247" t="n">
        <v>1</v>
      </c>
      <c r="K247">
        <f>1/('fuels and tailpipe emissions'!$C$3*3.6)</f>
        <v>2.3474178403755867E-2</v>
      </c>
      <c r="L247">
        <f>1/3.6*1.1</f>
        <v>0.30555555555555558</v>
      </c>
      <c r="M247">
        <f>1/'vehicles specifications'!J113</f>
        <v>2.4691358024691357E-5</v>
      </c>
      <c r="N247" t="n">
        <v>1</v>
      </c>
      <c r="O247">
        <f>1</f>
        <v>1</v>
      </c>
      <c r="P247" t="n">
        <v>-1</v>
      </c>
      <c r="Q247" t="n">
        <v>-1</v>
      </c>
      <c r="R247">
        <f>-1-'vehicles specifications'!AD113</f>
        <v>-1</v>
      </c>
      <c r="S247" t="n">
        <v>1</v>
      </c>
      <c r="T247" t="n">
        <v>1</v>
      </c>
      <c r="U247" t="n">
        <v>1</v>
      </c>
      <c r="V247" t="n">
        <v>1</v>
      </c>
      <c r="W247" t="n">
        <v>1</v>
      </c>
      <c r="X247" t="n">
        <v>1</v>
      </c>
      <c r="Y247" t="n">
        <v>1</v>
      </c>
      <c r="Z247" t="n">
        <v>1</v>
      </c>
      <c r="AA247" t="n">
        <v>1</v>
      </c>
      <c r="AB247" t="n">
        <v>1</v>
      </c>
      <c r="AC247" t="n">
        <v>1</v>
      </c>
      <c r="AD247" t="n">
        <v>1</v>
      </c>
      <c r="AE247" t="n">
        <v>1</v>
      </c>
      <c r="AF247" t="n">
        <v>1</v>
      </c>
      <c r="AG247" t="n">
        <v>1</v>
      </c>
      <c r="AH247" t="n">
        <v>1</v>
      </c>
      <c r="AI247" t="n">
        <v>1</v>
      </c>
      <c r="AJ247" t="n">
        <v>1</v>
      </c>
      <c r="AK247" t="n">
        <v>1</v>
      </c>
      <c r="AL247" t="n">
        <v>1</v>
      </c>
      <c r="AM247" t="n">
        <v>1</v>
      </c>
      <c r="AN247" t="n">
        <v>1</v>
      </c>
      <c r="AO247" t="n">
        <v>1</v>
      </c>
      <c r="AP247" t="n">
        <v>1</v>
      </c>
      <c r="AQ247" t="n">
        <v>1</v>
      </c>
      <c r="AR247" t="n">
        <v>1</v>
      </c>
      <c r="AS247" t="n">
        <v>1</v>
      </c>
      <c r="AT247" t="n">
        <v>1</v>
      </c>
      <c r="AU247" t="n">
        <v>1</v>
      </c>
      <c r="AV247" t="n">
        <v>1</v>
      </c>
      <c r="AW247" t="n">
        <v>1</v>
      </c>
      <c r="AX247" t="n">
        <v>1</v>
      </c>
      <c r="AY247" t="n">
        <v>1</v>
      </c>
      <c r="AZ247" t="n">
        <v>1</v>
      </c>
      <c r="BA247" t="n">
        <v>1</v>
      </c>
      <c r="BB247" t="n">
        <v>1</v>
      </c>
      <c r="BC247" t="n">
        <v>1</v>
      </c>
      <c r="BD247" t="n">
        <v>1</v>
      </c>
      <c r="BE247" t="n">
        <v>1</v>
      </c>
      <c r="BF247" t="n">
        <v>1</v>
      </c>
      <c r="BG247" t="n">
        <v>1</v>
      </c>
      <c r="BH247" t="n">
        <v>1</v>
      </c>
      <c r="BI247" t="n">
        <v>1</v>
      </c>
      <c r="BJ247" t="n">
        <v>-1</v>
      </c>
      <c r="BK247" t="n">
        <v>-1</v>
      </c>
      <c r="BL247" t="n">
        <v>-1</v>
      </c>
    </row>
    <row r="248">
      <c r="A248" t="inlineStr">
        <is>
          <t>Motorbike, gasoline, &gt;35kW, EURO-4 - 2016 - CH</t>
        </is>
      </c>
      <c r="B248">
        <f>1/90</f>
        <v>1.1111111111111112E-2</v>
      </c>
      <c r="C248" s="2">
        <f>'vehicles specifications'!S114</f>
        <v>111</v>
      </c>
      <c r="D248">
        <f>1/90</f>
        <v>1.1111111111111112E-2</v>
      </c>
      <c r="F248">
        <f>1+'vehicles specifications'!AD114</f>
        <v>1</v>
      </c>
      <c r="G248">
        <f>1+'vehicles specifications'!AD114</f>
        <v>1</v>
      </c>
      <c r="H248" t="n">
        <v>1</v>
      </c>
      <c r="I248" t="n">
        <v>1</v>
      </c>
      <c r="K248">
        <f>1/('fuels and tailpipe emissions'!$C$3*3.6)</f>
        <v>2.3474178403755867E-2</v>
      </c>
      <c r="L248">
        <f>1/3.6*1.1</f>
        <v>0.30555555555555558</v>
      </c>
      <c r="M248">
        <f>1/'vehicles specifications'!J114</f>
        <v>2.4691358024691357E-5</v>
      </c>
      <c r="N248" t="n">
        <v>1</v>
      </c>
      <c r="O248">
        <f>1</f>
        <v>1</v>
      </c>
      <c r="P248" t="n">
        <v>-1</v>
      </c>
      <c r="Q248" t="n">
        <v>-1</v>
      </c>
      <c r="R248">
        <f>-1-'vehicles specifications'!AD114</f>
        <v>-1</v>
      </c>
      <c r="S248" t="n">
        <v>1</v>
      </c>
      <c r="T248" t="n">
        <v>1</v>
      </c>
      <c r="U248" t="n">
        <v>1</v>
      </c>
      <c r="V248" t="n">
        <v>1</v>
      </c>
      <c r="W248" t="n">
        <v>1</v>
      </c>
      <c r="X248" t="n">
        <v>1</v>
      </c>
      <c r="Y248" t="n">
        <v>1</v>
      </c>
      <c r="Z248" t="n">
        <v>1</v>
      </c>
      <c r="AA248" t="n">
        <v>1</v>
      </c>
      <c r="AB248" t="n">
        <v>1</v>
      </c>
      <c r="AC248" t="n">
        <v>1</v>
      </c>
      <c r="AD248" t="n">
        <v>1</v>
      </c>
      <c r="AE248" t="n">
        <v>1</v>
      </c>
      <c r="AF248" t="n">
        <v>1</v>
      </c>
      <c r="AG248" t="n">
        <v>1</v>
      </c>
      <c r="AH248" t="n">
        <v>1</v>
      </c>
      <c r="AI248" t="n">
        <v>1</v>
      </c>
      <c r="AJ248" t="n">
        <v>1</v>
      </c>
      <c r="AK248" t="n">
        <v>1</v>
      </c>
      <c r="AL248" t="n">
        <v>1</v>
      </c>
      <c r="AM248" t="n">
        <v>1</v>
      </c>
      <c r="AN248" t="n">
        <v>1</v>
      </c>
      <c r="AO248" t="n">
        <v>1</v>
      </c>
      <c r="AP248" t="n">
        <v>1</v>
      </c>
      <c r="AQ248" t="n">
        <v>1</v>
      </c>
      <c r="AR248" t="n">
        <v>1</v>
      </c>
      <c r="AS248" t="n">
        <v>1</v>
      </c>
      <c r="AT248" t="n">
        <v>1</v>
      </c>
      <c r="AU248" t="n">
        <v>1</v>
      </c>
      <c r="AV248" t="n">
        <v>1</v>
      </c>
      <c r="AW248" t="n">
        <v>1</v>
      </c>
      <c r="AX248" t="n">
        <v>1</v>
      </c>
      <c r="AY248" t="n">
        <v>1</v>
      </c>
      <c r="AZ248" t="n">
        <v>1</v>
      </c>
      <c r="BA248" t="n">
        <v>1</v>
      </c>
      <c r="BB248" t="n">
        <v>1</v>
      </c>
      <c r="BC248" t="n">
        <v>1</v>
      </c>
      <c r="BD248" t="n">
        <v>1</v>
      </c>
      <c r="BE248" t="n">
        <v>1</v>
      </c>
      <c r="BF248" t="n">
        <v>1</v>
      </c>
      <c r="BG248" t="n">
        <v>1</v>
      </c>
      <c r="BH248" t="n">
        <v>1</v>
      </c>
      <c r="BI248" t="n">
        <v>1</v>
      </c>
      <c r="BJ248" t="n">
        <v>-1</v>
      </c>
      <c r="BK248" t="n">
        <v>-1</v>
      </c>
      <c r="BL248" t="n">
        <v>-1</v>
      </c>
    </row>
    <row r="249">
      <c r="A249" t="inlineStr">
        <is>
          <t>Motorbike, gasoline, &gt;35kW, EURO-5 - 2020 - CH</t>
        </is>
      </c>
      <c r="B249">
        <f>1/90</f>
        <v>1.1111111111111112E-2</v>
      </c>
      <c r="C249" s="2">
        <f>'vehicles specifications'!S115</f>
        <v>111</v>
      </c>
      <c r="D249">
        <f>1/90</f>
        <v>1.1111111111111112E-2</v>
      </c>
      <c r="F249">
        <f>1+'vehicles specifications'!AD115</f>
        <v>1</v>
      </c>
      <c r="G249">
        <f>1+'vehicles specifications'!AD115</f>
        <v>1</v>
      </c>
      <c r="H249" t="n">
        <v>1</v>
      </c>
      <c r="I249" t="n">
        <v>1</v>
      </c>
      <c r="K249">
        <f>1/('fuels and tailpipe emissions'!$C$3*3.6)</f>
        <v>2.3474178403755867E-2</v>
      </c>
      <c r="L249">
        <f>1/3.6*1.1</f>
        <v>0.30555555555555558</v>
      </c>
      <c r="M249">
        <f>1/'vehicles specifications'!J115</f>
        <v>2.4691358024691357E-5</v>
      </c>
      <c r="N249" t="n">
        <v>1</v>
      </c>
      <c r="O249">
        <f>1</f>
        <v>1</v>
      </c>
      <c r="P249" t="n">
        <v>-1</v>
      </c>
      <c r="Q249" t="n">
        <v>-1</v>
      </c>
      <c r="R249">
        <f>-1-'vehicles specifications'!AD115</f>
        <v>-1</v>
      </c>
      <c r="S249" t="n">
        <v>1</v>
      </c>
      <c r="T249" t="n">
        <v>1</v>
      </c>
      <c r="U249" t="n">
        <v>1</v>
      </c>
      <c r="V249" t="n">
        <v>1</v>
      </c>
      <c r="W249" t="n">
        <v>1</v>
      </c>
      <c r="X249" t="n">
        <v>1</v>
      </c>
      <c r="Y249" t="n">
        <v>1</v>
      </c>
      <c r="Z249" t="n">
        <v>1</v>
      </c>
      <c r="AA249" t="n">
        <v>1</v>
      </c>
      <c r="AB249" t="n">
        <v>1</v>
      </c>
      <c r="AC249" t="n">
        <v>1</v>
      </c>
      <c r="AD249" t="n">
        <v>1</v>
      </c>
      <c r="AE249" t="n">
        <v>1</v>
      </c>
      <c r="AF249" t="n">
        <v>1</v>
      </c>
      <c r="AG249" t="n">
        <v>1</v>
      </c>
      <c r="AH249" t="n">
        <v>1</v>
      </c>
      <c r="AI249" t="n">
        <v>1</v>
      </c>
      <c r="AJ249" t="n">
        <v>1</v>
      </c>
      <c r="AK249" t="n">
        <v>1</v>
      </c>
      <c r="AL249" t="n">
        <v>1</v>
      </c>
      <c r="AM249" t="n">
        <v>1</v>
      </c>
      <c r="AN249" t="n">
        <v>1</v>
      </c>
      <c r="AO249" t="n">
        <v>1</v>
      </c>
      <c r="AP249" t="n">
        <v>1</v>
      </c>
      <c r="AQ249" t="n">
        <v>1</v>
      </c>
      <c r="AR249" t="n">
        <v>1</v>
      </c>
      <c r="AS249" t="n">
        <v>1</v>
      </c>
      <c r="AT249" t="n">
        <v>1</v>
      </c>
      <c r="AU249" t="n">
        <v>1</v>
      </c>
      <c r="AV249" t="n">
        <v>1</v>
      </c>
      <c r="AW249" t="n">
        <v>1</v>
      </c>
      <c r="AX249" t="n">
        <v>1</v>
      </c>
      <c r="AY249" t="n">
        <v>1</v>
      </c>
      <c r="AZ249" t="n">
        <v>1</v>
      </c>
      <c r="BA249" t="n">
        <v>1</v>
      </c>
      <c r="BB249" t="n">
        <v>1</v>
      </c>
      <c r="BC249" t="n">
        <v>1</v>
      </c>
      <c r="BD249" t="n">
        <v>1</v>
      </c>
      <c r="BE249" t="n">
        <v>1</v>
      </c>
      <c r="BF249" t="n">
        <v>1</v>
      </c>
      <c r="BG249" t="n">
        <v>1</v>
      </c>
      <c r="BH249" t="n">
        <v>1</v>
      </c>
      <c r="BI249" t="n">
        <v>1</v>
      </c>
      <c r="BJ249" t="n">
        <v>-1</v>
      </c>
      <c r="BK249" t="n">
        <v>-1</v>
      </c>
      <c r="BL249" t="n">
        <v>-1</v>
      </c>
    </row>
    <row r="250">
      <c r="A250" t="inlineStr">
        <is>
          <t>Motorbike, gasoline, &gt;35kW, EURO-5 - 2030 - CH</t>
        </is>
      </c>
      <c r="B250">
        <f>1/90</f>
        <v>1.1111111111111112E-2</v>
      </c>
      <c r="C250" s="2">
        <f>'vehicles specifications'!S116</f>
        <v>111</v>
      </c>
      <c r="D250">
        <f>1/90</f>
        <v>1.1111111111111112E-2</v>
      </c>
      <c r="F250">
        <f>1+'vehicles specifications'!AD116</f>
        <v>1</v>
      </c>
      <c r="G250">
        <f>1+'vehicles specifications'!AD116</f>
        <v>1</v>
      </c>
      <c r="H250" t="n">
        <v>1</v>
      </c>
      <c r="I250" t="n">
        <v>1</v>
      </c>
      <c r="K250">
        <f>1/('fuels and tailpipe emissions'!$C$3*3.6)</f>
        <v>2.3474178403755867E-2</v>
      </c>
      <c r="L250">
        <f>1/3.6*1.1</f>
        <v>0.30555555555555558</v>
      </c>
      <c r="M250">
        <f>1/'vehicles specifications'!J116</f>
        <v>2.4691358024691357E-5</v>
      </c>
      <c r="N250" t="n">
        <v>1</v>
      </c>
      <c r="O250">
        <f>1</f>
        <v>1</v>
      </c>
      <c r="P250" t="n">
        <v>-1</v>
      </c>
      <c r="Q250" t="n">
        <v>-1</v>
      </c>
      <c r="R250">
        <f>-1-'vehicles specifications'!AD116</f>
        <v>-1</v>
      </c>
      <c r="S250" t="n">
        <v>1</v>
      </c>
      <c r="T250" t="n">
        <v>1</v>
      </c>
      <c r="U250" t="n">
        <v>1</v>
      </c>
      <c r="V250" t="n">
        <v>1</v>
      </c>
      <c r="W250" t="n">
        <v>1</v>
      </c>
      <c r="X250" t="n">
        <v>1</v>
      </c>
      <c r="Y250" t="n">
        <v>1</v>
      </c>
      <c r="Z250" t="n">
        <v>1</v>
      </c>
      <c r="AA250" t="n">
        <v>1</v>
      </c>
      <c r="AB250" t="n">
        <v>1</v>
      </c>
      <c r="AC250" t="n">
        <v>1</v>
      </c>
      <c r="AD250" t="n">
        <v>1</v>
      </c>
      <c r="AE250" t="n">
        <v>1</v>
      </c>
      <c r="AF250" t="n">
        <v>1</v>
      </c>
      <c r="AG250" t="n">
        <v>1</v>
      </c>
      <c r="AH250" t="n">
        <v>1</v>
      </c>
      <c r="AI250" t="n">
        <v>1</v>
      </c>
      <c r="AJ250" t="n">
        <v>1</v>
      </c>
      <c r="AK250" t="n">
        <v>1</v>
      </c>
      <c r="AL250" t="n">
        <v>1</v>
      </c>
      <c r="AM250" t="n">
        <v>1</v>
      </c>
      <c r="AN250" t="n">
        <v>1</v>
      </c>
      <c r="AO250" t="n">
        <v>1</v>
      </c>
      <c r="AP250" t="n">
        <v>1</v>
      </c>
      <c r="AQ250" t="n">
        <v>1</v>
      </c>
      <c r="AR250" t="n">
        <v>1</v>
      </c>
      <c r="AS250" t="n">
        <v>1</v>
      </c>
      <c r="AT250" t="n">
        <v>1</v>
      </c>
      <c r="AU250" t="n">
        <v>1</v>
      </c>
      <c r="AV250" t="n">
        <v>1</v>
      </c>
      <c r="AW250" t="n">
        <v>1</v>
      </c>
      <c r="AX250" t="n">
        <v>1</v>
      </c>
      <c r="AY250" t="n">
        <v>1</v>
      </c>
      <c r="AZ250" t="n">
        <v>1</v>
      </c>
      <c r="BA250" t="n">
        <v>1</v>
      </c>
      <c r="BB250" t="n">
        <v>1</v>
      </c>
      <c r="BC250" t="n">
        <v>1</v>
      </c>
      <c r="BD250" t="n">
        <v>1</v>
      </c>
      <c r="BE250" t="n">
        <v>1</v>
      </c>
      <c r="BF250" t="n">
        <v>1</v>
      </c>
      <c r="BG250" t="n">
        <v>1</v>
      </c>
      <c r="BH250" t="n">
        <v>1</v>
      </c>
      <c r="BI250" t="n">
        <v>1</v>
      </c>
      <c r="BJ250" t="n">
        <v>-1</v>
      </c>
      <c r="BK250" t="n">
        <v>-1</v>
      </c>
      <c r="BL250" t="n">
        <v>-1</v>
      </c>
    </row>
    <row r="251">
      <c r="A251" t="inlineStr">
        <is>
          <t>Motorbike, gasoline, &gt;35kW, EURO-5 - 2040 - CH</t>
        </is>
      </c>
      <c r="B251">
        <f>1/90</f>
        <v>1.1111111111111112E-2</v>
      </c>
      <c r="C251" s="2">
        <f>'vehicles specifications'!S117</f>
        <v>111</v>
      </c>
      <c r="D251">
        <f>1/90</f>
        <v>1.1111111111111112E-2</v>
      </c>
      <c r="F251">
        <f>1+'vehicles specifications'!AD117</f>
        <v>1</v>
      </c>
      <c r="G251">
        <f>1+'vehicles specifications'!AD117</f>
        <v>1</v>
      </c>
      <c r="H251" t="n">
        <v>1</v>
      </c>
      <c r="I251" t="n">
        <v>1</v>
      </c>
      <c r="K251">
        <f>1/('fuels and tailpipe emissions'!$C$3*3.6)</f>
        <v>2.3474178403755867E-2</v>
      </c>
      <c r="L251">
        <f>1/3.6*1.1</f>
        <v>0.30555555555555558</v>
      </c>
      <c r="M251">
        <f>1/'vehicles specifications'!J117</f>
        <v>2.4691358024691357E-5</v>
      </c>
      <c r="N251" t="n">
        <v>1</v>
      </c>
      <c r="O251">
        <f>1</f>
        <v>1</v>
      </c>
      <c r="P251" t="n">
        <v>-1</v>
      </c>
      <c r="Q251" t="n">
        <v>-1</v>
      </c>
      <c r="R251">
        <f>-1-'vehicles specifications'!AD117</f>
        <v>-1</v>
      </c>
      <c r="S251" t="n">
        <v>1</v>
      </c>
      <c r="T251" t="n">
        <v>1</v>
      </c>
      <c r="U251" t="n">
        <v>1</v>
      </c>
      <c r="V251" t="n">
        <v>1</v>
      </c>
      <c r="W251" t="n">
        <v>1</v>
      </c>
      <c r="X251" t="n">
        <v>1</v>
      </c>
      <c r="Y251" t="n">
        <v>1</v>
      </c>
      <c r="Z251" t="n">
        <v>1</v>
      </c>
      <c r="AA251" t="n">
        <v>1</v>
      </c>
      <c r="AB251" t="n">
        <v>1</v>
      </c>
      <c r="AC251" t="n">
        <v>1</v>
      </c>
      <c r="AD251" t="n">
        <v>1</v>
      </c>
      <c r="AE251" t="n">
        <v>1</v>
      </c>
      <c r="AF251" t="n">
        <v>1</v>
      </c>
      <c r="AG251" t="n">
        <v>1</v>
      </c>
      <c r="AH251" t="n">
        <v>1</v>
      </c>
      <c r="AI251" t="n">
        <v>1</v>
      </c>
      <c r="AJ251" t="n">
        <v>1</v>
      </c>
      <c r="AK251" t="n">
        <v>1</v>
      </c>
      <c r="AL251" t="n">
        <v>1</v>
      </c>
      <c r="AM251" t="n">
        <v>1</v>
      </c>
      <c r="AN251" t="n">
        <v>1</v>
      </c>
      <c r="AO251" t="n">
        <v>1</v>
      </c>
      <c r="AP251" t="n">
        <v>1</v>
      </c>
      <c r="AQ251" t="n">
        <v>1</v>
      </c>
      <c r="AR251" t="n">
        <v>1</v>
      </c>
      <c r="AS251" t="n">
        <v>1</v>
      </c>
      <c r="AT251" t="n">
        <v>1</v>
      </c>
      <c r="AU251" t="n">
        <v>1</v>
      </c>
      <c r="AV251" t="n">
        <v>1</v>
      </c>
      <c r="AW251" t="n">
        <v>1</v>
      </c>
      <c r="AX251" t="n">
        <v>1</v>
      </c>
      <c r="AY251" t="n">
        <v>1</v>
      </c>
      <c r="AZ251" t="n">
        <v>1</v>
      </c>
      <c r="BA251" t="n">
        <v>1</v>
      </c>
      <c r="BB251" t="n">
        <v>1</v>
      </c>
      <c r="BC251" t="n">
        <v>1</v>
      </c>
      <c r="BD251" t="n">
        <v>1</v>
      </c>
      <c r="BE251" t="n">
        <v>1</v>
      </c>
      <c r="BF251" t="n">
        <v>1</v>
      </c>
      <c r="BG251" t="n">
        <v>1</v>
      </c>
      <c r="BH251" t="n">
        <v>1</v>
      </c>
      <c r="BI251" t="n">
        <v>1</v>
      </c>
      <c r="BJ251" t="n">
        <v>-1</v>
      </c>
      <c r="BK251" t="n">
        <v>-1</v>
      </c>
      <c r="BL251" t="n">
        <v>-1</v>
      </c>
    </row>
    <row r="252">
      <c r="A252" t="inlineStr">
        <is>
          <t>Motorbike, gasoline, &gt;35kW, EURO-5 - 2050 - CH</t>
        </is>
      </c>
      <c r="B252">
        <f>1/90</f>
        <v>1.1111111111111112E-2</v>
      </c>
      <c r="C252" s="2">
        <f>'vehicles specifications'!S118</f>
        <v>111</v>
      </c>
      <c r="D252">
        <f>1/90</f>
        <v>1.1111111111111112E-2</v>
      </c>
      <c r="F252">
        <f>1+'vehicles specifications'!AD118</f>
        <v>1</v>
      </c>
      <c r="G252">
        <f>1+'vehicles specifications'!AD118</f>
        <v>1</v>
      </c>
      <c r="H252" t="n">
        <v>1</v>
      </c>
      <c r="I252" t="n">
        <v>1</v>
      </c>
      <c r="K252">
        <f>1/('fuels and tailpipe emissions'!$C$3*3.6)</f>
        <v>2.3474178403755867E-2</v>
      </c>
      <c r="L252">
        <f>1/3.6*1.1</f>
        <v>0.30555555555555558</v>
      </c>
      <c r="M252">
        <f>1/'vehicles specifications'!J118</f>
        <v>2.4691358024691357E-5</v>
      </c>
      <c r="N252" t="n">
        <v>1</v>
      </c>
      <c r="O252">
        <f>1</f>
        <v>1</v>
      </c>
      <c r="P252" t="n">
        <v>-1</v>
      </c>
      <c r="Q252" t="n">
        <v>-1</v>
      </c>
      <c r="R252">
        <f>-1-'vehicles specifications'!AD118</f>
        <v>-1</v>
      </c>
      <c r="S252" t="n">
        <v>1</v>
      </c>
      <c r="T252" t="n">
        <v>1</v>
      </c>
      <c r="U252" t="n">
        <v>1</v>
      </c>
      <c r="V252" t="n">
        <v>1</v>
      </c>
      <c r="W252" t="n">
        <v>1</v>
      </c>
      <c r="X252" t="n">
        <v>1</v>
      </c>
      <c r="Y252" t="n">
        <v>1</v>
      </c>
      <c r="Z252" t="n">
        <v>1</v>
      </c>
      <c r="AA252" t="n">
        <v>1</v>
      </c>
      <c r="AB252" t="n">
        <v>1</v>
      </c>
      <c r="AC252" t="n">
        <v>1</v>
      </c>
      <c r="AD252" t="n">
        <v>1</v>
      </c>
      <c r="AE252" t="n">
        <v>1</v>
      </c>
      <c r="AF252" t="n">
        <v>1</v>
      </c>
      <c r="AG252" t="n">
        <v>1</v>
      </c>
      <c r="AH252" t="n">
        <v>1</v>
      </c>
      <c r="AI252" t="n">
        <v>1</v>
      </c>
      <c r="AJ252" t="n">
        <v>1</v>
      </c>
      <c r="AK252" t="n">
        <v>1</v>
      </c>
      <c r="AL252" t="n">
        <v>1</v>
      </c>
      <c r="AM252" t="n">
        <v>1</v>
      </c>
      <c r="AN252" t="n">
        <v>1</v>
      </c>
      <c r="AO252" t="n">
        <v>1</v>
      </c>
      <c r="AP252" t="n">
        <v>1</v>
      </c>
      <c r="AQ252" t="n">
        <v>1</v>
      </c>
      <c r="AR252" t="n">
        <v>1</v>
      </c>
      <c r="AS252" t="n">
        <v>1</v>
      </c>
      <c r="AT252" t="n">
        <v>1</v>
      </c>
      <c r="AU252" t="n">
        <v>1</v>
      </c>
      <c r="AV252" t="n">
        <v>1</v>
      </c>
      <c r="AW252" t="n">
        <v>1</v>
      </c>
      <c r="AX252" t="n">
        <v>1</v>
      </c>
      <c r="AY252" t="n">
        <v>1</v>
      </c>
      <c r="AZ252" t="n">
        <v>1</v>
      </c>
      <c r="BA252" t="n">
        <v>1</v>
      </c>
      <c r="BB252" t="n">
        <v>1</v>
      </c>
      <c r="BC252" t="n">
        <v>1</v>
      </c>
      <c r="BD252" t="n">
        <v>1</v>
      </c>
      <c r="BE252" t="n">
        <v>1</v>
      </c>
      <c r="BF252" t="n">
        <v>1</v>
      </c>
      <c r="BG252" t="n">
        <v>1</v>
      </c>
      <c r="BH252" t="n">
        <v>1</v>
      </c>
      <c r="BI252" t="n">
        <v>1</v>
      </c>
      <c r="BJ252" t="n">
        <v>-1</v>
      </c>
      <c r="BK252" t="n">
        <v>-1</v>
      </c>
      <c r="BL252" t="n">
        <v>-1</v>
      </c>
    </row>
    <row r="253">
      <c r="A253" t="inlineStr">
        <is>
          <t>Motorbike, battery electric, &lt;4kW - 2020 - NMC - CH</t>
        </is>
      </c>
      <c r="B253" t="n">
        <v>1</v>
      </c>
      <c r="C253" s="2">
        <f>'vehicles specifications'!S151</f>
        <v>53</v>
      </c>
      <c r="D253" t="n">
        <v>1</v>
      </c>
      <c r="E253" t="n">
        <v>1</v>
      </c>
      <c r="F253">
        <f>1+'vehicles specifications'!AD151</f>
        <v>2</v>
      </c>
      <c r="G253">
        <f>1+'vehicles specifications'!AD151</f>
        <v>2</v>
      </c>
      <c r="J253" t="n">
        <v>1</v>
      </c>
      <c r="K253">
        <f>1/('fuels and tailpipe emissions'!$C$3*3.6)</f>
        <v>2.3474178403755867E-2</v>
      </c>
      <c r="L253">
        <f>1/3.6*1.1</f>
        <v>0.30555555555555558</v>
      </c>
      <c r="M253">
        <f>1/'vehicles specifications'!J151</f>
        <v>4.0000000000000003E-5</v>
      </c>
      <c r="N253" t="n">
        <v>1</v>
      </c>
      <c r="O253">
        <f>1</f>
        <v>1</v>
      </c>
      <c r="P253" t="n">
        <v>1</v>
      </c>
      <c r="Q253" t="n">
        <v>1</v>
      </c>
      <c r="R253">
        <f>-1-'vehicles specifications'!AD151</f>
        <v>-2</v>
      </c>
      <c r="S253" t="n">
        <v>1</v>
      </c>
      <c r="T253" t="n">
        <v>1</v>
      </c>
      <c r="U253" t="n">
        <v>1</v>
      </c>
      <c r="V253" t="n">
        <v>1</v>
      </c>
      <c r="W253" t="n">
        <v>1</v>
      </c>
      <c r="X253" t="n">
        <v>1</v>
      </c>
      <c r="Y253" t="n">
        <v>1</v>
      </c>
      <c r="Z253" t="n">
        <v>1</v>
      </c>
      <c r="AA253" t="n">
        <v>1</v>
      </c>
      <c r="AB253" t="n">
        <v>1</v>
      </c>
      <c r="AC253" t="n">
        <v>1</v>
      </c>
      <c r="AD253" t="n">
        <v>1</v>
      </c>
      <c r="AE253" t="n">
        <v>1</v>
      </c>
      <c r="AF253" t="n">
        <v>1</v>
      </c>
      <c r="AG253" t="n">
        <v>1</v>
      </c>
      <c r="AH253" t="n">
        <v>1</v>
      </c>
      <c r="AI253" t="n">
        <v>1</v>
      </c>
      <c r="AJ253" t="n">
        <v>1</v>
      </c>
      <c r="AK253" t="n">
        <v>1</v>
      </c>
      <c r="AL253" t="n">
        <v>1</v>
      </c>
      <c r="AM253" t="n">
        <v>1</v>
      </c>
      <c r="AN253" t="n">
        <v>1</v>
      </c>
      <c r="AO253" t="n">
        <v>1</v>
      </c>
      <c r="AP253" t="n">
        <v>1</v>
      </c>
      <c r="AQ253" t="n">
        <v>1</v>
      </c>
      <c r="AR253" t="n">
        <v>1</v>
      </c>
      <c r="AS253" t="n">
        <v>1</v>
      </c>
      <c r="AT253" t="n">
        <v>1</v>
      </c>
      <c r="AU253" t="n">
        <v>1</v>
      </c>
      <c r="AV253" t="n">
        <v>1</v>
      </c>
      <c r="AW253" t="n">
        <v>1</v>
      </c>
      <c r="AX253" t="n">
        <v>1</v>
      </c>
      <c r="AY253" t="n">
        <v>1</v>
      </c>
      <c r="AZ253" t="n">
        <v>1</v>
      </c>
      <c r="BA253" t="n">
        <v>1</v>
      </c>
      <c r="BB253" t="n">
        <v>1</v>
      </c>
      <c r="BC253" t="n">
        <v>1</v>
      </c>
      <c r="BD253" t="n">
        <v>1</v>
      </c>
      <c r="BE253" t="n">
        <v>1</v>
      </c>
      <c r="BF253" t="n">
        <v>1</v>
      </c>
      <c r="BG253" t="n">
        <v>1</v>
      </c>
      <c r="BH253" t="n">
        <v>1</v>
      </c>
      <c r="BI253" t="n">
        <v>1</v>
      </c>
      <c r="BJ253" t="n">
        <v>-1</v>
      </c>
      <c r="BK253" t="n">
        <v>-1</v>
      </c>
      <c r="BL253" t="n">
        <v>-1</v>
      </c>
    </row>
    <row r="254">
      <c r="A254" t="inlineStr">
        <is>
          <t>Motorbike, battery electric, &lt;4kW - 2030 - NMC - CH</t>
        </is>
      </c>
      <c r="B254" t="n">
        <v>1</v>
      </c>
      <c r="C254" s="2">
        <f>'vehicles specifications'!S137</f>
        <v>53</v>
      </c>
      <c r="D254" t="n">
        <v>1</v>
      </c>
      <c r="E254" t="n">
        <v>1</v>
      </c>
      <c r="F254">
        <f>1+'vehicles specifications'!AD137</f>
        <v>1.25</v>
      </c>
      <c r="G254">
        <f>1+'vehicles specifications'!AD137</f>
        <v>1.25</v>
      </c>
      <c r="J254" t="n">
        <v>1</v>
      </c>
      <c r="K254">
        <f>1/('fuels and tailpipe emissions'!$C$3*3.6)</f>
        <v>2.3474178403755867E-2</v>
      </c>
      <c r="L254">
        <f>1/3.6*1.1</f>
        <v>0.30555555555555558</v>
      </c>
      <c r="M254">
        <f>1/'vehicles specifications'!J137</f>
        <v>4.0000000000000003E-5</v>
      </c>
      <c r="N254" t="n">
        <v>1</v>
      </c>
      <c r="O254">
        <f>1</f>
        <v>1</v>
      </c>
      <c r="P254" t="n">
        <v>1</v>
      </c>
      <c r="Q254" t="n">
        <v>1</v>
      </c>
      <c r="R254">
        <f>-1-'vehicles specifications'!AD137</f>
        <v>-1.25</v>
      </c>
      <c r="S254" t="n">
        <v>1</v>
      </c>
      <c r="T254" t="n">
        <v>1</v>
      </c>
      <c r="U254" t="n">
        <v>1</v>
      </c>
      <c r="V254" t="n">
        <v>1</v>
      </c>
      <c r="W254" t="n">
        <v>1</v>
      </c>
      <c r="X254" t="n">
        <v>1</v>
      </c>
      <c r="Y254" t="n">
        <v>1</v>
      </c>
      <c r="Z254" t="n">
        <v>1</v>
      </c>
      <c r="AA254" t="n">
        <v>1</v>
      </c>
      <c r="AB254" t="n">
        <v>1</v>
      </c>
      <c r="AC254" t="n">
        <v>1</v>
      </c>
      <c r="AD254" t="n">
        <v>1</v>
      </c>
      <c r="AE254" t="n">
        <v>1</v>
      </c>
      <c r="AF254" t="n">
        <v>1</v>
      </c>
      <c r="AG254" t="n">
        <v>1</v>
      </c>
      <c r="AH254" t="n">
        <v>1</v>
      </c>
      <c r="AI254" t="n">
        <v>1</v>
      </c>
      <c r="AJ254" t="n">
        <v>1</v>
      </c>
      <c r="AK254" t="n">
        <v>1</v>
      </c>
      <c r="AL254" t="n">
        <v>1</v>
      </c>
      <c r="AM254" t="n">
        <v>1</v>
      </c>
      <c r="AN254" t="n">
        <v>1</v>
      </c>
      <c r="AO254" t="n">
        <v>1</v>
      </c>
      <c r="AP254" t="n">
        <v>1</v>
      </c>
      <c r="AQ254" t="n">
        <v>1</v>
      </c>
      <c r="AR254" t="n">
        <v>1</v>
      </c>
      <c r="AS254" t="n">
        <v>1</v>
      </c>
      <c r="AT254" t="n">
        <v>1</v>
      </c>
      <c r="AU254" t="n">
        <v>1</v>
      </c>
      <c r="AV254" t="n">
        <v>1</v>
      </c>
      <c r="AW254" t="n">
        <v>1</v>
      </c>
      <c r="AX254" t="n">
        <v>1</v>
      </c>
      <c r="AY254" t="n">
        <v>1</v>
      </c>
      <c r="AZ254" t="n">
        <v>1</v>
      </c>
      <c r="BA254" t="n">
        <v>1</v>
      </c>
      <c r="BB254" t="n">
        <v>1</v>
      </c>
      <c r="BC254" t="n">
        <v>1</v>
      </c>
      <c r="BD254" t="n">
        <v>1</v>
      </c>
      <c r="BE254" t="n">
        <v>1</v>
      </c>
      <c r="BF254" t="n">
        <v>1</v>
      </c>
      <c r="BG254" t="n">
        <v>1</v>
      </c>
      <c r="BH254" t="n">
        <v>1</v>
      </c>
      <c r="BI254" t="n">
        <v>1</v>
      </c>
      <c r="BJ254" t="n">
        <v>-1</v>
      </c>
      <c r="BK254" t="n">
        <v>-1</v>
      </c>
      <c r="BL254" t="n">
        <v>-1</v>
      </c>
    </row>
    <row r="255">
      <c r="A255" t="inlineStr">
        <is>
          <t>Motorbike, battery electric, &lt;4kW - 2040 - NMC - CH</t>
        </is>
      </c>
      <c r="B255" t="n">
        <v>1</v>
      </c>
      <c r="C255" s="2">
        <f>'vehicles specifications'!S138</f>
        <v>53</v>
      </c>
      <c r="D255" t="n">
        <v>1</v>
      </c>
      <c r="E255" t="n">
        <v>1</v>
      </c>
      <c r="F255">
        <f>1+'vehicles specifications'!AD138</f>
        <v>1</v>
      </c>
      <c r="G255">
        <f>1+'vehicles specifications'!AD138</f>
        <v>1</v>
      </c>
      <c r="J255" t="n">
        <v>1</v>
      </c>
      <c r="K255">
        <f>1/('fuels and tailpipe emissions'!$C$3*3.6)</f>
        <v>2.3474178403755867E-2</v>
      </c>
      <c r="L255">
        <f>1/3.6*1.1</f>
        <v>0.30555555555555558</v>
      </c>
      <c r="M255">
        <f>1/'vehicles specifications'!J138</f>
        <v>4.0000000000000003E-5</v>
      </c>
      <c r="N255" t="n">
        <v>1</v>
      </c>
      <c r="O255">
        <f>1</f>
        <v>1</v>
      </c>
      <c r="P255" t="n">
        <v>1</v>
      </c>
      <c r="Q255" t="n">
        <v>1</v>
      </c>
      <c r="R255">
        <f>-1-'vehicles specifications'!AD138</f>
        <v>-1</v>
      </c>
      <c r="S255" t="n">
        <v>1</v>
      </c>
      <c r="T255" t="n">
        <v>1</v>
      </c>
      <c r="U255" t="n">
        <v>1</v>
      </c>
      <c r="V255" t="n">
        <v>1</v>
      </c>
      <c r="W255" t="n">
        <v>1</v>
      </c>
      <c r="X255" t="n">
        <v>1</v>
      </c>
      <c r="Y255" t="n">
        <v>1</v>
      </c>
      <c r="Z255" t="n">
        <v>1</v>
      </c>
      <c r="AA255" t="n">
        <v>1</v>
      </c>
      <c r="AB255" t="n">
        <v>1</v>
      </c>
      <c r="AC255" t="n">
        <v>1</v>
      </c>
      <c r="AD255" t="n">
        <v>1</v>
      </c>
      <c r="AE255" t="n">
        <v>1</v>
      </c>
      <c r="AF255" t="n">
        <v>1</v>
      </c>
      <c r="AG255" t="n">
        <v>1</v>
      </c>
      <c r="AH255" t="n">
        <v>1</v>
      </c>
      <c r="AI255" t="n">
        <v>1</v>
      </c>
      <c r="AJ255" t="n">
        <v>1</v>
      </c>
      <c r="AK255" t="n">
        <v>1</v>
      </c>
      <c r="AL255" t="n">
        <v>1</v>
      </c>
      <c r="AM255" t="n">
        <v>1</v>
      </c>
      <c r="AN255" t="n">
        <v>1</v>
      </c>
      <c r="AO255" t="n">
        <v>1</v>
      </c>
      <c r="AP255" t="n">
        <v>1</v>
      </c>
      <c r="AQ255" t="n">
        <v>1</v>
      </c>
      <c r="AR255" t="n">
        <v>1</v>
      </c>
      <c r="AS255" t="n">
        <v>1</v>
      </c>
      <c r="AT255" t="n">
        <v>1</v>
      </c>
      <c r="AU255" t="n">
        <v>1</v>
      </c>
      <c r="AV255" t="n">
        <v>1</v>
      </c>
      <c r="AW255" t="n">
        <v>1</v>
      </c>
      <c r="AX255" t="n">
        <v>1</v>
      </c>
      <c r="AY255" t="n">
        <v>1</v>
      </c>
      <c r="AZ255" t="n">
        <v>1</v>
      </c>
      <c r="BA255" t="n">
        <v>1</v>
      </c>
      <c r="BB255" t="n">
        <v>1</v>
      </c>
      <c r="BC255" t="n">
        <v>1</v>
      </c>
      <c r="BD255" t="n">
        <v>1</v>
      </c>
      <c r="BE255" t="n">
        <v>1</v>
      </c>
      <c r="BF255" t="n">
        <v>1</v>
      </c>
      <c r="BG255" t="n">
        <v>1</v>
      </c>
      <c r="BH255" t="n">
        <v>1</v>
      </c>
      <c r="BI255" t="n">
        <v>1</v>
      </c>
      <c r="BJ255" t="n">
        <v>-1</v>
      </c>
      <c r="BK255" t="n">
        <v>-1</v>
      </c>
      <c r="BL255" t="n">
        <v>-1</v>
      </c>
    </row>
    <row r="256">
      <c r="A256" t="inlineStr">
        <is>
          <t>Motorbike, battery electric, &lt;4kW - 2050 - NMC - CH</t>
        </is>
      </c>
      <c r="B256" t="n">
        <v>1</v>
      </c>
      <c r="C256" s="2">
        <f>'vehicles specifications'!S139</f>
        <v>65.433826960328489</v>
      </c>
      <c r="D256" t="n">
        <v>1</v>
      </c>
      <c r="E256" t="n">
        <v>1</v>
      </c>
      <c r="F256">
        <f>1+'vehicles specifications'!AD139</f>
        <v>2</v>
      </c>
      <c r="G256">
        <f>1+'vehicles specifications'!AD139</f>
        <v>2</v>
      </c>
      <c r="J256" t="n">
        <v>1</v>
      </c>
      <c r="K256">
        <f>1/('fuels and tailpipe emissions'!$C$3*3.6)</f>
        <v>2.3474178403755867E-2</v>
      </c>
      <c r="L256">
        <f>1/3.6*1.1</f>
        <v>0.30555555555555558</v>
      </c>
      <c r="M256">
        <f>1/'vehicles specifications'!J139</f>
        <v>4.0000000000000003E-5</v>
      </c>
      <c r="N256" t="n">
        <v>1</v>
      </c>
      <c r="O256">
        <f>1</f>
        <v>1</v>
      </c>
      <c r="P256" t="n">
        <v>1</v>
      </c>
      <c r="Q256" t="n">
        <v>1</v>
      </c>
      <c r="R256">
        <f>-1-'vehicles specifications'!AD139</f>
        <v>-2</v>
      </c>
      <c r="S256" t="n">
        <v>1</v>
      </c>
      <c r="T256" t="n">
        <v>1</v>
      </c>
      <c r="U256" t="n">
        <v>1</v>
      </c>
      <c r="V256" t="n">
        <v>1</v>
      </c>
      <c r="W256" t="n">
        <v>1</v>
      </c>
      <c r="X256" t="n">
        <v>1</v>
      </c>
      <c r="Y256" t="n">
        <v>1</v>
      </c>
      <c r="Z256" t="n">
        <v>1</v>
      </c>
      <c r="AA256" t="n">
        <v>1</v>
      </c>
      <c r="AB256" t="n">
        <v>1</v>
      </c>
      <c r="AC256" t="n">
        <v>1</v>
      </c>
      <c r="AD256" t="n">
        <v>1</v>
      </c>
      <c r="AE256" t="n">
        <v>1</v>
      </c>
      <c r="AF256" t="n">
        <v>1</v>
      </c>
      <c r="AG256" t="n">
        <v>1</v>
      </c>
      <c r="AH256" t="n">
        <v>1</v>
      </c>
      <c r="AI256" t="n">
        <v>1</v>
      </c>
      <c r="AJ256" t="n">
        <v>1</v>
      </c>
      <c r="AK256" t="n">
        <v>1</v>
      </c>
      <c r="AL256" t="n">
        <v>1</v>
      </c>
      <c r="AM256" t="n">
        <v>1</v>
      </c>
      <c r="AN256" t="n">
        <v>1</v>
      </c>
      <c r="AO256" t="n">
        <v>1</v>
      </c>
      <c r="AP256" t="n">
        <v>1</v>
      </c>
      <c r="AQ256" t="n">
        <v>1</v>
      </c>
      <c r="AR256" t="n">
        <v>1</v>
      </c>
      <c r="AS256" t="n">
        <v>1</v>
      </c>
      <c r="AT256" t="n">
        <v>1</v>
      </c>
      <c r="AU256" t="n">
        <v>1</v>
      </c>
      <c r="AV256" t="n">
        <v>1</v>
      </c>
      <c r="AW256" t="n">
        <v>1</v>
      </c>
      <c r="AX256" t="n">
        <v>1</v>
      </c>
      <c r="AY256" t="n">
        <v>1</v>
      </c>
      <c r="AZ256" t="n">
        <v>1</v>
      </c>
      <c r="BA256" t="n">
        <v>1</v>
      </c>
      <c r="BB256" t="n">
        <v>1</v>
      </c>
      <c r="BC256" t="n">
        <v>1</v>
      </c>
      <c r="BD256" t="n">
        <v>1</v>
      </c>
      <c r="BE256" t="n">
        <v>1</v>
      </c>
      <c r="BF256" t="n">
        <v>1</v>
      </c>
      <c r="BG256" t="n">
        <v>1</v>
      </c>
      <c r="BH256" t="n">
        <v>1</v>
      </c>
      <c r="BI256" t="n">
        <v>1</v>
      </c>
      <c r="BJ256" t="n">
        <v>-1</v>
      </c>
      <c r="BK256" t="n">
        <v>-1</v>
      </c>
      <c r="BL256" t="n">
        <v>-1</v>
      </c>
    </row>
    <row r="257">
      <c r="A257" t="inlineStr">
        <is>
          <t>Motorbike, battery electric, 4-11kW - 2020 - NMC - CH</t>
        </is>
      </c>
      <c r="B257" t="n">
        <v>1</v>
      </c>
      <c r="C257" s="2">
        <f>'vehicles specifications'!S140</f>
        <v>65.433826960328489</v>
      </c>
      <c r="D257" t="n">
        <v>1</v>
      </c>
      <c r="E257" t="n">
        <v>1</v>
      </c>
      <c r="F257">
        <f>1+'vehicles specifications'!AD140</f>
        <v>1.5</v>
      </c>
      <c r="G257">
        <f>1+'vehicles specifications'!AD140</f>
        <v>1.5</v>
      </c>
      <c r="J257" t="n">
        <v>1</v>
      </c>
      <c r="K257">
        <f>1/('fuels and tailpipe emissions'!$C$3*3.6)</f>
        <v>2.3474178403755867E-2</v>
      </c>
      <c r="L257">
        <f>1/3.6*1.1</f>
        <v>0.30555555555555558</v>
      </c>
      <c r="M257">
        <f>1/'vehicles specifications'!J140</f>
        <v>4.0000000000000003E-5</v>
      </c>
      <c r="N257" t="n">
        <v>1</v>
      </c>
      <c r="O257">
        <f>1</f>
        <v>1</v>
      </c>
      <c r="P257" t="n">
        <v>1</v>
      </c>
      <c r="Q257" t="n">
        <v>1</v>
      </c>
      <c r="R257">
        <f>-1-'vehicles specifications'!AD140</f>
        <v>-1.5</v>
      </c>
      <c r="S257" t="n">
        <v>1</v>
      </c>
      <c r="T257" t="n">
        <v>1</v>
      </c>
      <c r="U257" t="n">
        <v>1</v>
      </c>
      <c r="V257" t="n">
        <v>1</v>
      </c>
      <c r="W257" t="n">
        <v>1</v>
      </c>
      <c r="X257" t="n">
        <v>1</v>
      </c>
      <c r="Y257" t="n">
        <v>1</v>
      </c>
      <c r="Z257" t="n">
        <v>1</v>
      </c>
      <c r="AA257" t="n">
        <v>1</v>
      </c>
      <c r="AB257" t="n">
        <v>1</v>
      </c>
      <c r="AC257" t="n">
        <v>1</v>
      </c>
      <c r="AD257" t="n">
        <v>1</v>
      </c>
      <c r="AE257" t="n">
        <v>1</v>
      </c>
      <c r="AF257" t="n">
        <v>1</v>
      </c>
      <c r="AG257" t="n">
        <v>1</v>
      </c>
      <c r="AH257" t="n">
        <v>1</v>
      </c>
      <c r="AI257" t="n">
        <v>1</v>
      </c>
      <c r="AJ257" t="n">
        <v>1</v>
      </c>
      <c r="AK257" t="n">
        <v>1</v>
      </c>
      <c r="AL257" t="n">
        <v>1</v>
      </c>
      <c r="AM257" t="n">
        <v>1</v>
      </c>
      <c r="AN257" t="n">
        <v>1</v>
      </c>
      <c r="AO257" t="n">
        <v>1</v>
      </c>
      <c r="AP257" t="n">
        <v>1</v>
      </c>
      <c r="AQ257" t="n">
        <v>1</v>
      </c>
      <c r="AR257" t="n">
        <v>1</v>
      </c>
      <c r="AS257" t="n">
        <v>1</v>
      </c>
      <c r="AT257" t="n">
        <v>1</v>
      </c>
      <c r="AU257" t="n">
        <v>1</v>
      </c>
      <c r="AV257" t="n">
        <v>1</v>
      </c>
      <c r="AW257" t="n">
        <v>1</v>
      </c>
      <c r="AX257" t="n">
        <v>1</v>
      </c>
      <c r="AY257" t="n">
        <v>1</v>
      </c>
      <c r="AZ257" t="n">
        <v>1</v>
      </c>
      <c r="BA257" t="n">
        <v>1</v>
      </c>
      <c r="BB257" t="n">
        <v>1</v>
      </c>
      <c r="BC257" t="n">
        <v>1</v>
      </c>
      <c r="BD257" t="n">
        <v>1</v>
      </c>
      <c r="BE257" t="n">
        <v>1</v>
      </c>
      <c r="BF257" t="n">
        <v>1</v>
      </c>
      <c r="BG257" t="n">
        <v>1</v>
      </c>
      <c r="BH257" t="n">
        <v>1</v>
      </c>
      <c r="BI257" t="n">
        <v>1</v>
      </c>
      <c r="BJ257" t="n">
        <v>-1</v>
      </c>
      <c r="BK257" t="n">
        <v>-1</v>
      </c>
      <c r="BL257" t="n">
        <v>-1</v>
      </c>
    </row>
    <row r="258">
      <c r="A258" t="inlineStr">
        <is>
          <t>Motorbike, battery electric, 4-11kW - 2030 - NMC - CH</t>
        </is>
      </c>
      <c r="B258" t="n">
        <v>1</v>
      </c>
      <c r="C258" s="2">
        <f>'vehicles specifications'!S141</f>
        <v>65.433826960328489</v>
      </c>
      <c r="D258" t="n">
        <v>1</v>
      </c>
      <c r="E258" t="n">
        <v>1</v>
      </c>
      <c r="F258">
        <f>1+'vehicles specifications'!AD141</f>
        <v>1.25</v>
      </c>
      <c r="G258">
        <f>1+'vehicles specifications'!AD141</f>
        <v>1.25</v>
      </c>
      <c r="J258" t="n">
        <v>1</v>
      </c>
      <c r="K258">
        <f>1/('fuels and tailpipe emissions'!$C$3*3.6)</f>
        <v>2.3474178403755867E-2</v>
      </c>
      <c r="L258">
        <f>1/3.6*1.1</f>
        <v>0.30555555555555558</v>
      </c>
      <c r="M258">
        <f>1/'vehicles specifications'!J141</f>
        <v>4.0000000000000003E-5</v>
      </c>
      <c r="N258" t="n">
        <v>1</v>
      </c>
      <c r="O258">
        <f>1</f>
        <v>1</v>
      </c>
      <c r="P258" t="n">
        <v>1</v>
      </c>
      <c r="Q258" t="n">
        <v>1</v>
      </c>
      <c r="R258">
        <f>-1-'vehicles specifications'!AD141</f>
        <v>-1.25</v>
      </c>
      <c r="S258" t="n">
        <v>1</v>
      </c>
      <c r="T258" t="n">
        <v>1</v>
      </c>
      <c r="U258" t="n">
        <v>1</v>
      </c>
      <c r="V258" t="n">
        <v>1</v>
      </c>
      <c r="W258" t="n">
        <v>1</v>
      </c>
      <c r="X258" t="n">
        <v>1</v>
      </c>
      <c r="Y258" t="n">
        <v>1</v>
      </c>
      <c r="Z258" t="n">
        <v>1</v>
      </c>
      <c r="AA258" t="n">
        <v>1</v>
      </c>
      <c r="AB258" t="n">
        <v>1</v>
      </c>
      <c r="AC258" t="n">
        <v>1</v>
      </c>
      <c r="AD258" t="n">
        <v>1</v>
      </c>
      <c r="AE258" t="n">
        <v>1</v>
      </c>
      <c r="AF258" t="n">
        <v>1</v>
      </c>
      <c r="AG258" t="n">
        <v>1</v>
      </c>
      <c r="AH258" t="n">
        <v>1</v>
      </c>
      <c r="AI258" t="n">
        <v>1</v>
      </c>
      <c r="AJ258" t="n">
        <v>1</v>
      </c>
      <c r="AK258" t="n">
        <v>1</v>
      </c>
      <c r="AL258" t="n">
        <v>1</v>
      </c>
      <c r="AM258" t="n">
        <v>1</v>
      </c>
      <c r="AN258" t="n">
        <v>1</v>
      </c>
      <c r="AO258" t="n">
        <v>1</v>
      </c>
      <c r="AP258" t="n">
        <v>1</v>
      </c>
      <c r="AQ258" t="n">
        <v>1</v>
      </c>
      <c r="AR258" t="n">
        <v>1</v>
      </c>
      <c r="AS258" t="n">
        <v>1</v>
      </c>
      <c r="AT258" t="n">
        <v>1</v>
      </c>
      <c r="AU258" t="n">
        <v>1</v>
      </c>
      <c r="AV258" t="n">
        <v>1</v>
      </c>
      <c r="AW258" t="n">
        <v>1</v>
      </c>
      <c r="AX258" t="n">
        <v>1</v>
      </c>
      <c r="AY258" t="n">
        <v>1</v>
      </c>
      <c r="AZ258" t="n">
        <v>1</v>
      </c>
      <c r="BA258" t="n">
        <v>1</v>
      </c>
      <c r="BB258" t="n">
        <v>1</v>
      </c>
      <c r="BC258" t="n">
        <v>1</v>
      </c>
      <c r="BD258" t="n">
        <v>1</v>
      </c>
      <c r="BE258" t="n">
        <v>1</v>
      </c>
      <c r="BF258" t="n">
        <v>1</v>
      </c>
      <c r="BG258" t="n">
        <v>1</v>
      </c>
      <c r="BH258" t="n">
        <v>1</v>
      </c>
      <c r="BI258" t="n">
        <v>1</v>
      </c>
      <c r="BJ258" t="n">
        <v>-1</v>
      </c>
      <c r="BK258" t="n">
        <v>-1</v>
      </c>
      <c r="BL258" t="n">
        <v>-1</v>
      </c>
    </row>
    <row r="259">
      <c r="A259" t="inlineStr">
        <is>
          <t>Motorbike, battery electric, 4-11kW - 2040 - NMC - CH</t>
        </is>
      </c>
      <c r="B259" t="n">
        <v>1</v>
      </c>
      <c r="C259" s="2">
        <f>'vehicles specifications'!S142</f>
        <v>65.433826960328489</v>
      </c>
      <c r="D259" t="n">
        <v>1</v>
      </c>
      <c r="E259" t="n">
        <v>1</v>
      </c>
      <c r="F259">
        <f>1+'vehicles specifications'!AD142</f>
        <v>1</v>
      </c>
      <c r="G259">
        <f>1+'vehicles specifications'!AD142</f>
        <v>1</v>
      </c>
      <c r="J259" t="n">
        <v>1</v>
      </c>
      <c r="K259">
        <f>1/('fuels and tailpipe emissions'!$C$3*3.6)</f>
        <v>2.3474178403755867E-2</v>
      </c>
      <c r="L259">
        <f>1/3.6*1.1</f>
        <v>0.30555555555555558</v>
      </c>
      <c r="M259">
        <f>1/'vehicles specifications'!J142</f>
        <v>4.0000000000000003E-5</v>
      </c>
      <c r="N259" t="n">
        <v>1</v>
      </c>
      <c r="O259">
        <f>1</f>
        <v>1</v>
      </c>
      <c r="P259" t="n">
        <v>1</v>
      </c>
      <c r="Q259" t="n">
        <v>1</v>
      </c>
      <c r="R259">
        <f>-1-'vehicles specifications'!AD142</f>
        <v>-1</v>
      </c>
      <c r="S259" t="n">
        <v>1</v>
      </c>
      <c r="T259" t="n">
        <v>1</v>
      </c>
      <c r="U259" t="n">
        <v>1</v>
      </c>
      <c r="V259" t="n">
        <v>1</v>
      </c>
      <c r="W259" t="n">
        <v>1</v>
      </c>
      <c r="X259" t="n">
        <v>1</v>
      </c>
      <c r="Y259" t="n">
        <v>1</v>
      </c>
      <c r="Z259" t="n">
        <v>1</v>
      </c>
      <c r="AA259" t="n">
        <v>1</v>
      </c>
      <c r="AB259" t="n">
        <v>1</v>
      </c>
      <c r="AC259" t="n">
        <v>1</v>
      </c>
      <c r="AD259" t="n">
        <v>1</v>
      </c>
      <c r="AE259" t="n">
        <v>1</v>
      </c>
      <c r="AF259" t="n">
        <v>1</v>
      </c>
      <c r="AG259" t="n">
        <v>1</v>
      </c>
      <c r="AH259" t="n">
        <v>1</v>
      </c>
      <c r="AI259" t="n">
        <v>1</v>
      </c>
      <c r="AJ259" t="n">
        <v>1</v>
      </c>
      <c r="AK259" t="n">
        <v>1</v>
      </c>
      <c r="AL259" t="n">
        <v>1</v>
      </c>
      <c r="AM259" t="n">
        <v>1</v>
      </c>
      <c r="AN259" t="n">
        <v>1</v>
      </c>
      <c r="AO259" t="n">
        <v>1</v>
      </c>
      <c r="AP259" t="n">
        <v>1</v>
      </c>
      <c r="AQ259" t="n">
        <v>1</v>
      </c>
      <c r="AR259" t="n">
        <v>1</v>
      </c>
      <c r="AS259" t="n">
        <v>1</v>
      </c>
      <c r="AT259" t="n">
        <v>1</v>
      </c>
      <c r="AU259" t="n">
        <v>1</v>
      </c>
      <c r="AV259" t="n">
        <v>1</v>
      </c>
      <c r="AW259" t="n">
        <v>1</v>
      </c>
      <c r="AX259" t="n">
        <v>1</v>
      </c>
      <c r="AY259" t="n">
        <v>1</v>
      </c>
      <c r="AZ259" t="n">
        <v>1</v>
      </c>
      <c r="BA259" t="n">
        <v>1</v>
      </c>
      <c r="BB259" t="n">
        <v>1</v>
      </c>
      <c r="BC259" t="n">
        <v>1</v>
      </c>
      <c r="BD259" t="n">
        <v>1</v>
      </c>
      <c r="BE259" t="n">
        <v>1</v>
      </c>
      <c r="BF259" t="n">
        <v>1</v>
      </c>
      <c r="BG259" t="n">
        <v>1</v>
      </c>
      <c r="BH259" t="n">
        <v>1</v>
      </c>
      <c r="BI259" t="n">
        <v>1</v>
      </c>
      <c r="BJ259" t="n">
        <v>-1</v>
      </c>
      <c r="BK259" t="n">
        <v>-1</v>
      </c>
      <c r="BL259" t="n">
        <v>-1</v>
      </c>
    </row>
    <row r="260">
      <c r="A260" t="inlineStr">
        <is>
          <t>Motorbike, battery electric, 4-11kW - 2050 - NMC - CH</t>
        </is>
      </c>
      <c r="B260" t="n">
        <v>1</v>
      </c>
      <c r="C260" s="2">
        <f>'vehicles specifications'!S143</f>
        <v>81</v>
      </c>
      <c r="D260" t="n">
        <v>1</v>
      </c>
      <c r="E260" t="n">
        <v>1</v>
      </c>
      <c r="F260">
        <f>1+'vehicles specifications'!AD143</f>
        <v>2</v>
      </c>
      <c r="G260">
        <f>1+'vehicles specifications'!AD143</f>
        <v>2</v>
      </c>
      <c r="J260" t="n">
        <v>1</v>
      </c>
      <c r="K260">
        <f>1/('fuels and tailpipe emissions'!$C$3*3.6)</f>
        <v>2.3474178403755867E-2</v>
      </c>
      <c r="L260">
        <f>1/3.6*1.1</f>
        <v>0.30555555555555558</v>
      </c>
      <c r="M260">
        <f>1/'vehicles specifications'!J143</f>
        <v>2.5974025974025975E-5</v>
      </c>
      <c r="N260" t="n">
        <v>1</v>
      </c>
      <c r="O260">
        <f>1</f>
        <v>1</v>
      </c>
      <c r="P260" t="n">
        <v>1</v>
      </c>
      <c r="Q260" t="n">
        <v>1</v>
      </c>
      <c r="R260">
        <f>-1-'vehicles specifications'!AD143</f>
        <v>-2</v>
      </c>
      <c r="S260" t="n">
        <v>1</v>
      </c>
      <c r="T260" t="n">
        <v>1</v>
      </c>
      <c r="U260" t="n">
        <v>1</v>
      </c>
      <c r="V260" t="n">
        <v>1</v>
      </c>
      <c r="W260" t="n">
        <v>1</v>
      </c>
      <c r="X260" t="n">
        <v>1</v>
      </c>
      <c r="Y260" t="n">
        <v>1</v>
      </c>
      <c r="Z260" t="n">
        <v>1</v>
      </c>
      <c r="AA260" t="n">
        <v>1</v>
      </c>
      <c r="AB260" t="n">
        <v>1</v>
      </c>
      <c r="AC260" t="n">
        <v>1</v>
      </c>
      <c r="AD260" t="n">
        <v>1</v>
      </c>
      <c r="AE260" t="n">
        <v>1</v>
      </c>
      <c r="AF260" t="n">
        <v>1</v>
      </c>
      <c r="AG260" t="n">
        <v>1</v>
      </c>
      <c r="AH260" t="n">
        <v>1</v>
      </c>
      <c r="AI260" t="n">
        <v>1</v>
      </c>
      <c r="AJ260" t="n">
        <v>1</v>
      </c>
      <c r="AK260" t="n">
        <v>1</v>
      </c>
      <c r="AL260" t="n">
        <v>1</v>
      </c>
      <c r="AM260" t="n">
        <v>1</v>
      </c>
      <c r="AN260" t="n">
        <v>1</v>
      </c>
      <c r="AO260" t="n">
        <v>1</v>
      </c>
      <c r="AP260" t="n">
        <v>1</v>
      </c>
      <c r="AQ260" t="n">
        <v>1</v>
      </c>
      <c r="AR260" t="n">
        <v>1</v>
      </c>
      <c r="AS260" t="n">
        <v>1</v>
      </c>
      <c r="AT260" t="n">
        <v>1</v>
      </c>
      <c r="AU260" t="n">
        <v>1</v>
      </c>
      <c r="AV260" t="n">
        <v>1</v>
      </c>
      <c r="AW260" t="n">
        <v>1</v>
      </c>
      <c r="AX260" t="n">
        <v>1</v>
      </c>
      <c r="AY260" t="n">
        <v>1</v>
      </c>
      <c r="AZ260" t="n">
        <v>1</v>
      </c>
      <c r="BA260" t="n">
        <v>1</v>
      </c>
      <c r="BB260" t="n">
        <v>1</v>
      </c>
      <c r="BC260" t="n">
        <v>1</v>
      </c>
      <c r="BD260" t="n">
        <v>1</v>
      </c>
      <c r="BE260" t="n">
        <v>1</v>
      </c>
      <c r="BF260" t="n">
        <v>1</v>
      </c>
      <c r="BG260" t="n">
        <v>1</v>
      </c>
      <c r="BH260" t="n">
        <v>1</v>
      </c>
      <c r="BI260" t="n">
        <v>1</v>
      </c>
      <c r="BJ260" t="n">
        <v>-1</v>
      </c>
      <c r="BK260" t="n">
        <v>-1</v>
      </c>
      <c r="BL260" t="n">
        <v>-1</v>
      </c>
    </row>
    <row r="261">
      <c r="A261" t="inlineStr">
        <is>
          <t>Motorbike, battery electric, 11-35kW - 2020 - NMC - CH</t>
        </is>
      </c>
      <c r="B261" t="n">
        <v>1</v>
      </c>
      <c r="C261" s="2">
        <f>'vehicles specifications'!S144</f>
        <v>81</v>
      </c>
      <c r="D261" t="n">
        <v>1</v>
      </c>
      <c r="E261" t="n">
        <v>1</v>
      </c>
      <c r="F261">
        <f>1+'vehicles specifications'!AD144</f>
        <v>1.5</v>
      </c>
      <c r="G261">
        <f>1+'vehicles specifications'!AD144</f>
        <v>1.5</v>
      </c>
      <c r="J261" t="n">
        <v>1</v>
      </c>
      <c r="K261">
        <f>1/('fuels and tailpipe emissions'!$C$3*3.6)</f>
        <v>2.3474178403755867E-2</v>
      </c>
      <c r="L261">
        <f>1/3.6*1.1</f>
        <v>0.30555555555555558</v>
      </c>
      <c r="M261">
        <f>1/'vehicles specifications'!J144</f>
        <v>2.5974025974025975E-5</v>
      </c>
      <c r="N261" t="n">
        <v>1</v>
      </c>
      <c r="O261">
        <f>1</f>
        <v>1</v>
      </c>
      <c r="P261" t="n">
        <v>1</v>
      </c>
      <c r="Q261" t="n">
        <v>1</v>
      </c>
      <c r="R261">
        <f>-1-'vehicles specifications'!AD144</f>
        <v>-1.5</v>
      </c>
      <c r="S261" t="n">
        <v>1</v>
      </c>
      <c r="T261" t="n">
        <v>1</v>
      </c>
      <c r="U261" t="n">
        <v>1</v>
      </c>
      <c r="V261" t="n">
        <v>1</v>
      </c>
      <c r="W261" t="n">
        <v>1</v>
      </c>
      <c r="X261" t="n">
        <v>1</v>
      </c>
      <c r="Y261" t="n">
        <v>1</v>
      </c>
      <c r="Z261" t="n">
        <v>1</v>
      </c>
      <c r="AA261" t="n">
        <v>1</v>
      </c>
      <c r="AB261" t="n">
        <v>1</v>
      </c>
      <c r="AC261" t="n">
        <v>1</v>
      </c>
      <c r="AD261" t="n">
        <v>1</v>
      </c>
      <c r="AE261" t="n">
        <v>1</v>
      </c>
      <c r="AF261" t="n">
        <v>1</v>
      </c>
      <c r="AG261" t="n">
        <v>1</v>
      </c>
      <c r="AH261" t="n">
        <v>1</v>
      </c>
      <c r="AI261" t="n">
        <v>1</v>
      </c>
      <c r="AJ261" t="n">
        <v>1</v>
      </c>
      <c r="AK261" t="n">
        <v>1</v>
      </c>
      <c r="AL261" t="n">
        <v>1</v>
      </c>
      <c r="AM261" t="n">
        <v>1</v>
      </c>
      <c r="AN261" t="n">
        <v>1</v>
      </c>
      <c r="AO261" t="n">
        <v>1</v>
      </c>
      <c r="AP261" t="n">
        <v>1</v>
      </c>
      <c r="AQ261" t="n">
        <v>1</v>
      </c>
      <c r="AR261" t="n">
        <v>1</v>
      </c>
      <c r="AS261" t="n">
        <v>1</v>
      </c>
      <c r="AT261" t="n">
        <v>1</v>
      </c>
      <c r="AU261" t="n">
        <v>1</v>
      </c>
      <c r="AV261" t="n">
        <v>1</v>
      </c>
      <c r="AW261" t="n">
        <v>1</v>
      </c>
      <c r="AX261" t="n">
        <v>1</v>
      </c>
      <c r="AY261" t="n">
        <v>1</v>
      </c>
      <c r="AZ261" t="n">
        <v>1</v>
      </c>
      <c r="BA261" t="n">
        <v>1</v>
      </c>
      <c r="BB261" t="n">
        <v>1</v>
      </c>
      <c r="BC261" t="n">
        <v>1</v>
      </c>
      <c r="BD261" t="n">
        <v>1</v>
      </c>
      <c r="BE261" t="n">
        <v>1</v>
      </c>
      <c r="BF261" t="n">
        <v>1</v>
      </c>
      <c r="BG261" t="n">
        <v>1</v>
      </c>
      <c r="BH261" t="n">
        <v>1</v>
      </c>
      <c r="BI261" t="n">
        <v>1</v>
      </c>
      <c r="BJ261" t="n">
        <v>-1</v>
      </c>
      <c r="BK261" t="n">
        <v>-1</v>
      </c>
      <c r="BL261" t="n">
        <v>-1</v>
      </c>
    </row>
    <row r="262">
      <c r="A262" t="inlineStr">
        <is>
          <t>Motorbike, battery electric, 11-35kW - 2030 - NMC - CH</t>
        </is>
      </c>
      <c r="B262" t="n">
        <v>1</v>
      </c>
      <c r="C262" s="2">
        <f>'vehicles specifications'!S145</f>
        <v>81</v>
      </c>
      <c r="D262" t="n">
        <v>1</v>
      </c>
      <c r="E262" t="n">
        <v>1</v>
      </c>
      <c r="F262">
        <f>1+'vehicles specifications'!AD145</f>
        <v>1.25</v>
      </c>
      <c r="G262">
        <f>1+'vehicles specifications'!AD145</f>
        <v>1.25</v>
      </c>
      <c r="J262" t="n">
        <v>1</v>
      </c>
      <c r="K262">
        <f>1/('fuels and tailpipe emissions'!$C$3*3.6)</f>
        <v>2.3474178403755867E-2</v>
      </c>
      <c r="L262">
        <f>1/3.6*1.1</f>
        <v>0.30555555555555558</v>
      </c>
      <c r="M262">
        <f>1/'vehicles specifications'!J145</f>
        <v>2.5974025974025975E-5</v>
      </c>
      <c r="N262" t="n">
        <v>1</v>
      </c>
      <c r="O262">
        <f>1</f>
        <v>1</v>
      </c>
      <c r="P262" t="n">
        <v>1</v>
      </c>
      <c r="Q262" t="n">
        <v>1</v>
      </c>
      <c r="R262">
        <f>-1-'vehicles specifications'!AD145</f>
        <v>-1.25</v>
      </c>
      <c r="S262" t="n">
        <v>1</v>
      </c>
      <c r="T262" t="n">
        <v>1</v>
      </c>
      <c r="U262" t="n">
        <v>1</v>
      </c>
      <c r="V262" t="n">
        <v>1</v>
      </c>
      <c r="W262" t="n">
        <v>1</v>
      </c>
      <c r="X262" t="n">
        <v>1</v>
      </c>
      <c r="Y262" t="n">
        <v>1</v>
      </c>
      <c r="Z262" t="n">
        <v>1</v>
      </c>
      <c r="AA262" t="n">
        <v>1</v>
      </c>
      <c r="AB262" t="n">
        <v>1</v>
      </c>
      <c r="AC262" t="n">
        <v>1</v>
      </c>
      <c r="AD262" t="n">
        <v>1</v>
      </c>
      <c r="AE262" t="n">
        <v>1</v>
      </c>
      <c r="AF262" t="n">
        <v>1</v>
      </c>
      <c r="AG262" t="n">
        <v>1</v>
      </c>
      <c r="AH262" t="n">
        <v>1</v>
      </c>
      <c r="AI262" t="n">
        <v>1</v>
      </c>
      <c r="AJ262" t="n">
        <v>1</v>
      </c>
      <c r="AK262" t="n">
        <v>1</v>
      </c>
      <c r="AL262" t="n">
        <v>1</v>
      </c>
      <c r="AM262" t="n">
        <v>1</v>
      </c>
      <c r="AN262" t="n">
        <v>1</v>
      </c>
      <c r="AO262" t="n">
        <v>1</v>
      </c>
      <c r="AP262" t="n">
        <v>1</v>
      </c>
      <c r="AQ262" t="n">
        <v>1</v>
      </c>
      <c r="AR262" t="n">
        <v>1</v>
      </c>
      <c r="AS262" t="n">
        <v>1</v>
      </c>
      <c r="AT262" t="n">
        <v>1</v>
      </c>
      <c r="AU262" t="n">
        <v>1</v>
      </c>
      <c r="AV262" t="n">
        <v>1</v>
      </c>
      <c r="AW262" t="n">
        <v>1</v>
      </c>
      <c r="AX262" t="n">
        <v>1</v>
      </c>
      <c r="AY262" t="n">
        <v>1</v>
      </c>
      <c r="AZ262" t="n">
        <v>1</v>
      </c>
      <c r="BA262" t="n">
        <v>1</v>
      </c>
      <c r="BB262" t="n">
        <v>1</v>
      </c>
      <c r="BC262" t="n">
        <v>1</v>
      </c>
      <c r="BD262" t="n">
        <v>1</v>
      </c>
      <c r="BE262" t="n">
        <v>1</v>
      </c>
      <c r="BF262" t="n">
        <v>1</v>
      </c>
      <c r="BG262" t="n">
        <v>1</v>
      </c>
      <c r="BH262" t="n">
        <v>1</v>
      </c>
      <c r="BI262" t="n">
        <v>1</v>
      </c>
      <c r="BJ262" t="n">
        <v>-1</v>
      </c>
      <c r="BK262" t="n">
        <v>-1</v>
      </c>
      <c r="BL262" t="n">
        <v>-1</v>
      </c>
    </row>
    <row r="263">
      <c r="A263" t="inlineStr">
        <is>
          <t>Motorbike, battery electric, 11-35kW - 2040 - NMC - CH</t>
        </is>
      </c>
      <c r="B263" t="n">
        <v>1</v>
      </c>
      <c r="C263" s="2">
        <f>'vehicles specifications'!S146</f>
        <v>81</v>
      </c>
      <c r="D263" t="n">
        <v>1</v>
      </c>
      <c r="E263" t="n">
        <v>1</v>
      </c>
      <c r="F263">
        <f>1+'vehicles specifications'!AD146</f>
        <v>1</v>
      </c>
      <c r="G263">
        <f>1+'vehicles specifications'!AD146</f>
        <v>1</v>
      </c>
      <c r="J263" t="n">
        <v>1</v>
      </c>
      <c r="K263">
        <f>1/('fuels and tailpipe emissions'!$C$3*3.6)</f>
        <v>2.3474178403755867E-2</v>
      </c>
      <c r="L263">
        <f>1/3.6*1.1</f>
        <v>0.30555555555555558</v>
      </c>
      <c r="M263">
        <f>1/'vehicles specifications'!J146</f>
        <v>2.5974025974025975E-5</v>
      </c>
      <c r="N263" t="n">
        <v>1</v>
      </c>
      <c r="O263">
        <f>1</f>
        <v>1</v>
      </c>
      <c r="P263" t="n">
        <v>1</v>
      </c>
      <c r="Q263" t="n">
        <v>1</v>
      </c>
      <c r="R263">
        <f>-1-'vehicles specifications'!AD146</f>
        <v>-1</v>
      </c>
      <c r="S263" t="n">
        <v>1</v>
      </c>
      <c r="T263" t="n">
        <v>1</v>
      </c>
      <c r="U263" t="n">
        <v>1</v>
      </c>
      <c r="V263" t="n">
        <v>1</v>
      </c>
      <c r="W263" t="n">
        <v>1</v>
      </c>
      <c r="X263" t="n">
        <v>1</v>
      </c>
      <c r="Y263" t="n">
        <v>1</v>
      </c>
      <c r="Z263" t="n">
        <v>1</v>
      </c>
      <c r="AA263" t="n">
        <v>1</v>
      </c>
      <c r="AB263" t="n">
        <v>1</v>
      </c>
      <c r="AC263" t="n">
        <v>1</v>
      </c>
      <c r="AD263" t="n">
        <v>1</v>
      </c>
      <c r="AE263" t="n">
        <v>1</v>
      </c>
      <c r="AF263" t="n">
        <v>1</v>
      </c>
      <c r="AG263" t="n">
        <v>1</v>
      </c>
      <c r="AH263" t="n">
        <v>1</v>
      </c>
      <c r="AI263" t="n">
        <v>1</v>
      </c>
      <c r="AJ263" t="n">
        <v>1</v>
      </c>
      <c r="AK263" t="n">
        <v>1</v>
      </c>
      <c r="AL263" t="n">
        <v>1</v>
      </c>
      <c r="AM263" t="n">
        <v>1</v>
      </c>
      <c r="AN263" t="n">
        <v>1</v>
      </c>
      <c r="AO263" t="n">
        <v>1</v>
      </c>
      <c r="AP263" t="n">
        <v>1</v>
      </c>
      <c r="AQ263" t="n">
        <v>1</v>
      </c>
      <c r="AR263" t="n">
        <v>1</v>
      </c>
      <c r="AS263" t="n">
        <v>1</v>
      </c>
      <c r="AT263" t="n">
        <v>1</v>
      </c>
      <c r="AU263" t="n">
        <v>1</v>
      </c>
      <c r="AV263" t="n">
        <v>1</v>
      </c>
      <c r="AW263" t="n">
        <v>1</v>
      </c>
      <c r="AX263" t="n">
        <v>1</v>
      </c>
      <c r="AY263" t="n">
        <v>1</v>
      </c>
      <c r="AZ263" t="n">
        <v>1</v>
      </c>
      <c r="BA263" t="n">
        <v>1</v>
      </c>
      <c r="BB263" t="n">
        <v>1</v>
      </c>
      <c r="BC263" t="n">
        <v>1</v>
      </c>
      <c r="BD263" t="n">
        <v>1</v>
      </c>
      <c r="BE263" t="n">
        <v>1</v>
      </c>
      <c r="BF263" t="n">
        <v>1</v>
      </c>
      <c r="BG263" t="n">
        <v>1</v>
      </c>
      <c r="BH263" t="n">
        <v>1</v>
      </c>
      <c r="BI263" t="n">
        <v>1</v>
      </c>
      <c r="BJ263" t="n">
        <v>-1</v>
      </c>
      <c r="BK263" t="n">
        <v>-1</v>
      </c>
      <c r="BL263" t="n">
        <v>-1</v>
      </c>
    </row>
    <row r="264">
      <c r="A264" t="inlineStr">
        <is>
          <t>Motorbike, battery electric, 11-35kW - 2050 - NMC - CH</t>
        </is>
      </c>
      <c r="B264" t="n">
        <v>1</v>
      </c>
      <c r="C264" s="2">
        <f>'vehicles specifications'!S147</f>
        <v>111</v>
      </c>
      <c r="D264" t="n">
        <v>1</v>
      </c>
      <c r="E264" t="n">
        <v>1</v>
      </c>
      <c r="F264">
        <f>1+'vehicles specifications'!AD147</f>
        <v>2</v>
      </c>
      <c r="G264">
        <f>1+'vehicles specifications'!AD147</f>
        <v>2</v>
      </c>
      <c r="J264" t="n">
        <v>1</v>
      </c>
      <c r="K264">
        <f>1/('fuels and tailpipe emissions'!$C$3*3.6)</f>
        <v>2.3474178403755867E-2</v>
      </c>
      <c r="L264">
        <f>1/3.6*1.1</f>
        <v>0.30555555555555558</v>
      </c>
      <c r="M264">
        <f>1/'vehicles specifications'!J147</f>
        <v>2.4691358024691357E-5</v>
      </c>
      <c r="N264" t="n">
        <v>1</v>
      </c>
      <c r="O264">
        <f>1</f>
        <v>1</v>
      </c>
      <c r="P264" t="n">
        <v>1</v>
      </c>
      <c r="Q264" t="n">
        <v>1</v>
      </c>
      <c r="R264">
        <f>-1-'vehicles specifications'!AD147</f>
        <v>-2</v>
      </c>
      <c r="S264" t="n">
        <v>1</v>
      </c>
      <c r="T264" t="n">
        <v>1</v>
      </c>
      <c r="U264" t="n">
        <v>1</v>
      </c>
      <c r="V264" t="n">
        <v>1</v>
      </c>
      <c r="W264" t="n">
        <v>1</v>
      </c>
      <c r="X264" t="n">
        <v>1</v>
      </c>
      <c r="Y264" t="n">
        <v>1</v>
      </c>
      <c r="Z264" t="n">
        <v>1</v>
      </c>
      <c r="AA264" t="n">
        <v>1</v>
      </c>
      <c r="AB264" t="n">
        <v>1</v>
      </c>
      <c r="AC264" t="n">
        <v>1</v>
      </c>
      <c r="AD264" t="n">
        <v>1</v>
      </c>
      <c r="AE264" t="n">
        <v>1</v>
      </c>
      <c r="AF264" t="n">
        <v>1</v>
      </c>
      <c r="AG264" t="n">
        <v>1</v>
      </c>
      <c r="AH264" t="n">
        <v>1</v>
      </c>
      <c r="AI264" t="n">
        <v>1</v>
      </c>
      <c r="AJ264" t="n">
        <v>1</v>
      </c>
      <c r="AK264" t="n">
        <v>1</v>
      </c>
      <c r="AL264" t="n">
        <v>1</v>
      </c>
      <c r="AM264" t="n">
        <v>1</v>
      </c>
      <c r="AN264" t="n">
        <v>1</v>
      </c>
      <c r="AO264" t="n">
        <v>1</v>
      </c>
      <c r="AP264" t="n">
        <v>1</v>
      </c>
      <c r="AQ264" t="n">
        <v>1</v>
      </c>
      <c r="AR264" t="n">
        <v>1</v>
      </c>
      <c r="AS264" t="n">
        <v>1</v>
      </c>
      <c r="AT264" t="n">
        <v>1</v>
      </c>
      <c r="AU264" t="n">
        <v>1</v>
      </c>
      <c r="AV264" t="n">
        <v>1</v>
      </c>
      <c r="AW264" t="n">
        <v>1</v>
      </c>
      <c r="AX264" t="n">
        <v>1</v>
      </c>
      <c r="AY264" t="n">
        <v>1</v>
      </c>
      <c r="AZ264" t="n">
        <v>1</v>
      </c>
      <c r="BA264" t="n">
        <v>1</v>
      </c>
      <c r="BB264" t="n">
        <v>1</v>
      </c>
      <c r="BC264" t="n">
        <v>1</v>
      </c>
      <c r="BD264" t="n">
        <v>1</v>
      </c>
      <c r="BE264" t="n">
        <v>1</v>
      </c>
      <c r="BF264" t="n">
        <v>1</v>
      </c>
      <c r="BG264" t="n">
        <v>1</v>
      </c>
      <c r="BH264" t="n">
        <v>1</v>
      </c>
      <c r="BI264" t="n">
        <v>1</v>
      </c>
      <c r="BJ264" t="n">
        <v>-1</v>
      </c>
      <c r="BK264" t="n">
        <v>-1</v>
      </c>
      <c r="BL264" t="n">
        <v>-1</v>
      </c>
    </row>
    <row r="265">
      <c r="A265" t="inlineStr">
        <is>
          <t>Motorbike, battery electric, &gt;35kW - 2020 - NMC - CH</t>
        </is>
      </c>
      <c r="B265" t="n">
        <v>1</v>
      </c>
      <c r="C265" s="2">
        <f>'vehicles specifications'!S148</f>
        <v>111</v>
      </c>
      <c r="D265" t="n">
        <v>1</v>
      </c>
      <c r="E265" t="n">
        <v>1</v>
      </c>
      <c r="F265">
        <f>1+'vehicles specifications'!AD148</f>
        <v>1.5</v>
      </c>
      <c r="G265">
        <f>1+'vehicles specifications'!AD148</f>
        <v>1.5</v>
      </c>
      <c r="J265" t="n">
        <v>1</v>
      </c>
      <c r="K265">
        <f>1/('fuels and tailpipe emissions'!$C$3*3.6)</f>
        <v>2.3474178403755867E-2</v>
      </c>
      <c r="L265">
        <f>1/3.6*1.1</f>
        <v>0.30555555555555558</v>
      </c>
      <c r="M265">
        <f>1/'vehicles specifications'!J148</f>
        <v>2.4691358024691357E-5</v>
      </c>
      <c r="N265" t="n">
        <v>1</v>
      </c>
      <c r="O265">
        <f>1</f>
        <v>1</v>
      </c>
      <c r="P265" t="n">
        <v>1</v>
      </c>
      <c r="Q265" t="n">
        <v>1</v>
      </c>
      <c r="R265">
        <f>-1-'vehicles specifications'!AD148</f>
        <v>-1.5</v>
      </c>
      <c r="S265" t="n">
        <v>1</v>
      </c>
      <c r="T265" t="n">
        <v>1</v>
      </c>
      <c r="U265" t="n">
        <v>1</v>
      </c>
      <c r="V265" t="n">
        <v>1</v>
      </c>
      <c r="W265" t="n">
        <v>1</v>
      </c>
      <c r="X265" t="n">
        <v>1</v>
      </c>
      <c r="Y265" t="n">
        <v>1</v>
      </c>
      <c r="Z265" t="n">
        <v>1</v>
      </c>
      <c r="AA265" t="n">
        <v>1</v>
      </c>
      <c r="AB265" t="n">
        <v>1</v>
      </c>
      <c r="AC265" t="n">
        <v>1</v>
      </c>
      <c r="AD265" t="n">
        <v>1</v>
      </c>
      <c r="AE265" t="n">
        <v>1</v>
      </c>
      <c r="AF265" t="n">
        <v>1</v>
      </c>
      <c r="AG265" t="n">
        <v>1</v>
      </c>
      <c r="AH265" t="n">
        <v>1</v>
      </c>
      <c r="AI265" t="n">
        <v>1</v>
      </c>
      <c r="AJ265" t="n">
        <v>1</v>
      </c>
      <c r="AK265" t="n">
        <v>1</v>
      </c>
      <c r="AL265" t="n">
        <v>1</v>
      </c>
      <c r="AM265" t="n">
        <v>1</v>
      </c>
      <c r="AN265" t="n">
        <v>1</v>
      </c>
      <c r="AO265" t="n">
        <v>1</v>
      </c>
      <c r="AP265" t="n">
        <v>1</v>
      </c>
      <c r="AQ265" t="n">
        <v>1</v>
      </c>
      <c r="AR265" t="n">
        <v>1</v>
      </c>
      <c r="AS265" t="n">
        <v>1</v>
      </c>
      <c r="AT265" t="n">
        <v>1</v>
      </c>
      <c r="AU265" t="n">
        <v>1</v>
      </c>
      <c r="AV265" t="n">
        <v>1</v>
      </c>
      <c r="AW265" t="n">
        <v>1</v>
      </c>
      <c r="AX265" t="n">
        <v>1</v>
      </c>
      <c r="AY265" t="n">
        <v>1</v>
      </c>
      <c r="AZ265" t="n">
        <v>1</v>
      </c>
      <c r="BA265" t="n">
        <v>1</v>
      </c>
      <c r="BB265" t="n">
        <v>1</v>
      </c>
      <c r="BC265" t="n">
        <v>1</v>
      </c>
      <c r="BD265" t="n">
        <v>1</v>
      </c>
      <c r="BE265" t="n">
        <v>1</v>
      </c>
      <c r="BF265" t="n">
        <v>1</v>
      </c>
      <c r="BG265" t="n">
        <v>1</v>
      </c>
      <c r="BH265" t="n">
        <v>1</v>
      </c>
      <c r="BI265" t="n">
        <v>1</v>
      </c>
      <c r="BJ265" t="n">
        <v>-1</v>
      </c>
      <c r="BK265" t="n">
        <v>-1</v>
      </c>
      <c r="BL265" t="n">
        <v>-1</v>
      </c>
    </row>
    <row r="266">
      <c r="A266" t="inlineStr">
        <is>
          <t>Motorbike, battery electric, &gt;35kW - 2030 - NMC - CH</t>
        </is>
      </c>
      <c r="B266" t="n">
        <v>1</v>
      </c>
      <c r="C266" s="2">
        <f>'vehicles specifications'!S149</f>
        <v>111</v>
      </c>
      <c r="D266" t="n">
        <v>1</v>
      </c>
      <c r="E266" t="n">
        <v>1</v>
      </c>
      <c r="F266">
        <f>1+'vehicles specifications'!AD149</f>
        <v>1.25</v>
      </c>
      <c r="G266">
        <f>1+'vehicles specifications'!AD149</f>
        <v>1.25</v>
      </c>
      <c r="J266" t="n">
        <v>1</v>
      </c>
      <c r="K266">
        <f>1/('fuels and tailpipe emissions'!$C$3*3.6)</f>
        <v>2.3474178403755867E-2</v>
      </c>
      <c r="L266">
        <f>1/3.6*1.1</f>
        <v>0.30555555555555558</v>
      </c>
      <c r="M266">
        <f>1/'vehicles specifications'!J149</f>
        <v>2.4691358024691357E-5</v>
      </c>
      <c r="N266" t="n">
        <v>1</v>
      </c>
      <c r="O266">
        <f>1</f>
        <v>1</v>
      </c>
      <c r="P266" t="n">
        <v>1</v>
      </c>
      <c r="Q266" t="n">
        <v>1</v>
      </c>
      <c r="R266">
        <f>-1-'vehicles specifications'!AD149</f>
        <v>-1.25</v>
      </c>
      <c r="S266" t="n">
        <v>1</v>
      </c>
      <c r="T266" t="n">
        <v>1</v>
      </c>
      <c r="U266" t="n">
        <v>1</v>
      </c>
      <c r="V266" t="n">
        <v>1</v>
      </c>
      <c r="W266" t="n">
        <v>1</v>
      </c>
      <c r="X266" t="n">
        <v>1</v>
      </c>
      <c r="Y266" t="n">
        <v>1</v>
      </c>
      <c r="Z266" t="n">
        <v>1</v>
      </c>
      <c r="AA266" t="n">
        <v>1</v>
      </c>
      <c r="AB266" t="n">
        <v>1</v>
      </c>
      <c r="AC266" t="n">
        <v>1</v>
      </c>
      <c r="AD266" t="n">
        <v>1</v>
      </c>
      <c r="AE266" t="n">
        <v>1</v>
      </c>
      <c r="AF266" t="n">
        <v>1</v>
      </c>
      <c r="AG266" t="n">
        <v>1</v>
      </c>
      <c r="AH266" t="n">
        <v>1</v>
      </c>
      <c r="AI266" t="n">
        <v>1</v>
      </c>
      <c r="AJ266" t="n">
        <v>1</v>
      </c>
      <c r="AK266" t="n">
        <v>1</v>
      </c>
      <c r="AL266" t="n">
        <v>1</v>
      </c>
      <c r="AM266" t="n">
        <v>1</v>
      </c>
      <c r="AN266" t="n">
        <v>1</v>
      </c>
      <c r="AO266" t="n">
        <v>1</v>
      </c>
      <c r="AP266" t="n">
        <v>1</v>
      </c>
      <c r="AQ266" t="n">
        <v>1</v>
      </c>
      <c r="AR266" t="n">
        <v>1</v>
      </c>
      <c r="AS266" t="n">
        <v>1</v>
      </c>
      <c r="AT266" t="n">
        <v>1</v>
      </c>
      <c r="AU266" t="n">
        <v>1</v>
      </c>
      <c r="AV266" t="n">
        <v>1</v>
      </c>
      <c r="AW266" t="n">
        <v>1</v>
      </c>
      <c r="AX266" t="n">
        <v>1</v>
      </c>
      <c r="AY266" t="n">
        <v>1</v>
      </c>
      <c r="AZ266" t="n">
        <v>1</v>
      </c>
      <c r="BA266" t="n">
        <v>1</v>
      </c>
      <c r="BB266" t="n">
        <v>1</v>
      </c>
      <c r="BC266" t="n">
        <v>1</v>
      </c>
      <c r="BD266" t="n">
        <v>1</v>
      </c>
      <c r="BE266" t="n">
        <v>1</v>
      </c>
      <c r="BF266" t="n">
        <v>1</v>
      </c>
      <c r="BG266" t="n">
        <v>1</v>
      </c>
      <c r="BH266" t="n">
        <v>1</v>
      </c>
      <c r="BI266" t="n">
        <v>1</v>
      </c>
      <c r="BJ266" t="n">
        <v>-1</v>
      </c>
      <c r="BK266" t="n">
        <v>-1</v>
      </c>
      <c r="BL266" t="n">
        <v>-1</v>
      </c>
    </row>
    <row r="267">
      <c r="A267" t="inlineStr">
        <is>
          <t>Motorbike, battery electric, &gt;35kW - 2040 - NMC - CH</t>
        </is>
      </c>
      <c r="B267" t="n">
        <v>1</v>
      </c>
      <c r="C267" s="2">
        <f>'vehicles specifications'!S150</f>
        <v>111</v>
      </c>
      <c r="D267" t="n">
        <v>1</v>
      </c>
      <c r="E267" t="n">
        <v>1</v>
      </c>
      <c r="F267">
        <f>1+'vehicles specifications'!AD150</f>
        <v>1</v>
      </c>
      <c r="G267">
        <f>1+'vehicles specifications'!AD150</f>
        <v>1</v>
      </c>
      <c r="J267" t="n">
        <v>1</v>
      </c>
      <c r="K267">
        <f>1/('fuels and tailpipe emissions'!$C$3*3.6)</f>
        <v>2.3474178403755867E-2</v>
      </c>
      <c r="L267">
        <f>1/3.6*1.1</f>
        <v>0.30555555555555558</v>
      </c>
      <c r="M267">
        <f>1/'vehicles specifications'!J150</f>
        <v>2.4691358024691357E-5</v>
      </c>
      <c r="N267" t="n">
        <v>1</v>
      </c>
      <c r="O267">
        <f>1</f>
        <v>1</v>
      </c>
      <c r="P267" t="n">
        <v>1</v>
      </c>
      <c r="Q267" t="n">
        <v>1</v>
      </c>
      <c r="R267">
        <f>-1-'vehicles specifications'!AD150</f>
        <v>-1</v>
      </c>
      <c r="S267" t="n">
        <v>1</v>
      </c>
      <c r="T267" t="n">
        <v>1</v>
      </c>
      <c r="U267" t="n">
        <v>1</v>
      </c>
      <c r="V267" t="n">
        <v>1</v>
      </c>
      <c r="W267" t="n">
        <v>1</v>
      </c>
      <c r="X267" t="n">
        <v>1</v>
      </c>
      <c r="Y267" t="n">
        <v>1</v>
      </c>
      <c r="Z267" t="n">
        <v>1</v>
      </c>
      <c r="AA267" t="n">
        <v>1</v>
      </c>
      <c r="AB267" t="n">
        <v>1</v>
      </c>
      <c r="AC267" t="n">
        <v>1</v>
      </c>
      <c r="AD267" t="n">
        <v>1</v>
      </c>
      <c r="AE267" t="n">
        <v>1</v>
      </c>
      <c r="AF267" t="n">
        <v>1</v>
      </c>
      <c r="AG267" t="n">
        <v>1</v>
      </c>
      <c r="AH267" t="n">
        <v>1</v>
      </c>
      <c r="AI267" t="n">
        <v>1</v>
      </c>
      <c r="AJ267" t="n">
        <v>1</v>
      </c>
      <c r="AK267" t="n">
        <v>1</v>
      </c>
      <c r="AL267" t="n">
        <v>1</v>
      </c>
      <c r="AM267" t="n">
        <v>1</v>
      </c>
      <c r="AN267" t="n">
        <v>1</v>
      </c>
      <c r="AO267" t="n">
        <v>1</v>
      </c>
      <c r="AP267" t="n">
        <v>1</v>
      </c>
      <c r="AQ267" t="n">
        <v>1</v>
      </c>
      <c r="AR267" t="n">
        <v>1</v>
      </c>
      <c r="AS267" t="n">
        <v>1</v>
      </c>
      <c r="AT267" t="n">
        <v>1</v>
      </c>
      <c r="AU267" t="n">
        <v>1</v>
      </c>
      <c r="AV267" t="n">
        <v>1</v>
      </c>
      <c r="AW267" t="n">
        <v>1</v>
      </c>
      <c r="AX267" t="n">
        <v>1</v>
      </c>
      <c r="AY267" t="n">
        <v>1</v>
      </c>
      <c r="AZ267" t="n">
        <v>1</v>
      </c>
      <c r="BA267" t="n">
        <v>1</v>
      </c>
      <c r="BB267" t="n">
        <v>1</v>
      </c>
      <c r="BC267" t="n">
        <v>1</v>
      </c>
      <c r="BD267" t="n">
        <v>1</v>
      </c>
      <c r="BE267" t="n">
        <v>1</v>
      </c>
      <c r="BF267" t="n">
        <v>1</v>
      </c>
      <c r="BG267" t="n">
        <v>1</v>
      </c>
      <c r="BH267" t="n">
        <v>1</v>
      </c>
      <c r="BI267" t="n">
        <v>1</v>
      </c>
      <c r="BJ267" t="n">
        <v>-1</v>
      </c>
      <c r="BK267" t="n">
        <v>-1</v>
      </c>
      <c r="BL267" t="n">
        <v>-1</v>
      </c>
    </row>
    <row r="268">
      <c r="A268" t="inlineStr">
        <is>
          <t>Motorbike, battery electric, &gt;35kW - 2050 - NMC - CH</t>
        </is>
      </c>
      <c r="B268" t="n">
        <v>1</v>
      </c>
      <c r="C268" s="2">
        <f>'vehicles specifications'!S151</f>
        <v>53</v>
      </c>
      <c r="D268" t="n">
        <v>1</v>
      </c>
      <c r="E268" t="n">
        <v>1</v>
      </c>
      <c r="F268">
        <f>1+'vehicles specifications'!AD151</f>
        <v>2</v>
      </c>
      <c r="G268">
        <f>1+'vehicles specifications'!AD151</f>
        <v>2</v>
      </c>
      <c r="J268" t="n">
        <v>1</v>
      </c>
      <c r="K268">
        <f>1/('fuels and tailpipe emissions'!$C$3*3.6)</f>
        <v>2.3474178403755867E-2</v>
      </c>
      <c r="L268">
        <f>1/3.6*1.1</f>
        <v>0.30555555555555558</v>
      </c>
      <c r="M268">
        <f>1/'vehicles specifications'!J151</f>
        <v>4.0000000000000003E-5</v>
      </c>
      <c r="N268" t="n">
        <v>1</v>
      </c>
      <c r="O268">
        <f>1</f>
        <v>1</v>
      </c>
      <c r="P268" t="n">
        <v>1</v>
      </c>
      <c r="Q268" t="n">
        <v>1</v>
      </c>
      <c r="R268">
        <f>-1-'vehicles specifications'!AD151</f>
        <v>-2</v>
      </c>
      <c r="S268" t="n">
        <v>1</v>
      </c>
      <c r="T268" t="n">
        <v>1</v>
      </c>
      <c r="U268" t="n">
        <v>1</v>
      </c>
      <c r="V268" t="n">
        <v>1</v>
      </c>
      <c r="W268" t="n">
        <v>1</v>
      </c>
      <c r="X268" t="n">
        <v>1</v>
      </c>
      <c r="Y268" t="n">
        <v>1</v>
      </c>
      <c r="Z268" t="n">
        <v>1</v>
      </c>
      <c r="AA268" t="n">
        <v>1</v>
      </c>
      <c r="AB268" t="n">
        <v>1</v>
      </c>
      <c r="AC268" t="n">
        <v>1</v>
      </c>
      <c r="AD268" t="n">
        <v>1</v>
      </c>
      <c r="AE268" t="n">
        <v>1</v>
      </c>
      <c r="AF268" t="n">
        <v>1</v>
      </c>
      <c r="AG268" t="n">
        <v>1</v>
      </c>
      <c r="AH268" t="n">
        <v>1</v>
      </c>
      <c r="AI268" t="n">
        <v>1</v>
      </c>
      <c r="AJ268" t="n">
        <v>1</v>
      </c>
      <c r="AK268" t="n">
        <v>1</v>
      </c>
      <c r="AL268" t="n">
        <v>1</v>
      </c>
      <c r="AM268" t="n">
        <v>1</v>
      </c>
      <c r="AN268" t="n">
        <v>1</v>
      </c>
      <c r="AO268" t="n">
        <v>1</v>
      </c>
      <c r="AP268" t="n">
        <v>1</v>
      </c>
      <c r="AQ268" t="n">
        <v>1</v>
      </c>
      <c r="AR268" t="n">
        <v>1</v>
      </c>
      <c r="AS268" t="n">
        <v>1</v>
      </c>
      <c r="AT268" t="n">
        <v>1</v>
      </c>
      <c r="AU268" t="n">
        <v>1</v>
      </c>
      <c r="AV268" t="n">
        <v>1</v>
      </c>
      <c r="AW268" t="n">
        <v>1</v>
      </c>
      <c r="AX268" t="n">
        <v>1</v>
      </c>
      <c r="AY268" t="n">
        <v>1</v>
      </c>
      <c r="AZ268" t="n">
        <v>1</v>
      </c>
      <c r="BA268" t="n">
        <v>1</v>
      </c>
      <c r="BB268" t="n">
        <v>1</v>
      </c>
      <c r="BC268" t="n">
        <v>1</v>
      </c>
      <c r="BD268" t="n">
        <v>1</v>
      </c>
      <c r="BE268" t="n">
        <v>1</v>
      </c>
      <c r="BF268" t="n">
        <v>1</v>
      </c>
      <c r="BG268" t="n">
        <v>1</v>
      </c>
      <c r="BH268" t="n">
        <v>1</v>
      </c>
      <c r="BI268" t="n">
        <v>1</v>
      </c>
      <c r="BJ268" t="n">
        <v>-1</v>
      </c>
      <c r="BK268" t="n">
        <v>-1</v>
      </c>
      <c r="BL268" t="n">
        <v>-1</v>
      </c>
    </row>
    <row r="269">
      <c r="A269" t="inlineStr">
        <is>
          <t>Motorbike, battery electric, &lt;4kW - 2020 - LFP - CH</t>
        </is>
      </c>
      <c r="B269" t="n">
        <v>1</v>
      </c>
      <c r="C269" s="2">
        <f>'vehicles specifications'!S136</f>
        <v>53</v>
      </c>
      <c r="D269" t="n">
        <v>1</v>
      </c>
      <c r="E269" t="n">
        <v>1</v>
      </c>
      <c r="F269">
        <f>1+'vehicles specifications'!AD136</f>
        <v>1.5</v>
      </c>
      <c r="G269">
        <f>1+'vehicles specifications'!AD136</f>
        <v>1.5</v>
      </c>
      <c r="J269" t="n">
        <v>1</v>
      </c>
      <c r="K269">
        <f>1/('fuels and tailpipe emissions'!$C$3*3.6)</f>
        <v>2.3474178403755867E-2</v>
      </c>
      <c r="L269">
        <f>1/3.6*1.1</f>
        <v>0.30555555555555558</v>
      </c>
      <c r="M269">
        <f>1/'vehicles specifications'!J136</f>
        <v>4.0000000000000003E-5</v>
      </c>
      <c r="N269" t="n">
        <v>1</v>
      </c>
      <c r="O269">
        <f>1</f>
        <v>1</v>
      </c>
      <c r="P269" t="n">
        <v>1</v>
      </c>
      <c r="Q269" t="n">
        <v>1</v>
      </c>
      <c r="R269">
        <f>-1-'vehicles specifications'!AD136</f>
        <v>-1.5</v>
      </c>
      <c r="S269" t="n">
        <v>1</v>
      </c>
      <c r="T269" t="n">
        <v>1</v>
      </c>
      <c r="U269" t="n">
        <v>1</v>
      </c>
      <c r="V269" t="n">
        <v>1</v>
      </c>
      <c r="W269" t="n">
        <v>1</v>
      </c>
      <c r="X269" t="n">
        <v>1</v>
      </c>
      <c r="Y269" t="n">
        <v>1</v>
      </c>
      <c r="Z269" t="n">
        <v>1</v>
      </c>
      <c r="AA269" t="n">
        <v>1</v>
      </c>
      <c r="AB269" t="n">
        <v>1</v>
      </c>
      <c r="AC269" t="n">
        <v>1</v>
      </c>
      <c r="AD269" t="n">
        <v>1</v>
      </c>
      <c r="AE269" t="n">
        <v>1</v>
      </c>
      <c r="AF269" t="n">
        <v>1</v>
      </c>
      <c r="AG269" t="n">
        <v>1</v>
      </c>
      <c r="AH269" t="n">
        <v>1</v>
      </c>
      <c r="AI269" t="n">
        <v>1</v>
      </c>
      <c r="AJ269" t="n">
        <v>1</v>
      </c>
      <c r="AK269" t="n">
        <v>1</v>
      </c>
      <c r="AL269" t="n">
        <v>1</v>
      </c>
      <c r="AM269" t="n">
        <v>1</v>
      </c>
      <c r="AN269" t="n">
        <v>1</v>
      </c>
      <c r="AO269" t="n">
        <v>1</v>
      </c>
      <c r="AP269" t="n">
        <v>1</v>
      </c>
      <c r="AQ269" t="n">
        <v>1</v>
      </c>
      <c r="AR269" t="n">
        <v>1</v>
      </c>
      <c r="AS269" t="n">
        <v>1</v>
      </c>
      <c r="AT269" t="n">
        <v>1</v>
      </c>
      <c r="AU269" t="n">
        <v>1</v>
      </c>
      <c r="AV269" t="n">
        <v>1</v>
      </c>
      <c r="AW269" t="n">
        <v>1</v>
      </c>
      <c r="AX269" t="n">
        <v>1</v>
      </c>
      <c r="AY269" t="n">
        <v>1</v>
      </c>
      <c r="AZ269" t="n">
        <v>1</v>
      </c>
      <c r="BA269" t="n">
        <v>1</v>
      </c>
      <c r="BB269" t="n">
        <v>1</v>
      </c>
      <c r="BC269" t="n">
        <v>1</v>
      </c>
      <c r="BD269" t="n">
        <v>1</v>
      </c>
      <c r="BE269" t="n">
        <v>1</v>
      </c>
      <c r="BF269" t="n">
        <v>1</v>
      </c>
      <c r="BG269" t="n">
        <v>1</v>
      </c>
      <c r="BH269" t="n">
        <v>1</v>
      </c>
      <c r="BI269" t="n">
        <v>1</v>
      </c>
      <c r="BJ269" t="n">
        <v>-1</v>
      </c>
      <c r="BK269" t="n">
        <v>-1</v>
      </c>
      <c r="BL269" t="n">
        <v>-1</v>
      </c>
    </row>
    <row r="270">
      <c r="A270" t="inlineStr">
        <is>
          <t>Motorbike, battery electric, &lt;4kW - 2030 - LFP - CH</t>
        </is>
      </c>
      <c r="B270" t="n">
        <v>1</v>
      </c>
      <c r="C270" s="2">
        <f>'vehicles specifications'!S137</f>
        <v>53</v>
      </c>
      <c r="D270" t="n">
        <v>1</v>
      </c>
      <c r="E270" t="n">
        <v>1</v>
      </c>
      <c r="F270">
        <f>1+'vehicles specifications'!AD137</f>
        <v>1.25</v>
      </c>
      <c r="G270">
        <f>1+'vehicles specifications'!AD137</f>
        <v>1.25</v>
      </c>
      <c r="J270" t="n">
        <v>1</v>
      </c>
      <c r="K270">
        <f>1/('fuels and tailpipe emissions'!$C$3*3.6)</f>
        <v>2.3474178403755867E-2</v>
      </c>
      <c r="L270">
        <f>1/3.6*1.1</f>
        <v>0.30555555555555558</v>
      </c>
      <c r="M270">
        <f>1/'vehicles specifications'!J137</f>
        <v>4.0000000000000003E-5</v>
      </c>
      <c r="N270" t="n">
        <v>1</v>
      </c>
      <c r="O270">
        <f>1</f>
        <v>1</v>
      </c>
      <c r="P270" t="n">
        <v>1</v>
      </c>
      <c r="Q270" t="n">
        <v>1</v>
      </c>
      <c r="R270">
        <f>-1-'vehicles specifications'!AD137</f>
        <v>-1.25</v>
      </c>
      <c r="S270" t="n">
        <v>1</v>
      </c>
      <c r="T270" t="n">
        <v>1</v>
      </c>
      <c r="U270" t="n">
        <v>1</v>
      </c>
      <c r="V270" t="n">
        <v>1</v>
      </c>
      <c r="W270" t="n">
        <v>1</v>
      </c>
      <c r="X270" t="n">
        <v>1</v>
      </c>
      <c r="Y270" t="n">
        <v>1</v>
      </c>
      <c r="Z270" t="n">
        <v>1</v>
      </c>
      <c r="AA270" t="n">
        <v>1</v>
      </c>
      <c r="AB270" t="n">
        <v>1</v>
      </c>
      <c r="AC270" t="n">
        <v>1</v>
      </c>
      <c r="AD270" t="n">
        <v>1</v>
      </c>
      <c r="AE270" t="n">
        <v>1</v>
      </c>
      <c r="AF270" t="n">
        <v>1</v>
      </c>
      <c r="AG270" t="n">
        <v>1</v>
      </c>
      <c r="AH270" t="n">
        <v>1</v>
      </c>
      <c r="AI270" t="n">
        <v>1</v>
      </c>
      <c r="AJ270" t="n">
        <v>1</v>
      </c>
      <c r="AK270" t="n">
        <v>1</v>
      </c>
      <c r="AL270" t="n">
        <v>1</v>
      </c>
      <c r="AM270" t="n">
        <v>1</v>
      </c>
      <c r="AN270" t="n">
        <v>1</v>
      </c>
      <c r="AO270" t="n">
        <v>1</v>
      </c>
      <c r="AP270" t="n">
        <v>1</v>
      </c>
      <c r="AQ270" t="n">
        <v>1</v>
      </c>
      <c r="AR270" t="n">
        <v>1</v>
      </c>
      <c r="AS270" t="n">
        <v>1</v>
      </c>
      <c r="AT270" t="n">
        <v>1</v>
      </c>
      <c r="AU270" t="n">
        <v>1</v>
      </c>
      <c r="AV270" t="n">
        <v>1</v>
      </c>
      <c r="AW270" t="n">
        <v>1</v>
      </c>
      <c r="AX270" t="n">
        <v>1</v>
      </c>
      <c r="AY270" t="n">
        <v>1</v>
      </c>
      <c r="AZ270" t="n">
        <v>1</v>
      </c>
      <c r="BA270" t="n">
        <v>1</v>
      </c>
      <c r="BB270" t="n">
        <v>1</v>
      </c>
      <c r="BC270" t="n">
        <v>1</v>
      </c>
      <c r="BD270" t="n">
        <v>1</v>
      </c>
      <c r="BE270" t="n">
        <v>1</v>
      </c>
      <c r="BF270" t="n">
        <v>1</v>
      </c>
      <c r="BG270" t="n">
        <v>1</v>
      </c>
      <c r="BH270" t="n">
        <v>1</v>
      </c>
      <c r="BI270" t="n">
        <v>1</v>
      </c>
      <c r="BJ270" t="n">
        <v>-1</v>
      </c>
      <c r="BK270" t="n">
        <v>-1</v>
      </c>
      <c r="BL270" t="n">
        <v>-1</v>
      </c>
    </row>
    <row r="271">
      <c r="A271" t="inlineStr">
        <is>
          <t>Motorbike, battery electric, &lt;4kW - 2040 - LFP - CH</t>
        </is>
      </c>
      <c r="B271" t="n">
        <v>1</v>
      </c>
      <c r="C271" s="2">
        <f>'vehicles specifications'!S138</f>
        <v>53</v>
      </c>
      <c r="D271" t="n">
        <v>1</v>
      </c>
      <c r="E271" t="n">
        <v>1</v>
      </c>
      <c r="F271">
        <f>1+'vehicles specifications'!AD138</f>
        <v>1</v>
      </c>
      <c r="G271">
        <f>1+'vehicles specifications'!AD138</f>
        <v>1</v>
      </c>
      <c r="J271" t="n">
        <v>1</v>
      </c>
      <c r="K271">
        <f>1/('fuels and tailpipe emissions'!$C$3*3.6)</f>
        <v>2.3474178403755867E-2</v>
      </c>
      <c r="L271">
        <f>1/3.6*1.1</f>
        <v>0.30555555555555558</v>
      </c>
      <c r="M271">
        <f>1/'vehicles specifications'!J138</f>
        <v>4.0000000000000003E-5</v>
      </c>
      <c r="N271" t="n">
        <v>1</v>
      </c>
      <c r="O271">
        <f>1</f>
        <v>1</v>
      </c>
      <c r="P271" t="n">
        <v>1</v>
      </c>
      <c r="Q271" t="n">
        <v>1</v>
      </c>
      <c r="R271">
        <f>-1-'vehicles specifications'!AD138</f>
        <v>-1</v>
      </c>
      <c r="S271" t="n">
        <v>1</v>
      </c>
      <c r="T271" t="n">
        <v>1</v>
      </c>
      <c r="U271" t="n">
        <v>1</v>
      </c>
      <c r="V271" t="n">
        <v>1</v>
      </c>
      <c r="W271" t="n">
        <v>1</v>
      </c>
      <c r="X271" t="n">
        <v>1</v>
      </c>
      <c r="Y271" t="n">
        <v>1</v>
      </c>
      <c r="Z271" t="n">
        <v>1</v>
      </c>
      <c r="AA271" t="n">
        <v>1</v>
      </c>
      <c r="AB271" t="n">
        <v>1</v>
      </c>
      <c r="AC271" t="n">
        <v>1</v>
      </c>
      <c r="AD271" t="n">
        <v>1</v>
      </c>
      <c r="AE271" t="n">
        <v>1</v>
      </c>
      <c r="AF271" t="n">
        <v>1</v>
      </c>
      <c r="AG271" t="n">
        <v>1</v>
      </c>
      <c r="AH271" t="n">
        <v>1</v>
      </c>
      <c r="AI271" t="n">
        <v>1</v>
      </c>
      <c r="AJ271" t="n">
        <v>1</v>
      </c>
      <c r="AK271" t="n">
        <v>1</v>
      </c>
      <c r="AL271" t="n">
        <v>1</v>
      </c>
      <c r="AM271" t="n">
        <v>1</v>
      </c>
      <c r="AN271" t="n">
        <v>1</v>
      </c>
      <c r="AO271" t="n">
        <v>1</v>
      </c>
      <c r="AP271" t="n">
        <v>1</v>
      </c>
      <c r="AQ271" t="n">
        <v>1</v>
      </c>
      <c r="AR271" t="n">
        <v>1</v>
      </c>
      <c r="AS271" t="n">
        <v>1</v>
      </c>
      <c r="AT271" t="n">
        <v>1</v>
      </c>
      <c r="AU271" t="n">
        <v>1</v>
      </c>
      <c r="AV271" t="n">
        <v>1</v>
      </c>
      <c r="AW271" t="n">
        <v>1</v>
      </c>
      <c r="AX271" t="n">
        <v>1</v>
      </c>
      <c r="AY271" t="n">
        <v>1</v>
      </c>
      <c r="AZ271" t="n">
        <v>1</v>
      </c>
      <c r="BA271" t="n">
        <v>1</v>
      </c>
      <c r="BB271" t="n">
        <v>1</v>
      </c>
      <c r="BC271" t="n">
        <v>1</v>
      </c>
      <c r="BD271" t="n">
        <v>1</v>
      </c>
      <c r="BE271" t="n">
        <v>1</v>
      </c>
      <c r="BF271" t="n">
        <v>1</v>
      </c>
      <c r="BG271" t="n">
        <v>1</v>
      </c>
      <c r="BH271" t="n">
        <v>1</v>
      </c>
      <c r="BI271" t="n">
        <v>1</v>
      </c>
      <c r="BJ271" t="n">
        <v>-1</v>
      </c>
      <c r="BK271" t="n">
        <v>-1</v>
      </c>
      <c r="BL271" t="n">
        <v>-1</v>
      </c>
    </row>
    <row r="272">
      <c r="A272" t="inlineStr">
        <is>
          <t>Motorbike, battery electric, &lt;4kW - 2050 - LFP - CH</t>
        </is>
      </c>
      <c r="B272" t="n">
        <v>1</v>
      </c>
      <c r="C272" s="2">
        <f>'vehicles specifications'!S139</f>
        <v>65.433826960328489</v>
      </c>
      <c r="D272" t="n">
        <v>1</v>
      </c>
      <c r="E272" t="n">
        <v>1</v>
      </c>
      <c r="F272">
        <f>1+'vehicles specifications'!AD139</f>
        <v>2</v>
      </c>
      <c r="G272">
        <f>1+'vehicles specifications'!AD139</f>
        <v>2</v>
      </c>
      <c r="J272" t="n">
        <v>1</v>
      </c>
      <c r="K272">
        <f>1/('fuels and tailpipe emissions'!$C$3*3.6)</f>
        <v>2.3474178403755867E-2</v>
      </c>
      <c r="L272">
        <f>1/3.6*1.1</f>
        <v>0.30555555555555558</v>
      </c>
      <c r="M272">
        <f>1/'vehicles specifications'!J139</f>
        <v>4.0000000000000003E-5</v>
      </c>
      <c r="N272" t="n">
        <v>1</v>
      </c>
      <c r="O272">
        <f>1</f>
        <v>1</v>
      </c>
      <c r="P272" t="n">
        <v>1</v>
      </c>
      <c r="Q272" t="n">
        <v>1</v>
      </c>
      <c r="R272">
        <f>-1-'vehicles specifications'!AD139</f>
        <v>-2</v>
      </c>
      <c r="S272" t="n">
        <v>1</v>
      </c>
      <c r="T272" t="n">
        <v>1</v>
      </c>
      <c r="U272" t="n">
        <v>1</v>
      </c>
      <c r="V272" t="n">
        <v>1</v>
      </c>
      <c r="W272" t="n">
        <v>1</v>
      </c>
      <c r="X272" t="n">
        <v>1</v>
      </c>
      <c r="Y272" t="n">
        <v>1</v>
      </c>
      <c r="Z272" t="n">
        <v>1</v>
      </c>
      <c r="AA272" t="n">
        <v>1</v>
      </c>
      <c r="AB272" t="n">
        <v>1</v>
      </c>
      <c r="AC272" t="n">
        <v>1</v>
      </c>
      <c r="AD272" t="n">
        <v>1</v>
      </c>
      <c r="AE272" t="n">
        <v>1</v>
      </c>
      <c r="AF272" t="n">
        <v>1</v>
      </c>
      <c r="AG272" t="n">
        <v>1</v>
      </c>
      <c r="AH272" t="n">
        <v>1</v>
      </c>
      <c r="AI272" t="n">
        <v>1</v>
      </c>
      <c r="AJ272" t="n">
        <v>1</v>
      </c>
      <c r="AK272" t="n">
        <v>1</v>
      </c>
      <c r="AL272" t="n">
        <v>1</v>
      </c>
      <c r="AM272" t="n">
        <v>1</v>
      </c>
      <c r="AN272" t="n">
        <v>1</v>
      </c>
      <c r="AO272" t="n">
        <v>1</v>
      </c>
      <c r="AP272" t="n">
        <v>1</v>
      </c>
      <c r="AQ272" t="n">
        <v>1</v>
      </c>
      <c r="AR272" t="n">
        <v>1</v>
      </c>
      <c r="AS272" t="n">
        <v>1</v>
      </c>
      <c r="AT272" t="n">
        <v>1</v>
      </c>
      <c r="AU272" t="n">
        <v>1</v>
      </c>
      <c r="AV272" t="n">
        <v>1</v>
      </c>
      <c r="AW272" t="n">
        <v>1</v>
      </c>
      <c r="AX272" t="n">
        <v>1</v>
      </c>
      <c r="AY272" t="n">
        <v>1</v>
      </c>
      <c r="AZ272" t="n">
        <v>1</v>
      </c>
      <c r="BA272" t="n">
        <v>1</v>
      </c>
      <c r="BB272" t="n">
        <v>1</v>
      </c>
      <c r="BC272" t="n">
        <v>1</v>
      </c>
      <c r="BD272" t="n">
        <v>1</v>
      </c>
      <c r="BE272" t="n">
        <v>1</v>
      </c>
      <c r="BF272" t="n">
        <v>1</v>
      </c>
      <c r="BG272" t="n">
        <v>1</v>
      </c>
      <c r="BH272" t="n">
        <v>1</v>
      </c>
      <c r="BI272" t="n">
        <v>1</v>
      </c>
      <c r="BJ272" t="n">
        <v>-1</v>
      </c>
      <c r="BK272" t="n">
        <v>-1</v>
      </c>
      <c r="BL272" t="n">
        <v>-1</v>
      </c>
    </row>
    <row r="273">
      <c r="A273" t="inlineStr">
        <is>
          <t>Motorbike, battery electric, 4-11kW - 2020 - LFP - CH</t>
        </is>
      </c>
      <c r="B273" t="n">
        <v>1</v>
      </c>
      <c r="C273" s="2">
        <f>'vehicles specifications'!S140</f>
        <v>65.433826960328489</v>
      </c>
      <c r="D273" t="n">
        <v>1</v>
      </c>
      <c r="E273" t="n">
        <v>1</v>
      </c>
      <c r="F273">
        <f>1+'vehicles specifications'!AD140</f>
        <v>1.5</v>
      </c>
      <c r="G273">
        <f>1+'vehicles specifications'!AD140</f>
        <v>1.5</v>
      </c>
      <c r="J273" t="n">
        <v>1</v>
      </c>
      <c r="K273">
        <f>1/('fuels and tailpipe emissions'!$C$3*3.6)</f>
        <v>2.3474178403755867E-2</v>
      </c>
      <c r="L273">
        <f>1/3.6*1.1</f>
        <v>0.30555555555555558</v>
      </c>
      <c r="M273">
        <f>1/'vehicles specifications'!J140</f>
        <v>4.0000000000000003E-5</v>
      </c>
      <c r="N273" t="n">
        <v>1</v>
      </c>
      <c r="O273">
        <f>1</f>
        <v>1</v>
      </c>
      <c r="P273" t="n">
        <v>1</v>
      </c>
      <c r="Q273" t="n">
        <v>1</v>
      </c>
      <c r="R273">
        <f>-1-'vehicles specifications'!AD140</f>
        <v>-1.5</v>
      </c>
      <c r="S273" t="n">
        <v>1</v>
      </c>
      <c r="T273" t="n">
        <v>1</v>
      </c>
      <c r="U273" t="n">
        <v>1</v>
      </c>
      <c r="V273" t="n">
        <v>1</v>
      </c>
      <c r="W273" t="n">
        <v>1</v>
      </c>
      <c r="X273" t="n">
        <v>1</v>
      </c>
      <c r="Y273" t="n">
        <v>1</v>
      </c>
      <c r="Z273" t="n">
        <v>1</v>
      </c>
      <c r="AA273" t="n">
        <v>1</v>
      </c>
      <c r="AB273" t="n">
        <v>1</v>
      </c>
      <c r="AC273" t="n">
        <v>1</v>
      </c>
      <c r="AD273" t="n">
        <v>1</v>
      </c>
      <c r="AE273" t="n">
        <v>1</v>
      </c>
      <c r="AF273" t="n">
        <v>1</v>
      </c>
      <c r="AG273" t="n">
        <v>1</v>
      </c>
      <c r="AH273" t="n">
        <v>1</v>
      </c>
      <c r="AI273" t="n">
        <v>1</v>
      </c>
      <c r="AJ273" t="n">
        <v>1</v>
      </c>
      <c r="AK273" t="n">
        <v>1</v>
      </c>
      <c r="AL273" t="n">
        <v>1</v>
      </c>
      <c r="AM273" t="n">
        <v>1</v>
      </c>
      <c r="AN273" t="n">
        <v>1</v>
      </c>
      <c r="AO273" t="n">
        <v>1</v>
      </c>
      <c r="AP273" t="n">
        <v>1</v>
      </c>
      <c r="AQ273" t="n">
        <v>1</v>
      </c>
      <c r="AR273" t="n">
        <v>1</v>
      </c>
      <c r="AS273" t="n">
        <v>1</v>
      </c>
      <c r="AT273" t="n">
        <v>1</v>
      </c>
      <c r="AU273" t="n">
        <v>1</v>
      </c>
      <c r="AV273" t="n">
        <v>1</v>
      </c>
      <c r="AW273" t="n">
        <v>1</v>
      </c>
      <c r="AX273" t="n">
        <v>1</v>
      </c>
      <c r="AY273" t="n">
        <v>1</v>
      </c>
      <c r="AZ273" t="n">
        <v>1</v>
      </c>
      <c r="BA273" t="n">
        <v>1</v>
      </c>
      <c r="BB273" t="n">
        <v>1</v>
      </c>
      <c r="BC273" t="n">
        <v>1</v>
      </c>
      <c r="BD273" t="n">
        <v>1</v>
      </c>
      <c r="BE273" t="n">
        <v>1</v>
      </c>
      <c r="BF273" t="n">
        <v>1</v>
      </c>
      <c r="BG273" t="n">
        <v>1</v>
      </c>
      <c r="BH273" t="n">
        <v>1</v>
      </c>
      <c r="BI273" t="n">
        <v>1</v>
      </c>
      <c r="BJ273" t="n">
        <v>-1</v>
      </c>
      <c r="BK273" t="n">
        <v>-1</v>
      </c>
      <c r="BL273" t="n">
        <v>-1</v>
      </c>
    </row>
    <row r="274">
      <c r="A274" t="inlineStr">
        <is>
          <t>Motorbike, battery electric, 4-11kW - 2030 - LFP - CH</t>
        </is>
      </c>
      <c r="B274" t="n">
        <v>1</v>
      </c>
      <c r="C274" s="2">
        <f>'vehicles specifications'!S141</f>
        <v>65.433826960328489</v>
      </c>
      <c r="D274" t="n">
        <v>1</v>
      </c>
      <c r="E274" t="n">
        <v>1</v>
      </c>
      <c r="F274">
        <f>1+'vehicles specifications'!AD141</f>
        <v>1.25</v>
      </c>
      <c r="G274">
        <f>1+'vehicles specifications'!AD141</f>
        <v>1.25</v>
      </c>
      <c r="J274" t="n">
        <v>1</v>
      </c>
      <c r="K274">
        <f>1/('fuels and tailpipe emissions'!$C$3*3.6)</f>
        <v>2.3474178403755867E-2</v>
      </c>
      <c r="L274">
        <f>1/3.6*1.1</f>
        <v>0.30555555555555558</v>
      </c>
      <c r="M274">
        <f>1/'vehicles specifications'!J141</f>
        <v>4.0000000000000003E-5</v>
      </c>
      <c r="N274" t="n">
        <v>1</v>
      </c>
      <c r="O274">
        <f>1</f>
        <v>1</v>
      </c>
      <c r="P274" t="n">
        <v>1</v>
      </c>
      <c r="Q274" t="n">
        <v>1</v>
      </c>
      <c r="R274">
        <f>-1-'vehicles specifications'!AD141</f>
        <v>-1.25</v>
      </c>
      <c r="S274" t="n">
        <v>1</v>
      </c>
      <c r="T274" t="n">
        <v>1</v>
      </c>
      <c r="U274" t="n">
        <v>1</v>
      </c>
      <c r="V274" t="n">
        <v>1</v>
      </c>
      <c r="W274" t="n">
        <v>1</v>
      </c>
      <c r="X274" t="n">
        <v>1</v>
      </c>
      <c r="Y274" t="n">
        <v>1</v>
      </c>
      <c r="Z274" t="n">
        <v>1</v>
      </c>
      <c r="AA274" t="n">
        <v>1</v>
      </c>
      <c r="AB274" t="n">
        <v>1</v>
      </c>
      <c r="AC274" t="n">
        <v>1</v>
      </c>
      <c r="AD274" t="n">
        <v>1</v>
      </c>
      <c r="AE274" t="n">
        <v>1</v>
      </c>
      <c r="AF274" t="n">
        <v>1</v>
      </c>
      <c r="AG274" t="n">
        <v>1</v>
      </c>
      <c r="AH274" t="n">
        <v>1</v>
      </c>
      <c r="AI274" t="n">
        <v>1</v>
      </c>
      <c r="AJ274" t="n">
        <v>1</v>
      </c>
      <c r="AK274" t="n">
        <v>1</v>
      </c>
      <c r="AL274" t="n">
        <v>1</v>
      </c>
      <c r="AM274" t="n">
        <v>1</v>
      </c>
      <c r="AN274" t="n">
        <v>1</v>
      </c>
      <c r="AO274" t="n">
        <v>1</v>
      </c>
      <c r="AP274" t="n">
        <v>1</v>
      </c>
      <c r="AQ274" t="n">
        <v>1</v>
      </c>
      <c r="AR274" t="n">
        <v>1</v>
      </c>
      <c r="AS274" t="n">
        <v>1</v>
      </c>
      <c r="AT274" t="n">
        <v>1</v>
      </c>
      <c r="AU274" t="n">
        <v>1</v>
      </c>
      <c r="AV274" t="n">
        <v>1</v>
      </c>
      <c r="AW274" t="n">
        <v>1</v>
      </c>
      <c r="AX274" t="n">
        <v>1</v>
      </c>
      <c r="AY274" t="n">
        <v>1</v>
      </c>
      <c r="AZ274" t="n">
        <v>1</v>
      </c>
      <c r="BA274" t="n">
        <v>1</v>
      </c>
      <c r="BB274" t="n">
        <v>1</v>
      </c>
      <c r="BC274" t="n">
        <v>1</v>
      </c>
      <c r="BD274" t="n">
        <v>1</v>
      </c>
      <c r="BE274" t="n">
        <v>1</v>
      </c>
      <c r="BF274" t="n">
        <v>1</v>
      </c>
      <c r="BG274" t="n">
        <v>1</v>
      </c>
      <c r="BH274" t="n">
        <v>1</v>
      </c>
      <c r="BI274" t="n">
        <v>1</v>
      </c>
      <c r="BJ274" t="n">
        <v>-1</v>
      </c>
      <c r="BK274" t="n">
        <v>-1</v>
      </c>
      <c r="BL274" t="n">
        <v>-1</v>
      </c>
    </row>
    <row r="275">
      <c r="A275" t="inlineStr">
        <is>
          <t>Motorbike, battery electric, 4-11kW - 2040 - LFP - CH</t>
        </is>
      </c>
      <c r="B275" t="n">
        <v>1</v>
      </c>
      <c r="C275" s="2">
        <f>'vehicles specifications'!S142</f>
        <v>65.433826960328489</v>
      </c>
      <c r="D275" t="n">
        <v>1</v>
      </c>
      <c r="E275" t="n">
        <v>1</v>
      </c>
      <c r="F275">
        <f>1+'vehicles specifications'!AD142</f>
        <v>1</v>
      </c>
      <c r="G275">
        <f>1+'vehicles specifications'!AD142</f>
        <v>1</v>
      </c>
      <c r="J275" t="n">
        <v>1</v>
      </c>
      <c r="K275">
        <f>1/('fuels and tailpipe emissions'!$C$3*3.6)</f>
        <v>2.3474178403755867E-2</v>
      </c>
      <c r="L275">
        <f>1/3.6*1.1</f>
        <v>0.30555555555555558</v>
      </c>
      <c r="M275">
        <f>1/'vehicles specifications'!J142</f>
        <v>4.0000000000000003E-5</v>
      </c>
      <c r="N275" t="n">
        <v>1</v>
      </c>
      <c r="O275">
        <f>1</f>
        <v>1</v>
      </c>
      <c r="P275" t="n">
        <v>1</v>
      </c>
      <c r="Q275" t="n">
        <v>1</v>
      </c>
      <c r="R275">
        <f>-1-'vehicles specifications'!AD142</f>
        <v>-1</v>
      </c>
      <c r="S275" t="n">
        <v>1</v>
      </c>
      <c r="T275" t="n">
        <v>1</v>
      </c>
      <c r="U275" t="n">
        <v>1</v>
      </c>
      <c r="V275" t="n">
        <v>1</v>
      </c>
      <c r="W275" t="n">
        <v>1</v>
      </c>
      <c r="X275" t="n">
        <v>1</v>
      </c>
      <c r="Y275" t="n">
        <v>1</v>
      </c>
      <c r="Z275" t="n">
        <v>1</v>
      </c>
      <c r="AA275" t="n">
        <v>1</v>
      </c>
      <c r="AB275" t="n">
        <v>1</v>
      </c>
      <c r="AC275" t="n">
        <v>1</v>
      </c>
      <c r="AD275" t="n">
        <v>1</v>
      </c>
      <c r="AE275" t="n">
        <v>1</v>
      </c>
      <c r="AF275" t="n">
        <v>1</v>
      </c>
      <c r="AG275" t="n">
        <v>1</v>
      </c>
      <c r="AH275" t="n">
        <v>1</v>
      </c>
      <c r="AI275" t="n">
        <v>1</v>
      </c>
      <c r="AJ275" t="n">
        <v>1</v>
      </c>
      <c r="AK275" t="n">
        <v>1</v>
      </c>
      <c r="AL275" t="n">
        <v>1</v>
      </c>
      <c r="AM275" t="n">
        <v>1</v>
      </c>
      <c r="AN275" t="n">
        <v>1</v>
      </c>
      <c r="AO275" t="n">
        <v>1</v>
      </c>
      <c r="AP275" t="n">
        <v>1</v>
      </c>
      <c r="AQ275" t="n">
        <v>1</v>
      </c>
      <c r="AR275" t="n">
        <v>1</v>
      </c>
      <c r="AS275" t="n">
        <v>1</v>
      </c>
      <c r="AT275" t="n">
        <v>1</v>
      </c>
      <c r="AU275" t="n">
        <v>1</v>
      </c>
      <c r="AV275" t="n">
        <v>1</v>
      </c>
      <c r="AW275" t="n">
        <v>1</v>
      </c>
      <c r="AX275" t="n">
        <v>1</v>
      </c>
      <c r="AY275" t="n">
        <v>1</v>
      </c>
      <c r="AZ275" t="n">
        <v>1</v>
      </c>
      <c r="BA275" t="n">
        <v>1</v>
      </c>
      <c r="BB275" t="n">
        <v>1</v>
      </c>
      <c r="BC275" t="n">
        <v>1</v>
      </c>
      <c r="BD275" t="n">
        <v>1</v>
      </c>
      <c r="BE275" t="n">
        <v>1</v>
      </c>
      <c r="BF275" t="n">
        <v>1</v>
      </c>
      <c r="BG275" t="n">
        <v>1</v>
      </c>
      <c r="BH275" t="n">
        <v>1</v>
      </c>
      <c r="BI275" t="n">
        <v>1</v>
      </c>
      <c r="BJ275" t="n">
        <v>-1</v>
      </c>
      <c r="BK275" t="n">
        <v>-1</v>
      </c>
      <c r="BL275" t="n">
        <v>-1</v>
      </c>
    </row>
    <row r="276">
      <c r="A276" t="inlineStr">
        <is>
          <t>Motorbike, battery electric, 4-11kW - 2050 - LFP - CH</t>
        </is>
      </c>
      <c r="B276" t="n">
        <v>1</v>
      </c>
      <c r="C276" s="2">
        <f>'vehicles specifications'!S143</f>
        <v>81</v>
      </c>
      <c r="D276" t="n">
        <v>1</v>
      </c>
      <c r="E276" t="n">
        <v>1</v>
      </c>
      <c r="F276">
        <f>1+'vehicles specifications'!AD143</f>
        <v>2</v>
      </c>
      <c r="G276">
        <f>1+'vehicles specifications'!AD143</f>
        <v>2</v>
      </c>
      <c r="J276" t="n">
        <v>1</v>
      </c>
      <c r="K276">
        <f>1/('fuels and tailpipe emissions'!$C$3*3.6)</f>
        <v>2.3474178403755867E-2</v>
      </c>
      <c r="L276">
        <f>1/3.6*1.1</f>
        <v>0.30555555555555558</v>
      </c>
      <c r="M276">
        <f>1/'vehicles specifications'!J143</f>
        <v>2.5974025974025975E-5</v>
      </c>
      <c r="N276" t="n">
        <v>1</v>
      </c>
      <c r="O276">
        <f>1</f>
        <v>1</v>
      </c>
      <c r="P276" t="n">
        <v>1</v>
      </c>
      <c r="Q276" t="n">
        <v>1</v>
      </c>
      <c r="R276">
        <f>-1-'vehicles specifications'!AD143</f>
        <v>-2</v>
      </c>
      <c r="S276" t="n">
        <v>1</v>
      </c>
      <c r="T276" t="n">
        <v>1</v>
      </c>
      <c r="U276" t="n">
        <v>1</v>
      </c>
      <c r="V276" t="n">
        <v>1</v>
      </c>
      <c r="W276" t="n">
        <v>1</v>
      </c>
      <c r="X276" t="n">
        <v>1</v>
      </c>
      <c r="Y276" t="n">
        <v>1</v>
      </c>
      <c r="Z276" t="n">
        <v>1</v>
      </c>
      <c r="AA276" t="n">
        <v>1</v>
      </c>
      <c r="AB276" t="n">
        <v>1</v>
      </c>
      <c r="AC276" t="n">
        <v>1</v>
      </c>
      <c r="AD276" t="n">
        <v>1</v>
      </c>
      <c r="AE276" t="n">
        <v>1</v>
      </c>
      <c r="AF276" t="n">
        <v>1</v>
      </c>
      <c r="AG276" t="n">
        <v>1</v>
      </c>
      <c r="AH276" t="n">
        <v>1</v>
      </c>
      <c r="AI276" t="n">
        <v>1</v>
      </c>
      <c r="AJ276" t="n">
        <v>1</v>
      </c>
      <c r="AK276" t="n">
        <v>1</v>
      </c>
      <c r="AL276" t="n">
        <v>1</v>
      </c>
      <c r="AM276" t="n">
        <v>1</v>
      </c>
      <c r="AN276" t="n">
        <v>1</v>
      </c>
      <c r="AO276" t="n">
        <v>1</v>
      </c>
      <c r="AP276" t="n">
        <v>1</v>
      </c>
      <c r="AQ276" t="n">
        <v>1</v>
      </c>
      <c r="AR276" t="n">
        <v>1</v>
      </c>
      <c r="AS276" t="n">
        <v>1</v>
      </c>
      <c r="AT276" t="n">
        <v>1</v>
      </c>
      <c r="AU276" t="n">
        <v>1</v>
      </c>
      <c r="AV276" t="n">
        <v>1</v>
      </c>
      <c r="AW276" t="n">
        <v>1</v>
      </c>
      <c r="AX276" t="n">
        <v>1</v>
      </c>
      <c r="AY276" t="n">
        <v>1</v>
      </c>
      <c r="AZ276" t="n">
        <v>1</v>
      </c>
      <c r="BA276" t="n">
        <v>1</v>
      </c>
      <c r="BB276" t="n">
        <v>1</v>
      </c>
      <c r="BC276" t="n">
        <v>1</v>
      </c>
      <c r="BD276" t="n">
        <v>1</v>
      </c>
      <c r="BE276" t="n">
        <v>1</v>
      </c>
      <c r="BF276" t="n">
        <v>1</v>
      </c>
      <c r="BG276" t="n">
        <v>1</v>
      </c>
      <c r="BH276" t="n">
        <v>1</v>
      </c>
      <c r="BI276" t="n">
        <v>1</v>
      </c>
      <c r="BJ276" t="n">
        <v>-1</v>
      </c>
      <c r="BK276" t="n">
        <v>-1</v>
      </c>
      <c r="BL276" t="n">
        <v>-1</v>
      </c>
    </row>
    <row r="277">
      <c r="A277" t="inlineStr">
        <is>
          <t>Motorbike, battery electric, 11-35kW - 2020 - LFP - CH</t>
        </is>
      </c>
      <c r="B277" t="n">
        <v>1</v>
      </c>
      <c r="C277" s="2">
        <f>'vehicles specifications'!S144</f>
        <v>81</v>
      </c>
      <c r="D277" t="n">
        <v>1</v>
      </c>
      <c r="E277" t="n">
        <v>1</v>
      </c>
      <c r="F277">
        <f>1+'vehicles specifications'!AD144</f>
        <v>1.5</v>
      </c>
      <c r="G277">
        <f>1+'vehicles specifications'!AD144</f>
        <v>1.5</v>
      </c>
      <c r="J277" t="n">
        <v>1</v>
      </c>
      <c r="K277">
        <f>1/('fuels and tailpipe emissions'!$C$3*3.6)</f>
        <v>2.3474178403755867E-2</v>
      </c>
      <c r="L277">
        <f>1/3.6*1.1</f>
        <v>0.30555555555555558</v>
      </c>
      <c r="M277">
        <f>1/'vehicles specifications'!J144</f>
        <v>2.5974025974025975E-5</v>
      </c>
      <c r="N277" t="n">
        <v>1</v>
      </c>
      <c r="O277">
        <f>1</f>
        <v>1</v>
      </c>
      <c r="P277" t="n">
        <v>1</v>
      </c>
      <c r="Q277" t="n">
        <v>1</v>
      </c>
      <c r="R277">
        <f>-1-'vehicles specifications'!AD144</f>
        <v>-1.5</v>
      </c>
      <c r="S277" t="n">
        <v>1</v>
      </c>
      <c r="T277" t="n">
        <v>1</v>
      </c>
      <c r="U277" t="n">
        <v>1</v>
      </c>
      <c r="V277" t="n">
        <v>1</v>
      </c>
      <c r="W277" t="n">
        <v>1</v>
      </c>
      <c r="X277" t="n">
        <v>1</v>
      </c>
      <c r="Y277" t="n">
        <v>1</v>
      </c>
      <c r="Z277" t="n">
        <v>1</v>
      </c>
      <c r="AA277" t="n">
        <v>1</v>
      </c>
      <c r="AB277" t="n">
        <v>1</v>
      </c>
      <c r="AC277" t="n">
        <v>1</v>
      </c>
      <c r="AD277" t="n">
        <v>1</v>
      </c>
      <c r="AE277" t="n">
        <v>1</v>
      </c>
      <c r="AF277" t="n">
        <v>1</v>
      </c>
      <c r="AG277" t="n">
        <v>1</v>
      </c>
      <c r="AH277" t="n">
        <v>1</v>
      </c>
      <c r="AI277" t="n">
        <v>1</v>
      </c>
      <c r="AJ277" t="n">
        <v>1</v>
      </c>
      <c r="AK277" t="n">
        <v>1</v>
      </c>
      <c r="AL277" t="n">
        <v>1</v>
      </c>
      <c r="AM277" t="n">
        <v>1</v>
      </c>
      <c r="AN277" t="n">
        <v>1</v>
      </c>
      <c r="AO277" t="n">
        <v>1</v>
      </c>
      <c r="AP277" t="n">
        <v>1</v>
      </c>
      <c r="AQ277" t="n">
        <v>1</v>
      </c>
      <c r="AR277" t="n">
        <v>1</v>
      </c>
      <c r="AS277" t="n">
        <v>1</v>
      </c>
      <c r="AT277" t="n">
        <v>1</v>
      </c>
      <c r="AU277" t="n">
        <v>1</v>
      </c>
      <c r="AV277" t="n">
        <v>1</v>
      </c>
      <c r="AW277" t="n">
        <v>1</v>
      </c>
      <c r="AX277" t="n">
        <v>1</v>
      </c>
      <c r="AY277" t="n">
        <v>1</v>
      </c>
      <c r="AZ277" t="n">
        <v>1</v>
      </c>
      <c r="BA277" t="n">
        <v>1</v>
      </c>
      <c r="BB277" t="n">
        <v>1</v>
      </c>
      <c r="BC277" t="n">
        <v>1</v>
      </c>
      <c r="BD277" t="n">
        <v>1</v>
      </c>
      <c r="BE277" t="n">
        <v>1</v>
      </c>
      <c r="BF277" t="n">
        <v>1</v>
      </c>
      <c r="BG277" t="n">
        <v>1</v>
      </c>
      <c r="BH277" t="n">
        <v>1</v>
      </c>
      <c r="BI277" t="n">
        <v>1</v>
      </c>
      <c r="BJ277" t="n">
        <v>-1</v>
      </c>
      <c r="BK277" t="n">
        <v>-1</v>
      </c>
      <c r="BL277" t="n">
        <v>-1</v>
      </c>
    </row>
    <row r="278">
      <c r="A278" t="inlineStr">
        <is>
          <t>Motorbike, battery electric, 11-35kW - 2030 - LFP - CH</t>
        </is>
      </c>
      <c r="B278" t="n">
        <v>1</v>
      </c>
      <c r="C278" s="2">
        <f>'vehicles specifications'!S145</f>
        <v>81</v>
      </c>
      <c r="D278" t="n">
        <v>1</v>
      </c>
      <c r="E278" t="n">
        <v>1</v>
      </c>
      <c r="F278">
        <f>1+'vehicles specifications'!AD145</f>
        <v>1.25</v>
      </c>
      <c r="G278">
        <f>1+'vehicles specifications'!AD145</f>
        <v>1.25</v>
      </c>
      <c r="J278" t="n">
        <v>1</v>
      </c>
      <c r="K278">
        <f>1/('fuels and tailpipe emissions'!$C$3*3.6)</f>
        <v>2.3474178403755867E-2</v>
      </c>
      <c r="L278">
        <f>1/3.6*1.1</f>
        <v>0.30555555555555558</v>
      </c>
      <c r="M278">
        <f>1/'vehicles specifications'!J145</f>
        <v>2.5974025974025975E-5</v>
      </c>
      <c r="N278" t="n">
        <v>1</v>
      </c>
      <c r="O278">
        <f>1</f>
        <v>1</v>
      </c>
      <c r="P278" t="n">
        <v>1</v>
      </c>
      <c r="Q278" t="n">
        <v>1</v>
      </c>
      <c r="R278">
        <f>-1-'vehicles specifications'!AD145</f>
        <v>-1.25</v>
      </c>
      <c r="S278" t="n">
        <v>1</v>
      </c>
      <c r="T278" t="n">
        <v>1</v>
      </c>
      <c r="U278" t="n">
        <v>1</v>
      </c>
      <c r="V278" t="n">
        <v>1</v>
      </c>
      <c r="W278" t="n">
        <v>1</v>
      </c>
      <c r="X278" t="n">
        <v>1</v>
      </c>
      <c r="Y278" t="n">
        <v>1</v>
      </c>
      <c r="Z278" t="n">
        <v>1</v>
      </c>
      <c r="AA278" t="n">
        <v>1</v>
      </c>
      <c r="AB278" t="n">
        <v>1</v>
      </c>
      <c r="AC278" t="n">
        <v>1</v>
      </c>
      <c r="AD278" t="n">
        <v>1</v>
      </c>
      <c r="AE278" t="n">
        <v>1</v>
      </c>
      <c r="AF278" t="n">
        <v>1</v>
      </c>
      <c r="AG278" t="n">
        <v>1</v>
      </c>
      <c r="AH278" t="n">
        <v>1</v>
      </c>
      <c r="AI278" t="n">
        <v>1</v>
      </c>
      <c r="AJ278" t="n">
        <v>1</v>
      </c>
      <c r="AK278" t="n">
        <v>1</v>
      </c>
      <c r="AL278" t="n">
        <v>1</v>
      </c>
      <c r="AM278" t="n">
        <v>1</v>
      </c>
      <c r="AN278" t="n">
        <v>1</v>
      </c>
      <c r="AO278" t="n">
        <v>1</v>
      </c>
      <c r="AP278" t="n">
        <v>1</v>
      </c>
      <c r="AQ278" t="n">
        <v>1</v>
      </c>
      <c r="AR278" t="n">
        <v>1</v>
      </c>
      <c r="AS278" t="n">
        <v>1</v>
      </c>
      <c r="AT278" t="n">
        <v>1</v>
      </c>
      <c r="AU278" t="n">
        <v>1</v>
      </c>
      <c r="AV278" t="n">
        <v>1</v>
      </c>
      <c r="AW278" t="n">
        <v>1</v>
      </c>
      <c r="AX278" t="n">
        <v>1</v>
      </c>
      <c r="AY278" t="n">
        <v>1</v>
      </c>
      <c r="AZ278" t="n">
        <v>1</v>
      </c>
      <c r="BA278" t="n">
        <v>1</v>
      </c>
      <c r="BB278" t="n">
        <v>1</v>
      </c>
      <c r="BC278" t="n">
        <v>1</v>
      </c>
      <c r="BD278" t="n">
        <v>1</v>
      </c>
      <c r="BE278" t="n">
        <v>1</v>
      </c>
      <c r="BF278" t="n">
        <v>1</v>
      </c>
      <c r="BG278" t="n">
        <v>1</v>
      </c>
      <c r="BH278" t="n">
        <v>1</v>
      </c>
      <c r="BI278" t="n">
        <v>1</v>
      </c>
      <c r="BJ278" t="n">
        <v>-1</v>
      </c>
      <c r="BK278" t="n">
        <v>-1</v>
      </c>
      <c r="BL278" t="n">
        <v>-1</v>
      </c>
    </row>
    <row r="279">
      <c r="A279" t="inlineStr">
        <is>
          <t>Motorbike, battery electric, 11-35kW - 2040 - LFP - CH</t>
        </is>
      </c>
      <c r="B279" t="n">
        <v>1</v>
      </c>
      <c r="C279" s="2">
        <f>'vehicles specifications'!S146</f>
        <v>81</v>
      </c>
      <c r="D279" t="n">
        <v>1</v>
      </c>
      <c r="E279" t="n">
        <v>1</v>
      </c>
      <c r="F279">
        <f>1+'vehicles specifications'!AD146</f>
        <v>1</v>
      </c>
      <c r="G279">
        <f>1+'vehicles specifications'!AD146</f>
        <v>1</v>
      </c>
      <c r="J279" t="n">
        <v>1</v>
      </c>
      <c r="K279">
        <f>1/('fuels and tailpipe emissions'!$C$3*3.6)</f>
        <v>2.3474178403755867E-2</v>
      </c>
      <c r="L279">
        <f>1/3.6*1.1</f>
        <v>0.30555555555555558</v>
      </c>
      <c r="M279">
        <f>1/'vehicles specifications'!J146</f>
        <v>2.5974025974025975E-5</v>
      </c>
      <c r="N279" t="n">
        <v>1</v>
      </c>
      <c r="O279">
        <f>1</f>
        <v>1</v>
      </c>
      <c r="P279" t="n">
        <v>1</v>
      </c>
      <c r="Q279" t="n">
        <v>1</v>
      </c>
      <c r="R279">
        <f>-1-'vehicles specifications'!AD146</f>
        <v>-1</v>
      </c>
      <c r="S279" t="n">
        <v>1</v>
      </c>
      <c r="T279" t="n">
        <v>1</v>
      </c>
      <c r="U279" t="n">
        <v>1</v>
      </c>
      <c r="V279" t="n">
        <v>1</v>
      </c>
      <c r="W279" t="n">
        <v>1</v>
      </c>
      <c r="X279" t="n">
        <v>1</v>
      </c>
      <c r="Y279" t="n">
        <v>1</v>
      </c>
      <c r="Z279" t="n">
        <v>1</v>
      </c>
      <c r="AA279" t="n">
        <v>1</v>
      </c>
      <c r="AB279" t="n">
        <v>1</v>
      </c>
      <c r="AC279" t="n">
        <v>1</v>
      </c>
      <c r="AD279" t="n">
        <v>1</v>
      </c>
      <c r="AE279" t="n">
        <v>1</v>
      </c>
      <c r="AF279" t="n">
        <v>1</v>
      </c>
      <c r="AG279" t="n">
        <v>1</v>
      </c>
      <c r="AH279" t="n">
        <v>1</v>
      </c>
      <c r="AI279" t="n">
        <v>1</v>
      </c>
      <c r="AJ279" t="n">
        <v>1</v>
      </c>
      <c r="AK279" t="n">
        <v>1</v>
      </c>
      <c r="AL279" t="n">
        <v>1</v>
      </c>
      <c r="AM279" t="n">
        <v>1</v>
      </c>
      <c r="AN279" t="n">
        <v>1</v>
      </c>
      <c r="AO279" t="n">
        <v>1</v>
      </c>
      <c r="AP279" t="n">
        <v>1</v>
      </c>
      <c r="AQ279" t="n">
        <v>1</v>
      </c>
      <c r="AR279" t="n">
        <v>1</v>
      </c>
      <c r="AS279" t="n">
        <v>1</v>
      </c>
      <c r="AT279" t="n">
        <v>1</v>
      </c>
      <c r="AU279" t="n">
        <v>1</v>
      </c>
      <c r="AV279" t="n">
        <v>1</v>
      </c>
      <c r="AW279" t="n">
        <v>1</v>
      </c>
      <c r="AX279" t="n">
        <v>1</v>
      </c>
      <c r="AY279" t="n">
        <v>1</v>
      </c>
      <c r="AZ279" t="n">
        <v>1</v>
      </c>
      <c r="BA279" t="n">
        <v>1</v>
      </c>
      <c r="BB279" t="n">
        <v>1</v>
      </c>
      <c r="BC279" t="n">
        <v>1</v>
      </c>
      <c r="BD279" t="n">
        <v>1</v>
      </c>
      <c r="BE279" t="n">
        <v>1</v>
      </c>
      <c r="BF279" t="n">
        <v>1</v>
      </c>
      <c r="BG279" t="n">
        <v>1</v>
      </c>
      <c r="BH279" t="n">
        <v>1</v>
      </c>
      <c r="BI279" t="n">
        <v>1</v>
      </c>
      <c r="BJ279" t="n">
        <v>-1</v>
      </c>
      <c r="BK279" t="n">
        <v>-1</v>
      </c>
      <c r="BL279" t="n">
        <v>-1</v>
      </c>
    </row>
    <row r="280">
      <c r="A280" t="inlineStr">
        <is>
          <t>Motorbike, battery electric, 11-35kW - 2050 - LFP - CH</t>
        </is>
      </c>
      <c r="B280" t="n">
        <v>1</v>
      </c>
      <c r="C280" s="2">
        <f>'vehicles specifications'!S147</f>
        <v>111</v>
      </c>
      <c r="D280" t="n">
        <v>1</v>
      </c>
      <c r="E280" t="n">
        <v>1</v>
      </c>
      <c r="F280">
        <f>1+'vehicles specifications'!AD147</f>
        <v>2</v>
      </c>
      <c r="G280">
        <f>1+'vehicles specifications'!AD147</f>
        <v>2</v>
      </c>
      <c r="J280" t="n">
        <v>1</v>
      </c>
      <c r="K280">
        <f>1/('fuels and tailpipe emissions'!$C$3*3.6)</f>
        <v>2.3474178403755867E-2</v>
      </c>
      <c r="L280">
        <f>1/3.6*1.1</f>
        <v>0.30555555555555558</v>
      </c>
      <c r="M280">
        <f>1/'vehicles specifications'!J147</f>
        <v>2.4691358024691357E-5</v>
      </c>
      <c r="N280" t="n">
        <v>1</v>
      </c>
      <c r="O280">
        <f>1</f>
        <v>1</v>
      </c>
      <c r="P280" t="n">
        <v>1</v>
      </c>
      <c r="Q280" t="n">
        <v>1</v>
      </c>
      <c r="R280">
        <f>-1-'vehicles specifications'!AD147</f>
        <v>-2</v>
      </c>
      <c r="S280" t="n">
        <v>1</v>
      </c>
      <c r="T280" t="n">
        <v>1</v>
      </c>
      <c r="U280" t="n">
        <v>1</v>
      </c>
      <c r="V280" t="n">
        <v>1</v>
      </c>
      <c r="W280" t="n">
        <v>1</v>
      </c>
      <c r="X280" t="n">
        <v>1</v>
      </c>
      <c r="Y280" t="n">
        <v>1</v>
      </c>
      <c r="Z280" t="n">
        <v>1</v>
      </c>
      <c r="AA280" t="n">
        <v>1</v>
      </c>
      <c r="AB280" t="n">
        <v>1</v>
      </c>
      <c r="AC280" t="n">
        <v>1</v>
      </c>
      <c r="AD280" t="n">
        <v>1</v>
      </c>
      <c r="AE280" t="n">
        <v>1</v>
      </c>
      <c r="AF280" t="n">
        <v>1</v>
      </c>
      <c r="AG280" t="n">
        <v>1</v>
      </c>
      <c r="AH280" t="n">
        <v>1</v>
      </c>
      <c r="AI280" t="n">
        <v>1</v>
      </c>
      <c r="AJ280" t="n">
        <v>1</v>
      </c>
      <c r="AK280" t="n">
        <v>1</v>
      </c>
      <c r="AL280" t="n">
        <v>1</v>
      </c>
      <c r="AM280" t="n">
        <v>1</v>
      </c>
      <c r="AN280" t="n">
        <v>1</v>
      </c>
      <c r="AO280" t="n">
        <v>1</v>
      </c>
      <c r="AP280" t="n">
        <v>1</v>
      </c>
      <c r="AQ280" t="n">
        <v>1</v>
      </c>
      <c r="AR280" t="n">
        <v>1</v>
      </c>
      <c r="AS280" t="n">
        <v>1</v>
      </c>
      <c r="AT280" t="n">
        <v>1</v>
      </c>
      <c r="AU280" t="n">
        <v>1</v>
      </c>
      <c r="AV280" t="n">
        <v>1</v>
      </c>
      <c r="AW280" t="n">
        <v>1</v>
      </c>
      <c r="AX280" t="n">
        <v>1</v>
      </c>
      <c r="AY280" t="n">
        <v>1</v>
      </c>
      <c r="AZ280" t="n">
        <v>1</v>
      </c>
      <c r="BA280" t="n">
        <v>1</v>
      </c>
      <c r="BB280" t="n">
        <v>1</v>
      </c>
      <c r="BC280" t="n">
        <v>1</v>
      </c>
      <c r="BD280" t="n">
        <v>1</v>
      </c>
      <c r="BE280" t="n">
        <v>1</v>
      </c>
      <c r="BF280" t="n">
        <v>1</v>
      </c>
      <c r="BG280" t="n">
        <v>1</v>
      </c>
      <c r="BH280" t="n">
        <v>1</v>
      </c>
      <c r="BI280" t="n">
        <v>1</v>
      </c>
      <c r="BJ280" t="n">
        <v>-1</v>
      </c>
      <c r="BK280" t="n">
        <v>-1</v>
      </c>
      <c r="BL280" t="n">
        <v>-1</v>
      </c>
    </row>
    <row r="281">
      <c r="A281" t="inlineStr">
        <is>
          <t>Motorbike, battery electric, &gt;35kW - 2020 - LFP - CH</t>
        </is>
      </c>
      <c r="B281" t="n">
        <v>1</v>
      </c>
      <c r="C281" s="2">
        <f>'vehicles specifications'!S148</f>
        <v>111</v>
      </c>
      <c r="D281" t="n">
        <v>1</v>
      </c>
      <c r="E281" t="n">
        <v>1</v>
      </c>
      <c r="F281">
        <f>1+'vehicles specifications'!AD148</f>
        <v>1.5</v>
      </c>
      <c r="G281">
        <f>1+'vehicles specifications'!AD148</f>
        <v>1.5</v>
      </c>
      <c r="J281" t="n">
        <v>1</v>
      </c>
      <c r="K281">
        <f>1/('fuels and tailpipe emissions'!$C$3*3.6)</f>
        <v>2.3474178403755867E-2</v>
      </c>
      <c r="L281">
        <f>1/3.6*1.1</f>
        <v>0.30555555555555558</v>
      </c>
      <c r="M281">
        <f>1/'vehicles specifications'!J148</f>
        <v>2.4691358024691357E-5</v>
      </c>
      <c r="N281" t="n">
        <v>1</v>
      </c>
      <c r="O281">
        <f>1</f>
        <v>1</v>
      </c>
      <c r="P281" t="n">
        <v>1</v>
      </c>
      <c r="Q281" t="n">
        <v>1</v>
      </c>
      <c r="R281">
        <f>-1-'vehicles specifications'!AD148</f>
        <v>-1.5</v>
      </c>
      <c r="S281" t="n">
        <v>1</v>
      </c>
      <c r="T281" t="n">
        <v>1</v>
      </c>
      <c r="U281" t="n">
        <v>1</v>
      </c>
      <c r="V281" t="n">
        <v>1</v>
      </c>
      <c r="W281" t="n">
        <v>1</v>
      </c>
      <c r="X281" t="n">
        <v>1</v>
      </c>
      <c r="Y281" t="n">
        <v>1</v>
      </c>
      <c r="Z281" t="n">
        <v>1</v>
      </c>
      <c r="AA281" t="n">
        <v>1</v>
      </c>
      <c r="AB281" t="n">
        <v>1</v>
      </c>
      <c r="AC281" t="n">
        <v>1</v>
      </c>
      <c r="AD281" t="n">
        <v>1</v>
      </c>
      <c r="AE281" t="n">
        <v>1</v>
      </c>
      <c r="AF281" t="n">
        <v>1</v>
      </c>
      <c r="AG281" t="n">
        <v>1</v>
      </c>
      <c r="AH281" t="n">
        <v>1</v>
      </c>
      <c r="AI281" t="n">
        <v>1</v>
      </c>
      <c r="AJ281" t="n">
        <v>1</v>
      </c>
      <c r="AK281" t="n">
        <v>1</v>
      </c>
      <c r="AL281" t="n">
        <v>1</v>
      </c>
      <c r="AM281" t="n">
        <v>1</v>
      </c>
      <c r="AN281" t="n">
        <v>1</v>
      </c>
      <c r="AO281" t="n">
        <v>1</v>
      </c>
      <c r="AP281" t="n">
        <v>1</v>
      </c>
      <c r="AQ281" t="n">
        <v>1</v>
      </c>
      <c r="AR281" t="n">
        <v>1</v>
      </c>
      <c r="AS281" t="n">
        <v>1</v>
      </c>
      <c r="AT281" t="n">
        <v>1</v>
      </c>
      <c r="AU281" t="n">
        <v>1</v>
      </c>
      <c r="AV281" t="n">
        <v>1</v>
      </c>
      <c r="AW281" t="n">
        <v>1</v>
      </c>
      <c r="AX281" t="n">
        <v>1</v>
      </c>
      <c r="AY281" t="n">
        <v>1</v>
      </c>
      <c r="AZ281" t="n">
        <v>1</v>
      </c>
      <c r="BA281" t="n">
        <v>1</v>
      </c>
      <c r="BB281" t="n">
        <v>1</v>
      </c>
      <c r="BC281" t="n">
        <v>1</v>
      </c>
      <c r="BD281" t="n">
        <v>1</v>
      </c>
      <c r="BE281" t="n">
        <v>1</v>
      </c>
      <c r="BF281" t="n">
        <v>1</v>
      </c>
      <c r="BG281" t="n">
        <v>1</v>
      </c>
      <c r="BH281" t="n">
        <v>1</v>
      </c>
      <c r="BI281" t="n">
        <v>1</v>
      </c>
      <c r="BJ281" t="n">
        <v>-1</v>
      </c>
      <c r="BK281" t="n">
        <v>-1</v>
      </c>
      <c r="BL281" t="n">
        <v>-1</v>
      </c>
    </row>
    <row r="282">
      <c r="A282" t="inlineStr">
        <is>
          <t>Motorbike, battery electric, &gt;35kW - 2030 - LFP - CH</t>
        </is>
      </c>
      <c r="B282" t="n">
        <v>1</v>
      </c>
      <c r="C282" s="2">
        <f>'vehicles specifications'!S149</f>
        <v>111</v>
      </c>
      <c r="D282" t="n">
        <v>1</v>
      </c>
      <c r="E282" t="n">
        <v>1</v>
      </c>
      <c r="F282">
        <f>1+'vehicles specifications'!AD149</f>
        <v>1.25</v>
      </c>
      <c r="G282">
        <f>1+'vehicles specifications'!AD149</f>
        <v>1.25</v>
      </c>
      <c r="J282" t="n">
        <v>1</v>
      </c>
      <c r="K282">
        <f>1/('fuels and tailpipe emissions'!$C$3*3.6)</f>
        <v>2.3474178403755867E-2</v>
      </c>
      <c r="L282">
        <f>1/3.6*1.1</f>
        <v>0.30555555555555558</v>
      </c>
      <c r="M282">
        <f>1/'vehicles specifications'!J149</f>
        <v>2.4691358024691357E-5</v>
      </c>
      <c r="N282" t="n">
        <v>1</v>
      </c>
      <c r="O282">
        <f>1</f>
        <v>1</v>
      </c>
      <c r="P282" t="n">
        <v>1</v>
      </c>
      <c r="Q282" t="n">
        <v>1</v>
      </c>
      <c r="R282">
        <f>-1-'vehicles specifications'!AD149</f>
        <v>-1.25</v>
      </c>
      <c r="S282" t="n">
        <v>1</v>
      </c>
      <c r="T282" t="n">
        <v>1</v>
      </c>
      <c r="U282" t="n">
        <v>1</v>
      </c>
      <c r="V282" t="n">
        <v>1</v>
      </c>
      <c r="W282" t="n">
        <v>1</v>
      </c>
      <c r="X282" t="n">
        <v>1</v>
      </c>
      <c r="Y282" t="n">
        <v>1</v>
      </c>
      <c r="Z282" t="n">
        <v>1</v>
      </c>
      <c r="AA282" t="n">
        <v>1</v>
      </c>
      <c r="AB282" t="n">
        <v>1</v>
      </c>
      <c r="AC282" t="n">
        <v>1</v>
      </c>
      <c r="AD282" t="n">
        <v>1</v>
      </c>
      <c r="AE282" t="n">
        <v>1</v>
      </c>
      <c r="AF282" t="n">
        <v>1</v>
      </c>
      <c r="AG282" t="n">
        <v>1</v>
      </c>
      <c r="AH282" t="n">
        <v>1</v>
      </c>
      <c r="AI282" t="n">
        <v>1</v>
      </c>
      <c r="AJ282" t="n">
        <v>1</v>
      </c>
      <c r="AK282" t="n">
        <v>1</v>
      </c>
      <c r="AL282" t="n">
        <v>1</v>
      </c>
      <c r="AM282" t="n">
        <v>1</v>
      </c>
      <c r="AN282" t="n">
        <v>1</v>
      </c>
      <c r="AO282" t="n">
        <v>1</v>
      </c>
      <c r="AP282" t="n">
        <v>1</v>
      </c>
      <c r="AQ282" t="n">
        <v>1</v>
      </c>
      <c r="AR282" t="n">
        <v>1</v>
      </c>
      <c r="AS282" t="n">
        <v>1</v>
      </c>
      <c r="AT282" t="n">
        <v>1</v>
      </c>
      <c r="AU282" t="n">
        <v>1</v>
      </c>
      <c r="AV282" t="n">
        <v>1</v>
      </c>
      <c r="AW282" t="n">
        <v>1</v>
      </c>
      <c r="AX282" t="n">
        <v>1</v>
      </c>
      <c r="AY282" t="n">
        <v>1</v>
      </c>
      <c r="AZ282" t="n">
        <v>1</v>
      </c>
      <c r="BA282" t="n">
        <v>1</v>
      </c>
      <c r="BB282" t="n">
        <v>1</v>
      </c>
      <c r="BC282" t="n">
        <v>1</v>
      </c>
      <c r="BD282" t="n">
        <v>1</v>
      </c>
      <c r="BE282" t="n">
        <v>1</v>
      </c>
      <c r="BF282" t="n">
        <v>1</v>
      </c>
      <c r="BG282" t="n">
        <v>1</v>
      </c>
      <c r="BH282" t="n">
        <v>1</v>
      </c>
      <c r="BI282" t="n">
        <v>1</v>
      </c>
      <c r="BJ282" t="n">
        <v>-1</v>
      </c>
      <c r="BK282" t="n">
        <v>-1</v>
      </c>
      <c r="BL282" t="n">
        <v>-1</v>
      </c>
    </row>
    <row r="283">
      <c r="A283" t="inlineStr">
        <is>
          <t>Motorbike, battery electric, &gt;35kW - 2040 - LFP - CH</t>
        </is>
      </c>
      <c r="B283" t="n">
        <v>1</v>
      </c>
      <c r="C283" s="2">
        <f>'vehicles specifications'!S150</f>
        <v>111</v>
      </c>
      <c r="D283" t="n">
        <v>1</v>
      </c>
      <c r="E283" t="n">
        <v>1</v>
      </c>
      <c r="F283">
        <f>1+'vehicles specifications'!AD150</f>
        <v>1</v>
      </c>
      <c r="G283">
        <f>1+'vehicles specifications'!AD150</f>
        <v>1</v>
      </c>
      <c r="J283" t="n">
        <v>1</v>
      </c>
      <c r="K283">
        <f>1/('fuels and tailpipe emissions'!$C$3*3.6)</f>
        <v>2.3474178403755867E-2</v>
      </c>
      <c r="L283">
        <f>1/3.6*1.1</f>
        <v>0.30555555555555558</v>
      </c>
      <c r="M283">
        <f>1/'vehicles specifications'!J150</f>
        <v>2.4691358024691357E-5</v>
      </c>
      <c r="N283" t="n">
        <v>1</v>
      </c>
      <c r="O283">
        <f>1</f>
        <v>1</v>
      </c>
      <c r="P283" t="n">
        <v>1</v>
      </c>
      <c r="Q283" t="n">
        <v>1</v>
      </c>
      <c r="R283">
        <f>-1-'vehicles specifications'!AD150</f>
        <v>-1</v>
      </c>
      <c r="S283" t="n">
        <v>1</v>
      </c>
      <c r="T283" t="n">
        <v>1</v>
      </c>
      <c r="U283" t="n">
        <v>1</v>
      </c>
      <c r="V283" t="n">
        <v>1</v>
      </c>
      <c r="W283" t="n">
        <v>1</v>
      </c>
      <c r="X283" t="n">
        <v>1</v>
      </c>
      <c r="Y283" t="n">
        <v>1</v>
      </c>
      <c r="Z283" t="n">
        <v>1</v>
      </c>
      <c r="AA283" t="n">
        <v>1</v>
      </c>
      <c r="AB283" t="n">
        <v>1</v>
      </c>
      <c r="AC283" t="n">
        <v>1</v>
      </c>
      <c r="AD283" t="n">
        <v>1</v>
      </c>
      <c r="AE283" t="n">
        <v>1</v>
      </c>
      <c r="AF283" t="n">
        <v>1</v>
      </c>
      <c r="AG283" t="n">
        <v>1</v>
      </c>
      <c r="AH283" t="n">
        <v>1</v>
      </c>
      <c r="AI283" t="n">
        <v>1</v>
      </c>
      <c r="AJ283" t="n">
        <v>1</v>
      </c>
      <c r="AK283" t="n">
        <v>1</v>
      </c>
      <c r="AL283" t="n">
        <v>1</v>
      </c>
      <c r="AM283" t="n">
        <v>1</v>
      </c>
      <c r="AN283" t="n">
        <v>1</v>
      </c>
      <c r="AO283" t="n">
        <v>1</v>
      </c>
      <c r="AP283" t="n">
        <v>1</v>
      </c>
      <c r="AQ283" t="n">
        <v>1</v>
      </c>
      <c r="AR283" t="n">
        <v>1</v>
      </c>
      <c r="AS283" t="n">
        <v>1</v>
      </c>
      <c r="AT283" t="n">
        <v>1</v>
      </c>
      <c r="AU283" t="n">
        <v>1</v>
      </c>
      <c r="AV283" t="n">
        <v>1</v>
      </c>
      <c r="AW283" t="n">
        <v>1</v>
      </c>
      <c r="AX283" t="n">
        <v>1</v>
      </c>
      <c r="AY283" t="n">
        <v>1</v>
      </c>
      <c r="AZ283" t="n">
        <v>1</v>
      </c>
      <c r="BA283" t="n">
        <v>1</v>
      </c>
      <c r="BB283" t="n">
        <v>1</v>
      </c>
      <c r="BC283" t="n">
        <v>1</v>
      </c>
      <c r="BD283" t="n">
        <v>1</v>
      </c>
      <c r="BE283" t="n">
        <v>1</v>
      </c>
      <c r="BF283" t="n">
        <v>1</v>
      </c>
      <c r="BG283" t="n">
        <v>1</v>
      </c>
      <c r="BH283" t="n">
        <v>1</v>
      </c>
      <c r="BI283" t="n">
        <v>1</v>
      </c>
      <c r="BJ283" t="n">
        <v>-1</v>
      </c>
      <c r="BK283" t="n">
        <v>-1</v>
      </c>
      <c r="BL283" t="n">
        <v>-1</v>
      </c>
    </row>
    <row r="284">
      <c r="A284" t="inlineStr">
        <is>
          <t>Motorbike, battery electric, &gt;35kW - 2050 - LFP - CH</t>
        </is>
      </c>
      <c r="B284" t="n">
        <v>1</v>
      </c>
      <c r="C284" s="2">
        <f>'vehicles specifications'!S151</f>
        <v>53</v>
      </c>
      <c r="D284" t="n">
        <v>1</v>
      </c>
      <c r="E284" t="n">
        <v>1</v>
      </c>
      <c r="F284">
        <f>1+'vehicles specifications'!AD151</f>
        <v>2</v>
      </c>
      <c r="G284">
        <f>1+'vehicles specifications'!AD151</f>
        <v>2</v>
      </c>
      <c r="J284" t="n">
        <v>1</v>
      </c>
      <c r="K284">
        <f>1/('fuels and tailpipe emissions'!$C$3*3.6)</f>
        <v>2.3474178403755867E-2</v>
      </c>
      <c r="L284">
        <f>1/3.6*1.1</f>
        <v>0.30555555555555558</v>
      </c>
      <c r="M284">
        <f>1/'vehicles specifications'!J151</f>
        <v>4.0000000000000003E-5</v>
      </c>
      <c r="N284" t="n">
        <v>1</v>
      </c>
      <c r="O284">
        <f>1</f>
        <v>1</v>
      </c>
      <c r="P284" t="n">
        <v>1</v>
      </c>
      <c r="Q284" t="n">
        <v>1</v>
      </c>
      <c r="R284">
        <f>-1-'vehicles specifications'!AD151</f>
        <v>-2</v>
      </c>
      <c r="S284" t="n">
        <v>1</v>
      </c>
      <c r="T284" t="n">
        <v>1</v>
      </c>
      <c r="U284" t="n">
        <v>1</v>
      </c>
      <c r="V284" t="n">
        <v>1</v>
      </c>
      <c r="W284" t="n">
        <v>1</v>
      </c>
      <c r="X284" t="n">
        <v>1</v>
      </c>
      <c r="Y284" t="n">
        <v>1</v>
      </c>
      <c r="Z284" t="n">
        <v>1</v>
      </c>
      <c r="AA284" t="n">
        <v>1</v>
      </c>
      <c r="AB284" t="n">
        <v>1</v>
      </c>
      <c r="AC284" t="n">
        <v>1</v>
      </c>
      <c r="AD284" t="n">
        <v>1</v>
      </c>
      <c r="AE284" t="n">
        <v>1</v>
      </c>
      <c r="AF284" t="n">
        <v>1</v>
      </c>
      <c r="AG284" t="n">
        <v>1</v>
      </c>
      <c r="AH284" t="n">
        <v>1</v>
      </c>
      <c r="AI284" t="n">
        <v>1</v>
      </c>
      <c r="AJ284" t="n">
        <v>1</v>
      </c>
      <c r="AK284" t="n">
        <v>1</v>
      </c>
      <c r="AL284" t="n">
        <v>1</v>
      </c>
      <c r="AM284" t="n">
        <v>1</v>
      </c>
      <c r="AN284" t="n">
        <v>1</v>
      </c>
      <c r="AO284" t="n">
        <v>1</v>
      </c>
      <c r="AP284" t="n">
        <v>1</v>
      </c>
      <c r="AQ284" t="n">
        <v>1</v>
      </c>
      <c r="AR284" t="n">
        <v>1</v>
      </c>
      <c r="AS284" t="n">
        <v>1</v>
      </c>
      <c r="AT284" t="n">
        <v>1</v>
      </c>
      <c r="AU284" t="n">
        <v>1</v>
      </c>
      <c r="AV284" t="n">
        <v>1</v>
      </c>
      <c r="AW284" t="n">
        <v>1</v>
      </c>
      <c r="AX284" t="n">
        <v>1</v>
      </c>
      <c r="AY284" t="n">
        <v>1</v>
      </c>
      <c r="AZ284" t="n">
        <v>1</v>
      </c>
      <c r="BA284" t="n">
        <v>1</v>
      </c>
      <c r="BB284" t="n">
        <v>1</v>
      </c>
      <c r="BC284" t="n">
        <v>1</v>
      </c>
      <c r="BD284" t="n">
        <v>1</v>
      </c>
      <c r="BE284" t="n">
        <v>1</v>
      </c>
      <c r="BF284" t="n">
        <v>1</v>
      </c>
      <c r="BG284" t="n">
        <v>1</v>
      </c>
      <c r="BH284" t="n">
        <v>1</v>
      </c>
      <c r="BI284" t="n">
        <v>1</v>
      </c>
      <c r="BJ284" t="n">
        <v>-1</v>
      </c>
      <c r="BK284" t="n">
        <v>-1</v>
      </c>
      <c r="BL284" t="n">
        <v>-1</v>
      </c>
    </row>
    <row r="285">
      <c r="A285" t="inlineStr">
        <is>
          <t>Motorbike, battery electric, &lt;4kW - 2020 - NCA - CH</t>
        </is>
      </c>
      <c r="B285" t="n">
        <v>1</v>
      </c>
      <c r="C285" s="2">
        <f>'vehicles specifications'!S151</f>
        <v>53</v>
      </c>
      <c r="D285" t="n">
        <v>1</v>
      </c>
      <c r="E285" t="n">
        <v>1</v>
      </c>
      <c r="F285">
        <f>1+'vehicles specifications'!AD151</f>
        <v>2</v>
      </c>
      <c r="G285">
        <f>1+'vehicles specifications'!AD151</f>
        <v>2</v>
      </c>
      <c r="J285" t="n">
        <v>1</v>
      </c>
      <c r="K285">
        <f>1/('fuels and tailpipe emissions'!$C$3*3.6)</f>
        <v>2.3474178403755867E-2</v>
      </c>
      <c r="L285">
        <f>1/3.6*1.1</f>
        <v>0.30555555555555558</v>
      </c>
      <c r="M285">
        <f>1/'vehicles specifications'!J151</f>
        <v>4.0000000000000003E-5</v>
      </c>
      <c r="N285" t="n">
        <v>1</v>
      </c>
      <c r="O285">
        <f>1</f>
        <v>1</v>
      </c>
      <c r="P285" t="n">
        <v>1</v>
      </c>
      <c r="Q285" t="n">
        <v>1</v>
      </c>
      <c r="R285">
        <f>-1-'vehicles specifications'!AD151</f>
        <v>-2</v>
      </c>
      <c r="S285" t="n">
        <v>1</v>
      </c>
      <c r="T285" t="n">
        <v>1</v>
      </c>
      <c r="U285" t="n">
        <v>1</v>
      </c>
      <c r="V285" t="n">
        <v>1</v>
      </c>
      <c r="W285" t="n">
        <v>1</v>
      </c>
      <c r="X285" t="n">
        <v>1</v>
      </c>
      <c r="Y285" t="n">
        <v>1</v>
      </c>
      <c r="Z285" t="n">
        <v>1</v>
      </c>
      <c r="AA285" t="n">
        <v>1</v>
      </c>
      <c r="AB285" t="n">
        <v>1</v>
      </c>
      <c r="AC285" t="n">
        <v>1</v>
      </c>
      <c r="AD285" t="n">
        <v>1</v>
      </c>
      <c r="AE285" t="n">
        <v>1</v>
      </c>
      <c r="AF285" t="n">
        <v>1</v>
      </c>
      <c r="AG285" t="n">
        <v>1</v>
      </c>
      <c r="AH285" t="n">
        <v>1</v>
      </c>
      <c r="AI285" t="n">
        <v>1</v>
      </c>
      <c r="AJ285" t="n">
        <v>1</v>
      </c>
      <c r="AK285" t="n">
        <v>1</v>
      </c>
      <c r="AL285" t="n">
        <v>1</v>
      </c>
      <c r="AM285" t="n">
        <v>1</v>
      </c>
      <c r="AN285" t="n">
        <v>1</v>
      </c>
      <c r="AO285" t="n">
        <v>1</v>
      </c>
      <c r="AP285" t="n">
        <v>1</v>
      </c>
      <c r="AQ285" t="n">
        <v>1</v>
      </c>
      <c r="AR285" t="n">
        <v>1</v>
      </c>
      <c r="AS285" t="n">
        <v>1</v>
      </c>
      <c r="AT285" t="n">
        <v>1</v>
      </c>
      <c r="AU285" t="n">
        <v>1</v>
      </c>
      <c r="AV285" t="n">
        <v>1</v>
      </c>
      <c r="AW285" t="n">
        <v>1</v>
      </c>
      <c r="AX285" t="n">
        <v>1</v>
      </c>
      <c r="AY285" t="n">
        <v>1</v>
      </c>
      <c r="AZ285" t="n">
        <v>1</v>
      </c>
      <c r="BA285" t="n">
        <v>1</v>
      </c>
      <c r="BB285" t="n">
        <v>1</v>
      </c>
      <c r="BC285" t="n">
        <v>1</v>
      </c>
      <c r="BD285" t="n">
        <v>1</v>
      </c>
      <c r="BE285" t="n">
        <v>1</v>
      </c>
      <c r="BF285" t="n">
        <v>1</v>
      </c>
      <c r="BG285" t="n">
        <v>1</v>
      </c>
      <c r="BH285" t="n">
        <v>1</v>
      </c>
      <c r="BI285" t="n">
        <v>1</v>
      </c>
      <c r="BJ285" t="n">
        <v>-1</v>
      </c>
      <c r="BK285" t="n">
        <v>-1</v>
      </c>
      <c r="BL285" t="n">
        <v>-1</v>
      </c>
    </row>
    <row r="286">
      <c r="A286" t="inlineStr">
        <is>
          <t>Motorbike, battery electric, &lt;4kW - 2030 - NCA - CH</t>
        </is>
      </c>
      <c r="B286" t="n">
        <v>1</v>
      </c>
      <c r="C286" s="2">
        <f>'vehicles specifications'!S152</f>
        <v>53</v>
      </c>
      <c r="D286" t="n">
        <v>1</v>
      </c>
      <c r="E286" t="n">
        <v>1</v>
      </c>
      <c r="F286">
        <f>1+'vehicles specifications'!AD152</f>
        <v>1.5</v>
      </c>
      <c r="G286">
        <f>1+'vehicles specifications'!AD152</f>
        <v>1.5</v>
      </c>
      <c r="J286" t="n">
        <v>1</v>
      </c>
      <c r="K286">
        <f>1/('fuels and tailpipe emissions'!$C$3*3.6)</f>
        <v>2.3474178403755867E-2</v>
      </c>
      <c r="L286">
        <f>1/3.6*1.1</f>
        <v>0.30555555555555558</v>
      </c>
      <c r="M286">
        <f>1/'vehicles specifications'!J152</f>
        <v>4.0000000000000003E-5</v>
      </c>
      <c r="N286" t="n">
        <v>1</v>
      </c>
      <c r="O286">
        <f>1</f>
        <v>1</v>
      </c>
      <c r="P286" t="n">
        <v>1</v>
      </c>
      <c r="Q286" t="n">
        <v>1</v>
      </c>
      <c r="R286">
        <f>-1-'vehicles specifications'!AD152</f>
        <v>-1.5</v>
      </c>
      <c r="S286" t="n">
        <v>1</v>
      </c>
      <c r="T286" t="n">
        <v>1</v>
      </c>
      <c r="U286" t="n">
        <v>1</v>
      </c>
      <c r="V286" t="n">
        <v>1</v>
      </c>
      <c r="W286" t="n">
        <v>1</v>
      </c>
      <c r="X286" t="n">
        <v>1</v>
      </c>
      <c r="Y286" t="n">
        <v>1</v>
      </c>
      <c r="Z286" t="n">
        <v>1</v>
      </c>
      <c r="AA286" t="n">
        <v>1</v>
      </c>
      <c r="AB286" t="n">
        <v>1</v>
      </c>
      <c r="AC286" t="n">
        <v>1</v>
      </c>
      <c r="AD286" t="n">
        <v>1</v>
      </c>
      <c r="AE286" t="n">
        <v>1</v>
      </c>
      <c r="AF286" t="n">
        <v>1</v>
      </c>
      <c r="AG286" t="n">
        <v>1</v>
      </c>
      <c r="AH286" t="n">
        <v>1</v>
      </c>
      <c r="AI286" t="n">
        <v>1</v>
      </c>
      <c r="AJ286" t="n">
        <v>1</v>
      </c>
      <c r="AK286" t="n">
        <v>1</v>
      </c>
      <c r="AL286" t="n">
        <v>1</v>
      </c>
      <c r="AM286" t="n">
        <v>1</v>
      </c>
      <c r="AN286" t="n">
        <v>1</v>
      </c>
      <c r="AO286" t="n">
        <v>1</v>
      </c>
      <c r="AP286" t="n">
        <v>1</v>
      </c>
      <c r="AQ286" t="n">
        <v>1</v>
      </c>
      <c r="AR286" t="n">
        <v>1</v>
      </c>
      <c r="AS286" t="n">
        <v>1</v>
      </c>
      <c r="AT286" t="n">
        <v>1</v>
      </c>
      <c r="AU286" t="n">
        <v>1</v>
      </c>
      <c r="AV286" t="n">
        <v>1</v>
      </c>
      <c r="AW286" t="n">
        <v>1</v>
      </c>
      <c r="AX286" t="n">
        <v>1</v>
      </c>
      <c r="AY286" t="n">
        <v>1</v>
      </c>
      <c r="AZ286" t="n">
        <v>1</v>
      </c>
      <c r="BA286" t="n">
        <v>1</v>
      </c>
      <c r="BB286" t="n">
        <v>1</v>
      </c>
      <c r="BC286" t="n">
        <v>1</v>
      </c>
      <c r="BD286" t="n">
        <v>1</v>
      </c>
      <c r="BE286" t="n">
        <v>1</v>
      </c>
      <c r="BF286" t="n">
        <v>1</v>
      </c>
      <c r="BG286" t="n">
        <v>1</v>
      </c>
      <c r="BH286" t="n">
        <v>1</v>
      </c>
      <c r="BI286" t="n">
        <v>1</v>
      </c>
      <c r="BJ286" t="n">
        <v>-1</v>
      </c>
      <c r="BK286" t="n">
        <v>-1</v>
      </c>
      <c r="BL286" t="n">
        <v>-1</v>
      </c>
    </row>
    <row r="287">
      <c r="A287" t="inlineStr">
        <is>
          <t>Motorbike, battery electric, &lt;4kW - 2040 - NCA - CH</t>
        </is>
      </c>
      <c r="B287" t="n">
        <v>1</v>
      </c>
      <c r="C287" s="2">
        <f>'vehicles specifications'!S153</f>
        <v>53</v>
      </c>
      <c r="D287" t="n">
        <v>1</v>
      </c>
      <c r="E287" t="n">
        <v>1</v>
      </c>
      <c r="F287">
        <f>1+'vehicles specifications'!AD153</f>
        <v>1.25</v>
      </c>
      <c r="G287">
        <f>1+'vehicles specifications'!AD153</f>
        <v>1.25</v>
      </c>
      <c r="J287" t="n">
        <v>1</v>
      </c>
      <c r="K287">
        <f>1/('fuels and tailpipe emissions'!$C$3*3.6)</f>
        <v>2.3474178403755867E-2</v>
      </c>
      <c r="L287">
        <f>1/3.6*1.1</f>
        <v>0.30555555555555558</v>
      </c>
      <c r="M287">
        <f>1/'vehicles specifications'!J153</f>
        <v>4.0000000000000003E-5</v>
      </c>
      <c r="N287" t="n">
        <v>1</v>
      </c>
      <c r="O287">
        <f>1</f>
        <v>1</v>
      </c>
      <c r="P287" t="n">
        <v>1</v>
      </c>
      <c r="Q287" t="n">
        <v>1</v>
      </c>
      <c r="R287">
        <f>-1-'vehicles specifications'!AD153</f>
        <v>-1.25</v>
      </c>
      <c r="S287" t="n">
        <v>1</v>
      </c>
      <c r="T287" t="n">
        <v>1</v>
      </c>
      <c r="U287" t="n">
        <v>1</v>
      </c>
      <c r="V287" t="n">
        <v>1</v>
      </c>
      <c r="W287" t="n">
        <v>1</v>
      </c>
      <c r="X287" t="n">
        <v>1</v>
      </c>
      <c r="Y287" t="n">
        <v>1</v>
      </c>
      <c r="Z287" t="n">
        <v>1</v>
      </c>
      <c r="AA287" t="n">
        <v>1</v>
      </c>
      <c r="AB287" t="n">
        <v>1</v>
      </c>
      <c r="AC287" t="n">
        <v>1</v>
      </c>
      <c r="AD287" t="n">
        <v>1</v>
      </c>
      <c r="AE287" t="n">
        <v>1</v>
      </c>
      <c r="AF287" t="n">
        <v>1</v>
      </c>
      <c r="AG287" t="n">
        <v>1</v>
      </c>
      <c r="AH287" t="n">
        <v>1</v>
      </c>
      <c r="AI287" t="n">
        <v>1</v>
      </c>
      <c r="AJ287" t="n">
        <v>1</v>
      </c>
      <c r="AK287" t="n">
        <v>1</v>
      </c>
      <c r="AL287" t="n">
        <v>1</v>
      </c>
      <c r="AM287" t="n">
        <v>1</v>
      </c>
      <c r="AN287" t="n">
        <v>1</v>
      </c>
      <c r="AO287" t="n">
        <v>1</v>
      </c>
      <c r="AP287" t="n">
        <v>1</v>
      </c>
      <c r="AQ287" t="n">
        <v>1</v>
      </c>
      <c r="AR287" t="n">
        <v>1</v>
      </c>
      <c r="AS287" t="n">
        <v>1</v>
      </c>
      <c r="AT287" t="n">
        <v>1</v>
      </c>
      <c r="AU287" t="n">
        <v>1</v>
      </c>
      <c r="AV287" t="n">
        <v>1</v>
      </c>
      <c r="AW287" t="n">
        <v>1</v>
      </c>
      <c r="AX287" t="n">
        <v>1</v>
      </c>
      <c r="AY287" t="n">
        <v>1</v>
      </c>
      <c r="AZ287" t="n">
        <v>1</v>
      </c>
      <c r="BA287" t="n">
        <v>1</v>
      </c>
      <c r="BB287" t="n">
        <v>1</v>
      </c>
      <c r="BC287" t="n">
        <v>1</v>
      </c>
      <c r="BD287" t="n">
        <v>1</v>
      </c>
      <c r="BE287" t="n">
        <v>1</v>
      </c>
      <c r="BF287" t="n">
        <v>1</v>
      </c>
      <c r="BG287" t="n">
        <v>1</v>
      </c>
      <c r="BH287" t="n">
        <v>1</v>
      </c>
      <c r="BI287" t="n">
        <v>1</v>
      </c>
      <c r="BJ287" t="n">
        <v>-1</v>
      </c>
      <c r="BK287" t="n">
        <v>-1</v>
      </c>
      <c r="BL287" t="n">
        <v>-1</v>
      </c>
    </row>
    <row r="288">
      <c r="A288" t="inlineStr">
        <is>
          <t>Motorbike, battery electric, &lt;4kW - 2050 - NCA - CH</t>
        </is>
      </c>
      <c r="B288" t="n">
        <v>1</v>
      </c>
      <c r="C288" s="2">
        <f>'vehicles specifications'!S154</f>
        <v>53</v>
      </c>
      <c r="D288" t="n">
        <v>1</v>
      </c>
      <c r="E288" t="n">
        <v>1</v>
      </c>
      <c r="F288">
        <f>1+'vehicles specifications'!AD154</f>
        <v>1</v>
      </c>
      <c r="G288">
        <f>1+'vehicles specifications'!AD154</f>
        <v>1</v>
      </c>
      <c r="J288" t="n">
        <v>1</v>
      </c>
      <c r="K288">
        <f>1/('fuels and tailpipe emissions'!$C$3*3.6)</f>
        <v>2.3474178403755867E-2</v>
      </c>
      <c r="L288">
        <f>1/3.6*1.1</f>
        <v>0.30555555555555558</v>
      </c>
      <c r="M288">
        <f>1/'vehicles specifications'!J154</f>
        <v>4.0000000000000003E-5</v>
      </c>
      <c r="N288" t="n">
        <v>1</v>
      </c>
      <c r="O288">
        <f>1</f>
        <v>1</v>
      </c>
      <c r="P288" t="n">
        <v>1</v>
      </c>
      <c r="Q288" t="n">
        <v>1</v>
      </c>
      <c r="R288">
        <f>-1-'vehicles specifications'!AD154</f>
        <v>-1</v>
      </c>
      <c r="S288" t="n">
        <v>1</v>
      </c>
      <c r="T288" t="n">
        <v>1</v>
      </c>
      <c r="U288" t="n">
        <v>1</v>
      </c>
      <c r="V288" t="n">
        <v>1</v>
      </c>
      <c r="W288" t="n">
        <v>1</v>
      </c>
      <c r="X288" t="n">
        <v>1</v>
      </c>
      <c r="Y288" t="n">
        <v>1</v>
      </c>
      <c r="Z288" t="n">
        <v>1</v>
      </c>
      <c r="AA288" t="n">
        <v>1</v>
      </c>
      <c r="AB288" t="n">
        <v>1</v>
      </c>
      <c r="AC288" t="n">
        <v>1</v>
      </c>
      <c r="AD288" t="n">
        <v>1</v>
      </c>
      <c r="AE288" t="n">
        <v>1</v>
      </c>
      <c r="AF288" t="n">
        <v>1</v>
      </c>
      <c r="AG288" t="n">
        <v>1</v>
      </c>
      <c r="AH288" t="n">
        <v>1</v>
      </c>
      <c r="AI288" t="n">
        <v>1</v>
      </c>
      <c r="AJ288" t="n">
        <v>1</v>
      </c>
      <c r="AK288" t="n">
        <v>1</v>
      </c>
      <c r="AL288" t="n">
        <v>1</v>
      </c>
      <c r="AM288" t="n">
        <v>1</v>
      </c>
      <c r="AN288" t="n">
        <v>1</v>
      </c>
      <c r="AO288" t="n">
        <v>1</v>
      </c>
      <c r="AP288" t="n">
        <v>1</v>
      </c>
      <c r="AQ288" t="n">
        <v>1</v>
      </c>
      <c r="AR288" t="n">
        <v>1</v>
      </c>
      <c r="AS288" t="n">
        <v>1</v>
      </c>
      <c r="AT288" t="n">
        <v>1</v>
      </c>
      <c r="AU288" t="n">
        <v>1</v>
      </c>
      <c r="AV288" t="n">
        <v>1</v>
      </c>
      <c r="AW288" t="n">
        <v>1</v>
      </c>
      <c r="AX288" t="n">
        <v>1</v>
      </c>
      <c r="AY288" t="n">
        <v>1</v>
      </c>
      <c r="AZ288" t="n">
        <v>1</v>
      </c>
      <c r="BA288" t="n">
        <v>1</v>
      </c>
      <c r="BB288" t="n">
        <v>1</v>
      </c>
      <c r="BC288" t="n">
        <v>1</v>
      </c>
      <c r="BD288" t="n">
        <v>1</v>
      </c>
      <c r="BE288" t="n">
        <v>1</v>
      </c>
      <c r="BF288" t="n">
        <v>1</v>
      </c>
      <c r="BG288" t="n">
        <v>1</v>
      </c>
      <c r="BH288" t="n">
        <v>1</v>
      </c>
      <c r="BI288" t="n">
        <v>1</v>
      </c>
      <c r="BJ288" t="n">
        <v>-1</v>
      </c>
      <c r="BK288" t="n">
        <v>-1</v>
      </c>
      <c r="BL288" t="n">
        <v>-1</v>
      </c>
    </row>
    <row r="289">
      <c r="A289" t="inlineStr">
        <is>
          <t>Motorbike, battery electric, 4-11kW - 2020 - NCA - CH</t>
        </is>
      </c>
      <c r="B289" t="n">
        <v>1</v>
      </c>
      <c r="C289" s="2">
        <f>'vehicles specifications'!S155</f>
        <v>65.433826960328489</v>
      </c>
      <c r="D289" t="n">
        <v>1</v>
      </c>
      <c r="E289" t="n">
        <v>1</v>
      </c>
      <c r="F289">
        <f>1+'vehicles specifications'!AD155</f>
        <v>2</v>
      </c>
      <c r="G289">
        <f>1+'vehicles specifications'!AD155</f>
        <v>2</v>
      </c>
      <c r="J289" t="n">
        <v>1</v>
      </c>
      <c r="K289">
        <f>1/('fuels and tailpipe emissions'!$C$3*3.6)</f>
        <v>2.3474178403755867E-2</v>
      </c>
      <c r="L289">
        <f>1/3.6*1.1</f>
        <v>0.30555555555555558</v>
      </c>
      <c r="M289">
        <f>1/'vehicles specifications'!J155</f>
        <v>4.0000000000000003E-5</v>
      </c>
      <c r="N289" t="n">
        <v>1</v>
      </c>
      <c r="O289">
        <f>1</f>
        <v>1</v>
      </c>
      <c r="P289" t="n">
        <v>1</v>
      </c>
      <c r="Q289" t="n">
        <v>1</v>
      </c>
      <c r="R289">
        <f>-1-'vehicles specifications'!AD155</f>
        <v>-2</v>
      </c>
      <c r="S289" t="n">
        <v>1</v>
      </c>
      <c r="T289" t="n">
        <v>1</v>
      </c>
      <c r="U289" t="n">
        <v>1</v>
      </c>
      <c r="V289" t="n">
        <v>1</v>
      </c>
      <c r="W289" t="n">
        <v>1</v>
      </c>
      <c r="X289" t="n">
        <v>1</v>
      </c>
      <c r="Y289" t="n">
        <v>1</v>
      </c>
      <c r="Z289" t="n">
        <v>1</v>
      </c>
      <c r="AA289" t="n">
        <v>1</v>
      </c>
      <c r="AB289" t="n">
        <v>1</v>
      </c>
      <c r="AC289" t="n">
        <v>1</v>
      </c>
      <c r="AD289" t="n">
        <v>1</v>
      </c>
      <c r="AE289" t="n">
        <v>1</v>
      </c>
      <c r="AF289" t="n">
        <v>1</v>
      </c>
      <c r="AG289" t="n">
        <v>1</v>
      </c>
      <c r="AH289" t="n">
        <v>1</v>
      </c>
      <c r="AI289" t="n">
        <v>1</v>
      </c>
      <c r="AJ289" t="n">
        <v>1</v>
      </c>
      <c r="AK289" t="n">
        <v>1</v>
      </c>
      <c r="AL289" t="n">
        <v>1</v>
      </c>
      <c r="AM289" t="n">
        <v>1</v>
      </c>
      <c r="AN289" t="n">
        <v>1</v>
      </c>
      <c r="AO289" t="n">
        <v>1</v>
      </c>
      <c r="AP289" t="n">
        <v>1</v>
      </c>
      <c r="AQ289" t="n">
        <v>1</v>
      </c>
      <c r="AR289" t="n">
        <v>1</v>
      </c>
      <c r="AS289" t="n">
        <v>1</v>
      </c>
      <c r="AT289" t="n">
        <v>1</v>
      </c>
      <c r="AU289" t="n">
        <v>1</v>
      </c>
      <c r="AV289" t="n">
        <v>1</v>
      </c>
      <c r="AW289" t="n">
        <v>1</v>
      </c>
      <c r="AX289" t="n">
        <v>1</v>
      </c>
      <c r="AY289" t="n">
        <v>1</v>
      </c>
      <c r="AZ289" t="n">
        <v>1</v>
      </c>
      <c r="BA289" t="n">
        <v>1</v>
      </c>
      <c r="BB289" t="n">
        <v>1</v>
      </c>
      <c r="BC289" t="n">
        <v>1</v>
      </c>
      <c r="BD289" t="n">
        <v>1</v>
      </c>
      <c r="BE289" t="n">
        <v>1</v>
      </c>
      <c r="BF289" t="n">
        <v>1</v>
      </c>
      <c r="BG289" t="n">
        <v>1</v>
      </c>
      <c r="BH289" t="n">
        <v>1</v>
      </c>
      <c r="BI289" t="n">
        <v>1</v>
      </c>
      <c r="BJ289" t="n">
        <v>-1</v>
      </c>
      <c r="BK289" t="n">
        <v>-1</v>
      </c>
      <c r="BL289" t="n">
        <v>-1</v>
      </c>
    </row>
    <row r="290">
      <c r="A290" t="inlineStr">
        <is>
          <t>Motorbike, battery electric, 4-11kW - 2030 - NCA - CH</t>
        </is>
      </c>
      <c r="B290" t="n">
        <v>1</v>
      </c>
      <c r="C290" s="2">
        <f>'vehicles specifications'!S156</f>
        <v>65.433826960328489</v>
      </c>
      <c r="D290" t="n">
        <v>1</v>
      </c>
      <c r="E290" t="n">
        <v>1</v>
      </c>
      <c r="F290">
        <f>1+'vehicles specifications'!AD156</f>
        <v>1.5</v>
      </c>
      <c r="G290">
        <f>1+'vehicles specifications'!AD156</f>
        <v>1.5</v>
      </c>
      <c r="J290" t="n">
        <v>1</v>
      </c>
      <c r="K290">
        <f>1/('fuels and tailpipe emissions'!$C$3*3.6)</f>
        <v>2.3474178403755867E-2</v>
      </c>
      <c r="L290">
        <f>1/3.6*1.1</f>
        <v>0.30555555555555558</v>
      </c>
      <c r="M290">
        <f>1/'vehicles specifications'!J156</f>
        <v>4.0000000000000003E-5</v>
      </c>
      <c r="N290" t="n">
        <v>1</v>
      </c>
      <c r="O290">
        <f>1</f>
        <v>1</v>
      </c>
      <c r="P290" t="n">
        <v>1</v>
      </c>
      <c r="Q290" t="n">
        <v>1</v>
      </c>
      <c r="R290">
        <f>-1-'vehicles specifications'!AD156</f>
        <v>-1.5</v>
      </c>
      <c r="S290" t="n">
        <v>1</v>
      </c>
      <c r="T290" t="n">
        <v>1</v>
      </c>
      <c r="U290" t="n">
        <v>1</v>
      </c>
      <c r="V290" t="n">
        <v>1</v>
      </c>
      <c r="W290" t="n">
        <v>1</v>
      </c>
      <c r="X290" t="n">
        <v>1</v>
      </c>
      <c r="Y290" t="n">
        <v>1</v>
      </c>
      <c r="Z290" t="n">
        <v>1</v>
      </c>
      <c r="AA290" t="n">
        <v>1</v>
      </c>
      <c r="AB290" t="n">
        <v>1</v>
      </c>
      <c r="AC290" t="n">
        <v>1</v>
      </c>
      <c r="AD290" t="n">
        <v>1</v>
      </c>
      <c r="AE290" t="n">
        <v>1</v>
      </c>
      <c r="AF290" t="n">
        <v>1</v>
      </c>
      <c r="AG290" t="n">
        <v>1</v>
      </c>
      <c r="AH290" t="n">
        <v>1</v>
      </c>
      <c r="AI290" t="n">
        <v>1</v>
      </c>
      <c r="AJ290" t="n">
        <v>1</v>
      </c>
      <c r="AK290" t="n">
        <v>1</v>
      </c>
      <c r="AL290" t="n">
        <v>1</v>
      </c>
      <c r="AM290" t="n">
        <v>1</v>
      </c>
      <c r="AN290" t="n">
        <v>1</v>
      </c>
      <c r="AO290" t="n">
        <v>1</v>
      </c>
      <c r="AP290" t="n">
        <v>1</v>
      </c>
      <c r="AQ290" t="n">
        <v>1</v>
      </c>
      <c r="AR290" t="n">
        <v>1</v>
      </c>
      <c r="AS290" t="n">
        <v>1</v>
      </c>
      <c r="AT290" t="n">
        <v>1</v>
      </c>
      <c r="AU290" t="n">
        <v>1</v>
      </c>
      <c r="AV290" t="n">
        <v>1</v>
      </c>
      <c r="AW290" t="n">
        <v>1</v>
      </c>
      <c r="AX290" t="n">
        <v>1</v>
      </c>
      <c r="AY290" t="n">
        <v>1</v>
      </c>
      <c r="AZ290" t="n">
        <v>1</v>
      </c>
      <c r="BA290" t="n">
        <v>1</v>
      </c>
      <c r="BB290" t="n">
        <v>1</v>
      </c>
      <c r="BC290" t="n">
        <v>1</v>
      </c>
      <c r="BD290" t="n">
        <v>1</v>
      </c>
      <c r="BE290" t="n">
        <v>1</v>
      </c>
      <c r="BF290" t="n">
        <v>1</v>
      </c>
      <c r="BG290" t="n">
        <v>1</v>
      </c>
      <c r="BH290" t="n">
        <v>1</v>
      </c>
      <c r="BI290" t="n">
        <v>1</v>
      </c>
      <c r="BJ290" t="n">
        <v>-1</v>
      </c>
      <c r="BK290" t="n">
        <v>-1</v>
      </c>
      <c r="BL290" t="n">
        <v>-1</v>
      </c>
    </row>
    <row r="291">
      <c r="A291" t="inlineStr">
        <is>
          <t>Motorbike, battery electric, 4-11kW - 2040 - NCA - CH</t>
        </is>
      </c>
      <c r="B291" t="n">
        <v>1</v>
      </c>
      <c r="C291" s="2">
        <f>'vehicles specifications'!S157</f>
        <v>65.433826960328489</v>
      </c>
      <c r="D291" t="n">
        <v>1</v>
      </c>
      <c r="E291" t="n">
        <v>1</v>
      </c>
      <c r="F291">
        <f>1+'vehicles specifications'!AD157</f>
        <v>1.25</v>
      </c>
      <c r="G291">
        <f>1+'vehicles specifications'!AD157</f>
        <v>1.25</v>
      </c>
      <c r="J291" t="n">
        <v>1</v>
      </c>
      <c r="K291">
        <f>1/('fuels and tailpipe emissions'!$C$3*3.6)</f>
        <v>2.3474178403755867E-2</v>
      </c>
      <c r="L291">
        <f>1/3.6*1.1</f>
        <v>0.30555555555555558</v>
      </c>
      <c r="M291">
        <f>1/'vehicles specifications'!J157</f>
        <v>4.0000000000000003E-5</v>
      </c>
      <c r="N291" t="n">
        <v>1</v>
      </c>
      <c r="O291">
        <f>1</f>
        <v>1</v>
      </c>
      <c r="P291" t="n">
        <v>1</v>
      </c>
      <c r="Q291" t="n">
        <v>1</v>
      </c>
      <c r="R291">
        <f>-1-'vehicles specifications'!AD157</f>
        <v>-1.25</v>
      </c>
      <c r="S291" t="n">
        <v>1</v>
      </c>
      <c r="T291" t="n">
        <v>1</v>
      </c>
      <c r="U291" t="n">
        <v>1</v>
      </c>
      <c r="V291" t="n">
        <v>1</v>
      </c>
      <c r="W291" t="n">
        <v>1</v>
      </c>
      <c r="X291" t="n">
        <v>1</v>
      </c>
      <c r="Y291" t="n">
        <v>1</v>
      </c>
      <c r="Z291" t="n">
        <v>1</v>
      </c>
      <c r="AA291" t="n">
        <v>1</v>
      </c>
      <c r="AB291" t="n">
        <v>1</v>
      </c>
      <c r="AC291" t="n">
        <v>1</v>
      </c>
      <c r="AD291" t="n">
        <v>1</v>
      </c>
      <c r="AE291" t="n">
        <v>1</v>
      </c>
      <c r="AF291" t="n">
        <v>1</v>
      </c>
      <c r="AG291" t="n">
        <v>1</v>
      </c>
      <c r="AH291" t="n">
        <v>1</v>
      </c>
      <c r="AI291" t="n">
        <v>1</v>
      </c>
      <c r="AJ291" t="n">
        <v>1</v>
      </c>
      <c r="AK291" t="n">
        <v>1</v>
      </c>
      <c r="AL291" t="n">
        <v>1</v>
      </c>
      <c r="AM291" t="n">
        <v>1</v>
      </c>
      <c r="AN291" t="n">
        <v>1</v>
      </c>
      <c r="AO291" t="n">
        <v>1</v>
      </c>
      <c r="AP291" t="n">
        <v>1</v>
      </c>
      <c r="AQ291" t="n">
        <v>1</v>
      </c>
      <c r="AR291" t="n">
        <v>1</v>
      </c>
      <c r="AS291" t="n">
        <v>1</v>
      </c>
      <c r="AT291" t="n">
        <v>1</v>
      </c>
      <c r="AU291" t="n">
        <v>1</v>
      </c>
      <c r="AV291" t="n">
        <v>1</v>
      </c>
      <c r="AW291" t="n">
        <v>1</v>
      </c>
      <c r="AX291" t="n">
        <v>1</v>
      </c>
      <c r="AY291" t="n">
        <v>1</v>
      </c>
      <c r="AZ291" t="n">
        <v>1</v>
      </c>
      <c r="BA291" t="n">
        <v>1</v>
      </c>
      <c r="BB291" t="n">
        <v>1</v>
      </c>
      <c r="BC291" t="n">
        <v>1</v>
      </c>
      <c r="BD291" t="n">
        <v>1</v>
      </c>
      <c r="BE291" t="n">
        <v>1</v>
      </c>
      <c r="BF291" t="n">
        <v>1</v>
      </c>
      <c r="BG291" t="n">
        <v>1</v>
      </c>
      <c r="BH291" t="n">
        <v>1</v>
      </c>
      <c r="BI291" t="n">
        <v>1</v>
      </c>
      <c r="BJ291" t="n">
        <v>-1</v>
      </c>
      <c r="BK291" t="n">
        <v>-1</v>
      </c>
      <c r="BL291" t="n">
        <v>-1</v>
      </c>
    </row>
    <row r="292">
      <c r="A292" t="inlineStr">
        <is>
          <t>Motorbike, battery electric, 4-11kW - 2050 - NCA - CH</t>
        </is>
      </c>
      <c r="B292" t="n">
        <v>1</v>
      </c>
      <c r="C292" s="2">
        <f>'vehicles specifications'!S158</f>
        <v>65.433826960328489</v>
      </c>
      <c r="D292" t="n">
        <v>1</v>
      </c>
      <c r="E292" t="n">
        <v>1</v>
      </c>
      <c r="F292">
        <f>1+'vehicles specifications'!AD158</f>
        <v>1</v>
      </c>
      <c r="G292">
        <f>1+'vehicles specifications'!AD158</f>
        <v>1</v>
      </c>
      <c r="J292" t="n">
        <v>1</v>
      </c>
      <c r="K292">
        <f>1/('fuels and tailpipe emissions'!$C$3*3.6)</f>
        <v>2.3474178403755867E-2</v>
      </c>
      <c r="L292">
        <f>1/3.6*1.1</f>
        <v>0.30555555555555558</v>
      </c>
      <c r="M292">
        <f>1/'vehicles specifications'!J158</f>
        <v>4.0000000000000003E-5</v>
      </c>
      <c r="N292" t="n">
        <v>1</v>
      </c>
      <c r="O292">
        <f>1</f>
        <v>1</v>
      </c>
      <c r="P292" t="n">
        <v>1</v>
      </c>
      <c r="Q292" t="n">
        <v>1</v>
      </c>
      <c r="R292">
        <f>-1-'vehicles specifications'!AD158</f>
        <v>-1</v>
      </c>
      <c r="S292" t="n">
        <v>1</v>
      </c>
      <c r="T292" t="n">
        <v>1</v>
      </c>
      <c r="U292" t="n">
        <v>1</v>
      </c>
      <c r="V292" t="n">
        <v>1</v>
      </c>
      <c r="W292" t="n">
        <v>1</v>
      </c>
      <c r="X292" t="n">
        <v>1</v>
      </c>
      <c r="Y292" t="n">
        <v>1</v>
      </c>
      <c r="Z292" t="n">
        <v>1</v>
      </c>
      <c r="AA292" t="n">
        <v>1</v>
      </c>
      <c r="AB292" t="n">
        <v>1</v>
      </c>
      <c r="AC292" t="n">
        <v>1</v>
      </c>
      <c r="AD292" t="n">
        <v>1</v>
      </c>
      <c r="AE292" t="n">
        <v>1</v>
      </c>
      <c r="AF292" t="n">
        <v>1</v>
      </c>
      <c r="AG292" t="n">
        <v>1</v>
      </c>
      <c r="AH292" t="n">
        <v>1</v>
      </c>
      <c r="AI292" t="n">
        <v>1</v>
      </c>
      <c r="AJ292" t="n">
        <v>1</v>
      </c>
      <c r="AK292" t="n">
        <v>1</v>
      </c>
      <c r="AL292" t="n">
        <v>1</v>
      </c>
      <c r="AM292" t="n">
        <v>1</v>
      </c>
      <c r="AN292" t="n">
        <v>1</v>
      </c>
      <c r="AO292" t="n">
        <v>1</v>
      </c>
      <c r="AP292" t="n">
        <v>1</v>
      </c>
      <c r="AQ292" t="n">
        <v>1</v>
      </c>
      <c r="AR292" t="n">
        <v>1</v>
      </c>
      <c r="AS292" t="n">
        <v>1</v>
      </c>
      <c r="AT292" t="n">
        <v>1</v>
      </c>
      <c r="AU292" t="n">
        <v>1</v>
      </c>
      <c r="AV292" t="n">
        <v>1</v>
      </c>
      <c r="AW292" t="n">
        <v>1</v>
      </c>
      <c r="AX292" t="n">
        <v>1</v>
      </c>
      <c r="AY292" t="n">
        <v>1</v>
      </c>
      <c r="AZ292" t="n">
        <v>1</v>
      </c>
      <c r="BA292" t="n">
        <v>1</v>
      </c>
      <c r="BB292" t="n">
        <v>1</v>
      </c>
      <c r="BC292" t="n">
        <v>1</v>
      </c>
      <c r="BD292" t="n">
        <v>1</v>
      </c>
      <c r="BE292" t="n">
        <v>1</v>
      </c>
      <c r="BF292" t="n">
        <v>1</v>
      </c>
      <c r="BG292" t="n">
        <v>1</v>
      </c>
      <c r="BH292" t="n">
        <v>1</v>
      </c>
      <c r="BI292" t="n">
        <v>1</v>
      </c>
      <c r="BJ292" t="n">
        <v>-1</v>
      </c>
      <c r="BK292" t="n">
        <v>-1</v>
      </c>
      <c r="BL292" t="n">
        <v>-1</v>
      </c>
    </row>
    <row r="293">
      <c r="A293" t="inlineStr">
        <is>
          <t>Motorbike, battery electric, 11-35kW - 2020 - NCA - CH</t>
        </is>
      </c>
      <c r="B293" t="n">
        <v>1</v>
      </c>
      <c r="C293" s="2">
        <f>'vehicles specifications'!S159</f>
        <v>81</v>
      </c>
      <c r="D293" t="n">
        <v>1</v>
      </c>
      <c r="E293" t="n">
        <v>1</v>
      </c>
      <c r="F293">
        <f>1+'vehicles specifications'!AD159</f>
        <v>2</v>
      </c>
      <c r="G293">
        <f>1+'vehicles specifications'!AD159</f>
        <v>2</v>
      </c>
      <c r="J293" t="n">
        <v>1</v>
      </c>
      <c r="K293">
        <f>1/('fuels and tailpipe emissions'!$C$3*3.6)</f>
        <v>2.3474178403755867E-2</v>
      </c>
      <c r="L293">
        <f>1/3.6*1.1</f>
        <v>0.30555555555555558</v>
      </c>
      <c r="M293">
        <f>1/'vehicles specifications'!J159</f>
        <v>2.5974025974025975E-5</v>
      </c>
      <c r="N293" t="n">
        <v>1</v>
      </c>
      <c r="O293">
        <f>1</f>
        <v>1</v>
      </c>
      <c r="P293" t="n">
        <v>1</v>
      </c>
      <c r="Q293" t="n">
        <v>1</v>
      </c>
      <c r="R293">
        <f>-1-'vehicles specifications'!AD159</f>
        <v>-2</v>
      </c>
      <c r="S293" t="n">
        <v>1</v>
      </c>
      <c r="T293" t="n">
        <v>1</v>
      </c>
      <c r="U293" t="n">
        <v>1</v>
      </c>
      <c r="V293" t="n">
        <v>1</v>
      </c>
      <c r="W293" t="n">
        <v>1</v>
      </c>
      <c r="X293" t="n">
        <v>1</v>
      </c>
      <c r="Y293" t="n">
        <v>1</v>
      </c>
      <c r="Z293" t="n">
        <v>1</v>
      </c>
      <c r="AA293" t="n">
        <v>1</v>
      </c>
      <c r="AB293" t="n">
        <v>1</v>
      </c>
      <c r="AC293" t="n">
        <v>1</v>
      </c>
      <c r="AD293" t="n">
        <v>1</v>
      </c>
      <c r="AE293" t="n">
        <v>1</v>
      </c>
      <c r="AF293" t="n">
        <v>1</v>
      </c>
      <c r="AG293" t="n">
        <v>1</v>
      </c>
      <c r="AH293" t="n">
        <v>1</v>
      </c>
      <c r="AI293" t="n">
        <v>1</v>
      </c>
      <c r="AJ293" t="n">
        <v>1</v>
      </c>
      <c r="AK293" t="n">
        <v>1</v>
      </c>
      <c r="AL293" t="n">
        <v>1</v>
      </c>
      <c r="AM293" t="n">
        <v>1</v>
      </c>
      <c r="AN293" t="n">
        <v>1</v>
      </c>
      <c r="AO293" t="n">
        <v>1</v>
      </c>
      <c r="AP293" t="n">
        <v>1</v>
      </c>
      <c r="AQ293" t="n">
        <v>1</v>
      </c>
      <c r="AR293" t="n">
        <v>1</v>
      </c>
      <c r="AS293" t="n">
        <v>1</v>
      </c>
      <c r="AT293" t="n">
        <v>1</v>
      </c>
      <c r="AU293" t="n">
        <v>1</v>
      </c>
      <c r="AV293" t="n">
        <v>1</v>
      </c>
      <c r="AW293" t="n">
        <v>1</v>
      </c>
      <c r="AX293" t="n">
        <v>1</v>
      </c>
      <c r="AY293" t="n">
        <v>1</v>
      </c>
      <c r="AZ293" t="n">
        <v>1</v>
      </c>
      <c r="BA293" t="n">
        <v>1</v>
      </c>
      <c r="BB293" t="n">
        <v>1</v>
      </c>
      <c r="BC293" t="n">
        <v>1</v>
      </c>
      <c r="BD293" t="n">
        <v>1</v>
      </c>
      <c r="BE293" t="n">
        <v>1</v>
      </c>
      <c r="BF293" t="n">
        <v>1</v>
      </c>
      <c r="BG293" t="n">
        <v>1</v>
      </c>
      <c r="BH293" t="n">
        <v>1</v>
      </c>
      <c r="BI293" t="n">
        <v>1</v>
      </c>
      <c r="BJ293" t="n">
        <v>-1</v>
      </c>
      <c r="BK293" t="n">
        <v>-1</v>
      </c>
      <c r="BL293" t="n">
        <v>-1</v>
      </c>
    </row>
    <row r="294">
      <c r="A294" t="inlineStr">
        <is>
          <t>Motorbike, battery electric, 11-35kW - 2030 - NCA - CH</t>
        </is>
      </c>
      <c r="B294" t="n">
        <v>1</v>
      </c>
      <c r="C294" s="2">
        <f>'vehicles specifications'!S160</f>
        <v>81</v>
      </c>
      <c r="D294" t="n">
        <v>1</v>
      </c>
      <c r="E294" t="n">
        <v>1</v>
      </c>
      <c r="F294">
        <f>1+'vehicles specifications'!AD160</f>
        <v>1.5</v>
      </c>
      <c r="G294">
        <f>1+'vehicles specifications'!AD160</f>
        <v>1.5</v>
      </c>
      <c r="J294" t="n">
        <v>1</v>
      </c>
      <c r="K294">
        <f>1/('fuels and tailpipe emissions'!$C$3*3.6)</f>
        <v>2.3474178403755867E-2</v>
      </c>
      <c r="L294">
        <f>1/3.6*1.1</f>
        <v>0.30555555555555558</v>
      </c>
      <c r="M294">
        <f>1/'vehicles specifications'!J160</f>
        <v>2.5974025974025975E-5</v>
      </c>
      <c r="N294" t="n">
        <v>1</v>
      </c>
      <c r="O294">
        <f>1</f>
        <v>1</v>
      </c>
      <c r="P294" t="n">
        <v>1</v>
      </c>
      <c r="Q294" t="n">
        <v>1</v>
      </c>
      <c r="R294">
        <f>-1-'vehicles specifications'!AD160</f>
        <v>-1.5</v>
      </c>
      <c r="S294" t="n">
        <v>1</v>
      </c>
      <c r="T294" t="n">
        <v>1</v>
      </c>
      <c r="U294" t="n">
        <v>1</v>
      </c>
      <c r="V294" t="n">
        <v>1</v>
      </c>
      <c r="W294" t="n">
        <v>1</v>
      </c>
      <c r="X294" t="n">
        <v>1</v>
      </c>
      <c r="Y294" t="n">
        <v>1</v>
      </c>
      <c r="Z294" t="n">
        <v>1</v>
      </c>
      <c r="AA294" t="n">
        <v>1</v>
      </c>
      <c r="AB294" t="n">
        <v>1</v>
      </c>
      <c r="AC294" t="n">
        <v>1</v>
      </c>
      <c r="AD294" t="n">
        <v>1</v>
      </c>
      <c r="AE294" t="n">
        <v>1</v>
      </c>
      <c r="AF294" t="n">
        <v>1</v>
      </c>
      <c r="AG294" t="n">
        <v>1</v>
      </c>
      <c r="AH294" t="n">
        <v>1</v>
      </c>
      <c r="AI294" t="n">
        <v>1</v>
      </c>
      <c r="AJ294" t="n">
        <v>1</v>
      </c>
      <c r="AK294" t="n">
        <v>1</v>
      </c>
      <c r="AL294" t="n">
        <v>1</v>
      </c>
      <c r="AM294" t="n">
        <v>1</v>
      </c>
      <c r="AN294" t="n">
        <v>1</v>
      </c>
      <c r="AO294" t="n">
        <v>1</v>
      </c>
      <c r="AP294" t="n">
        <v>1</v>
      </c>
      <c r="AQ294" t="n">
        <v>1</v>
      </c>
      <c r="AR294" t="n">
        <v>1</v>
      </c>
      <c r="AS294" t="n">
        <v>1</v>
      </c>
      <c r="AT294" t="n">
        <v>1</v>
      </c>
      <c r="AU294" t="n">
        <v>1</v>
      </c>
      <c r="AV294" t="n">
        <v>1</v>
      </c>
      <c r="AW294" t="n">
        <v>1</v>
      </c>
      <c r="AX294" t="n">
        <v>1</v>
      </c>
      <c r="AY294" t="n">
        <v>1</v>
      </c>
      <c r="AZ294" t="n">
        <v>1</v>
      </c>
      <c r="BA294" t="n">
        <v>1</v>
      </c>
      <c r="BB294" t="n">
        <v>1</v>
      </c>
      <c r="BC294" t="n">
        <v>1</v>
      </c>
      <c r="BD294" t="n">
        <v>1</v>
      </c>
      <c r="BE294" t="n">
        <v>1</v>
      </c>
      <c r="BF294" t="n">
        <v>1</v>
      </c>
      <c r="BG294" t="n">
        <v>1</v>
      </c>
      <c r="BH294" t="n">
        <v>1</v>
      </c>
      <c r="BI294" t="n">
        <v>1</v>
      </c>
      <c r="BJ294" t="n">
        <v>-1</v>
      </c>
      <c r="BK294" t="n">
        <v>-1</v>
      </c>
      <c r="BL294" t="n">
        <v>-1</v>
      </c>
    </row>
    <row r="295">
      <c r="A295" t="inlineStr">
        <is>
          <t>Motorbike, battery electric, 11-35kW - 2040 - NCA - CH</t>
        </is>
      </c>
      <c r="B295" t="n">
        <v>1</v>
      </c>
      <c r="C295" s="2">
        <f>'vehicles specifications'!S161</f>
        <v>81</v>
      </c>
      <c r="D295" t="n">
        <v>1</v>
      </c>
      <c r="E295" t="n">
        <v>1</v>
      </c>
      <c r="F295">
        <f>1+'vehicles specifications'!AD161</f>
        <v>1.25</v>
      </c>
      <c r="G295">
        <f>1+'vehicles specifications'!AD161</f>
        <v>1.25</v>
      </c>
      <c r="J295" t="n">
        <v>1</v>
      </c>
      <c r="K295">
        <f>1/('fuels and tailpipe emissions'!$C$3*3.6)</f>
        <v>2.3474178403755867E-2</v>
      </c>
      <c r="L295">
        <f>1/3.6*1.1</f>
        <v>0.30555555555555558</v>
      </c>
      <c r="M295">
        <f>1/'vehicles specifications'!J161</f>
        <v>2.5974025974025975E-5</v>
      </c>
      <c r="N295" t="n">
        <v>1</v>
      </c>
      <c r="O295">
        <f>1</f>
        <v>1</v>
      </c>
      <c r="P295" t="n">
        <v>1</v>
      </c>
      <c r="Q295" t="n">
        <v>1</v>
      </c>
      <c r="R295">
        <f>-1-'vehicles specifications'!AD161</f>
        <v>-1.25</v>
      </c>
      <c r="S295" t="n">
        <v>1</v>
      </c>
      <c r="T295" t="n">
        <v>1</v>
      </c>
      <c r="U295" t="n">
        <v>1</v>
      </c>
      <c r="V295" t="n">
        <v>1</v>
      </c>
      <c r="W295" t="n">
        <v>1</v>
      </c>
      <c r="X295" t="n">
        <v>1</v>
      </c>
      <c r="Y295" t="n">
        <v>1</v>
      </c>
      <c r="Z295" t="n">
        <v>1</v>
      </c>
      <c r="AA295" t="n">
        <v>1</v>
      </c>
      <c r="AB295" t="n">
        <v>1</v>
      </c>
      <c r="AC295" t="n">
        <v>1</v>
      </c>
      <c r="AD295" t="n">
        <v>1</v>
      </c>
      <c r="AE295" t="n">
        <v>1</v>
      </c>
      <c r="AF295" t="n">
        <v>1</v>
      </c>
      <c r="AG295" t="n">
        <v>1</v>
      </c>
      <c r="AH295" t="n">
        <v>1</v>
      </c>
      <c r="AI295" t="n">
        <v>1</v>
      </c>
      <c r="AJ295" t="n">
        <v>1</v>
      </c>
      <c r="AK295" t="n">
        <v>1</v>
      </c>
      <c r="AL295" t="n">
        <v>1</v>
      </c>
      <c r="AM295" t="n">
        <v>1</v>
      </c>
      <c r="AN295" t="n">
        <v>1</v>
      </c>
      <c r="AO295" t="n">
        <v>1</v>
      </c>
      <c r="AP295" t="n">
        <v>1</v>
      </c>
      <c r="AQ295" t="n">
        <v>1</v>
      </c>
      <c r="AR295" t="n">
        <v>1</v>
      </c>
      <c r="AS295" t="n">
        <v>1</v>
      </c>
      <c r="AT295" t="n">
        <v>1</v>
      </c>
      <c r="AU295" t="n">
        <v>1</v>
      </c>
      <c r="AV295" t="n">
        <v>1</v>
      </c>
      <c r="AW295" t="n">
        <v>1</v>
      </c>
      <c r="AX295" t="n">
        <v>1</v>
      </c>
      <c r="AY295" t="n">
        <v>1</v>
      </c>
      <c r="AZ295" t="n">
        <v>1</v>
      </c>
      <c r="BA295" t="n">
        <v>1</v>
      </c>
      <c r="BB295" t="n">
        <v>1</v>
      </c>
      <c r="BC295" t="n">
        <v>1</v>
      </c>
      <c r="BD295" t="n">
        <v>1</v>
      </c>
      <c r="BE295" t="n">
        <v>1</v>
      </c>
      <c r="BF295" t="n">
        <v>1</v>
      </c>
      <c r="BG295" t="n">
        <v>1</v>
      </c>
      <c r="BH295" t="n">
        <v>1</v>
      </c>
      <c r="BI295" t="n">
        <v>1</v>
      </c>
      <c r="BJ295" t="n">
        <v>-1</v>
      </c>
      <c r="BK295" t="n">
        <v>-1</v>
      </c>
      <c r="BL295" t="n">
        <v>-1</v>
      </c>
    </row>
    <row r="296">
      <c r="A296" t="inlineStr">
        <is>
          <t>Motorbike, battery electric, 11-35kW - 2050 - NCA - CH</t>
        </is>
      </c>
      <c r="B296" t="n">
        <v>1</v>
      </c>
      <c r="C296" s="2">
        <f>'vehicles specifications'!S162</f>
        <v>81</v>
      </c>
      <c r="D296" t="n">
        <v>1</v>
      </c>
      <c r="E296" t="n">
        <v>1</v>
      </c>
      <c r="F296">
        <f>1+'vehicles specifications'!AD162</f>
        <v>1</v>
      </c>
      <c r="G296">
        <f>1+'vehicles specifications'!AD162</f>
        <v>1</v>
      </c>
      <c r="J296" t="n">
        <v>1</v>
      </c>
      <c r="K296">
        <f>1/('fuels and tailpipe emissions'!$C$3*3.6)</f>
        <v>2.3474178403755867E-2</v>
      </c>
      <c r="L296">
        <f>1/3.6*1.1</f>
        <v>0.30555555555555558</v>
      </c>
      <c r="M296">
        <f>1/'vehicles specifications'!J162</f>
        <v>2.5974025974025975E-5</v>
      </c>
      <c r="N296" t="n">
        <v>1</v>
      </c>
      <c r="O296">
        <f>1</f>
        <v>1</v>
      </c>
      <c r="P296" t="n">
        <v>1</v>
      </c>
      <c r="Q296" t="n">
        <v>1</v>
      </c>
      <c r="R296">
        <f>-1-'vehicles specifications'!AD162</f>
        <v>-1</v>
      </c>
      <c r="S296" t="n">
        <v>1</v>
      </c>
      <c r="T296" t="n">
        <v>1</v>
      </c>
      <c r="U296" t="n">
        <v>1</v>
      </c>
      <c r="V296" t="n">
        <v>1</v>
      </c>
      <c r="W296" t="n">
        <v>1</v>
      </c>
      <c r="X296" t="n">
        <v>1</v>
      </c>
      <c r="Y296" t="n">
        <v>1</v>
      </c>
      <c r="Z296" t="n">
        <v>1</v>
      </c>
      <c r="AA296" t="n">
        <v>1</v>
      </c>
      <c r="AB296" t="n">
        <v>1</v>
      </c>
      <c r="AC296" t="n">
        <v>1</v>
      </c>
      <c r="AD296" t="n">
        <v>1</v>
      </c>
      <c r="AE296" t="n">
        <v>1</v>
      </c>
      <c r="AF296" t="n">
        <v>1</v>
      </c>
      <c r="AG296" t="n">
        <v>1</v>
      </c>
      <c r="AH296" t="n">
        <v>1</v>
      </c>
      <c r="AI296" t="n">
        <v>1</v>
      </c>
      <c r="AJ296" t="n">
        <v>1</v>
      </c>
      <c r="AK296" t="n">
        <v>1</v>
      </c>
      <c r="AL296" t="n">
        <v>1</v>
      </c>
      <c r="AM296" t="n">
        <v>1</v>
      </c>
      <c r="AN296" t="n">
        <v>1</v>
      </c>
      <c r="AO296" t="n">
        <v>1</v>
      </c>
      <c r="AP296" t="n">
        <v>1</v>
      </c>
      <c r="AQ296" t="n">
        <v>1</v>
      </c>
      <c r="AR296" t="n">
        <v>1</v>
      </c>
      <c r="AS296" t="n">
        <v>1</v>
      </c>
      <c r="AT296" t="n">
        <v>1</v>
      </c>
      <c r="AU296" t="n">
        <v>1</v>
      </c>
      <c r="AV296" t="n">
        <v>1</v>
      </c>
      <c r="AW296" t="n">
        <v>1</v>
      </c>
      <c r="AX296" t="n">
        <v>1</v>
      </c>
      <c r="AY296" t="n">
        <v>1</v>
      </c>
      <c r="AZ296" t="n">
        <v>1</v>
      </c>
      <c r="BA296" t="n">
        <v>1</v>
      </c>
      <c r="BB296" t="n">
        <v>1</v>
      </c>
      <c r="BC296" t="n">
        <v>1</v>
      </c>
      <c r="BD296" t="n">
        <v>1</v>
      </c>
      <c r="BE296" t="n">
        <v>1</v>
      </c>
      <c r="BF296" t="n">
        <v>1</v>
      </c>
      <c r="BG296" t="n">
        <v>1</v>
      </c>
      <c r="BH296" t="n">
        <v>1</v>
      </c>
      <c r="BI296" t="n">
        <v>1</v>
      </c>
      <c r="BJ296" t="n">
        <v>-1</v>
      </c>
      <c r="BK296" t="n">
        <v>-1</v>
      </c>
      <c r="BL296" t="n">
        <v>-1</v>
      </c>
    </row>
    <row r="297">
      <c r="A297" t="inlineStr">
        <is>
          <t>Motorbike, battery electric, &gt;35kW - 2020 - NCA - CH</t>
        </is>
      </c>
      <c r="B297" t="n">
        <v>1</v>
      </c>
      <c r="C297" s="2">
        <f>'vehicles specifications'!S163</f>
        <v>111</v>
      </c>
      <c r="D297" t="n">
        <v>1</v>
      </c>
      <c r="E297" t="n">
        <v>1</v>
      </c>
      <c r="F297">
        <f>1+'vehicles specifications'!AD163</f>
        <v>2</v>
      </c>
      <c r="G297">
        <f>1+'vehicles specifications'!AD163</f>
        <v>2</v>
      </c>
      <c r="J297" t="n">
        <v>1</v>
      </c>
      <c r="K297">
        <f>1/('fuels and tailpipe emissions'!$C$3*3.6)</f>
        <v>2.3474178403755867E-2</v>
      </c>
      <c r="L297">
        <f>1/3.6*1.1</f>
        <v>0.30555555555555558</v>
      </c>
      <c r="M297">
        <f>1/'vehicles specifications'!J163</f>
        <v>2.4691358024691357E-5</v>
      </c>
      <c r="N297" t="n">
        <v>1</v>
      </c>
      <c r="O297">
        <f>1</f>
        <v>1</v>
      </c>
      <c r="P297" t="n">
        <v>1</v>
      </c>
      <c r="Q297" t="n">
        <v>1</v>
      </c>
      <c r="R297">
        <f>-1-'vehicles specifications'!AD163</f>
        <v>-2</v>
      </c>
      <c r="S297" t="n">
        <v>1</v>
      </c>
      <c r="T297" t="n">
        <v>1</v>
      </c>
      <c r="U297" t="n">
        <v>1</v>
      </c>
      <c r="V297" t="n">
        <v>1</v>
      </c>
      <c r="W297" t="n">
        <v>1</v>
      </c>
      <c r="X297" t="n">
        <v>1</v>
      </c>
      <c r="Y297" t="n">
        <v>1</v>
      </c>
      <c r="Z297" t="n">
        <v>1</v>
      </c>
      <c r="AA297" t="n">
        <v>1</v>
      </c>
      <c r="AB297" t="n">
        <v>1</v>
      </c>
      <c r="AC297" t="n">
        <v>1</v>
      </c>
      <c r="AD297" t="n">
        <v>1</v>
      </c>
      <c r="AE297" t="n">
        <v>1</v>
      </c>
      <c r="AF297" t="n">
        <v>1</v>
      </c>
      <c r="AG297" t="n">
        <v>1</v>
      </c>
      <c r="AH297" t="n">
        <v>1</v>
      </c>
      <c r="AI297" t="n">
        <v>1</v>
      </c>
      <c r="AJ297" t="n">
        <v>1</v>
      </c>
      <c r="AK297" t="n">
        <v>1</v>
      </c>
      <c r="AL297" t="n">
        <v>1</v>
      </c>
      <c r="AM297" t="n">
        <v>1</v>
      </c>
      <c r="AN297" t="n">
        <v>1</v>
      </c>
      <c r="AO297" t="n">
        <v>1</v>
      </c>
      <c r="AP297" t="n">
        <v>1</v>
      </c>
      <c r="AQ297" t="n">
        <v>1</v>
      </c>
      <c r="AR297" t="n">
        <v>1</v>
      </c>
      <c r="AS297" t="n">
        <v>1</v>
      </c>
      <c r="AT297" t="n">
        <v>1</v>
      </c>
      <c r="AU297" t="n">
        <v>1</v>
      </c>
      <c r="AV297" t="n">
        <v>1</v>
      </c>
      <c r="AW297" t="n">
        <v>1</v>
      </c>
      <c r="AX297" t="n">
        <v>1</v>
      </c>
      <c r="AY297" t="n">
        <v>1</v>
      </c>
      <c r="AZ297" t="n">
        <v>1</v>
      </c>
      <c r="BA297" t="n">
        <v>1</v>
      </c>
      <c r="BB297" t="n">
        <v>1</v>
      </c>
      <c r="BC297" t="n">
        <v>1</v>
      </c>
      <c r="BD297" t="n">
        <v>1</v>
      </c>
      <c r="BE297" t="n">
        <v>1</v>
      </c>
      <c r="BF297" t="n">
        <v>1</v>
      </c>
      <c r="BG297" t="n">
        <v>1</v>
      </c>
      <c r="BH297" t="n">
        <v>1</v>
      </c>
      <c r="BI297" t="n">
        <v>1</v>
      </c>
      <c r="BJ297" t="n">
        <v>-1</v>
      </c>
      <c r="BK297" t="n">
        <v>-1</v>
      </c>
      <c r="BL297" t="n">
        <v>-1</v>
      </c>
    </row>
    <row r="298">
      <c r="A298" t="inlineStr">
        <is>
          <t>Motorbike, battery electric, &gt;35kW - 2030 - NCA - CH</t>
        </is>
      </c>
      <c r="B298" t="n">
        <v>1</v>
      </c>
      <c r="C298" s="2">
        <f>'vehicles specifications'!S164</f>
        <v>111</v>
      </c>
      <c r="D298" t="n">
        <v>1</v>
      </c>
      <c r="E298" t="n">
        <v>1</v>
      </c>
      <c r="F298">
        <f>1+'vehicles specifications'!AD164</f>
        <v>1.5</v>
      </c>
      <c r="G298">
        <f>1+'vehicles specifications'!AD164</f>
        <v>1.5</v>
      </c>
      <c r="J298" t="n">
        <v>1</v>
      </c>
      <c r="K298">
        <f>1/('fuels and tailpipe emissions'!$C$3*3.6)</f>
        <v>2.3474178403755867E-2</v>
      </c>
      <c r="L298">
        <f>1/3.6*1.1</f>
        <v>0.30555555555555558</v>
      </c>
      <c r="M298">
        <f>1/'vehicles specifications'!J164</f>
        <v>2.4691358024691357E-5</v>
      </c>
      <c r="N298" t="n">
        <v>1</v>
      </c>
      <c r="O298">
        <f>1</f>
        <v>1</v>
      </c>
      <c r="P298" t="n">
        <v>1</v>
      </c>
      <c r="Q298" t="n">
        <v>1</v>
      </c>
      <c r="R298">
        <f>-1-'vehicles specifications'!AD164</f>
        <v>-1.5</v>
      </c>
      <c r="S298" t="n">
        <v>1</v>
      </c>
      <c r="T298" t="n">
        <v>1</v>
      </c>
      <c r="U298" t="n">
        <v>1</v>
      </c>
      <c r="V298" t="n">
        <v>1</v>
      </c>
      <c r="W298" t="n">
        <v>1</v>
      </c>
      <c r="X298" t="n">
        <v>1</v>
      </c>
      <c r="Y298" t="n">
        <v>1</v>
      </c>
      <c r="Z298" t="n">
        <v>1</v>
      </c>
      <c r="AA298" t="n">
        <v>1</v>
      </c>
      <c r="AB298" t="n">
        <v>1</v>
      </c>
      <c r="AC298" t="n">
        <v>1</v>
      </c>
      <c r="AD298" t="n">
        <v>1</v>
      </c>
      <c r="AE298" t="n">
        <v>1</v>
      </c>
      <c r="AF298" t="n">
        <v>1</v>
      </c>
      <c r="AG298" t="n">
        <v>1</v>
      </c>
      <c r="AH298" t="n">
        <v>1</v>
      </c>
      <c r="AI298" t="n">
        <v>1</v>
      </c>
      <c r="AJ298" t="n">
        <v>1</v>
      </c>
      <c r="AK298" t="n">
        <v>1</v>
      </c>
      <c r="AL298" t="n">
        <v>1</v>
      </c>
      <c r="AM298" t="n">
        <v>1</v>
      </c>
      <c r="AN298" t="n">
        <v>1</v>
      </c>
      <c r="AO298" t="n">
        <v>1</v>
      </c>
      <c r="AP298" t="n">
        <v>1</v>
      </c>
      <c r="AQ298" t="n">
        <v>1</v>
      </c>
      <c r="AR298" t="n">
        <v>1</v>
      </c>
      <c r="AS298" t="n">
        <v>1</v>
      </c>
      <c r="AT298" t="n">
        <v>1</v>
      </c>
      <c r="AU298" t="n">
        <v>1</v>
      </c>
      <c r="AV298" t="n">
        <v>1</v>
      </c>
      <c r="AW298" t="n">
        <v>1</v>
      </c>
      <c r="AX298" t="n">
        <v>1</v>
      </c>
      <c r="AY298" t="n">
        <v>1</v>
      </c>
      <c r="AZ298" t="n">
        <v>1</v>
      </c>
      <c r="BA298" t="n">
        <v>1</v>
      </c>
      <c r="BB298" t="n">
        <v>1</v>
      </c>
      <c r="BC298" t="n">
        <v>1</v>
      </c>
      <c r="BD298" t="n">
        <v>1</v>
      </c>
      <c r="BE298" t="n">
        <v>1</v>
      </c>
      <c r="BF298" t="n">
        <v>1</v>
      </c>
      <c r="BG298" t="n">
        <v>1</v>
      </c>
      <c r="BH298" t="n">
        <v>1</v>
      </c>
      <c r="BI298" t="n">
        <v>1</v>
      </c>
      <c r="BJ298" t="n">
        <v>-1</v>
      </c>
      <c r="BK298" t="n">
        <v>-1</v>
      </c>
      <c r="BL298" t="n">
        <v>-1</v>
      </c>
    </row>
    <row r="299">
      <c r="A299" t="inlineStr">
        <is>
          <t>Motorbike, battery electric, &gt;35kW - 2040 - NCA - CH</t>
        </is>
      </c>
      <c r="B299" t="n">
        <v>1</v>
      </c>
      <c r="C299" s="2">
        <f>'vehicles specifications'!S165</f>
        <v>111</v>
      </c>
      <c r="D299" t="n">
        <v>1</v>
      </c>
      <c r="E299" t="n">
        <v>1</v>
      </c>
      <c r="F299">
        <f>1+'vehicles specifications'!AD165</f>
        <v>1.25</v>
      </c>
      <c r="G299">
        <f>1+'vehicles specifications'!AD165</f>
        <v>1.25</v>
      </c>
      <c r="J299" t="n">
        <v>1</v>
      </c>
      <c r="K299">
        <f>1/('fuels and tailpipe emissions'!$C$3*3.6)</f>
        <v>2.3474178403755867E-2</v>
      </c>
      <c r="L299">
        <f>1/3.6*1.1</f>
        <v>0.30555555555555558</v>
      </c>
      <c r="M299">
        <f>1/'vehicles specifications'!J165</f>
        <v>2.4691358024691357E-5</v>
      </c>
      <c r="N299" t="n">
        <v>1</v>
      </c>
      <c r="O299">
        <f>1</f>
        <v>1</v>
      </c>
      <c r="P299" t="n">
        <v>1</v>
      </c>
      <c r="Q299" t="n">
        <v>1</v>
      </c>
      <c r="R299">
        <f>-1-'vehicles specifications'!AD165</f>
        <v>-1.25</v>
      </c>
      <c r="S299" t="n">
        <v>1</v>
      </c>
      <c r="T299" t="n">
        <v>1</v>
      </c>
      <c r="U299" t="n">
        <v>1</v>
      </c>
      <c r="V299" t="n">
        <v>1</v>
      </c>
      <c r="W299" t="n">
        <v>1</v>
      </c>
      <c r="X299" t="n">
        <v>1</v>
      </c>
      <c r="Y299" t="n">
        <v>1</v>
      </c>
      <c r="Z299" t="n">
        <v>1</v>
      </c>
      <c r="AA299" t="n">
        <v>1</v>
      </c>
      <c r="AB299" t="n">
        <v>1</v>
      </c>
      <c r="AC299" t="n">
        <v>1</v>
      </c>
      <c r="AD299" t="n">
        <v>1</v>
      </c>
      <c r="AE299" t="n">
        <v>1</v>
      </c>
      <c r="AF299" t="n">
        <v>1</v>
      </c>
      <c r="AG299" t="n">
        <v>1</v>
      </c>
      <c r="AH299" t="n">
        <v>1</v>
      </c>
      <c r="AI299" t="n">
        <v>1</v>
      </c>
      <c r="AJ299" t="n">
        <v>1</v>
      </c>
      <c r="AK299" t="n">
        <v>1</v>
      </c>
      <c r="AL299" t="n">
        <v>1</v>
      </c>
      <c r="AM299" t="n">
        <v>1</v>
      </c>
      <c r="AN299" t="n">
        <v>1</v>
      </c>
      <c r="AO299" t="n">
        <v>1</v>
      </c>
      <c r="AP299" t="n">
        <v>1</v>
      </c>
      <c r="AQ299" t="n">
        <v>1</v>
      </c>
      <c r="AR299" t="n">
        <v>1</v>
      </c>
      <c r="AS299" t="n">
        <v>1</v>
      </c>
      <c r="AT299" t="n">
        <v>1</v>
      </c>
      <c r="AU299" t="n">
        <v>1</v>
      </c>
      <c r="AV299" t="n">
        <v>1</v>
      </c>
      <c r="AW299" t="n">
        <v>1</v>
      </c>
      <c r="AX299" t="n">
        <v>1</v>
      </c>
      <c r="AY299" t="n">
        <v>1</v>
      </c>
      <c r="AZ299" t="n">
        <v>1</v>
      </c>
      <c r="BA299" t="n">
        <v>1</v>
      </c>
      <c r="BB299" t="n">
        <v>1</v>
      </c>
      <c r="BC299" t="n">
        <v>1</v>
      </c>
      <c r="BD299" t="n">
        <v>1</v>
      </c>
      <c r="BE299" t="n">
        <v>1</v>
      </c>
      <c r="BF299" t="n">
        <v>1</v>
      </c>
      <c r="BG299" t="n">
        <v>1</v>
      </c>
      <c r="BH299" t="n">
        <v>1</v>
      </c>
      <c r="BI299" t="n">
        <v>1</v>
      </c>
      <c r="BJ299" t="n">
        <v>-1</v>
      </c>
      <c r="BK299" t="n">
        <v>-1</v>
      </c>
      <c r="BL299" t="n">
        <v>-1</v>
      </c>
    </row>
    <row r="300">
      <c r="A300" t="inlineStr">
        <is>
          <t>Motorbike, battery electric, &gt;35kW - 2050 - NCA - CH</t>
        </is>
      </c>
      <c r="B300" t="n">
        <v>1</v>
      </c>
      <c r="C300" s="2">
        <f>'vehicles specifications'!S166</f>
        <v>111</v>
      </c>
      <c r="D300" t="n">
        <v>1</v>
      </c>
      <c r="E300" t="n">
        <v>1</v>
      </c>
      <c r="F300">
        <f>1+'vehicles specifications'!AD166</f>
        <v>1</v>
      </c>
      <c r="G300">
        <f>1+'vehicles specifications'!AD166</f>
        <v>1</v>
      </c>
      <c r="J300" t="n">
        <v>1</v>
      </c>
      <c r="K300">
        <f>1/('fuels and tailpipe emissions'!$C$3*3.6)</f>
        <v>2.3474178403755867E-2</v>
      </c>
      <c r="L300">
        <f>1/3.6*1.1</f>
        <v>0.30555555555555558</v>
      </c>
      <c r="M300">
        <f>1/'vehicles specifications'!J166</f>
        <v>2.4691358024691357E-5</v>
      </c>
      <c r="N300" t="n">
        <v>1</v>
      </c>
      <c r="O300">
        <f>1</f>
        <v>1</v>
      </c>
      <c r="P300" t="n">
        <v>1</v>
      </c>
      <c r="Q300" t="n">
        <v>1</v>
      </c>
      <c r="R300">
        <f>-1-'vehicles specifications'!AD166</f>
        <v>-1</v>
      </c>
      <c r="S300" t="n">
        <v>1</v>
      </c>
      <c r="T300" t="n">
        <v>1</v>
      </c>
      <c r="U300" t="n">
        <v>1</v>
      </c>
      <c r="V300" t="n">
        <v>1</v>
      </c>
      <c r="W300" t="n">
        <v>1</v>
      </c>
      <c r="X300" t="n">
        <v>1</v>
      </c>
      <c r="Y300" t="n">
        <v>1</v>
      </c>
      <c r="Z300" t="n">
        <v>1</v>
      </c>
      <c r="AA300" t="n">
        <v>1</v>
      </c>
      <c r="AB300" t="n">
        <v>1</v>
      </c>
      <c r="AC300" t="n">
        <v>1</v>
      </c>
      <c r="AD300" t="n">
        <v>1</v>
      </c>
      <c r="AE300" t="n">
        <v>1</v>
      </c>
      <c r="AF300" t="n">
        <v>1</v>
      </c>
      <c r="AG300" t="n">
        <v>1</v>
      </c>
      <c r="AH300" t="n">
        <v>1</v>
      </c>
      <c r="AI300" t="n">
        <v>1</v>
      </c>
      <c r="AJ300" t="n">
        <v>1</v>
      </c>
      <c r="AK300" t="n">
        <v>1</v>
      </c>
      <c r="AL300" t="n">
        <v>1</v>
      </c>
      <c r="AM300" t="n">
        <v>1</v>
      </c>
      <c r="AN300" t="n">
        <v>1</v>
      </c>
      <c r="AO300" t="n">
        <v>1</v>
      </c>
      <c r="AP300" t="n">
        <v>1</v>
      </c>
      <c r="AQ300" t="n">
        <v>1</v>
      </c>
      <c r="AR300" t="n">
        <v>1</v>
      </c>
      <c r="AS300" t="n">
        <v>1</v>
      </c>
      <c r="AT300" t="n">
        <v>1</v>
      </c>
      <c r="AU300" t="n">
        <v>1</v>
      </c>
      <c r="AV300" t="n">
        <v>1</v>
      </c>
      <c r="AW300" t="n">
        <v>1</v>
      </c>
      <c r="AX300" t="n">
        <v>1</v>
      </c>
      <c r="AY300" t="n">
        <v>1</v>
      </c>
      <c r="AZ300" t="n">
        <v>1</v>
      </c>
      <c r="BA300" t="n">
        <v>1</v>
      </c>
      <c r="BB300" t="n">
        <v>1</v>
      </c>
      <c r="BC300" t="n">
        <v>1</v>
      </c>
      <c r="BD300" t="n">
        <v>1</v>
      </c>
      <c r="BE300" t="n">
        <v>1</v>
      </c>
      <c r="BF300" t="n">
        <v>1</v>
      </c>
      <c r="BG300" t="n">
        <v>1</v>
      </c>
      <c r="BH300" t="n">
        <v>1</v>
      </c>
      <c r="BI300" t="n">
        <v>1</v>
      </c>
      <c r="BJ300" t="n">
        <v>-1</v>
      </c>
      <c r="BK300" t="n">
        <v>-1</v>
      </c>
      <c r="BL300" t="n">
        <v>-1</v>
      </c>
    </row>
    <row r="301"/>
    <row r="302">
      <c r="A302" t="inlineStr">
        <is>
          <t>category</t>
        </is>
      </c>
    </row>
    <row r="303"/>
    <row r="304">
      <c r="B304" t="inlineStr">
        <is>
          <t>Glider base mass [kg]</t>
        </is>
      </c>
      <c r="D304" t="inlineStr">
        <is>
          <t>Mechanical powertrain mass [kg]</t>
        </is>
      </c>
      <c r="E304" t="inlineStr">
        <is>
          <t>Electric powertrain mass [kg]</t>
        </is>
      </c>
      <c r="F304" t="inlineStr">
        <is>
          <t>Energy battery cell mass [kg]</t>
        </is>
      </c>
      <c r="G304" t="inlineStr">
        <is>
          <t>Energy battery BoP mass [kg]</t>
        </is>
      </c>
      <c r="H304" t="inlineStr">
        <is>
          <t>Fuel mass [kg]</t>
        </is>
      </c>
      <c r="I304" t="inlineStr">
        <is>
          <t>Fuel tank mass [kg]</t>
        </is>
      </c>
      <c r="J304" t="inlineStr">
        <is>
          <t>Charging station per vehicle [unit]</t>
        </is>
      </c>
      <c r="K304" t="inlineStr">
        <is>
          <t>Gasoline consumption [MJ/km]</t>
        </is>
      </c>
      <c r="L304" t="inlineStr">
        <is>
          <t>Electricity consumption [MJ/km]</t>
        </is>
      </c>
      <c r="M304" t="inlineStr">
        <is>
          <t>Servicing [unit]</t>
        </is>
      </c>
      <c r="N304" t="inlineStr">
        <is>
          <t>Road/track use [m*year/vkm or pkm]</t>
        </is>
      </c>
      <c r="O304" t="inlineStr">
        <is>
          <t>Road maintenance [m*year/vkm]</t>
        </is>
      </c>
      <c r="P304" t="inlineStr">
        <is>
          <t>Discarding glider [kg]</t>
        </is>
      </c>
      <c r="Q304" t="inlineStr">
        <is>
          <t>Discarding powertrain [kg]</t>
        </is>
      </c>
      <c r="R304" t="inlineStr">
        <is>
          <t>Discarding battery [kg]</t>
        </is>
      </c>
      <c r="S304" t="inlineStr">
        <is>
          <t>CO2</t>
        </is>
      </c>
      <c r="T304" t="inlineStr">
        <is>
          <t>CO2, bio</t>
        </is>
      </c>
      <c r="U304" t="inlineStr">
        <is>
          <t>SO2</t>
        </is>
      </c>
      <c r="V304" t="inlineStr">
        <is>
          <t>Benzene</t>
        </is>
      </c>
      <c r="W304" t="inlineStr">
        <is>
          <t>CH4</t>
        </is>
      </c>
      <c r="X304" t="inlineStr">
        <is>
          <t>CO</t>
        </is>
      </c>
      <c r="Y304" t="inlineStr">
        <is>
          <t>N2O</t>
        </is>
      </c>
      <c r="Z304" t="inlineStr">
        <is>
          <t>NH3</t>
        </is>
      </c>
      <c r="AA304" t="inlineStr">
        <is>
          <t>NMHC</t>
        </is>
      </c>
      <c r="AB304" t="inlineStr">
        <is>
          <t>NOx</t>
        </is>
      </c>
      <c r="AC304" t="inlineStr">
        <is>
          <t>PM2.5</t>
        </is>
      </c>
      <c r="AD304" t="inlineStr">
        <is>
          <t>NMVOC</t>
        </is>
      </c>
      <c r="AE304" t="inlineStr">
        <is>
          <t>Ethane</t>
        </is>
      </c>
      <c r="AF304" t="inlineStr">
        <is>
          <t>Propane</t>
        </is>
      </c>
      <c r="AG304" t="inlineStr">
        <is>
          <t>Butane</t>
        </is>
      </c>
      <c r="AH304" t="inlineStr">
        <is>
          <t>Pentane</t>
        </is>
      </c>
      <c r="AI304" t="inlineStr">
        <is>
          <t>Hexane</t>
        </is>
      </c>
      <c r="AJ304" t="inlineStr">
        <is>
          <t>Cyclohexane</t>
        </is>
      </c>
      <c r="AK304" t="inlineStr">
        <is>
          <t>Heptane</t>
        </is>
      </c>
      <c r="AL304" t="inlineStr">
        <is>
          <t>Ethene</t>
        </is>
      </c>
      <c r="AM304" t="inlineStr">
        <is>
          <t>Propene</t>
        </is>
      </c>
      <c r="AN304" t="inlineStr">
        <is>
          <t>1-Pentene</t>
        </is>
      </c>
      <c r="AO304" t="inlineStr">
        <is>
          <t>Benzene</t>
        </is>
      </c>
      <c r="AP304" t="inlineStr">
        <is>
          <t>Toluene</t>
        </is>
      </c>
      <c r="AQ304" t="inlineStr">
        <is>
          <t>m-Xylene</t>
        </is>
      </c>
      <c r="AR304" t="inlineStr">
        <is>
          <t>o-Xylene</t>
        </is>
      </c>
      <c r="AS304" t="inlineStr">
        <is>
          <t>Formaldehyde</t>
        </is>
      </c>
      <c r="AT304" t="inlineStr">
        <is>
          <t>Acetaldehyde</t>
        </is>
      </c>
      <c r="AU304" t="inlineStr">
        <is>
          <t>Benzaldehyde</t>
        </is>
      </c>
      <c r="AV304" t="inlineStr">
        <is>
          <t>Acetone</t>
        </is>
      </c>
      <c r="AW304" t="inlineStr">
        <is>
          <t>Methyl ethyl ketone</t>
        </is>
      </c>
      <c r="AX304" t="inlineStr">
        <is>
          <t>Acrolein</t>
        </is>
      </c>
      <c r="AY304" t="inlineStr">
        <is>
          <t>Styrene</t>
        </is>
      </c>
      <c r="AZ304" t="inlineStr">
        <is>
          <t>PAHs</t>
        </is>
      </c>
      <c r="BA304" t="inlineStr">
        <is>
          <t>Arsenic</t>
        </is>
      </c>
      <c r="BB304" t="inlineStr">
        <is>
          <t>Selenium</t>
        </is>
      </c>
      <c r="BC304" t="inlineStr">
        <is>
          <t>Zinc</t>
        </is>
      </c>
      <c r="BD304" t="inlineStr">
        <is>
          <t>Copper</t>
        </is>
      </c>
      <c r="BE304" t="inlineStr">
        <is>
          <t>Nickel</t>
        </is>
      </c>
      <c r="BF304" t="inlineStr">
        <is>
          <t>Chromium</t>
        </is>
      </c>
      <c r="BG304" t="inlineStr">
        <is>
          <t>Chromium VI</t>
        </is>
      </c>
      <c r="BH304" t="inlineStr">
        <is>
          <t>Mercury</t>
        </is>
      </c>
      <c r="BI304" t="inlineStr">
        <is>
          <t>Cadmium</t>
        </is>
      </c>
      <c r="BJ304" t="inlineStr">
        <is>
          <t>Road wear [kg/km]</t>
        </is>
      </c>
      <c r="BK304" t="inlineStr">
        <is>
          <t>Tire wear [kg/km]</t>
        </is>
      </c>
      <c r="BL304" t="inlineStr">
        <is>
          <t>Brake wear [kg/km]</t>
        </is>
      </c>
    </row>
    <row r="305">
      <c r="A305" t="inlineStr">
        <is>
          <t>Kick Scooter, battery electric, &lt;1kW</t>
        </is>
      </c>
      <c r="S305" t="inlineStr">
        <is>
          <t>air::urban air close to ground</t>
        </is>
      </c>
      <c r="T305" t="inlineStr">
        <is>
          <t>air::urban air close to ground</t>
        </is>
      </c>
      <c r="U305" t="inlineStr">
        <is>
          <t>air::urban air close to ground</t>
        </is>
      </c>
      <c r="V305" t="inlineStr">
        <is>
          <t>air::urban air close to ground</t>
        </is>
      </c>
      <c r="W305" t="inlineStr">
        <is>
          <t>air::urban air close to ground</t>
        </is>
      </c>
      <c r="X305" t="inlineStr">
        <is>
          <t>air::urban air close to ground</t>
        </is>
      </c>
      <c r="Y305" t="inlineStr">
        <is>
          <t>air::urban air close to ground</t>
        </is>
      </c>
      <c r="Z305" t="inlineStr">
        <is>
          <t>air::urban air close to ground</t>
        </is>
      </c>
      <c r="AA305" t="inlineStr">
        <is>
          <t>air::urban air close to ground</t>
        </is>
      </c>
      <c r="AB305" t="inlineStr">
        <is>
          <t>air::urban air close to ground</t>
        </is>
      </c>
      <c r="AC305" t="inlineStr">
        <is>
          <t>air::urban air close to ground</t>
        </is>
      </c>
      <c r="AD305" t="inlineStr">
        <is>
          <t>air::urban air close to ground</t>
        </is>
      </c>
      <c r="AE305" t="inlineStr">
        <is>
          <t>air::urban air close to ground</t>
        </is>
      </c>
      <c r="AF305" t="inlineStr">
        <is>
          <t>air::urban air close to ground</t>
        </is>
      </c>
      <c r="AG305" t="inlineStr">
        <is>
          <t>air::urban air close to ground</t>
        </is>
      </c>
      <c r="AH305" t="inlineStr">
        <is>
          <t>air::urban air close to ground</t>
        </is>
      </c>
      <c r="AI305" t="inlineStr">
        <is>
          <t>air::urban air close to ground</t>
        </is>
      </c>
      <c r="AJ305" t="inlineStr">
        <is>
          <t>air::urban air close to ground</t>
        </is>
      </c>
      <c r="AK305" t="inlineStr">
        <is>
          <t>air::urban air close to ground</t>
        </is>
      </c>
      <c r="AL305" t="inlineStr">
        <is>
          <t>air::urban air close to ground</t>
        </is>
      </c>
      <c r="AM305" t="inlineStr">
        <is>
          <t>air::urban air close to ground</t>
        </is>
      </c>
      <c r="AN305" t="inlineStr">
        <is>
          <t>air::urban air close to ground</t>
        </is>
      </c>
      <c r="AO305" t="inlineStr">
        <is>
          <t>air::urban air close to ground</t>
        </is>
      </c>
      <c r="AP305" t="inlineStr">
        <is>
          <t>air::urban air close to ground</t>
        </is>
      </c>
      <c r="AQ305" t="inlineStr">
        <is>
          <t>air::urban air close to ground</t>
        </is>
      </c>
      <c r="AR305" t="inlineStr">
        <is>
          <t>air::urban air close to ground</t>
        </is>
      </c>
      <c r="AS305" t="inlineStr">
        <is>
          <t>air::urban air close to ground</t>
        </is>
      </c>
      <c r="AT305" t="inlineStr">
        <is>
          <t>air::urban air close to ground</t>
        </is>
      </c>
      <c r="AU305" t="inlineStr">
        <is>
          <t>air::urban air close to ground</t>
        </is>
      </c>
      <c r="AV305" t="inlineStr">
        <is>
          <t>air::urban air close to ground</t>
        </is>
      </c>
      <c r="AW305" t="inlineStr">
        <is>
          <t>air::urban air close to ground</t>
        </is>
      </c>
      <c r="AX305" t="inlineStr">
        <is>
          <t>air::urban air close to ground</t>
        </is>
      </c>
      <c r="AY305" t="inlineStr">
        <is>
          <t>air::urban air close to ground</t>
        </is>
      </c>
      <c r="AZ305" t="inlineStr">
        <is>
          <t>air::urban air close to ground</t>
        </is>
      </c>
      <c r="BA305" t="inlineStr">
        <is>
          <t>air::urban air close to ground</t>
        </is>
      </c>
      <c r="BB305" t="inlineStr">
        <is>
          <t>air::urban air close to ground</t>
        </is>
      </c>
      <c r="BC305" t="inlineStr">
        <is>
          <t>air::urban air close to ground</t>
        </is>
      </c>
      <c r="BD305" t="inlineStr">
        <is>
          <t>air::urban air close to ground</t>
        </is>
      </c>
      <c r="BE305" t="inlineStr">
        <is>
          <t>air::urban air close to ground</t>
        </is>
      </c>
      <c r="BF305" t="inlineStr">
        <is>
          <t>air::urban air close to ground</t>
        </is>
      </c>
      <c r="BG305" t="inlineStr">
        <is>
          <t>air::urban air close to ground</t>
        </is>
      </c>
      <c r="BH305" t="inlineStr">
        <is>
          <t>air::urban air close to ground</t>
        </is>
      </c>
      <c r="BI305" t="inlineStr">
        <is>
          <t>air::urban air close to ground</t>
        </is>
      </c>
    </row>
    <row r="306">
      <c r="A306" t="inlineStr">
        <is>
          <t>Bicycle, conventional, urban</t>
        </is>
      </c>
      <c r="S306" t="inlineStr">
        <is>
          <t>air::urban air close to ground</t>
        </is>
      </c>
      <c r="T306" t="inlineStr">
        <is>
          <t>air::urban air close to ground</t>
        </is>
      </c>
      <c r="U306" t="inlineStr">
        <is>
          <t>air::urban air close to ground</t>
        </is>
      </c>
      <c r="V306" t="inlineStr">
        <is>
          <t>air::urban air close to ground</t>
        </is>
      </c>
      <c r="W306" t="inlineStr">
        <is>
          <t>air::urban air close to ground</t>
        </is>
      </c>
      <c r="X306" t="inlineStr">
        <is>
          <t>air::urban air close to ground</t>
        </is>
      </c>
      <c r="Y306" t="inlineStr">
        <is>
          <t>air::urban air close to ground</t>
        </is>
      </c>
      <c r="Z306" t="inlineStr">
        <is>
          <t>air::urban air close to ground</t>
        </is>
      </c>
      <c r="AA306" t="inlineStr">
        <is>
          <t>air::urban air close to ground</t>
        </is>
      </c>
      <c r="AB306" t="inlineStr">
        <is>
          <t>air::urban air close to ground</t>
        </is>
      </c>
      <c r="AC306" t="inlineStr">
        <is>
          <t>air::urban air close to ground</t>
        </is>
      </c>
      <c r="AD306" t="inlineStr">
        <is>
          <t>air::urban air close to ground</t>
        </is>
      </c>
      <c r="AE306" t="inlineStr">
        <is>
          <t>air::urban air close to ground</t>
        </is>
      </c>
      <c r="AF306" t="inlineStr">
        <is>
          <t>air::urban air close to ground</t>
        </is>
      </c>
      <c r="AG306" t="inlineStr">
        <is>
          <t>air::urban air close to ground</t>
        </is>
      </c>
      <c r="AH306" t="inlineStr">
        <is>
          <t>air::urban air close to ground</t>
        </is>
      </c>
      <c r="AI306" t="inlineStr">
        <is>
          <t>air::urban air close to ground</t>
        </is>
      </c>
      <c r="AJ306" t="inlineStr">
        <is>
          <t>air::urban air close to ground</t>
        </is>
      </c>
      <c r="AK306" t="inlineStr">
        <is>
          <t>air::urban air close to ground</t>
        </is>
      </c>
      <c r="AL306" t="inlineStr">
        <is>
          <t>air::urban air close to ground</t>
        </is>
      </c>
      <c r="AM306" t="inlineStr">
        <is>
          <t>air::urban air close to ground</t>
        </is>
      </c>
      <c r="AN306" t="inlineStr">
        <is>
          <t>air::urban air close to ground</t>
        </is>
      </c>
      <c r="AO306" t="inlineStr">
        <is>
          <t>air::urban air close to ground</t>
        </is>
      </c>
      <c r="AP306" t="inlineStr">
        <is>
          <t>air::urban air close to ground</t>
        </is>
      </c>
      <c r="AQ306" t="inlineStr">
        <is>
          <t>air::urban air close to ground</t>
        </is>
      </c>
      <c r="AR306" t="inlineStr">
        <is>
          <t>air::urban air close to ground</t>
        </is>
      </c>
      <c r="AS306" t="inlineStr">
        <is>
          <t>air::urban air close to ground</t>
        </is>
      </c>
      <c r="AT306" t="inlineStr">
        <is>
          <t>air::urban air close to ground</t>
        </is>
      </c>
      <c r="AU306" t="inlineStr">
        <is>
          <t>air::urban air close to ground</t>
        </is>
      </c>
      <c r="AV306" t="inlineStr">
        <is>
          <t>air::urban air close to ground</t>
        </is>
      </c>
      <c r="AW306" t="inlineStr">
        <is>
          <t>air::urban air close to ground</t>
        </is>
      </c>
      <c r="AX306" t="inlineStr">
        <is>
          <t>air::urban air close to ground</t>
        </is>
      </c>
      <c r="AY306" t="inlineStr">
        <is>
          <t>air::urban air close to ground</t>
        </is>
      </c>
      <c r="AZ306" t="inlineStr">
        <is>
          <t>air::urban air close to ground</t>
        </is>
      </c>
      <c r="BA306" t="inlineStr">
        <is>
          <t>air::urban air close to ground</t>
        </is>
      </c>
      <c r="BB306" t="inlineStr">
        <is>
          <t>air::urban air close to ground</t>
        </is>
      </c>
      <c r="BC306" t="inlineStr">
        <is>
          <t>air::urban air close to ground</t>
        </is>
      </c>
      <c r="BD306" t="inlineStr">
        <is>
          <t>air::urban air close to ground</t>
        </is>
      </c>
      <c r="BE306" t="inlineStr">
        <is>
          <t>air::urban air close to ground</t>
        </is>
      </c>
      <c r="BF306" t="inlineStr">
        <is>
          <t>air::urban air close to ground</t>
        </is>
      </c>
      <c r="BG306" t="inlineStr">
        <is>
          <t>air::urban air close to ground</t>
        </is>
      </c>
      <c r="BH306" t="inlineStr">
        <is>
          <t>air::urban air close to ground</t>
        </is>
      </c>
      <c r="BI306" t="inlineStr">
        <is>
          <t>air::urban air close to ground</t>
        </is>
      </c>
    </row>
    <row r="307">
      <c r="A307" t="inlineStr">
        <is>
          <t>Bicycle, electric (&lt;25 km/h)</t>
        </is>
      </c>
      <c r="S307" t="inlineStr">
        <is>
          <t>air::urban air close to ground</t>
        </is>
      </c>
      <c r="T307" t="inlineStr">
        <is>
          <t>air::urban air close to ground</t>
        </is>
      </c>
      <c r="U307" t="inlineStr">
        <is>
          <t>air::urban air close to ground</t>
        </is>
      </c>
      <c r="V307" t="inlineStr">
        <is>
          <t>air::urban air close to ground</t>
        </is>
      </c>
      <c r="W307" t="inlineStr">
        <is>
          <t>air::urban air close to ground</t>
        </is>
      </c>
      <c r="X307" t="inlineStr">
        <is>
          <t>air::urban air close to ground</t>
        </is>
      </c>
      <c r="Y307" t="inlineStr">
        <is>
          <t>air::urban air close to ground</t>
        </is>
      </c>
      <c r="Z307" t="inlineStr">
        <is>
          <t>air::urban air close to ground</t>
        </is>
      </c>
      <c r="AA307" t="inlineStr">
        <is>
          <t>air::urban air close to ground</t>
        </is>
      </c>
      <c r="AB307" t="inlineStr">
        <is>
          <t>air::urban air close to ground</t>
        </is>
      </c>
      <c r="AC307" t="inlineStr">
        <is>
          <t>air::urban air close to ground</t>
        </is>
      </c>
      <c r="AD307" t="inlineStr">
        <is>
          <t>air::urban air close to ground</t>
        </is>
      </c>
      <c r="AE307" t="inlineStr">
        <is>
          <t>air::urban air close to ground</t>
        </is>
      </c>
      <c r="AF307" t="inlineStr">
        <is>
          <t>air::urban air close to ground</t>
        </is>
      </c>
      <c r="AG307" t="inlineStr">
        <is>
          <t>air::urban air close to ground</t>
        </is>
      </c>
      <c r="AH307" t="inlineStr">
        <is>
          <t>air::urban air close to ground</t>
        </is>
      </c>
      <c r="AI307" t="inlineStr">
        <is>
          <t>air::urban air close to ground</t>
        </is>
      </c>
      <c r="AJ307" t="inlineStr">
        <is>
          <t>air::urban air close to ground</t>
        </is>
      </c>
      <c r="AK307" t="inlineStr">
        <is>
          <t>air::urban air close to ground</t>
        </is>
      </c>
      <c r="AL307" t="inlineStr">
        <is>
          <t>air::urban air close to ground</t>
        </is>
      </c>
      <c r="AM307" t="inlineStr">
        <is>
          <t>air::urban air close to ground</t>
        </is>
      </c>
      <c r="AN307" t="inlineStr">
        <is>
          <t>air::urban air close to ground</t>
        </is>
      </c>
      <c r="AO307" t="inlineStr">
        <is>
          <t>air::urban air close to ground</t>
        </is>
      </c>
      <c r="AP307" t="inlineStr">
        <is>
          <t>air::urban air close to ground</t>
        </is>
      </c>
      <c r="AQ307" t="inlineStr">
        <is>
          <t>air::urban air close to ground</t>
        </is>
      </c>
      <c r="AR307" t="inlineStr">
        <is>
          <t>air::urban air close to ground</t>
        </is>
      </c>
      <c r="AS307" t="inlineStr">
        <is>
          <t>air::urban air close to ground</t>
        </is>
      </c>
      <c r="AT307" t="inlineStr">
        <is>
          <t>air::urban air close to ground</t>
        </is>
      </c>
      <c r="AU307" t="inlineStr">
        <is>
          <t>air::urban air close to ground</t>
        </is>
      </c>
      <c r="AV307" t="inlineStr">
        <is>
          <t>air::urban air close to ground</t>
        </is>
      </c>
      <c r="AW307" t="inlineStr">
        <is>
          <t>air::urban air close to ground</t>
        </is>
      </c>
      <c r="AX307" t="inlineStr">
        <is>
          <t>air::urban air close to ground</t>
        </is>
      </c>
      <c r="AY307" t="inlineStr">
        <is>
          <t>air::urban air close to ground</t>
        </is>
      </c>
      <c r="AZ307" t="inlineStr">
        <is>
          <t>air::urban air close to ground</t>
        </is>
      </c>
      <c r="BA307" t="inlineStr">
        <is>
          <t>air::urban air close to ground</t>
        </is>
      </c>
      <c r="BB307" t="inlineStr">
        <is>
          <t>air::urban air close to ground</t>
        </is>
      </c>
      <c r="BC307" t="inlineStr">
        <is>
          <t>air::urban air close to ground</t>
        </is>
      </c>
      <c r="BD307" t="inlineStr">
        <is>
          <t>air::urban air close to ground</t>
        </is>
      </c>
      <c r="BE307" t="inlineStr">
        <is>
          <t>air::urban air close to ground</t>
        </is>
      </c>
      <c r="BF307" t="inlineStr">
        <is>
          <t>air::urban air close to ground</t>
        </is>
      </c>
      <c r="BG307" t="inlineStr">
        <is>
          <t>air::urban air close to ground</t>
        </is>
      </c>
      <c r="BH307" t="inlineStr">
        <is>
          <t>air::urban air close to ground</t>
        </is>
      </c>
      <c r="BI307" t="inlineStr">
        <is>
          <t>air::urban air close to ground</t>
        </is>
      </c>
    </row>
    <row r="308">
      <c r="A308" t="inlineStr">
        <is>
          <t>Bicycle, electric (&lt;45 km/h)</t>
        </is>
      </c>
      <c r="S308" t="inlineStr">
        <is>
          <t>air::urban air close to ground</t>
        </is>
      </c>
      <c r="T308" t="inlineStr">
        <is>
          <t>air::urban air close to ground</t>
        </is>
      </c>
      <c r="U308" t="inlineStr">
        <is>
          <t>air::urban air close to ground</t>
        </is>
      </c>
      <c r="V308" t="inlineStr">
        <is>
          <t>air::urban air close to ground</t>
        </is>
      </c>
      <c r="W308" t="inlineStr">
        <is>
          <t>air::urban air close to ground</t>
        </is>
      </c>
      <c r="X308" t="inlineStr">
        <is>
          <t>air::urban air close to ground</t>
        </is>
      </c>
      <c r="Y308" t="inlineStr">
        <is>
          <t>air::urban air close to ground</t>
        </is>
      </c>
      <c r="Z308" t="inlineStr">
        <is>
          <t>air::urban air close to ground</t>
        </is>
      </c>
      <c r="AA308" t="inlineStr">
        <is>
          <t>air::urban air close to ground</t>
        </is>
      </c>
      <c r="AB308" t="inlineStr">
        <is>
          <t>air::urban air close to ground</t>
        </is>
      </c>
      <c r="AC308" t="inlineStr">
        <is>
          <t>air::urban air close to ground</t>
        </is>
      </c>
      <c r="AD308" t="inlineStr">
        <is>
          <t>air::urban air close to ground</t>
        </is>
      </c>
      <c r="AE308" t="inlineStr">
        <is>
          <t>air::urban air close to ground</t>
        </is>
      </c>
      <c r="AF308" t="inlineStr">
        <is>
          <t>air::urban air close to ground</t>
        </is>
      </c>
      <c r="AG308" t="inlineStr">
        <is>
          <t>air::urban air close to ground</t>
        </is>
      </c>
      <c r="AH308" t="inlineStr">
        <is>
          <t>air::urban air close to ground</t>
        </is>
      </c>
      <c r="AI308" t="inlineStr">
        <is>
          <t>air::urban air close to ground</t>
        </is>
      </c>
      <c r="AJ308" t="inlineStr">
        <is>
          <t>air::urban air close to ground</t>
        </is>
      </c>
      <c r="AK308" t="inlineStr">
        <is>
          <t>air::urban air close to ground</t>
        </is>
      </c>
      <c r="AL308" t="inlineStr">
        <is>
          <t>air::urban air close to ground</t>
        </is>
      </c>
      <c r="AM308" t="inlineStr">
        <is>
          <t>air::urban air close to ground</t>
        </is>
      </c>
      <c r="AN308" t="inlineStr">
        <is>
          <t>air::urban air close to ground</t>
        </is>
      </c>
      <c r="AO308" t="inlineStr">
        <is>
          <t>air::urban air close to ground</t>
        </is>
      </c>
      <c r="AP308" t="inlineStr">
        <is>
          <t>air::urban air close to ground</t>
        </is>
      </c>
      <c r="AQ308" t="inlineStr">
        <is>
          <t>air::urban air close to ground</t>
        </is>
      </c>
      <c r="AR308" t="inlineStr">
        <is>
          <t>air::urban air close to ground</t>
        </is>
      </c>
      <c r="AS308" t="inlineStr">
        <is>
          <t>air::urban air close to ground</t>
        </is>
      </c>
      <c r="AT308" t="inlineStr">
        <is>
          <t>air::urban air close to ground</t>
        </is>
      </c>
      <c r="AU308" t="inlineStr">
        <is>
          <t>air::urban air close to ground</t>
        </is>
      </c>
      <c r="AV308" t="inlineStr">
        <is>
          <t>air::urban air close to ground</t>
        </is>
      </c>
      <c r="AW308" t="inlineStr">
        <is>
          <t>air::urban air close to ground</t>
        </is>
      </c>
      <c r="AX308" t="inlineStr">
        <is>
          <t>air::urban air close to ground</t>
        </is>
      </c>
      <c r="AY308" t="inlineStr">
        <is>
          <t>air::urban air close to ground</t>
        </is>
      </c>
      <c r="AZ308" t="inlineStr">
        <is>
          <t>air::urban air close to ground</t>
        </is>
      </c>
      <c r="BA308" t="inlineStr">
        <is>
          <t>air::urban air close to ground</t>
        </is>
      </c>
      <c r="BB308" t="inlineStr">
        <is>
          <t>air::urban air close to ground</t>
        </is>
      </c>
      <c r="BC308" t="inlineStr">
        <is>
          <t>air::urban air close to ground</t>
        </is>
      </c>
      <c r="BD308" t="inlineStr">
        <is>
          <t>air::urban air close to ground</t>
        </is>
      </c>
      <c r="BE308" t="inlineStr">
        <is>
          <t>air::urban air close to ground</t>
        </is>
      </c>
      <c r="BF308" t="inlineStr">
        <is>
          <t>air::urban air close to ground</t>
        </is>
      </c>
      <c r="BG308" t="inlineStr">
        <is>
          <t>air::urban air close to ground</t>
        </is>
      </c>
      <c r="BH308" t="inlineStr">
        <is>
          <t>air::urban air close to ground</t>
        </is>
      </c>
      <c r="BI308" t="inlineStr">
        <is>
          <t>air::urban air close to ground</t>
        </is>
      </c>
    </row>
    <row r="309">
      <c r="A309" t="inlineStr">
        <is>
          <t>Bicycle, battery electric, cargo bike</t>
        </is>
      </c>
      <c r="S309" t="inlineStr">
        <is>
          <t>air::urban air close to ground</t>
        </is>
      </c>
      <c r="T309" t="inlineStr">
        <is>
          <t>air::urban air close to ground</t>
        </is>
      </c>
      <c r="U309" t="inlineStr">
        <is>
          <t>air::urban air close to ground</t>
        </is>
      </c>
      <c r="V309" t="inlineStr">
        <is>
          <t>air::urban air close to ground</t>
        </is>
      </c>
      <c r="W309" t="inlineStr">
        <is>
          <t>air::urban air close to ground</t>
        </is>
      </c>
      <c r="X309" t="inlineStr">
        <is>
          <t>air::urban air close to ground</t>
        </is>
      </c>
      <c r="Y309" t="inlineStr">
        <is>
          <t>air::urban air close to ground</t>
        </is>
      </c>
      <c r="Z309" t="inlineStr">
        <is>
          <t>air::urban air close to ground</t>
        </is>
      </c>
      <c r="AA309" t="inlineStr">
        <is>
          <t>air::urban air close to ground</t>
        </is>
      </c>
      <c r="AB309" t="inlineStr">
        <is>
          <t>air::urban air close to ground</t>
        </is>
      </c>
      <c r="AC309" t="inlineStr">
        <is>
          <t>air::urban air close to ground</t>
        </is>
      </c>
      <c r="AD309" t="inlineStr">
        <is>
          <t>air::urban air close to ground</t>
        </is>
      </c>
      <c r="AE309" t="inlineStr">
        <is>
          <t>air::urban air close to ground</t>
        </is>
      </c>
      <c r="AF309" t="inlineStr">
        <is>
          <t>air::urban air close to ground</t>
        </is>
      </c>
      <c r="AG309" t="inlineStr">
        <is>
          <t>air::urban air close to ground</t>
        </is>
      </c>
      <c r="AH309" t="inlineStr">
        <is>
          <t>air::urban air close to ground</t>
        </is>
      </c>
      <c r="AI309" t="inlineStr">
        <is>
          <t>air::urban air close to ground</t>
        </is>
      </c>
      <c r="AJ309" t="inlineStr">
        <is>
          <t>air::urban air close to ground</t>
        </is>
      </c>
      <c r="AK309" t="inlineStr">
        <is>
          <t>air::urban air close to ground</t>
        </is>
      </c>
      <c r="AL309" t="inlineStr">
        <is>
          <t>air::urban air close to ground</t>
        </is>
      </c>
      <c r="AM309" t="inlineStr">
        <is>
          <t>air::urban air close to ground</t>
        </is>
      </c>
      <c r="AN309" t="inlineStr">
        <is>
          <t>air::urban air close to ground</t>
        </is>
      </c>
      <c r="AO309" t="inlineStr">
        <is>
          <t>air::urban air close to ground</t>
        </is>
      </c>
      <c r="AP309" t="inlineStr">
        <is>
          <t>air::urban air close to ground</t>
        </is>
      </c>
      <c r="AQ309" t="inlineStr">
        <is>
          <t>air::urban air close to ground</t>
        </is>
      </c>
      <c r="AR309" t="inlineStr">
        <is>
          <t>air::urban air close to ground</t>
        </is>
      </c>
      <c r="AS309" t="inlineStr">
        <is>
          <t>air::urban air close to ground</t>
        </is>
      </c>
      <c r="AT309" t="inlineStr">
        <is>
          <t>air::urban air close to ground</t>
        </is>
      </c>
      <c r="AU309" t="inlineStr">
        <is>
          <t>air::urban air close to ground</t>
        </is>
      </c>
      <c r="AV309" t="inlineStr">
        <is>
          <t>air::urban air close to ground</t>
        </is>
      </c>
      <c r="AW309" t="inlineStr">
        <is>
          <t>air::urban air close to ground</t>
        </is>
      </c>
      <c r="AX309" t="inlineStr">
        <is>
          <t>air::urban air close to ground</t>
        </is>
      </c>
      <c r="AY309" t="inlineStr">
        <is>
          <t>air::urban air close to ground</t>
        </is>
      </c>
      <c r="AZ309" t="inlineStr">
        <is>
          <t>air::urban air close to ground</t>
        </is>
      </c>
      <c r="BA309" t="inlineStr">
        <is>
          <t>air::urban air close to ground</t>
        </is>
      </c>
      <c r="BB309" t="inlineStr">
        <is>
          <t>air::urban air close to ground</t>
        </is>
      </c>
      <c r="BC309" t="inlineStr">
        <is>
          <t>air::urban air close to ground</t>
        </is>
      </c>
      <c r="BD309" t="inlineStr">
        <is>
          <t>air::urban air close to ground</t>
        </is>
      </c>
      <c r="BE309" t="inlineStr">
        <is>
          <t>air::urban air close to ground</t>
        </is>
      </c>
      <c r="BF309" t="inlineStr">
        <is>
          <t>air::urban air close to ground</t>
        </is>
      </c>
      <c r="BG309" t="inlineStr">
        <is>
          <t>air::urban air close to ground</t>
        </is>
      </c>
      <c r="BH309" t="inlineStr">
        <is>
          <t>air::urban air close to ground</t>
        </is>
      </c>
      <c r="BI309" t="inlineStr">
        <is>
          <t>air::urban air close to ground</t>
        </is>
      </c>
    </row>
    <row r="310">
      <c r="A310" t="inlineStr">
        <is>
          <t>Bicycle, battery electric, cargo bike, label certified electricity</t>
        </is>
      </c>
      <c r="S310" t="inlineStr">
        <is>
          <t>air::urban air close to ground</t>
        </is>
      </c>
      <c r="T310" t="inlineStr">
        <is>
          <t>air::urban air close to ground</t>
        </is>
      </c>
      <c r="U310" t="inlineStr">
        <is>
          <t>air::urban air close to ground</t>
        </is>
      </c>
      <c r="V310" t="inlineStr">
        <is>
          <t>air::urban air close to ground</t>
        </is>
      </c>
      <c r="W310" t="inlineStr">
        <is>
          <t>air::urban air close to ground</t>
        </is>
      </c>
      <c r="X310" t="inlineStr">
        <is>
          <t>air::urban air close to ground</t>
        </is>
      </c>
      <c r="Y310" t="inlineStr">
        <is>
          <t>air::urban air close to ground</t>
        </is>
      </c>
      <c r="Z310" t="inlineStr">
        <is>
          <t>air::urban air close to ground</t>
        </is>
      </c>
      <c r="AA310" t="inlineStr">
        <is>
          <t>air::urban air close to ground</t>
        </is>
      </c>
      <c r="AB310" t="inlineStr">
        <is>
          <t>air::urban air close to ground</t>
        </is>
      </c>
      <c r="AC310" t="inlineStr">
        <is>
          <t>air::urban air close to ground</t>
        </is>
      </c>
      <c r="AD310" t="inlineStr">
        <is>
          <t>air::urban air close to ground</t>
        </is>
      </c>
      <c r="AE310" t="inlineStr">
        <is>
          <t>air::urban air close to ground</t>
        </is>
      </c>
      <c r="AF310" t="inlineStr">
        <is>
          <t>air::urban air close to ground</t>
        </is>
      </c>
      <c r="AG310" t="inlineStr">
        <is>
          <t>air::urban air close to ground</t>
        </is>
      </c>
      <c r="AH310" t="inlineStr">
        <is>
          <t>air::urban air close to ground</t>
        </is>
      </c>
      <c r="AI310" t="inlineStr">
        <is>
          <t>air::urban air close to ground</t>
        </is>
      </c>
      <c r="AJ310" t="inlineStr">
        <is>
          <t>air::urban air close to ground</t>
        </is>
      </c>
      <c r="AK310" t="inlineStr">
        <is>
          <t>air::urban air close to ground</t>
        </is>
      </c>
      <c r="AL310" t="inlineStr">
        <is>
          <t>air::urban air close to ground</t>
        </is>
      </c>
      <c r="AM310" t="inlineStr">
        <is>
          <t>air::urban air close to ground</t>
        </is>
      </c>
      <c r="AN310" t="inlineStr">
        <is>
          <t>air::urban air close to ground</t>
        </is>
      </c>
      <c r="AO310" t="inlineStr">
        <is>
          <t>air::urban air close to ground</t>
        </is>
      </c>
      <c r="AP310" t="inlineStr">
        <is>
          <t>air::urban air close to ground</t>
        </is>
      </c>
      <c r="AQ310" t="inlineStr">
        <is>
          <t>air::urban air close to ground</t>
        </is>
      </c>
      <c r="AR310" t="inlineStr">
        <is>
          <t>air::urban air close to ground</t>
        </is>
      </c>
      <c r="AS310" t="inlineStr">
        <is>
          <t>air::urban air close to ground</t>
        </is>
      </c>
      <c r="AT310" t="inlineStr">
        <is>
          <t>air::urban air close to ground</t>
        </is>
      </c>
      <c r="AU310" t="inlineStr">
        <is>
          <t>air::urban air close to ground</t>
        </is>
      </c>
      <c r="AV310" t="inlineStr">
        <is>
          <t>air::urban air close to ground</t>
        </is>
      </c>
      <c r="AW310" t="inlineStr">
        <is>
          <t>air::urban air close to ground</t>
        </is>
      </c>
      <c r="AX310" t="inlineStr">
        <is>
          <t>air::urban air close to ground</t>
        </is>
      </c>
      <c r="AY310" t="inlineStr">
        <is>
          <t>air::urban air close to ground</t>
        </is>
      </c>
      <c r="AZ310" t="inlineStr">
        <is>
          <t>air::urban air close to ground</t>
        </is>
      </c>
      <c r="BA310" t="inlineStr">
        <is>
          <t>air::urban air close to ground</t>
        </is>
      </c>
      <c r="BB310" t="inlineStr">
        <is>
          <t>air::urban air close to ground</t>
        </is>
      </c>
      <c r="BC310" t="inlineStr">
        <is>
          <t>air::urban air close to ground</t>
        </is>
      </c>
      <c r="BD310" t="inlineStr">
        <is>
          <t>air::urban air close to ground</t>
        </is>
      </c>
      <c r="BE310" t="inlineStr">
        <is>
          <t>air::urban air close to ground</t>
        </is>
      </c>
      <c r="BF310" t="inlineStr">
        <is>
          <t>air::urban air close to ground</t>
        </is>
      </c>
      <c r="BG310" t="inlineStr">
        <is>
          <t>air::urban air close to ground</t>
        </is>
      </c>
      <c r="BH310" t="inlineStr">
        <is>
          <t>air::urban air close to ground</t>
        </is>
      </c>
      <c r="BI310" t="inlineStr">
        <is>
          <t>air::urban air close to ground</t>
        </is>
      </c>
    </row>
    <row r="311">
      <c r="A311" t="inlineStr">
        <is>
          <t>Tram, electric</t>
        </is>
      </c>
      <c r="S311" t="inlineStr">
        <is>
          <t>air::urban air close to ground</t>
        </is>
      </c>
      <c r="T311" t="inlineStr">
        <is>
          <t>air::urban air close to ground</t>
        </is>
      </c>
      <c r="U311" t="inlineStr">
        <is>
          <t>air::urban air close to ground</t>
        </is>
      </c>
      <c r="V311" t="inlineStr">
        <is>
          <t>air::urban air close to ground</t>
        </is>
      </c>
      <c r="W311" t="inlineStr">
        <is>
          <t>air::urban air close to ground</t>
        </is>
      </c>
      <c r="X311" t="inlineStr">
        <is>
          <t>air::urban air close to ground</t>
        </is>
      </c>
      <c r="Y311" t="inlineStr">
        <is>
          <t>air::urban air close to ground</t>
        </is>
      </c>
      <c r="Z311" t="inlineStr">
        <is>
          <t>air::urban air close to ground</t>
        </is>
      </c>
      <c r="AA311" t="inlineStr">
        <is>
          <t>air::urban air close to ground</t>
        </is>
      </c>
      <c r="AB311" t="inlineStr">
        <is>
          <t>air::urban air close to ground</t>
        </is>
      </c>
      <c r="AC311" t="inlineStr">
        <is>
          <t>air::urban air close to ground</t>
        </is>
      </c>
      <c r="AD311" t="inlineStr">
        <is>
          <t>air::urban air close to ground</t>
        </is>
      </c>
      <c r="AE311" t="inlineStr">
        <is>
          <t>air::urban air close to ground</t>
        </is>
      </c>
      <c r="AF311" t="inlineStr">
        <is>
          <t>air::urban air close to ground</t>
        </is>
      </c>
      <c r="AG311" t="inlineStr">
        <is>
          <t>air::urban air close to ground</t>
        </is>
      </c>
      <c r="AH311" t="inlineStr">
        <is>
          <t>air::urban air close to ground</t>
        </is>
      </c>
      <c r="AI311" t="inlineStr">
        <is>
          <t>air::urban air close to ground</t>
        </is>
      </c>
      <c r="AJ311" t="inlineStr">
        <is>
          <t>air::urban air close to ground</t>
        </is>
      </c>
      <c r="AK311" t="inlineStr">
        <is>
          <t>air::urban air close to ground</t>
        </is>
      </c>
      <c r="AL311" t="inlineStr">
        <is>
          <t>air::urban air close to ground</t>
        </is>
      </c>
      <c r="AM311" t="inlineStr">
        <is>
          <t>air::urban air close to ground</t>
        </is>
      </c>
      <c r="AN311" t="inlineStr">
        <is>
          <t>air::urban air close to ground</t>
        </is>
      </c>
      <c r="AO311" t="inlineStr">
        <is>
          <t>air::urban air close to ground</t>
        </is>
      </c>
      <c r="AP311" t="inlineStr">
        <is>
          <t>air::urban air close to ground</t>
        </is>
      </c>
      <c r="AQ311" t="inlineStr">
        <is>
          <t>air::urban air close to ground</t>
        </is>
      </c>
      <c r="AR311" t="inlineStr">
        <is>
          <t>air::urban air close to ground</t>
        </is>
      </c>
      <c r="AS311" t="inlineStr">
        <is>
          <t>air::urban air close to ground</t>
        </is>
      </c>
      <c r="AT311" t="inlineStr">
        <is>
          <t>air::urban air close to ground</t>
        </is>
      </c>
      <c r="AU311" t="inlineStr">
        <is>
          <t>air::urban air close to ground</t>
        </is>
      </c>
      <c r="AV311" t="inlineStr">
        <is>
          <t>air::urban air close to ground</t>
        </is>
      </c>
      <c r="AW311" t="inlineStr">
        <is>
          <t>air::urban air close to ground</t>
        </is>
      </c>
      <c r="AX311" t="inlineStr">
        <is>
          <t>air::urban air close to ground</t>
        </is>
      </c>
      <c r="AY311" t="inlineStr">
        <is>
          <t>air::urban air close to ground</t>
        </is>
      </c>
      <c r="AZ311" t="inlineStr">
        <is>
          <t>air::urban air close to ground</t>
        </is>
      </c>
      <c r="BA311" t="inlineStr">
        <is>
          <t>air::urban air close to ground</t>
        </is>
      </c>
      <c r="BB311" t="inlineStr">
        <is>
          <t>air::urban air close to ground</t>
        </is>
      </c>
      <c r="BC311" t="inlineStr">
        <is>
          <t>air::urban air close to ground</t>
        </is>
      </c>
      <c r="BD311" t="inlineStr">
        <is>
          <t>air::urban air close to ground</t>
        </is>
      </c>
      <c r="BE311" t="inlineStr">
        <is>
          <t>air::urban air close to ground</t>
        </is>
      </c>
      <c r="BF311" t="inlineStr">
        <is>
          <t>air::urban air close to ground</t>
        </is>
      </c>
      <c r="BG311" t="inlineStr">
        <is>
          <t>air::urban air close to ground</t>
        </is>
      </c>
      <c r="BH311" t="inlineStr">
        <is>
          <t>air::urban air close to ground</t>
        </is>
      </c>
      <c r="BI311" t="inlineStr">
        <is>
          <t>air::urban air close to ground</t>
        </is>
      </c>
    </row>
    <row r="312">
      <c r="A312" t="inlineStr">
        <is>
          <t>Moped, gasoline, &lt;4kW, EURO-3</t>
        </is>
      </c>
      <c r="S312" t="inlineStr">
        <is>
          <t>air::urban air close to ground</t>
        </is>
      </c>
      <c r="T312" t="inlineStr">
        <is>
          <t>air::urban air close to ground</t>
        </is>
      </c>
      <c r="U312" t="inlineStr">
        <is>
          <t>air::urban air close to ground</t>
        </is>
      </c>
      <c r="V312" t="inlineStr">
        <is>
          <t>air::urban air close to ground</t>
        </is>
      </c>
      <c r="W312" t="inlineStr">
        <is>
          <t>air::urban air close to ground</t>
        </is>
      </c>
      <c r="X312" t="inlineStr">
        <is>
          <t>air::urban air close to ground</t>
        </is>
      </c>
      <c r="Y312" t="inlineStr">
        <is>
          <t>air::urban air close to ground</t>
        </is>
      </c>
      <c r="Z312" t="inlineStr">
        <is>
          <t>air::urban air close to ground</t>
        </is>
      </c>
      <c r="AA312" t="inlineStr">
        <is>
          <t>air::urban air close to ground</t>
        </is>
      </c>
      <c r="AB312" t="inlineStr">
        <is>
          <t>air::urban air close to ground</t>
        </is>
      </c>
      <c r="AC312" t="inlineStr">
        <is>
          <t>air::urban air close to ground</t>
        </is>
      </c>
      <c r="AD312" t="inlineStr">
        <is>
          <t>air::urban air close to ground</t>
        </is>
      </c>
      <c r="AE312" t="inlineStr">
        <is>
          <t>air::urban air close to ground</t>
        </is>
      </c>
      <c r="AF312" t="inlineStr">
        <is>
          <t>air::urban air close to ground</t>
        </is>
      </c>
      <c r="AG312" t="inlineStr">
        <is>
          <t>air::urban air close to ground</t>
        </is>
      </c>
      <c r="AH312" t="inlineStr">
        <is>
          <t>air::urban air close to ground</t>
        </is>
      </c>
      <c r="AI312" t="inlineStr">
        <is>
          <t>air::urban air close to ground</t>
        </is>
      </c>
      <c r="AJ312" t="inlineStr">
        <is>
          <t>air::urban air close to ground</t>
        </is>
      </c>
      <c r="AK312" t="inlineStr">
        <is>
          <t>air::urban air close to ground</t>
        </is>
      </c>
      <c r="AL312" t="inlineStr">
        <is>
          <t>air::urban air close to ground</t>
        </is>
      </c>
      <c r="AM312" t="inlineStr">
        <is>
          <t>air::urban air close to ground</t>
        </is>
      </c>
      <c r="AN312" t="inlineStr">
        <is>
          <t>air::urban air close to ground</t>
        </is>
      </c>
      <c r="AO312" t="inlineStr">
        <is>
          <t>air::urban air close to ground</t>
        </is>
      </c>
      <c r="AP312" t="inlineStr">
        <is>
          <t>air::urban air close to ground</t>
        </is>
      </c>
      <c r="AQ312" t="inlineStr">
        <is>
          <t>air::urban air close to ground</t>
        </is>
      </c>
      <c r="AR312" t="inlineStr">
        <is>
          <t>air::urban air close to ground</t>
        </is>
      </c>
      <c r="AS312" t="inlineStr">
        <is>
          <t>air::urban air close to ground</t>
        </is>
      </c>
      <c r="AT312" t="inlineStr">
        <is>
          <t>air::urban air close to ground</t>
        </is>
      </c>
      <c r="AU312" t="inlineStr">
        <is>
          <t>air::urban air close to ground</t>
        </is>
      </c>
      <c r="AV312" t="inlineStr">
        <is>
          <t>air::urban air close to ground</t>
        </is>
      </c>
      <c r="AW312" t="inlineStr">
        <is>
          <t>air::urban air close to ground</t>
        </is>
      </c>
      <c r="AX312" t="inlineStr">
        <is>
          <t>air::urban air close to ground</t>
        </is>
      </c>
      <c r="AY312" t="inlineStr">
        <is>
          <t>air::urban air close to ground</t>
        </is>
      </c>
      <c r="AZ312" t="inlineStr">
        <is>
          <t>air::urban air close to ground</t>
        </is>
      </c>
      <c r="BA312" t="inlineStr">
        <is>
          <t>air::urban air close to ground</t>
        </is>
      </c>
      <c r="BB312" t="inlineStr">
        <is>
          <t>air::urban air close to ground</t>
        </is>
      </c>
      <c r="BC312" t="inlineStr">
        <is>
          <t>air::urban air close to ground</t>
        </is>
      </c>
      <c r="BD312" t="inlineStr">
        <is>
          <t>air::urban air close to ground</t>
        </is>
      </c>
      <c r="BE312" t="inlineStr">
        <is>
          <t>air::urban air close to ground</t>
        </is>
      </c>
      <c r="BF312" t="inlineStr">
        <is>
          <t>air::urban air close to ground</t>
        </is>
      </c>
      <c r="BG312" t="inlineStr">
        <is>
          <t>air::urban air close to ground</t>
        </is>
      </c>
      <c r="BH312" t="inlineStr">
        <is>
          <t>air::urban air close to ground</t>
        </is>
      </c>
      <c r="BI312" t="inlineStr">
        <is>
          <t>air::urban air close to ground</t>
        </is>
      </c>
    </row>
    <row r="313">
      <c r="A313" t="inlineStr">
        <is>
          <t>Moped, gasoline, &lt;4kW, EURO-4</t>
        </is>
      </c>
      <c r="S313" t="inlineStr">
        <is>
          <t>air::urban air close to ground</t>
        </is>
      </c>
      <c r="T313" t="inlineStr">
        <is>
          <t>air::urban air close to ground</t>
        </is>
      </c>
      <c r="U313" t="inlineStr">
        <is>
          <t>air::urban air close to ground</t>
        </is>
      </c>
      <c r="V313" t="inlineStr">
        <is>
          <t>air::urban air close to ground</t>
        </is>
      </c>
      <c r="W313" t="inlineStr">
        <is>
          <t>air::urban air close to ground</t>
        </is>
      </c>
      <c r="X313" t="inlineStr">
        <is>
          <t>air::urban air close to ground</t>
        </is>
      </c>
      <c r="Y313" t="inlineStr">
        <is>
          <t>air::urban air close to ground</t>
        </is>
      </c>
      <c r="Z313" t="inlineStr">
        <is>
          <t>air::urban air close to ground</t>
        </is>
      </c>
      <c r="AA313" t="inlineStr">
        <is>
          <t>air::urban air close to ground</t>
        </is>
      </c>
      <c r="AB313" t="inlineStr">
        <is>
          <t>air::urban air close to ground</t>
        </is>
      </c>
      <c r="AC313" t="inlineStr">
        <is>
          <t>air::urban air close to ground</t>
        </is>
      </c>
      <c r="AD313" t="inlineStr">
        <is>
          <t>air::urban air close to ground</t>
        </is>
      </c>
      <c r="AE313" t="inlineStr">
        <is>
          <t>air::urban air close to ground</t>
        </is>
      </c>
      <c r="AF313" t="inlineStr">
        <is>
          <t>air::urban air close to ground</t>
        </is>
      </c>
      <c r="AG313" t="inlineStr">
        <is>
          <t>air::urban air close to ground</t>
        </is>
      </c>
      <c r="AH313" t="inlineStr">
        <is>
          <t>air::urban air close to ground</t>
        </is>
      </c>
      <c r="AI313" t="inlineStr">
        <is>
          <t>air::urban air close to ground</t>
        </is>
      </c>
      <c r="AJ313" t="inlineStr">
        <is>
          <t>air::urban air close to ground</t>
        </is>
      </c>
      <c r="AK313" t="inlineStr">
        <is>
          <t>air::urban air close to ground</t>
        </is>
      </c>
      <c r="AL313" t="inlineStr">
        <is>
          <t>air::urban air close to ground</t>
        </is>
      </c>
      <c r="AM313" t="inlineStr">
        <is>
          <t>air::urban air close to ground</t>
        </is>
      </c>
      <c r="AN313" t="inlineStr">
        <is>
          <t>air::urban air close to ground</t>
        </is>
      </c>
      <c r="AO313" t="inlineStr">
        <is>
          <t>air::urban air close to ground</t>
        </is>
      </c>
      <c r="AP313" t="inlineStr">
        <is>
          <t>air::urban air close to ground</t>
        </is>
      </c>
      <c r="AQ313" t="inlineStr">
        <is>
          <t>air::urban air close to ground</t>
        </is>
      </c>
      <c r="AR313" t="inlineStr">
        <is>
          <t>air::urban air close to ground</t>
        </is>
      </c>
      <c r="AS313" t="inlineStr">
        <is>
          <t>air::urban air close to ground</t>
        </is>
      </c>
      <c r="AT313" t="inlineStr">
        <is>
          <t>air::urban air close to ground</t>
        </is>
      </c>
      <c r="AU313" t="inlineStr">
        <is>
          <t>air::urban air close to ground</t>
        </is>
      </c>
      <c r="AV313" t="inlineStr">
        <is>
          <t>air::urban air close to ground</t>
        </is>
      </c>
      <c r="AW313" t="inlineStr">
        <is>
          <t>air::urban air close to ground</t>
        </is>
      </c>
      <c r="AX313" t="inlineStr">
        <is>
          <t>air::urban air close to ground</t>
        </is>
      </c>
      <c r="AY313" t="inlineStr">
        <is>
          <t>air::urban air close to ground</t>
        </is>
      </c>
      <c r="AZ313" t="inlineStr">
        <is>
          <t>air::urban air close to ground</t>
        </is>
      </c>
      <c r="BA313" t="inlineStr">
        <is>
          <t>air::urban air close to ground</t>
        </is>
      </c>
      <c r="BB313" t="inlineStr">
        <is>
          <t>air::urban air close to ground</t>
        </is>
      </c>
      <c r="BC313" t="inlineStr">
        <is>
          <t>air::urban air close to ground</t>
        </is>
      </c>
      <c r="BD313" t="inlineStr">
        <is>
          <t>air::urban air close to ground</t>
        </is>
      </c>
      <c r="BE313" t="inlineStr">
        <is>
          <t>air::urban air close to ground</t>
        </is>
      </c>
      <c r="BF313" t="inlineStr">
        <is>
          <t>air::urban air close to ground</t>
        </is>
      </c>
      <c r="BG313" t="inlineStr">
        <is>
          <t>air::urban air close to ground</t>
        </is>
      </c>
      <c r="BH313" t="inlineStr">
        <is>
          <t>air::urban air close to ground</t>
        </is>
      </c>
      <c r="BI313" t="inlineStr">
        <is>
          <t>air::urban air close to ground</t>
        </is>
      </c>
    </row>
    <row r="314">
      <c r="A314" t="inlineStr">
        <is>
          <t>Moped, gasoline, &lt;4kW, EURO-5</t>
        </is>
      </c>
      <c r="S314" t="inlineStr">
        <is>
          <t>air::urban air close to ground</t>
        </is>
      </c>
      <c r="T314" t="inlineStr">
        <is>
          <t>air::urban air close to ground</t>
        </is>
      </c>
      <c r="U314" t="inlineStr">
        <is>
          <t>air::urban air close to ground</t>
        </is>
      </c>
      <c r="V314" t="inlineStr">
        <is>
          <t>air::urban air close to ground</t>
        </is>
      </c>
      <c r="W314" t="inlineStr">
        <is>
          <t>air::urban air close to ground</t>
        </is>
      </c>
      <c r="X314" t="inlineStr">
        <is>
          <t>air::urban air close to ground</t>
        </is>
      </c>
      <c r="Y314" t="inlineStr">
        <is>
          <t>air::urban air close to ground</t>
        </is>
      </c>
      <c r="Z314" t="inlineStr">
        <is>
          <t>air::urban air close to ground</t>
        </is>
      </c>
      <c r="AA314" t="inlineStr">
        <is>
          <t>air::urban air close to ground</t>
        </is>
      </c>
      <c r="AB314" t="inlineStr">
        <is>
          <t>air::urban air close to ground</t>
        </is>
      </c>
      <c r="AC314" t="inlineStr">
        <is>
          <t>air::urban air close to ground</t>
        </is>
      </c>
      <c r="AD314" t="inlineStr">
        <is>
          <t>air::urban air close to ground</t>
        </is>
      </c>
      <c r="AE314" t="inlineStr">
        <is>
          <t>air::urban air close to ground</t>
        </is>
      </c>
      <c r="AF314" t="inlineStr">
        <is>
          <t>air::urban air close to ground</t>
        </is>
      </c>
      <c r="AG314" t="inlineStr">
        <is>
          <t>air::urban air close to ground</t>
        </is>
      </c>
      <c r="AH314" t="inlineStr">
        <is>
          <t>air::urban air close to ground</t>
        </is>
      </c>
      <c r="AI314" t="inlineStr">
        <is>
          <t>air::urban air close to ground</t>
        </is>
      </c>
      <c r="AJ314" t="inlineStr">
        <is>
          <t>air::urban air close to ground</t>
        </is>
      </c>
      <c r="AK314" t="inlineStr">
        <is>
          <t>air::urban air close to ground</t>
        </is>
      </c>
      <c r="AL314" t="inlineStr">
        <is>
          <t>air::urban air close to ground</t>
        </is>
      </c>
      <c r="AM314" t="inlineStr">
        <is>
          <t>air::urban air close to ground</t>
        </is>
      </c>
      <c r="AN314" t="inlineStr">
        <is>
          <t>air::urban air close to ground</t>
        </is>
      </c>
      <c r="AO314" t="inlineStr">
        <is>
          <t>air::urban air close to ground</t>
        </is>
      </c>
      <c r="AP314" t="inlineStr">
        <is>
          <t>air::urban air close to ground</t>
        </is>
      </c>
      <c r="AQ314" t="inlineStr">
        <is>
          <t>air::urban air close to ground</t>
        </is>
      </c>
      <c r="AR314" t="inlineStr">
        <is>
          <t>air::urban air close to ground</t>
        </is>
      </c>
      <c r="AS314" t="inlineStr">
        <is>
          <t>air::urban air close to ground</t>
        </is>
      </c>
      <c r="AT314" t="inlineStr">
        <is>
          <t>air::urban air close to ground</t>
        </is>
      </c>
      <c r="AU314" t="inlineStr">
        <is>
          <t>air::urban air close to ground</t>
        </is>
      </c>
      <c r="AV314" t="inlineStr">
        <is>
          <t>air::urban air close to ground</t>
        </is>
      </c>
      <c r="AW314" t="inlineStr">
        <is>
          <t>air::urban air close to ground</t>
        </is>
      </c>
      <c r="AX314" t="inlineStr">
        <is>
          <t>air::urban air close to ground</t>
        </is>
      </c>
      <c r="AY314" t="inlineStr">
        <is>
          <t>air::urban air close to ground</t>
        </is>
      </c>
      <c r="AZ314" t="inlineStr">
        <is>
          <t>air::urban air close to ground</t>
        </is>
      </c>
      <c r="BA314" t="inlineStr">
        <is>
          <t>air::urban air close to ground</t>
        </is>
      </c>
      <c r="BB314" t="inlineStr">
        <is>
          <t>air::urban air close to ground</t>
        </is>
      </c>
      <c r="BC314" t="inlineStr">
        <is>
          <t>air::urban air close to ground</t>
        </is>
      </c>
      <c r="BD314" t="inlineStr">
        <is>
          <t>air::urban air close to ground</t>
        </is>
      </c>
      <c r="BE314" t="inlineStr">
        <is>
          <t>air::urban air close to ground</t>
        </is>
      </c>
      <c r="BF314" t="inlineStr">
        <is>
          <t>air::urban air close to ground</t>
        </is>
      </c>
      <c r="BG314" t="inlineStr">
        <is>
          <t>air::urban air close to ground</t>
        </is>
      </c>
      <c r="BH314" t="inlineStr">
        <is>
          <t>air::urban air close to ground</t>
        </is>
      </c>
      <c r="BI314" t="inlineStr">
        <is>
          <t>air::urban air close to ground</t>
        </is>
      </c>
    </row>
    <row r="315">
      <c r="A315" t="inlineStr">
        <is>
          <t>Scooter, gasoline, &lt;4kW, EURO-3</t>
        </is>
      </c>
      <c r="S315" t="inlineStr">
        <is>
          <t>air::urban air close to ground</t>
        </is>
      </c>
      <c r="T315" t="inlineStr">
        <is>
          <t>air::urban air close to ground</t>
        </is>
      </c>
      <c r="U315" t="inlineStr">
        <is>
          <t>air::urban air close to ground</t>
        </is>
      </c>
      <c r="V315" t="inlineStr">
        <is>
          <t>air::urban air close to ground</t>
        </is>
      </c>
      <c r="W315" t="inlineStr">
        <is>
          <t>air::urban air close to ground</t>
        </is>
      </c>
      <c r="X315" t="inlineStr">
        <is>
          <t>air::urban air close to ground</t>
        </is>
      </c>
      <c r="Y315" t="inlineStr">
        <is>
          <t>air::urban air close to ground</t>
        </is>
      </c>
      <c r="Z315" t="inlineStr">
        <is>
          <t>air::urban air close to ground</t>
        </is>
      </c>
      <c r="AA315" t="inlineStr">
        <is>
          <t>air::urban air close to ground</t>
        </is>
      </c>
      <c r="AB315" t="inlineStr">
        <is>
          <t>air::urban air close to ground</t>
        </is>
      </c>
      <c r="AC315" t="inlineStr">
        <is>
          <t>air::urban air close to ground</t>
        </is>
      </c>
      <c r="AD315" t="inlineStr">
        <is>
          <t>air::urban air close to ground</t>
        </is>
      </c>
      <c r="AE315" t="inlineStr">
        <is>
          <t>air::urban air close to ground</t>
        </is>
      </c>
      <c r="AF315" t="inlineStr">
        <is>
          <t>air::urban air close to ground</t>
        </is>
      </c>
      <c r="AG315" t="inlineStr">
        <is>
          <t>air::urban air close to ground</t>
        </is>
      </c>
      <c r="AH315" t="inlineStr">
        <is>
          <t>air::urban air close to ground</t>
        </is>
      </c>
      <c r="AI315" t="inlineStr">
        <is>
          <t>air::urban air close to ground</t>
        </is>
      </c>
      <c r="AJ315" t="inlineStr">
        <is>
          <t>air::urban air close to ground</t>
        </is>
      </c>
      <c r="AK315" t="inlineStr">
        <is>
          <t>air::urban air close to ground</t>
        </is>
      </c>
      <c r="AL315" t="inlineStr">
        <is>
          <t>air::urban air close to ground</t>
        </is>
      </c>
      <c r="AM315" t="inlineStr">
        <is>
          <t>air::urban air close to ground</t>
        </is>
      </c>
      <c r="AN315" t="inlineStr">
        <is>
          <t>air::urban air close to ground</t>
        </is>
      </c>
      <c r="AO315" t="inlineStr">
        <is>
          <t>air::urban air close to ground</t>
        </is>
      </c>
      <c r="AP315" t="inlineStr">
        <is>
          <t>air::urban air close to ground</t>
        </is>
      </c>
      <c r="AQ315" t="inlineStr">
        <is>
          <t>air::urban air close to ground</t>
        </is>
      </c>
      <c r="AR315" t="inlineStr">
        <is>
          <t>air::urban air close to ground</t>
        </is>
      </c>
      <c r="AS315" t="inlineStr">
        <is>
          <t>air::urban air close to ground</t>
        </is>
      </c>
      <c r="AT315" t="inlineStr">
        <is>
          <t>air::urban air close to ground</t>
        </is>
      </c>
      <c r="AU315" t="inlineStr">
        <is>
          <t>air::urban air close to ground</t>
        </is>
      </c>
      <c r="AV315" t="inlineStr">
        <is>
          <t>air::urban air close to ground</t>
        </is>
      </c>
      <c r="AW315" t="inlineStr">
        <is>
          <t>air::urban air close to ground</t>
        </is>
      </c>
      <c r="AX315" t="inlineStr">
        <is>
          <t>air::urban air close to ground</t>
        </is>
      </c>
      <c r="AY315" t="inlineStr">
        <is>
          <t>air::urban air close to ground</t>
        </is>
      </c>
      <c r="AZ315" t="inlineStr">
        <is>
          <t>air::urban air close to ground</t>
        </is>
      </c>
      <c r="BA315" t="inlineStr">
        <is>
          <t>air::urban air close to ground</t>
        </is>
      </c>
      <c r="BB315" t="inlineStr">
        <is>
          <t>air::urban air close to ground</t>
        </is>
      </c>
      <c r="BC315" t="inlineStr">
        <is>
          <t>air::urban air close to ground</t>
        </is>
      </c>
      <c r="BD315" t="inlineStr">
        <is>
          <t>air::urban air close to ground</t>
        </is>
      </c>
      <c r="BE315" t="inlineStr">
        <is>
          <t>air::urban air close to ground</t>
        </is>
      </c>
      <c r="BF315" t="inlineStr">
        <is>
          <t>air::urban air close to ground</t>
        </is>
      </c>
      <c r="BG315" t="inlineStr">
        <is>
          <t>air::urban air close to ground</t>
        </is>
      </c>
      <c r="BH315" t="inlineStr">
        <is>
          <t>air::urban air close to ground</t>
        </is>
      </c>
      <c r="BI315" t="inlineStr">
        <is>
          <t>air::urban air close to ground</t>
        </is>
      </c>
    </row>
    <row r="316">
      <c r="A316" t="inlineStr">
        <is>
          <t>Scooter, gasoline, &lt;4kW, EURO-4</t>
        </is>
      </c>
      <c r="S316" t="inlineStr">
        <is>
          <t>air::urban air close to ground</t>
        </is>
      </c>
      <c r="T316" t="inlineStr">
        <is>
          <t>air::urban air close to ground</t>
        </is>
      </c>
      <c r="U316" t="inlineStr">
        <is>
          <t>air::urban air close to ground</t>
        </is>
      </c>
      <c r="V316" t="inlineStr">
        <is>
          <t>air::urban air close to ground</t>
        </is>
      </c>
      <c r="W316" t="inlineStr">
        <is>
          <t>air::urban air close to ground</t>
        </is>
      </c>
      <c r="X316" t="inlineStr">
        <is>
          <t>air::urban air close to ground</t>
        </is>
      </c>
      <c r="Y316" t="inlineStr">
        <is>
          <t>air::urban air close to ground</t>
        </is>
      </c>
      <c r="Z316" t="inlineStr">
        <is>
          <t>air::urban air close to ground</t>
        </is>
      </c>
      <c r="AA316" t="inlineStr">
        <is>
          <t>air::urban air close to ground</t>
        </is>
      </c>
      <c r="AB316" t="inlineStr">
        <is>
          <t>air::urban air close to ground</t>
        </is>
      </c>
      <c r="AC316" t="inlineStr">
        <is>
          <t>air::urban air close to ground</t>
        </is>
      </c>
      <c r="AD316" t="inlineStr">
        <is>
          <t>air::urban air close to ground</t>
        </is>
      </c>
      <c r="AE316" t="inlineStr">
        <is>
          <t>air::urban air close to ground</t>
        </is>
      </c>
      <c r="AF316" t="inlineStr">
        <is>
          <t>air::urban air close to ground</t>
        </is>
      </c>
      <c r="AG316" t="inlineStr">
        <is>
          <t>air::urban air close to ground</t>
        </is>
      </c>
      <c r="AH316" t="inlineStr">
        <is>
          <t>air::urban air close to ground</t>
        </is>
      </c>
      <c r="AI316" t="inlineStr">
        <is>
          <t>air::urban air close to ground</t>
        </is>
      </c>
      <c r="AJ316" t="inlineStr">
        <is>
          <t>air::urban air close to ground</t>
        </is>
      </c>
      <c r="AK316" t="inlineStr">
        <is>
          <t>air::urban air close to ground</t>
        </is>
      </c>
      <c r="AL316" t="inlineStr">
        <is>
          <t>air::urban air close to ground</t>
        </is>
      </c>
      <c r="AM316" t="inlineStr">
        <is>
          <t>air::urban air close to ground</t>
        </is>
      </c>
      <c r="AN316" t="inlineStr">
        <is>
          <t>air::urban air close to ground</t>
        </is>
      </c>
      <c r="AO316" t="inlineStr">
        <is>
          <t>air::urban air close to ground</t>
        </is>
      </c>
      <c r="AP316" t="inlineStr">
        <is>
          <t>air::urban air close to ground</t>
        </is>
      </c>
      <c r="AQ316" t="inlineStr">
        <is>
          <t>air::urban air close to ground</t>
        </is>
      </c>
      <c r="AR316" t="inlineStr">
        <is>
          <t>air::urban air close to ground</t>
        </is>
      </c>
      <c r="AS316" t="inlineStr">
        <is>
          <t>air::urban air close to ground</t>
        </is>
      </c>
      <c r="AT316" t="inlineStr">
        <is>
          <t>air::urban air close to ground</t>
        </is>
      </c>
      <c r="AU316" t="inlineStr">
        <is>
          <t>air::urban air close to ground</t>
        </is>
      </c>
      <c r="AV316" t="inlineStr">
        <is>
          <t>air::urban air close to ground</t>
        </is>
      </c>
      <c r="AW316" t="inlineStr">
        <is>
          <t>air::urban air close to ground</t>
        </is>
      </c>
      <c r="AX316" t="inlineStr">
        <is>
          <t>air::urban air close to ground</t>
        </is>
      </c>
      <c r="AY316" t="inlineStr">
        <is>
          <t>air::urban air close to ground</t>
        </is>
      </c>
      <c r="AZ316" t="inlineStr">
        <is>
          <t>air::urban air close to ground</t>
        </is>
      </c>
      <c r="BA316" t="inlineStr">
        <is>
          <t>air::urban air close to ground</t>
        </is>
      </c>
      <c r="BB316" t="inlineStr">
        <is>
          <t>air::urban air close to ground</t>
        </is>
      </c>
      <c r="BC316" t="inlineStr">
        <is>
          <t>air::urban air close to ground</t>
        </is>
      </c>
      <c r="BD316" t="inlineStr">
        <is>
          <t>air::urban air close to ground</t>
        </is>
      </c>
      <c r="BE316" t="inlineStr">
        <is>
          <t>air::urban air close to ground</t>
        </is>
      </c>
      <c r="BF316" t="inlineStr">
        <is>
          <t>air::urban air close to ground</t>
        </is>
      </c>
      <c r="BG316" t="inlineStr">
        <is>
          <t>air::urban air close to ground</t>
        </is>
      </c>
      <c r="BH316" t="inlineStr">
        <is>
          <t>air::urban air close to ground</t>
        </is>
      </c>
      <c r="BI316" t="inlineStr">
        <is>
          <t>air::urban air close to ground</t>
        </is>
      </c>
    </row>
    <row r="317">
      <c r="A317" t="inlineStr">
        <is>
          <t>Scooter, gasoline, &lt;4kW, EURO-5</t>
        </is>
      </c>
      <c r="S317" t="inlineStr">
        <is>
          <t>air::urban air close to ground</t>
        </is>
      </c>
      <c r="T317" t="inlineStr">
        <is>
          <t>air::urban air close to ground</t>
        </is>
      </c>
      <c r="U317" t="inlineStr">
        <is>
          <t>air::urban air close to ground</t>
        </is>
      </c>
      <c r="V317" t="inlineStr">
        <is>
          <t>air::urban air close to ground</t>
        </is>
      </c>
      <c r="W317" t="inlineStr">
        <is>
          <t>air::urban air close to ground</t>
        </is>
      </c>
      <c r="X317" t="inlineStr">
        <is>
          <t>air::urban air close to ground</t>
        </is>
      </c>
      <c r="Y317" t="inlineStr">
        <is>
          <t>air::urban air close to ground</t>
        </is>
      </c>
      <c r="Z317" t="inlineStr">
        <is>
          <t>air::urban air close to ground</t>
        </is>
      </c>
      <c r="AA317" t="inlineStr">
        <is>
          <t>air::urban air close to ground</t>
        </is>
      </c>
      <c r="AB317" t="inlineStr">
        <is>
          <t>air::urban air close to ground</t>
        </is>
      </c>
      <c r="AC317" t="inlineStr">
        <is>
          <t>air::urban air close to ground</t>
        </is>
      </c>
      <c r="AD317" t="inlineStr">
        <is>
          <t>air::urban air close to ground</t>
        </is>
      </c>
      <c r="AE317" t="inlineStr">
        <is>
          <t>air::urban air close to ground</t>
        </is>
      </c>
      <c r="AF317" t="inlineStr">
        <is>
          <t>air::urban air close to ground</t>
        </is>
      </c>
      <c r="AG317" t="inlineStr">
        <is>
          <t>air::urban air close to ground</t>
        </is>
      </c>
      <c r="AH317" t="inlineStr">
        <is>
          <t>air::urban air close to ground</t>
        </is>
      </c>
      <c r="AI317" t="inlineStr">
        <is>
          <t>air::urban air close to ground</t>
        </is>
      </c>
      <c r="AJ317" t="inlineStr">
        <is>
          <t>air::urban air close to ground</t>
        </is>
      </c>
      <c r="AK317" t="inlineStr">
        <is>
          <t>air::urban air close to ground</t>
        </is>
      </c>
      <c r="AL317" t="inlineStr">
        <is>
          <t>air::urban air close to ground</t>
        </is>
      </c>
      <c r="AM317" t="inlineStr">
        <is>
          <t>air::urban air close to ground</t>
        </is>
      </c>
      <c r="AN317" t="inlineStr">
        <is>
          <t>air::urban air close to ground</t>
        </is>
      </c>
      <c r="AO317" t="inlineStr">
        <is>
          <t>air::urban air close to ground</t>
        </is>
      </c>
      <c r="AP317" t="inlineStr">
        <is>
          <t>air::urban air close to ground</t>
        </is>
      </c>
      <c r="AQ317" t="inlineStr">
        <is>
          <t>air::urban air close to ground</t>
        </is>
      </c>
      <c r="AR317" t="inlineStr">
        <is>
          <t>air::urban air close to ground</t>
        </is>
      </c>
      <c r="AS317" t="inlineStr">
        <is>
          <t>air::urban air close to ground</t>
        </is>
      </c>
      <c r="AT317" t="inlineStr">
        <is>
          <t>air::urban air close to ground</t>
        </is>
      </c>
      <c r="AU317" t="inlineStr">
        <is>
          <t>air::urban air close to ground</t>
        </is>
      </c>
      <c r="AV317" t="inlineStr">
        <is>
          <t>air::urban air close to ground</t>
        </is>
      </c>
      <c r="AW317" t="inlineStr">
        <is>
          <t>air::urban air close to ground</t>
        </is>
      </c>
      <c r="AX317" t="inlineStr">
        <is>
          <t>air::urban air close to ground</t>
        </is>
      </c>
      <c r="AY317" t="inlineStr">
        <is>
          <t>air::urban air close to ground</t>
        </is>
      </c>
      <c r="AZ317" t="inlineStr">
        <is>
          <t>air::urban air close to ground</t>
        </is>
      </c>
      <c r="BA317" t="inlineStr">
        <is>
          <t>air::urban air close to ground</t>
        </is>
      </c>
      <c r="BB317" t="inlineStr">
        <is>
          <t>air::urban air close to ground</t>
        </is>
      </c>
      <c r="BC317" t="inlineStr">
        <is>
          <t>air::urban air close to ground</t>
        </is>
      </c>
      <c r="BD317" t="inlineStr">
        <is>
          <t>air::urban air close to ground</t>
        </is>
      </c>
      <c r="BE317" t="inlineStr">
        <is>
          <t>air::urban air close to ground</t>
        </is>
      </c>
      <c r="BF317" t="inlineStr">
        <is>
          <t>air::urban air close to ground</t>
        </is>
      </c>
      <c r="BG317" t="inlineStr">
        <is>
          <t>air::urban air close to ground</t>
        </is>
      </c>
      <c r="BH317" t="inlineStr">
        <is>
          <t>air::urban air close to ground</t>
        </is>
      </c>
      <c r="BI317" t="inlineStr">
        <is>
          <t>air::urban air close to ground</t>
        </is>
      </c>
    </row>
    <row r="318">
      <c r="A318" t="inlineStr">
        <is>
          <t>Scooter, gasoline, 4-11kW, EURO-3</t>
        </is>
      </c>
      <c r="S318" t="inlineStr">
        <is>
          <t>air::urban air close to ground</t>
        </is>
      </c>
      <c r="T318" t="inlineStr">
        <is>
          <t>air::urban air close to ground</t>
        </is>
      </c>
      <c r="U318" t="inlineStr">
        <is>
          <t>air::urban air close to ground</t>
        </is>
      </c>
      <c r="V318" t="inlineStr">
        <is>
          <t>air::urban air close to ground</t>
        </is>
      </c>
      <c r="W318" t="inlineStr">
        <is>
          <t>air::urban air close to ground</t>
        </is>
      </c>
      <c r="X318" t="inlineStr">
        <is>
          <t>air::urban air close to ground</t>
        </is>
      </c>
      <c r="Y318" t="inlineStr">
        <is>
          <t>air::urban air close to ground</t>
        </is>
      </c>
      <c r="Z318" t="inlineStr">
        <is>
          <t>air::urban air close to ground</t>
        </is>
      </c>
      <c r="AA318" t="inlineStr">
        <is>
          <t>air::urban air close to ground</t>
        </is>
      </c>
      <c r="AB318" t="inlineStr">
        <is>
          <t>air::urban air close to ground</t>
        </is>
      </c>
      <c r="AC318" t="inlineStr">
        <is>
          <t>air::urban air close to ground</t>
        </is>
      </c>
      <c r="AD318" t="inlineStr">
        <is>
          <t>air::urban air close to ground</t>
        </is>
      </c>
      <c r="AE318" t="inlineStr">
        <is>
          <t>air::urban air close to ground</t>
        </is>
      </c>
      <c r="AF318" t="inlineStr">
        <is>
          <t>air::urban air close to ground</t>
        </is>
      </c>
      <c r="AG318" t="inlineStr">
        <is>
          <t>air::urban air close to ground</t>
        </is>
      </c>
      <c r="AH318" t="inlineStr">
        <is>
          <t>air::urban air close to ground</t>
        </is>
      </c>
      <c r="AI318" t="inlineStr">
        <is>
          <t>air::urban air close to ground</t>
        </is>
      </c>
      <c r="AJ318" t="inlineStr">
        <is>
          <t>air::urban air close to ground</t>
        </is>
      </c>
      <c r="AK318" t="inlineStr">
        <is>
          <t>air::urban air close to ground</t>
        </is>
      </c>
      <c r="AL318" t="inlineStr">
        <is>
          <t>air::urban air close to ground</t>
        </is>
      </c>
      <c r="AM318" t="inlineStr">
        <is>
          <t>air::urban air close to ground</t>
        </is>
      </c>
      <c r="AN318" t="inlineStr">
        <is>
          <t>air::urban air close to ground</t>
        </is>
      </c>
      <c r="AO318" t="inlineStr">
        <is>
          <t>air::urban air close to ground</t>
        </is>
      </c>
      <c r="AP318" t="inlineStr">
        <is>
          <t>air::urban air close to ground</t>
        </is>
      </c>
      <c r="AQ318" t="inlineStr">
        <is>
          <t>air::urban air close to ground</t>
        </is>
      </c>
      <c r="AR318" t="inlineStr">
        <is>
          <t>air::urban air close to ground</t>
        </is>
      </c>
      <c r="AS318" t="inlineStr">
        <is>
          <t>air::urban air close to ground</t>
        </is>
      </c>
      <c r="AT318" t="inlineStr">
        <is>
          <t>air::urban air close to ground</t>
        </is>
      </c>
      <c r="AU318" t="inlineStr">
        <is>
          <t>air::urban air close to ground</t>
        </is>
      </c>
      <c r="AV318" t="inlineStr">
        <is>
          <t>air::urban air close to ground</t>
        </is>
      </c>
      <c r="AW318" t="inlineStr">
        <is>
          <t>air::urban air close to ground</t>
        </is>
      </c>
      <c r="AX318" t="inlineStr">
        <is>
          <t>air::urban air close to ground</t>
        </is>
      </c>
      <c r="AY318" t="inlineStr">
        <is>
          <t>air::urban air close to ground</t>
        </is>
      </c>
      <c r="AZ318" t="inlineStr">
        <is>
          <t>air::urban air close to ground</t>
        </is>
      </c>
      <c r="BA318" t="inlineStr">
        <is>
          <t>air::urban air close to ground</t>
        </is>
      </c>
      <c r="BB318" t="inlineStr">
        <is>
          <t>air::urban air close to ground</t>
        </is>
      </c>
      <c r="BC318" t="inlineStr">
        <is>
          <t>air::urban air close to ground</t>
        </is>
      </c>
      <c r="BD318" t="inlineStr">
        <is>
          <t>air::urban air close to ground</t>
        </is>
      </c>
      <c r="BE318" t="inlineStr">
        <is>
          <t>air::urban air close to ground</t>
        </is>
      </c>
      <c r="BF318" t="inlineStr">
        <is>
          <t>air::urban air close to ground</t>
        </is>
      </c>
      <c r="BG318" t="inlineStr">
        <is>
          <t>air::urban air close to ground</t>
        </is>
      </c>
      <c r="BH318" t="inlineStr">
        <is>
          <t>air::urban air close to ground</t>
        </is>
      </c>
      <c r="BI318" t="inlineStr">
        <is>
          <t>air::urban air close to ground</t>
        </is>
      </c>
    </row>
    <row r="319">
      <c r="A319" t="inlineStr">
        <is>
          <t>Scooter, gasoline, 4-11kW, EURO-4</t>
        </is>
      </c>
      <c r="S319" t="inlineStr">
        <is>
          <t>air::urban air close to ground</t>
        </is>
      </c>
      <c r="T319" t="inlineStr">
        <is>
          <t>air::urban air close to ground</t>
        </is>
      </c>
      <c r="U319" t="inlineStr">
        <is>
          <t>air::urban air close to ground</t>
        </is>
      </c>
      <c r="V319" t="inlineStr">
        <is>
          <t>air::urban air close to ground</t>
        </is>
      </c>
      <c r="W319" t="inlineStr">
        <is>
          <t>air::urban air close to ground</t>
        </is>
      </c>
      <c r="X319" t="inlineStr">
        <is>
          <t>air::urban air close to ground</t>
        </is>
      </c>
      <c r="Y319" t="inlineStr">
        <is>
          <t>air::urban air close to ground</t>
        </is>
      </c>
      <c r="Z319" t="inlineStr">
        <is>
          <t>air::urban air close to ground</t>
        </is>
      </c>
      <c r="AA319" t="inlineStr">
        <is>
          <t>air::urban air close to ground</t>
        </is>
      </c>
      <c r="AB319" t="inlineStr">
        <is>
          <t>air::urban air close to ground</t>
        </is>
      </c>
      <c r="AC319" t="inlineStr">
        <is>
          <t>air::urban air close to ground</t>
        </is>
      </c>
      <c r="AD319" t="inlineStr">
        <is>
          <t>air::urban air close to ground</t>
        </is>
      </c>
      <c r="AE319" t="inlineStr">
        <is>
          <t>air::urban air close to ground</t>
        </is>
      </c>
      <c r="AF319" t="inlineStr">
        <is>
          <t>air::urban air close to ground</t>
        </is>
      </c>
      <c r="AG319" t="inlineStr">
        <is>
          <t>air::urban air close to ground</t>
        </is>
      </c>
      <c r="AH319" t="inlineStr">
        <is>
          <t>air::urban air close to ground</t>
        </is>
      </c>
      <c r="AI319" t="inlineStr">
        <is>
          <t>air::urban air close to ground</t>
        </is>
      </c>
      <c r="AJ319" t="inlineStr">
        <is>
          <t>air::urban air close to ground</t>
        </is>
      </c>
      <c r="AK319" t="inlineStr">
        <is>
          <t>air::urban air close to ground</t>
        </is>
      </c>
      <c r="AL319" t="inlineStr">
        <is>
          <t>air::urban air close to ground</t>
        </is>
      </c>
      <c r="AM319" t="inlineStr">
        <is>
          <t>air::urban air close to ground</t>
        </is>
      </c>
      <c r="AN319" t="inlineStr">
        <is>
          <t>air::urban air close to ground</t>
        </is>
      </c>
      <c r="AO319" t="inlineStr">
        <is>
          <t>air::urban air close to ground</t>
        </is>
      </c>
      <c r="AP319" t="inlineStr">
        <is>
          <t>air::urban air close to ground</t>
        </is>
      </c>
      <c r="AQ319" t="inlineStr">
        <is>
          <t>air::urban air close to ground</t>
        </is>
      </c>
      <c r="AR319" t="inlineStr">
        <is>
          <t>air::urban air close to ground</t>
        </is>
      </c>
      <c r="AS319" t="inlineStr">
        <is>
          <t>air::urban air close to ground</t>
        </is>
      </c>
      <c r="AT319" t="inlineStr">
        <is>
          <t>air::urban air close to ground</t>
        </is>
      </c>
      <c r="AU319" t="inlineStr">
        <is>
          <t>air::urban air close to ground</t>
        </is>
      </c>
      <c r="AV319" t="inlineStr">
        <is>
          <t>air::urban air close to ground</t>
        </is>
      </c>
      <c r="AW319" t="inlineStr">
        <is>
          <t>air::urban air close to ground</t>
        </is>
      </c>
      <c r="AX319" t="inlineStr">
        <is>
          <t>air::urban air close to ground</t>
        </is>
      </c>
      <c r="AY319" t="inlineStr">
        <is>
          <t>air::urban air close to ground</t>
        </is>
      </c>
      <c r="AZ319" t="inlineStr">
        <is>
          <t>air::urban air close to ground</t>
        </is>
      </c>
      <c r="BA319" t="inlineStr">
        <is>
          <t>air::urban air close to ground</t>
        </is>
      </c>
      <c r="BB319" t="inlineStr">
        <is>
          <t>air::urban air close to ground</t>
        </is>
      </c>
      <c r="BC319" t="inlineStr">
        <is>
          <t>air::urban air close to ground</t>
        </is>
      </c>
      <c r="BD319" t="inlineStr">
        <is>
          <t>air::urban air close to ground</t>
        </is>
      </c>
      <c r="BE319" t="inlineStr">
        <is>
          <t>air::urban air close to ground</t>
        </is>
      </c>
      <c r="BF319" t="inlineStr">
        <is>
          <t>air::urban air close to ground</t>
        </is>
      </c>
      <c r="BG319" t="inlineStr">
        <is>
          <t>air::urban air close to ground</t>
        </is>
      </c>
      <c r="BH319" t="inlineStr">
        <is>
          <t>air::urban air close to ground</t>
        </is>
      </c>
      <c r="BI319" t="inlineStr">
        <is>
          <t>air::urban air close to ground</t>
        </is>
      </c>
    </row>
    <row r="320">
      <c r="A320" t="inlineStr">
        <is>
          <t>Scooter, gasoline, 4-11kW, EURO-5</t>
        </is>
      </c>
      <c r="S320" t="inlineStr">
        <is>
          <t>air::urban air close to ground</t>
        </is>
      </c>
      <c r="T320" t="inlineStr">
        <is>
          <t>air::urban air close to ground</t>
        </is>
      </c>
      <c r="U320" t="inlineStr">
        <is>
          <t>air::urban air close to ground</t>
        </is>
      </c>
      <c r="V320" t="inlineStr">
        <is>
          <t>air::urban air close to ground</t>
        </is>
      </c>
      <c r="W320" t="inlineStr">
        <is>
          <t>air::urban air close to ground</t>
        </is>
      </c>
      <c r="X320" t="inlineStr">
        <is>
          <t>air::urban air close to ground</t>
        </is>
      </c>
      <c r="Y320" t="inlineStr">
        <is>
          <t>air::urban air close to ground</t>
        </is>
      </c>
      <c r="Z320" t="inlineStr">
        <is>
          <t>air::urban air close to ground</t>
        </is>
      </c>
      <c r="AA320" t="inlineStr">
        <is>
          <t>air::urban air close to ground</t>
        </is>
      </c>
      <c r="AB320" t="inlineStr">
        <is>
          <t>air::urban air close to ground</t>
        </is>
      </c>
      <c r="AC320" t="inlineStr">
        <is>
          <t>air::urban air close to ground</t>
        </is>
      </c>
      <c r="AD320" t="inlineStr">
        <is>
          <t>air::urban air close to ground</t>
        </is>
      </c>
      <c r="AE320" t="inlineStr">
        <is>
          <t>air::urban air close to ground</t>
        </is>
      </c>
      <c r="AF320" t="inlineStr">
        <is>
          <t>air::urban air close to ground</t>
        </is>
      </c>
      <c r="AG320" t="inlineStr">
        <is>
          <t>air::urban air close to ground</t>
        </is>
      </c>
      <c r="AH320" t="inlineStr">
        <is>
          <t>air::urban air close to ground</t>
        </is>
      </c>
      <c r="AI320" t="inlineStr">
        <is>
          <t>air::urban air close to ground</t>
        </is>
      </c>
      <c r="AJ320" t="inlineStr">
        <is>
          <t>air::urban air close to ground</t>
        </is>
      </c>
      <c r="AK320" t="inlineStr">
        <is>
          <t>air::urban air close to ground</t>
        </is>
      </c>
      <c r="AL320" t="inlineStr">
        <is>
          <t>air::urban air close to ground</t>
        </is>
      </c>
      <c r="AM320" t="inlineStr">
        <is>
          <t>air::urban air close to ground</t>
        </is>
      </c>
      <c r="AN320" t="inlineStr">
        <is>
          <t>air::urban air close to ground</t>
        </is>
      </c>
      <c r="AO320" t="inlineStr">
        <is>
          <t>air::urban air close to ground</t>
        </is>
      </c>
      <c r="AP320" t="inlineStr">
        <is>
          <t>air::urban air close to ground</t>
        </is>
      </c>
      <c r="AQ320" t="inlineStr">
        <is>
          <t>air::urban air close to ground</t>
        </is>
      </c>
      <c r="AR320" t="inlineStr">
        <is>
          <t>air::urban air close to ground</t>
        </is>
      </c>
      <c r="AS320" t="inlineStr">
        <is>
          <t>air::urban air close to ground</t>
        </is>
      </c>
      <c r="AT320" t="inlineStr">
        <is>
          <t>air::urban air close to ground</t>
        </is>
      </c>
      <c r="AU320" t="inlineStr">
        <is>
          <t>air::urban air close to ground</t>
        </is>
      </c>
      <c r="AV320" t="inlineStr">
        <is>
          <t>air::urban air close to ground</t>
        </is>
      </c>
      <c r="AW320" t="inlineStr">
        <is>
          <t>air::urban air close to ground</t>
        </is>
      </c>
      <c r="AX320" t="inlineStr">
        <is>
          <t>air::urban air close to ground</t>
        </is>
      </c>
      <c r="AY320" t="inlineStr">
        <is>
          <t>air::urban air close to ground</t>
        </is>
      </c>
      <c r="AZ320" t="inlineStr">
        <is>
          <t>air::urban air close to ground</t>
        </is>
      </c>
      <c r="BA320" t="inlineStr">
        <is>
          <t>air::urban air close to ground</t>
        </is>
      </c>
      <c r="BB320" t="inlineStr">
        <is>
          <t>air::urban air close to ground</t>
        </is>
      </c>
      <c r="BC320" t="inlineStr">
        <is>
          <t>air::urban air close to ground</t>
        </is>
      </c>
      <c r="BD320" t="inlineStr">
        <is>
          <t>air::urban air close to ground</t>
        </is>
      </c>
      <c r="BE320" t="inlineStr">
        <is>
          <t>air::urban air close to ground</t>
        </is>
      </c>
      <c r="BF320" t="inlineStr">
        <is>
          <t>air::urban air close to ground</t>
        </is>
      </c>
      <c r="BG320" t="inlineStr">
        <is>
          <t>air::urban air close to ground</t>
        </is>
      </c>
      <c r="BH320" t="inlineStr">
        <is>
          <t>air::urban air close to ground</t>
        </is>
      </c>
      <c r="BI320" t="inlineStr">
        <is>
          <t>air::urban air close to ground</t>
        </is>
      </c>
    </row>
    <row r="321">
      <c r="A321" t="inlineStr">
        <is>
          <t>Scooter, battery electric, &lt;4kW</t>
        </is>
      </c>
      <c r="S321" t="inlineStr">
        <is>
          <t>air::urban air close to ground</t>
        </is>
      </c>
      <c r="T321" t="inlineStr">
        <is>
          <t>air::urban air close to ground</t>
        </is>
      </c>
      <c r="U321" t="inlineStr">
        <is>
          <t>air::urban air close to ground</t>
        </is>
      </c>
      <c r="V321" t="inlineStr">
        <is>
          <t>air::urban air close to ground</t>
        </is>
      </c>
      <c r="W321" t="inlineStr">
        <is>
          <t>air::urban air close to ground</t>
        </is>
      </c>
      <c r="X321" t="inlineStr">
        <is>
          <t>air::urban air close to ground</t>
        </is>
      </c>
      <c r="Y321" t="inlineStr">
        <is>
          <t>air::urban air close to ground</t>
        </is>
      </c>
      <c r="Z321" t="inlineStr">
        <is>
          <t>air::urban air close to ground</t>
        </is>
      </c>
      <c r="AA321" t="inlineStr">
        <is>
          <t>air::urban air close to ground</t>
        </is>
      </c>
      <c r="AB321" t="inlineStr">
        <is>
          <t>air::urban air close to ground</t>
        </is>
      </c>
      <c r="AC321" t="inlineStr">
        <is>
          <t>air::urban air close to ground</t>
        </is>
      </c>
      <c r="AD321" t="inlineStr">
        <is>
          <t>air::urban air close to ground</t>
        </is>
      </c>
      <c r="AE321" t="inlineStr">
        <is>
          <t>air::urban air close to ground</t>
        </is>
      </c>
      <c r="AF321" t="inlineStr">
        <is>
          <t>air::urban air close to ground</t>
        </is>
      </c>
      <c r="AG321" t="inlineStr">
        <is>
          <t>air::urban air close to ground</t>
        </is>
      </c>
      <c r="AH321" t="inlineStr">
        <is>
          <t>air::urban air close to ground</t>
        </is>
      </c>
      <c r="AI321" t="inlineStr">
        <is>
          <t>air::urban air close to ground</t>
        </is>
      </c>
      <c r="AJ321" t="inlineStr">
        <is>
          <t>air::urban air close to ground</t>
        </is>
      </c>
      <c r="AK321" t="inlineStr">
        <is>
          <t>air::urban air close to ground</t>
        </is>
      </c>
      <c r="AL321" t="inlineStr">
        <is>
          <t>air::urban air close to ground</t>
        </is>
      </c>
      <c r="AM321" t="inlineStr">
        <is>
          <t>air::urban air close to ground</t>
        </is>
      </c>
      <c r="AN321" t="inlineStr">
        <is>
          <t>air::urban air close to ground</t>
        </is>
      </c>
      <c r="AO321" t="inlineStr">
        <is>
          <t>air::urban air close to ground</t>
        </is>
      </c>
      <c r="AP321" t="inlineStr">
        <is>
          <t>air::urban air close to ground</t>
        </is>
      </c>
      <c r="AQ321" t="inlineStr">
        <is>
          <t>air::urban air close to ground</t>
        </is>
      </c>
      <c r="AR321" t="inlineStr">
        <is>
          <t>air::urban air close to ground</t>
        </is>
      </c>
      <c r="AS321" t="inlineStr">
        <is>
          <t>air::urban air close to ground</t>
        </is>
      </c>
      <c r="AT321" t="inlineStr">
        <is>
          <t>air::urban air close to ground</t>
        </is>
      </c>
      <c r="AU321" t="inlineStr">
        <is>
          <t>air::urban air close to ground</t>
        </is>
      </c>
      <c r="AV321" t="inlineStr">
        <is>
          <t>air::urban air close to ground</t>
        </is>
      </c>
      <c r="AW321" t="inlineStr">
        <is>
          <t>air::urban air close to ground</t>
        </is>
      </c>
      <c r="AX321" t="inlineStr">
        <is>
          <t>air::urban air close to ground</t>
        </is>
      </c>
      <c r="AY321" t="inlineStr">
        <is>
          <t>air::urban air close to ground</t>
        </is>
      </c>
      <c r="AZ321" t="inlineStr">
        <is>
          <t>air::urban air close to ground</t>
        </is>
      </c>
      <c r="BA321" t="inlineStr">
        <is>
          <t>air::urban air close to ground</t>
        </is>
      </c>
      <c r="BB321" t="inlineStr">
        <is>
          <t>air::urban air close to ground</t>
        </is>
      </c>
      <c r="BC321" t="inlineStr">
        <is>
          <t>air::urban air close to ground</t>
        </is>
      </c>
      <c r="BD321" t="inlineStr">
        <is>
          <t>air::urban air close to ground</t>
        </is>
      </c>
      <c r="BE321" t="inlineStr">
        <is>
          <t>air::urban air close to ground</t>
        </is>
      </c>
      <c r="BF321" t="inlineStr">
        <is>
          <t>air::urban air close to ground</t>
        </is>
      </c>
      <c r="BG321" t="inlineStr">
        <is>
          <t>air::urban air close to ground</t>
        </is>
      </c>
      <c r="BH321" t="inlineStr">
        <is>
          <t>air::urban air close to ground</t>
        </is>
      </c>
      <c r="BI321" t="inlineStr">
        <is>
          <t>air::urban air close to ground</t>
        </is>
      </c>
    </row>
    <row r="322">
      <c r="A322" t="inlineStr">
        <is>
          <t>Scooter, battery electric, 4-11kW</t>
        </is>
      </c>
      <c r="S322" t="inlineStr">
        <is>
          <t>air::urban air close to ground</t>
        </is>
      </c>
      <c r="T322" t="inlineStr">
        <is>
          <t>air::urban air close to ground</t>
        </is>
      </c>
      <c r="U322" t="inlineStr">
        <is>
          <t>air::urban air close to ground</t>
        </is>
      </c>
      <c r="V322" t="inlineStr">
        <is>
          <t>air::urban air close to ground</t>
        </is>
      </c>
      <c r="W322" t="inlineStr">
        <is>
          <t>air::urban air close to ground</t>
        </is>
      </c>
      <c r="X322" t="inlineStr">
        <is>
          <t>air::urban air close to ground</t>
        </is>
      </c>
      <c r="Y322" t="inlineStr">
        <is>
          <t>air::urban air close to ground</t>
        </is>
      </c>
      <c r="Z322" t="inlineStr">
        <is>
          <t>air::urban air close to ground</t>
        </is>
      </c>
      <c r="AA322" t="inlineStr">
        <is>
          <t>air::urban air close to ground</t>
        </is>
      </c>
      <c r="AB322" t="inlineStr">
        <is>
          <t>air::urban air close to ground</t>
        </is>
      </c>
      <c r="AC322" t="inlineStr">
        <is>
          <t>air::urban air close to ground</t>
        </is>
      </c>
      <c r="AD322" t="inlineStr">
        <is>
          <t>air::urban air close to ground</t>
        </is>
      </c>
      <c r="AE322" t="inlineStr">
        <is>
          <t>air::urban air close to ground</t>
        </is>
      </c>
      <c r="AF322" t="inlineStr">
        <is>
          <t>air::urban air close to ground</t>
        </is>
      </c>
      <c r="AG322" t="inlineStr">
        <is>
          <t>air::urban air close to ground</t>
        </is>
      </c>
      <c r="AH322" t="inlineStr">
        <is>
          <t>air::urban air close to ground</t>
        </is>
      </c>
      <c r="AI322" t="inlineStr">
        <is>
          <t>air::urban air close to ground</t>
        </is>
      </c>
      <c r="AJ322" t="inlineStr">
        <is>
          <t>air::urban air close to ground</t>
        </is>
      </c>
      <c r="AK322" t="inlineStr">
        <is>
          <t>air::urban air close to ground</t>
        </is>
      </c>
      <c r="AL322" t="inlineStr">
        <is>
          <t>air::urban air close to ground</t>
        </is>
      </c>
      <c r="AM322" t="inlineStr">
        <is>
          <t>air::urban air close to ground</t>
        </is>
      </c>
      <c r="AN322" t="inlineStr">
        <is>
          <t>air::urban air close to ground</t>
        </is>
      </c>
      <c r="AO322" t="inlineStr">
        <is>
          <t>air::urban air close to ground</t>
        </is>
      </c>
      <c r="AP322" t="inlineStr">
        <is>
          <t>air::urban air close to ground</t>
        </is>
      </c>
      <c r="AQ322" t="inlineStr">
        <is>
          <t>air::urban air close to ground</t>
        </is>
      </c>
      <c r="AR322" t="inlineStr">
        <is>
          <t>air::urban air close to ground</t>
        </is>
      </c>
      <c r="AS322" t="inlineStr">
        <is>
          <t>air::urban air close to ground</t>
        </is>
      </c>
      <c r="AT322" t="inlineStr">
        <is>
          <t>air::urban air close to ground</t>
        </is>
      </c>
      <c r="AU322" t="inlineStr">
        <is>
          <t>air::urban air close to ground</t>
        </is>
      </c>
      <c r="AV322" t="inlineStr">
        <is>
          <t>air::urban air close to ground</t>
        </is>
      </c>
      <c r="AW322" t="inlineStr">
        <is>
          <t>air::urban air close to ground</t>
        </is>
      </c>
      <c r="AX322" t="inlineStr">
        <is>
          <t>air::urban air close to ground</t>
        </is>
      </c>
      <c r="AY322" t="inlineStr">
        <is>
          <t>air::urban air close to ground</t>
        </is>
      </c>
      <c r="AZ322" t="inlineStr">
        <is>
          <t>air::urban air close to ground</t>
        </is>
      </c>
      <c r="BA322" t="inlineStr">
        <is>
          <t>air::urban air close to ground</t>
        </is>
      </c>
      <c r="BB322" t="inlineStr">
        <is>
          <t>air::urban air close to ground</t>
        </is>
      </c>
      <c r="BC322" t="inlineStr">
        <is>
          <t>air::urban air close to ground</t>
        </is>
      </c>
      <c r="BD322" t="inlineStr">
        <is>
          <t>air::urban air close to ground</t>
        </is>
      </c>
      <c r="BE322" t="inlineStr">
        <is>
          <t>air::urban air close to ground</t>
        </is>
      </c>
      <c r="BF322" t="inlineStr">
        <is>
          <t>air::urban air close to ground</t>
        </is>
      </c>
      <c r="BG322" t="inlineStr">
        <is>
          <t>air::urban air close to ground</t>
        </is>
      </c>
      <c r="BH322" t="inlineStr">
        <is>
          <t>air::urban air close to ground</t>
        </is>
      </c>
      <c r="BI322" t="inlineStr">
        <is>
          <t>air::urban air close to ground</t>
        </is>
      </c>
    </row>
    <row r="323">
      <c r="A323" t="inlineStr">
        <is>
          <t>Motorbike, gasoline, 4-11kW, EURO-3</t>
        </is>
      </c>
      <c r="S323" t="inlineStr">
        <is>
          <t>air::urban air close to ground</t>
        </is>
      </c>
      <c r="T323" t="inlineStr">
        <is>
          <t>air::urban air close to ground</t>
        </is>
      </c>
      <c r="U323" t="inlineStr">
        <is>
          <t>air::urban air close to ground</t>
        </is>
      </c>
      <c r="V323" t="inlineStr">
        <is>
          <t>air::urban air close to ground</t>
        </is>
      </c>
      <c r="W323" t="inlineStr">
        <is>
          <t>air::urban air close to ground</t>
        </is>
      </c>
      <c r="X323" t="inlineStr">
        <is>
          <t>air::urban air close to ground</t>
        </is>
      </c>
      <c r="Y323" t="inlineStr">
        <is>
          <t>air::urban air close to ground</t>
        </is>
      </c>
      <c r="Z323" t="inlineStr">
        <is>
          <t>air::urban air close to ground</t>
        </is>
      </c>
      <c r="AA323" t="inlineStr">
        <is>
          <t>air::urban air close to ground</t>
        </is>
      </c>
      <c r="AB323" t="inlineStr">
        <is>
          <t>air::urban air close to ground</t>
        </is>
      </c>
      <c r="AC323" t="inlineStr">
        <is>
          <t>air::urban air close to ground</t>
        </is>
      </c>
      <c r="AD323" t="inlineStr">
        <is>
          <t>air::urban air close to ground</t>
        </is>
      </c>
      <c r="AE323" t="inlineStr">
        <is>
          <t>air::urban air close to ground</t>
        </is>
      </c>
      <c r="AF323" t="inlineStr">
        <is>
          <t>air::urban air close to ground</t>
        </is>
      </c>
      <c r="AG323" t="inlineStr">
        <is>
          <t>air::urban air close to ground</t>
        </is>
      </c>
      <c r="AH323" t="inlineStr">
        <is>
          <t>air::urban air close to ground</t>
        </is>
      </c>
      <c r="AI323" t="inlineStr">
        <is>
          <t>air::urban air close to ground</t>
        </is>
      </c>
      <c r="AJ323" t="inlineStr">
        <is>
          <t>air::urban air close to ground</t>
        </is>
      </c>
      <c r="AK323" t="inlineStr">
        <is>
          <t>air::urban air close to ground</t>
        </is>
      </c>
      <c r="AL323" t="inlineStr">
        <is>
          <t>air::urban air close to ground</t>
        </is>
      </c>
      <c r="AM323" t="inlineStr">
        <is>
          <t>air::urban air close to ground</t>
        </is>
      </c>
      <c r="AN323" t="inlineStr">
        <is>
          <t>air::urban air close to ground</t>
        </is>
      </c>
      <c r="AO323" t="inlineStr">
        <is>
          <t>air::urban air close to ground</t>
        </is>
      </c>
      <c r="AP323" t="inlineStr">
        <is>
          <t>air::urban air close to ground</t>
        </is>
      </c>
      <c r="AQ323" t="inlineStr">
        <is>
          <t>air::urban air close to ground</t>
        </is>
      </c>
      <c r="AR323" t="inlineStr">
        <is>
          <t>air::urban air close to ground</t>
        </is>
      </c>
      <c r="AS323" t="inlineStr">
        <is>
          <t>air::urban air close to ground</t>
        </is>
      </c>
      <c r="AT323" t="inlineStr">
        <is>
          <t>air::urban air close to ground</t>
        </is>
      </c>
      <c r="AU323" t="inlineStr">
        <is>
          <t>air::urban air close to ground</t>
        </is>
      </c>
      <c r="AV323" t="inlineStr">
        <is>
          <t>air::urban air close to ground</t>
        </is>
      </c>
      <c r="AW323" t="inlineStr">
        <is>
          <t>air::urban air close to ground</t>
        </is>
      </c>
      <c r="AX323" t="inlineStr">
        <is>
          <t>air::urban air close to ground</t>
        </is>
      </c>
      <c r="AY323" t="inlineStr">
        <is>
          <t>air::urban air close to ground</t>
        </is>
      </c>
      <c r="AZ323" t="inlineStr">
        <is>
          <t>air::urban air close to ground</t>
        </is>
      </c>
      <c r="BA323" t="inlineStr">
        <is>
          <t>air::urban air close to ground</t>
        </is>
      </c>
      <c r="BB323" t="inlineStr">
        <is>
          <t>air::urban air close to ground</t>
        </is>
      </c>
      <c r="BC323" t="inlineStr">
        <is>
          <t>air::urban air close to ground</t>
        </is>
      </c>
      <c r="BD323" t="inlineStr">
        <is>
          <t>air::urban air close to ground</t>
        </is>
      </c>
      <c r="BE323" t="inlineStr">
        <is>
          <t>air::urban air close to ground</t>
        </is>
      </c>
      <c r="BF323" t="inlineStr">
        <is>
          <t>air::urban air close to ground</t>
        </is>
      </c>
      <c r="BG323" t="inlineStr">
        <is>
          <t>air::urban air close to ground</t>
        </is>
      </c>
      <c r="BH323" t="inlineStr">
        <is>
          <t>air::urban air close to ground</t>
        </is>
      </c>
      <c r="BI323" t="inlineStr">
        <is>
          <t>air::urban air close to ground</t>
        </is>
      </c>
    </row>
    <row r="324">
      <c r="A324" t="inlineStr">
        <is>
          <t>Motorbike, gasoline, 4-11kW, EURO-4</t>
        </is>
      </c>
      <c r="S324" t="inlineStr">
        <is>
          <t>air::urban air close to ground</t>
        </is>
      </c>
      <c r="T324" t="inlineStr">
        <is>
          <t>air::urban air close to ground</t>
        </is>
      </c>
      <c r="U324" t="inlineStr">
        <is>
          <t>air::urban air close to ground</t>
        </is>
      </c>
      <c r="V324" t="inlineStr">
        <is>
          <t>air::urban air close to ground</t>
        </is>
      </c>
      <c r="W324" t="inlineStr">
        <is>
          <t>air::urban air close to ground</t>
        </is>
      </c>
      <c r="X324" t="inlineStr">
        <is>
          <t>air::urban air close to ground</t>
        </is>
      </c>
      <c r="Y324" t="inlineStr">
        <is>
          <t>air::urban air close to ground</t>
        </is>
      </c>
      <c r="Z324" t="inlineStr">
        <is>
          <t>air::urban air close to ground</t>
        </is>
      </c>
      <c r="AA324" t="inlineStr">
        <is>
          <t>air::urban air close to ground</t>
        </is>
      </c>
      <c r="AB324" t="inlineStr">
        <is>
          <t>air::urban air close to ground</t>
        </is>
      </c>
      <c r="AC324" t="inlineStr">
        <is>
          <t>air::urban air close to ground</t>
        </is>
      </c>
      <c r="AD324" t="inlineStr">
        <is>
          <t>air::urban air close to ground</t>
        </is>
      </c>
      <c r="AE324" t="inlineStr">
        <is>
          <t>air::urban air close to ground</t>
        </is>
      </c>
      <c r="AF324" t="inlineStr">
        <is>
          <t>air::urban air close to ground</t>
        </is>
      </c>
      <c r="AG324" t="inlineStr">
        <is>
          <t>air::urban air close to ground</t>
        </is>
      </c>
      <c r="AH324" t="inlineStr">
        <is>
          <t>air::urban air close to ground</t>
        </is>
      </c>
      <c r="AI324" t="inlineStr">
        <is>
          <t>air::urban air close to ground</t>
        </is>
      </c>
      <c r="AJ324" t="inlineStr">
        <is>
          <t>air::urban air close to ground</t>
        </is>
      </c>
      <c r="AK324" t="inlineStr">
        <is>
          <t>air::urban air close to ground</t>
        </is>
      </c>
      <c r="AL324" t="inlineStr">
        <is>
          <t>air::urban air close to ground</t>
        </is>
      </c>
      <c r="AM324" t="inlineStr">
        <is>
          <t>air::urban air close to ground</t>
        </is>
      </c>
      <c r="AN324" t="inlineStr">
        <is>
          <t>air::urban air close to ground</t>
        </is>
      </c>
      <c r="AO324" t="inlineStr">
        <is>
          <t>air::urban air close to ground</t>
        </is>
      </c>
      <c r="AP324" t="inlineStr">
        <is>
          <t>air::urban air close to ground</t>
        </is>
      </c>
      <c r="AQ324" t="inlineStr">
        <is>
          <t>air::urban air close to ground</t>
        </is>
      </c>
      <c r="AR324" t="inlineStr">
        <is>
          <t>air::urban air close to ground</t>
        </is>
      </c>
      <c r="AS324" t="inlineStr">
        <is>
          <t>air::urban air close to ground</t>
        </is>
      </c>
      <c r="AT324" t="inlineStr">
        <is>
          <t>air::urban air close to ground</t>
        </is>
      </c>
      <c r="AU324" t="inlineStr">
        <is>
          <t>air::urban air close to ground</t>
        </is>
      </c>
      <c r="AV324" t="inlineStr">
        <is>
          <t>air::urban air close to ground</t>
        </is>
      </c>
      <c r="AW324" t="inlineStr">
        <is>
          <t>air::urban air close to ground</t>
        </is>
      </c>
      <c r="AX324" t="inlineStr">
        <is>
          <t>air::urban air close to ground</t>
        </is>
      </c>
      <c r="AY324" t="inlineStr">
        <is>
          <t>air::urban air close to ground</t>
        </is>
      </c>
      <c r="AZ324" t="inlineStr">
        <is>
          <t>air::urban air close to ground</t>
        </is>
      </c>
      <c r="BA324" t="inlineStr">
        <is>
          <t>air::urban air close to ground</t>
        </is>
      </c>
      <c r="BB324" t="inlineStr">
        <is>
          <t>air::urban air close to ground</t>
        </is>
      </c>
      <c r="BC324" t="inlineStr">
        <is>
          <t>air::urban air close to ground</t>
        </is>
      </c>
      <c r="BD324" t="inlineStr">
        <is>
          <t>air::urban air close to ground</t>
        </is>
      </c>
      <c r="BE324" t="inlineStr">
        <is>
          <t>air::urban air close to ground</t>
        </is>
      </c>
      <c r="BF324" t="inlineStr">
        <is>
          <t>air::urban air close to ground</t>
        </is>
      </c>
      <c r="BG324" t="inlineStr">
        <is>
          <t>air::urban air close to ground</t>
        </is>
      </c>
      <c r="BH324" t="inlineStr">
        <is>
          <t>air::urban air close to ground</t>
        </is>
      </c>
      <c r="BI324" t="inlineStr">
        <is>
          <t>air::urban air close to ground</t>
        </is>
      </c>
    </row>
    <row r="325">
      <c r="A325" t="inlineStr">
        <is>
          <t>Motorbike, gasoline, 4-11kW, EURO-5</t>
        </is>
      </c>
      <c r="S325" t="inlineStr">
        <is>
          <t>air::urban air close to ground</t>
        </is>
      </c>
      <c r="T325" t="inlineStr">
        <is>
          <t>air::urban air close to ground</t>
        </is>
      </c>
      <c r="U325" t="inlineStr">
        <is>
          <t>air::urban air close to ground</t>
        </is>
      </c>
      <c r="V325" t="inlineStr">
        <is>
          <t>air::urban air close to ground</t>
        </is>
      </c>
      <c r="W325" t="inlineStr">
        <is>
          <t>air::urban air close to ground</t>
        </is>
      </c>
      <c r="X325" t="inlineStr">
        <is>
          <t>air::urban air close to ground</t>
        </is>
      </c>
      <c r="Y325" t="inlineStr">
        <is>
          <t>air::urban air close to ground</t>
        </is>
      </c>
      <c r="Z325" t="inlineStr">
        <is>
          <t>air::urban air close to ground</t>
        </is>
      </c>
      <c r="AA325" t="inlineStr">
        <is>
          <t>air::urban air close to ground</t>
        </is>
      </c>
      <c r="AB325" t="inlineStr">
        <is>
          <t>air::urban air close to ground</t>
        </is>
      </c>
      <c r="AC325" t="inlineStr">
        <is>
          <t>air::urban air close to ground</t>
        </is>
      </c>
      <c r="AD325" t="inlineStr">
        <is>
          <t>air::urban air close to ground</t>
        </is>
      </c>
      <c r="AE325" t="inlineStr">
        <is>
          <t>air::urban air close to ground</t>
        </is>
      </c>
      <c r="AF325" t="inlineStr">
        <is>
          <t>air::urban air close to ground</t>
        </is>
      </c>
      <c r="AG325" t="inlineStr">
        <is>
          <t>air::urban air close to ground</t>
        </is>
      </c>
      <c r="AH325" t="inlineStr">
        <is>
          <t>air::urban air close to ground</t>
        </is>
      </c>
      <c r="AI325" t="inlineStr">
        <is>
          <t>air::urban air close to ground</t>
        </is>
      </c>
      <c r="AJ325" t="inlineStr">
        <is>
          <t>air::urban air close to ground</t>
        </is>
      </c>
      <c r="AK325" t="inlineStr">
        <is>
          <t>air::urban air close to ground</t>
        </is>
      </c>
      <c r="AL325" t="inlineStr">
        <is>
          <t>air::urban air close to ground</t>
        </is>
      </c>
      <c r="AM325" t="inlineStr">
        <is>
          <t>air::urban air close to ground</t>
        </is>
      </c>
      <c r="AN325" t="inlineStr">
        <is>
          <t>air::urban air close to ground</t>
        </is>
      </c>
      <c r="AO325" t="inlineStr">
        <is>
          <t>air::urban air close to ground</t>
        </is>
      </c>
      <c r="AP325" t="inlineStr">
        <is>
          <t>air::urban air close to ground</t>
        </is>
      </c>
      <c r="AQ325" t="inlineStr">
        <is>
          <t>air::urban air close to ground</t>
        </is>
      </c>
      <c r="AR325" t="inlineStr">
        <is>
          <t>air::urban air close to ground</t>
        </is>
      </c>
      <c r="AS325" t="inlineStr">
        <is>
          <t>air::urban air close to ground</t>
        </is>
      </c>
      <c r="AT325" t="inlineStr">
        <is>
          <t>air::urban air close to ground</t>
        </is>
      </c>
      <c r="AU325" t="inlineStr">
        <is>
          <t>air::urban air close to ground</t>
        </is>
      </c>
      <c r="AV325" t="inlineStr">
        <is>
          <t>air::urban air close to ground</t>
        </is>
      </c>
      <c r="AW325" t="inlineStr">
        <is>
          <t>air::urban air close to ground</t>
        </is>
      </c>
      <c r="AX325" t="inlineStr">
        <is>
          <t>air::urban air close to ground</t>
        </is>
      </c>
      <c r="AY325" t="inlineStr">
        <is>
          <t>air::urban air close to ground</t>
        </is>
      </c>
      <c r="AZ325" t="inlineStr">
        <is>
          <t>air::urban air close to ground</t>
        </is>
      </c>
      <c r="BA325" t="inlineStr">
        <is>
          <t>air::urban air close to ground</t>
        </is>
      </c>
      <c r="BB325" t="inlineStr">
        <is>
          <t>air::urban air close to ground</t>
        </is>
      </c>
      <c r="BC325" t="inlineStr">
        <is>
          <t>air::urban air close to ground</t>
        </is>
      </c>
      <c r="BD325" t="inlineStr">
        <is>
          <t>air::urban air close to ground</t>
        </is>
      </c>
      <c r="BE325" t="inlineStr">
        <is>
          <t>air::urban air close to ground</t>
        </is>
      </c>
      <c r="BF325" t="inlineStr">
        <is>
          <t>air::urban air close to ground</t>
        </is>
      </c>
      <c r="BG325" t="inlineStr">
        <is>
          <t>air::urban air close to ground</t>
        </is>
      </c>
      <c r="BH325" t="inlineStr">
        <is>
          <t>air::urban air close to ground</t>
        </is>
      </c>
      <c r="BI325" t="inlineStr">
        <is>
          <t>air::urban air close to ground</t>
        </is>
      </c>
    </row>
    <row r="326">
      <c r="A326" t="inlineStr">
        <is>
          <t>Motorbike, gasoline, 11-35kW, EURO-3</t>
        </is>
      </c>
      <c r="S326" t="inlineStr">
        <is>
          <t>air::urban air close to ground</t>
        </is>
      </c>
      <c r="T326" t="inlineStr">
        <is>
          <t>air::urban air close to ground</t>
        </is>
      </c>
      <c r="U326" t="inlineStr">
        <is>
          <t>air::urban air close to ground</t>
        </is>
      </c>
      <c r="V326" t="inlineStr">
        <is>
          <t>air::urban air close to ground</t>
        </is>
      </c>
      <c r="W326" t="inlineStr">
        <is>
          <t>air::urban air close to ground</t>
        </is>
      </c>
      <c r="X326" t="inlineStr">
        <is>
          <t>air::urban air close to ground</t>
        </is>
      </c>
      <c r="Y326" t="inlineStr">
        <is>
          <t>air::urban air close to ground</t>
        </is>
      </c>
      <c r="Z326" t="inlineStr">
        <is>
          <t>air::urban air close to ground</t>
        </is>
      </c>
      <c r="AA326" t="inlineStr">
        <is>
          <t>air::urban air close to ground</t>
        </is>
      </c>
      <c r="AB326" t="inlineStr">
        <is>
          <t>air::urban air close to ground</t>
        </is>
      </c>
      <c r="AC326" t="inlineStr">
        <is>
          <t>air::urban air close to ground</t>
        </is>
      </c>
      <c r="AD326" t="inlineStr">
        <is>
          <t>air::urban air close to ground</t>
        </is>
      </c>
      <c r="AE326" t="inlineStr">
        <is>
          <t>air::urban air close to ground</t>
        </is>
      </c>
      <c r="AF326" t="inlineStr">
        <is>
          <t>air::urban air close to ground</t>
        </is>
      </c>
      <c r="AG326" t="inlineStr">
        <is>
          <t>air::urban air close to ground</t>
        </is>
      </c>
      <c r="AH326" t="inlineStr">
        <is>
          <t>air::urban air close to ground</t>
        </is>
      </c>
      <c r="AI326" t="inlineStr">
        <is>
          <t>air::urban air close to ground</t>
        </is>
      </c>
      <c r="AJ326" t="inlineStr">
        <is>
          <t>air::urban air close to ground</t>
        </is>
      </c>
      <c r="AK326" t="inlineStr">
        <is>
          <t>air::urban air close to ground</t>
        </is>
      </c>
      <c r="AL326" t="inlineStr">
        <is>
          <t>air::urban air close to ground</t>
        </is>
      </c>
      <c r="AM326" t="inlineStr">
        <is>
          <t>air::urban air close to ground</t>
        </is>
      </c>
      <c r="AN326" t="inlineStr">
        <is>
          <t>air::urban air close to ground</t>
        </is>
      </c>
      <c r="AO326" t="inlineStr">
        <is>
          <t>air::urban air close to ground</t>
        </is>
      </c>
      <c r="AP326" t="inlineStr">
        <is>
          <t>air::urban air close to ground</t>
        </is>
      </c>
      <c r="AQ326" t="inlineStr">
        <is>
          <t>air::urban air close to ground</t>
        </is>
      </c>
      <c r="AR326" t="inlineStr">
        <is>
          <t>air::urban air close to ground</t>
        </is>
      </c>
      <c r="AS326" t="inlineStr">
        <is>
          <t>air::urban air close to ground</t>
        </is>
      </c>
      <c r="AT326" t="inlineStr">
        <is>
          <t>air::urban air close to ground</t>
        </is>
      </c>
      <c r="AU326" t="inlineStr">
        <is>
          <t>air::urban air close to ground</t>
        </is>
      </c>
      <c r="AV326" t="inlineStr">
        <is>
          <t>air::urban air close to ground</t>
        </is>
      </c>
      <c r="AW326" t="inlineStr">
        <is>
          <t>air::urban air close to ground</t>
        </is>
      </c>
      <c r="AX326" t="inlineStr">
        <is>
          <t>air::urban air close to ground</t>
        </is>
      </c>
      <c r="AY326" t="inlineStr">
        <is>
          <t>air::urban air close to ground</t>
        </is>
      </c>
      <c r="AZ326" t="inlineStr">
        <is>
          <t>air::urban air close to ground</t>
        </is>
      </c>
      <c r="BA326" t="inlineStr">
        <is>
          <t>air::urban air close to ground</t>
        </is>
      </c>
      <c r="BB326" t="inlineStr">
        <is>
          <t>air::urban air close to ground</t>
        </is>
      </c>
      <c r="BC326" t="inlineStr">
        <is>
          <t>air::urban air close to ground</t>
        </is>
      </c>
      <c r="BD326" t="inlineStr">
        <is>
          <t>air::urban air close to ground</t>
        </is>
      </c>
      <c r="BE326" t="inlineStr">
        <is>
          <t>air::urban air close to ground</t>
        </is>
      </c>
      <c r="BF326" t="inlineStr">
        <is>
          <t>air::urban air close to ground</t>
        </is>
      </c>
      <c r="BG326" t="inlineStr">
        <is>
          <t>air::urban air close to ground</t>
        </is>
      </c>
      <c r="BH326" t="inlineStr">
        <is>
          <t>air::urban air close to ground</t>
        </is>
      </c>
      <c r="BI326" t="inlineStr">
        <is>
          <t>air::urban air close to ground</t>
        </is>
      </c>
    </row>
    <row r="327">
      <c r="A327" t="inlineStr">
        <is>
          <t>Motorbike, gasoline, 11-35kW, EURO-4</t>
        </is>
      </c>
      <c r="S327" t="inlineStr">
        <is>
          <t>air::urban air close to ground</t>
        </is>
      </c>
      <c r="T327" t="inlineStr">
        <is>
          <t>air::urban air close to ground</t>
        </is>
      </c>
      <c r="U327" t="inlineStr">
        <is>
          <t>air::urban air close to ground</t>
        </is>
      </c>
      <c r="V327" t="inlineStr">
        <is>
          <t>air::urban air close to ground</t>
        </is>
      </c>
      <c r="W327" t="inlineStr">
        <is>
          <t>air::urban air close to ground</t>
        </is>
      </c>
      <c r="X327" t="inlineStr">
        <is>
          <t>air::urban air close to ground</t>
        </is>
      </c>
      <c r="Y327" t="inlineStr">
        <is>
          <t>air::urban air close to ground</t>
        </is>
      </c>
      <c r="Z327" t="inlineStr">
        <is>
          <t>air::urban air close to ground</t>
        </is>
      </c>
      <c r="AA327" t="inlineStr">
        <is>
          <t>air::urban air close to ground</t>
        </is>
      </c>
      <c r="AB327" t="inlineStr">
        <is>
          <t>air::urban air close to ground</t>
        </is>
      </c>
      <c r="AC327" t="inlineStr">
        <is>
          <t>air::urban air close to ground</t>
        </is>
      </c>
      <c r="AD327" t="inlineStr">
        <is>
          <t>air::urban air close to ground</t>
        </is>
      </c>
      <c r="AE327" t="inlineStr">
        <is>
          <t>air::urban air close to ground</t>
        </is>
      </c>
      <c r="AF327" t="inlineStr">
        <is>
          <t>air::urban air close to ground</t>
        </is>
      </c>
      <c r="AG327" t="inlineStr">
        <is>
          <t>air::urban air close to ground</t>
        </is>
      </c>
      <c r="AH327" t="inlineStr">
        <is>
          <t>air::urban air close to ground</t>
        </is>
      </c>
      <c r="AI327" t="inlineStr">
        <is>
          <t>air::urban air close to ground</t>
        </is>
      </c>
      <c r="AJ327" t="inlineStr">
        <is>
          <t>air::urban air close to ground</t>
        </is>
      </c>
      <c r="AK327" t="inlineStr">
        <is>
          <t>air::urban air close to ground</t>
        </is>
      </c>
      <c r="AL327" t="inlineStr">
        <is>
          <t>air::urban air close to ground</t>
        </is>
      </c>
      <c r="AM327" t="inlineStr">
        <is>
          <t>air::urban air close to ground</t>
        </is>
      </c>
      <c r="AN327" t="inlineStr">
        <is>
          <t>air::urban air close to ground</t>
        </is>
      </c>
      <c r="AO327" t="inlineStr">
        <is>
          <t>air::urban air close to ground</t>
        </is>
      </c>
      <c r="AP327" t="inlineStr">
        <is>
          <t>air::urban air close to ground</t>
        </is>
      </c>
      <c r="AQ327" t="inlineStr">
        <is>
          <t>air::urban air close to ground</t>
        </is>
      </c>
      <c r="AR327" t="inlineStr">
        <is>
          <t>air::urban air close to ground</t>
        </is>
      </c>
      <c r="AS327" t="inlineStr">
        <is>
          <t>air::urban air close to ground</t>
        </is>
      </c>
      <c r="AT327" t="inlineStr">
        <is>
          <t>air::urban air close to ground</t>
        </is>
      </c>
      <c r="AU327" t="inlineStr">
        <is>
          <t>air::urban air close to ground</t>
        </is>
      </c>
      <c r="AV327" t="inlineStr">
        <is>
          <t>air::urban air close to ground</t>
        </is>
      </c>
      <c r="AW327" t="inlineStr">
        <is>
          <t>air::urban air close to ground</t>
        </is>
      </c>
      <c r="AX327" t="inlineStr">
        <is>
          <t>air::urban air close to ground</t>
        </is>
      </c>
      <c r="AY327" t="inlineStr">
        <is>
          <t>air::urban air close to ground</t>
        </is>
      </c>
      <c r="AZ327" t="inlineStr">
        <is>
          <t>air::urban air close to ground</t>
        </is>
      </c>
      <c r="BA327" t="inlineStr">
        <is>
          <t>air::urban air close to ground</t>
        </is>
      </c>
      <c r="BB327" t="inlineStr">
        <is>
          <t>air::urban air close to ground</t>
        </is>
      </c>
      <c r="BC327" t="inlineStr">
        <is>
          <t>air::urban air close to ground</t>
        </is>
      </c>
      <c r="BD327" t="inlineStr">
        <is>
          <t>air::urban air close to ground</t>
        </is>
      </c>
      <c r="BE327" t="inlineStr">
        <is>
          <t>air::urban air close to ground</t>
        </is>
      </c>
      <c r="BF327" t="inlineStr">
        <is>
          <t>air::urban air close to ground</t>
        </is>
      </c>
      <c r="BG327" t="inlineStr">
        <is>
          <t>air::urban air close to ground</t>
        </is>
      </c>
      <c r="BH327" t="inlineStr">
        <is>
          <t>air::urban air close to ground</t>
        </is>
      </c>
      <c r="BI327" t="inlineStr">
        <is>
          <t>air::urban air close to ground</t>
        </is>
      </c>
    </row>
    <row r="328">
      <c r="A328" t="inlineStr">
        <is>
          <t>Motorbike, gasoline, 11-35kW, EURO-5</t>
        </is>
      </c>
      <c r="S328" t="inlineStr">
        <is>
          <t>air::urban air close to ground</t>
        </is>
      </c>
      <c r="T328" t="inlineStr">
        <is>
          <t>air::urban air close to ground</t>
        </is>
      </c>
      <c r="U328" t="inlineStr">
        <is>
          <t>air::urban air close to ground</t>
        </is>
      </c>
      <c r="V328" t="inlineStr">
        <is>
          <t>air::urban air close to ground</t>
        </is>
      </c>
      <c r="W328" t="inlineStr">
        <is>
          <t>air::urban air close to ground</t>
        </is>
      </c>
      <c r="X328" t="inlineStr">
        <is>
          <t>air::urban air close to ground</t>
        </is>
      </c>
      <c r="Y328" t="inlineStr">
        <is>
          <t>air::urban air close to ground</t>
        </is>
      </c>
      <c r="Z328" t="inlineStr">
        <is>
          <t>air::urban air close to ground</t>
        </is>
      </c>
      <c r="AA328" t="inlineStr">
        <is>
          <t>air::urban air close to ground</t>
        </is>
      </c>
      <c r="AB328" t="inlineStr">
        <is>
          <t>air::urban air close to ground</t>
        </is>
      </c>
      <c r="AC328" t="inlineStr">
        <is>
          <t>air::urban air close to ground</t>
        </is>
      </c>
      <c r="AD328" t="inlineStr">
        <is>
          <t>air::urban air close to ground</t>
        </is>
      </c>
      <c r="AE328" t="inlineStr">
        <is>
          <t>air::urban air close to ground</t>
        </is>
      </c>
      <c r="AF328" t="inlineStr">
        <is>
          <t>air::urban air close to ground</t>
        </is>
      </c>
      <c r="AG328" t="inlineStr">
        <is>
          <t>air::urban air close to ground</t>
        </is>
      </c>
      <c r="AH328" t="inlineStr">
        <is>
          <t>air::urban air close to ground</t>
        </is>
      </c>
      <c r="AI328" t="inlineStr">
        <is>
          <t>air::urban air close to ground</t>
        </is>
      </c>
      <c r="AJ328" t="inlineStr">
        <is>
          <t>air::urban air close to ground</t>
        </is>
      </c>
      <c r="AK328" t="inlineStr">
        <is>
          <t>air::urban air close to ground</t>
        </is>
      </c>
      <c r="AL328" t="inlineStr">
        <is>
          <t>air::urban air close to ground</t>
        </is>
      </c>
      <c r="AM328" t="inlineStr">
        <is>
          <t>air::urban air close to ground</t>
        </is>
      </c>
      <c r="AN328" t="inlineStr">
        <is>
          <t>air::urban air close to ground</t>
        </is>
      </c>
      <c r="AO328" t="inlineStr">
        <is>
          <t>air::urban air close to ground</t>
        </is>
      </c>
      <c r="AP328" t="inlineStr">
        <is>
          <t>air::urban air close to ground</t>
        </is>
      </c>
      <c r="AQ328" t="inlineStr">
        <is>
          <t>air::urban air close to ground</t>
        </is>
      </c>
      <c r="AR328" t="inlineStr">
        <is>
          <t>air::urban air close to ground</t>
        </is>
      </c>
      <c r="AS328" t="inlineStr">
        <is>
          <t>air::urban air close to ground</t>
        </is>
      </c>
      <c r="AT328" t="inlineStr">
        <is>
          <t>air::urban air close to ground</t>
        </is>
      </c>
      <c r="AU328" t="inlineStr">
        <is>
          <t>air::urban air close to ground</t>
        </is>
      </c>
      <c r="AV328" t="inlineStr">
        <is>
          <t>air::urban air close to ground</t>
        </is>
      </c>
      <c r="AW328" t="inlineStr">
        <is>
          <t>air::urban air close to ground</t>
        </is>
      </c>
      <c r="AX328" t="inlineStr">
        <is>
          <t>air::urban air close to ground</t>
        </is>
      </c>
      <c r="AY328" t="inlineStr">
        <is>
          <t>air::urban air close to ground</t>
        </is>
      </c>
      <c r="AZ328" t="inlineStr">
        <is>
          <t>air::urban air close to ground</t>
        </is>
      </c>
      <c r="BA328" t="inlineStr">
        <is>
          <t>air::urban air close to ground</t>
        </is>
      </c>
      <c r="BB328" t="inlineStr">
        <is>
          <t>air::urban air close to ground</t>
        </is>
      </c>
      <c r="BC328" t="inlineStr">
        <is>
          <t>air::urban air close to ground</t>
        </is>
      </c>
      <c r="BD328" t="inlineStr">
        <is>
          <t>air::urban air close to ground</t>
        </is>
      </c>
      <c r="BE328" t="inlineStr">
        <is>
          <t>air::urban air close to ground</t>
        </is>
      </c>
      <c r="BF328" t="inlineStr">
        <is>
          <t>air::urban air close to ground</t>
        </is>
      </c>
      <c r="BG328" t="inlineStr">
        <is>
          <t>air::urban air close to ground</t>
        </is>
      </c>
      <c r="BH328" t="inlineStr">
        <is>
          <t>air::urban air close to ground</t>
        </is>
      </c>
      <c r="BI328" t="inlineStr">
        <is>
          <t>air::urban air close to ground</t>
        </is>
      </c>
    </row>
    <row r="329">
      <c r="A329" t="inlineStr">
        <is>
          <t>Motorbike, gasoline, &gt;35kW, EURO-3</t>
        </is>
      </c>
      <c r="S329" t="inlineStr">
        <is>
          <t>air::urban air close to ground</t>
        </is>
      </c>
      <c r="T329" t="inlineStr">
        <is>
          <t>air::urban air close to ground</t>
        </is>
      </c>
      <c r="U329" t="inlineStr">
        <is>
          <t>air::urban air close to ground</t>
        </is>
      </c>
      <c r="V329" t="inlineStr">
        <is>
          <t>air::urban air close to ground</t>
        </is>
      </c>
      <c r="W329" t="inlineStr">
        <is>
          <t>air::urban air close to ground</t>
        </is>
      </c>
      <c r="X329" t="inlineStr">
        <is>
          <t>air::urban air close to ground</t>
        </is>
      </c>
      <c r="Y329" t="inlineStr">
        <is>
          <t>air::urban air close to ground</t>
        </is>
      </c>
      <c r="Z329" t="inlineStr">
        <is>
          <t>air::urban air close to ground</t>
        </is>
      </c>
      <c r="AA329" t="inlineStr">
        <is>
          <t>air::urban air close to ground</t>
        </is>
      </c>
      <c r="AB329" t="inlineStr">
        <is>
          <t>air::urban air close to ground</t>
        </is>
      </c>
      <c r="AC329" t="inlineStr">
        <is>
          <t>air::urban air close to ground</t>
        </is>
      </c>
      <c r="AD329" t="inlineStr">
        <is>
          <t>air::urban air close to ground</t>
        </is>
      </c>
      <c r="AE329" t="inlineStr">
        <is>
          <t>air::urban air close to ground</t>
        </is>
      </c>
      <c r="AF329" t="inlineStr">
        <is>
          <t>air::urban air close to ground</t>
        </is>
      </c>
      <c r="AG329" t="inlineStr">
        <is>
          <t>air::urban air close to ground</t>
        </is>
      </c>
      <c r="AH329" t="inlineStr">
        <is>
          <t>air::urban air close to ground</t>
        </is>
      </c>
      <c r="AI329" t="inlineStr">
        <is>
          <t>air::urban air close to ground</t>
        </is>
      </c>
      <c r="AJ329" t="inlineStr">
        <is>
          <t>air::urban air close to ground</t>
        </is>
      </c>
      <c r="AK329" t="inlineStr">
        <is>
          <t>air::urban air close to ground</t>
        </is>
      </c>
      <c r="AL329" t="inlineStr">
        <is>
          <t>air::urban air close to ground</t>
        </is>
      </c>
      <c r="AM329" t="inlineStr">
        <is>
          <t>air::urban air close to ground</t>
        </is>
      </c>
      <c r="AN329" t="inlineStr">
        <is>
          <t>air::urban air close to ground</t>
        </is>
      </c>
      <c r="AO329" t="inlineStr">
        <is>
          <t>air::urban air close to ground</t>
        </is>
      </c>
      <c r="AP329" t="inlineStr">
        <is>
          <t>air::urban air close to ground</t>
        </is>
      </c>
      <c r="AQ329" t="inlineStr">
        <is>
          <t>air::urban air close to ground</t>
        </is>
      </c>
      <c r="AR329" t="inlineStr">
        <is>
          <t>air::urban air close to ground</t>
        </is>
      </c>
      <c r="AS329" t="inlineStr">
        <is>
          <t>air::urban air close to ground</t>
        </is>
      </c>
      <c r="AT329" t="inlineStr">
        <is>
          <t>air::urban air close to ground</t>
        </is>
      </c>
      <c r="AU329" t="inlineStr">
        <is>
          <t>air::urban air close to ground</t>
        </is>
      </c>
      <c r="AV329" t="inlineStr">
        <is>
          <t>air::urban air close to ground</t>
        </is>
      </c>
      <c r="AW329" t="inlineStr">
        <is>
          <t>air::urban air close to ground</t>
        </is>
      </c>
      <c r="AX329" t="inlineStr">
        <is>
          <t>air::urban air close to ground</t>
        </is>
      </c>
      <c r="AY329" t="inlineStr">
        <is>
          <t>air::urban air close to ground</t>
        </is>
      </c>
      <c r="AZ329" t="inlineStr">
        <is>
          <t>air::urban air close to ground</t>
        </is>
      </c>
      <c r="BA329" t="inlineStr">
        <is>
          <t>air::urban air close to ground</t>
        </is>
      </c>
      <c r="BB329" t="inlineStr">
        <is>
          <t>air::urban air close to ground</t>
        </is>
      </c>
      <c r="BC329" t="inlineStr">
        <is>
          <t>air::urban air close to ground</t>
        </is>
      </c>
      <c r="BD329" t="inlineStr">
        <is>
          <t>air::urban air close to ground</t>
        </is>
      </c>
      <c r="BE329" t="inlineStr">
        <is>
          <t>air::urban air close to ground</t>
        </is>
      </c>
      <c r="BF329" t="inlineStr">
        <is>
          <t>air::urban air close to ground</t>
        </is>
      </c>
      <c r="BG329" t="inlineStr">
        <is>
          <t>air::urban air close to ground</t>
        </is>
      </c>
      <c r="BH329" t="inlineStr">
        <is>
          <t>air::urban air close to ground</t>
        </is>
      </c>
      <c r="BI329" t="inlineStr">
        <is>
          <t>air::urban air close to ground</t>
        </is>
      </c>
    </row>
    <row r="330">
      <c r="A330" t="inlineStr">
        <is>
          <t>Motorbike, gasoline, &gt;35kW, EURO-4</t>
        </is>
      </c>
      <c r="S330" t="inlineStr">
        <is>
          <t>air::urban air close to ground</t>
        </is>
      </c>
      <c r="T330" t="inlineStr">
        <is>
          <t>air::urban air close to ground</t>
        </is>
      </c>
      <c r="U330" t="inlineStr">
        <is>
          <t>air::urban air close to ground</t>
        </is>
      </c>
      <c r="V330" t="inlineStr">
        <is>
          <t>air::urban air close to ground</t>
        </is>
      </c>
      <c r="W330" t="inlineStr">
        <is>
          <t>air::urban air close to ground</t>
        </is>
      </c>
      <c r="X330" t="inlineStr">
        <is>
          <t>air::urban air close to ground</t>
        </is>
      </c>
      <c r="Y330" t="inlineStr">
        <is>
          <t>air::urban air close to ground</t>
        </is>
      </c>
      <c r="Z330" t="inlineStr">
        <is>
          <t>air::urban air close to ground</t>
        </is>
      </c>
      <c r="AA330" t="inlineStr">
        <is>
          <t>air::urban air close to ground</t>
        </is>
      </c>
      <c r="AB330" t="inlineStr">
        <is>
          <t>air::urban air close to ground</t>
        </is>
      </c>
      <c r="AC330" t="inlineStr">
        <is>
          <t>air::urban air close to ground</t>
        </is>
      </c>
      <c r="AD330" t="inlineStr">
        <is>
          <t>air::urban air close to ground</t>
        </is>
      </c>
      <c r="AE330" t="inlineStr">
        <is>
          <t>air::urban air close to ground</t>
        </is>
      </c>
      <c r="AF330" t="inlineStr">
        <is>
          <t>air::urban air close to ground</t>
        </is>
      </c>
      <c r="AG330" t="inlineStr">
        <is>
          <t>air::urban air close to ground</t>
        </is>
      </c>
      <c r="AH330" t="inlineStr">
        <is>
          <t>air::urban air close to ground</t>
        </is>
      </c>
      <c r="AI330" t="inlineStr">
        <is>
          <t>air::urban air close to ground</t>
        </is>
      </c>
      <c r="AJ330" t="inlineStr">
        <is>
          <t>air::urban air close to ground</t>
        </is>
      </c>
      <c r="AK330" t="inlineStr">
        <is>
          <t>air::urban air close to ground</t>
        </is>
      </c>
      <c r="AL330" t="inlineStr">
        <is>
          <t>air::urban air close to ground</t>
        </is>
      </c>
      <c r="AM330" t="inlineStr">
        <is>
          <t>air::urban air close to ground</t>
        </is>
      </c>
      <c r="AN330" t="inlineStr">
        <is>
          <t>air::urban air close to ground</t>
        </is>
      </c>
      <c r="AO330" t="inlineStr">
        <is>
          <t>air::urban air close to ground</t>
        </is>
      </c>
      <c r="AP330" t="inlineStr">
        <is>
          <t>air::urban air close to ground</t>
        </is>
      </c>
      <c r="AQ330" t="inlineStr">
        <is>
          <t>air::urban air close to ground</t>
        </is>
      </c>
      <c r="AR330" t="inlineStr">
        <is>
          <t>air::urban air close to ground</t>
        </is>
      </c>
      <c r="AS330" t="inlineStr">
        <is>
          <t>air::urban air close to ground</t>
        </is>
      </c>
      <c r="AT330" t="inlineStr">
        <is>
          <t>air::urban air close to ground</t>
        </is>
      </c>
      <c r="AU330" t="inlineStr">
        <is>
          <t>air::urban air close to ground</t>
        </is>
      </c>
      <c r="AV330" t="inlineStr">
        <is>
          <t>air::urban air close to ground</t>
        </is>
      </c>
      <c r="AW330" t="inlineStr">
        <is>
          <t>air::urban air close to ground</t>
        </is>
      </c>
      <c r="AX330" t="inlineStr">
        <is>
          <t>air::urban air close to ground</t>
        </is>
      </c>
      <c r="AY330" t="inlineStr">
        <is>
          <t>air::urban air close to ground</t>
        </is>
      </c>
      <c r="AZ330" t="inlineStr">
        <is>
          <t>air::urban air close to ground</t>
        </is>
      </c>
      <c r="BA330" t="inlineStr">
        <is>
          <t>air::urban air close to ground</t>
        </is>
      </c>
      <c r="BB330" t="inlineStr">
        <is>
          <t>air::urban air close to ground</t>
        </is>
      </c>
      <c r="BC330" t="inlineStr">
        <is>
          <t>air::urban air close to ground</t>
        </is>
      </c>
      <c r="BD330" t="inlineStr">
        <is>
          <t>air::urban air close to ground</t>
        </is>
      </c>
      <c r="BE330" t="inlineStr">
        <is>
          <t>air::urban air close to ground</t>
        </is>
      </c>
      <c r="BF330" t="inlineStr">
        <is>
          <t>air::urban air close to ground</t>
        </is>
      </c>
      <c r="BG330" t="inlineStr">
        <is>
          <t>air::urban air close to ground</t>
        </is>
      </c>
      <c r="BH330" t="inlineStr">
        <is>
          <t>air::urban air close to ground</t>
        </is>
      </c>
      <c r="BI330" t="inlineStr">
        <is>
          <t>air::urban air close to ground</t>
        </is>
      </c>
    </row>
    <row r="331">
      <c r="A331" t="inlineStr">
        <is>
          <t>Motorbike, gasoline, &gt;35kW, EURO-5</t>
        </is>
      </c>
      <c r="S331" t="inlineStr">
        <is>
          <t>air::urban air close to ground</t>
        </is>
      </c>
      <c r="T331" t="inlineStr">
        <is>
          <t>air::urban air close to ground</t>
        </is>
      </c>
      <c r="U331" t="inlineStr">
        <is>
          <t>air::urban air close to ground</t>
        </is>
      </c>
      <c r="V331" t="inlineStr">
        <is>
          <t>air::urban air close to ground</t>
        </is>
      </c>
      <c r="W331" t="inlineStr">
        <is>
          <t>air::urban air close to ground</t>
        </is>
      </c>
      <c r="X331" t="inlineStr">
        <is>
          <t>air::urban air close to ground</t>
        </is>
      </c>
      <c r="Y331" t="inlineStr">
        <is>
          <t>air::urban air close to ground</t>
        </is>
      </c>
      <c r="Z331" t="inlineStr">
        <is>
          <t>air::urban air close to ground</t>
        </is>
      </c>
      <c r="AA331" t="inlineStr">
        <is>
          <t>air::urban air close to ground</t>
        </is>
      </c>
      <c r="AB331" t="inlineStr">
        <is>
          <t>air::urban air close to ground</t>
        </is>
      </c>
      <c r="AC331" t="inlineStr">
        <is>
          <t>air::urban air close to ground</t>
        </is>
      </c>
      <c r="AD331" t="inlineStr">
        <is>
          <t>air::urban air close to ground</t>
        </is>
      </c>
      <c r="AE331" t="inlineStr">
        <is>
          <t>air::urban air close to ground</t>
        </is>
      </c>
      <c r="AF331" t="inlineStr">
        <is>
          <t>air::urban air close to ground</t>
        </is>
      </c>
      <c r="AG331" t="inlineStr">
        <is>
          <t>air::urban air close to ground</t>
        </is>
      </c>
      <c r="AH331" t="inlineStr">
        <is>
          <t>air::urban air close to ground</t>
        </is>
      </c>
      <c r="AI331" t="inlineStr">
        <is>
          <t>air::urban air close to ground</t>
        </is>
      </c>
      <c r="AJ331" t="inlineStr">
        <is>
          <t>air::urban air close to ground</t>
        </is>
      </c>
      <c r="AK331" t="inlineStr">
        <is>
          <t>air::urban air close to ground</t>
        </is>
      </c>
      <c r="AL331" t="inlineStr">
        <is>
          <t>air::urban air close to ground</t>
        </is>
      </c>
      <c r="AM331" t="inlineStr">
        <is>
          <t>air::urban air close to ground</t>
        </is>
      </c>
      <c r="AN331" t="inlineStr">
        <is>
          <t>air::urban air close to ground</t>
        </is>
      </c>
      <c r="AO331" t="inlineStr">
        <is>
          <t>air::urban air close to ground</t>
        </is>
      </c>
      <c r="AP331" t="inlineStr">
        <is>
          <t>air::urban air close to ground</t>
        </is>
      </c>
      <c r="AQ331" t="inlineStr">
        <is>
          <t>air::urban air close to ground</t>
        </is>
      </c>
      <c r="AR331" t="inlineStr">
        <is>
          <t>air::urban air close to ground</t>
        </is>
      </c>
      <c r="AS331" t="inlineStr">
        <is>
          <t>air::urban air close to ground</t>
        </is>
      </c>
      <c r="AT331" t="inlineStr">
        <is>
          <t>air::urban air close to ground</t>
        </is>
      </c>
      <c r="AU331" t="inlineStr">
        <is>
          <t>air::urban air close to ground</t>
        </is>
      </c>
      <c r="AV331" t="inlineStr">
        <is>
          <t>air::urban air close to ground</t>
        </is>
      </c>
      <c r="AW331" t="inlineStr">
        <is>
          <t>air::urban air close to ground</t>
        </is>
      </c>
      <c r="AX331" t="inlineStr">
        <is>
          <t>air::urban air close to ground</t>
        </is>
      </c>
      <c r="AY331" t="inlineStr">
        <is>
          <t>air::urban air close to ground</t>
        </is>
      </c>
      <c r="AZ331" t="inlineStr">
        <is>
          <t>air::urban air close to ground</t>
        </is>
      </c>
      <c r="BA331" t="inlineStr">
        <is>
          <t>air::urban air close to ground</t>
        </is>
      </c>
      <c r="BB331" t="inlineStr">
        <is>
          <t>air::urban air close to ground</t>
        </is>
      </c>
      <c r="BC331" t="inlineStr">
        <is>
          <t>air::urban air close to ground</t>
        </is>
      </c>
      <c r="BD331" t="inlineStr">
        <is>
          <t>air::urban air close to ground</t>
        </is>
      </c>
      <c r="BE331" t="inlineStr">
        <is>
          <t>air::urban air close to ground</t>
        </is>
      </c>
      <c r="BF331" t="inlineStr">
        <is>
          <t>air::urban air close to ground</t>
        </is>
      </c>
      <c r="BG331" t="inlineStr">
        <is>
          <t>air::urban air close to ground</t>
        </is>
      </c>
      <c r="BH331" t="inlineStr">
        <is>
          <t>air::urban air close to ground</t>
        </is>
      </c>
      <c r="BI331" t="inlineStr">
        <is>
          <t>air::urban air close to ground</t>
        </is>
      </c>
    </row>
    <row r="332">
      <c r="A332" t="inlineStr">
        <is>
          <t>Motorbike, battery electric, &lt;4kW</t>
        </is>
      </c>
      <c r="S332" t="inlineStr">
        <is>
          <t>air::urban air close to ground</t>
        </is>
      </c>
      <c r="T332" t="inlineStr">
        <is>
          <t>air::urban air close to ground</t>
        </is>
      </c>
      <c r="U332" t="inlineStr">
        <is>
          <t>air::urban air close to ground</t>
        </is>
      </c>
      <c r="V332" t="inlineStr">
        <is>
          <t>air::urban air close to ground</t>
        </is>
      </c>
      <c r="W332" t="inlineStr">
        <is>
          <t>air::urban air close to ground</t>
        </is>
      </c>
      <c r="X332" t="inlineStr">
        <is>
          <t>air::urban air close to ground</t>
        </is>
      </c>
      <c r="Y332" t="inlineStr">
        <is>
          <t>air::urban air close to ground</t>
        </is>
      </c>
      <c r="Z332" t="inlineStr">
        <is>
          <t>air::urban air close to ground</t>
        </is>
      </c>
      <c r="AA332" t="inlineStr">
        <is>
          <t>air::urban air close to ground</t>
        </is>
      </c>
      <c r="AB332" t="inlineStr">
        <is>
          <t>air::urban air close to ground</t>
        </is>
      </c>
      <c r="AC332" t="inlineStr">
        <is>
          <t>air::urban air close to ground</t>
        </is>
      </c>
      <c r="AD332" t="inlineStr">
        <is>
          <t>air::urban air close to ground</t>
        </is>
      </c>
      <c r="AE332" t="inlineStr">
        <is>
          <t>air::urban air close to ground</t>
        </is>
      </c>
      <c r="AF332" t="inlineStr">
        <is>
          <t>air::urban air close to ground</t>
        </is>
      </c>
      <c r="AG332" t="inlineStr">
        <is>
          <t>air::urban air close to ground</t>
        </is>
      </c>
      <c r="AH332" t="inlineStr">
        <is>
          <t>air::urban air close to ground</t>
        </is>
      </c>
      <c r="AI332" t="inlineStr">
        <is>
          <t>air::urban air close to ground</t>
        </is>
      </c>
      <c r="AJ332" t="inlineStr">
        <is>
          <t>air::urban air close to ground</t>
        </is>
      </c>
      <c r="AK332" t="inlineStr">
        <is>
          <t>air::urban air close to ground</t>
        </is>
      </c>
      <c r="AL332" t="inlineStr">
        <is>
          <t>air::urban air close to ground</t>
        </is>
      </c>
      <c r="AM332" t="inlineStr">
        <is>
          <t>air::urban air close to ground</t>
        </is>
      </c>
      <c r="AN332" t="inlineStr">
        <is>
          <t>air::urban air close to ground</t>
        </is>
      </c>
      <c r="AO332" t="inlineStr">
        <is>
          <t>air::urban air close to ground</t>
        </is>
      </c>
      <c r="AP332" t="inlineStr">
        <is>
          <t>air::urban air close to ground</t>
        </is>
      </c>
      <c r="AQ332" t="inlineStr">
        <is>
          <t>air::urban air close to ground</t>
        </is>
      </c>
      <c r="AR332" t="inlineStr">
        <is>
          <t>air::urban air close to ground</t>
        </is>
      </c>
      <c r="AS332" t="inlineStr">
        <is>
          <t>air::urban air close to ground</t>
        </is>
      </c>
      <c r="AT332" t="inlineStr">
        <is>
          <t>air::urban air close to ground</t>
        </is>
      </c>
      <c r="AU332" t="inlineStr">
        <is>
          <t>air::urban air close to ground</t>
        </is>
      </c>
      <c r="AV332" t="inlineStr">
        <is>
          <t>air::urban air close to ground</t>
        </is>
      </c>
      <c r="AW332" t="inlineStr">
        <is>
          <t>air::urban air close to ground</t>
        </is>
      </c>
      <c r="AX332" t="inlineStr">
        <is>
          <t>air::urban air close to ground</t>
        </is>
      </c>
      <c r="AY332" t="inlineStr">
        <is>
          <t>air::urban air close to ground</t>
        </is>
      </c>
      <c r="AZ332" t="inlineStr">
        <is>
          <t>air::urban air close to ground</t>
        </is>
      </c>
      <c r="BA332" t="inlineStr">
        <is>
          <t>air::urban air close to ground</t>
        </is>
      </c>
      <c r="BB332" t="inlineStr">
        <is>
          <t>air::urban air close to ground</t>
        </is>
      </c>
      <c r="BC332" t="inlineStr">
        <is>
          <t>air::urban air close to ground</t>
        </is>
      </c>
      <c r="BD332" t="inlineStr">
        <is>
          <t>air::urban air close to ground</t>
        </is>
      </c>
      <c r="BE332" t="inlineStr">
        <is>
          <t>air::urban air close to ground</t>
        </is>
      </c>
      <c r="BF332" t="inlineStr">
        <is>
          <t>air::urban air close to ground</t>
        </is>
      </c>
      <c r="BG332" t="inlineStr">
        <is>
          <t>air::urban air close to ground</t>
        </is>
      </c>
      <c r="BH332" t="inlineStr">
        <is>
          <t>air::urban air close to ground</t>
        </is>
      </c>
      <c r="BI332" t="inlineStr">
        <is>
          <t>air::urban air close to ground</t>
        </is>
      </c>
    </row>
    <row r="333">
      <c r="A333" t="inlineStr">
        <is>
          <t>Motorbike, battery electric, 4-11kW</t>
        </is>
      </c>
      <c r="S333" t="inlineStr">
        <is>
          <t>air::urban air close to ground</t>
        </is>
      </c>
      <c r="T333" t="inlineStr">
        <is>
          <t>air::urban air close to ground</t>
        </is>
      </c>
      <c r="U333" t="inlineStr">
        <is>
          <t>air::urban air close to ground</t>
        </is>
      </c>
      <c r="V333" t="inlineStr">
        <is>
          <t>air::urban air close to ground</t>
        </is>
      </c>
      <c r="W333" t="inlineStr">
        <is>
          <t>air::urban air close to ground</t>
        </is>
      </c>
      <c r="X333" t="inlineStr">
        <is>
          <t>air::urban air close to ground</t>
        </is>
      </c>
      <c r="Y333" t="inlineStr">
        <is>
          <t>air::urban air close to ground</t>
        </is>
      </c>
      <c r="Z333" t="inlineStr">
        <is>
          <t>air::urban air close to ground</t>
        </is>
      </c>
      <c r="AA333" t="inlineStr">
        <is>
          <t>air::urban air close to ground</t>
        </is>
      </c>
      <c r="AB333" t="inlineStr">
        <is>
          <t>air::urban air close to ground</t>
        </is>
      </c>
      <c r="AC333" t="inlineStr">
        <is>
          <t>air::urban air close to ground</t>
        </is>
      </c>
      <c r="AD333" t="inlineStr">
        <is>
          <t>air::urban air close to ground</t>
        </is>
      </c>
      <c r="AE333" t="inlineStr">
        <is>
          <t>air::urban air close to ground</t>
        </is>
      </c>
      <c r="AF333" t="inlineStr">
        <is>
          <t>air::urban air close to ground</t>
        </is>
      </c>
      <c r="AG333" t="inlineStr">
        <is>
          <t>air::urban air close to ground</t>
        </is>
      </c>
      <c r="AH333" t="inlineStr">
        <is>
          <t>air::urban air close to ground</t>
        </is>
      </c>
      <c r="AI333" t="inlineStr">
        <is>
          <t>air::urban air close to ground</t>
        </is>
      </c>
      <c r="AJ333" t="inlineStr">
        <is>
          <t>air::urban air close to ground</t>
        </is>
      </c>
      <c r="AK333" t="inlineStr">
        <is>
          <t>air::urban air close to ground</t>
        </is>
      </c>
      <c r="AL333" t="inlineStr">
        <is>
          <t>air::urban air close to ground</t>
        </is>
      </c>
      <c r="AM333" t="inlineStr">
        <is>
          <t>air::urban air close to ground</t>
        </is>
      </c>
      <c r="AN333" t="inlineStr">
        <is>
          <t>air::urban air close to ground</t>
        </is>
      </c>
      <c r="AO333" t="inlineStr">
        <is>
          <t>air::urban air close to ground</t>
        </is>
      </c>
      <c r="AP333" t="inlineStr">
        <is>
          <t>air::urban air close to ground</t>
        </is>
      </c>
      <c r="AQ333" t="inlineStr">
        <is>
          <t>air::urban air close to ground</t>
        </is>
      </c>
      <c r="AR333" t="inlineStr">
        <is>
          <t>air::urban air close to ground</t>
        </is>
      </c>
      <c r="AS333" t="inlineStr">
        <is>
          <t>air::urban air close to ground</t>
        </is>
      </c>
      <c r="AT333" t="inlineStr">
        <is>
          <t>air::urban air close to ground</t>
        </is>
      </c>
      <c r="AU333" t="inlineStr">
        <is>
          <t>air::urban air close to ground</t>
        </is>
      </c>
      <c r="AV333" t="inlineStr">
        <is>
          <t>air::urban air close to ground</t>
        </is>
      </c>
      <c r="AW333" t="inlineStr">
        <is>
          <t>air::urban air close to ground</t>
        </is>
      </c>
      <c r="AX333" t="inlineStr">
        <is>
          <t>air::urban air close to ground</t>
        </is>
      </c>
      <c r="AY333" t="inlineStr">
        <is>
          <t>air::urban air close to ground</t>
        </is>
      </c>
      <c r="AZ333" t="inlineStr">
        <is>
          <t>air::urban air close to ground</t>
        </is>
      </c>
      <c r="BA333" t="inlineStr">
        <is>
          <t>air::urban air close to ground</t>
        </is>
      </c>
      <c r="BB333" t="inlineStr">
        <is>
          <t>air::urban air close to ground</t>
        </is>
      </c>
      <c r="BC333" t="inlineStr">
        <is>
          <t>air::urban air close to ground</t>
        </is>
      </c>
      <c r="BD333" t="inlineStr">
        <is>
          <t>air::urban air close to ground</t>
        </is>
      </c>
      <c r="BE333" t="inlineStr">
        <is>
          <t>air::urban air close to ground</t>
        </is>
      </c>
      <c r="BF333" t="inlineStr">
        <is>
          <t>air::urban air close to ground</t>
        </is>
      </c>
      <c r="BG333" t="inlineStr">
        <is>
          <t>air::urban air close to ground</t>
        </is>
      </c>
      <c r="BH333" t="inlineStr">
        <is>
          <t>air::urban air close to ground</t>
        </is>
      </c>
      <c r="BI333" t="inlineStr">
        <is>
          <t>air::urban air close to ground</t>
        </is>
      </c>
    </row>
    <row r="334">
      <c r="A334" t="inlineStr">
        <is>
          <t>Motorbike, battery electric, 11-35kW</t>
        </is>
      </c>
      <c r="S334" t="inlineStr">
        <is>
          <t>air::urban air close to ground</t>
        </is>
      </c>
      <c r="T334" t="inlineStr">
        <is>
          <t>air::urban air close to ground</t>
        </is>
      </c>
      <c r="U334" t="inlineStr">
        <is>
          <t>air::urban air close to ground</t>
        </is>
      </c>
      <c r="V334" t="inlineStr">
        <is>
          <t>air::urban air close to ground</t>
        </is>
      </c>
      <c r="W334" t="inlineStr">
        <is>
          <t>air::urban air close to ground</t>
        </is>
      </c>
      <c r="X334" t="inlineStr">
        <is>
          <t>air::urban air close to ground</t>
        </is>
      </c>
      <c r="Y334" t="inlineStr">
        <is>
          <t>air::urban air close to ground</t>
        </is>
      </c>
      <c r="Z334" t="inlineStr">
        <is>
          <t>air::urban air close to ground</t>
        </is>
      </c>
      <c r="AA334" t="inlineStr">
        <is>
          <t>air::urban air close to ground</t>
        </is>
      </c>
      <c r="AB334" t="inlineStr">
        <is>
          <t>air::urban air close to ground</t>
        </is>
      </c>
      <c r="AC334" t="inlineStr">
        <is>
          <t>air::urban air close to ground</t>
        </is>
      </c>
      <c r="AD334" t="inlineStr">
        <is>
          <t>air::urban air close to ground</t>
        </is>
      </c>
      <c r="AE334" t="inlineStr">
        <is>
          <t>air::urban air close to ground</t>
        </is>
      </c>
      <c r="AF334" t="inlineStr">
        <is>
          <t>air::urban air close to ground</t>
        </is>
      </c>
      <c r="AG334" t="inlineStr">
        <is>
          <t>air::urban air close to ground</t>
        </is>
      </c>
      <c r="AH334" t="inlineStr">
        <is>
          <t>air::urban air close to ground</t>
        </is>
      </c>
      <c r="AI334" t="inlineStr">
        <is>
          <t>air::urban air close to ground</t>
        </is>
      </c>
      <c r="AJ334" t="inlineStr">
        <is>
          <t>air::urban air close to ground</t>
        </is>
      </c>
      <c r="AK334" t="inlineStr">
        <is>
          <t>air::urban air close to ground</t>
        </is>
      </c>
      <c r="AL334" t="inlineStr">
        <is>
          <t>air::urban air close to ground</t>
        </is>
      </c>
      <c r="AM334" t="inlineStr">
        <is>
          <t>air::urban air close to ground</t>
        </is>
      </c>
      <c r="AN334" t="inlineStr">
        <is>
          <t>air::urban air close to ground</t>
        </is>
      </c>
      <c r="AO334" t="inlineStr">
        <is>
          <t>air::urban air close to ground</t>
        </is>
      </c>
      <c r="AP334" t="inlineStr">
        <is>
          <t>air::urban air close to ground</t>
        </is>
      </c>
      <c r="AQ334" t="inlineStr">
        <is>
          <t>air::urban air close to ground</t>
        </is>
      </c>
      <c r="AR334" t="inlineStr">
        <is>
          <t>air::urban air close to ground</t>
        </is>
      </c>
      <c r="AS334" t="inlineStr">
        <is>
          <t>air::urban air close to ground</t>
        </is>
      </c>
      <c r="AT334" t="inlineStr">
        <is>
          <t>air::urban air close to ground</t>
        </is>
      </c>
      <c r="AU334" t="inlineStr">
        <is>
          <t>air::urban air close to ground</t>
        </is>
      </c>
      <c r="AV334" t="inlineStr">
        <is>
          <t>air::urban air close to ground</t>
        </is>
      </c>
      <c r="AW334" t="inlineStr">
        <is>
          <t>air::urban air close to ground</t>
        </is>
      </c>
      <c r="AX334" t="inlineStr">
        <is>
          <t>air::urban air close to ground</t>
        </is>
      </c>
      <c r="AY334" t="inlineStr">
        <is>
          <t>air::urban air close to ground</t>
        </is>
      </c>
      <c r="AZ334" t="inlineStr">
        <is>
          <t>air::urban air close to ground</t>
        </is>
      </c>
      <c r="BA334" t="inlineStr">
        <is>
          <t>air::urban air close to ground</t>
        </is>
      </c>
      <c r="BB334" t="inlineStr">
        <is>
          <t>air::urban air close to ground</t>
        </is>
      </c>
      <c r="BC334" t="inlineStr">
        <is>
          <t>air::urban air close to ground</t>
        </is>
      </c>
      <c r="BD334" t="inlineStr">
        <is>
          <t>air::urban air close to ground</t>
        </is>
      </c>
      <c r="BE334" t="inlineStr">
        <is>
          <t>air::urban air close to ground</t>
        </is>
      </c>
      <c r="BF334" t="inlineStr">
        <is>
          <t>air::urban air close to ground</t>
        </is>
      </c>
      <c r="BG334" t="inlineStr">
        <is>
          <t>air::urban air close to ground</t>
        </is>
      </c>
      <c r="BH334" t="inlineStr">
        <is>
          <t>air::urban air close to ground</t>
        </is>
      </c>
      <c r="BI334" t="inlineStr">
        <is>
          <t>air::urban air close to ground</t>
        </is>
      </c>
    </row>
    <row r="335">
      <c r="A335" t="inlineStr">
        <is>
          <t>Motorbike, battery electric, &gt;35kW</t>
        </is>
      </c>
      <c r="S335" t="inlineStr">
        <is>
          <t>air::urban air close to ground</t>
        </is>
      </c>
      <c r="T335" t="inlineStr">
        <is>
          <t>air::urban air close to ground</t>
        </is>
      </c>
      <c r="U335" t="inlineStr">
        <is>
          <t>air::urban air close to ground</t>
        </is>
      </c>
      <c r="V335" t="inlineStr">
        <is>
          <t>air::urban air close to ground</t>
        </is>
      </c>
      <c r="W335" t="inlineStr">
        <is>
          <t>air::urban air close to ground</t>
        </is>
      </c>
      <c r="X335" t="inlineStr">
        <is>
          <t>air::urban air close to ground</t>
        </is>
      </c>
      <c r="Y335" t="inlineStr">
        <is>
          <t>air::urban air close to ground</t>
        </is>
      </c>
      <c r="Z335" t="inlineStr">
        <is>
          <t>air::urban air close to ground</t>
        </is>
      </c>
      <c r="AA335" t="inlineStr">
        <is>
          <t>air::urban air close to ground</t>
        </is>
      </c>
      <c r="AB335" t="inlineStr">
        <is>
          <t>air::urban air close to ground</t>
        </is>
      </c>
      <c r="AC335" t="inlineStr">
        <is>
          <t>air::urban air close to ground</t>
        </is>
      </c>
      <c r="AD335" t="inlineStr">
        <is>
          <t>air::urban air close to ground</t>
        </is>
      </c>
      <c r="AE335" t="inlineStr">
        <is>
          <t>air::urban air close to ground</t>
        </is>
      </c>
      <c r="AF335" t="inlineStr">
        <is>
          <t>air::urban air close to ground</t>
        </is>
      </c>
      <c r="AG335" t="inlineStr">
        <is>
          <t>air::urban air close to ground</t>
        </is>
      </c>
      <c r="AH335" t="inlineStr">
        <is>
          <t>air::urban air close to ground</t>
        </is>
      </c>
      <c r="AI335" t="inlineStr">
        <is>
          <t>air::urban air close to ground</t>
        </is>
      </c>
      <c r="AJ335" t="inlineStr">
        <is>
          <t>air::urban air close to ground</t>
        </is>
      </c>
      <c r="AK335" t="inlineStr">
        <is>
          <t>air::urban air close to ground</t>
        </is>
      </c>
      <c r="AL335" t="inlineStr">
        <is>
          <t>air::urban air close to ground</t>
        </is>
      </c>
      <c r="AM335" t="inlineStr">
        <is>
          <t>air::urban air close to ground</t>
        </is>
      </c>
      <c r="AN335" t="inlineStr">
        <is>
          <t>air::urban air close to ground</t>
        </is>
      </c>
      <c r="AO335" t="inlineStr">
        <is>
          <t>air::urban air close to ground</t>
        </is>
      </c>
      <c r="AP335" t="inlineStr">
        <is>
          <t>air::urban air close to ground</t>
        </is>
      </c>
      <c r="AQ335" t="inlineStr">
        <is>
          <t>air::urban air close to ground</t>
        </is>
      </c>
      <c r="AR335" t="inlineStr">
        <is>
          <t>air::urban air close to ground</t>
        </is>
      </c>
      <c r="AS335" t="inlineStr">
        <is>
          <t>air::urban air close to ground</t>
        </is>
      </c>
      <c r="AT335" t="inlineStr">
        <is>
          <t>air::urban air close to ground</t>
        </is>
      </c>
      <c r="AU335" t="inlineStr">
        <is>
          <t>air::urban air close to ground</t>
        </is>
      </c>
      <c r="AV335" t="inlineStr">
        <is>
          <t>air::urban air close to ground</t>
        </is>
      </c>
      <c r="AW335" t="inlineStr">
        <is>
          <t>air::urban air close to ground</t>
        </is>
      </c>
      <c r="AX335" t="inlineStr">
        <is>
          <t>air::urban air close to ground</t>
        </is>
      </c>
      <c r="AY335" t="inlineStr">
        <is>
          <t>air::urban air close to ground</t>
        </is>
      </c>
      <c r="AZ335" t="inlineStr">
        <is>
          <t>air::urban air close to ground</t>
        </is>
      </c>
      <c r="BA335" t="inlineStr">
        <is>
          <t>air::urban air close to ground</t>
        </is>
      </c>
      <c r="BB335" t="inlineStr">
        <is>
          <t>air::urban air close to ground</t>
        </is>
      </c>
      <c r="BC335" t="inlineStr">
        <is>
          <t>air::urban air close to ground</t>
        </is>
      </c>
      <c r="BD335" t="inlineStr">
        <is>
          <t>air::urban air close to ground</t>
        </is>
      </c>
      <c r="BE335" t="inlineStr">
        <is>
          <t>air::urban air close to ground</t>
        </is>
      </c>
      <c r="BF335" t="inlineStr">
        <is>
          <t>air::urban air close to ground</t>
        </is>
      </c>
      <c r="BG335" t="inlineStr">
        <is>
          <t>air::urban air close to ground</t>
        </is>
      </c>
      <c r="BH335" t="inlineStr">
        <is>
          <t>air::urban air close to ground</t>
        </is>
      </c>
      <c r="BI335" t="inlineStr">
        <is>
          <t>air::urban air close to ground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0"/>
  <sheetViews>
    <sheetView workbookViewId="0">
      <selection activeCell="E10" sqref="E10"/>
    </sheetView>
  </sheetViews>
  <sheetFormatPr baseColWidth="10" defaultColWidth="8.83203125" defaultRowHeight="15"/>
  <cols>
    <col width="23.33203125" bestFit="1" customWidth="1" min="2" max="2"/>
    <col width="24.5" bestFit="1" customWidth="1" min="3" max="3"/>
    <col width="27.33203125" bestFit="1" customWidth="1" min="4" max="4"/>
    <col width="24.5" bestFit="1" customWidth="1" min="5" max="5"/>
    <col width="27.33203125" bestFit="1" customWidth="1" min="6" max="6"/>
  </cols>
  <sheetData>
    <row r="1">
      <c r="A1" t="inlineStr">
        <is>
          <t>skip</t>
        </is>
      </c>
    </row>
    <row r="2">
      <c r="C2" s="45" t="inlineStr">
        <is>
          <t>ei 3.7</t>
        </is>
      </c>
      <c r="E2" s="45" t="inlineStr">
        <is>
          <t>uvek</t>
        </is>
      </c>
    </row>
    <row r="3">
      <c r="C3" t="inlineStr">
        <is>
          <t>Shipping to market included?</t>
        </is>
      </c>
      <c r="D3" t="inlineStr">
        <is>
          <t>End Of Life treatment included?</t>
        </is>
      </c>
      <c r="E3" t="inlineStr">
        <is>
          <t>Shipping to market included?</t>
        </is>
      </c>
      <c r="F3" t="inlineStr">
        <is>
          <t>End Of Life treatment included?</t>
        </is>
      </c>
    </row>
    <row r="4">
      <c r="B4" t="inlineStr">
        <is>
          <t>bicycle production</t>
        </is>
      </c>
      <c r="C4" t="b">
        <v>0</v>
      </c>
      <c r="D4" t="b">
        <v>1</v>
      </c>
      <c r="E4" t="b">
        <v>1</v>
      </c>
      <c r="F4" t="b">
        <v>0</v>
      </c>
    </row>
    <row r="5">
      <c r="B5" t="inlineStr">
        <is>
          <t>electric bicycle production</t>
        </is>
      </c>
      <c r="C5" t="b">
        <v>0</v>
      </c>
      <c r="D5" t="b">
        <v>0</v>
      </c>
      <c r="E5" t="b">
        <v>1</v>
      </c>
      <c r="F5" t="b">
        <v>0</v>
      </c>
    </row>
    <row r="6">
      <c r="B6" t="inlineStr">
        <is>
          <t>motor scooter production</t>
        </is>
      </c>
      <c r="C6" t="b">
        <v>0</v>
      </c>
      <c r="D6" t="b">
        <v>1</v>
      </c>
      <c r="E6" t="b">
        <v>1</v>
      </c>
      <c r="F6" t="b">
        <v>0</v>
      </c>
    </row>
    <row r="7">
      <c r="B7" t="inlineStr">
        <is>
          <t>electric scooter production</t>
        </is>
      </c>
      <c r="C7" t="b">
        <v>0</v>
      </c>
      <c r="D7" t="b">
        <v>0</v>
      </c>
      <c r="E7" t="b">
        <v>0</v>
      </c>
      <c r="F7" t="b">
        <v>0</v>
      </c>
    </row>
    <row r="8">
      <c r="B8" t="inlineStr">
        <is>
          <t>motorbike production</t>
        </is>
      </c>
      <c r="C8" t="b">
        <v>0</v>
      </c>
      <c r="D8" t="b">
        <v>1</v>
      </c>
      <c r="E8" t="b">
        <v>1</v>
      </c>
      <c r="F8" t="b">
        <v>0</v>
      </c>
    </row>
    <row r="9">
      <c r="B9" t="inlineStr">
        <is>
          <t>electric motorbike production</t>
        </is>
      </c>
      <c r="C9" t="b">
        <v>0</v>
      </c>
      <c r="D9" t="b">
        <v>0</v>
      </c>
      <c r="E9" t="b">
        <v>0</v>
      </c>
      <c r="F9" t="b">
        <v>0</v>
      </c>
    </row>
    <row r="10">
      <c r="B10" t="inlineStr">
        <is>
          <t>tram production</t>
        </is>
      </c>
      <c r="C10" t="b">
        <v>0</v>
      </c>
      <c r="D10" t="b">
        <v>1</v>
      </c>
      <c r="E10" t="b">
        <v>1</v>
      </c>
      <c r="F10" t="b">
        <v>0</v>
      </c>
    </row>
  </sheetData>
  <mergeCells count="2">
    <mergeCell ref="E2:F2"/>
    <mergeCell ref="C2:D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D38"/>
  <sheetViews>
    <sheetView topLeftCell="A13" workbookViewId="0">
      <selection activeCell="E37" sqref="E37"/>
    </sheetView>
  </sheetViews>
  <sheetFormatPr baseColWidth="10" defaultColWidth="8.83203125" defaultRowHeight="15"/>
  <cols>
    <col width="51.6640625" bestFit="1" customWidth="1" min="1" max="1"/>
    <col width="15.33203125" customWidth="1" min="2" max="2"/>
    <col width="17.6640625" customWidth="1" min="3" max="3"/>
    <col width="21.33203125" customWidth="1" min="4" max="4"/>
    <col width="9.1640625" customWidth="1" min="11" max="56"/>
  </cols>
  <sheetData>
    <row r="1">
      <c r="A1" t="inlineStr">
        <is>
          <t>skip</t>
        </is>
      </c>
      <c r="I1" s="45" t="n"/>
      <c r="AG1" s="45" t="n"/>
    </row>
    <row r="2">
      <c r="B2" t="inlineStr">
        <is>
          <t>Tire wear emissions (kg emission/kg vehicle/km)</t>
        </is>
      </c>
      <c r="C2" t="inlineStr">
        <is>
          <t>Brake wear emissions (kg emission/kg vehicle/km)</t>
        </is>
      </c>
      <c r="D2" t="inlineStr">
        <is>
          <t>Road wear emissions (kg emission/kg vehicle/km)</t>
        </is>
      </c>
      <c r="I2" s="45" t="n"/>
      <c r="Q2" s="45" t="n"/>
      <c r="Y2" s="45" t="n"/>
      <c r="AG2" s="45" t="n"/>
      <c r="AO2" s="45" t="n"/>
      <c r="AW2" s="45" t="n"/>
    </row>
    <row r="3">
      <c r="B3" t="inlineStr">
        <is>
          <t>All traffic situations</t>
        </is>
      </c>
      <c r="C3" t="inlineStr">
        <is>
          <t>All traffic situations</t>
        </is>
      </c>
      <c r="D3" t="inlineStr">
        <is>
          <t>All traffic situations</t>
        </is>
      </c>
      <c r="I3" s="45" t="n"/>
      <c r="K3" s="45" t="n"/>
      <c r="M3" s="45" t="n"/>
      <c r="O3" s="45" t="n"/>
      <c r="Q3" s="45" t="n"/>
      <c r="S3" s="45" t="n"/>
      <c r="U3" s="45" t="n"/>
      <c r="W3" s="45" t="n"/>
      <c r="Y3" s="45" t="n"/>
      <c r="AA3" s="45" t="n"/>
      <c r="AC3" s="45" t="n"/>
      <c r="AE3" s="45" t="n"/>
      <c r="AG3" s="45" t="n"/>
      <c r="AI3" s="45" t="n"/>
      <c r="AK3" s="45" t="n"/>
      <c r="AM3" s="45" t="n"/>
      <c r="AO3" s="45" t="n"/>
      <c r="AQ3" s="45" t="n"/>
      <c r="AS3" s="45" t="n"/>
      <c r="AU3" s="45" t="n"/>
      <c r="AW3" s="45" t="n"/>
      <c r="AY3" s="45" t="n"/>
      <c r="BA3" s="45" t="n"/>
      <c r="BC3" s="45" t="n"/>
    </row>
    <row r="4">
      <c r="A4" t="inlineStr">
        <is>
          <t>Kick Scooter, battery electric, &lt;1kW</t>
        </is>
      </c>
      <c r="B4" s="7" t="n">
        <v>2.919e-06</v>
      </c>
      <c r="C4" s="7" t="n">
        <v>1.837e-06</v>
      </c>
      <c r="D4" s="7" t="n">
        <v>3e-06</v>
      </c>
    </row>
    <row r="5">
      <c r="A5" t="inlineStr">
        <is>
          <t>Bicycle, conventional, urban</t>
        </is>
      </c>
      <c r="B5" s="7" t="n">
        <v>2.919e-06</v>
      </c>
      <c r="C5" s="7" t="n">
        <v>1.837e-06</v>
      </c>
      <c r="D5" s="7" t="n">
        <v>3e-06</v>
      </c>
    </row>
    <row r="6">
      <c r="A6" t="inlineStr">
        <is>
          <t>Bicycle, electric (&lt;25 km/h)</t>
        </is>
      </c>
      <c r="B6" s="7" t="n">
        <v>2.919e-06</v>
      </c>
      <c r="C6" s="7" t="n">
        <v>1.837e-06</v>
      </c>
      <c r="D6" s="7" t="n">
        <v>3e-06</v>
      </c>
    </row>
    <row r="7">
      <c r="A7" t="inlineStr">
        <is>
          <t>Bicycle, electric (&lt;45 km/h)</t>
        </is>
      </c>
      <c r="B7" s="7" t="n">
        <v>2.919e-06</v>
      </c>
      <c r="C7" s="7" t="n">
        <v>1.837e-06</v>
      </c>
      <c r="D7" s="7" t="n">
        <v>3e-06</v>
      </c>
      <c r="I7" t="inlineStr">
        <is>
          <t>PM 2.5</t>
        </is>
      </c>
      <c r="J7" t="inlineStr">
        <is>
          <t>urban</t>
        </is>
      </c>
      <c r="K7" t="inlineStr">
        <is>
          <t>Tyre</t>
        </is>
      </c>
      <c r="L7" t="inlineStr">
        <is>
          <t>b</t>
        </is>
      </c>
      <c r="M7" t="n">
        <v>8.199999999999999</v>
      </c>
      <c r="P7" t="inlineStr">
        <is>
          <t>urban</t>
        </is>
      </c>
      <c r="Q7" t="inlineStr">
        <is>
          <t>rural</t>
        </is>
      </c>
      <c r="R7" t="inlineStr">
        <is>
          <t>motorway</t>
        </is>
      </c>
    </row>
    <row r="8">
      <c r="A8" t="inlineStr">
        <is>
          <t>Bicycle, battery electric, cargo bike</t>
        </is>
      </c>
      <c r="B8" s="7" t="n">
        <v>5.838e-06</v>
      </c>
      <c r="C8" s="7" t="n">
        <v>3.674e-06</v>
      </c>
      <c r="D8" s="7" t="n">
        <v>6e-06</v>
      </c>
      <c r="I8" t="inlineStr">
        <is>
          <t>PM 2.5</t>
        </is>
      </c>
      <c r="J8" t="inlineStr">
        <is>
          <t>urban</t>
        </is>
      </c>
      <c r="K8" t="inlineStr">
        <is>
          <t>Tyre</t>
        </is>
      </c>
      <c r="L8" t="inlineStr">
        <is>
          <t>c</t>
        </is>
      </c>
      <c r="M8" t="n">
        <v>2.3</v>
      </c>
      <c r="O8" t="inlineStr">
        <is>
          <t>Kick Scooter, battery electric, &lt;1kW</t>
        </is>
      </c>
      <c r="P8" t="n">
        <v>1</v>
      </c>
    </row>
    <row r="9">
      <c r="A9" t="inlineStr">
        <is>
          <t>Moped, gasoline, &lt;4kW, EURO-3</t>
        </is>
      </c>
      <c r="B9" s="7" t="n">
        <v>5.838e-06</v>
      </c>
      <c r="C9" s="7" t="n">
        <v>3.674e-06</v>
      </c>
      <c r="D9" s="7" t="n">
        <v>6e-06</v>
      </c>
      <c r="I9" t="inlineStr">
        <is>
          <t>PM 2.5</t>
        </is>
      </c>
      <c r="J9" t="inlineStr">
        <is>
          <t>urban</t>
        </is>
      </c>
      <c r="K9" t="inlineStr">
        <is>
          <t>Brake</t>
        </is>
      </c>
      <c r="L9" t="inlineStr">
        <is>
          <t>b</t>
        </is>
      </c>
      <c r="M9" t="n">
        <v>11</v>
      </c>
      <c r="O9" t="inlineStr">
        <is>
          <t>Bicycle, conventional, urban</t>
        </is>
      </c>
      <c r="P9" t="n">
        <v>1</v>
      </c>
    </row>
    <row r="10">
      <c r="A10" t="inlineStr">
        <is>
          <t>Moped, gasoline, &lt;4kW, EURO-4</t>
        </is>
      </c>
      <c r="B10" s="7" t="n">
        <v>5.838e-06</v>
      </c>
      <c r="C10" s="7" t="n">
        <v>3.674e-06</v>
      </c>
      <c r="D10" s="7" t="n">
        <v>6e-06</v>
      </c>
      <c r="I10" t="inlineStr">
        <is>
          <t>PM 2.5</t>
        </is>
      </c>
      <c r="J10" t="inlineStr">
        <is>
          <t>urban</t>
        </is>
      </c>
      <c r="K10" t="inlineStr">
        <is>
          <t>Brake</t>
        </is>
      </c>
      <c r="L10" t="inlineStr">
        <is>
          <t>c</t>
        </is>
      </c>
      <c r="M10" t="n">
        <v>1.9</v>
      </c>
      <c r="O10" t="inlineStr">
        <is>
          <t>Bicycle, electric (&lt;25 km/h)</t>
        </is>
      </c>
      <c r="P10" t="n">
        <v>1</v>
      </c>
    </row>
    <row r="11">
      <c r="A11" t="inlineStr">
        <is>
          <t>Moped, gasoline, &lt;4kW, EURO-5</t>
        </is>
      </c>
      <c r="B11" s="7" t="n">
        <v>5.838e-06</v>
      </c>
      <c r="C11" s="7" t="n">
        <v>3.674e-06</v>
      </c>
      <c r="D11" s="7" t="n">
        <v>6e-06</v>
      </c>
      <c r="I11" t="inlineStr">
        <is>
          <t>PM 2.5</t>
        </is>
      </c>
      <c r="J11" t="inlineStr">
        <is>
          <t>rural</t>
        </is>
      </c>
      <c r="K11" t="inlineStr">
        <is>
          <t>Tyre</t>
        </is>
      </c>
      <c r="L11" t="inlineStr">
        <is>
          <t>b</t>
        </is>
      </c>
      <c r="M11" t="n">
        <v>6.4</v>
      </c>
      <c r="O11" t="inlineStr">
        <is>
          <t>Bicycle, electric (&lt;45 km/h)</t>
        </is>
      </c>
      <c r="P11" t="n">
        <v>1</v>
      </c>
    </row>
    <row r="12">
      <c r="A12" t="inlineStr">
        <is>
          <t>Scooter, gasoline, &lt;4kW, EURO-3</t>
        </is>
      </c>
      <c r="B12" s="7" t="n">
        <v>6.393999999999999e-06</v>
      </c>
      <c r="C12" s="7" t="n">
        <v>6.179e-06</v>
      </c>
      <c r="D12" s="7" t="n">
        <v>6e-06</v>
      </c>
      <c r="I12" t="inlineStr">
        <is>
          <t>PM 2.5</t>
        </is>
      </c>
      <c r="J12" t="inlineStr">
        <is>
          <t>rural</t>
        </is>
      </c>
      <c r="K12" t="inlineStr">
        <is>
          <t>Tyre</t>
        </is>
      </c>
      <c r="L12" t="inlineStr">
        <is>
          <t>c</t>
        </is>
      </c>
      <c r="M12" t="n">
        <v>2.3</v>
      </c>
      <c r="O12" t="inlineStr">
        <is>
          <t>Bicycle, battery electric, cargo bike</t>
        </is>
      </c>
      <c r="P12" t="n">
        <v>1</v>
      </c>
    </row>
    <row r="13">
      <c r="A13" t="inlineStr">
        <is>
          <t>Scooter, gasoline, &lt;4kW, EURO-4</t>
        </is>
      </c>
      <c r="B13" s="7" t="n">
        <v>6.393999999999999e-06</v>
      </c>
      <c r="C13" s="7" t="n">
        <v>6.179e-06</v>
      </c>
      <c r="D13" s="7" t="n">
        <v>6e-06</v>
      </c>
      <c r="I13" t="inlineStr">
        <is>
          <t>PM 2.5</t>
        </is>
      </c>
      <c r="J13" t="inlineStr">
        <is>
          <t>rural</t>
        </is>
      </c>
      <c r="K13" t="inlineStr">
        <is>
          <t>Brake</t>
        </is>
      </c>
      <c r="L13" t="inlineStr">
        <is>
          <t>b</t>
        </is>
      </c>
      <c r="M13" t="n">
        <v>4.5</v>
      </c>
      <c r="O13" t="inlineStr">
        <is>
          <t>Moped, gasoline, &lt;4kW, EURO-3</t>
        </is>
      </c>
      <c r="P13" t="n">
        <v>0.5</v>
      </c>
      <c r="Q13" t="n">
        <v>0.5</v>
      </c>
    </row>
    <row r="14">
      <c r="A14" t="inlineStr">
        <is>
          <t>Scooter, gasoline, &lt;4kW, EURO-5</t>
        </is>
      </c>
      <c r="B14" s="7" t="n">
        <v>6.393999999999999e-06</v>
      </c>
      <c r="C14" s="7" t="n">
        <v>6.179e-06</v>
      </c>
      <c r="D14" s="7" t="n">
        <v>6e-06</v>
      </c>
      <c r="I14" t="inlineStr">
        <is>
          <t>PM 2.5</t>
        </is>
      </c>
      <c r="J14" t="inlineStr">
        <is>
          <t>rural</t>
        </is>
      </c>
      <c r="K14" t="inlineStr">
        <is>
          <t>Brake</t>
        </is>
      </c>
      <c r="L14" t="inlineStr">
        <is>
          <t>c</t>
        </is>
      </c>
      <c r="M14" t="n">
        <v>1.5</v>
      </c>
      <c r="O14" t="inlineStr">
        <is>
          <t>Moped, gasoline, &lt;4kW, EURO-4</t>
        </is>
      </c>
      <c r="P14" t="n">
        <v>0.5</v>
      </c>
      <c r="Q14" t="n">
        <v>0.5</v>
      </c>
    </row>
    <row r="15">
      <c r="A15" t="inlineStr">
        <is>
          <t>Scooter, gasoline, 4-11kW, EURO-3</t>
        </is>
      </c>
      <c r="B15" s="7" t="n">
        <v>6.393999999999999e-06</v>
      </c>
      <c r="C15" s="7" t="n">
        <v>6.179e-06</v>
      </c>
      <c r="D15" s="7" t="n">
        <v>6e-06</v>
      </c>
      <c r="I15" t="inlineStr">
        <is>
          <t>PM 2.5</t>
        </is>
      </c>
      <c r="J15" t="inlineStr">
        <is>
          <t>motorway</t>
        </is>
      </c>
      <c r="K15" t="inlineStr">
        <is>
          <t>Tyre</t>
        </is>
      </c>
      <c r="L15" t="inlineStr">
        <is>
          <t>b</t>
        </is>
      </c>
      <c r="M15" t="n">
        <v>5.5</v>
      </c>
      <c r="O15" t="inlineStr">
        <is>
          <t>Moped, gasoline, &lt;4kW, EURO-5</t>
        </is>
      </c>
      <c r="P15" t="n">
        <v>0.5</v>
      </c>
      <c r="Q15" t="n">
        <v>0.5</v>
      </c>
    </row>
    <row r="16">
      <c r="A16" t="inlineStr">
        <is>
          <t>Scooter, gasoline, 4-11kW, EURO-4</t>
        </is>
      </c>
      <c r="B16" s="7" t="n">
        <v>6.393999999999999e-06</v>
      </c>
      <c r="C16" s="7" t="n">
        <v>6.179e-06</v>
      </c>
      <c r="D16" s="7" t="n">
        <v>6e-06</v>
      </c>
      <c r="I16" t="inlineStr">
        <is>
          <t>PM 2.5</t>
        </is>
      </c>
      <c r="J16" t="inlineStr">
        <is>
          <t>motorway</t>
        </is>
      </c>
      <c r="K16" t="inlineStr">
        <is>
          <t>Tyre</t>
        </is>
      </c>
      <c r="L16" t="inlineStr">
        <is>
          <t>c</t>
        </is>
      </c>
      <c r="M16" t="n">
        <v>2.3</v>
      </c>
      <c r="O16" t="inlineStr">
        <is>
          <t>Scooter, gasoline, &lt;4kW, EURO-3</t>
        </is>
      </c>
      <c r="P16" t="n">
        <v>0.5</v>
      </c>
      <c r="Q16" t="n">
        <v>0.5</v>
      </c>
    </row>
    <row r="17">
      <c r="A17" t="inlineStr">
        <is>
          <t>Scooter, gasoline, 4-11kW, EURO-5</t>
        </is>
      </c>
      <c r="B17" s="7" t="n">
        <v>6.393999999999999e-06</v>
      </c>
      <c r="C17" s="7" t="n">
        <v>6.179e-06</v>
      </c>
      <c r="D17" s="7" t="n">
        <v>6e-06</v>
      </c>
      <c r="I17" t="inlineStr">
        <is>
          <t>PM 2.5</t>
        </is>
      </c>
      <c r="J17" t="inlineStr">
        <is>
          <t>motorway</t>
        </is>
      </c>
      <c r="K17" t="inlineStr">
        <is>
          <t>Brake</t>
        </is>
      </c>
      <c r="L17" t="inlineStr">
        <is>
          <t>b</t>
        </is>
      </c>
      <c r="M17" t="n">
        <v>1</v>
      </c>
      <c r="O17" t="inlineStr">
        <is>
          <t>Scooter, gasoline, &lt;4kW, EURO-4</t>
        </is>
      </c>
      <c r="P17" t="n">
        <v>0.5</v>
      </c>
      <c r="Q17" t="n">
        <v>0.5</v>
      </c>
    </row>
    <row r="18">
      <c r="A18" t="inlineStr">
        <is>
          <t>Scooter, battery electric, &lt;4kW</t>
        </is>
      </c>
      <c r="B18" s="7" t="n">
        <v>6.393999999999999e-06</v>
      </c>
      <c r="C18" s="7" t="n">
        <v>3.0895e-06</v>
      </c>
      <c r="D18" s="7" t="n">
        <v>6e-06</v>
      </c>
      <c r="I18" t="inlineStr">
        <is>
          <t>PM 2.5</t>
        </is>
      </c>
      <c r="J18" t="inlineStr">
        <is>
          <t>motorway</t>
        </is>
      </c>
      <c r="K18" t="inlineStr">
        <is>
          <t>Brake</t>
        </is>
      </c>
      <c r="L18" t="inlineStr">
        <is>
          <t>c</t>
        </is>
      </c>
      <c r="M18" t="n">
        <v>1.3</v>
      </c>
      <c r="O18" t="inlineStr">
        <is>
          <t>Scooter, gasoline, &lt;4kW, EURO-5</t>
        </is>
      </c>
      <c r="P18" t="n">
        <v>0.5</v>
      </c>
      <c r="Q18" t="n">
        <v>0.5</v>
      </c>
    </row>
    <row r="19">
      <c r="A19" t="inlineStr">
        <is>
          <t>Scooter, battery electric, 4-11kW</t>
        </is>
      </c>
      <c r="B19" s="7" t="n">
        <v>6.393999999999999e-06</v>
      </c>
      <c r="C19" s="7" t="n">
        <v>3.0895e-06</v>
      </c>
      <c r="D19" s="7" t="n">
        <v>6e-06</v>
      </c>
      <c r="I19" t="inlineStr">
        <is>
          <t>PM 10</t>
        </is>
      </c>
      <c r="J19" t="inlineStr">
        <is>
          <t>urban</t>
        </is>
      </c>
      <c r="K19" t="inlineStr">
        <is>
          <t>Tyre</t>
        </is>
      </c>
      <c r="L19" t="inlineStr">
        <is>
          <t>b</t>
        </is>
      </c>
      <c r="M19" t="n">
        <v>5.8</v>
      </c>
      <c r="O19" t="inlineStr">
        <is>
          <t>Scooter, gasoline, 4-11kW, EURO-3</t>
        </is>
      </c>
      <c r="P19" t="n">
        <v>0.5</v>
      </c>
      <c r="Q19" t="n">
        <v>0.5</v>
      </c>
    </row>
    <row r="20">
      <c r="A20" t="inlineStr">
        <is>
          <t>Motorbike, gasoline, 4-11kW, EURO-3</t>
        </is>
      </c>
      <c r="B20" s="7" t="n">
        <v>7.366999999999999e-06</v>
      </c>
      <c r="C20" s="7" t="n">
        <v>8.35e-06</v>
      </c>
      <c r="D20" s="7" t="n">
        <v>6e-06</v>
      </c>
      <c r="I20" t="inlineStr">
        <is>
          <t>PM 10</t>
        </is>
      </c>
      <c r="J20" t="inlineStr">
        <is>
          <t>urban</t>
        </is>
      </c>
      <c r="K20" t="inlineStr">
        <is>
          <t>Tyre</t>
        </is>
      </c>
      <c r="L20" t="inlineStr">
        <is>
          <t>c</t>
        </is>
      </c>
      <c r="M20" t="n">
        <v>2.3</v>
      </c>
      <c r="O20" t="inlineStr">
        <is>
          <t>Scooter, gasoline, 4-11kW, EURO-4</t>
        </is>
      </c>
      <c r="P20" t="n">
        <v>0.5</v>
      </c>
      <c r="Q20" t="n">
        <v>0.5</v>
      </c>
    </row>
    <row r="21">
      <c r="A21" t="inlineStr">
        <is>
          <t>Motorbike, gasoline, 4-11kW, EURO-4</t>
        </is>
      </c>
      <c r="B21" s="7" t="n">
        <v>7.366999999999999e-06</v>
      </c>
      <c r="C21" s="7" t="n">
        <v>8.35e-06</v>
      </c>
      <c r="D21" s="7" t="n">
        <v>6e-06</v>
      </c>
      <c r="I21" t="inlineStr">
        <is>
          <t>PM 10</t>
        </is>
      </c>
      <c r="J21" t="inlineStr">
        <is>
          <t>urban</t>
        </is>
      </c>
      <c r="K21" t="inlineStr">
        <is>
          <t>Brake</t>
        </is>
      </c>
      <c r="L21" t="inlineStr">
        <is>
          <t>b</t>
        </is>
      </c>
      <c r="M21" t="n">
        <v>4.2</v>
      </c>
      <c r="O21" t="inlineStr">
        <is>
          <t>Scooter, gasoline, 4-11kW, EURO-5</t>
        </is>
      </c>
      <c r="P21" t="n">
        <v>0.5</v>
      </c>
      <c r="Q21" t="n">
        <v>0.5</v>
      </c>
    </row>
    <row r="22">
      <c r="A22" t="inlineStr">
        <is>
          <t>Motorbike, gasoline, 4-11kW, EURO-5</t>
        </is>
      </c>
      <c r="B22" s="7" t="n">
        <v>7.366999999999999e-06</v>
      </c>
      <c r="C22" s="7" t="n">
        <v>8.35e-06</v>
      </c>
      <c r="D22" s="7" t="n">
        <v>6e-06</v>
      </c>
      <c r="I22" t="inlineStr">
        <is>
          <t>PM 10</t>
        </is>
      </c>
      <c r="J22" t="inlineStr">
        <is>
          <t>urban</t>
        </is>
      </c>
      <c r="K22" t="inlineStr">
        <is>
          <t>Brake</t>
        </is>
      </c>
      <c r="L22" t="inlineStr">
        <is>
          <t>c</t>
        </is>
      </c>
      <c r="M22" t="n">
        <v>1.9</v>
      </c>
      <c r="O22" t="inlineStr">
        <is>
          <t>Scooter, battery electric, &lt;4kW</t>
        </is>
      </c>
      <c r="P22" t="n">
        <v>0.5</v>
      </c>
      <c r="Q22" t="n">
        <v>0.5</v>
      </c>
    </row>
    <row r="23">
      <c r="A23" t="inlineStr">
        <is>
          <t>Motorbike, gasoline, 11-35kW, EURO-3</t>
        </is>
      </c>
      <c r="B23" s="7" t="n">
        <v>7.366999999999999e-06</v>
      </c>
      <c r="C23" s="7" t="n">
        <v>8.35e-06</v>
      </c>
      <c r="D23" s="7" t="n">
        <v>6e-06</v>
      </c>
      <c r="I23" t="inlineStr">
        <is>
          <t>PM 10</t>
        </is>
      </c>
      <c r="J23" t="inlineStr">
        <is>
          <t>rural</t>
        </is>
      </c>
      <c r="K23" t="inlineStr">
        <is>
          <t>Tyre</t>
        </is>
      </c>
      <c r="L23" t="inlineStr">
        <is>
          <t>b</t>
        </is>
      </c>
      <c r="M23" t="n">
        <v>4.5</v>
      </c>
      <c r="O23" t="inlineStr">
        <is>
          <t>Scooter, battery electric, 4-11kW</t>
        </is>
      </c>
      <c r="P23" t="n">
        <v>0.5</v>
      </c>
      <c r="Q23" t="n">
        <v>0.5</v>
      </c>
    </row>
    <row r="24">
      <c r="A24" t="inlineStr">
        <is>
          <t>Motorbike, gasoline, 11-35kW, EURO-4</t>
        </is>
      </c>
      <c r="B24" s="7" t="n">
        <v>7.366999999999999e-06</v>
      </c>
      <c r="C24" s="7" t="n">
        <v>8.35e-06</v>
      </c>
      <c r="D24" s="7" t="n">
        <v>6e-06</v>
      </c>
      <c r="I24" t="inlineStr">
        <is>
          <t>PM 10</t>
        </is>
      </c>
      <c r="J24" t="inlineStr">
        <is>
          <t>rural</t>
        </is>
      </c>
      <c r="K24" t="inlineStr">
        <is>
          <t>Tyre</t>
        </is>
      </c>
      <c r="L24" t="inlineStr">
        <is>
          <t>c</t>
        </is>
      </c>
      <c r="M24" t="n">
        <v>2.3</v>
      </c>
      <c r="O24" t="inlineStr">
        <is>
          <t>Motorbike, gasoline, 4-11kW, EURO-3</t>
        </is>
      </c>
      <c r="P24" t="n">
        <v>0.5</v>
      </c>
      <c r="Q24" t="n">
        <v>0.5</v>
      </c>
    </row>
    <row r="25">
      <c r="A25" t="inlineStr">
        <is>
          <t>Motorbike, gasoline, 11-35kW, EURO-5</t>
        </is>
      </c>
      <c r="B25" s="7" t="n">
        <v>7.366999999999999e-06</v>
      </c>
      <c r="C25" s="7" t="n">
        <v>8.35e-06</v>
      </c>
      <c r="D25" s="7" t="n">
        <v>6e-06</v>
      </c>
      <c r="I25" t="inlineStr">
        <is>
          <t>PM 10</t>
        </is>
      </c>
      <c r="J25" t="inlineStr">
        <is>
          <t>rural</t>
        </is>
      </c>
      <c r="K25" t="inlineStr">
        <is>
          <t>Brake</t>
        </is>
      </c>
      <c r="L25" t="inlineStr">
        <is>
          <t>b</t>
        </is>
      </c>
      <c r="M25" t="n">
        <v>1.8</v>
      </c>
      <c r="O25" t="inlineStr">
        <is>
          <t>Motorbike, gasoline, 4-11kW, EURO-4</t>
        </is>
      </c>
      <c r="P25" t="n">
        <v>0.5</v>
      </c>
      <c r="Q25" t="n">
        <v>0.5</v>
      </c>
    </row>
    <row r="26">
      <c r="A26" t="inlineStr">
        <is>
          <t>Motorbike, gasoline, &gt;35kW, EURO-3</t>
        </is>
      </c>
      <c r="B26" s="7" t="n">
        <v>7.366999999999999e-06</v>
      </c>
      <c r="C26" s="7" t="n">
        <v>8.35e-06</v>
      </c>
      <c r="D26" s="7" t="n">
        <v>6e-06</v>
      </c>
      <c r="I26" t="inlineStr">
        <is>
          <t>PM 10</t>
        </is>
      </c>
      <c r="J26" t="inlineStr">
        <is>
          <t>rural</t>
        </is>
      </c>
      <c r="K26" t="inlineStr">
        <is>
          <t>Brake</t>
        </is>
      </c>
      <c r="L26" t="inlineStr">
        <is>
          <t>c</t>
        </is>
      </c>
      <c r="M26" t="n">
        <v>1.5</v>
      </c>
      <c r="O26" t="inlineStr">
        <is>
          <t>Motorbike, gasoline, 4-11kW, EURO-5</t>
        </is>
      </c>
      <c r="P26" t="n">
        <v>0.5</v>
      </c>
      <c r="Q26" t="n">
        <v>0.5</v>
      </c>
    </row>
    <row r="27">
      <c r="A27" t="inlineStr">
        <is>
          <t>Motorbike, gasoline, &gt;35kW, EURO-4</t>
        </is>
      </c>
      <c r="B27" s="7" t="n">
        <v>7.366999999999999e-06</v>
      </c>
      <c r="C27" s="7" t="n">
        <v>8.35e-06</v>
      </c>
      <c r="D27" s="7" t="n">
        <v>6e-06</v>
      </c>
      <c r="I27" t="inlineStr">
        <is>
          <t>PM 10</t>
        </is>
      </c>
      <c r="J27" t="inlineStr">
        <is>
          <t>motorway</t>
        </is>
      </c>
      <c r="K27" t="inlineStr">
        <is>
          <t>Tyre</t>
        </is>
      </c>
      <c r="L27" t="inlineStr">
        <is>
          <t>b</t>
        </is>
      </c>
      <c r="M27" t="n">
        <v>3.8</v>
      </c>
      <c r="O27" t="inlineStr">
        <is>
          <t>Motorbike, gasoline, 11-35kW, EURO-3</t>
        </is>
      </c>
      <c r="P27" t="n">
        <v>0.33</v>
      </c>
      <c r="Q27" t="n">
        <v>0.33</v>
      </c>
      <c r="R27" t="n">
        <v>0.33</v>
      </c>
    </row>
    <row r="28">
      <c r="A28" t="inlineStr">
        <is>
          <t>Motorbike, gasoline, &gt;35kW, EURO-5</t>
        </is>
      </c>
      <c r="B28" s="7" t="n">
        <v>7.366999999999999e-06</v>
      </c>
      <c r="C28" s="7" t="n">
        <v>8.35e-06</v>
      </c>
      <c r="D28" s="7" t="n">
        <v>6e-06</v>
      </c>
      <c r="I28" t="inlineStr">
        <is>
          <t>PM 10</t>
        </is>
      </c>
      <c r="J28" t="inlineStr">
        <is>
          <t>motorway</t>
        </is>
      </c>
      <c r="K28" t="inlineStr">
        <is>
          <t>Tyre</t>
        </is>
      </c>
      <c r="L28" t="inlineStr">
        <is>
          <t>c</t>
        </is>
      </c>
      <c r="M28" t="n">
        <v>2.3</v>
      </c>
      <c r="O28" t="inlineStr">
        <is>
          <t>Motorbike, gasoline, 11-35kW, EURO-4</t>
        </is>
      </c>
      <c r="P28" t="n">
        <v>0.33</v>
      </c>
      <c r="Q28" t="n">
        <v>0.33</v>
      </c>
      <c r="R28" t="n">
        <v>0.33</v>
      </c>
    </row>
    <row r="29">
      <c r="A29" t="inlineStr">
        <is>
          <t>Motorbike, battery electric, &lt;4kW</t>
        </is>
      </c>
      <c r="B29" s="7" t="n">
        <v>7.366999999999999e-06</v>
      </c>
      <c r="C29" s="7" t="n">
        <v>4.175e-06</v>
      </c>
      <c r="D29" s="7" t="n">
        <v>6e-06</v>
      </c>
      <c r="I29" t="inlineStr">
        <is>
          <t>PM 10</t>
        </is>
      </c>
      <c r="J29" t="inlineStr">
        <is>
          <t>motorway</t>
        </is>
      </c>
      <c r="K29" t="inlineStr">
        <is>
          <t>Brake</t>
        </is>
      </c>
      <c r="L29" t="inlineStr">
        <is>
          <t>b</t>
        </is>
      </c>
      <c r="M29" t="n">
        <v>0.4</v>
      </c>
      <c r="O29" t="inlineStr">
        <is>
          <t>Motorbike, gasoline, 11-35kW, EURO-5</t>
        </is>
      </c>
      <c r="P29" t="n">
        <v>0.33</v>
      </c>
      <c r="Q29" t="n">
        <v>0.33</v>
      </c>
      <c r="R29" t="n">
        <v>0.33</v>
      </c>
    </row>
    <row r="30">
      <c r="A30" t="inlineStr">
        <is>
          <t>Motorbike, battery electric, 4-11kW</t>
        </is>
      </c>
      <c r="B30" s="7" t="n">
        <v>7.366999999999999e-06</v>
      </c>
      <c r="C30" s="7" t="n">
        <v>4.175e-06</v>
      </c>
      <c r="D30" s="7" t="n">
        <v>6e-06</v>
      </c>
      <c r="I30" t="inlineStr">
        <is>
          <t>PM 10</t>
        </is>
      </c>
      <c r="J30" t="inlineStr">
        <is>
          <t>motorway</t>
        </is>
      </c>
      <c r="K30" t="inlineStr">
        <is>
          <t>Brake</t>
        </is>
      </c>
      <c r="L30" t="inlineStr">
        <is>
          <t>c</t>
        </is>
      </c>
      <c r="M30" t="n">
        <v>1.3</v>
      </c>
      <c r="O30" t="inlineStr">
        <is>
          <t>Motorbike, gasoline, &gt;35kW, EURO-3</t>
        </is>
      </c>
      <c r="P30" t="n">
        <v>0.33</v>
      </c>
      <c r="Q30" t="n">
        <v>0.33</v>
      </c>
      <c r="R30" t="n">
        <v>0.33</v>
      </c>
    </row>
    <row r="31">
      <c r="A31" t="inlineStr">
        <is>
          <t>Motorbike, battery electric, 11-35kW</t>
        </is>
      </c>
      <c r="B31" s="7" t="n">
        <v>7.366999999999999e-06</v>
      </c>
      <c r="C31" s="7" t="n">
        <v>4.175e-06</v>
      </c>
      <c r="D31" s="7" t="n">
        <v>6e-06</v>
      </c>
      <c r="I31" t="inlineStr">
        <is>
          <t>PM 10</t>
        </is>
      </c>
      <c r="K31" t="inlineStr">
        <is>
          <t>Road</t>
        </is>
      </c>
      <c r="L31" t="inlineStr">
        <is>
          <t>b</t>
        </is>
      </c>
      <c r="M31" t="n">
        <v>5.1</v>
      </c>
      <c r="O31" t="inlineStr">
        <is>
          <t>Motorbike, gasoline, &gt;35kW, EURO-4</t>
        </is>
      </c>
      <c r="P31" t="n">
        <v>0.33</v>
      </c>
      <c r="Q31" t="n">
        <v>0.33</v>
      </c>
      <c r="R31" t="n">
        <v>0.33</v>
      </c>
    </row>
    <row r="32">
      <c r="A32" t="inlineStr">
        <is>
          <t>Motorbike, battery electric, &gt;35kW</t>
        </is>
      </c>
      <c r="B32" s="7" t="n">
        <v>7.366999999999999e-06</v>
      </c>
      <c r="C32" s="7" t="n">
        <v>4.175e-06</v>
      </c>
      <c r="D32" s="7" t="n">
        <v>6e-06</v>
      </c>
      <c r="I32" t="inlineStr">
        <is>
          <t>PM 10</t>
        </is>
      </c>
      <c r="K32" t="inlineStr">
        <is>
          <t>Road</t>
        </is>
      </c>
      <c r="L32" t="inlineStr">
        <is>
          <t>c</t>
        </is>
      </c>
      <c r="M32" t="n">
        <v>1.5</v>
      </c>
      <c r="O32" t="inlineStr">
        <is>
          <t>Motorbike, gasoline, &gt;35kW, EURO-5</t>
        </is>
      </c>
      <c r="P32" t="n">
        <v>0.33</v>
      </c>
      <c r="Q32" t="n">
        <v>0.33</v>
      </c>
      <c r="R32" t="n">
        <v>0.33</v>
      </c>
    </row>
    <row r="33">
      <c r="I33" t="inlineStr">
        <is>
          <t>PM 10</t>
        </is>
      </c>
      <c r="K33" t="inlineStr">
        <is>
          <t>Re-susp.</t>
        </is>
      </c>
      <c r="L33" t="inlineStr">
        <is>
          <t>b</t>
        </is>
      </c>
      <c r="M33" t="n">
        <v>8.199999999999999</v>
      </c>
      <c r="O33" t="inlineStr">
        <is>
          <t>Motorbike, battery electric, &lt;4kW</t>
        </is>
      </c>
      <c r="P33" t="n">
        <v>0.33</v>
      </c>
      <c r="Q33" t="n">
        <v>0.33</v>
      </c>
      <c r="R33" t="n">
        <v>0.33</v>
      </c>
    </row>
    <row r="34">
      <c r="I34" t="inlineStr">
        <is>
          <t>PM 10</t>
        </is>
      </c>
      <c r="K34" t="inlineStr">
        <is>
          <t>Re-susp.</t>
        </is>
      </c>
      <c r="L34" t="inlineStr">
        <is>
          <t>c</t>
        </is>
      </c>
      <c r="M34" t="n">
        <v>1.1</v>
      </c>
      <c r="O34" t="inlineStr">
        <is>
          <t>Motorbike, battery electric, 4-11kW</t>
        </is>
      </c>
      <c r="P34" t="n">
        <v>0.33</v>
      </c>
      <c r="Q34" t="n">
        <v>0.33</v>
      </c>
      <c r="R34" t="n">
        <v>0.33</v>
      </c>
    </row>
    <row r="35">
      <c r="I35" t="inlineStr">
        <is>
          <t>PM 2.5</t>
        </is>
      </c>
      <c r="K35" t="inlineStr">
        <is>
          <t>Road</t>
        </is>
      </c>
      <c r="L35" t="inlineStr">
        <is>
          <t>b</t>
        </is>
      </c>
      <c r="M35" t="n">
        <v>5.1</v>
      </c>
      <c r="O35" t="inlineStr">
        <is>
          <t>Motorbike, battery electric, 11-35kW</t>
        </is>
      </c>
      <c r="P35" t="n">
        <v>0.33</v>
      </c>
      <c r="Q35" t="n">
        <v>0.33</v>
      </c>
      <c r="R35" t="n">
        <v>0.33</v>
      </c>
    </row>
    <row r="36">
      <c r="I36" t="inlineStr">
        <is>
          <t>PM 2.5</t>
        </is>
      </c>
      <c r="K36" t="inlineStr">
        <is>
          <t>Road</t>
        </is>
      </c>
      <c r="L36" t="inlineStr">
        <is>
          <t>c</t>
        </is>
      </c>
      <c r="M36" t="n">
        <v>1.5</v>
      </c>
      <c r="O36" t="inlineStr">
        <is>
          <t>Motorbike, battery electric, &gt;35kW</t>
        </is>
      </c>
      <c r="P36" t="n">
        <v>0.33</v>
      </c>
      <c r="Q36" t="n">
        <v>0.33</v>
      </c>
      <c r="R36" t="n">
        <v>0.33</v>
      </c>
    </row>
    <row r="37">
      <c r="I37" t="inlineStr">
        <is>
          <t>PM 2.5</t>
        </is>
      </c>
      <c r="K37" t="inlineStr">
        <is>
          <t>Re-susp.</t>
        </is>
      </c>
      <c r="L37" t="inlineStr">
        <is>
          <t>b</t>
        </is>
      </c>
      <c r="M37" t="n">
        <v>8.199999999999999</v>
      </c>
    </row>
    <row r="38">
      <c r="I38" t="inlineStr">
        <is>
          <t>PM 2.5</t>
        </is>
      </c>
      <c r="K38" t="inlineStr">
        <is>
          <t>Re-susp.</t>
        </is>
      </c>
      <c r="L38" t="inlineStr">
        <is>
          <t>c</t>
        </is>
      </c>
      <c r="M38" t="n">
        <v>1.1</v>
      </c>
    </row>
  </sheetData>
  <mergeCells count="32">
    <mergeCell ref="O3:P3"/>
    <mergeCell ref="AY3:AZ3"/>
    <mergeCell ref="Q3:R3"/>
    <mergeCell ref="AO2:AV2"/>
    <mergeCell ref="Y3:Z3"/>
    <mergeCell ref="AW2:BD2"/>
    <mergeCell ref="I2:P2"/>
    <mergeCell ref="S3:T3"/>
    <mergeCell ref="AC3:AD3"/>
    <mergeCell ref="AE3:AF3"/>
    <mergeCell ref="AK3:AL3"/>
    <mergeCell ref="AW3:AX3"/>
    <mergeCell ref="AO3:AP3"/>
    <mergeCell ref="AQ3:AR3"/>
    <mergeCell ref="AG2:AN2"/>
    <mergeCell ref="Y2:AF2"/>
    <mergeCell ref="W3:X3"/>
    <mergeCell ref="I1:AF1"/>
    <mergeCell ref="I3:J3"/>
    <mergeCell ref="BA3:BB3"/>
    <mergeCell ref="BC3:BD3"/>
    <mergeCell ref="U3:V3"/>
    <mergeCell ref="M3:N3"/>
    <mergeCell ref="AA3:AB3"/>
    <mergeCell ref="AG3:AH3"/>
    <mergeCell ref="AS3:AT3"/>
    <mergeCell ref="AI3:AJ3"/>
    <mergeCell ref="AU3:AV3"/>
    <mergeCell ref="AM3:AN3"/>
    <mergeCell ref="Q2:X2"/>
    <mergeCell ref="AG1:BD1"/>
    <mergeCell ref="K3:L3"/>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6"/>
  <sheetViews>
    <sheetView workbookViewId="0">
      <selection activeCell="C6" sqref="C6"/>
    </sheetView>
  </sheetViews>
  <sheetFormatPr baseColWidth="10" defaultColWidth="8.83203125" defaultRowHeight="15"/>
  <cols>
    <col width="31" bestFit="1" customWidth="1" min="1" max="1"/>
  </cols>
  <sheetData>
    <row r="1">
      <c r="A1" t="inlineStr">
        <is>
          <t>skip</t>
        </is>
      </c>
      <c r="B1" t="inlineStr">
        <is>
          <t>energy battery cell density [kg/kWh]</t>
        </is>
      </c>
    </row>
    <row r="2">
      <c r="B2" t="inlineStr">
        <is>
          <t>NMC</t>
        </is>
      </c>
      <c r="C2" t="inlineStr">
        <is>
          <t>LFP</t>
        </is>
      </c>
      <c r="D2" t="inlineStr">
        <is>
          <t>NCA</t>
        </is>
      </c>
    </row>
    <row r="3">
      <c r="A3" s="18" t="n">
        <v>2020</v>
      </c>
      <c r="B3" t="n">
        <v>0.2</v>
      </c>
      <c r="C3" t="n">
        <v>0.15</v>
      </c>
      <c r="D3" t="n">
        <v>0.23</v>
      </c>
    </row>
    <row r="4">
      <c r="A4" s="18" t="n">
        <v>2030</v>
      </c>
      <c r="B4" t="n">
        <v>0.3</v>
      </c>
      <c r="C4" t="n">
        <v>0.18</v>
      </c>
      <c r="D4" t="n">
        <v>0.3</v>
      </c>
    </row>
    <row r="5">
      <c r="A5" s="18" t="n">
        <v>2040</v>
      </c>
      <c r="B5" t="n">
        <v>0.4</v>
      </c>
      <c r="C5" t="n">
        <v>0.18</v>
      </c>
      <c r="D5" t="n">
        <v>0.4</v>
      </c>
    </row>
    <row r="6">
      <c r="A6" s="18" t="n">
        <v>2050</v>
      </c>
      <c r="B6" t="n">
        <v>0.5</v>
      </c>
      <c r="C6" t="n">
        <v>0.2</v>
      </c>
      <c r="D6" t="n">
        <v>0.5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N126"/>
  <sheetViews>
    <sheetView topLeftCell="A19" zoomScale="70" zoomScaleNormal="70" workbookViewId="0">
      <selection activeCell="A9" sqref="A9"/>
    </sheetView>
  </sheetViews>
  <sheetFormatPr baseColWidth="10" defaultColWidth="8.83203125" defaultRowHeight="15"/>
  <cols>
    <col width="8.6640625" bestFit="1" customWidth="1" min="1" max="1"/>
    <col width="15.5" bestFit="1" customWidth="1" min="2" max="2"/>
    <col width="23.33203125" bestFit="1" customWidth="1" min="3" max="4"/>
    <col width="27.33203125" bestFit="1" customWidth="1" min="5" max="5"/>
    <col width="28.5" bestFit="1" customWidth="1" min="6" max="6"/>
    <col width="32.5" bestFit="1" customWidth="1" min="7" max="7"/>
    <col width="28.5" bestFit="1" customWidth="1" min="8" max="8"/>
    <col width="32.5" bestFit="1" customWidth="1" min="19" max="19"/>
    <col width="20" bestFit="1" customWidth="1" min="20" max="20"/>
    <col width="11.33203125" bestFit="1" customWidth="1" min="21" max="40"/>
  </cols>
  <sheetData>
    <row r="1">
      <c r="A1" t="inlineStr">
        <is>
          <t>skip</t>
        </is>
      </c>
    </row>
    <row r="2">
      <c r="B2" t="inlineStr">
        <is>
          <t>Fuel density [kg/l]</t>
        </is>
      </c>
      <c r="C2" t="inlineStr">
        <is>
          <t>LHV [kWh/kg]</t>
        </is>
      </c>
      <c r="D2" t="inlineStr">
        <is>
          <t>CO2 [kg/kg]</t>
        </is>
      </c>
      <c r="E2" t="inlineStr">
        <is>
          <t>SO2 [kg/kg]</t>
        </is>
      </c>
    </row>
    <row r="3">
      <c r="A3" t="inlineStr">
        <is>
          <t>Gasoline</t>
        </is>
      </c>
      <c r="B3" t="n">
        <v>0.75</v>
      </c>
      <c r="C3" s="3">
        <f>42.6/3.6</f>
        <v>11.833333333333334</v>
      </c>
      <c r="D3" t="n">
        <v>3.14</v>
      </c>
      <c r="E3" s="7" t="n">
        <v>1.6e-05</v>
      </c>
    </row>
    <row r="4">
      <c r="A4" t="inlineStr">
        <is>
          <t>Diesel</t>
        </is>
      </c>
      <c r="B4" t="n">
        <v>0.85</v>
      </c>
      <c r="C4" s="3">
        <f>43/3.6</f>
        <v>11.944444444444445</v>
      </c>
      <c r="D4" t="n">
        <v>3.15</v>
      </c>
      <c r="E4" s="7" t="n">
        <v>0.000885</v>
      </c>
    </row>
    <row r="5">
      <c r="A5" t="inlineStr">
        <is>
          <t>CNG</t>
        </is>
      </c>
      <c r="C5" s="3">
        <f>47.5/3.6</f>
        <v>13.194444444444445</v>
      </c>
      <c r="D5" t="n">
        <v>2.68</v>
      </c>
      <c r="E5" s="7" t="n">
        <v>0</v>
      </c>
    </row>
    <row r="6"/>
    <row r="7"/>
    <row r="8">
      <c r="A8" t="inlineStr">
        <is>
          <t>source:</t>
        </is>
      </c>
      <c r="B8" t="inlineStr">
        <is>
          <t>https://www.eea.europa.eu/publications/emep-eea-guidebook-2019/part-b-sectoral-guidance-chapters/1-energy/1-a-combustion/1-a-3-b-i/view</t>
        </is>
      </c>
    </row>
    <row r="9">
      <c r="A9" t="inlineStr">
        <is>
          <t>g/MJ</t>
        </is>
      </c>
      <c r="C9" t="inlineStr">
        <is>
          <t>Mopeds 2-stroke &lt;50 cm³</t>
        </is>
      </c>
      <c r="D9" t="inlineStr">
        <is>
          <t>Mopeds 4-stroke &lt;50 cm³</t>
        </is>
      </c>
      <c r="E9" t="inlineStr">
        <is>
          <t>Motorcycles 2-stroke &gt;50 cm³</t>
        </is>
      </c>
      <c r="F9" t="inlineStr">
        <is>
          <t>Motorcycles 4-stroke &lt;250 cm³</t>
        </is>
      </c>
      <c r="G9" t="inlineStr">
        <is>
          <t>Motorcycles 4-stroke 250 - 750 cm³</t>
        </is>
      </c>
      <c r="H9" t="inlineStr">
        <is>
          <t>Motorcycles 4-stroke &gt;750 cm³</t>
        </is>
      </c>
    </row>
    <row r="10">
      <c r="A10" t="inlineStr">
        <is>
          <t>EURO-3</t>
        </is>
      </c>
      <c r="B10" t="inlineStr">
        <is>
          <t>CO</t>
        </is>
      </c>
      <c r="C10" s="7" t="n">
        <v>3.904661024303503</v>
      </c>
      <c r="D10" s="7" t="n">
        <v>4.208423959841101</v>
      </c>
      <c r="E10" s="7" t="n">
        <v>2.908708111740065</v>
      </c>
      <c r="F10" s="7" t="n">
        <v>0.6846446168576144</v>
      </c>
      <c r="G10" s="7" t="n">
        <v>0.1486476234781206</v>
      </c>
      <c r="H10" s="7" t="n">
        <v>0.148842778865369</v>
      </c>
      <c r="I10" s="6"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row>
    <row r="11">
      <c r="A11" t="inlineStr">
        <is>
          <t>EURO-3</t>
        </is>
      </c>
      <c r="B11" t="inlineStr">
        <is>
          <t>NOx</t>
        </is>
      </c>
      <c r="C11" s="7" t="n">
        <v>0.445426953342792</v>
      </c>
      <c r="D11" s="7" t="n">
        <v>0.445426953342792</v>
      </c>
      <c r="E11" s="7" t="n">
        <v>0.06984516274842606</v>
      </c>
      <c r="F11" s="7" t="n">
        <v>0.09310781487870248</v>
      </c>
      <c r="G11" s="7" t="n">
        <v>0.01761857873999224</v>
      </c>
      <c r="H11" s="7" t="n">
        <v>0.01577375406699133</v>
      </c>
      <c r="I11" s="6"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row>
    <row r="12">
      <c r="A12" t="inlineStr">
        <is>
          <t>EURO-3</t>
        </is>
      </c>
      <c r="B12" t="inlineStr">
        <is>
          <t>VOC</t>
        </is>
      </c>
      <c r="C12" s="7" t="n">
        <v>2.189150970910094</v>
      </c>
      <c r="D12" s="7" t="n">
        <v>1.763882861157457</v>
      </c>
      <c r="E12" s="7" t="n">
        <v>0.8688904016241029</v>
      </c>
      <c r="F12" s="7" t="n">
        <v>0.06346027857013826</v>
      </c>
      <c r="G12" s="7" t="n">
        <v>0.0651784557291516</v>
      </c>
      <c r="H12" s="7" t="n">
        <v>0.06537764184097927</v>
      </c>
      <c r="I12" s="6"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row>
    <row r="13">
      <c r="A13" t="inlineStr">
        <is>
          <t>EURO-3</t>
        </is>
      </c>
      <c r="B13" t="inlineStr">
        <is>
          <t>PM2.5</t>
        </is>
      </c>
      <c r="C13" s="7" t="n">
        <v>0.01395320522727242</v>
      </c>
      <c r="D13" s="7" t="n">
        <v>0.009228004007798675</v>
      </c>
      <c r="E13" s="7" t="n">
        <v>0.01046463296819975</v>
      </c>
      <c r="F13" s="7" t="n">
        <v>0.004363335824830249</v>
      </c>
      <c r="G13" s="7" t="n">
        <v>0.001113369200904153</v>
      </c>
      <c r="H13" s="7" t="n">
        <v>0.001114830912786717</v>
      </c>
      <c r="I13" s="4"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row>
    <row r="14">
      <c r="A14" t="inlineStr">
        <is>
          <t>EURO-3</t>
        </is>
      </c>
      <c r="B14" t="inlineStr">
        <is>
          <t>CH4</t>
        </is>
      </c>
      <c r="C14" s="7" t="n">
        <v>0.02660963315309357</v>
      </c>
      <c r="D14" s="7" t="n">
        <v>0.02660963315309357</v>
      </c>
      <c r="E14" s="7" t="n">
        <v>0.01079165274845599</v>
      </c>
      <c r="F14" s="7" t="n">
        <v>0.04886936123809879</v>
      </c>
      <c r="G14" s="7" t="n">
        <v>0.01480781037202524</v>
      </c>
      <c r="H14" s="7" t="n">
        <v>0.008472714937179051</v>
      </c>
      <c r="I14" s="5"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row>
    <row r="15">
      <c r="A15" t="inlineStr">
        <is>
          <t>EURO-3</t>
        </is>
      </c>
      <c r="B15" t="inlineStr">
        <is>
          <t>NH3</t>
        </is>
      </c>
      <c r="C15" s="7" t="n">
        <v>0.001350057491278213</v>
      </c>
      <c r="D15" s="7" t="n">
        <v>0.001350057491278213</v>
      </c>
      <c r="E15" s="7" t="n">
        <v>0.001744105494699958</v>
      </c>
      <c r="F15" s="7" t="n">
        <v>0.001745334329932099</v>
      </c>
      <c r="G15" s="7" t="n">
        <v>0.0004453476803616613</v>
      </c>
      <c r="H15" s="7" t="n">
        <v>0.0004459323651146869</v>
      </c>
      <c r="I15" s="5"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row>
    <row r="16">
      <c r="A16" t="inlineStr">
        <is>
          <t>EURO-3</t>
        </is>
      </c>
      <c r="B16" t="inlineStr">
        <is>
          <t>N2O</t>
        </is>
      </c>
      <c r="C16" s="7" t="n">
        <v>0.001350057491278213</v>
      </c>
      <c r="D16" s="7" t="n">
        <v>0.001350057491278213</v>
      </c>
      <c r="E16" s="7" t="n">
        <v>0.001744105494699958</v>
      </c>
      <c r="F16" s="7" t="n">
        <v>0.001745334329932099</v>
      </c>
      <c r="G16" s="7" t="n">
        <v>0.0004453476803616613</v>
      </c>
      <c r="H16" s="7" t="n">
        <v>0.0004459323651146869</v>
      </c>
      <c r="I16" s="5" t="n"/>
    </row>
    <row r="17">
      <c r="A17" t="inlineStr">
        <is>
          <t>EURO-3</t>
        </is>
      </c>
      <c r="B17" t="inlineStr">
        <is>
          <t>NMVOC</t>
        </is>
      </c>
      <c r="C17" s="7" t="n">
        <v>0.9903718992397267</v>
      </c>
      <c r="D17" s="7" t="n">
        <v>0.7979806063876336</v>
      </c>
      <c r="E17" s="7" t="n">
        <v>0.3930860176947442</v>
      </c>
      <c r="F17" s="7" t="n">
        <v>0.02870943002513055</v>
      </c>
      <c r="G17" s="7" t="n">
        <v>0.02948673337186818</v>
      </c>
      <c r="H17" s="7" t="n">
        <v>0.02957684516885902</v>
      </c>
      <c r="I17" s="5" t="n"/>
    </row>
    <row r="18">
      <c r="A18" t="inlineStr">
        <is>
          <t>EURO-3</t>
        </is>
      </c>
      <c r="B18" t="inlineStr">
        <is>
          <t>Ethane</t>
        </is>
      </c>
      <c r="C18" s="7" t="n">
        <v>0.06983391597203201</v>
      </c>
      <c r="D18" s="7" t="n">
        <v>0.05626786327092288</v>
      </c>
      <c r="E18" s="7" t="n">
        <v>0.02771760381180888</v>
      </c>
      <c r="F18" s="7" t="n">
        <v>0.00202438288638741</v>
      </c>
      <c r="G18" s="7" t="n">
        <v>0.002079192737759936</v>
      </c>
      <c r="H18" s="7" t="n">
        <v>0.002085546774727239</v>
      </c>
      <c r="I18" s="5" t="n"/>
    </row>
    <row r="19">
      <c r="A19" t="inlineStr">
        <is>
          <t>EURO-3</t>
        </is>
      </c>
      <c r="B19" t="inlineStr">
        <is>
          <t>Propane</t>
        </is>
      </c>
      <c r="C19" s="7" t="n">
        <v>0.01422948131091561</v>
      </c>
      <c r="D19" s="7" t="n">
        <v>0.01146523859752347</v>
      </c>
      <c r="E19" s="7" t="n">
        <v>0.005647787610556669</v>
      </c>
      <c r="F19" s="7" t="n">
        <v>0.0004124918107058987</v>
      </c>
      <c r="G19" s="7" t="n">
        <v>0.0004236599622394854</v>
      </c>
      <c r="H19" s="7" t="n">
        <v>0.0004249546719663653</v>
      </c>
      <c r="I19" s="5" t="n"/>
    </row>
    <row r="20">
      <c r="A20" t="inlineStr">
        <is>
          <t>EURO-3</t>
        </is>
      </c>
      <c r="B20" t="inlineStr">
        <is>
          <t>Butane</t>
        </is>
      </c>
      <c r="C20" s="7" t="n">
        <v>0.1147115108756889</v>
      </c>
      <c r="D20" s="7" t="n">
        <v>0.09242746192465076</v>
      </c>
      <c r="E20" s="7" t="n">
        <v>0.045529857045103</v>
      </c>
      <c r="F20" s="7" t="n">
        <v>0.003325318597075245</v>
      </c>
      <c r="G20" s="7" t="n">
        <v>0.003415351080207544</v>
      </c>
      <c r="H20" s="7" t="n">
        <v>0.003425788432467314</v>
      </c>
      <c r="I20" s="5" t="n"/>
    </row>
    <row r="21">
      <c r="A21" t="inlineStr">
        <is>
          <t>EURO-3</t>
        </is>
      </c>
      <c r="B21" t="inlineStr">
        <is>
          <t>Pentane</t>
        </is>
      </c>
      <c r="C21" s="7" t="n">
        <v>0.04706674587456702</v>
      </c>
      <c r="D21" s="7" t="n">
        <v>0.03792348151488532</v>
      </c>
      <c r="E21" s="7" t="n">
        <v>0.01868114363491821</v>
      </c>
      <c r="F21" s="7" t="n">
        <v>0.001364395989257973</v>
      </c>
      <c r="G21" s="7" t="n">
        <v>0.001401336798176759</v>
      </c>
      <c r="H21" s="7" t="n">
        <v>0.001405619299581054</v>
      </c>
      <c r="I21" s="5" t="n"/>
    </row>
    <row r="22">
      <c r="A22" t="inlineStr">
        <is>
          <t>EURO-3</t>
        </is>
      </c>
      <c r="B22" t="inlineStr">
        <is>
          <t>Hexane</t>
        </is>
      </c>
      <c r="C22" s="7" t="n">
        <v>0.03524533063165252</v>
      </c>
      <c r="D22" s="7" t="n">
        <v>0.02839851406463506</v>
      </c>
      <c r="E22" s="7" t="n">
        <v>0.01398913546614806</v>
      </c>
      <c r="F22" s="7" t="n">
        <v>0.001021710484979226</v>
      </c>
      <c r="G22" s="7" t="n">
        <v>0.001049373137239341</v>
      </c>
      <c r="H22" s="7" t="n">
        <v>0.001052580033639766</v>
      </c>
    </row>
    <row r="23">
      <c r="A23" t="inlineStr">
        <is>
          <t>EURO-3</t>
        </is>
      </c>
      <c r="B23" t="inlineStr">
        <is>
          <t>Cyclohexane</t>
        </is>
      </c>
      <c r="C23" s="7" t="n">
        <v>0.02495632106837508</v>
      </c>
      <c r="D23" s="7" t="n">
        <v>0.02010826461719501</v>
      </c>
      <c r="E23" s="7" t="n">
        <v>0.009905350578514773</v>
      </c>
      <c r="F23" s="7" t="n">
        <v>0.0007234471756995762</v>
      </c>
      <c r="G23" s="7" t="n">
        <v>0.0007430343953123282</v>
      </c>
      <c r="H23" s="7" t="n">
        <v>0.0007453051169871637</v>
      </c>
      <c r="I23" s="7" t="n"/>
      <c r="J23" s="15" t="n"/>
    </row>
    <row r="24">
      <c r="A24" t="inlineStr">
        <is>
          <t>EURO-3</t>
        </is>
      </c>
      <c r="B24" t="inlineStr">
        <is>
          <t>Heptane</t>
        </is>
      </c>
      <c r="C24" s="7" t="n">
        <v>0.0161997171847347</v>
      </c>
      <c r="D24" s="7" t="n">
        <v>0.01305273317256518</v>
      </c>
      <c r="E24" s="7" t="n">
        <v>0.006429788972018362</v>
      </c>
      <c r="F24" s="7" t="n">
        <v>0.0004696060614190232</v>
      </c>
      <c r="G24" s="7" t="n">
        <v>0.0004823205723957219</v>
      </c>
      <c r="H24" s="7" t="n">
        <v>0.0004837945496232467</v>
      </c>
      <c r="I24" s="7" t="n"/>
      <c r="J24" s="15" t="n"/>
    </row>
    <row r="25">
      <c r="A25" t="inlineStr">
        <is>
          <t>EURO-3</t>
        </is>
      </c>
      <c r="B25" t="inlineStr">
        <is>
          <t>Ethene</t>
        </is>
      </c>
      <c r="C25" s="7" t="n">
        <v>0.1598080208764369</v>
      </c>
      <c r="D25" s="7" t="n">
        <v>0.1287634488644944</v>
      </c>
      <c r="E25" s="7" t="n">
        <v>0.06342899931855951</v>
      </c>
      <c r="F25" s="7" t="n">
        <v>0.004632600335620093</v>
      </c>
      <c r="G25" s="7" t="n">
        <v>0.004758027268228066</v>
      </c>
      <c r="H25" s="7" t="n">
        <v>0.004772567854391487</v>
      </c>
      <c r="I25" s="7" t="n"/>
      <c r="J25" s="15" t="n"/>
    </row>
    <row r="26">
      <c r="A26" t="inlineStr">
        <is>
          <t>EURO-3</t>
        </is>
      </c>
      <c r="B26" t="inlineStr">
        <is>
          <t>Propene</t>
        </is>
      </c>
      <c r="C26" s="7" t="n">
        <v>0.08362556708876559</v>
      </c>
      <c r="D26" s="7" t="n">
        <v>0.06738032529621486</v>
      </c>
      <c r="E26" s="7" t="n">
        <v>0.03319161334204073</v>
      </c>
      <c r="F26" s="7" t="n">
        <v>0.002424182641379282</v>
      </c>
      <c r="G26" s="7" t="n">
        <v>0.002489817008853591</v>
      </c>
      <c r="H26" s="7" t="n">
        <v>0.002497425918325408</v>
      </c>
      <c r="I26" s="7" t="n"/>
      <c r="J26" s="15" t="n"/>
    </row>
    <row r="27">
      <c r="A27" t="inlineStr">
        <is>
          <t>EURO-3</t>
        </is>
      </c>
      <c r="B27" t="inlineStr">
        <is>
          <t>1-Pentene</t>
        </is>
      </c>
      <c r="C27" s="7" t="n">
        <v>0.002408066068001104</v>
      </c>
      <c r="D27" s="7" t="n">
        <v>0.001940271147273203</v>
      </c>
      <c r="E27" s="7" t="n">
        <v>0.0009557794417865132</v>
      </c>
      <c r="F27" s="7" t="n">
        <v>6.98063064271521e-05</v>
      </c>
      <c r="G27" s="7" t="n">
        <v>7.169630130206676e-05</v>
      </c>
      <c r="H27" s="7" t="n">
        <v>7.19154060250772e-05</v>
      </c>
      <c r="I27" s="7" t="n"/>
      <c r="J27" s="15" t="n"/>
    </row>
    <row r="28">
      <c r="A28" t="inlineStr">
        <is>
          <t>EURO-3</t>
        </is>
      </c>
      <c r="B28" t="inlineStr">
        <is>
          <t>Benzene</t>
        </is>
      </c>
      <c r="C28" s="7" t="n">
        <v>0.1228113694680563</v>
      </c>
      <c r="D28" s="7" t="n">
        <v>0.09895382851093333</v>
      </c>
      <c r="E28" s="7" t="n">
        <v>0.04874475153111217</v>
      </c>
      <c r="F28" s="7" t="n">
        <v>0.003560121627784756</v>
      </c>
      <c r="G28" s="7" t="n">
        <v>0.003656511366405404</v>
      </c>
      <c r="H28" s="7" t="n">
        <v>0.003667685707278937</v>
      </c>
      <c r="I28" s="7" t="n"/>
      <c r="J28" s="15" t="n"/>
    </row>
    <row r="29">
      <c r="A29" t="inlineStr">
        <is>
          <t>EURO-3</t>
        </is>
      </c>
      <c r="B29" t="inlineStr">
        <is>
          <t>Toluene</t>
        </is>
      </c>
      <c r="C29" s="7" t="n">
        <v>0.2403687766059283</v>
      </c>
      <c r="D29" s="7" t="n">
        <v>0.1936743381550888</v>
      </c>
      <c r="E29" s="7" t="n">
        <v>0.0954041660983265</v>
      </c>
      <c r="F29" s="7" t="n">
        <v>0.006967938587001181</v>
      </c>
      <c r="G29" s="7" t="n">
        <v>0.007156594439060845</v>
      </c>
      <c r="H29" s="7" t="n">
        <v>0.007178465074139524</v>
      </c>
      <c r="I29" s="7" t="n"/>
      <c r="J29" s="15" t="n"/>
    </row>
    <row r="30">
      <c r="A30" t="inlineStr">
        <is>
          <t>EURO-3</t>
        </is>
      </c>
      <c r="B30" t="inlineStr">
        <is>
          <t>m-Xylene</t>
        </is>
      </c>
      <c r="C30" s="7" t="n">
        <v>0.1188708977204181</v>
      </c>
      <c r="D30" s="7" t="n">
        <v>0.09577883936084992</v>
      </c>
      <c r="E30" s="7" t="n">
        <v>0.04718074880818879</v>
      </c>
      <c r="F30" s="7" t="n">
        <v>0.003445893126358508</v>
      </c>
      <c r="G30" s="7" t="n">
        <v>0.003539190146092932</v>
      </c>
      <c r="H30" s="7" t="n">
        <v>0.003550005951965174</v>
      </c>
      <c r="I30" s="7" t="n"/>
      <c r="J30" s="15" t="n"/>
    </row>
    <row r="31">
      <c r="A31" t="inlineStr">
        <is>
          <t>EURO-3</t>
        </is>
      </c>
      <c r="B31" t="inlineStr">
        <is>
          <t>o-Xylene</t>
        </is>
      </c>
      <c r="C31" s="7" t="n">
        <v>0.04947481194256813</v>
      </c>
      <c r="D31" s="7" t="n">
        <v>0.03986375266215852</v>
      </c>
      <c r="E31" s="7" t="n">
        <v>0.01963692307670472</v>
      </c>
      <c r="F31" s="7" t="n">
        <v>0.001434202295685125</v>
      </c>
      <c r="G31" s="7" t="n">
        <v>0.001473033099478826</v>
      </c>
      <c r="H31" s="7" t="n">
        <v>0.001477534705606131</v>
      </c>
      <c r="I31" s="7" t="n"/>
      <c r="J31" s="15" t="n"/>
    </row>
    <row r="32">
      <c r="A32" t="inlineStr">
        <is>
          <t>EURO-3</t>
        </is>
      </c>
      <c r="B32" t="inlineStr">
        <is>
          <t>Formaldehyde</t>
        </is>
      </c>
      <c r="C32" s="7" t="n">
        <v>0.03721556650547161</v>
      </c>
      <c r="D32" s="7" t="n">
        <v>0.02998600863967677</v>
      </c>
      <c r="E32" s="7" t="n">
        <v>0.01477113682760975</v>
      </c>
      <c r="F32" s="7" t="n">
        <v>0.001078824735692351</v>
      </c>
      <c r="G32" s="7" t="n">
        <v>0.001108033747395577</v>
      </c>
      <c r="H32" s="7" t="n">
        <v>0.001111419911296648</v>
      </c>
      <c r="I32" s="7" t="n"/>
      <c r="J32" s="15" t="n"/>
    </row>
    <row r="33">
      <c r="A33" t="inlineStr">
        <is>
          <t>EURO-3</t>
        </is>
      </c>
      <c r="B33" t="inlineStr">
        <is>
          <t>Acetaldehyde</t>
        </is>
      </c>
      <c r="C33" s="7" t="n">
        <v>0.01641863228182571</v>
      </c>
      <c r="D33" s="7" t="n">
        <v>0.01322912145868093</v>
      </c>
      <c r="E33" s="7" t="n">
        <v>0.006516678012180772</v>
      </c>
      <c r="F33" s="7" t="n">
        <v>0.0004759520892760369</v>
      </c>
      <c r="G33" s="7" t="n">
        <v>0.0004888384179686369</v>
      </c>
      <c r="H33" s="7" t="n">
        <v>0.0004903323138073445</v>
      </c>
      <c r="I33" s="7" t="n"/>
      <c r="J33" s="15" t="n"/>
    </row>
    <row r="34">
      <c r="A34" t="inlineStr">
        <is>
          <t>EURO-3</t>
        </is>
      </c>
      <c r="B34" t="inlineStr">
        <is>
          <t>Benzaldehyde</t>
        </is>
      </c>
      <c r="C34" s="7" t="n">
        <v>0.004816132136002208</v>
      </c>
      <c r="D34" s="7" t="n">
        <v>0.003880542294546406</v>
      </c>
      <c r="E34" s="7" t="n">
        <v>0.001911558883573026</v>
      </c>
      <c r="F34" s="7" t="n">
        <v>0.0001396126128543042</v>
      </c>
      <c r="G34" s="7" t="n">
        <v>0.0001433926026041335</v>
      </c>
      <c r="H34" s="7" t="n">
        <v>0.0001438308120501544</v>
      </c>
      <c r="I34" s="7" t="n"/>
      <c r="J34" s="15" t="n"/>
    </row>
    <row r="35">
      <c r="A35" t="inlineStr">
        <is>
          <t>EURO-3</t>
        </is>
      </c>
      <c r="B35" t="inlineStr">
        <is>
          <t>Acetone</t>
        </is>
      </c>
      <c r="C35" s="7" t="n">
        <v>0.01335382092255158</v>
      </c>
      <c r="D35" s="7" t="n">
        <v>0.01075968545306049</v>
      </c>
      <c r="E35" s="7" t="n">
        <v>0.005300231449907028</v>
      </c>
      <c r="F35" s="7" t="n">
        <v>0.0003871076992778435</v>
      </c>
      <c r="G35" s="7" t="n">
        <v>0.0003975885799478248</v>
      </c>
      <c r="H35" s="7" t="n">
        <v>0.0003988036152299736</v>
      </c>
      <c r="I35" s="7" t="n"/>
      <c r="J35" s="15" t="n"/>
    </row>
    <row r="36">
      <c r="A36" t="inlineStr">
        <is>
          <t>EURO-3</t>
        </is>
      </c>
      <c r="B36" t="inlineStr">
        <is>
          <t>Methyl ethyl ketone</t>
        </is>
      </c>
      <c r="C36" s="7" t="n">
        <v>0.001094575485455047</v>
      </c>
      <c r="D36" s="7" t="n">
        <v>0.0008819414305787285</v>
      </c>
      <c r="E36" s="7" t="n">
        <v>0.0004344452008120514</v>
      </c>
      <c r="F36" s="7" t="n">
        <v>3.173013928506913e-05</v>
      </c>
      <c r="G36" s="7" t="n">
        <v>3.25892278645758e-05</v>
      </c>
      <c r="H36" s="7" t="n">
        <v>3.268882092048964e-05</v>
      </c>
      <c r="I36" s="7" t="n"/>
      <c r="J36" s="15" t="n"/>
    </row>
    <row r="37">
      <c r="A37" t="inlineStr">
        <is>
          <t>EURO-3</t>
        </is>
      </c>
      <c r="B37" t="inlineStr">
        <is>
          <t>Acrolein</t>
        </is>
      </c>
      <c r="C37" s="7" t="n">
        <v>0.004159386844729179</v>
      </c>
      <c r="D37" s="7" t="n">
        <v>0.003351377436199168</v>
      </c>
      <c r="E37" s="7" t="n">
        <v>0.001650891763085796</v>
      </c>
      <c r="F37" s="7" t="n">
        <v>0.0001205745292832627</v>
      </c>
      <c r="G37" s="7" t="n">
        <v>0.000123839065885388</v>
      </c>
      <c r="H37" s="7" t="n">
        <v>0.0001242175194978606</v>
      </c>
      <c r="I37" s="7" t="n"/>
      <c r="J37" s="15" t="n"/>
    </row>
    <row r="38">
      <c r="A38" t="inlineStr">
        <is>
          <t>EURO-3</t>
        </is>
      </c>
      <c r="B38" t="inlineStr">
        <is>
          <t>Styrene</t>
        </is>
      </c>
      <c r="C38" s="7" t="n">
        <v>0.02211042480619195</v>
      </c>
      <c r="D38" s="7" t="n">
        <v>0.01781521689769032</v>
      </c>
      <c r="E38" s="7" t="n">
        <v>0.00877579305640344</v>
      </c>
      <c r="F38" s="7" t="n">
        <v>0.0006409488135583964</v>
      </c>
      <c r="G38" s="7" t="n">
        <v>0.0006583024028644311</v>
      </c>
      <c r="H38" s="7" t="n">
        <v>0.0006603141825938906</v>
      </c>
      <c r="I38" s="7" t="n"/>
      <c r="J38" s="15" t="n"/>
    </row>
    <row r="39">
      <c r="A39" t="inlineStr">
        <is>
          <t>EURO-3</t>
        </is>
      </c>
      <c r="B39" t="inlineStr">
        <is>
          <t>PAHs</t>
        </is>
      </c>
      <c r="C39" s="17" t="n">
        <v>8.188235294117648e-07</v>
      </c>
      <c r="D39" s="17" t="n">
        <v>8.188235294117648e-07</v>
      </c>
      <c r="E39" s="17" t="n">
        <v>8.188235294117648e-07</v>
      </c>
      <c r="F39" s="17" t="n">
        <v>8.188235294117648e-07</v>
      </c>
      <c r="G39" s="17" t="n">
        <v>8.188235294117648e-07</v>
      </c>
      <c r="H39" s="17" t="n">
        <v>8.188235294117648e-07</v>
      </c>
      <c r="I39" s="7" t="n"/>
      <c r="J39" s="15" t="n"/>
    </row>
    <row r="40">
      <c r="A40" t="inlineStr">
        <is>
          <t>EURO-3</t>
        </is>
      </c>
      <c r="B40" t="inlineStr">
        <is>
          <t>Arsenic</t>
        </is>
      </c>
      <c r="C40" s="17" t="n">
        <v>7.058823529411765e-09</v>
      </c>
      <c r="D40" s="17" t="n">
        <v>7.058823529411765e-09</v>
      </c>
      <c r="E40" s="17" t="n">
        <v>7.058823529411765e-09</v>
      </c>
      <c r="F40" s="17" t="n">
        <v>7.058823529411765e-09</v>
      </c>
      <c r="G40" s="17" t="n">
        <v>7.058823529411765e-09</v>
      </c>
      <c r="H40" s="17" t="n">
        <v>7.058823529411765e-09</v>
      </c>
      <c r="I40" s="7" t="n"/>
      <c r="J40" s="15" t="n"/>
    </row>
    <row r="41">
      <c r="A41" t="inlineStr">
        <is>
          <t>EURO-3</t>
        </is>
      </c>
      <c r="B41" t="inlineStr">
        <is>
          <t>Selenium</t>
        </is>
      </c>
      <c r="C41" s="17" t="n">
        <v>4.705882352941177e-09</v>
      </c>
      <c r="D41" s="17" t="n">
        <v>4.705882352941177e-09</v>
      </c>
      <c r="E41" s="17" t="n">
        <v>4.705882352941177e-09</v>
      </c>
      <c r="F41" s="17" t="n">
        <v>4.705882352941177e-09</v>
      </c>
      <c r="G41" s="17" t="n">
        <v>4.705882352941177e-09</v>
      </c>
      <c r="H41" s="17" t="n">
        <v>4.705882352941177e-09</v>
      </c>
      <c r="I41" s="7" t="n"/>
      <c r="J41" s="15" t="n"/>
    </row>
    <row r="42">
      <c r="A42" t="inlineStr">
        <is>
          <t>EURO-3</t>
        </is>
      </c>
      <c r="B42" t="inlineStr">
        <is>
          <t>Zinc</t>
        </is>
      </c>
      <c r="C42" s="17" t="n">
        <v>5.082352941176471e-05</v>
      </c>
      <c r="D42" s="17" t="n">
        <v>5.082352941176471e-05</v>
      </c>
      <c r="E42" s="17" t="n">
        <v>5.082352941176471e-05</v>
      </c>
      <c r="F42" s="17" t="n">
        <v>5.082352941176471e-05</v>
      </c>
      <c r="G42" s="17" t="n">
        <v>5.082352941176471e-05</v>
      </c>
      <c r="H42" s="17" t="n">
        <v>5.082352941176471e-05</v>
      </c>
      <c r="I42" s="7" t="n"/>
      <c r="J42" s="15" t="n"/>
    </row>
    <row r="43">
      <c r="A43" t="inlineStr">
        <is>
          <t>EURO-3</t>
        </is>
      </c>
      <c r="B43" t="inlineStr">
        <is>
          <t>Copper</t>
        </is>
      </c>
      <c r="C43" s="17" t="n">
        <v>9.88235294117647e-07</v>
      </c>
      <c r="D43" s="17" t="n">
        <v>9.88235294117647e-07</v>
      </c>
      <c r="E43" s="17" t="n">
        <v>9.88235294117647e-07</v>
      </c>
      <c r="F43" s="17" t="n">
        <v>9.88235294117647e-07</v>
      </c>
      <c r="G43" s="17" t="n">
        <v>9.88235294117647e-07</v>
      </c>
      <c r="H43" s="17" t="n">
        <v>9.88235294117647e-07</v>
      </c>
      <c r="I43" s="7" t="n"/>
      <c r="J43" s="15" t="n"/>
    </row>
    <row r="44">
      <c r="A44" t="inlineStr">
        <is>
          <t>EURO-3</t>
        </is>
      </c>
      <c r="B44" t="inlineStr">
        <is>
          <t>Nickel</t>
        </is>
      </c>
      <c r="C44" s="17" t="n">
        <v>3.058823529411765e-07</v>
      </c>
      <c r="D44" s="17" t="n">
        <v>3.058823529411765e-07</v>
      </c>
      <c r="E44" s="17" t="n">
        <v>3.058823529411765e-07</v>
      </c>
      <c r="F44" s="17" t="n">
        <v>3.058823529411765e-07</v>
      </c>
      <c r="G44" s="17" t="n">
        <v>3.058823529411765e-07</v>
      </c>
      <c r="H44" s="17" t="n">
        <v>3.058823529411765e-07</v>
      </c>
      <c r="I44" s="7" t="n"/>
    </row>
    <row r="45">
      <c r="A45" t="inlineStr">
        <is>
          <t>EURO-3</t>
        </is>
      </c>
      <c r="B45" t="inlineStr">
        <is>
          <t>Chromium</t>
        </is>
      </c>
      <c r="C45" s="17" t="n">
        <v>3.764705882352942e-07</v>
      </c>
      <c r="D45" s="17" t="n">
        <v>3.764705882352942e-07</v>
      </c>
      <c r="E45" s="17" t="n">
        <v>3.764705882352942e-07</v>
      </c>
      <c r="F45" s="17" t="n">
        <v>3.764705882352942e-07</v>
      </c>
      <c r="G45" s="17" t="n">
        <v>3.764705882352942e-07</v>
      </c>
      <c r="H45" s="17" t="n">
        <v>3.764705882352942e-07</v>
      </c>
    </row>
    <row r="46">
      <c r="A46" t="inlineStr">
        <is>
          <t>EURO-3</t>
        </is>
      </c>
      <c r="B46" t="inlineStr">
        <is>
          <t>Chromium VI</t>
        </is>
      </c>
      <c r="C46" s="17" t="n">
        <v>7.529411764705882e-10</v>
      </c>
      <c r="D46" s="17" t="n">
        <v>7.529411764705882e-10</v>
      </c>
      <c r="E46" s="17" t="n">
        <v>7.529411764705882e-10</v>
      </c>
      <c r="F46" s="17" t="n">
        <v>7.529411764705882e-10</v>
      </c>
      <c r="G46" s="17" t="n">
        <v>7.529411764705882e-10</v>
      </c>
      <c r="H46" s="17" t="n">
        <v>7.529411764705882e-10</v>
      </c>
      <c r="I46" s="17" t="n"/>
    </row>
    <row r="47">
      <c r="A47" t="inlineStr">
        <is>
          <t>EURO-3</t>
        </is>
      </c>
      <c r="B47" t="inlineStr">
        <is>
          <t>Mercury</t>
        </is>
      </c>
      <c r="C47" s="17" t="n">
        <v>2.047058823529412e-07</v>
      </c>
      <c r="D47" s="17" t="n">
        <v>2.047058823529412e-07</v>
      </c>
      <c r="E47" s="17" t="n">
        <v>2.047058823529412e-07</v>
      </c>
      <c r="F47" s="17" t="n">
        <v>2.047058823529412e-07</v>
      </c>
      <c r="G47" s="17" t="n">
        <v>2.047058823529412e-07</v>
      </c>
      <c r="H47" s="17" t="n">
        <v>2.047058823529412e-07</v>
      </c>
      <c r="I47" s="17" t="n"/>
    </row>
    <row r="48">
      <c r="A48" t="inlineStr">
        <is>
          <t>EURO-3</t>
        </is>
      </c>
      <c r="B48" t="inlineStr">
        <is>
          <t>Cadmium</t>
        </is>
      </c>
      <c r="C48" s="17" t="n">
        <v>2.541176470588236e-07</v>
      </c>
      <c r="D48" s="17" t="n">
        <v>2.541176470588236e-07</v>
      </c>
      <c r="E48" s="17" t="n">
        <v>2.541176470588236e-07</v>
      </c>
      <c r="F48" s="17" t="n">
        <v>2.541176470588236e-07</v>
      </c>
      <c r="G48" s="17" t="n">
        <v>2.541176470588236e-07</v>
      </c>
      <c r="H48" s="17" t="n">
        <v>2.541176470588236e-07</v>
      </c>
      <c r="I48" s="17" t="n"/>
    </row>
    <row r="49">
      <c r="A49" t="inlineStr">
        <is>
          <t>EURO-4</t>
        </is>
      </c>
      <c r="B49" t="inlineStr">
        <is>
          <t>CO</t>
        </is>
      </c>
      <c r="C49" s="7" t="n">
        <v>2.915195448533793</v>
      </c>
      <c r="D49" s="7" t="n">
        <v>3.229915878031015</v>
      </c>
      <c r="E49" s="7" t="n">
        <v>3.522487870247678</v>
      </c>
      <c r="F49" s="7" t="n">
        <v>0.8088974591793967</v>
      </c>
      <c r="G49" s="7" t="n">
        <v>0.09515083247564378</v>
      </c>
      <c r="H49" s="7" t="n">
        <v>0.09514963290397836</v>
      </c>
      <c r="I49" s="17" t="n"/>
    </row>
    <row r="50">
      <c r="A50" t="inlineStr">
        <is>
          <t>EURO-4</t>
        </is>
      </c>
      <c r="B50" t="inlineStr">
        <is>
          <t>NOx</t>
        </is>
      </c>
      <c r="C50" s="7" t="n">
        <v>0.1048938137809793</v>
      </c>
      <c r="D50" s="7" t="n">
        <v>0.1048938137809793</v>
      </c>
      <c r="E50" s="7" t="n">
        <v>0.03886021009066663</v>
      </c>
      <c r="F50" s="7" t="n">
        <v>0.02686988232543534</v>
      </c>
      <c r="G50" s="7" t="n">
        <v>0.009231882767915849</v>
      </c>
      <c r="H50" s="7" t="n">
        <v>0.007049783074210444</v>
      </c>
      <c r="I50" s="17" t="n"/>
    </row>
    <row r="51">
      <c r="A51" t="inlineStr">
        <is>
          <t>EURO-4</t>
        </is>
      </c>
      <c r="B51" t="inlineStr">
        <is>
          <t>VOC</t>
        </is>
      </c>
      <c r="C51" s="7" t="n">
        <v>1.083817741917891</v>
      </c>
      <c r="D51" s="7" t="n">
        <v>0.6432091406217799</v>
      </c>
      <c r="E51" s="7" t="n">
        <v>0.8209904685190476</v>
      </c>
      <c r="F51" s="7" t="n">
        <v>0.09063797219283661</v>
      </c>
      <c r="G51" s="7" t="n">
        <v>0.02307364639176256</v>
      </c>
      <c r="H51" s="7" t="n">
        <v>0.02306688183746259</v>
      </c>
      <c r="I51" s="17" t="n"/>
    </row>
    <row r="52">
      <c r="A52" t="inlineStr">
        <is>
          <t>EURO-4</t>
        </is>
      </c>
      <c r="B52" t="inlineStr">
        <is>
          <t>PM2.5</t>
        </is>
      </c>
      <c r="C52" s="7" t="n">
        <v>0.00803306411823354</v>
      </c>
      <c r="D52" s="7" t="n">
        <v>0.003137412992721197</v>
      </c>
      <c r="E52" s="7" t="n">
        <v>0.01063857814682408</v>
      </c>
      <c r="F52" s="7" t="n">
        <v>0.004948625253067005</v>
      </c>
      <c r="G52" s="7" t="n">
        <v>0.001413313963597871</v>
      </c>
      <c r="H52" s="7" t="n">
        <v>0.001413296145872676</v>
      </c>
      <c r="I52" s="17" t="n"/>
      <c r="AG52" s="15" t="n"/>
      <c r="AH52" s="15" t="n"/>
      <c r="AI52" s="15" t="n"/>
    </row>
    <row r="53">
      <c r="A53" t="inlineStr">
        <is>
          <t>EURO-4</t>
        </is>
      </c>
      <c r="B53" t="inlineStr">
        <is>
          <t>CH4</t>
        </is>
      </c>
      <c r="C53" s="7" t="n">
        <v>0.02756950962395665</v>
      </c>
      <c r="D53" s="7" t="n">
        <v>0.02756950962395665</v>
      </c>
      <c r="E53" s="7" t="n">
        <v>0.01097103371391233</v>
      </c>
      <c r="F53" s="7" t="n">
        <v>0.05542460283435046</v>
      </c>
      <c r="G53" s="7" t="n">
        <v>0.01879707571585168</v>
      </c>
      <c r="H53" s="7" t="n">
        <v>0.01074105070863234</v>
      </c>
      <c r="I53" s="17" t="n"/>
      <c r="AG53" s="15" t="n"/>
      <c r="AH53" s="15" t="n"/>
      <c r="AI53" s="15" t="n"/>
    </row>
    <row r="54">
      <c r="A54" t="inlineStr">
        <is>
          <t>EURO-4</t>
        </is>
      </c>
      <c r="B54" t="inlineStr">
        <is>
          <t>NH3</t>
        </is>
      </c>
      <c r="C54" s="7" t="n">
        <v>0.001398757464432099</v>
      </c>
      <c r="D54" s="7" t="n">
        <v>0.001398757464432099</v>
      </c>
      <c r="E54" s="7" t="n">
        <v>0.001773096357804013</v>
      </c>
      <c r="F54" s="7" t="n">
        <v>0.001979450101226802</v>
      </c>
      <c r="G54" s="7" t="n">
        <v>0.0005653255854391483</v>
      </c>
      <c r="H54" s="7" t="n">
        <v>0.0005653184583490706</v>
      </c>
      <c r="I54" s="17" t="n"/>
      <c r="AG54" s="15" t="n"/>
      <c r="AH54" s="15" t="n"/>
      <c r="AI54" s="15" t="n"/>
    </row>
    <row r="55">
      <c r="A55" t="inlineStr">
        <is>
          <t>EURO-4</t>
        </is>
      </c>
      <c r="B55" t="inlineStr">
        <is>
          <t>N2O</t>
        </is>
      </c>
      <c r="C55" s="7" t="n">
        <v>0.001398757464432099</v>
      </c>
      <c r="D55" s="7" t="n">
        <v>0.001398757464432099</v>
      </c>
      <c r="E55" s="7" t="n">
        <v>0.001773096357804013</v>
      </c>
      <c r="F55" s="7" t="n">
        <v>0.001979450101226802</v>
      </c>
      <c r="G55" s="7" t="n">
        <v>0.0005653255854391483</v>
      </c>
      <c r="H55" s="7" t="n">
        <v>0.0005653184583490706</v>
      </c>
      <c r="I55" s="17" t="n"/>
      <c r="AG55" s="15" t="n"/>
      <c r="AH55" s="15" t="n"/>
      <c r="AI55" s="15" t="n"/>
    </row>
    <row r="56">
      <c r="A56" t="inlineStr">
        <is>
          <t>EURO-4</t>
        </is>
      </c>
      <c r="B56" t="inlineStr">
        <is>
          <t>NMVOC</t>
        </is>
      </c>
      <c r="C56" s="7" t="n">
        <v>0.4903191464436539</v>
      </c>
      <c r="D56" s="7" t="n">
        <v>0.2909878152172933</v>
      </c>
      <c r="E56" s="7" t="n">
        <v>0.3714160879580171</v>
      </c>
      <c r="F56" s="7" t="n">
        <v>0.04100461862003928</v>
      </c>
      <c r="G56" s="7" t="n">
        <v>0.01043851762763338</v>
      </c>
      <c r="H56" s="7" t="n">
        <v>0.01043545734326808</v>
      </c>
      <c r="I56" s="7" t="n"/>
      <c r="AG56" s="15" t="n"/>
      <c r="AH56" s="15" t="n"/>
      <c r="AI56" s="15" t="n"/>
    </row>
    <row r="57">
      <c r="A57" t="inlineStr">
        <is>
          <t>EURO-4</t>
        </is>
      </c>
      <c r="B57" t="inlineStr">
        <is>
          <t>Ethane</t>
        </is>
      </c>
      <c r="C57" s="7" t="n">
        <v>0.03457378596718072</v>
      </c>
      <c r="D57" s="7" t="n">
        <v>0.02051837158583478</v>
      </c>
      <c r="E57" s="7" t="n">
        <v>0.02618959594575761</v>
      </c>
      <c r="F57" s="7" t="n">
        <v>0.002891351312951488</v>
      </c>
      <c r="G57" s="7" t="n">
        <v>0.0007360493198972256</v>
      </c>
      <c r="H57" s="7" t="n">
        <v>0.0007358335306150566</v>
      </c>
      <c r="AG57" s="15" t="n"/>
      <c r="AH57" s="15" t="n"/>
      <c r="AI57" s="15" t="n"/>
    </row>
    <row r="58">
      <c r="A58" t="inlineStr">
        <is>
          <t>EURO-4</t>
        </is>
      </c>
      <c r="B58" t="inlineStr">
        <is>
          <t>Propane</t>
        </is>
      </c>
      <c r="C58" s="7" t="n">
        <v>0.007044815322466291</v>
      </c>
      <c r="D58" s="7" t="n">
        <v>0.00418085941404157</v>
      </c>
      <c r="E58" s="7" t="n">
        <v>0.005336438045373809</v>
      </c>
      <c r="F58" s="7" t="n">
        <v>0.0005891468192534379</v>
      </c>
      <c r="G58" s="7" t="n">
        <v>0.0001499787015464566</v>
      </c>
      <c r="H58" s="7" t="n">
        <v>0.0001499347319435068</v>
      </c>
      <c r="AG58" s="15" t="n"/>
      <c r="AH58" s="15" t="n"/>
      <c r="AI58" s="15" t="n"/>
    </row>
    <row r="59">
      <c r="A59" t="inlineStr">
        <is>
          <t>EURO-4</t>
        </is>
      </c>
      <c r="B59" t="inlineStr">
        <is>
          <t>Butane</t>
        </is>
      </c>
      <c r="C59" s="7" t="n">
        <v>0.05679204967649749</v>
      </c>
      <c r="D59" s="7" t="n">
        <v>0.03370415896858127</v>
      </c>
      <c r="E59" s="7" t="n">
        <v>0.04301990055039809</v>
      </c>
      <c r="F59" s="7" t="n">
        <v>0.004749429742904638</v>
      </c>
      <c r="G59" s="7" t="n">
        <v>0.001209059070928358</v>
      </c>
      <c r="H59" s="7" t="n">
        <v>0.00120870460828304</v>
      </c>
      <c r="I59" s="5" t="n"/>
      <c r="AG59" s="15" t="n"/>
      <c r="AH59" s="15" t="n"/>
      <c r="AI59" s="15" t="n"/>
    </row>
    <row r="60">
      <c r="A60" t="inlineStr">
        <is>
          <t>EURO-4</t>
        </is>
      </c>
      <c r="B60" t="inlineStr">
        <is>
          <t>Pentane</t>
        </is>
      </c>
      <c r="C60" s="7" t="n">
        <v>0.02330208145123465</v>
      </c>
      <c r="D60" s="7" t="n">
        <v>0.01382899652336827</v>
      </c>
      <c r="E60" s="7" t="n">
        <v>0.01765129507315952</v>
      </c>
      <c r="F60" s="7" t="n">
        <v>0.001948716402145987</v>
      </c>
      <c r="G60" s="7" t="n">
        <v>0.000496083397422895</v>
      </c>
      <c r="H60" s="7" t="n">
        <v>0.0004959379595054457</v>
      </c>
      <c r="I60" s="5" t="n"/>
      <c r="AG60" s="15" t="n"/>
      <c r="AH60" s="15" t="n"/>
      <c r="AI60" s="15" t="n"/>
    </row>
    <row r="61">
      <c r="A61" t="inlineStr">
        <is>
          <t>EURO-4</t>
        </is>
      </c>
      <c r="B61" t="inlineStr">
        <is>
          <t>Hexane</t>
        </is>
      </c>
      <c r="C61" s="7" t="n">
        <v>0.01744946564487804</v>
      </c>
      <c r="D61" s="7" t="n">
        <v>0.01035566716401066</v>
      </c>
      <c r="E61" s="7" t="n">
        <v>0.01321794654315666</v>
      </c>
      <c r="F61" s="7" t="n">
        <v>0.001459271352304669</v>
      </c>
      <c r="G61" s="7" t="n">
        <v>0.0003714857069073772</v>
      </c>
      <c r="H61" s="7" t="n">
        <v>0.0003713767975831477</v>
      </c>
      <c r="I61" s="5" t="n"/>
      <c r="AG61" s="15" t="n"/>
      <c r="AH61" s="15" t="n"/>
      <c r="AI61" s="15" t="n"/>
    </row>
    <row r="62">
      <c r="A62" t="inlineStr">
        <is>
          <t>EURO-4</t>
        </is>
      </c>
      <c r="B62" t="inlineStr">
        <is>
          <t>Cyclohexane</t>
        </is>
      </c>
      <c r="C62" s="7" t="n">
        <v>0.01235552225786396</v>
      </c>
      <c r="D62" s="7" t="n">
        <v>0.007332584203088291</v>
      </c>
      <c r="E62" s="7" t="n">
        <v>0.009359291341117142</v>
      </c>
      <c r="F62" s="7" t="n">
        <v>0.001033272882998337</v>
      </c>
      <c r="G62" s="7" t="n">
        <v>0.0002630395688660932</v>
      </c>
      <c r="H62" s="7" t="n">
        <v>0.0002629624529470736</v>
      </c>
      <c r="I62" s="5" t="n"/>
      <c r="AG62" s="15" t="n"/>
      <c r="AH62" s="15" t="n"/>
      <c r="AI62" s="15" t="n"/>
    </row>
    <row r="63">
      <c r="A63" t="inlineStr">
        <is>
          <t>EURO-4</t>
        </is>
      </c>
      <c r="B63" t="inlineStr">
        <is>
          <t>Heptane</t>
        </is>
      </c>
      <c r="C63" s="7" t="n">
        <v>0.008020251290192393</v>
      </c>
      <c r="D63" s="7" t="n">
        <v>0.004759747640601172</v>
      </c>
      <c r="E63" s="7" t="n">
        <v>0.006075329467040952</v>
      </c>
      <c r="F63" s="7" t="n">
        <v>0.0006707209942269909</v>
      </c>
      <c r="G63" s="7" t="n">
        <v>0.000170744983299043</v>
      </c>
      <c r="H63" s="7" t="n">
        <v>0.0001706949255972232</v>
      </c>
      <c r="I63" s="5" t="n"/>
      <c r="AG63" s="15" t="n"/>
      <c r="AH63" s="15" t="n"/>
      <c r="AI63" s="15" t="n"/>
    </row>
    <row r="64">
      <c r="A64" t="inlineStr">
        <is>
          <t>EURO-4</t>
        </is>
      </c>
      <c r="B64" t="inlineStr">
        <is>
          <t>Ethene</t>
        </is>
      </c>
      <c r="C64" s="7" t="n">
        <v>0.07911869516000604</v>
      </c>
      <c r="D64" s="7" t="n">
        <v>0.04695426726538993</v>
      </c>
      <c r="E64" s="7" t="n">
        <v>0.05993230420189047</v>
      </c>
      <c r="F64" s="7" t="n">
        <v>0.006616571970077072</v>
      </c>
      <c r="G64" s="7" t="n">
        <v>0.001684376186598667</v>
      </c>
      <c r="H64" s="7" t="n">
        <v>0.001683882374134769</v>
      </c>
      <c r="I64" s="5" t="n"/>
      <c r="AG64" s="15" t="n"/>
      <c r="AH64" s="15" t="n"/>
      <c r="AI64" s="15" t="n"/>
    </row>
    <row r="65">
      <c r="A65" t="inlineStr">
        <is>
          <t>EURO-4</t>
        </is>
      </c>
      <c r="B65" t="inlineStr">
        <is>
          <t>Propene</t>
        </is>
      </c>
      <c r="C65" s="7" t="n">
        <v>0.04140183774126343</v>
      </c>
      <c r="D65" s="7" t="n">
        <v>0.02457058917175199</v>
      </c>
      <c r="E65" s="7" t="n">
        <v>0.03136183589742762</v>
      </c>
      <c r="F65" s="7" t="n">
        <v>0.003462370537766358</v>
      </c>
      <c r="G65" s="7" t="n">
        <v>0.0008814132921653297</v>
      </c>
      <c r="H65" s="7" t="n">
        <v>0.000881154886191071</v>
      </c>
      <c r="I65" s="5" t="n"/>
      <c r="AG65" s="15" t="n"/>
      <c r="AH65" s="15" t="n"/>
      <c r="AI65" s="15" t="n"/>
    </row>
    <row r="66">
      <c r="A66" t="inlineStr">
        <is>
          <t>EURO-4</t>
        </is>
      </c>
      <c r="B66" t="inlineStr">
        <is>
          <t>1-Pentene</t>
        </is>
      </c>
      <c r="C66" s="7" t="n">
        <v>0.00119219951610968</v>
      </c>
      <c r="D66" s="7" t="n">
        <v>0.0007075300546839579</v>
      </c>
      <c r="E66" s="7" t="n">
        <v>0.0009030895153709523</v>
      </c>
      <c r="F66" s="7" t="n">
        <v>9.970176941212027e-05</v>
      </c>
      <c r="G66" s="7" t="n">
        <v>2.538101103093882e-05</v>
      </c>
      <c r="H66" s="7" t="n">
        <v>2.537357002120885e-05</v>
      </c>
      <c r="I66" s="5" t="n"/>
      <c r="AG66" s="15" t="n"/>
      <c r="AH66" s="15" t="n"/>
      <c r="AI66" s="15" t="n"/>
    </row>
    <row r="67">
      <c r="A67" t="inlineStr">
        <is>
          <t>EURO-4</t>
        </is>
      </c>
      <c r="B67" t="inlineStr">
        <is>
          <t>Benzene</t>
        </is>
      </c>
      <c r="C67" s="7" t="n">
        <v>0.06080217532159368</v>
      </c>
      <c r="D67" s="7" t="n">
        <v>0.03608403278888185</v>
      </c>
      <c r="E67" s="7" t="n">
        <v>0.04605756528391856</v>
      </c>
      <c r="F67" s="7" t="n">
        <v>0.005084790240018133</v>
      </c>
      <c r="G67" s="7" t="n">
        <v>0.001294431562577879</v>
      </c>
      <c r="H67" s="7" t="n">
        <v>0.001294052071081651</v>
      </c>
      <c r="I67" s="5" t="n"/>
      <c r="AG67" s="15" t="n"/>
      <c r="AH67" s="15" t="n"/>
      <c r="AI67" s="15" t="n"/>
    </row>
    <row r="68">
      <c r="A68" t="inlineStr">
        <is>
          <t>EURO-4</t>
        </is>
      </c>
      <c r="B68" t="inlineStr">
        <is>
          <t>Toluene</t>
        </is>
      </c>
      <c r="C68" s="7" t="n">
        <v>0.1190031880625844</v>
      </c>
      <c r="D68" s="7" t="n">
        <v>0.07062436364027143</v>
      </c>
      <c r="E68" s="7" t="n">
        <v>0.09014475344339141</v>
      </c>
      <c r="F68" s="7" t="n">
        <v>0.009952049346773458</v>
      </c>
      <c r="G68" s="7" t="n">
        <v>0.002533486373815529</v>
      </c>
      <c r="H68" s="7" t="n">
        <v>0.002532743625753393</v>
      </c>
      <c r="I68" s="5" t="n"/>
      <c r="AG68" s="15" t="n"/>
      <c r="AH68" s="15" t="n"/>
      <c r="AI68" s="15" t="n"/>
    </row>
    <row r="69">
      <c r="A69" t="inlineStr">
        <is>
          <t>EURO-4</t>
        </is>
      </c>
      <c r="B69" t="inlineStr">
        <is>
          <t>m-Xylene</t>
        </is>
      </c>
      <c r="C69" s="7" t="n">
        <v>0.05885130338614148</v>
      </c>
      <c r="D69" s="7" t="n">
        <v>0.03492625633576265</v>
      </c>
      <c r="E69" s="7" t="n">
        <v>0.04457978244058428</v>
      </c>
      <c r="F69" s="7" t="n">
        <v>0.004921641890071027</v>
      </c>
      <c r="G69" s="7" t="n">
        <v>0.001252898999072707</v>
      </c>
      <c r="H69" s="7" t="n">
        <v>0.001252531683774219</v>
      </c>
      <c r="I69" s="5" t="n"/>
      <c r="AG69" s="15" t="n"/>
      <c r="AH69" s="15" t="n"/>
      <c r="AI69" s="15" t="n"/>
    </row>
    <row r="70">
      <c r="A70" t="inlineStr">
        <is>
          <t>EURO-4</t>
        </is>
      </c>
      <c r="B70" t="inlineStr">
        <is>
          <t>o-Xylene</t>
        </is>
      </c>
      <c r="C70" s="7" t="n">
        <v>0.02449428096734433</v>
      </c>
      <c r="D70" s="7" t="n">
        <v>0.01453652657805223</v>
      </c>
      <c r="E70" s="7" t="n">
        <v>0.01855438458853047</v>
      </c>
      <c r="F70" s="7" t="n">
        <v>0.002048418171558107</v>
      </c>
      <c r="G70" s="7" t="n">
        <v>0.0005214644084538338</v>
      </c>
      <c r="H70" s="7" t="n">
        <v>0.0005213115295266546</v>
      </c>
      <c r="I70" s="5" t="n"/>
      <c r="AG70" s="15" t="n"/>
      <c r="AH70" s="15" t="n"/>
      <c r="AI70" s="15" t="n"/>
    </row>
    <row r="71">
      <c r="A71" t="inlineStr">
        <is>
          <t>EURO-4</t>
        </is>
      </c>
      <c r="B71" t="inlineStr">
        <is>
          <t>Formaldehyde</t>
        </is>
      </c>
      <c r="C71" s="7" t="n">
        <v>0.01842490161260415</v>
      </c>
      <c r="D71" s="7" t="n">
        <v>0.01093455539057026</v>
      </c>
      <c r="E71" s="7" t="n">
        <v>0.01395683796482381</v>
      </c>
      <c r="F71" s="7" t="n">
        <v>0.001540845527278222</v>
      </c>
      <c r="G71" s="7" t="n">
        <v>0.0003922519886599636</v>
      </c>
      <c r="H71" s="7" t="n">
        <v>0.0003921369912368641</v>
      </c>
      <c r="AG71" s="15" t="n"/>
      <c r="AH71" s="15" t="n"/>
      <c r="AI71" s="15" t="n"/>
    </row>
    <row r="72">
      <c r="A72" t="inlineStr">
        <is>
          <t>EURO-4</t>
        </is>
      </c>
      <c r="B72" t="inlineStr">
        <is>
          <t>Acetaldehyde</t>
        </is>
      </c>
      <c r="C72" s="7" t="n">
        <v>0.008128633064384182</v>
      </c>
      <c r="D72" s="7" t="n">
        <v>0.004824068554663349</v>
      </c>
      <c r="E72" s="7" t="n">
        <v>0.006157428513892857</v>
      </c>
      <c r="F72" s="7" t="n">
        <v>0.0006797847914462745</v>
      </c>
      <c r="G72" s="7" t="n">
        <v>0.0001730523479382192</v>
      </c>
      <c r="H72" s="7" t="n">
        <v>0.0001730016137809695</v>
      </c>
      <c r="I72" s="4" t="n"/>
      <c r="L72" s="15" t="n"/>
      <c r="M72" s="15" t="n"/>
      <c r="N72" s="15" t="n"/>
      <c r="AG72" s="15" t="n"/>
      <c r="AH72" s="15" t="n"/>
      <c r="AI72" s="15" t="n"/>
    </row>
    <row r="73">
      <c r="A73" t="inlineStr">
        <is>
          <t>EURO-4</t>
        </is>
      </c>
      <c r="B73" t="inlineStr">
        <is>
          <t>Benzaldehyde</t>
        </is>
      </c>
      <c r="C73" s="7" t="n">
        <v>0.00238439903221936</v>
      </c>
      <c r="D73" s="7" t="n">
        <v>0.001415060109367916</v>
      </c>
      <c r="E73" s="7" t="n">
        <v>0.001806179030741905</v>
      </c>
      <c r="F73" s="7" t="n">
        <v>0.0001994035388242405</v>
      </c>
      <c r="G73" s="7" t="n">
        <v>5.076202206187763e-05</v>
      </c>
      <c r="H73" s="7" t="n">
        <v>5.074714004241771e-05</v>
      </c>
      <c r="I73" s="4" t="n"/>
      <c r="L73" s="15" t="n"/>
      <c r="M73" s="15" t="n"/>
      <c r="N73" s="15" t="n"/>
      <c r="AG73" s="15" t="n"/>
      <c r="AH73" s="15" t="n"/>
      <c r="AI73" s="15" t="n"/>
    </row>
    <row r="74">
      <c r="A74" t="inlineStr">
        <is>
          <t>EURO-4</t>
        </is>
      </c>
      <c r="B74" t="inlineStr">
        <is>
          <t>Acetone</t>
        </is>
      </c>
      <c r="C74" s="7" t="n">
        <v>0.006611288225699135</v>
      </c>
      <c r="D74" s="7" t="n">
        <v>0.003923575757792857</v>
      </c>
      <c r="E74" s="7" t="n">
        <v>0.005008041857966191</v>
      </c>
      <c r="F74" s="7" t="n">
        <v>0.0005528916303763034</v>
      </c>
      <c r="G74" s="7" t="n">
        <v>0.0001407492429897516</v>
      </c>
      <c r="H74" s="7" t="n">
        <v>0.0001407079792085218</v>
      </c>
      <c r="I74" s="4" t="n"/>
      <c r="L74" s="15" t="n"/>
      <c r="M74" s="15" t="n"/>
      <c r="N74" s="15" t="n"/>
    </row>
    <row r="75">
      <c r="A75" t="inlineStr">
        <is>
          <t>EURO-4</t>
        </is>
      </c>
      <c r="B75" t="inlineStr">
        <is>
          <t>Methyl</t>
        </is>
      </c>
      <c r="C75" s="7" t="n">
        <v>0.0005419088709589455</v>
      </c>
      <c r="D75" s="7" t="n">
        <v>0.00032160457031089</v>
      </c>
      <c r="E75" s="7" t="n">
        <v>0.0004104952342595238</v>
      </c>
      <c r="F75" s="7" t="n">
        <v>4.53189860964183e-05</v>
      </c>
      <c r="G75" s="7" t="n">
        <v>1.153682319588128e-05</v>
      </c>
      <c r="H75" s="7" t="n">
        <v>1.15334409187313e-05</v>
      </c>
      <c r="I75" s="4" t="n"/>
      <c r="L75" s="15" t="n"/>
      <c r="M75" s="15" t="n"/>
      <c r="N75" s="15" t="n"/>
    </row>
    <row r="76">
      <c r="A76" t="inlineStr">
        <is>
          <t>EURO-4</t>
        </is>
      </c>
      <c r="B76" t="inlineStr">
        <is>
          <t>Acrolein</t>
        </is>
      </c>
      <c r="C76" s="7" t="n">
        <v>0.002059253709643993</v>
      </c>
      <c r="D76" s="7" t="n">
        <v>0.001222097367181382</v>
      </c>
      <c r="E76" s="7" t="n">
        <v>0.00155988189018619</v>
      </c>
      <c r="F76" s="7" t="n">
        <v>0.0001722121471663895</v>
      </c>
      <c r="G76" s="7" t="n">
        <v>4.383992814434886e-05</v>
      </c>
      <c r="H76" s="7" t="n">
        <v>4.382707549117893e-05</v>
      </c>
      <c r="I76" s="4" t="n"/>
      <c r="L76" s="15" t="n"/>
      <c r="M76" s="15" t="n"/>
      <c r="N76" s="15" t="n"/>
    </row>
    <row r="77">
      <c r="A77" t="inlineStr">
        <is>
          <t>EURO-4</t>
        </is>
      </c>
      <c r="B77" t="inlineStr">
        <is>
          <t>Styrene</t>
        </is>
      </c>
      <c r="C77" s="7" t="n">
        <v>0.0109465591933707</v>
      </c>
      <c r="D77" s="7" t="n">
        <v>0.006496412320279977</v>
      </c>
      <c r="E77" s="7" t="n">
        <v>0.008292003732042381</v>
      </c>
      <c r="F77" s="7" t="n">
        <v>0.0009154435191476497</v>
      </c>
      <c r="G77" s="7" t="n">
        <v>0.0002330438285568018</v>
      </c>
      <c r="H77" s="7" t="n">
        <v>0.0002329755065583722</v>
      </c>
      <c r="I77" s="4" t="n"/>
      <c r="L77" s="15" t="n"/>
      <c r="M77" s="15" t="n"/>
      <c r="N77" s="15" t="n"/>
    </row>
    <row r="78">
      <c r="A78" t="inlineStr">
        <is>
          <t>EURO-4</t>
        </is>
      </c>
      <c r="B78" t="inlineStr">
        <is>
          <t>PAHs</t>
        </is>
      </c>
      <c r="C78" s="17" t="n">
        <v>8.188235294117648e-07</v>
      </c>
      <c r="D78" s="17" t="n">
        <v>8.188235294117648e-07</v>
      </c>
      <c r="E78" s="17" t="n">
        <v>8.188235294117648e-07</v>
      </c>
      <c r="F78" s="17" t="n">
        <v>8.188235294117648e-07</v>
      </c>
      <c r="G78" s="17" t="n">
        <v>8.188235294117648e-07</v>
      </c>
      <c r="H78" s="17" t="n">
        <v>8.188235294117648e-07</v>
      </c>
      <c r="I78" s="4" t="n"/>
      <c r="L78" s="15" t="n"/>
      <c r="M78" s="15" t="n"/>
      <c r="N78" s="15" t="n"/>
    </row>
    <row r="79">
      <c r="A79" t="inlineStr">
        <is>
          <t>EURO-4</t>
        </is>
      </c>
      <c r="B79" t="inlineStr">
        <is>
          <t>Arsenic</t>
        </is>
      </c>
      <c r="C79" s="17" t="n">
        <v>7.058823529411765e-09</v>
      </c>
      <c r="D79" s="17" t="n">
        <v>7.058823529411765e-09</v>
      </c>
      <c r="E79" s="17" t="n">
        <v>7.058823529411765e-09</v>
      </c>
      <c r="F79" s="17" t="n">
        <v>7.058823529411765e-09</v>
      </c>
      <c r="G79" s="17" t="n">
        <v>7.058823529411765e-09</v>
      </c>
      <c r="H79" s="17" t="n">
        <v>7.058823529411765e-09</v>
      </c>
      <c r="I79" s="4" t="n"/>
      <c r="L79" s="15" t="n"/>
      <c r="M79" s="15" t="n"/>
      <c r="N79" s="15" t="n"/>
    </row>
    <row r="80">
      <c r="A80" t="inlineStr">
        <is>
          <t>EURO-4</t>
        </is>
      </c>
      <c r="B80" t="inlineStr">
        <is>
          <t>Selenium</t>
        </is>
      </c>
      <c r="C80" s="17" t="n">
        <v>4.705882352941177e-09</v>
      </c>
      <c r="D80" s="17" t="n">
        <v>4.705882352941177e-09</v>
      </c>
      <c r="E80" s="17" t="n">
        <v>4.705882352941177e-09</v>
      </c>
      <c r="F80" s="17" t="n">
        <v>4.705882352941177e-09</v>
      </c>
      <c r="G80" s="17" t="n">
        <v>4.705882352941177e-09</v>
      </c>
      <c r="H80" s="17" t="n">
        <v>4.705882352941177e-09</v>
      </c>
      <c r="I80" s="4" t="n"/>
      <c r="L80" s="15" t="n"/>
      <c r="M80" s="15" t="n"/>
      <c r="N80" s="15" t="n"/>
    </row>
    <row r="81">
      <c r="A81" t="inlineStr">
        <is>
          <t>EURO-4</t>
        </is>
      </c>
      <c r="B81" t="inlineStr">
        <is>
          <t>Zinc</t>
        </is>
      </c>
      <c r="C81" s="17" t="n">
        <v>5.082352941176471e-05</v>
      </c>
      <c r="D81" s="17" t="n">
        <v>5.082352941176471e-05</v>
      </c>
      <c r="E81" s="17" t="n">
        <v>5.082352941176471e-05</v>
      </c>
      <c r="F81" s="17" t="n">
        <v>5.082352941176471e-05</v>
      </c>
      <c r="G81" s="17" t="n">
        <v>5.082352941176471e-05</v>
      </c>
      <c r="H81" s="17" t="n">
        <v>5.082352941176471e-05</v>
      </c>
      <c r="I81" s="4" t="n"/>
      <c r="L81" s="15" t="n"/>
      <c r="M81" s="15" t="n"/>
      <c r="N81" s="15" t="n"/>
    </row>
    <row r="82">
      <c r="A82" t="inlineStr">
        <is>
          <t>EURO-4</t>
        </is>
      </c>
      <c r="B82" t="inlineStr">
        <is>
          <t>Copper</t>
        </is>
      </c>
      <c r="C82" s="17" t="n">
        <v>9.88235294117647e-07</v>
      </c>
      <c r="D82" s="17" t="n">
        <v>9.88235294117647e-07</v>
      </c>
      <c r="E82" s="17" t="n">
        <v>9.88235294117647e-07</v>
      </c>
      <c r="F82" s="17" t="n">
        <v>9.88235294117647e-07</v>
      </c>
      <c r="G82" s="17" t="n">
        <v>9.88235294117647e-07</v>
      </c>
      <c r="H82" s="17" t="n">
        <v>9.88235294117647e-07</v>
      </c>
      <c r="I82" s="4" t="n"/>
      <c r="L82" s="15" t="n"/>
      <c r="M82" s="15" t="n"/>
      <c r="N82" s="15" t="n"/>
    </row>
    <row r="83">
      <c r="A83" t="inlineStr">
        <is>
          <t>EURO-4</t>
        </is>
      </c>
      <c r="B83" t="inlineStr">
        <is>
          <t>Nickel</t>
        </is>
      </c>
      <c r="C83" s="17" t="n">
        <v>3.058823529411765e-07</v>
      </c>
      <c r="D83" s="17" t="n">
        <v>3.058823529411765e-07</v>
      </c>
      <c r="E83" s="17" t="n">
        <v>3.058823529411765e-07</v>
      </c>
      <c r="F83" s="17" t="n">
        <v>3.058823529411765e-07</v>
      </c>
      <c r="G83" s="17" t="n">
        <v>3.058823529411765e-07</v>
      </c>
      <c r="H83" s="17" t="n">
        <v>3.058823529411765e-07</v>
      </c>
      <c r="I83" s="4" t="n"/>
      <c r="L83" s="15" t="n"/>
      <c r="M83" s="15" t="n"/>
      <c r="N83" s="15" t="n"/>
    </row>
    <row r="84">
      <c r="A84" t="inlineStr">
        <is>
          <t>EURO-4</t>
        </is>
      </c>
      <c r="B84" t="inlineStr">
        <is>
          <t>Chromium</t>
        </is>
      </c>
      <c r="C84" s="17" t="n">
        <v>3.764705882352942e-07</v>
      </c>
      <c r="D84" s="17" t="n">
        <v>3.764705882352942e-07</v>
      </c>
      <c r="E84" s="17" t="n">
        <v>3.764705882352942e-07</v>
      </c>
      <c r="F84" s="17" t="n">
        <v>3.764705882352942e-07</v>
      </c>
      <c r="G84" s="17" t="n">
        <v>3.764705882352942e-07</v>
      </c>
      <c r="H84" s="17" t="n">
        <v>3.764705882352942e-07</v>
      </c>
      <c r="I84" s="4" t="n"/>
      <c r="L84" s="15" t="n"/>
      <c r="M84" s="15" t="n"/>
      <c r="N84" s="15" t="n"/>
    </row>
    <row r="85">
      <c r="A85" t="inlineStr">
        <is>
          <t>EURO-4</t>
        </is>
      </c>
      <c r="B85" t="inlineStr">
        <is>
          <t>Chromium VI</t>
        </is>
      </c>
      <c r="C85" s="17" t="n">
        <v>7.529411764705882e-10</v>
      </c>
      <c r="D85" s="17" t="n">
        <v>7.529411764705882e-10</v>
      </c>
      <c r="E85" s="17" t="n">
        <v>7.529411764705882e-10</v>
      </c>
      <c r="F85" s="17" t="n">
        <v>7.529411764705882e-10</v>
      </c>
      <c r="G85" s="17" t="n">
        <v>7.529411764705882e-10</v>
      </c>
      <c r="H85" s="17" t="n">
        <v>7.529411764705882e-10</v>
      </c>
      <c r="I85" s="4" t="n"/>
      <c r="L85" s="15" t="n"/>
      <c r="M85" s="15" t="n"/>
      <c r="N85" s="15" t="n"/>
    </row>
    <row r="86">
      <c r="A86" t="inlineStr">
        <is>
          <t>EURO-4</t>
        </is>
      </c>
      <c r="B86" t="inlineStr">
        <is>
          <t>Mercury</t>
        </is>
      </c>
      <c r="C86" s="17" t="n">
        <v>2.047058823529412e-07</v>
      </c>
      <c r="D86" s="17" t="n">
        <v>2.047058823529412e-07</v>
      </c>
      <c r="E86" s="17" t="n">
        <v>2.047058823529412e-07</v>
      </c>
      <c r="F86" s="17" t="n">
        <v>2.047058823529412e-07</v>
      </c>
      <c r="G86" s="17" t="n">
        <v>2.047058823529412e-07</v>
      </c>
      <c r="H86" s="17" t="n">
        <v>2.047058823529412e-07</v>
      </c>
      <c r="I86" s="4" t="n"/>
      <c r="L86" s="15" t="n"/>
      <c r="M86" s="15" t="n"/>
      <c r="N86" s="15" t="n"/>
    </row>
    <row r="87">
      <c r="A87" t="inlineStr">
        <is>
          <t>EURO-4</t>
        </is>
      </c>
      <c r="B87" t="inlineStr">
        <is>
          <t>Cadmium</t>
        </is>
      </c>
      <c r="C87" s="17" t="n">
        <v>2.541176470588236e-07</v>
      </c>
      <c r="D87" s="17" t="n">
        <v>2.541176470588236e-07</v>
      </c>
      <c r="E87" s="17" t="n">
        <v>2.541176470588236e-07</v>
      </c>
      <c r="F87" s="17" t="n">
        <v>2.541176470588236e-07</v>
      </c>
      <c r="G87" s="17" t="n">
        <v>2.541176470588236e-07</v>
      </c>
      <c r="H87" s="17" t="n">
        <v>2.541176470588236e-07</v>
      </c>
      <c r="I87" s="4" t="n"/>
      <c r="L87" s="15" t="n"/>
      <c r="M87" s="15" t="n"/>
      <c r="N87" s="15" t="n"/>
    </row>
    <row r="88">
      <c r="A88" t="inlineStr">
        <is>
          <t>EURO-5</t>
        </is>
      </c>
      <c r="B88" t="inlineStr">
        <is>
          <t>CO</t>
        </is>
      </c>
      <c r="C88" s="7" t="n">
        <v>2.915195448533793</v>
      </c>
      <c r="D88" s="7" t="n">
        <v>3.229915878031015</v>
      </c>
      <c r="E88" s="7" t="n">
        <v>1.458592634362179</v>
      </c>
      <c r="F88" s="7" t="n">
        <v>0.708341892150957</v>
      </c>
      <c r="G88" s="7" t="n">
        <v>0.08345515188546349</v>
      </c>
      <c r="H88" s="7" t="n">
        <v>0.08345409976187267</v>
      </c>
      <c r="I88" s="4" t="n"/>
      <c r="L88" s="15" t="n"/>
      <c r="M88" s="15" t="n"/>
      <c r="N88" s="15" t="n"/>
    </row>
    <row r="89">
      <c r="A89" t="inlineStr">
        <is>
          <t>EURO-5</t>
        </is>
      </c>
      <c r="B89" t="inlineStr">
        <is>
          <t>NOx</t>
        </is>
      </c>
      <c r="C89" s="7" t="n">
        <v>0.1048938137809793</v>
      </c>
      <c r="D89" s="7" t="n">
        <v>0.1048938137809793</v>
      </c>
      <c r="E89" s="7" t="n">
        <v>0.02614342523924559</v>
      </c>
      <c r="F89" s="7" t="n">
        <v>0.01821059018432937</v>
      </c>
      <c r="G89" s="7" t="n">
        <v>0.006162014101297245</v>
      </c>
      <c r="H89" s="7" t="n">
        <v>0.004758166232255664</v>
      </c>
      <c r="I89" s="4" t="n"/>
      <c r="L89" s="15" t="n"/>
      <c r="M89" s="15" t="n"/>
      <c r="N89" s="15" t="n"/>
    </row>
    <row r="90">
      <c r="A90" t="inlineStr">
        <is>
          <t>EURO-5</t>
        </is>
      </c>
      <c r="B90" t="inlineStr">
        <is>
          <t>VOC</t>
        </is>
      </c>
      <c r="C90" s="7" t="n">
        <v>1.083817741917891</v>
      </c>
      <c r="D90" s="7" t="n">
        <v>0.6432091406217799</v>
      </c>
      <c r="E90" s="7" t="n">
        <v>0.48292296293836</v>
      </c>
      <c r="F90" s="7" t="n">
        <v>0.05322018522501874</v>
      </c>
      <c r="G90" s="7" t="n">
        <v>0.01358896597733622</v>
      </c>
      <c r="H90" s="7" t="n">
        <v>0.01358317576604453</v>
      </c>
      <c r="I90" s="4" t="n"/>
      <c r="L90" s="15" t="n"/>
      <c r="M90" s="15" t="n"/>
      <c r="N90" s="15" t="n"/>
    </row>
    <row r="91">
      <c r="A91" t="inlineStr">
        <is>
          <t>EURO-5</t>
        </is>
      </c>
      <c r="B91" t="inlineStr">
        <is>
          <t>PM2.5</t>
        </is>
      </c>
      <c r="C91" s="7" t="n">
        <v>0.00803306411823354</v>
      </c>
      <c r="D91" s="7" t="n">
        <v>0.003137412992721197</v>
      </c>
      <c r="E91" s="7" t="n">
        <v>0.01063857814682408</v>
      </c>
      <c r="F91" s="7" t="n">
        <v>0.004948625253067005</v>
      </c>
      <c r="G91" s="7" t="n">
        <v>0.001413313963597871</v>
      </c>
      <c r="H91" s="7" t="n">
        <v>0.001413296145872676</v>
      </c>
      <c r="I91" s="4" t="n"/>
      <c r="L91" s="15" t="n"/>
      <c r="M91" s="15" t="n"/>
      <c r="N91" s="15" t="n"/>
    </row>
    <row r="92">
      <c r="A92" t="inlineStr">
        <is>
          <t>EURO-5</t>
        </is>
      </c>
      <c r="B92" t="inlineStr">
        <is>
          <t>CH4</t>
        </is>
      </c>
      <c r="C92" s="7" t="n">
        <v>0.02756950962395665</v>
      </c>
      <c r="D92" s="7" t="n">
        <v>0.02756950962395665</v>
      </c>
      <c r="E92" s="7" t="n">
        <v>0.01097103371391233</v>
      </c>
      <c r="F92" s="7" t="n">
        <v>0.05542460283435046</v>
      </c>
      <c r="G92" s="7" t="n">
        <v>0.01879707571585168</v>
      </c>
      <c r="H92" s="7" t="n">
        <v>0.01074105070863234</v>
      </c>
      <c r="I92" s="4" t="n"/>
      <c r="L92" s="15" t="n"/>
      <c r="M92" s="15" t="n"/>
      <c r="N92" s="15" t="n"/>
    </row>
    <row r="93">
      <c r="A93" t="inlineStr">
        <is>
          <t>EURO-5</t>
        </is>
      </c>
      <c r="B93" t="inlineStr">
        <is>
          <t>NH3</t>
        </is>
      </c>
      <c r="C93" s="7" t="n">
        <v>0.001398757464432099</v>
      </c>
      <c r="D93" s="7" t="n">
        <v>0.001398757464432099</v>
      </c>
      <c r="E93" s="7" t="n">
        <v>0.001773096357804013</v>
      </c>
      <c r="F93" s="7" t="n">
        <v>0.001979450101226802</v>
      </c>
      <c r="G93" s="7" t="n">
        <v>0.0005653255854391483</v>
      </c>
      <c r="H93" s="7" t="n">
        <v>0.0005653184583490706</v>
      </c>
      <c r="I93" s="4" t="n"/>
      <c r="L93" s="15" t="n"/>
      <c r="M93" s="15" t="n"/>
      <c r="N93" s="15" t="n"/>
    </row>
    <row r="94">
      <c r="A94" t="inlineStr">
        <is>
          <t>EURO-5</t>
        </is>
      </c>
      <c r="B94" t="inlineStr">
        <is>
          <t>N2O</t>
        </is>
      </c>
      <c r="C94" s="7" t="n">
        <v>0.001398757464432099</v>
      </c>
      <c r="D94" s="7" t="n">
        <v>0.001398757464432099</v>
      </c>
      <c r="E94" s="7" t="n">
        <v>0.001773096357804013</v>
      </c>
      <c r="F94" s="7" t="n">
        <v>0.001979450101226802</v>
      </c>
      <c r="G94" s="7" t="n">
        <v>0.0005653255854391483</v>
      </c>
      <c r="H94" s="7" t="n">
        <v>0.0005653184583490706</v>
      </c>
    </row>
    <row r="95">
      <c r="A95" t="inlineStr">
        <is>
          <t>EURO-5</t>
        </is>
      </c>
      <c r="B95" t="inlineStr">
        <is>
          <t>NMVOC</t>
        </is>
      </c>
      <c r="C95" s="7" t="n">
        <v>0.4903191464436539</v>
      </c>
      <c r="D95" s="7" t="n">
        <v>0.2909878152172933</v>
      </c>
      <c r="E95" s="7" t="n">
        <v>0.2184743484333141</v>
      </c>
      <c r="F95" s="7" t="n">
        <v>0.02407681179579848</v>
      </c>
      <c r="G95" s="7" t="n">
        <v>0.006147648208146907</v>
      </c>
      <c r="H95" s="7" t="n">
        <v>0.006145028716558548</v>
      </c>
    </row>
    <row r="96">
      <c r="A96" t="inlineStr">
        <is>
          <t>EURO-5</t>
        </is>
      </c>
      <c r="B96" t="inlineStr">
        <is>
          <t>Ethane</t>
        </is>
      </c>
      <c r="C96" s="7" t="n">
        <v>0.03457378596718072</v>
      </c>
      <c r="D96" s="7" t="n">
        <v>0.02051837158583478</v>
      </c>
      <c r="E96" s="7" t="n">
        <v>0.01540524251773368</v>
      </c>
      <c r="F96" s="7" t="n">
        <v>0.001697723908678098</v>
      </c>
      <c r="G96" s="7" t="n">
        <v>0.0004334880146770254</v>
      </c>
      <c r="H96" s="7" t="n">
        <v>0.0004333033069368206</v>
      </c>
    </row>
    <row r="97">
      <c r="A97" t="inlineStr">
        <is>
          <t>EURO-5</t>
        </is>
      </c>
      <c r="B97" t="inlineStr">
        <is>
          <t>Propane</t>
        </is>
      </c>
      <c r="C97" s="7" t="n">
        <v>0.007044815322466291</v>
      </c>
      <c r="D97" s="7" t="n">
        <v>0.00418085941404157</v>
      </c>
      <c r="E97" s="7" t="n">
        <v>0.00313899925909934</v>
      </c>
      <c r="F97" s="7" t="n">
        <v>0.0003459312039626218</v>
      </c>
      <c r="G97" s="7" t="n">
        <v>8.832827885268543e-05</v>
      </c>
      <c r="H97" s="7" t="n">
        <v>8.829064247928947e-05</v>
      </c>
    </row>
    <row r="98">
      <c r="A98" t="inlineStr">
        <is>
          <t>EURO-5</t>
        </is>
      </c>
      <c r="B98" t="inlineStr">
        <is>
          <t>Butane</t>
        </is>
      </c>
      <c r="C98" s="7" t="n">
        <v>0.05679204967649749</v>
      </c>
      <c r="D98" s="7" t="n">
        <v>0.03370415896858127</v>
      </c>
      <c r="E98" s="7" t="n">
        <v>0.02530516325797006</v>
      </c>
      <c r="F98" s="7" t="n">
        <v>0.002788737705790982</v>
      </c>
      <c r="G98" s="7" t="n">
        <v>0.000712061817212418</v>
      </c>
      <c r="H98" s="7" t="n">
        <v>0.0007117584101407336</v>
      </c>
    </row>
    <row r="99">
      <c r="A99" t="inlineStr">
        <is>
          <t>EURO-5</t>
        </is>
      </c>
      <c r="B99" t="inlineStr">
        <is>
          <t>Pentane</t>
        </is>
      </c>
      <c r="C99" s="7" t="n">
        <v>0.02330208145123465</v>
      </c>
      <c r="D99" s="7" t="n">
        <v>0.01382899652336827</v>
      </c>
      <c r="E99" s="7" t="n">
        <v>0.01038284370317474</v>
      </c>
      <c r="F99" s="7" t="n">
        <v>0.001144233982337903</v>
      </c>
      <c r="G99" s="7" t="n">
        <v>0.0002921627685127288</v>
      </c>
      <c r="H99" s="7" t="n">
        <v>0.0002920382789699575</v>
      </c>
    </row>
    <row r="100">
      <c r="A100" t="inlineStr">
        <is>
          <t>EURO-5</t>
        </is>
      </c>
      <c r="B100" t="inlineStr">
        <is>
          <t>Hexane</t>
        </is>
      </c>
      <c r="C100" s="7" t="n">
        <v>0.01744946564487804</v>
      </c>
      <c r="D100" s="7" t="n">
        <v>0.01035566716401066</v>
      </c>
      <c r="E100" s="7" t="n">
        <v>0.007775059703307595</v>
      </c>
      <c r="F100" s="7" t="n">
        <v>0.0008568449821228016</v>
      </c>
      <c r="G100" s="7" t="n">
        <v>0.0002187823522351132</v>
      </c>
      <c r="H100" s="7" t="n">
        <v>0.000218689129833317</v>
      </c>
    </row>
    <row r="101">
      <c r="A101" t="inlineStr">
        <is>
          <t>EURO-5</t>
        </is>
      </c>
      <c r="B101" t="inlineStr">
        <is>
          <t>Cyclohexane</t>
        </is>
      </c>
      <c r="C101" s="7" t="n">
        <v>0.01235552225786396</v>
      </c>
      <c r="D101" s="7" t="n">
        <v>0.007332584203088291</v>
      </c>
      <c r="E101" s="7" t="n">
        <v>0.005505321777497304</v>
      </c>
      <c r="F101" s="7" t="n">
        <v>0.0006067101115652137</v>
      </c>
      <c r="G101" s="7" t="n">
        <v>0.0001549142121416329</v>
      </c>
      <c r="H101" s="7" t="n">
        <v>0.0001548482037329077</v>
      </c>
    </row>
    <row r="102">
      <c r="A102" t="inlineStr">
        <is>
          <t>EURO-5</t>
        </is>
      </c>
      <c r="B102" t="inlineStr">
        <is>
          <t>Heptane</t>
        </is>
      </c>
      <c r="C102" s="7" t="n">
        <v>0.008020251290192393</v>
      </c>
      <c r="D102" s="7" t="n">
        <v>0.004759747640601172</v>
      </c>
      <c r="E102" s="7" t="n">
        <v>0.003573629925743864</v>
      </c>
      <c r="F102" s="7" t="n">
        <v>0.0003938293706651387</v>
      </c>
      <c r="G102" s="7" t="n">
        <v>0.0001005583482322881</v>
      </c>
      <c r="H102" s="7" t="n">
        <v>0.0001005155006687296</v>
      </c>
    </row>
    <row r="103">
      <c r="A103" t="inlineStr">
        <is>
          <t>EURO-5</t>
        </is>
      </c>
      <c r="B103" t="inlineStr">
        <is>
          <t>Ethene</t>
        </is>
      </c>
      <c r="C103" s="7" t="n">
        <v>0.07911869516000604</v>
      </c>
      <c r="D103" s="7" t="n">
        <v>0.04695426726538993</v>
      </c>
      <c r="E103" s="7" t="n">
        <v>0.03525337629450027</v>
      </c>
      <c r="F103" s="7" t="n">
        <v>0.003885073521426368</v>
      </c>
      <c r="G103" s="7" t="n">
        <v>0.0009919945163455442</v>
      </c>
      <c r="H103" s="7" t="n">
        <v>0.000991571830921251</v>
      </c>
    </row>
    <row r="104">
      <c r="A104" t="inlineStr">
        <is>
          <t>EURO-5</t>
        </is>
      </c>
      <c r="B104" t="inlineStr">
        <is>
          <t>Propene</t>
        </is>
      </c>
      <c r="C104" s="7" t="n">
        <v>0.04140183774126343</v>
      </c>
      <c r="D104" s="7" t="n">
        <v>0.02457058917175199</v>
      </c>
      <c r="E104" s="7" t="n">
        <v>0.01844765718424535</v>
      </c>
      <c r="F104" s="7" t="n">
        <v>0.002033011075595715</v>
      </c>
      <c r="G104" s="7" t="n">
        <v>0.0005190985003342436</v>
      </c>
      <c r="H104" s="7" t="n">
        <v>0.0005188773142629012</v>
      </c>
    </row>
    <row r="105">
      <c r="A105" t="inlineStr">
        <is>
          <t>EURO-5</t>
        </is>
      </c>
      <c r="B105" t="inlineStr">
        <is>
          <t>1-Pentene</t>
        </is>
      </c>
      <c r="C105" s="7" t="n">
        <v>0.00119219951610968</v>
      </c>
      <c r="D105" s="7" t="n">
        <v>0.0007075300546839579</v>
      </c>
      <c r="E105" s="7" t="n">
        <v>0.000531215259232196</v>
      </c>
      <c r="F105" s="7" t="n">
        <v>5.854220374752061e-05</v>
      </c>
      <c r="G105" s="7" t="n">
        <v>1.494786257506985e-05</v>
      </c>
      <c r="H105" s="7" t="n">
        <v>1.494149334264899e-05</v>
      </c>
    </row>
    <row r="106">
      <c r="A106" t="inlineStr">
        <is>
          <t>EURO-5</t>
        </is>
      </c>
      <c r="B106" t="inlineStr">
        <is>
          <t>Benzene</t>
        </is>
      </c>
      <c r="C106" s="7" t="n">
        <v>0.06080217532159368</v>
      </c>
      <c r="D106" s="7" t="n">
        <v>0.03608403278888185</v>
      </c>
      <c r="E106" s="7" t="n">
        <v>0.02709197822084199</v>
      </c>
      <c r="F106" s="7" t="n">
        <v>0.002985652391123551</v>
      </c>
      <c r="G106" s="7" t="n">
        <v>0.000762340991328562</v>
      </c>
      <c r="H106" s="7" t="n">
        <v>0.0007620161604750984</v>
      </c>
    </row>
    <row r="107">
      <c r="A107" t="inlineStr">
        <is>
          <t>EURO-5</t>
        </is>
      </c>
      <c r="B107" t="inlineStr">
        <is>
          <t>Toluene</t>
        </is>
      </c>
      <c r="C107" s="7" t="n">
        <v>0.1190031880625844</v>
      </c>
      <c r="D107" s="7" t="n">
        <v>0.07062436364027143</v>
      </c>
      <c r="E107" s="7" t="n">
        <v>0.05302494133063192</v>
      </c>
      <c r="F107" s="7" t="n">
        <v>0.005843576337707057</v>
      </c>
      <c r="G107" s="7" t="n">
        <v>0.001492068464311517</v>
      </c>
      <c r="H107" s="7" t="n">
        <v>0.00149143269911169</v>
      </c>
    </row>
    <row r="108">
      <c r="A108" t="inlineStr">
        <is>
          <t>EURO-5</t>
        </is>
      </c>
      <c r="B108" t="inlineStr">
        <is>
          <t>m-Xylene</t>
        </is>
      </c>
      <c r="C108" s="7" t="n">
        <v>0.05885130338614148</v>
      </c>
      <c r="D108" s="7" t="n">
        <v>0.03492625633576265</v>
      </c>
      <c r="E108" s="7" t="n">
        <v>0.02622271688755294</v>
      </c>
      <c r="F108" s="7" t="n">
        <v>0.002889856057718518</v>
      </c>
      <c r="G108" s="7" t="n">
        <v>0.0007378808525693569</v>
      </c>
      <c r="H108" s="7" t="n">
        <v>0.0007375664440962183</v>
      </c>
      <c r="I108" s="6" t="n"/>
      <c r="L108" s="6" t="n"/>
      <c r="M108" s="6" t="n"/>
      <c r="N108" s="6" t="n"/>
    </row>
    <row r="109">
      <c r="A109" t="inlineStr">
        <is>
          <t>EURO-5</t>
        </is>
      </c>
      <c r="B109" t="inlineStr">
        <is>
          <t>o-Xylene</t>
        </is>
      </c>
      <c r="C109" s="7" t="n">
        <v>0.02449428096734433</v>
      </c>
      <c r="D109" s="7" t="n">
        <v>0.01453652657805223</v>
      </c>
      <c r="E109" s="7" t="n">
        <v>0.01091405896240693</v>
      </c>
      <c r="F109" s="7" t="n">
        <v>0.001202776186085423</v>
      </c>
      <c r="G109" s="7" t="n">
        <v>0.0003071106310877986</v>
      </c>
      <c r="H109" s="7" t="n">
        <v>0.0003069797723126065</v>
      </c>
      <c r="I109" s="6" t="n"/>
      <c r="L109" s="6" t="n"/>
      <c r="M109" s="6" t="n"/>
      <c r="N109" s="6" t="n"/>
    </row>
    <row r="110">
      <c r="A110" t="inlineStr">
        <is>
          <t>EURO-5</t>
        </is>
      </c>
      <c r="B110" t="inlineStr">
        <is>
          <t>Formaldehyde</t>
        </is>
      </c>
      <c r="C110" s="7" t="n">
        <v>0.01842490161260415</v>
      </c>
      <c r="D110" s="7" t="n">
        <v>0.01093455539057026</v>
      </c>
      <c r="E110" s="7" t="n">
        <v>0.00820969036995212</v>
      </c>
      <c r="F110" s="7" t="n">
        <v>0.0009047431488253186</v>
      </c>
      <c r="G110" s="7" t="n">
        <v>0.0002310124216147158</v>
      </c>
      <c r="H110" s="7" t="n">
        <v>0.0002309139880227571</v>
      </c>
      <c r="I110" s="6" t="n"/>
      <c r="L110" s="6" t="n"/>
      <c r="M110" s="6" t="n"/>
      <c r="N110" s="6" t="n"/>
    </row>
    <row r="111">
      <c r="A111" t="inlineStr">
        <is>
          <t>EURO-5</t>
        </is>
      </c>
      <c r="B111" t="inlineStr">
        <is>
          <t>Acetaldehyde</t>
        </is>
      </c>
      <c r="C111" s="7" t="n">
        <v>0.008128633064384182</v>
      </c>
      <c r="D111" s="7" t="n">
        <v>0.004824068554663349</v>
      </c>
      <c r="E111" s="7" t="n">
        <v>0.0036219222220377</v>
      </c>
      <c r="F111" s="7" t="n">
        <v>0.0003991513891876405</v>
      </c>
      <c r="G111" s="7" t="n">
        <v>0.0001019172448300217</v>
      </c>
      <c r="H111" s="7" t="n">
        <v>0.000101873818245334</v>
      </c>
      <c r="I111" s="6" t="n"/>
      <c r="L111" s="6" t="n"/>
      <c r="M111" s="6" t="n"/>
      <c r="N111" s="6" t="n"/>
    </row>
    <row r="112">
      <c r="A112" t="inlineStr">
        <is>
          <t>EURO-5</t>
        </is>
      </c>
      <c r="B112" t="inlineStr">
        <is>
          <t>Benzaldehyde</t>
        </is>
      </c>
      <c r="C112" s="7" t="n">
        <v>0.00238439903221936</v>
      </c>
      <c r="D112" s="7" t="n">
        <v>0.001415060109367916</v>
      </c>
      <c r="E112" s="7" t="n">
        <v>0.001062430518464392</v>
      </c>
      <c r="F112" s="7" t="n">
        <v>0.0001170844074950412</v>
      </c>
      <c r="G112" s="7" t="n">
        <v>2.989572515013969e-05</v>
      </c>
      <c r="H112" s="7" t="n">
        <v>2.988298668529798e-05</v>
      </c>
    </row>
    <row r="113">
      <c r="A113" t="inlineStr">
        <is>
          <t>EURO-5</t>
        </is>
      </c>
      <c r="B113" t="inlineStr">
        <is>
          <t>Acetone</t>
        </is>
      </c>
      <c r="C113" s="7" t="n">
        <v>0.006611288225699135</v>
      </c>
      <c r="D113" s="7" t="n">
        <v>0.003923575757792857</v>
      </c>
      <c r="E113" s="7" t="n">
        <v>0.002945830073923996</v>
      </c>
      <c r="F113" s="7" t="n">
        <v>0.0003246431298726143</v>
      </c>
      <c r="G113" s="7" t="n">
        <v>8.289269246175096e-05</v>
      </c>
      <c r="H113" s="7" t="n">
        <v>8.285737217287166e-05</v>
      </c>
    </row>
    <row r="114">
      <c r="A114" t="inlineStr">
        <is>
          <t>EURO-5</t>
        </is>
      </c>
      <c r="B114" t="inlineStr">
        <is>
          <t>Methyl</t>
        </is>
      </c>
      <c r="C114" s="7" t="n">
        <v>0.0005419088709589455</v>
      </c>
      <c r="D114" s="7" t="n">
        <v>0.00032160457031089</v>
      </c>
      <c r="E114" s="7" t="n">
        <v>0.00024146148146918</v>
      </c>
      <c r="F114" s="7" t="n">
        <v>2.661009261250937e-05</v>
      </c>
      <c r="G114" s="7" t="n">
        <v>6.794482988668111e-06</v>
      </c>
      <c r="H114" s="7" t="n">
        <v>6.791587883022267e-06</v>
      </c>
    </row>
    <row r="115">
      <c r="A115" t="inlineStr">
        <is>
          <t>EURO-5</t>
        </is>
      </c>
      <c r="B115" t="inlineStr">
        <is>
          <t>Acrolein</t>
        </is>
      </c>
      <c r="C115" s="7" t="n">
        <v>0.002059253709643993</v>
      </c>
      <c r="D115" s="7" t="n">
        <v>0.001222097367181382</v>
      </c>
      <c r="E115" s="7" t="n">
        <v>0.0009175536295828839</v>
      </c>
      <c r="F115" s="7" t="n">
        <v>0.0001011183519275356</v>
      </c>
      <c r="G115" s="7" t="n">
        <v>2.581903535693882e-05</v>
      </c>
      <c r="H115" s="7" t="n">
        <v>2.580803395548461e-05</v>
      </c>
      <c r="I115" s="5" t="n"/>
      <c r="L115" s="6" t="n"/>
      <c r="M115" s="6" t="n"/>
    </row>
    <row r="116">
      <c r="A116" t="inlineStr">
        <is>
          <t>EURO-5</t>
        </is>
      </c>
      <c r="B116" t="inlineStr">
        <is>
          <t>Styrene</t>
        </is>
      </c>
      <c r="C116" s="7" t="n">
        <v>0.0109465591933707</v>
      </c>
      <c r="D116" s="7" t="n">
        <v>0.006496412320279977</v>
      </c>
      <c r="E116" s="7" t="n">
        <v>0.004877521925677435</v>
      </c>
      <c r="F116" s="7" t="n">
        <v>0.0005375238707726892</v>
      </c>
      <c r="G116" s="7" t="n">
        <v>0.0001372485563710958</v>
      </c>
      <c r="H116" s="7" t="n">
        <v>0.0001371900752370498</v>
      </c>
      <c r="I116" s="5" t="n"/>
      <c r="L116" s="6" t="n"/>
      <c r="M116" s="6" t="n"/>
    </row>
    <row r="117">
      <c r="A117" t="inlineStr">
        <is>
          <t>EURO-5</t>
        </is>
      </c>
      <c r="B117" t="inlineStr">
        <is>
          <t>PAHs</t>
        </is>
      </c>
      <c r="C117" s="17" t="n">
        <v>8.188235294117648e-07</v>
      </c>
      <c r="D117" s="17" t="n">
        <v>8.188235294117648e-07</v>
      </c>
      <c r="E117" s="17" t="n">
        <v>8.188235294117648e-07</v>
      </c>
      <c r="F117" s="17" t="n">
        <v>8.188235294117648e-07</v>
      </c>
      <c r="G117" s="17" t="n">
        <v>8.188235294117648e-07</v>
      </c>
      <c r="H117" s="17" t="n">
        <v>8.188235294117648e-07</v>
      </c>
      <c r="I117" s="5" t="n"/>
      <c r="L117" s="6" t="n"/>
      <c r="M117" s="6" t="n"/>
    </row>
    <row r="118">
      <c r="A118" t="inlineStr">
        <is>
          <t>EURO-5</t>
        </is>
      </c>
      <c r="B118" t="inlineStr">
        <is>
          <t>Arsenic</t>
        </is>
      </c>
      <c r="C118" s="17" t="n">
        <v>7.058823529411765e-09</v>
      </c>
      <c r="D118" s="17" t="n">
        <v>7.058823529411765e-09</v>
      </c>
      <c r="E118" s="17" t="n">
        <v>7.058823529411765e-09</v>
      </c>
      <c r="F118" s="17" t="n">
        <v>7.058823529411765e-09</v>
      </c>
      <c r="G118" s="17" t="n">
        <v>7.058823529411765e-09</v>
      </c>
      <c r="H118" s="17" t="n">
        <v>7.058823529411765e-09</v>
      </c>
      <c r="I118" s="4" t="n"/>
      <c r="L118" s="6" t="n"/>
      <c r="M118" s="6" t="n"/>
    </row>
    <row r="119">
      <c r="A119" t="inlineStr">
        <is>
          <t>EURO-5</t>
        </is>
      </c>
      <c r="B119" t="inlineStr">
        <is>
          <t>Selenium</t>
        </is>
      </c>
      <c r="C119" s="17" t="n">
        <v>4.705882352941177e-09</v>
      </c>
      <c r="D119" s="17" t="n">
        <v>4.705882352941177e-09</v>
      </c>
      <c r="E119" s="17" t="n">
        <v>4.705882352941177e-09</v>
      </c>
      <c r="F119" s="17" t="n">
        <v>4.705882352941177e-09</v>
      </c>
      <c r="G119" s="17" t="n">
        <v>4.705882352941177e-09</v>
      </c>
      <c r="H119" s="17" t="n">
        <v>4.705882352941177e-09</v>
      </c>
    </row>
    <row r="120">
      <c r="A120" t="inlineStr">
        <is>
          <t>EURO-5</t>
        </is>
      </c>
      <c r="B120" t="inlineStr">
        <is>
          <t>Zinc</t>
        </is>
      </c>
      <c r="C120" s="17" t="n">
        <v>5.082352941176471e-05</v>
      </c>
      <c r="D120" s="17" t="n">
        <v>5.082352941176471e-05</v>
      </c>
      <c r="E120" s="17" t="n">
        <v>5.082352941176471e-05</v>
      </c>
      <c r="F120" s="17" t="n">
        <v>5.082352941176471e-05</v>
      </c>
      <c r="G120" s="17" t="n">
        <v>5.082352941176471e-05</v>
      </c>
      <c r="H120" s="17" t="n">
        <v>5.082352941176471e-05</v>
      </c>
    </row>
    <row r="121">
      <c r="A121" t="inlineStr">
        <is>
          <t>EURO-5</t>
        </is>
      </c>
      <c r="B121" t="inlineStr">
        <is>
          <t>Copper</t>
        </is>
      </c>
      <c r="C121" s="17" t="n">
        <v>9.88235294117647e-07</v>
      </c>
      <c r="D121" s="17" t="n">
        <v>9.88235294117647e-07</v>
      </c>
      <c r="E121" s="17" t="n">
        <v>9.88235294117647e-07</v>
      </c>
      <c r="F121" s="17" t="n">
        <v>9.88235294117647e-07</v>
      </c>
      <c r="G121" s="17" t="n">
        <v>9.88235294117647e-07</v>
      </c>
      <c r="H121" s="17" t="n">
        <v>9.88235294117647e-07</v>
      </c>
    </row>
    <row r="122">
      <c r="A122" t="inlineStr">
        <is>
          <t>EURO-5</t>
        </is>
      </c>
      <c r="B122" t="inlineStr">
        <is>
          <t>Nickel</t>
        </is>
      </c>
      <c r="C122" s="17" t="n">
        <v>3.058823529411765e-07</v>
      </c>
      <c r="D122" s="17" t="n">
        <v>3.058823529411765e-07</v>
      </c>
      <c r="E122" s="17" t="n">
        <v>3.058823529411765e-07</v>
      </c>
      <c r="F122" s="17" t="n">
        <v>3.058823529411765e-07</v>
      </c>
      <c r="G122" s="17" t="n">
        <v>3.058823529411765e-07</v>
      </c>
      <c r="H122" s="17" t="n">
        <v>3.058823529411765e-07</v>
      </c>
      <c r="I122" s="5" t="n"/>
      <c r="L122" s="6" t="n"/>
      <c r="M122" s="6" t="n"/>
    </row>
    <row r="123">
      <c r="A123" t="inlineStr">
        <is>
          <t>EURO-5</t>
        </is>
      </c>
      <c r="B123" t="inlineStr">
        <is>
          <t>Chromium</t>
        </is>
      </c>
      <c r="C123" s="17" t="n">
        <v>3.764705882352942e-07</v>
      </c>
      <c r="D123" s="17" t="n">
        <v>3.764705882352942e-07</v>
      </c>
      <c r="E123" s="17" t="n">
        <v>3.764705882352942e-07</v>
      </c>
      <c r="F123" s="17" t="n">
        <v>3.764705882352942e-07</v>
      </c>
      <c r="G123" s="17" t="n">
        <v>3.764705882352942e-07</v>
      </c>
      <c r="H123" s="17" t="n">
        <v>3.764705882352942e-07</v>
      </c>
      <c r="I123" s="5" t="n"/>
      <c r="L123" s="6" t="n"/>
      <c r="M123" s="6" t="n"/>
    </row>
    <row r="124">
      <c r="A124" t="inlineStr">
        <is>
          <t>EURO-5</t>
        </is>
      </c>
      <c r="B124" t="inlineStr">
        <is>
          <t>Chromium VI</t>
        </is>
      </c>
      <c r="C124" s="17" t="n">
        <v>7.529411764705882e-10</v>
      </c>
      <c r="D124" s="17" t="n">
        <v>7.529411764705882e-10</v>
      </c>
      <c r="E124" s="17" t="n">
        <v>7.529411764705882e-10</v>
      </c>
      <c r="F124" s="17" t="n">
        <v>7.529411764705882e-10</v>
      </c>
      <c r="G124" s="17" t="n">
        <v>7.529411764705882e-10</v>
      </c>
      <c r="H124" s="17" t="n">
        <v>7.529411764705882e-10</v>
      </c>
      <c r="I124" s="5" t="n"/>
      <c r="L124" s="6" t="n"/>
      <c r="M124" s="6" t="n"/>
    </row>
    <row r="125">
      <c r="A125" t="inlineStr">
        <is>
          <t>EURO-5</t>
        </is>
      </c>
      <c r="B125" t="inlineStr">
        <is>
          <t>Mercury</t>
        </is>
      </c>
      <c r="C125" s="17" t="n">
        <v>2.047058823529412e-07</v>
      </c>
      <c r="D125" s="17" t="n">
        <v>2.047058823529412e-07</v>
      </c>
      <c r="E125" s="17" t="n">
        <v>2.047058823529412e-07</v>
      </c>
      <c r="F125" s="17" t="n">
        <v>2.047058823529412e-07</v>
      </c>
      <c r="G125" s="17" t="n">
        <v>2.047058823529412e-07</v>
      </c>
      <c r="H125" s="17" t="n">
        <v>2.047058823529412e-07</v>
      </c>
      <c r="I125" s="4" t="n"/>
      <c r="L125" s="6" t="n"/>
      <c r="M125" s="4" t="n"/>
    </row>
    <row r="126">
      <c r="A126" t="inlineStr">
        <is>
          <t>EURO-5</t>
        </is>
      </c>
      <c r="B126" t="inlineStr">
        <is>
          <t>Cadmium</t>
        </is>
      </c>
      <c r="C126" s="17" t="n">
        <v>2.541176470588236e-07</v>
      </c>
      <c r="D126" s="17" t="n">
        <v>2.541176470588236e-07</v>
      </c>
      <c r="E126" s="17" t="n">
        <v>2.541176470588236e-07</v>
      </c>
      <c r="F126" s="17" t="n">
        <v>2.541176470588236e-07</v>
      </c>
      <c r="G126" s="17" t="n">
        <v>2.541176470588236e-07</v>
      </c>
      <c r="H126" s="17" t="n">
        <v>2.541176470588236e-07</v>
      </c>
    </row>
  </sheetData>
  <pageMargins left="0.7" right="0.7" top="0.75" bottom="0.75" header="0.3" footer="0.3"/>
  <pageSetup orientation="portrait" horizontalDpi="300" verticalDpi="300"/>
</worksheet>
</file>

<file path=xl/worksheets/sheet9.xml><?xml version="1.0" encoding="utf-8"?>
<worksheet xmlns="http://schemas.openxmlformats.org/spreadsheetml/2006/main">
  <sheetPr>
    <outlinePr summaryBelow="1" summaryRight="1"/>
    <pageSetUpPr/>
  </sheetPr>
  <dimension ref="A1:H82"/>
  <sheetViews>
    <sheetView workbookViewId="0">
      <selection activeCell="H41" sqref="H41"/>
    </sheetView>
  </sheetViews>
  <sheetFormatPr baseColWidth="10" defaultColWidth="8.83203125" defaultRowHeight="15"/>
  <cols>
    <col width="42.33203125" bestFit="1" customWidth="1" min="1" max="1"/>
    <col width="12.33203125" bestFit="1" customWidth="1" min="6" max="6"/>
    <col width="28.6640625" bestFit="1" customWidth="1" min="7" max="7"/>
    <col width="20" bestFit="1" customWidth="1" min="8" max="8"/>
    <col width="12.6640625" bestFit="1" customWidth="1" min="11" max="12"/>
    <col width="12" bestFit="1" customWidth="1" min="13" max="13"/>
  </cols>
  <sheetData>
    <row r="1">
      <c r="A1" s="8" t="inlineStr">
        <is>
          <t>Database</t>
        </is>
      </c>
      <c r="B1" t="inlineStr">
        <is>
          <t>MobiTool - other vehicles</t>
        </is>
      </c>
    </row>
    <row r="2"/>
    <row r="3" ht="16" customHeight="1">
      <c r="A3" s="10" t="inlineStr">
        <is>
          <t>Activity</t>
        </is>
      </c>
      <c r="B3" s="8" t="inlineStr">
        <is>
          <t>Kick Scooter, battery electric, &lt;1kW</t>
        </is>
      </c>
    </row>
    <row r="4">
      <c r="A4" t="inlineStr">
        <is>
          <t>location</t>
        </is>
      </c>
      <c r="B4" t="inlineStr">
        <is>
          <t>CH</t>
        </is>
      </c>
    </row>
    <row r="5">
      <c r="A5" t="inlineStr">
        <is>
          <t>vehicle</t>
        </is>
      </c>
      <c r="B5" t="inlineStr">
        <is>
          <t>Kick Scooter, battery electric, &lt;1kW</t>
        </is>
      </c>
    </row>
    <row r="6">
      <c r="A6" t="inlineStr">
        <is>
          <t>size</t>
        </is>
      </c>
    </row>
    <row r="7">
      <c r="A7" t="inlineStr">
        <is>
          <t>year</t>
        </is>
      </c>
      <c r="B7" t="n">
        <v>2020</v>
      </c>
    </row>
    <row r="8">
      <c r="A8" t="inlineStr">
        <is>
          <t>full name</t>
        </is>
      </c>
      <c r="B8" t="inlineStr">
        <is>
          <t>Kick Scooter, battery electric, &lt;1kW - 2020 - NMC - CH</t>
        </is>
      </c>
    </row>
    <row r="9">
      <c r="A9" t="inlineStr">
        <is>
          <t>reference product</t>
        </is>
      </c>
      <c r="B9" t="inlineStr">
        <is>
          <t>Kick Scooter, battery electric, &lt;1kW</t>
        </is>
      </c>
    </row>
    <row r="10">
      <c r="A10" t="inlineStr">
        <is>
          <t>type</t>
        </is>
      </c>
      <c r="B10" t="inlineStr">
        <is>
          <t>process</t>
        </is>
      </c>
    </row>
    <row r="11">
      <c r="A11" t="inlineStr">
        <is>
          <t>unit</t>
        </is>
      </c>
      <c r="B11" t="inlineStr">
        <is>
          <t>unit</t>
        </is>
      </c>
    </row>
    <row r="12">
      <c r="A12" t="inlineStr">
        <is>
          <t>source</t>
        </is>
      </c>
      <c r="B12" t="inlineStr">
        <is>
          <t>Sacchi R., Bauer C. Life cycle inventories for on-road vehicles. Paul Scherrer Institut, 2021.</t>
        </is>
      </c>
    </row>
    <row r="13">
      <c r="A13" t="inlineStr">
        <is>
          <t>lifetime</t>
        </is>
      </c>
      <c r="B13" t="n">
        <v>1785</v>
      </c>
    </row>
    <row r="14">
      <c r="A14" t="inlineStr">
        <is>
          <t>passengers</t>
        </is>
      </c>
      <c r="B14" t="n">
        <v>1</v>
      </c>
    </row>
    <row r="15">
      <c r="A15" t="inlineStr">
        <is>
          <t>service</t>
        </is>
      </c>
      <c r="B15" t="n">
        <v>0</v>
      </c>
    </row>
    <row r="16">
      <c r="A16" t="inlineStr">
        <is>
          <t>battery replacement</t>
        </is>
      </c>
      <c r="B16" t="n">
        <v>0</v>
      </c>
    </row>
    <row r="17">
      <c r="A17" t="inlineStr">
        <is>
          <t>annual kilometers</t>
        </is>
      </c>
      <c r="B17" t="n">
        <v>890</v>
      </c>
    </row>
    <row r="18">
      <c r="A18" t="inlineStr">
        <is>
          <t>curb mass</t>
        </is>
      </c>
      <c r="B18" t="n">
        <v>11.625</v>
      </c>
    </row>
    <row r="19">
      <c r="A19" t="inlineStr">
        <is>
          <t>power</t>
        </is>
      </c>
      <c r="B19" t="n">
        <v>0.25</v>
      </c>
    </row>
    <row r="20">
      <c r="A20" t="inlineStr">
        <is>
          <t>battery type</t>
        </is>
      </c>
      <c r="B20" s="19" t="inlineStr">
        <is>
          <t>NMC</t>
        </is>
      </c>
    </row>
    <row r="21">
      <c r="A21" t="inlineStr">
        <is>
          <t>battery mass</t>
        </is>
      </c>
      <c r="B21" t="n">
        <v>1.625</v>
      </c>
    </row>
    <row r="22">
      <c r="A22" t="inlineStr">
        <is>
          <t>electricity, low voltage</t>
        </is>
      </c>
      <c r="B22" t="n">
        <v>0.25</v>
      </c>
    </row>
    <row r="23">
      <c r="A23" t="inlineStr">
        <is>
          <t>battery capacity available</t>
        </is>
      </c>
      <c r="B23" t="n">
        <v>0.2</v>
      </c>
    </row>
    <row r="24">
      <c r="A24" t="inlineStr">
        <is>
          <t>tank capacity</t>
        </is>
      </c>
      <c r="B24" t="n">
        <v>0</v>
      </c>
    </row>
    <row r="25">
      <c r="A25" t="inlineStr">
        <is>
          <t>fuel mass</t>
        </is>
      </c>
      <c r="B25" t="n">
        <v>0</v>
      </c>
    </row>
    <row r="26">
      <c r="A26" t="inlineStr">
        <is>
          <t>range</t>
        </is>
      </c>
      <c r="B26" t="n">
        <v>8.359813084112149</v>
      </c>
    </row>
    <row r="27">
      <c r="A27" t="inlineStr">
        <is>
          <t>emission standard</t>
        </is>
      </c>
      <c r="B27" t="inlineStr">
        <is>
          <t>None</t>
        </is>
      </c>
    </row>
    <row r="28">
      <c r="A28" t="inlineStr">
        <is>
          <t>Glider lightweighting</t>
        </is>
      </c>
      <c r="B28" s="6" t="n">
        <v>0</v>
      </c>
    </row>
    <row r="29">
      <c r="A29" t="inlineStr">
        <is>
          <t>origin</t>
        </is>
      </c>
      <c r="B29" s="6" t="inlineStr">
        <is>
          <t>China</t>
        </is>
      </c>
    </row>
    <row r="30">
      <c r="A30" t="inlineStr">
        <is>
          <t>distance by ship [km]</t>
        </is>
      </c>
      <c r="B30" s="2" t="n">
        <v>15900</v>
      </c>
    </row>
    <row r="31">
      <c r="A31" t="inlineStr">
        <is>
          <t>distance by truck [km]</t>
        </is>
      </c>
      <c r="B31" s="2" t="n">
        <v>1000</v>
      </c>
    </row>
    <row r="32">
      <c r="A32" t="inlineStr">
        <is>
          <t>comment</t>
        </is>
      </c>
      <c r="B32" t="inlineStr">
        <is>
          <t>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33" ht="16" customHeight="1">
      <c r="A33" s="10" t="inlineStr">
        <is>
          <t>Exchanges</t>
        </is>
      </c>
    </row>
    <row r="34">
      <c r="A34" t="inlineStr">
        <is>
          <t>name</t>
        </is>
      </c>
      <c r="B34" t="inlineStr">
        <is>
          <t>amount</t>
        </is>
      </c>
      <c r="C34" t="inlineStr">
        <is>
          <t>location</t>
        </is>
      </c>
      <c r="D34" t="inlineStr">
        <is>
          <t>unit</t>
        </is>
      </c>
      <c r="E34" t="inlineStr">
        <is>
          <t>categories</t>
        </is>
      </c>
      <c r="F34" t="inlineStr">
        <is>
          <t>type</t>
        </is>
      </c>
      <c r="G34" t="inlineStr">
        <is>
          <t>comment</t>
        </is>
      </c>
      <c r="H34" t="inlineStr">
        <is>
          <t>reference product</t>
        </is>
      </c>
    </row>
    <row r="35">
      <c r="A35" t="inlineStr">
        <is>
          <t>Kick Scooter, battery electric, &lt;1kW</t>
        </is>
      </c>
      <c r="B35" t="n">
        <v>1</v>
      </c>
      <c r="C35" t="inlineStr">
        <is>
          <t>CH</t>
        </is>
      </c>
      <c r="D35" t="inlineStr">
        <is>
          <t>unit</t>
        </is>
      </c>
      <c r="F35" t="inlineStr">
        <is>
          <t>production</t>
        </is>
      </c>
      <c r="H35" t="inlineStr">
        <is>
          <t>Kick Scooter, battery electric, &lt;1kW</t>
        </is>
      </c>
    </row>
    <row r="36">
      <c r="A36" t="inlineStr">
        <is>
          <t>bicycle production</t>
        </is>
      </c>
      <c r="B36" s="4" t="n">
        <v>0.4117647058823529</v>
      </c>
      <c r="C36" t="inlineStr">
        <is>
          <t>RER</t>
        </is>
      </c>
      <c r="D36" t="inlineStr">
        <is>
          <t>unit</t>
        </is>
      </c>
      <c r="F36" t="inlineStr">
        <is>
          <t>technosphere</t>
        </is>
      </c>
      <c r="G36" t="inlineStr">
        <is>
          <t>Glider base mass [kg]</t>
        </is>
      </c>
      <c r="H36" t="inlineStr">
        <is>
          <t>bicycle</t>
        </is>
      </c>
    </row>
    <row r="37">
      <c r="A37" t="inlineStr">
        <is>
          <t>market for electric motor, vehicle</t>
        </is>
      </c>
      <c r="B37" s="4" t="n">
        <v>3</v>
      </c>
      <c r="C37" t="inlineStr">
        <is>
          <t>GLO</t>
        </is>
      </c>
      <c r="D37" t="inlineStr">
        <is>
          <t>kilogram</t>
        </is>
      </c>
      <c r="F37" t="inlineStr">
        <is>
          <t>technosphere</t>
        </is>
      </c>
      <c r="G37" t="inlineStr">
        <is>
          <t>Electric powertrain mass [kg]</t>
        </is>
      </c>
      <c r="H37" t="inlineStr">
        <is>
          <t>electric motor, vehicle</t>
        </is>
      </c>
    </row>
    <row r="38">
      <c r="A38" t="inlineStr">
        <is>
          <t>Glider lightweighting</t>
        </is>
      </c>
      <c r="B38" s="11" t="n">
        <v>0</v>
      </c>
      <c r="C38" t="inlineStr">
        <is>
          <t>GLO</t>
        </is>
      </c>
      <c r="D38" t="inlineStr">
        <is>
          <t>kilogram</t>
        </is>
      </c>
      <c r="F38" t="inlineStr">
        <is>
          <t>technosphere</t>
        </is>
      </c>
      <c r="G38" t="inlineStr">
        <is>
          <t>Lightweighting rate [%]</t>
        </is>
      </c>
      <c r="H38" t="inlineStr">
        <is>
          <t>Glider lightweighting</t>
        </is>
      </c>
    </row>
    <row r="39">
      <c r="A39" t="inlineStr">
        <is>
          <t>market for battery capacity (MIX scenario)</t>
        </is>
      </c>
      <c r="B39" s="4" t="n">
        <v>0.25</v>
      </c>
      <c r="C39" t="inlineStr">
        <is>
          <t>GLO</t>
        </is>
      </c>
      <c r="D39" t="inlineStr">
        <is>
          <t>kilowatt hour</t>
        </is>
      </c>
      <c r="F39" t="inlineStr">
        <is>
          <t>technosphere</t>
        </is>
      </c>
      <c r="H39" t="inlineStr">
        <is>
          <t>electricity storage capacity</t>
        </is>
      </c>
    </row>
    <row r="40">
      <c r="A40" t="inlineStr">
        <is>
          <t>charging station, 100W</t>
        </is>
      </c>
      <c r="B40" s="4" t="n">
        <v>1</v>
      </c>
      <c r="C40" t="inlineStr">
        <is>
          <t>GLO</t>
        </is>
      </c>
      <c r="D40" t="inlineStr">
        <is>
          <t>unit</t>
        </is>
      </c>
      <c r="F40" t="inlineStr">
        <is>
          <t>technosphere</t>
        </is>
      </c>
      <c r="G40" t="inlineStr">
        <is>
          <t>Charging station per vehicle [unit]</t>
        </is>
      </c>
      <c r="H40" t="inlineStr">
        <is>
          <t>charging station, 100W</t>
        </is>
      </c>
    </row>
    <row r="41">
      <c r="A41" t="inlineStr">
        <is>
          <t>treatment of used electric bicycle</t>
        </is>
      </c>
      <c r="B41" s="4" t="n">
        <v>-0.125</v>
      </c>
      <c r="C41" t="inlineStr">
        <is>
          <t>CH</t>
        </is>
      </c>
      <c r="D41" t="inlineStr">
        <is>
          <t>unit</t>
        </is>
      </c>
      <c r="F41" t="inlineStr">
        <is>
          <t>technosphere</t>
        </is>
      </c>
      <c r="G41" t="inlineStr">
        <is>
          <t>Discarding powertrain [kg]</t>
        </is>
      </c>
      <c r="H41" t="inlineStr">
        <is>
          <t>used electric bicycle</t>
        </is>
      </c>
    </row>
    <row r="42">
      <c r="A42" t="inlineStr">
        <is>
          <t>treatment of used bicycle</t>
        </is>
      </c>
      <c r="B42" s="4" t="n">
        <v>-0.4117647058823529</v>
      </c>
      <c r="C42" t="inlineStr">
        <is>
          <t>CH</t>
        </is>
      </c>
      <c r="D42" t="inlineStr">
        <is>
          <t>unit</t>
        </is>
      </c>
      <c r="F42" t="inlineStr">
        <is>
          <t>technosphere</t>
        </is>
      </c>
      <c r="G42" t="inlineStr">
        <is>
          <t>Discarding glider [kg]</t>
        </is>
      </c>
      <c r="H42" t="inlineStr">
        <is>
          <t>used bicycle</t>
        </is>
      </c>
    </row>
    <row r="43">
      <c r="A43" s="35" t="inlineStr">
        <is>
          <t>market for transport, freight, lorry, unspecified</t>
        </is>
      </c>
      <c r="B43" t="n">
        <v>11.625</v>
      </c>
      <c r="C43" t="inlineStr">
        <is>
          <t>RER</t>
        </is>
      </c>
      <c r="D43" t="inlineStr">
        <is>
          <t>ton kilometer</t>
        </is>
      </c>
      <c r="F43" t="inlineStr">
        <is>
          <t>technosphere</t>
        </is>
      </c>
      <c r="H43" s="13" t="inlineStr">
        <is>
          <t>transport, freight, lorry, unspecified</t>
        </is>
      </c>
    </row>
    <row r="44">
      <c r="A44" s="35" t="inlineStr">
        <is>
          <t>transport, freight, sea, container ship</t>
        </is>
      </c>
      <c r="B44" s="2" t="n">
        <v>184.8375</v>
      </c>
      <c r="C44" t="inlineStr">
        <is>
          <t>GLO</t>
        </is>
      </c>
      <c r="D44" t="inlineStr">
        <is>
          <t>ton kilometer</t>
        </is>
      </c>
      <c r="F44" t="inlineStr">
        <is>
          <t>technosphere</t>
        </is>
      </c>
      <c r="H44" s="13" t="inlineStr">
        <is>
          <t>transport, freight, sea, container ship</t>
        </is>
      </c>
    </row>
    <row r="45"/>
    <row r="46"/>
    <row r="47" ht="16" customHeight="1">
      <c r="A47" s="10" t="inlineStr">
        <is>
          <t>Activity</t>
        </is>
      </c>
      <c r="B47" s="8" t="inlineStr">
        <is>
          <t>transport, Kick Scooter, battery electric, &lt;1kW</t>
        </is>
      </c>
    </row>
    <row r="48">
      <c r="A48" t="inlineStr">
        <is>
          <t>location</t>
        </is>
      </c>
      <c r="B48" t="inlineStr">
        <is>
          <t>CH</t>
        </is>
      </c>
    </row>
    <row r="49">
      <c r="A49" t="inlineStr">
        <is>
          <t>vehicle</t>
        </is>
      </c>
      <c r="B49" t="inlineStr">
        <is>
          <t>Kick Scooter, battery electric, &lt;1kW</t>
        </is>
      </c>
    </row>
    <row r="50">
      <c r="A50" t="inlineStr">
        <is>
          <t>size</t>
        </is>
      </c>
    </row>
    <row r="51">
      <c r="A51" t="inlineStr">
        <is>
          <t>year</t>
        </is>
      </c>
      <c r="B51" t="n">
        <v>2020</v>
      </c>
    </row>
    <row r="52">
      <c r="A52" t="inlineStr">
        <is>
          <t>full name</t>
        </is>
      </c>
      <c r="B52" t="inlineStr">
        <is>
          <t>Kick Scooter, battery electric, &lt;1kW - 2020 - NMC - CH</t>
        </is>
      </c>
    </row>
    <row r="53">
      <c r="A53" t="inlineStr">
        <is>
          <t>reference product</t>
        </is>
      </c>
      <c r="B53" t="inlineStr">
        <is>
          <t>transport, Kick Scooter, battery electric, &lt;1kW</t>
        </is>
      </c>
    </row>
    <row r="54">
      <c r="A54" t="inlineStr">
        <is>
          <t>type</t>
        </is>
      </c>
      <c r="B54" t="inlineStr">
        <is>
          <t>process</t>
        </is>
      </c>
    </row>
    <row r="55">
      <c r="A55" t="inlineStr">
        <is>
          <t>unit</t>
        </is>
      </c>
      <c r="B55" t="inlineStr">
        <is>
          <t>kilometer</t>
        </is>
      </c>
    </row>
    <row r="56">
      <c r="A56" t="inlineStr">
        <is>
          <t>source</t>
        </is>
      </c>
      <c r="B56" t="inlineStr">
        <is>
          <t>Sacchi R., Bauer C. Life cycle inventories for on-road vehicles. Paul Scherrer Institut, 2021.</t>
        </is>
      </c>
    </row>
    <row r="57">
      <c r="A57" t="inlineStr">
        <is>
          <t>lifetime</t>
        </is>
      </c>
      <c r="B57" t="n">
        <v>1785</v>
      </c>
    </row>
    <row r="58">
      <c r="A58" t="inlineStr">
        <is>
          <t>passengers</t>
        </is>
      </c>
      <c r="B58" t="n">
        <v>1</v>
      </c>
    </row>
    <row r="59">
      <c r="A59" t="inlineStr">
        <is>
          <t>service</t>
        </is>
      </c>
      <c r="B59" t="n">
        <v>0</v>
      </c>
    </row>
    <row r="60">
      <c r="A60" t="inlineStr">
        <is>
          <t>battery replacement</t>
        </is>
      </c>
      <c r="B60" t="n">
        <v>0</v>
      </c>
    </row>
    <row r="61">
      <c r="A61" t="inlineStr">
        <is>
          <t>annual kilometers</t>
        </is>
      </c>
      <c r="B61" t="n">
        <v>890</v>
      </c>
    </row>
    <row r="62">
      <c r="A62" t="inlineStr">
        <is>
          <t>curb mass</t>
        </is>
      </c>
      <c r="B62" t="n">
        <v>11.625</v>
      </c>
    </row>
    <row r="63">
      <c r="A63" t="inlineStr">
        <is>
          <t>power</t>
        </is>
      </c>
      <c r="B63" t="n">
        <v>0.25</v>
      </c>
    </row>
    <row r="64">
      <c r="A64" t="inlineStr">
        <is>
          <t>battery type</t>
        </is>
      </c>
      <c r="B64" t="inlineStr">
        <is>
          <t>NMC</t>
        </is>
      </c>
    </row>
    <row r="65">
      <c r="A65" t="inlineStr">
        <is>
          <t>battery mass</t>
        </is>
      </c>
      <c r="B65" t="n">
        <v>1.625</v>
      </c>
    </row>
    <row r="66">
      <c r="A66" t="inlineStr">
        <is>
          <t>electricity, low voltage</t>
        </is>
      </c>
      <c r="B66" t="n">
        <v>0.25</v>
      </c>
    </row>
    <row r="67">
      <c r="A67" t="inlineStr">
        <is>
          <t>battery capacity available</t>
        </is>
      </c>
      <c r="B67" t="n">
        <v>0.2</v>
      </c>
    </row>
    <row r="68">
      <c r="A68" t="inlineStr">
        <is>
          <t>tank capacity</t>
        </is>
      </c>
      <c r="B68" t="n">
        <v>0</v>
      </c>
    </row>
    <row r="69">
      <c r="A69" t="inlineStr">
        <is>
          <t>fuel mass</t>
        </is>
      </c>
      <c r="B69" t="n">
        <v>0</v>
      </c>
    </row>
    <row r="70">
      <c r="A70" t="inlineStr">
        <is>
          <t>range</t>
        </is>
      </c>
      <c r="B70" t="n">
        <v>8.359813084112149</v>
      </c>
    </row>
    <row r="71">
      <c r="A71" t="inlineStr">
        <is>
          <t>emission standard</t>
        </is>
      </c>
      <c r="B71" t="inlineStr">
        <is>
          <t>None</t>
        </is>
      </c>
    </row>
    <row r="72">
      <c r="A72" t="inlineStr">
        <is>
          <t>Glider lightweighting</t>
        </is>
      </c>
      <c r="B72" s="6" t="n">
        <v>0</v>
      </c>
    </row>
    <row r="73">
      <c r="A73" t="inlineStr">
        <is>
          <t>comment</t>
        </is>
      </c>
      <c r="B73" t="inlineStr">
        <is>
          <t>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74" ht="16" customHeight="1">
      <c r="A74" s="10" t="inlineStr">
        <is>
          <t>Exchanges</t>
        </is>
      </c>
    </row>
    <row r="75">
      <c r="A75" t="inlineStr">
        <is>
          <t>name</t>
        </is>
      </c>
      <c r="B75" t="inlineStr">
        <is>
          <t>amount</t>
        </is>
      </c>
      <c r="C75" t="inlineStr">
        <is>
          <t>location</t>
        </is>
      </c>
      <c r="D75" t="inlineStr">
        <is>
          <t>unit</t>
        </is>
      </c>
      <c r="E75" t="inlineStr">
        <is>
          <t>categories</t>
        </is>
      </c>
      <c r="F75" t="inlineStr">
        <is>
          <t>type</t>
        </is>
      </c>
      <c r="G75" t="inlineStr">
        <is>
          <t>comment</t>
        </is>
      </c>
      <c r="H75" t="inlineStr">
        <is>
          <t>reference product</t>
        </is>
      </c>
    </row>
    <row r="76">
      <c r="A76" t="inlineStr">
        <is>
          <t>transport, Kick Scooter, battery electric, &lt;1kW</t>
        </is>
      </c>
      <c r="B76" t="n">
        <v>1</v>
      </c>
      <c r="C76" t="inlineStr">
        <is>
          <t>CH</t>
        </is>
      </c>
      <c r="D76" t="inlineStr">
        <is>
          <t>kilometer</t>
        </is>
      </c>
      <c r="F76" t="inlineStr">
        <is>
          <t>production</t>
        </is>
      </c>
      <c r="H76" t="inlineStr">
        <is>
          <t>transport, Kick Scooter, battery electric, &lt;1kW</t>
        </is>
      </c>
    </row>
    <row r="77">
      <c r="A77" t="inlineStr">
        <is>
          <t>Kick Scooter, battery electric, &lt;1kW</t>
        </is>
      </c>
      <c r="B77" s="7" t="n">
        <v>0.0005602240896358543</v>
      </c>
      <c r="C77" t="inlineStr">
        <is>
          <t>CH</t>
        </is>
      </c>
      <c r="D77" t="inlineStr">
        <is>
          <t>unit</t>
        </is>
      </c>
      <c r="F77" t="inlineStr">
        <is>
          <t>technosphere</t>
        </is>
      </c>
      <c r="H77" t="inlineStr">
        <is>
          <t>Kick Scooter, battery electric, &lt;1kW</t>
        </is>
      </c>
    </row>
    <row r="78">
      <c r="A78" t="inlineStr">
        <is>
          <t>market for electricity, low voltage</t>
        </is>
      </c>
      <c r="B78" s="7" t="n">
        <v>0.0263163778647289</v>
      </c>
      <c r="C78" t="inlineStr">
        <is>
          <t>CH</t>
        </is>
      </c>
      <c r="D78" t="inlineStr">
        <is>
          <t>kilowatt hour</t>
        </is>
      </c>
      <c r="F78" t="inlineStr">
        <is>
          <t>technosphere</t>
        </is>
      </c>
      <c r="G78" t="inlineStr">
        <is>
          <t>Electricity consumption [MJ/km]</t>
        </is>
      </c>
      <c r="H78" t="inlineStr">
        <is>
          <t>electricity, low voltage</t>
        </is>
      </c>
    </row>
    <row r="79">
      <c r="A79" t="inlineStr">
        <is>
          <t>road construction</t>
        </is>
      </c>
      <c r="B79" s="7" t="n">
        <v>4.6517625e-05</v>
      </c>
      <c r="C79" t="inlineStr">
        <is>
          <t>CH</t>
        </is>
      </c>
      <c r="D79" t="inlineStr">
        <is>
          <t>meter-year</t>
        </is>
      </c>
      <c r="F79" t="inlineStr">
        <is>
          <t>technosphere</t>
        </is>
      </c>
      <c r="G79" t="inlineStr">
        <is>
          <t>Road/track use [m*year/vkm or pkm]</t>
        </is>
      </c>
      <c r="H79" t="inlineStr">
        <is>
          <t>road</t>
        </is>
      </c>
    </row>
    <row r="80">
      <c r="A80" t="inlineStr">
        <is>
          <t>treatment of road wear emissions, passenger car</t>
        </is>
      </c>
      <c r="B80" s="7" t="n">
        <v>-3.771382647380645e-06</v>
      </c>
      <c r="C80" t="inlineStr">
        <is>
          <t>RER</t>
        </is>
      </c>
      <c r="D80" t="inlineStr">
        <is>
          <t>kilogram</t>
        </is>
      </c>
      <c r="F80" t="inlineStr">
        <is>
          <t>technosphere</t>
        </is>
      </c>
      <c r="G80" t="inlineStr">
        <is>
          <t>Road wear [kg/km]</t>
        </is>
      </c>
      <c r="H80" t="inlineStr">
        <is>
          <t>road wear emissions, passenger car</t>
        </is>
      </c>
    </row>
    <row r="81">
      <c r="A81" t="inlineStr">
        <is>
          <t>treatment of tyre wear emissions, passenger car</t>
        </is>
      </c>
      <c r="B81" s="7" t="n">
        <v>-3.667037794007338e-06</v>
      </c>
      <c r="C81" t="inlineStr">
        <is>
          <t>RER</t>
        </is>
      </c>
      <c r="D81" t="inlineStr">
        <is>
          <t>kilogram</t>
        </is>
      </c>
      <c r="F81" t="inlineStr">
        <is>
          <t>technosphere</t>
        </is>
      </c>
      <c r="G81" t="inlineStr">
        <is>
          <t>Tire wear [kg/km]</t>
        </is>
      </c>
      <c r="H81" t="inlineStr">
        <is>
          <t>tyre wear emissions, passenger car</t>
        </is>
      </c>
    </row>
    <row r="82">
      <c r="A82" t="inlineStr">
        <is>
          <t>treatment of brake wear emissions, passenger car</t>
        </is>
      </c>
      <c r="B82" s="7" t="n">
        <v>-3.438440471038718e-06</v>
      </c>
      <c r="C82" t="inlineStr">
        <is>
          <t>RER</t>
        </is>
      </c>
      <c r="D82" t="inlineStr">
        <is>
          <t>kilogram</t>
        </is>
      </c>
      <c r="F82" t="inlineStr">
        <is>
          <t>technosphere</t>
        </is>
      </c>
      <c r="G82" t="inlineStr">
        <is>
          <t>Brake wear [kg/km]</t>
        </is>
      </c>
      <c r="H82" t="inlineStr">
        <is>
          <t>brake wear emissions, passenger car</t>
        </is>
      </c>
    </row>
  </sheetData>
  <pageMargins left="0.7" right="0.7" top="0.75" bottom="0.75" header="0.3" footer="0.3"/>
  <pageSetup orientation="portrait" horizontalDpi="300" verticalDpi="300"/>
</worksheet>
</file>

<file path=xl/worksheets/sheet10.xml><?xml version="1.0" encoding="utf-8"?>
<worksheet xmlns="http://schemas.openxmlformats.org/spreadsheetml/2006/main">
  <sheetPr>
    <outlinePr summaryBelow="1" summaryRight="1"/>
    <pageSetUpPr/>
  </sheetPr>
  <dimension ref="A1:H383"/>
  <sheetViews>
    <sheetView topLeftCell="A15" workbookViewId="0">
      <selection activeCell="A37" sqref="A37"/>
    </sheetView>
  </sheetViews>
  <sheetFormatPr baseColWidth="10" defaultColWidth="8.83203125" defaultRowHeight="15"/>
  <cols>
    <col width="67.6640625" customWidth="1" min="1" max="1"/>
    <col width="15.6640625" bestFit="1" customWidth="1" min="2" max="2"/>
    <col width="32" bestFit="1" customWidth="1" min="7" max="7"/>
    <col width="12.6640625" bestFit="1" customWidth="1" min="11" max="13"/>
  </cols>
  <sheetData>
    <row r="1" ht="16" customHeight="1">
      <c r="A1" s="10" t="inlineStr">
        <is>
          <t>Activity</t>
        </is>
      </c>
      <c r="B1" s="8" t="inlineStr">
        <is>
          <t>Motorbike, battery electric, &lt;4kW</t>
        </is>
      </c>
    </row>
    <row r="2">
      <c r="A2" t="inlineStr">
        <is>
          <t>location</t>
        </is>
      </c>
      <c r="B2" t="inlineStr">
        <is>
          <t>CH</t>
        </is>
      </c>
    </row>
    <row r="3">
      <c r="A3" t="inlineStr">
        <is>
          <t>vehicle</t>
        </is>
      </c>
      <c r="B3" t="inlineStr">
        <is>
          <t>Motorbike, battery electric, &lt;4kW</t>
        </is>
      </c>
    </row>
    <row r="4">
      <c r="A4" t="inlineStr">
        <is>
          <t>size</t>
        </is>
      </c>
    </row>
    <row r="5">
      <c r="A5" t="inlineStr">
        <is>
          <t>year</t>
        </is>
      </c>
      <c r="B5" t="n">
        <v>2020</v>
      </c>
    </row>
    <row r="6">
      <c r="A6" t="inlineStr">
        <is>
          <t>full name</t>
        </is>
      </c>
      <c r="B6" t="inlineStr">
        <is>
          <t>Motorbike, battery electric, &lt;4kW - 2020 - NMC - CH</t>
        </is>
      </c>
    </row>
    <row r="7">
      <c r="A7" t="inlineStr">
        <is>
          <t>reference product</t>
        </is>
      </c>
      <c r="B7" t="inlineStr">
        <is>
          <t>Motorbike, battery electric, &lt;4kW</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25000</v>
      </c>
    </row>
    <row r="12">
      <c r="A12" t="inlineStr">
        <is>
          <t>passengers</t>
        </is>
      </c>
      <c r="B12" t="n">
        <v>1.1</v>
      </c>
    </row>
    <row r="13">
      <c r="A13" t="inlineStr">
        <is>
          <t>service</t>
        </is>
      </c>
      <c r="B13" t="n">
        <v>1</v>
      </c>
    </row>
    <row r="14">
      <c r="A14" t="inlineStr">
        <is>
          <t>battery replacement</t>
        </is>
      </c>
      <c r="B14" t="n">
        <v>1</v>
      </c>
    </row>
    <row r="15">
      <c r="A15" t="inlineStr">
        <is>
          <t>annual kilometers</t>
        </is>
      </c>
      <c r="B15" t="n">
        <v>1776</v>
      </c>
    </row>
    <row r="16">
      <c r="A16" t="inlineStr">
        <is>
          <t>curb mass</t>
        </is>
      </c>
      <c r="B16" s="2" t="n">
        <v>76.7</v>
      </c>
    </row>
    <row r="17">
      <c r="A17" t="inlineStr">
        <is>
          <t>power</t>
        </is>
      </c>
      <c r="B17" t="n">
        <v>2.5</v>
      </c>
    </row>
    <row r="18">
      <c r="A18" t="inlineStr">
        <is>
          <t>battery type</t>
        </is>
      </c>
      <c r="B18" s="19" t="inlineStr">
        <is>
          <t>NMC</t>
        </is>
      </c>
    </row>
    <row r="19">
      <c r="A19" t="inlineStr">
        <is>
          <t>battery mass</t>
        </is>
      </c>
      <c r="B19" t="n">
        <v>11.7</v>
      </c>
    </row>
    <row r="20">
      <c r="A20" t="inlineStr">
        <is>
          <t>electricity, low voltage</t>
        </is>
      </c>
      <c r="B20" t="n">
        <v>1.8</v>
      </c>
    </row>
    <row r="21">
      <c r="A21" t="inlineStr">
        <is>
          <t>battery capacity available</t>
        </is>
      </c>
      <c r="B21" t="n">
        <v>1.44</v>
      </c>
    </row>
    <row r="22">
      <c r="A22" t="inlineStr">
        <is>
          <t>tank capacity</t>
        </is>
      </c>
      <c r="B22" s="2" t="n">
        <v>0</v>
      </c>
    </row>
    <row r="23">
      <c r="A23" t="inlineStr">
        <is>
          <t>fuel mass</t>
        </is>
      </c>
      <c r="B23" t="n">
        <v>0</v>
      </c>
    </row>
    <row r="24">
      <c r="A24" t="inlineStr">
        <is>
          <t>range</t>
        </is>
      </c>
      <c r="B24" s="2" t="n">
        <v>42.84297520661158</v>
      </c>
    </row>
    <row r="25">
      <c r="A25" t="inlineStr">
        <is>
          <t>emission standard</t>
        </is>
      </c>
      <c r="B25" t="inlineStr">
        <is>
          <t>None</t>
        </is>
      </c>
    </row>
    <row r="26">
      <c r="A26" t="inlineStr">
        <is>
          <t>Glider lightweighting</t>
        </is>
      </c>
      <c r="B26" s="6" t="n">
        <v>0</v>
      </c>
    </row>
    <row r="27">
      <c r="A27" t="inlineStr">
        <is>
          <t>origin</t>
        </is>
      </c>
      <c r="B27" s="6" t="inlineStr">
        <is>
          <t>China</t>
        </is>
      </c>
    </row>
    <row r="28">
      <c r="A28" t="inlineStr">
        <is>
          <t>distance by ship [km]</t>
        </is>
      </c>
      <c r="B28" s="2" t="n">
        <v>15900</v>
      </c>
    </row>
    <row r="29">
      <c r="A29" t="inlineStr">
        <is>
          <t>distance by truck [km]</t>
        </is>
      </c>
      <c r="B29" s="2" t="n">
        <v>1000</v>
      </c>
    </row>
    <row r="30">
      <c r="A30" t="inlineStr">
        <is>
          <t>comment</t>
        </is>
      </c>
      <c r="B30" t="inlineStr">
        <is>
          <t>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ht="16" customHeight="1">
      <c r="A31" s="10" t="inlineStr">
        <is>
          <t>Exchanges</t>
        </is>
      </c>
    </row>
    <row r="32">
      <c r="A32" t="inlineStr">
        <is>
          <t>name</t>
        </is>
      </c>
      <c r="B32" t="inlineStr">
        <is>
          <t>amount</t>
        </is>
      </c>
      <c r="C32" t="inlineStr">
        <is>
          <t>location</t>
        </is>
      </c>
      <c r="D32" t="inlineStr">
        <is>
          <t>unit</t>
        </is>
      </c>
      <c r="E32" t="inlineStr">
        <is>
          <t>categories</t>
        </is>
      </c>
      <c r="F32" t="inlineStr">
        <is>
          <t>type</t>
        </is>
      </c>
      <c r="G32" t="inlineStr">
        <is>
          <t>comment</t>
        </is>
      </c>
      <c r="H32" t="inlineStr">
        <is>
          <t>reference product</t>
        </is>
      </c>
    </row>
    <row r="33">
      <c r="A33" t="inlineStr">
        <is>
          <t>Motorbike, battery electric, &lt;4kW</t>
        </is>
      </c>
      <c r="B33" t="n">
        <v>1</v>
      </c>
      <c r="C33" t="inlineStr">
        <is>
          <t>CH</t>
        </is>
      </c>
      <c r="D33" t="inlineStr">
        <is>
          <t>unit</t>
        </is>
      </c>
      <c r="F33" t="inlineStr">
        <is>
          <t>production</t>
        </is>
      </c>
      <c r="H33" t="inlineStr">
        <is>
          <t>Motorbike, battery electric, &lt;4kW</t>
        </is>
      </c>
    </row>
    <row r="34">
      <c r="A34" t="inlineStr">
        <is>
          <t>market for glider, for electric scooter</t>
        </is>
      </c>
      <c r="B34" s="11" t="n">
        <v>53</v>
      </c>
      <c r="C34" t="inlineStr">
        <is>
          <t>GLO</t>
        </is>
      </c>
      <c r="D34" t="inlineStr">
        <is>
          <t>kilogram</t>
        </is>
      </c>
      <c r="F34" t="inlineStr">
        <is>
          <t>technosphere</t>
        </is>
      </c>
      <c r="G34" t="inlineStr">
        <is>
          <t>Glider base mass [kg]</t>
        </is>
      </c>
      <c r="H34" t="inlineStr">
        <is>
          <t>glider, for electric scooter</t>
        </is>
      </c>
    </row>
    <row r="35">
      <c r="A35" t="inlineStr">
        <is>
          <t>Glider lightweighting</t>
        </is>
      </c>
      <c r="B35" s="11" t="n">
        <v>0</v>
      </c>
      <c r="C35" t="inlineStr">
        <is>
          <t>GLO</t>
        </is>
      </c>
      <c r="D35" t="inlineStr">
        <is>
          <t>kilogram</t>
        </is>
      </c>
      <c r="F35" t="inlineStr">
        <is>
          <t>technosphere</t>
        </is>
      </c>
      <c r="G35" t="inlineStr">
        <is>
          <t>Lightweighting rate [%]</t>
        </is>
      </c>
      <c r="H35" t="inlineStr">
        <is>
          <t>Glider lightweighting</t>
        </is>
      </c>
    </row>
    <row r="36">
      <c r="A36" t="inlineStr">
        <is>
          <t>market for glider, for electric scooter</t>
        </is>
      </c>
      <c r="B36" s="11" t="n">
        <v>4.5</v>
      </c>
      <c r="C36" t="inlineStr">
        <is>
          <t>GLO</t>
        </is>
      </c>
      <c r="D36" t="inlineStr">
        <is>
          <t>kilogram</t>
        </is>
      </c>
      <c r="F36" t="inlineStr">
        <is>
          <t>technosphere</t>
        </is>
      </c>
      <c r="G36" t="inlineStr">
        <is>
          <t>Mechanical powertrain mass [kg]</t>
        </is>
      </c>
      <c r="H36" t="inlineStr">
        <is>
          <t>glider, for electric scooter</t>
        </is>
      </c>
    </row>
    <row r="37">
      <c r="A37" t="inlineStr">
        <is>
          <t>market for electric powertrain, for electric scooter</t>
        </is>
      </c>
      <c r="B37" s="11" t="n">
        <v>7.5</v>
      </c>
      <c r="C37" t="inlineStr">
        <is>
          <t>GLO</t>
        </is>
      </c>
      <c r="D37" t="inlineStr">
        <is>
          <t>kilogram</t>
        </is>
      </c>
      <c r="F37" t="inlineStr">
        <is>
          <t>technosphere</t>
        </is>
      </c>
      <c r="G37" t="inlineStr">
        <is>
          <t>Electric powertrain mass [kg]</t>
        </is>
      </c>
      <c r="H37" t="inlineStr">
        <is>
          <t>powertrain, for electric scooter</t>
        </is>
      </c>
    </row>
    <row r="38">
      <c r="A38" t="inlineStr">
        <is>
          <t>market for battery capacity (MIX scenario)</t>
        </is>
      </c>
      <c r="B38" s="4" t="n">
        <v>1.8</v>
      </c>
      <c r="C38" t="inlineStr">
        <is>
          <t>GLO</t>
        </is>
      </c>
      <c r="D38" t="inlineStr">
        <is>
          <t>kilowatt hour</t>
        </is>
      </c>
      <c r="F38" t="inlineStr">
        <is>
          <t>technosphere</t>
        </is>
      </c>
      <c r="H38" t="inlineStr">
        <is>
          <t>electricity storage capacity</t>
        </is>
      </c>
    </row>
    <row r="39">
      <c r="A39" t="inlineStr">
        <is>
          <t>charging station, 3kW</t>
        </is>
      </c>
      <c r="B39" s="11" t="n">
        <v>1</v>
      </c>
      <c r="C39" t="inlineStr">
        <is>
          <t>GLO</t>
        </is>
      </c>
      <c r="D39" t="inlineStr">
        <is>
          <t>unit</t>
        </is>
      </c>
      <c r="F39" t="inlineStr">
        <is>
          <t>technosphere</t>
        </is>
      </c>
      <c r="G39" t="inlineStr">
        <is>
          <t>Charging station per vehicle [unit]</t>
        </is>
      </c>
      <c r="H39" t="inlineStr">
        <is>
          <t>charging station, 3kW</t>
        </is>
      </c>
    </row>
    <row r="40">
      <c r="A40" t="inlineStr">
        <is>
          <t>manual dismantling of used electric scooter</t>
        </is>
      </c>
      <c r="B40" s="11" t="n">
        <v>53</v>
      </c>
      <c r="C40" t="inlineStr">
        <is>
          <t>GLO</t>
        </is>
      </c>
      <c r="D40" t="inlineStr">
        <is>
          <t>unit</t>
        </is>
      </c>
      <c r="F40" t="inlineStr">
        <is>
          <t>technosphere</t>
        </is>
      </c>
      <c r="G40" t="inlineStr">
        <is>
          <t>Discarding glider [kg]</t>
        </is>
      </c>
      <c r="H40" t="inlineStr">
        <is>
          <t>manual dismantling of electric scooter</t>
        </is>
      </c>
    </row>
    <row r="41">
      <c r="A41" t="inlineStr">
        <is>
          <t>manual dismantling of used electric scooter</t>
        </is>
      </c>
      <c r="B41" s="11" t="n">
        <v>12</v>
      </c>
      <c r="C41" t="inlineStr">
        <is>
          <t>GLO</t>
        </is>
      </c>
      <c r="D41" t="inlineStr">
        <is>
          <t>unit</t>
        </is>
      </c>
      <c r="F41" t="inlineStr">
        <is>
          <t>technosphere</t>
        </is>
      </c>
      <c r="G41" t="inlineStr">
        <is>
          <t>Discarding powertrain [kg]</t>
        </is>
      </c>
      <c r="H41" t="inlineStr">
        <is>
          <t>manual dismantling of electric scooter</t>
        </is>
      </c>
    </row>
    <row r="42">
      <c r="A42" s="13" t="inlineStr">
        <is>
          <t>market for transport, freight, lorry, unspecified</t>
        </is>
      </c>
      <c r="B42" t="n">
        <v>76.7</v>
      </c>
      <c r="C42" t="inlineStr">
        <is>
          <t>RER</t>
        </is>
      </c>
      <c r="D42" t="inlineStr">
        <is>
          <t>ton kilometer</t>
        </is>
      </c>
      <c r="F42" t="inlineStr">
        <is>
          <t>technosphere</t>
        </is>
      </c>
      <c r="H42" s="13" t="inlineStr">
        <is>
          <t>transport, freight, lorry, unspecified</t>
        </is>
      </c>
    </row>
    <row r="43">
      <c r="A43" s="13" t="inlineStr">
        <is>
          <t>transport, freight, sea, container ship</t>
        </is>
      </c>
      <c r="B43" s="2" t="n">
        <v>1219.53</v>
      </c>
      <c r="C43" t="inlineStr">
        <is>
          <t>GLO</t>
        </is>
      </c>
      <c r="D43" t="inlineStr">
        <is>
          <t>ton kilometer</t>
        </is>
      </c>
      <c r="F43" t="inlineStr">
        <is>
          <t>technosphere</t>
        </is>
      </c>
      <c r="H43" s="13" t="inlineStr">
        <is>
          <t>transport, freight, sea, container ship</t>
        </is>
      </c>
    </row>
    <row r="44">
      <c r="B44" s="11" t="n"/>
    </row>
    <row r="45">
      <c r="B45" s="2" t="n"/>
    </row>
    <row r="46" ht="16" customHeight="1">
      <c r="A46" s="10" t="inlineStr">
        <is>
          <t>Activity</t>
        </is>
      </c>
      <c r="B46" s="8" t="inlineStr">
        <is>
          <t>transport, Motorbike, battery electric, &lt;4kW</t>
        </is>
      </c>
    </row>
    <row r="47">
      <c r="A47" t="inlineStr">
        <is>
          <t>location</t>
        </is>
      </c>
      <c r="B47" t="inlineStr">
        <is>
          <t>CH</t>
        </is>
      </c>
    </row>
    <row r="48">
      <c r="A48" t="inlineStr">
        <is>
          <t>vehicle</t>
        </is>
      </c>
      <c r="B48" t="inlineStr">
        <is>
          <t>Motorbike, battery electric, &lt;4kW</t>
        </is>
      </c>
    </row>
    <row r="49">
      <c r="A49" t="inlineStr">
        <is>
          <t>size</t>
        </is>
      </c>
    </row>
    <row r="50">
      <c r="A50" t="inlineStr">
        <is>
          <t>year</t>
        </is>
      </c>
      <c r="B50" t="n">
        <v>2020</v>
      </c>
    </row>
    <row r="51">
      <c r="A51" t="inlineStr">
        <is>
          <t>full name</t>
        </is>
      </c>
      <c r="B51" t="inlineStr">
        <is>
          <t>Motorbike, battery electric, &lt;4kW - 2020 - NMC - CH</t>
        </is>
      </c>
    </row>
    <row r="52">
      <c r="A52" t="inlineStr">
        <is>
          <t>reference product</t>
        </is>
      </c>
      <c r="B52" t="inlineStr">
        <is>
          <t>transport, Motorbike, battery electric, &lt;4kW</t>
        </is>
      </c>
    </row>
    <row r="53">
      <c r="A53" t="inlineStr">
        <is>
          <t>type</t>
        </is>
      </c>
      <c r="B53" t="inlineStr">
        <is>
          <t>process</t>
        </is>
      </c>
    </row>
    <row r="54">
      <c r="A54" t="inlineStr">
        <is>
          <t>unit</t>
        </is>
      </c>
      <c r="B54" t="inlineStr">
        <is>
          <t>kilometer</t>
        </is>
      </c>
    </row>
    <row r="55">
      <c r="A55" t="inlineStr">
        <is>
          <t>source</t>
        </is>
      </c>
      <c r="B55" t="inlineStr">
        <is>
          <t>Sacchi R., Bauer C. Life cycle inventories for on-road vehicles. Paul Scherrer Institut, 2021.</t>
        </is>
      </c>
    </row>
    <row r="56">
      <c r="A56" t="inlineStr">
        <is>
          <t>lifetime</t>
        </is>
      </c>
      <c r="B56" t="n">
        <v>25000</v>
      </c>
    </row>
    <row r="57">
      <c r="A57" t="inlineStr">
        <is>
          <t>passengers</t>
        </is>
      </c>
      <c r="B57" t="n">
        <v>1.1</v>
      </c>
    </row>
    <row r="58">
      <c r="A58" t="inlineStr">
        <is>
          <t>service</t>
        </is>
      </c>
      <c r="B58" t="n">
        <v>1</v>
      </c>
    </row>
    <row r="59">
      <c r="A59" t="inlineStr">
        <is>
          <t>battery replacement</t>
        </is>
      </c>
      <c r="B59" t="n">
        <v>1</v>
      </c>
    </row>
    <row r="60">
      <c r="A60" t="inlineStr">
        <is>
          <t>annual kilometers</t>
        </is>
      </c>
      <c r="B60" t="n">
        <v>1776</v>
      </c>
    </row>
    <row r="61">
      <c r="A61" t="inlineStr">
        <is>
          <t>curb mass</t>
        </is>
      </c>
      <c r="B61" s="2" t="n">
        <v>76.7</v>
      </c>
    </row>
    <row r="62">
      <c r="A62" t="inlineStr">
        <is>
          <t>power</t>
        </is>
      </c>
      <c r="B62" t="n">
        <v>2.5</v>
      </c>
    </row>
    <row r="63">
      <c r="A63" t="inlineStr">
        <is>
          <t>battery type</t>
        </is>
      </c>
      <c r="B63" s="19" t="inlineStr">
        <is>
          <t>NMC</t>
        </is>
      </c>
    </row>
    <row r="64">
      <c r="A64" t="inlineStr">
        <is>
          <t>battery mass</t>
        </is>
      </c>
      <c r="B64" t="n">
        <v>11.7</v>
      </c>
    </row>
    <row r="65">
      <c r="A65" t="inlineStr">
        <is>
          <t>electricity, low voltage</t>
        </is>
      </c>
      <c r="B65" t="n">
        <v>1.8</v>
      </c>
    </row>
    <row r="66">
      <c r="A66" t="inlineStr">
        <is>
          <t>battery capacity available</t>
        </is>
      </c>
      <c r="B66" t="n">
        <v>1.44</v>
      </c>
    </row>
    <row r="67">
      <c r="A67" t="inlineStr">
        <is>
          <t>tank capacity</t>
        </is>
      </c>
      <c r="B67" s="2" t="n">
        <v>0</v>
      </c>
    </row>
    <row r="68">
      <c r="A68" t="inlineStr">
        <is>
          <t>fuel mass</t>
        </is>
      </c>
      <c r="B68" t="n">
        <v>0</v>
      </c>
    </row>
    <row r="69">
      <c r="A69" t="inlineStr">
        <is>
          <t>range</t>
        </is>
      </c>
      <c r="B69" s="2" t="n">
        <v>42.84297520661158</v>
      </c>
    </row>
    <row r="70">
      <c r="A70" t="inlineStr">
        <is>
          <t>emission standard</t>
        </is>
      </c>
      <c r="B70" t="inlineStr">
        <is>
          <t>None</t>
        </is>
      </c>
    </row>
    <row r="71">
      <c r="A71" t="inlineStr">
        <is>
          <t>Glider lightweighting</t>
        </is>
      </c>
      <c r="B71" s="6" t="n">
        <v>0</v>
      </c>
    </row>
    <row r="72">
      <c r="A72" t="inlineStr">
        <is>
          <t>comment</t>
        </is>
      </c>
      <c r="B72" t="inlineStr">
        <is>
          <t>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3" ht="16" customHeight="1">
      <c r="A73" s="10" t="inlineStr">
        <is>
          <t>Exchanges</t>
        </is>
      </c>
    </row>
    <row r="74">
      <c r="A74" t="inlineStr">
        <is>
          <t>name</t>
        </is>
      </c>
      <c r="B74" t="inlineStr">
        <is>
          <t>amount</t>
        </is>
      </c>
      <c r="C74" t="inlineStr">
        <is>
          <t>location</t>
        </is>
      </c>
      <c r="D74" t="inlineStr">
        <is>
          <t>unit</t>
        </is>
      </c>
      <c r="E74" t="inlineStr">
        <is>
          <t>categories</t>
        </is>
      </c>
      <c r="F74" t="inlineStr">
        <is>
          <t>type</t>
        </is>
      </c>
      <c r="G74" t="inlineStr">
        <is>
          <t>comment</t>
        </is>
      </c>
      <c r="H74" t="inlineStr">
        <is>
          <t>reference product</t>
        </is>
      </c>
    </row>
    <row r="75">
      <c r="A75" t="inlineStr">
        <is>
          <t>transport, Motorbike, battery electric, &lt;4kW</t>
        </is>
      </c>
      <c r="B75" t="n">
        <v>1</v>
      </c>
      <c r="C75" t="inlineStr">
        <is>
          <t>CH</t>
        </is>
      </c>
      <c r="D75" t="inlineStr">
        <is>
          <t>kilometer</t>
        </is>
      </c>
      <c r="F75" t="inlineStr">
        <is>
          <t>production</t>
        </is>
      </c>
      <c r="H75" t="inlineStr">
        <is>
          <t>transport, Motorbike, battery electric, &lt;4kW</t>
        </is>
      </c>
    </row>
    <row r="76">
      <c r="A76" t="inlineStr">
        <is>
          <t>Motorbike, battery electric, &lt;4kW</t>
        </is>
      </c>
      <c r="B76" s="7" t="n">
        <v>4e-05</v>
      </c>
      <c r="C76" t="inlineStr">
        <is>
          <t>CH</t>
        </is>
      </c>
      <c r="D76" t="inlineStr">
        <is>
          <t>unit</t>
        </is>
      </c>
      <c r="F76" t="inlineStr">
        <is>
          <t>technosphere</t>
        </is>
      </c>
      <c r="H76" t="inlineStr">
        <is>
          <t>Motorbike, battery electric, &lt;4kW</t>
        </is>
      </c>
    </row>
    <row r="77">
      <c r="A77" t="inlineStr">
        <is>
          <t>road maintenance</t>
        </is>
      </c>
      <c r="B77" s="7" t="n">
        <v>0.00129</v>
      </c>
      <c r="C77" t="inlineStr">
        <is>
          <t>CH</t>
        </is>
      </c>
      <c r="D77" t="inlineStr">
        <is>
          <t>meter-year</t>
        </is>
      </c>
      <c r="F77" t="inlineStr">
        <is>
          <t>technosphere</t>
        </is>
      </c>
      <c r="G77" t="inlineStr">
        <is>
          <t>Road maintenance [m*year/vkm]</t>
        </is>
      </c>
      <c r="H77" t="inlineStr">
        <is>
          <t>road maintenance</t>
        </is>
      </c>
    </row>
    <row r="78">
      <c r="A78" t="inlineStr">
        <is>
          <t>market for electricity, low voltage</t>
        </is>
      </c>
      <c r="B78" s="7" t="n">
        <v>0.03697222222222223</v>
      </c>
      <c r="C78" t="inlineStr">
        <is>
          <t>CH</t>
        </is>
      </c>
      <c r="D78" t="inlineStr">
        <is>
          <t>kilowatt hour</t>
        </is>
      </c>
      <c r="F78" t="inlineStr">
        <is>
          <t>technosphere</t>
        </is>
      </c>
      <c r="G78" t="inlineStr">
        <is>
          <t>Electricity consumption [MJ/km]</t>
        </is>
      </c>
      <c r="H78" t="inlineStr">
        <is>
          <t>electricity, low voltage</t>
        </is>
      </c>
    </row>
    <row r="79">
      <c r="A79" t="inlineStr">
        <is>
          <t>market for maintenance, electric scooter, without battery</t>
        </is>
      </c>
      <c r="B79" s="7" t="n">
        <v>4e-05</v>
      </c>
      <c r="C79" t="inlineStr">
        <is>
          <t>GLO</t>
        </is>
      </c>
      <c r="D79" t="inlineStr">
        <is>
          <t>unit</t>
        </is>
      </c>
      <c r="F79" t="inlineStr">
        <is>
          <t>technosphere</t>
        </is>
      </c>
      <c r="G79" t="inlineStr">
        <is>
          <t>Servicing [unit]</t>
        </is>
      </c>
      <c r="H79" t="inlineStr">
        <is>
          <t>maintenance, electric scooter, without battery</t>
        </is>
      </c>
    </row>
    <row r="80">
      <c r="A80" t="inlineStr">
        <is>
          <t>road construction</t>
        </is>
      </c>
      <c r="B80" s="7" t="n">
        <v>8.87124e-05</v>
      </c>
      <c r="C80" t="inlineStr">
        <is>
          <t>CH</t>
        </is>
      </c>
      <c r="D80" t="inlineStr">
        <is>
          <t>meter-year</t>
        </is>
      </c>
      <c r="F80" t="inlineStr">
        <is>
          <t>technosphere</t>
        </is>
      </c>
      <c r="G80" t="inlineStr">
        <is>
          <t>Road/track use [m*year/vkm or pkm]</t>
        </is>
      </c>
      <c r="H80" t="inlineStr">
        <is>
          <t>road</t>
        </is>
      </c>
    </row>
    <row r="81">
      <c r="A81" t="inlineStr">
        <is>
          <t>treatment of road wear emissions, passenger car</t>
        </is>
      </c>
      <c r="B81" s="7" t="n">
        <v>-6.262081094049678e-06</v>
      </c>
      <c r="C81" t="inlineStr">
        <is>
          <t>RER</t>
        </is>
      </c>
      <c r="D81" t="inlineStr">
        <is>
          <t>kilogram</t>
        </is>
      </c>
      <c r="F81" t="inlineStr">
        <is>
          <t>technosphere</t>
        </is>
      </c>
      <c r="G81" t="inlineStr">
        <is>
          <t>Road wear [kg/km]</t>
        </is>
      </c>
      <c r="H81" t="inlineStr">
        <is>
          <t>road wear emissions, passenger car</t>
        </is>
      </c>
    </row>
    <row r="82">
      <c r="A82" t="inlineStr">
        <is>
          <t>treatment of tyre wear emissions, passenger car</t>
        </is>
      </c>
      <c r="B82" s="7" t="n">
        <v>-4.555463144208204e-06</v>
      </c>
      <c r="C82" t="inlineStr">
        <is>
          <t>RER</t>
        </is>
      </c>
      <c r="D82" t="inlineStr">
        <is>
          <t>kilogram</t>
        </is>
      </c>
      <c r="F82" t="inlineStr">
        <is>
          <t>technosphere</t>
        </is>
      </c>
      <c r="G82" t="inlineStr">
        <is>
          <t>Tire wear [kg/km]</t>
        </is>
      </c>
      <c r="H82" t="inlineStr">
        <is>
          <t>tyre wear emissions, passenger car</t>
        </is>
      </c>
    </row>
    <row r="83">
      <c r="A83" t="inlineStr">
        <is>
          <t>treatment of brake wear emissions, passenger car</t>
        </is>
      </c>
      <c r="B83" s="7" t="n">
        <v>-2.421130901304248e-06</v>
      </c>
      <c r="C83" t="inlineStr">
        <is>
          <t>RER</t>
        </is>
      </c>
      <c r="D83" t="inlineStr">
        <is>
          <t>kilogram</t>
        </is>
      </c>
      <c r="F83" t="inlineStr">
        <is>
          <t>technosphere</t>
        </is>
      </c>
      <c r="G83" t="inlineStr">
        <is>
          <t>Brake wear [kg/km]</t>
        </is>
      </c>
      <c r="H83" t="inlineStr">
        <is>
          <t>brake wear emissions, passenger car</t>
        </is>
      </c>
    </row>
    <row r="84">
      <c r="B84" s="6" t="n"/>
    </row>
    <row r="85" ht="16" customHeight="1">
      <c r="A85" s="10" t="n"/>
      <c r="B85" s="8" t="n"/>
    </row>
    <row r="86"/>
    <row r="87"/>
    <row r="88"/>
    <row r="89"/>
    <row r="90"/>
    <row r="91"/>
    <row r="92"/>
    <row r="93"/>
    <row r="94"/>
    <row r="95"/>
    <row r="96"/>
    <row r="97"/>
    <row r="98"/>
    <row r="99"/>
    <row r="100">
      <c r="B100" s="2" t="n"/>
    </row>
    <row r="101"/>
    <row r="102"/>
    <row r="103"/>
    <row r="104">
      <c r="B104" s="2" t="n"/>
    </row>
    <row r="105"/>
    <row r="106">
      <c r="B106" s="2" t="n"/>
    </row>
    <row r="107"/>
    <row r="108">
      <c r="B108" s="6" t="n"/>
    </row>
    <row r="109"/>
    <row r="110" ht="16" customHeight="1">
      <c r="A110" s="10" t="n"/>
    </row>
    <row r="111"/>
    <row r="112"/>
    <row r="113">
      <c r="B113" s="11" t="n"/>
    </row>
    <row r="114">
      <c r="B114" s="11" t="n"/>
    </row>
    <row r="115">
      <c r="B115" s="11" t="n"/>
    </row>
    <row r="116">
      <c r="B116" s="11" t="n"/>
    </row>
    <row r="117">
      <c r="B117" s="11" t="n"/>
    </row>
    <row r="118">
      <c r="B118" s="11" t="n"/>
    </row>
    <row r="119">
      <c r="B119" s="11" t="n"/>
    </row>
    <row r="120">
      <c r="B120" s="11" t="n"/>
    </row>
    <row r="121">
      <c r="B121" s="11" t="n"/>
    </row>
    <row r="122">
      <c r="B122" s="11" t="n"/>
    </row>
    <row r="123">
      <c r="B123" s="11" t="n"/>
    </row>
    <row r="124" ht="16" customHeight="1">
      <c r="A124" s="10" t="n"/>
      <c r="B124" s="8" t="n"/>
    </row>
    <row r="125"/>
    <row r="126"/>
    <row r="127"/>
    <row r="128"/>
    <row r="129"/>
    <row r="130"/>
    <row r="131"/>
    <row r="132"/>
    <row r="133"/>
    <row r="134"/>
    <row r="135"/>
    <row r="136"/>
    <row r="137"/>
    <row r="138"/>
    <row r="139">
      <c r="B139" s="2" t="n"/>
    </row>
    <row r="140"/>
    <row r="141"/>
    <row r="142"/>
    <row r="143">
      <c r="B143" s="2" t="n"/>
    </row>
    <row r="144"/>
    <row r="145">
      <c r="B145" s="2" t="n"/>
    </row>
    <row r="146"/>
    <row r="147">
      <c r="B147" s="6" t="n"/>
    </row>
    <row r="148"/>
    <row r="149" ht="16" customHeight="1">
      <c r="A149" s="10" t="n"/>
    </row>
    <row r="150"/>
    <row r="151"/>
    <row r="152">
      <c r="B152" s="11" t="n"/>
    </row>
    <row r="153">
      <c r="B153" s="11" t="n"/>
    </row>
    <row r="154">
      <c r="B154" s="11" t="n"/>
    </row>
    <row r="155">
      <c r="B155" s="11" t="n"/>
    </row>
    <row r="156">
      <c r="B156" s="11" t="n"/>
    </row>
    <row r="157">
      <c r="B157" s="11" t="n"/>
    </row>
    <row r="158">
      <c r="B158" s="11" t="n"/>
    </row>
    <row r="159">
      <c r="B159" s="11" t="n"/>
    </row>
    <row r="160">
      <c r="B160" s="11" t="n"/>
    </row>
    <row r="161">
      <c r="B161" s="11" t="n"/>
    </row>
    <row r="162"/>
    <row r="163" ht="16" customHeight="1">
      <c r="A163" s="10" t="n"/>
      <c r="B163" s="8" t="n"/>
    </row>
    <row r="164"/>
    <row r="165"/>
    <row r="166"/>
    <row r="167"/>
    <row r="168"/>
    <row r="169"/>
    <row r="170"/>
    <row r="171"/>
    <row r="172"/>
    <row r="173"/>
    <row r="174"/>
    <row r="175"/>
    <row r="176"/>
    <row r="177"/>
    <row r="178">
      <c r="B178" s="2" t="n"/>
    </row>
    <row r="179"/>
    <row r="180"/>
    <row r="181"/>
    <row r="182">
      <c r="B182" s="2" t="n"/>
    </row>
    <row r="183"/>
    <row r="184">
      <c r="B184" s="2" t="n"/>
    </row>
    <row r="185"/>
    <row r="186">
      <c r="B186" s="6" t="n"/>
    </row>
    <row r="187"/>
    <row r="188" ht="16" customHeight="1">
      <c r="A188" s="10" t="n"/>
    </row>
    <row r="189"/>
    <row r="190"/>
    <row r="191">
      <c r="B191" s="11" t="n"/>
    </row>
    <row r="192">
      <c r="B192" s="11" t="n"/>
    </row>
    <row r="193">
      <c r="B193" s="11" t="n"/>
    </row>
    <row r="194">
      <c r="B194" s="11" t="n"/>
    </row>
    <row r="195">
      <c r="B195" s="11" t="n"/>
    </row>
    <row r="196">
      <c r="B196" s="11" t="n"/>
    </row>
    <row r="197">
      <c r="B197" s="11" t="n"/>
    </row>
    <row r="198">
      <c r="B198" s="11" t="n"/>
    </row>
    <row r="199">
      <c r="B199" s="11" t="n"/>
    </row>
    <row r="200">
      <c r="B200" s="11" t="n"/>
    </row>
    <row r="201"/>
    <row r="202" ht="16" customHeight="1">
      <c r="A202" s="10" t="n"/>
      <c r="B202" s="8" t="n"/>
    </row>
    <row r="203"/>
    <row r="204"/>
    <row r="205"/>
    <row r="206"/>
    <row r="207"/>
    <row r="208"/>
    <row r="209"/>
    <row r="210"/>
    <row r="211"/>
    <row r="212"/>
    <row r="213"/>
    <row r="214"/>
    <row r="215"/>
    <row r="216"/>
    <row r="217">
      <c r="B217" s="2" t="n"/>
    </row>
    <row r="218"/>
    <row r="219"/>
    <row r="220"/>
    <row r="221">
      <c r="B221" s="2" t="n"/>
    </row>
    <row r="222"/>
    <row r="223">
      <c r="B223" s="2" t="n"/>
    </row>
    <row r="224"/>
    <row r="225">
      <c r="B225" s="6" t="n"/>
    </row>
    <row r="226"/>
    <row r="227" ht="16" customHeight="1">
      <c r="A227" s="10" t="n"/>
    </row>
    <row r="228"/>
    <row r="229"/>
    <row r="230">
      <c r="B230" s="11" t="n"/>
    </row>
    <row r="231">
      <c r="B231" s="11" t="n"/>
    </row>
    <row r="232">
      <c r="B232" s="11" t="n"/>
    </row>
    <row r="233">
      <c r="B233" s="11" t="n"/>
    </row>
    <row r="234">
      <c r="B234" s="11" t="n"/>
    </row>
    <row r="235">
      <c r="B235" s="11" t="n"/>
    </row>
    <row r="236">
      <c r="B236" s="11" t="n"/>
    </row>
    <row r="237">
      <c r="B237" s="11" t="n"/>
    </row>
    <row r="238">
      <c r="B238" s="11" t="n"/>
    </row>
    <row r="239">
      <c r="B239" s="11" t="n"/>
    </row>
    <row r="240">
      <c r="B240" s="2" t="n"/>
    </row>
    <row r="241" ht="16" customHeight="1">
      <c r="A241" s="10" t="n"/>
      <c r="B241" s="8" t="n"/>
    </row>
    <row r="242"/>
    <row r="243"/>
    <row r="244"/>
    <row r="245"/>
    <row r="246"/>
    <row r="247"/>
    <row r="248"/>
    <row r="249"/>
    <row r="250"/>
    <row r="251"/>
    <row r="252"/>
    <row r="253"/>
    <row r="254"/>
    <row r="255"/>
    <row r="256">
      <c r="B256" s="2" t="n"/>
    </row>
    <row r="257"/>
    <row r="258"/>
    <row r="259"/>
    <row r="260">
      <c r="B260" s="2" t="n"/>
    </row>
    <row r="261"/>
    <row r="262">
      <c r="B262" s="2" t="n"/>
    </row>
    <row r="263"/>
    <row r="264">
      <c r="B264" s="6" t="n"/>
    </row>
    <row r="265"/>
    <row r="266" ht="16" customHeight="1">
      <c r="A266" s="10" t="n"/>
    </row>
    <row r="267"/>
    <row r="268"/>
    <row r="269">
      <c r="B269" s="7" t="n"/>
    </row>
    <row r="270">
      <c r="B270" s="11" t="n"/>
    </row>
    <row r="271">
      <c r="B271" s="4" t="n"/>
    </row>
    <row r="272">
      <c r="B272" s="11" t="n"/>
    </row>
    <row r="273">
      <c r="B273" s="11" t="n"/>
    </row>
    <row r="274">
      <c r="B274" s="11" t="n"/>
    </row>
    <row r="275">
      <c r="B275" s="11" t="n"/>
    </row>
    <row r="276">
      <c r="B276" s="6" t="n"/>
    </row>
    <row r="277" ht="16" customHeight="1">
      <c r="A277" s="10" t="n"/>
      <c r="B277" s="8" t="n"/>
    </row>
    <row r="278"/>
    <row r="279"/>
    <row r="280"/>
    <row r="281"/>
    <row r="282"/>
    <row r="283"/>
    <row r="284"/>
    <row r="285"/>
    <row r="286"/>
    <row r="287"/>
    <row r="288"/>
    <row r="289"/>
    <row r="290"/>
    <row r="291"/>
    <row r="292">
      <c r="B292" s="2" t="n"/>
    </row>
    <row r="293"/>
    <row r="294"/>
    <row r="295"/>
    <row r="296">
      <c r="B296" s="2" t="n"/>
    </row>
    <row r="297"/>
    <row r="298">
      <c r="B298" s="2" t="n"/>
    </row>
    <row r="299"/>
    <row r="300">
      <c r="B300" s="6" t="n"/>
    </row>
    <row r="301"/>
    <row r="302" ht="16" customHeight="1">
      <c r="A302" s="10" t="n"/>
    </row>
    <row r="303"/>
    <row r="304"/>
    <row r="305"/>
    <row r="306">
      <c r="B306" s="11" t="n"/>
    </row>
    <row r="307">
      <c r="B307" s="4" t="n"/>
    </row>
    <row r="308">
      <c r="B308" s="11" t="n"/>
    </row>
    <row r="309">
      <c r="B309" s="11" t="n"/>
    </row>
    <row r="310">
      <c r="B310" s="11" t="n"/>
    </row>
    <row r="311">
      <c r="B311" s="11" t="n"/>
    </row>
    <row r="312"/>
    <row r="313" ht="16" customHeight="1">
      <c r="A313" s="10" t="n"/>
      <c r="B313" s="8" t="n"/>
    </row>
    <row r="314"/>
    <row r="315"/>
    <row r="316"/>
    <row r="317"/>
    <row r="318"/>
    <row r="319"/>
    <row r="320"/>
    <row r="321"/>
    <row r="322"/>
    <row r="323"/>
    <row r="324"/>
    <row r="325"/>
    <row r="326"/>
    <row r="327"/>
    <row r="328">
      <c r="B328" s="2" t="n"/>
    </row>
    <row r="329"/>
    <row r="330"/>
    <row r="331"/>
    <row r="332">
      <c r="B332" s="2" t="n"/>
    </row>
    <row r="333"/>
    <row r="334">
      <c r="B334" s="2" t="n"/>
    </row>
    <row r="335"/>
    <row r="336">
      <c r="B336" s="6" t="n"/>
    </row>
    <row r="337"/>
    <row r="338" ht="16" customHeight="1">
      <c r="A338" s="10" t="n"/>
    </row>
    <row r="339"/>
    <row r="340"/>
    <row r="341"/>
    <row r="342">
      <c r="B342" s="11" t="n"/>
    </row>
    <row r="343">
      <c r="B343" s="4" t="n"/>
    </row>
    <row r="344">
      <c r="B344" s="11" t="n"/>
    </row>
    <row r="345">
      <c r="B345" s="11" t="n"/>
    </row>
    <row r="346">
      <c r="B346" s="11" t="n"/>
    </row>
    <row r="347">
      <c r="B347" s="11" t="n"/>
    </row>
    <row r="348"/>
    <row r="349" ht="16" customHeight="1">
      <c r="A349" s="10" t="n"/>
      <c r="B349" s="8" t="n"/>
    </row>
    <row r="350"/>
    <row r="351"/>
    <row r="352"/>
    <row r="353"/>
    <row r="354"/>
    <row r="355"/>
    <row r="356"/>
    <row r="357"/>
    <row r="358"/>
    <row r="359"/>
    <row r="360"/>
    <row r="361"/>
    <row r="362"/>
    <row r="363"/>
    <row r="364">
      <c r="B364" s="2" t="n"/>
    </row>
    <row r="365"/>
    <row r="366"/>
    <row r="367"/>
    <row r="368">
      <c r="B368" s="2" t="n"/>
    </row>
    <row r="369"/>
    <row r="370">
      <c r="B370" s="2" t="n"/>
    </row>
    <row r="371"/>
    <row r="372">
      <c r="B372" s="6" t="n"/>
    </row>
    <row r="373"/>
    <row r="374" ht="16" customHeight="1">
      <c r="A374" s="10" t="n"/>
    </row>
    <row r="375"/>
    <row r="376"/>
    <row r="377"/>
    <row r="378">
      <c r="B378" s="11" t="n"/>
    </row>
    <row r="379">
      <c r="B379" s="4" t="n"/>
    </row>
    <row r="380">
      <c r="B380" s="11" t="n"/>
    </row>
    <row r="381">
      <c r="B381" s="11" t="n"/>
    </row>
    <row r="382">
      <c r="B382" s="11" t="n"/>
    </row>
    <row r="383">
      <c r="B383" s="11"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382"/>
  <sheetViews>
    <sheetView topLeftCell="A14" workbookViewId="0">
      <selection activeCell="A36" sqref="A36"/>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Motorbike, battery electric, 4-11kW</t>
        </is>
      </c>
    </row>
    <row r="2">
      <c r="A2" t="inlineStr">
        <is>
          <t>location</t>
        </is>
      </c>
      <c r="B2" t="inlineStr">
        <is>
          <t>CH</t>
        </is>
      </c>
    </row>
    <row r="3">
      <c r="A3" t="inlineStr">
        <is>
          <t>vehicle</t>
        </is>
      </c>
      <c r="B3" t="inlineStr">
        <is>
          <t>Motorbike, battery electric, 4-11kW</t>
        </is>
      </c>
    </row>
    <row r="4">
      <c r="A4" t="inlineStr">
        <is>
          <t>size</t>
        </is>
      </c>
    </row>
    <row r="5">
      <c r="A5" t="inlineStr">
        <is>
          <t>year</t>
        </is>
      </c>
      <c r="B5" t="n">
        <v>2020</v>
      </c>
    </row>
    <row r="6">
      <c r="A6" t="inlineStr">
        <is>
          <t>full name</t>
        </is>
      </c>
      <c r="B6" t="inlineStr">
        <is>
          <t>Motorbike, battery electric, 4-11kW - 2020 - NMC - CH</t>
        </is>
      </c>
    </row>
    <row r="7">
      <c r="A7" t="inlineStr">
        <is>
          <t>reference product</t>
        </is>
      </c>
      <c r="B7" t="inlineStr">
        <is>
          <t>Motorbike, battery electric, 4-11kW</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25000</v>
      </c>
    </row>
    <row r="12">
      <c r="A12" t="inlineStr">
        <is>
          <t>passengers</t>
        </is>
      </c>
      <c r="B12" t="n">
        <v>1.1</v>
      </c>
    </row>
    <row r="13">
      <c r="A13" t="inlineStr">
        <is>
          <t>service</t>
        </is>
      </c>
      <c r="B13" t="n">
        <v>1</v>
      </c>
    </row>
    <row r="14">
      <c r="A14" t="inlineStr">
        <is>
          <t>battery replacement</t>
        </is>
      </c>
      <c r="B14" t="n">
        <v>1</v>
      </c>
    </row>
    <row r="15">
      <c r="A15" t="inlineStr">
        <is>
          <t>annual kilometers</t>
        </is>
      </c>
      <c r="B15" t="n">
        <v>1776</v>
      </c>
    </row>
    <row r="16">
      <c r="A16" t="inlineStr">
        <is>
          <t>curb mass</t>
        </is>
      </c>
      <c r="B16" s="2" t="n">
        <v>117.0007404404927</v>
      </c>
    </row>
    <row r="17">
      <c r="A17" t="inlineStr">
        <is>
          <t>power</t>
        </is>
      </c>
      <c r="B17" t="n">
        <v>4.7</v>
      </c>
    </row>
    <row r="18">
      <c r="A18" t="inlineStr">
        <is>
          <t>battery type</t>
        </is>
      </c>
      <c r="B18" s="19" t="inlineStr">
        <is>
          <t>NMC</t>
        </is>
      </c>
    </row>
    <row r="19">
      <c r="A19" t="inlineStr">
        <is>
          <t>battery mass</t>
        </is>
      </c>
      <c r="B19" t="n">
        <v>18.85</v>
      </c>
    </row>
    <row r="20">
      <c r="A20" t="inlineStr">
        <is>
          <t>electricity, low voltage</t>
        </is>
      </c>
      <c r="B20" t="n">
        <v>2.9</v>
      </c>
    </row>
    <row r="21">
      <c r="A21" t="inlineStr">
        <is>
          <t>battery capacity available</t>
        </is>
      </c>
      <c r="B21" t="n">
        <v>2.32</v>
      </c>
    </row>
    <row r="22">
      <c r="A22" t="inlineStr">
        <is>
          <t>tank capacity</t>
        </is>
      </c>
      <c r="B22" s="2" t="n">
        <v>0</v>
      </c>
    </row>
    <row r="23">
      <c r="A23" t="inlineStr">
        <is>
          <t>fuel mass</t>
        </is>
      </c>
      <c r="B23" t="n">
        <v>0</v>
      </c>
    </row>
    <row r="24">
      <c r="A24" t="inlineStr">
        <is>
          <t>range</t>
        </is>
      </c>
      <c r="B24" s="2" t="n">
        <v>45.89010989010989</v>
      </c>
    </row>
    <row r="25">
      <c r="A25" t="inlineStr">
        <is>
          <t>emission standard</t>
        </is>
      </c>
      <c r="B25" t="inlineStr">
        <is>
          <t>None</t>
        </is>
      </c>
    </row>
    <row r="26">
      <c r="A26" t="inlineStr">
        <is>
          <t>Glider lightweighting</t>
        </is>
      </c>
      <c r="B26" s="6" t="n">
        <v>0</v>
      </c>
    </row>
    <row r="27">
      <c r="A27" t="inlineStr">
        <is>
          <t>origin</t>
        </is>
      </c>
      <c r="B27" s="6" t="inlineStr">
        <is>
          <t>China</t>
        </is>
      </c>
    </row>
    <row r="28">
      <c r="A28" t="inlineStr">
        <is>
          <t>distance by ship [km]</t>
        </is>
      </c>
      <c r="B28" s="2" t="n">
        <v>15900</v>
      </c>
    </row>
    <row r="29">
      <c r="A29" t="inlineStr">
        <is>
          <t>distance by truck [km]</t>
        </is>
      </c>
      <c r="B29" s="2" t="n">
        <v>1000</v>
      </c>
    </row>
    <row r="30">
      <c r="A30" t="inlineStr">
        <is>
          <t>comment</t>
        </is>
      </c>
      <c r="B30" t="inlineStr">
        <is>
          <t>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ht="16" customHeight="1">
      <c r="A31" s="10" t="inlineStr">
        <is>
          <t>Exchanges</t>
        </is>
      </c>
    </row>
    <row r="32">
      <c r="A32" t="inlineStr">
        <is>
          <t>name</t>
        </is>
      </c>
      <c r="B32" t="inlineStr">
        <is>
          <t>amount</t>
        </is>
      </c>
      <c r="C32" t="inlineStr">
        <is>
          <t>location</t>
        </is>
      </c>
      <c r="D32" t="inlineStr">
        <is>
          <t>unit</t>
        </is>
      </c>
      <c r="E32" t="inlineStr">
        <is>
          <t>categories</t>
        </is>
      </c>
      <c r="F32" t="inlineStr">
        <is>
          <t>type</t>
        </is>
      </c>
      <c r="G32" t="inlineStr">
        <is>
          <t>comment</t>
        </is>
      </c>
      <c r="H32" t="inlineStr">
        <is>
          <t>reference product</t>
        </is>
      </c>
    </row>
    <row r="33">
      <c r="A33" t="inlineStr">
        <is>
          <t>Motorbike, battery electric, 4-11kW</t>
        </is>
      </c>
      <c r="B33" s="3" t="n">
        <v>1</v>
      </c>
      <c r="C33" t="inlineStr">
        <is>
          <t>CH</t>
        </is>
      </c>
      <c r="D33" t="inlineStr">
        <is>
          <t>unit</t>
        </is>
      </c>
      <c r="F33" t="inlineStr">
        <is>
          <t>production</t>
        </is>
      </c>
      <c r="H33" t="inlineStr">
        <is>
          <t>Motorbike, battery electric, 4-11kW</t>
        </is>
      </c>
    </row>
    <row r="34">
      <c r="A34" t="inlineStr">
        <is>
          <t>market for glider, for electric scooter</t>
        </is>
      </c>
      <c r="B34" s="3" t="n">
        <v>65.43382696032849</v>
      </c>
      <c r="C34" t="inlineStr">
        <is>
          <t>GLO</t>
        </is>
      </c>
      <c r="D34" t="inlineStr">
        <is>
          <t>kilogram</t>
        </is>
      </c>
      <c r="F34" t="inlineStr">
        <is>
          <t>technosphere</t>
        </is>
      </c>
      <c r="G34" t="inlineStr">
        <is>
          <t>Glider base mass [kg]</t>
        </is>
      </c>
      <c r="H34" t="inlineStr">
        <is>
          <t>glider, for electric scooter</t>
        </is>
      </c>
    </row>
    <row r="35">
      <c r="A35" t="inlineStr">
        <is>
          <t>market for glider, for electric scooter</t>
        </is>
      </c>
      <c r="B35" s="3" t="n">
        <v>13.0867653920657</v>
      </c>
      <c r="C35" t="inlineStr">
        <is>
          <t>GLO</t>
        </is>
      </c>
      <c r="D35" t="inlineStr">
        <is>
          <t>kilogram</t>
        </is>
      </c>
      <c r="F35" t="inlineStr">
        <is>
          <t>technosphere</t>
        </is>
      </c>
      <c r="G35" t="inlineStr">
        <is>
          <t>Mechanical powertrain mass [kg]</t>
        </is>
      </c>
      <c r="H35" t="inlineStr">
        <is>
          <t>glider, for electric scooter</t>
        </is>
      </c>
    </row>
    <row r="36">
      <c r="A36" t="inlineStr">
        <is>
          <t>market for electric powertrain, for electric scooter</t>
        </is>
      </c>
      <c r="B36" s="3" t="n">
        <v>19.63014808809855</v>
      </c>
      <c r="C36" t="inlineStr">
        <is>
          <t>GLO</t>
        </is>
      </c>
      <c r="D36" t="inlineStr">
        <is>
          <t>kilogram</t>
        </is>
      </c>
      <c r="F36" t="inlineStr">
        <is>
          <t>technosphere</t>
        </is>
      </c>
      <c r="G36" t="inlineStr">
        <is>
          <t>Electric powertrain mass [kg]</t>
        </is>
      </c>
      <c r="H36" t="inlineStr">
        <is>
          <t>powertrain, for electric scooter</t>
        </is>
      </c>
    </row>
    <row r="37">
      <c r="A37" t="inlineStr">
        <is>
          <t>market for battery capacity (MIX scenario)</t>
        </is>
      </c>
      <c r="B37" s="3" t="n">
        <v>2.9</v>
      </c>
      <c r="C37" t="inlineStr">
        <is>
          <t>GLO</t>
        </is>
      </c>
      <c r="D37" t="inlineStr">
        <is>
          <t>kilowatt hour</t>
        </is>
      </c>
      <c r="F37" t="inlineStr">
        <is>
          <t>technosphere</t>
        </is>
      </c>
      <c r="H37" t="inlineStr">
        <is>
          <t>electricity storage capacity</t>
        </is>
      </c>
    </row>
    <row r="38">
      <c r="A38" t="inlineStr">
        <is>
          <t>charging station, 3kW</t>
        </is>
      </c>
      <c r="B38" s="3" t="n">
        <v>1</v>
      </c>
      <c r="C38" t="inlineStr">
        <is>
          <t>GLO</t>
        </is>
      </c>
      <c r="D38" t="inlineStr">
        <is>
          <t>unit</t>
        </is>
      </c>
      <c r="F38" t="inlineStr">
        <is>
          <t>technosphere</t>
        </is>
      </c>
      <c r="G38" t="inlineStr">
        <is>
          <t>Charging station per vehicle [unit]</t>
        </is>
      </c>
      <c r="H38" t="inlineStr">
        <is>
          <t>charging station, 3kW</t>
        </is>
      </c>
    </row>
    <row r="39">
      <c r="A39" t="inlineStr">
        <is>
          <t>manual dismantling of used electric scooter</t>
        </is>
      </c>
      <c r="B39" s="3" t="n">
        <v>65.43382696032849</v>
      </c>
      <c r="C39" t="inlineStr">
        <is>
          <t>GLO</t>
        </is>
      </c>
      <c r="D39" t="inlineStr">
        <is>
          <t>unit</t>
        </is>
      </c>
      <c r="F39" t="inlineStr">
        <is>
          <t>technosphere</t>
        </is>
      </c>
      <c r="G39" t="inlineStr">
        <is>
          <t>Discarding glider [kg]</t>
        </is>
      </c>
      <c r="H39" t="inlineStr">
        <is>
          <t>manual dismantling of electric scooter</t>
        </is>
      </c>
    </row>
    <row r="40">
      <c r="A40" t="inlineStr">
        <is>
          <t>manual dismantling of used electric scooter</t>
        </is>
      </c>
      <c r="B40" s="3" t="n">
        <v>32.71691348016424</v>
      </c>
      <c r="C40" t="inlineStr">
        <is>
          <t>GLO</t>
        </is>
      </c>
      <c r="D40" t="inlineStr">
        <is>
          <t>unit</t>
        </is>
      </c>
      <c r="F40" t="inlineStr">
        <is>
          <t>technosphere</t>
        </is>
      </c>
      <c r="G40" t="inlineStr">
        <is>
          <t>Discarding powertrain [kg]</t>
        </is>
      </c>
      <c r="H40" t="inlineStr">
        <is>
          <t>manual dismantling of electric scooter</t>
        </is>
      </c>
    </row>
    <row r="41">
      <c r="A41" s="13" t="inlineStr">
        <is>
          <t>market for transport, freight, lorry, unspecified</t>
        </is>
      </c>
      <c r="B41" s="3" t="n">
        <v>117.0007404404927</v>
      </c>
      <c r="C41" t="inlineStr">
        <is>
          <t>RER</t>
        </is>
      </c>
      <c r="D41" t="inlineStr">
        <is>
          <t>ton kilometer</t>
        </is>
      </c>
      <c r="F41" t="inlineStr">
        <is>
          <t>technosphere</t>
        </is>
      </c>
      <c r="H41" s="13" t="inlineStr">
        <is>
          <t>transport, freight, lorry, unspecified</t>
        </is>
      </c>
    </row>
    <row r="42">
      <c r="A42" s="13" t="inlineStr">
        <is>
          <t>transport, freight, sea, container ship</t>
        </is>
      </c>
      <c r="B42" s="3" t="n">
        <v>1860.311773003834</v>
      </c>
      <c r="C42" t="inlineStr">
        <is>
          <t>GLO</t>
        </is>
      </c>
      <c r="D42" t="inlineStr">
        <is>
          <t>ton kilometer</t>
        </is>
      </c>
      <c r="F42" t="inlineStr">
        <is>
          <t>technosphere</t>
        </is>
      </c>
      <c r="H42" s="13" t="inlineStr">
        <is>
          <t>transport, freight, sea, container ship</t>
        </is>
      </c>
    </row>
    <row r="43">
      <c r="B43" s="11" t="n"/>
    </row>
    <row r="44">
      <c r="B44" s="2" t="n"/>
    </row>
    <row r="45" ht="16" customHeight="1">
      <c r="A45" s="10" t="inlineStr">
        <is>
          <t>Activity</t>
        </is>
      </c>
      <c r="B45" s="8" t="inlineStr">
        <is>
          <t>transport, Motorbike, battery electric, 4-11kW</t>
        </is>
      </c>
    </row>
    <row r="46">
      <c r="A46" t="inlineStr">
        <is>
          <t>location</t>
        </is>
      </c>
      <c r="B46" t="inlineStr">
        <is>
          <t>CH</t>
        </is>
      </c>
    </row>
    <row r="47">
      <c r="A47" t="inlineStr">
        <is>
          <t>vehicle</t>
        </is>
      </c>
      <c r="B47" t="inlineStr">
        <is>
          <t>Motorbike, battery electric, 4-11kW</t>
        </is>
      </c>
    </row>
    <row r="48">
      <c r="A48" t="inlineStr">
        <is>
          <t>size</t>
        </is>
      </c>
    </row>
    <row r="49">
      <c r="A49" t="inlineStr">
        <is>
          <t>year</t>
        </is>
      </c>
      <c r="B49" t="n">
        <v>2020</v>
      </c>
    </row>
    <row r="50">
      <c r="A50" t="inlineStr">
        <is>
          <t>full name</t>
        </is>
      </c>
      <c r="B50" t="inlineStr">
        <is>
          <t>Motorbike, battery electric, 4-11kW - 2020 - NMC - CH</t>
        </is>
      </c>
    </row>
    <row r="51">
      <c r="A51" t="inlineStr">
        <is>
          <t>reference product</t>
        </is>
      </c>
      <c r="B51" t="inlineStr">
        <is>
          <t>transport, Motorbike, battery electric, 4-11kW</t>
        </is>
      </c>
    </row>
    <row r="52">
      <c r="A52" t="inlineStr">
        <is>
          <t>type</t>
        </is>
      </c>
      <c r="B52" t="inlineStr">
        <is>
          <t>process</t>
        </is>
      </c>
    </row>
    <row r="53">
      <c r="A53" t="inlineStr">
        <is>
          <t>unit</t>
        </is>
      </c>
      <c r="B53" t="inlineStr">
        <is>
          <t>kilometer</t>
        </is>
      </c>
    </row>
    <row r="54">
      <c r="A54" t="inlineStr">
        <is>
          <t>source</t>
        </is>
      </c>
      <c r="B54" t="inlineStr">
        <is>
          <t>Sacchi R., Bauer C. Life cycle inventories for on-road vehicles. Paul Scherrer Institut, 2021.</t>
        </is>
      </c>
    </row>
    <row r="55">
      <c r="A55" t="inlineStr">
        <is>
          <t>lifetime</t>
        </is>
      </c>
      <c r="B55" t="n">
        <v>25000</v>
      </c>
    </row>
    <row r="56">
      <c r="A56" t="inlineStr">
        <is>
          <t>passengers</t>
        </is>
      </c>
      <c r="B56" t="n">
        <v>1.1</v>
      </c>
    </row>
    <row r="57">
      <c r="A57" t="inlineStr">
        <is>
          <t>service</t>
        </is>
      </c>
      <c r="B57" t="n">
        <v>1</v>
      </c>
    </row>
    <row r="58">
      <c r="A58" t="inlineStr">
        <is>
          <t>battery replacement</t>
        </is>
      </c>
      <c r="B58" t="n">
        <v>1</v>
      </c>
    </row>
    <row r="59">
      <c r="A59" t="inlineStr">
        <is>
          <t>annual kilometers</t>
        </is>
      </c>
      <c r="B59" t="n">
        <v>1776</v>
      </c>
    </row>
    <row r="60">
      <c r="A60" t="inlineStr">
        <is>
          <t>curb mass</t>
        </is>
      </c>
      <c r="B60" s="2" t="n">
        <v>117.0007404404927</v>
      </c>
    </row>
    <row r="61">
      <c r="A61" t="inlineStr">
        <is>
          <t>power</t>
        </is>
      </c>
      <c r="B61" t="n">
        <v>4.7</v>
      </c>
    </row>
    <row r="62">
      <c r="A62" t="inlineStr">
        <is>
          <t>battery type</t>
        </is>
      </c>
      <c r="B62" s="19" t="inlineStr">
        <is>
          <t>NMC</t>
        </is>
      </c>
    </row>
    <row r="63">
      <c r="A63" t="inlineStr">
        <is>
          <t>battery mass</t>
        </is>
      </c>
      <c r="B63" t="n">
        <v>18.85</v>
      </c>
    </row>
    <row r="64">
      <c r="A64" t="inlineStr">
        <is>
          <t>electricity, low voltage</t>
        </is>
      </c>
      <c r="B64" t="n">
        <v>2.9</v>
      </c>
    </row>
    <row r="65">
      <c r="A65" t="inlineStr">
        <is>
          <t>battery capacity available</t>
        </is>
      </c>
      <c r="B65" t="n">
        <v>2.32</v>
      </c>
    </row>
    <row r="66">
      <c r="A66" t="inlineStr">
        <is>
          <t>tank capacity</t>
        </is>
      </c>
      <c r="B66" s="2" t="n">
        <v>0</v>
      </c>
    </row>
    <row r="67">
      <c r="A67" t="inlineStr">
        <is>
          <t>fuel mass</t>
        </is>
      </c>
      <c r="B67" t="n">
        <v>0</v>
      </c>
    </row>
    <row r="68">
      <c r="A68" t="inlineStr">
        <is>
          <t>range</t>
        </is>
      </c>
      <c r="B68" s="2" t="n">
        <v>45.89010989010989</v>
      </c>
    </row>
    <row r="69">
      <c r="A69" t="inlineStr">
        <is>
          <t>emission standard</t>
        </is>
      </c>
      <c r="B69" t="inlineStr">
        <is>
          <t>None</t>
        </is>
      </c>
    </row>
    <row r="70">
      <c r="A70" t="inlineStr">
        <is>
          <t>Glider lightweighting</t>
        </is>
      </c>
      <c r="B70" s="6" t="n">
        <v>0</v>
      </c>
    </row>
    <row r="71">
      <c r="A71" t="inlineStr">
        <is>
          <t>comment</t>
        </is>
      </c>
      <c r="B71" t="inlineStr">
        <is>
          <t>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ht="16" customHeight="1">
      <c r="A72" s="10" t="inlineStr">
        <is>
          <t>Exchanges</t>
        </is>
      </c>
    </row>
    <row r="73">
      <c r="A73" t="inlineStr">
        <is>
          <t>name</t>
        </is>
      </c>
      <c r="B73" t="inlineStr">
        <is>
          <t>amount</t>
        </is>
      </c>
      <c r="C73" t="inlineStr">
        <is>
          <t>location</t>
        </is>
      </c>
      <c r="D73" t="inlineStr">
        <is>
          <t>unit</t>
        </is>
      </c>
      <c r="E73" t="inlineStr">
        <is>
          <t>categories</t>
        </is>
      </c>
      <c r="F73" t="inlineStr">
        <is>
          <t>type</t>
        </is>
      </c>
      <c r="G73" t="inlineStr">
        <is>
          <t>comment</t>
        </is>
      </c>
      <c r="H73" t="inlineStr">
        <is>
          <t>reference product</t>
        </is>
      </c>
    </row>
    <row r="74">
      <c r="A74" t="inlineStr">
        <is>
          <t>transport, Motorbike, battery electric, 4-11kW</t>
        </is>
      </c>
      <c r="B74" t="n">
        <v>1</v>
      </c>
      <c r="C74" t="inlineStr">
        <is>
          <t>CH</t>
        </is>
      </c>
      <c r="D74" t="inlineStr">
        <is>
          <t>kilometer</t>
        </is>
      </c>
      <c r="F74" t="inlineStr">
        <is>
          <t>production</t>
        </is>
      </c>
      <c r="H74" t="inlineStr">
        <is>
          <t>transport, Motorbike, battery electric, 4-11kW</t>
        </is>
      </c>
    </row>
    <row r="75">
      <c r="A75" t="inlineStr">
        <is>
          <t>Motorbike, battery electric, 4-11kW</t>
        </is>
      </c>
      <c r="B75" s="7" t="n">
        <v>4e-05</v>
      </c>
      <c r="C75" t="inlineStr">
        <is>
          <t>CH</t>
        </is>
      </c>
      <c r="D75" t="inlineStr">
        <is>
          <t>unit</t>
        </is>
      </c>
      <c r="F75" t="inlineStr">
        <is>
          <t>technosphere</t>
        </is>
      </c>
      <c r="H75" t="inlineStr">
        <is>
          <t>Motorbike, battery electric, 4-11kW</t>
        </is>
      </c>
    </row>
    <row r="76">
      <c r="A76" t="inlineStr">
        <is>
          <t>road construction</t>
        </is>
      </c>
      <c r="B76" s="7" t="n">
        <v>0.0001103538976165446</v>
      </c>
      <c r="C76" t="inlineStr">
        <is>
          <t>CH</t>
        </is>
      </c>
      <c r="D76" t="inlineStr">
        <is>
          <t>meter-year</t>
        </is>
      </c>
      <c r="F76" t="inlineStr">
        <is>
          <t>technosphere</t>
        </is>
      </c>
      <c r="G76" t="inlineStr">
        <is>
          <t>Road/track use [m*year/vkm or pkm]</t>
        </is>
      </c>
      <c r="H76" t="inlineStr">
        <is>
          <t>road</t>
        </is>
      </c>
    </row>
    <row r="77">
      <c r="A77" t="inlineStr">
        <is>
          <t>road maintenance</t>
        </is>
      </c>
      <c r="B77" s="7" t="n">
        <v>0.00129</v>
      </c>
      <c r="C77" t="inlineStr">
        <is>
          <t>CH</t>
        </is>
      </c>
      <c r="D77" t="inlineStr">
        <is>
          <t>meter-year</t>
        </is>
      </c>
      <c r="F77" t="inlineStr">
        <is>
          <t>technosphere</t>
        </is>
      </c>
      <c r="G77" t="inlineStr">
        <is>
          <t>Road maintenance [m*year/vkm]</t>
        </is>
      </c>
      <c r="H77" t="inlineStr">
        <is>
          <t>road maintenance</t>
        </is>
      </c>
    </row>
    <row r="78">
      <c r="A78" t="inlineStr">
        <is>
          <t>market for electricity, low voltage</t>
        </is>
      </c>
      <c r="B78" s="7" t="n">
        <v>0.05561111111111111</v>
      </c>
      <c r="C78" t="inlineStr">
        <is>
          <t>CH</t>
        </is>
      </c>
      <c r="D78" t="inlineStr">
        <is>
          <t>kilowatt hour</t>
        </is>
      </c>
      <c r="F78" t="inlineStr">
        <is>
          <t>technosphere</t>
        </is>
      </c>
      <c r="G78" t="inlineStr">
        <is>
          <t>Electricity consumption [MJ/km]</t>
        </is>
      </c>
      <c r="H78" t="inlineStr">
        <is>
          <t>electricity, low voltage</t>
        </is>
      </c>
    </row>
    <row r="79">
      <c r="A79" t="inlineStr">
        <is>
          <t>market for maintenance, electric scooter, without battery</t>
        </is>
      </c>
      <c r="B79" s="7" t="n">
        <v>4e-05</v>
      </c>
      <c r="C79" t="inlineStr">
        <is>
          <t>GLO</t>
        </is>
      </c>
      <c r="D79" t="inlineStr">
        <is>
          <t>unit</t>
        </is>
      </c>
      <c r="F79" t="inlineStr">
        <is>
          <t>technosphere</t>
        </is>
      </c>
      <c r="G79" t="inlineStr">
        <is>
          <t>Servicing [unit]</t>
        </is>
      </c>
      <c r="H79" t="inlineStr">
        <is>
          <t>maintenance, electric scooter, without battery</t>
        </is>
      </c>
    </row>
    <row r="80">
      <c r="A80" t="inlineStr">
        <is>
          <t>treatment of road wear emissions, passenger car</t>
        </is>
      </c>
      <c r="B80" s="7" t="n">
        <v>-7.443627938137163e-06</v>
      </c>
      <c r="C80" t="inlineStr">
        <is>
          <t>RER</t>
        </is>
      </c>
      <c r="D80" t="inlineStr">
        <is>
          <t>kilogram</t>
        </is>
      </c>
      <c r="F80" t="inlineStr">
        <is>
          <t>technosphere</t>
        </is>
      </c>
      <c r="G80" t="inlineStr">
        <is>
          <t>Road wear [kg/km]</t>
        </is>
      </c>
      <c r="H80" t="inlineStr">
        <is>
          <t>road wear emissions, passenger car</t>
        </is>
      </c>
    </row>
    <row r="81">
      <c r="A81" t="inlineStr">
        <is>
          <t>treatment of tyre wear emissions, passenger car</t>
        </is>
      </c>
      <c r="B81" s="7" t="n">
        <v>-5.164369133494393e-06</v>
      </c>
      <c r="C81" t="inlineStr">
        <is>
          <t>RER</t>
        </is>
      </c>
      <c r="D81" t="inlineStr">
        <is>
          <t>kilogram</t>
        </is>
      </c>
      <c r="F81" t="inlineStr">
        <is>
          <t>technosphere</t>
        </is>
      </c>
      <c r="G81" t="inlineStr">
        <is>
          <t>Tire wear [kg/km]</t>
        </is>
      </c>
      <c r="H81" t="inlineStr">
        <is>
          <t>tyre wear emissions, passenger car</t>
        </is>
      </c>
    </row>
    <row r="82">
      <c r="A82" t="inlineStr">
        <is>
          <t>treatment of brake wear emissions, passenger car</t>
        </is>
      </c>
      <c r="B82" s="7" t="n">
        <v>-2.808775407154986e-06</v>
      </c>
      <c r="C82" t="inlineStr">
        <is>
          <t>RER</t>
        </is>
      </c>
      <c r="D82" t="inlineStr">
        <is>
          <t>kilogram</t>
        </is>
      </c>
      <c r="F82" t="inlineStr">
        <is>
          <t>technosphere</t>
        </is>
      </c>
      <c r="G82" t="inlineStr">
        <is>
          <t>Brake wear [kg/km]</t>
        </is>
      </c>
      <c r="H82" t="inlineStr">
        <is>
          <t>brake wear emissions, passenger car</t>
        </is>
      </c>
    </row>
    <row r="83">
      <c r="B83" s="6" t="n"/>
    </row>
    <row r="84" ht="16" customHeight="1">
      <c r="A84" s="10" t="n"/>
      <c r="B84" s="8" t="n"/>
    </row>
    <row r="85"/>
    <row r="86"/>
    <row r="87"/>
    <row r="88"/>
    <row r="89"/>
    <row r="90"/>
    <row r="91"/>
    <row r="92"/>
    <row r="93"/>
    <row r="94"/>
    <row r="95"/>
    <row r="96"/>
    <row r="97"/>
    <row r="98"/>
    <row r="99">
      <c r="B99" s="2" t="n"/>
    </row>
    <row r="100"/>
    <row r="101"/>
    <row r="102"/>
    <row r="103">
      <c r="B103" s="2" t="n"/>
    </row>
    <row r="104"/>
    <row r="105">
      <c r="B105" s="2" t="n"/>
    </row>
    <row r="106"/>
    <row r="107">
      <c r="B107" s="6" t="n"/>
    </row>
    <row r="108"/>
    <row r="109" ht="16" customHeight="1">
      <c r="A109" s="10" t="n"/>
    </row>
    <row r="110"/>
    <row r="111"/>
    <row r="112">
      <c r="B112" s="11" t="n"/>
    </row>
    <row r="113">
      <c r="B113" s="11" t="n"/>
    </row>
    <row r="114">
      <c r="B114" s="11" t="n"/>
    </row>
    <row r="115">
      <c r="B115" s="11" t="n"/>
    </row>
    <row r="116">
      <c r="B116" s="11" t="n"/>
    </row>
    <row r="117">
      <c r="B117" s="11" t="n"/>
    </row>
    <row r="118">
      <c r="B118" s="11" t="n"/>
    </row>
    <row r="119">
      <c r="B119" s="11" t="n"/>
    </row>
    <row r="120">
      <c r="B120" s="11" t="n"/>
    </row>
    <row r="121">
      <c r="B121" s="11" t="n"/>
    </row>
    <row r="122">
      <c r="B122" s="11" t="n"/>
    </row>
    <row r="123" ht="16" customHeight="1">
      <c r="A123" s="10" t="n"/>
      <c r="B123" s="8" t="n"/>
    </row>
    <row r="124"/>
    <row r="125"/>
    <row r="126"/>
    <row r="127"/>
    <row r="128"/>
    <row r="129"/>
    <row r="130"/>
    <row r="131"/>
    <row r="132"/>
    <row r="133"/>
    <row r="134"/>
    <row r="135"/>
    <row r="136"/>
    <row r="137"/>
    <row r="138">
      <c r="B138" s="2" t="n"/>
    </row>
    <row r="139"/>
    <row r="140"/>
    <row r="141"/>
    <row r="142">
      <c r="B142" s="2" t="n"/>
    </row>
    <row r="143"/>
    <row r="144">
      <c r="B144" s="2" t="n"/>
    </row>
    <row r="145"/>
    <row r="146">
      <c r="B146" s="6" t="n"/>
    </row>
    <row r="147"/>
    <row r="148" ht="16" customHeight="1">
      <c r="A148" s="10" t="n"/>
    </row>
    <row r="149"/>
    <row r="150"/>
    <row r="151">
      <c r="B151" s="11" t="n"/>
    </row>
    <row r="152">
      <c r="B152" s="11" t="n"/>
    </row>
    <row r="153">
      <c r="B153" s="11" t="n"/>
    </row>
    <row r="154">
      <c r="B154" s="11" t="n"/>
    </row>
    <row r="155">
      <c r="B155" s="11" t="n"/>
    </row>
    <row r="156">
      <c r="B156" s="11" t="n"/>
    </row>
    <row r="157">
      <c r="B157" s="11" t="n"/>
    </row>
    <row r="158">
      <c r="B158" s="11" t="n"/>
    </row>
    <row r="159">
      <c r="B159" s="11" t="n"/>
    </row>
    <row r="160">
      <c r="B160" s="11" t="n"/>
    </row>
    <row r="161"/>
    <row r="162" ht="16" customHeight="1">
      <c r="A162" s="10" t="n"/>
      <c r="B162" s="8" t="n"/>
    </row>
    <row r="163"/>
    <row r="164"/>
    <row r="165"/>
    <row r="166"/>
    <row r="167"/>
    <row r="168"/>
    <row r="169"/>
    <row r="170"/>
    <row r="171"/>
    <row r="172"/>
    <row r="173"/>
    <row r="174"/>
    <row r="175"/>
    <row r="176"/>
    <row r="177">
      <c r="B177" s="2" t="n"/>
    </row>
    <row r="178"/>
    <row r="179"/>
    <row r="180"/>
    <row r="181">
      <c r="B181" s="2" t="n"/>
    </row>
    <row r="182"/>
    <row r="183">
      <c r="B183" s="2" t="n"/>
    </row>
    <row r="184"/>
    <row r="185">
      <c r="B185" s="6" t="n"/>
    </row>
    <row r="186"/>
    <row r="187" ht="16" customHeight="1">
      <c r="A187" s="10" t="n"/>
    </row>
    <row r="188"/>
    <row r="189"/>
    <row r="190">
      <c r="B190" s="11" t="n"/>
    </row>
    <row r="191">
      <c r="B191" s="11" t="n"/>
    </row>
    <row r="192">
      <c r="B192" s="11" t="n"/>
    </row>
    <row r="193">
      <c r="B193" s="11" t="n"/>
    </row>
    <row r="194">
      <c r="B194" s="11" t="n"/>
    </row>
    <row r="195">
      <c r="B195" s="11" t="n"/>
    </row>
    <row r="196">
      <c r="B196" s="11" t="n"/>
    </row>
    <row r="197">
      <c r="B197" s="11" t="n"/>
    </row>
    <row r="198">
      <c r="B198" s="11" t="n"/>
    </row>
    <row r="199">
      <c r="B199" s="11" t="n"/>
    </row>
    <row r="200"/>
    <row r="201" ht="16" customHeight="1">
      <c r="A201" s="10" t="n"/>
      <c r="B201" s="8" t="n"/>
    </row>
    <row r="202"/>
    <row r="203"/>
    <row r="204"/>
    <row r="205"/>
    <row r="206"/>
    <row r="207"/>
    <row r="208"/>
    <row r="209"/>
    <row r="210"/>
    <row r="211"/>
    <row r="212"/>
    <row r="213"/>
    <row r="214"/>
    <row r="215"/>
    <row r="216">
      <c r="B216" s="2" t="n"/>
    </row>
    <row r="217"/>
    <row r="218"/>
    <row r="219"/>
    <row r="220">
      <c r="B220" s="2" t="n"/>
    </row>
    <row r="221"/>
    <row r="222">
      <c r="B222" s="2" t="n"/>
    </row>
    <row r="223"/>
    <row r="224">
      <c r="B224" s="6" t="n"/>
    </row>
    <row r="225"/>
    <row r="226" ht="16" customHeight="1">
      <c r="A226" s="10" t="n"/>
    </row>
    <row r="227"/>
    <row r="228"/>
    <row r="229">
      <c r="B229" s="11" t="n"/>
    </row>
    <row r="230">
      <c r="B230" s="11" t="n"/>
    </row>
    <row r="231">
      <c r="B231" s="11" t="n"/>
    </row>
    <row r="232">
      <c r="B232" s="11" t="n"/>
    </row>
    <row r="233">
      <c r="B233" s="11" t="n"/>
    </row>
    <row r="234">
      <c r="B234" s="11" t="n"/>
    </row>
    <row r="235">
      <c r="B235" s="11" t="n"/>
    </row>
    <row r="236">
      <c r="B236" s="11" t="n"/>
    </row>
    <row r="237">
      <c r="B237" s="11" t="n"/>
    </row>
    <row r="238">
      <c r="B238" s="11" t="n"/>
    </row>
    <row r="239">
      <c r="B239" s="2" t="n"/>
    </row>
    <row r="240" ht="16" customHeight="1">
      <c r="A240" s="10" t="n"/>
      <c r="B240" s="8" t="n"/>
    </row>
    <row r="241"/>
    <row r="242"/>
    <row r="243"/>
    <row r="244"/>
    <row r="245"/>
    <row r="246"/>
    <row r="247"/>
    <row r="248"/>
    <row r="249"/>
    <row r="250"/>
    <row r="251"/>
    <row r="252"/>
    <row r="253"/>
    <row r="254"/>
    <row r="255">
      <c r="B255" s="2" t="n"/>
    </row>
    <row r="256"/>
    <row r="257"/>
    <row r="258"/>
    <row r="259">
      <c r="B259" s="2" t="n"/>
    </row>
    <row r="260"/>
    <row r="261">
      <c r="B261" s="2" t="n"/>
    </row>
    <row r="262"/>
    <row r="263">
      <c r="B263" s="6" t="n"/>
    </row>
    <row r="264"/>
    <row r="265" ht="16" customHeight="1">
      <c r="A265" s="10" t="n"/>
    </row>
    <row r="266"/>
    <row r="267"/>
    <row r="268">
      <c r="B268" s="7" t="n"/>
    </row>
    <row r="269">
      <c r="B269" s="11" t="n"/>
    </row>
    <row r="270">
      <c r="B270" s="4" t="n"/>
    </row>
    <row r="271">
      <c r="B271" s="11" t="n"/>
    </row>
    <row r="272">
      <c r="B272" s="11" t="n"/>
    </row>
    <row r="273">
      <c r="B273" s="11" t="n"/>
    </row>
    <row r="274">
      <c r="B274" s="11" t="n"/>
    </row>
    <row r="275">
      <c r="B275" s="6" t="n"/>
    </row>
    <row r="276" ht="16" customHeight="1">
      <c r="A276" s="10" t="n"/>
      <c r="B276" s="8" t="n"/>
    </row>
    <row r="277"/>
    <row r="278"/>
    <row r="279"/>
    <row r="280"/>
    <row r="281"/>
    <row r="282"/>
    <row r="283"/>
    <row r="284"/>
    <row r="285"/>
    <row r="286"/>
    <row r="287"/>
    <row r="288"/>
    <row r="289"/>
    <row r="290"/>
    <row r="291">
      <c r="B291" s="2" t="n"/>
    </row>
    <row r="292"/>
    <row r="293"/>
    <row r="294"/>
    <row r="295">
      <c r="B295" s="2" t="n"/>
    </row>
    <row r="296"/>
    <row r="297">
      <c r="B297" s="2" t="n"/>
    </row>
    <row r="298"/>
    <row r="299">
      <c r="B299" s="6" t="n"/>
    </row>
    <row r="300"/>
    <row r="301" ht="16" customHeight="1">
      <c r="A301" s="10" t="n"/>
    </row>
    <row r="302"/>
    <row r="303"/>
    <row r="304"/>
    <row r="305">
      <c r="B305" s="11" t="n"/>
    </row>
    <row r="306">
      <c r="B306" s="4" t="n"/>
    </row>
    <row r="307">
      <c r="B307" s="11" t="n"/>
    </row>
    <row r="308">
      <c r="B308" s="11" t="n"/>
    </row>
    <row r="309">
      <c r="B309" s="11" t="n"/>
    </row>
    <row r="310">
      <c r="B310" s="11" t="n"/>
    </row>
    <row r="311"/>
    <row r="312" ht="16" customHeight="1">
      <c r="A312" s="10" t="n"/>
      <c r="B312" s="8" t="n"/>
    </row>
    <row r="313"/>
    <row r="314"/>
    <row r="315"/>
    <row r="316"/>
    <row r="317"/>
    <row r="318"/>
    <row r="319"/>
    <row r="320"/>
    <row r="321"/>
    <row r="322"/>
    <row r="323"/>
    <row r="324"/>
    <row r="325"/>
    <row r="326"/>
    <row r="327">
      <c r="B327" s="2" t="n"/>
    </row>
    <row r="328"/>
    <row r="329"/>
    <row r="330"/>
    <row r="331">
      <c r="B331" s="2" t="n"/>
    </row>
    <row r="332"/>
    <row r="333">
      <c r="B333" s="2" t="n"/>
    </row>
    <row r="334"/>
    <row r="335">
      <c r="B335" s="6" t="n"/>
    </row>
    <row r="336"/>
    <row r="337" ht="16" customHeight="1">
      <c r="A337" s="10" t="n"/>
    </row>
    <row r="338"/>
    <row r="339"/>
    <row r="340"/>
    <row r="341">
      <c r="B341" s="11" t="n"/>
    </row>
    <row r="342">
      <c r="B342" s="4" t="n"/>
    </row>
    <row r="343">
      <c r="B343" s="11" t="n"/>
    </row>
    <row r="344">
      <c r="B344" s="11" t="n"/>
    </row>
    <row r="345">
      <c r="B345" s="11" t="n"/>
    </row>
    <row r="346">
      <c r="B346" s="11" t="n"/>
    </row>
    <row r="347"/>
    <row r="348" ht="16" customHeight="1">
      <c r="A348" s="10" t="n"/>
      <c r="B348" s="8" t="n"/>
    </row>
    <row r="349"/>
    <row r="350"/>
    <row r="351"/>
    <row r="352"/>
    <row r="353"/>
    <row r="354"/>
    <row r="355"/>
    <row r="356"/>
    <row r="357"/>
    <row r="358"/>
    <row r="359"/>
    <row r="360"/>
    <row r="361"/>
    <row r="362"/>
    <row r="363">
      <c r="B363" s="2" t="n"/>
    </row>
    <row r="364"/>
    <row r="365"/>
    <row r="366"/>
    <row r="367">
      <c r="B367" s="2" t="n"/>
    </row>
    <row r="368"/>
    <row r="369">
      <c r="B369" s="2" t="n"/>
    </row>
    <row r="370"/>
    <row r="371">
      <c r="B371" s="6" t="n"/>
    </row>
    <row r="372"/>
    <row r="373" ht="16" customHeight="1">
      <c r="A373" s="10" t="n"/>
    </row>
    <row r="374"/>
    <row r="375"/>
    <row r="376"/>
    <row r="377">
      <c r="B377" s="11" t="n"/>
    </row>
    <row r="378">
      <c r="B378" s="4" t="n"/>
    </row>
    <row r="379">
      <c r="B379" s="11" t="n"/>
    </row>
    <row r="380">
      <c r="B380" s="11" t="n"/>
    </row>
    <row r="381">
      <c r="B381" s="11" t="n"/>
    </row>
    <row r="382">
      <c r="B382" s="11" t="n"/>
    </row>
  </sheetData>
  <pageMargins left="0.7" right="0.7" top="0.75" bottom="0.75" header="0.3" footer="0.3"/>
  <pageSetup orientation="portrait" horizontalDpi="300" verticalDpi="300"/>
</worksheet>
</file>

<file path=xl/worksheets/sheet12.xml><?xml version="1.0" encoding="utf-8"?>
<worksheet xmlns="http://schemas.openxmlformats.org/spreadsheetml/2006/main">
  <sheetPr>
    <outlinePr summaryBelow="1" summaryRight="1"/>
    <pageSetUpPr/>
  </sheetPr>
  <dimension ref="A1:H382"/>
  <sheetViews>
    <sheetView tabSelected="1" topLeftCell="A29" workbookViewId="0">
      <selection activeCell="H44" sqref="H44"/>
    </sheetView>
  </sheetViews>
  <sheetFormatPr baseColWidth="10" defaultColWidth="8.83203125" defaultRowHeight="15"/>
  <cols>
    <col width="57.33203125" customWidth="1" min="1" max="1"/>
    <col width="15.6640625" bestFit="1" customWidth="1" min="2" max="2"/>
    <col width="32" bestFit="1" customWidth="1" min="7" max="7"/>
  </cols>
  <sheetData>
    <row r="1" ht="16" customHeight="1">
      <c r="A1" s="10" t="inlineStr">
        <is>
          <t>Activity</t>
        </is>
      </c>
      <c r="B1" s="8" t="inlineStr">
        <is>
          <t>Motorbike, battery electric, 11-35kW</t>
        </is>
      </c>
    </row>
    <row r="2">
      <c r="A2" t="inlineStr">
        <is>
          <t>location</t>
        </is>
      </c>
      <c r="B2" t="inlineStr">
        <is>
          <t>CH</t>
        </is>
      </c>
    </row>
    <row r="3">
      <c r="A3" t="inlineStr">
        <is>
          <t>vehicle</t>
        </is>
      </c>
      <c r="B3" t="inlineStr">
        <is>
          <t>Motorbike, battery electric, 11-35kW</t>
        </is>
      </c>
    </row>
    <row r="4">
      <c r="A4" t="inlineStr">
        <is>
          <t>size</t>
        </is>
      </c>
    </row>
    <row r="5">
      <c r="A5" t="inlineStr">
        <is>
          <t>year</t>
        </is>
      </c>
      <c r="B5" t="n">
        <v>2020</v>
      </c>
    </row>
    <row r="6">
      <c r="A6" t="inlineStr">
        <is>
          <t>full name</t>
        </is>
      </c>
      <c r="B6" t="inlineStr">
        <is>
          <t>Motorbike, battery electric, 11-35kW - 2020 - NMC - CH</t>
        </is>
      </c>
    </row>
    <row r="7">
      <c r="A7" t="inlineStr">
        <is>
          <t>reference product</t>
        </is>
      </c>
      <c r="B7" t="inlineStr">
        <is>
          <t>Motorbike, battery electric, 11-35kW</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38500</v>
      </c>
    </row>
    <row r="12">
      <c r="A12" t="inlineStr">
        <is>
          <t>passengers</t>
        </is>
      </c>
      <c r="B12" t="n">
        <v>1.1</v>
      </c>
    </row>
    <row r="13">
      <c r="A13" t="inlineStr">
        <is>
          <t>service</t>
        </is>
      </c>
      <c r="B13" t="n">
        <v>1.54</v>
      </c>
    </row>
    <row r="14">
      <c r="A14" t="inlineStr">
        <is>
          <t>battery replacement</t>
        </is>
      </c>
      <c r="B14" t="n">
        <v>1</v>
      </c>
    </row>
    <row r="15">
      <c r="A15" t="inlineStr">
        <is>
          <t>annual kilometers</t>
        </is>
      </c>
      <c r="B15" t="n">
        <v>2405</v>
      </c>
    </row>
    <row r="16">
      <c r="A16" t="inlineStr">
        <is>
          <t>curb mass</t>
        </is>
      </c>
      <c r="B16" s="2" t="n">
        <v>165.65</v>
      </c>
    </row>
    <row r="17">
      <c r="A17" t="inlineStr">
        <is>
          <t>power</t>
        </is>
      </c>
      <c r="B17" t="n">
        <v>14</v>
      </c>
    </row>
    <row r="18">
      <c r="A18" t="inlineStr">
        <is>
          <t>battery type</t>
        </is>
      </c>
      <c r="B18" s="19" t="inlineStr">
        <is>
          <t>NMC</t>
        </is>
      </c>
    </row>
    <row r="19">
      <c r="A19" t="inlineStr">
        <is>
          <t>battery mass</t>
        </is>
      </c>
      <c r="B19" t="n">
        <v>52.64999999999999</v>
      </c>
    </row>
    <row r="20">
      <c r="A20" t="inlineStr">
        <is>
          <t>electricity, low voltage</t>
        </is>
      </c>
      <c r="B20" t="n">
        <v>8.1</v>
      </c>
    </row>
    <row r="21">
      <c r="A21" t="inlineStr">
        <is>
          <t>battery capacity available</t>
        </is>
      </c>
      <c r="B21" t="n">
        <v>6.48</v>
      </c>
    </row>
    <row r="22">
      <c r="A22" t="inlineStr">
        <is>
          <t>tank capacity</t>
        </is>
      </c>
      <c r="B22" s="2" t="n">
        <v>0</v>
      </c>
    </row>
    <row r="23">
      <c r="A23" t="inlineStr">
        <is>
          <t>fuel mass</t>
        </is>
      </c>
      <c r="B23" t="n">
        <v>0</v>
      </c>
    </row>
    <row r="24">
      <c r="A24" t="inlineStr">
        <is>
          <t>range</t>
        </is>
      </c>
      <c r="B24" s="2" t="n">
        <v>94.69231120879122</v>
      </c>
    </row>
    <row r="25">
      <c r="A25" t="inlineStr">
        <is>
          <t>emission standard</t>
        </is>
      </c>
      <c r="B25" t="inlineStr">
        <is>
          <t>None</t>
        </is>
      </c>
    </row>
    <row r="26">
      <c r="A26" t="inlineStr">
        <is>
          <t>Glider lightweighting</t>
        </is>
      </c>
      <c r="B26" s="6" t="n">
        <v>0</v>
      </c>
    </row>
    <row r="27">
      <c r="A27" t="inlineStr">
        <is>
          <t>origin</t>
        </is>
      </c>
      <c r="B27" s="6" t="inlineStr">
        <is>
          <t>China</t>
        </is>
      </c>
    </row>
    <row r="28">
      <c r="A28" t="inlineStr">
        <is>
          <t>distance by ship [km]</t>
        </is>
      </c>
      <c r="B28" s="2" t="n">
        <v>15900</v>
      </c>
    </row>
    <row r="29">
      <c r="A29" t="inlineStr">
        <is>
          <t>distance by truck [km]</t>
        </is>
      </c>
      <c r="B29" s="2" t="n">
        <v>1000</v>
      </c>
    </row>
    <row r="30">
      <c r="A30" t="inlineStr">
        <is>
          <t>comment</t>
        </is>
      </c>
      <c r="B30" t="inlineStr">
        <is>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ht="16" customHeight="1">
      <c r="A31" s="10" t="inlineStr">
        <is>
          <t>Exchanges</t>
        </is>
      </c>
    </row>
    <row r="32">
      <c r="A32" t="inlineStr">
        <is>
          <t>name</t>
        </is>
      </c>
      <c r="B32" t="inlineStr">
        <is>
          <t>amount</t>
        </is>
      </c>
      <c r="C32" t="inlineStr">
        <is>
          <t>location</t>
        </is>
      </c>
      <c r="D32" t="inlineStr">
        <is>
          <t>unit</t>
        </is>
      </c>
      <c r="E32" t="inlineStr">
        <is>
          <t>categories</t>
        </is>
      </c>
      <c r="F32" t="inlineStr">
        <is>
          <t>type</t>
        </is>
      </c>
      <c r="G32" t="inlineStr">
        <is>
          <t>comment</t>
        </is>
      </c>
      <c r="H32" t="inlineStr">
        <is>
          <t>reference product</t>
        </is>
      </c>
    </row>
    <row r="33">
      <c r="A33" t="inlineStr">
        <is>
          <t>Motorbike, battery electric, 11-35kW</t>
        </is>
      </c>
      <c r="B33" t="n">
        <v>1</v>
      </c>
      <c r="C33" t="inlineStr">
        <is>
          <t>CH</t>
        </is>
      </c>
      <c r="D33" t="inlineStr">
        <is>
          <t>unit</t>
        </is>
      </c>
      <c r="F33" t="inlineStr">
        <is>
          <t>production</t>
        </is>
      </c>
      <c r="H33" t="inlineStr">
        <is>
          <t>Motorbike, battery electric, 11-35kW</t>
        </is>
      </c>
    </row>
    <row r="34">
      <c r="A34" t="inlineStr">
        <is>
          <t>market for glider, for electric scooter</t>
        </is>
      </c>
      <c r="B34" s="3" t="n">
        <v>81</v>
      </c>
      <c r="C34" t="inlineStr">
        <is>
          <t>GLO</t>
        </is>
      </c>
      <c r="D34" t="inlineStr">
        <is>
          <t>kilogram</t>
        </is>
      </c>
      <c r="F34" t="inlineStr">
        <is>
          <t>technosphere</t>
        </is>
      </c>
      <c r="G34" t="inlineStr">
        <is>
          <t>Glider base mass [kg]</t>
        </is>
      </c>
      <c r="H34" t="inlineStr">
        <is>
          <t>glider, for electric scooter</t>
        </is>
      </c>
    </row>
    <row r="35">
      <c r="A35" t="inlineStr">
        <is>
          <t>market for glider, for electric scooter</t>
        </is>
      </c>
      <c r="B35" s="3" t="n">
        <v>13</v>
      </c>
      <c r="C35" t="inlineStr">
        <is>
          <t>GLO</t>
        </is>
      </c>
      <c r="D35" t="inlineStr">
        <is>
          <t>kilogram</t>
        </is>
      </c>
      <c r="F35" t="inlineStr">
        <is>
          <t>technosphere</t>
        </is>
      </c>
      <c r="G35" t="inlineStr">
        <is>
          <t>Mechanical powertrain mass [kg]</t>
        </is>
      </c>
      <c r="H35" t="inlineStr">
        <is>
          <t>glider, for electric scooter</t>
        </is>
      </c>
    </row>
    <row r="36">
      <c r="A36" t="inlineStr">
        <is>
          <t>market for electric powertrain, for electric scooter</t>
        </is>
      </c>
      <c r="B36" s="3" t="n">
        <v>19</v>
      </c>
      <c r="C36" t="inlineStr">
        <is>
          <t>GLO</t>
        </is>
      </c>
      <c r="D36" t="inlineStr">
        <is>
          <t>kilogram</t>
        </is>
      </c>
      <c r="F36" t="inlineStr">
        <is>
          <t>technosphere</t>
        </is>
      </c>
      <c r="G36" t="inlineStr">
        <is>
          <t>Electric powertrain mass [kg]</t>
        </is>
      </c>
      <c r="H36" t="inlineStr">
        <is>
          <t>powertrain, for electric scooter</t>
        </is>
      </c>
    </row>
    <row r="37">
      <c r="A37" t="inlineStr">
        <is>
          <t>market for battery capacity (MIX scenario)</t>
        </is>
      </c>
      <c r="B37" s="3" t="n">
        <v>8.1</v>
      </c>
      <c r="C37" t="inlineStr">
        <is>
          <t>GLO</t>
        </is>
      </c>
      <c r="D37" t="inlineStr">
        <is>
          <t>kilowatt hour</t>
        </is>
      </c>
      <c r="F37" t="inlineStr">
        <is>
          <t>technosphere</t>
        </is>
      </c>
      <c r="H37" t="inlineStr">
        <is>
          <t>electricity storage capacity</t>
        </is>
      </c>
    </row>
    <row r="38">
      <c r="A38" t="inlineStr">
        <is>
          <t>charging station, 3kW</t>
        </is>
      </c>
      <c r="B38" s="3" t="n">
        <v>1</v>
      </c>
      <c r="C38" t="inlineStr">
        <is>
          <t>GLO</t>
        </is>
      </c>
      <c r="D38" t="inlineStr">
        <is>
          <t>unit</t>
        </is>
      </c>
      <c r="F38" t="inlineStr">
        <is>
          <t>technosphere</t>
        </is>
      </c>
      <c r="G38" t="inlineStr">
        <is>
          <t>Charging station per vehicle [unit]</t>
        </is>
      </c>
      <c r="H38" t="inlineStr">
        <is>
          <t>charging station, 3kW</t>
        </is>
      </c>
    </row>
    <row r="39">
      <c r="A39" t="inlineStr">
        <is>
          <t>manual dismantling of used electric scooter</t>
        </is>
      </c>
      <c r="B39" s="3" t="n">
        <v>81</v>
      </c>
      <c r="C39" t="inlineStr">
        <is>
          <t>GLO</t>
        </is>
      </c>
      <c r="D39" t="inlineStr">
        <is>
          <t>unit</t>
        </is>
      </c>
      <c r="F39" t="inlineStr">
        <is>
          <t>technosphere</t>
        </is>
      </c>
      <c r="G39" t="inlineStr">
        <is>
          <t>Discarding glider [kg]</t>
        </is>
      </c>
      <c r="H39" t="inlineStr">
        <is>
          <t>manual dismantling of electric scooter</t>
        </is>
      </c>
    </row>
    <row r="40">
      <c r="A40" t="inlineStr">
        <is>
          <t>manual dismantling of used electric scooter</t>
        </is>
      </c>
      <c r="B40" s="3" t="n">
        <v>32</v>
      </c>
      <c r="C40" t="inlineStr">
        <is>
          <t>GLO</t>
        </is>
      </c>
      <c r="D40" t="inlineStr">
        <is>
          <t>unit</t>
        </is>
      </c>
      <c r="F40" t="inlineStr">
        <is>
          <t>technosphere</t>
        </is>
      </c>
      <c r="G40" t="inlineStr">
        <is>
          <t>Discarding powertrain [kg]</t>
        </is>
      </c>
      <c r="H40" t="inlineStr">
        <is>
          <t>manual dismantling of electric scooter</t>
        </is>
      </c>
    </row>
    <row r="41">
      <c r="A41" s="13" t="inlineStr">
        <is>
          <t>market for transport, freight, lorry, unspecified</t>
        </is>
      </c>
      <c r="B41" s="3" t="n">
        <v>165.65</v>
      </c>
      <c r="C41" t="inlineStr">
        <is>
          <t>RER</t>
        </is>
      </c>
      <c r="D41" t="inlineStr">
        <is>
          <t>ton kilometer</t>
        </is>
      </c>
      <c r="F41" t="inlineStr">
        <is>
          <t>technosphere</t>
        </is>
      </c>
      <c r="H41" s="13" t="inlineStr">
        <is>
          <t>transport, freight, lorry, unspecified</t>
        </is>
      </c>
    </row>
    <row r="42">
      <c r="A42" s="13" t="inlineStr">
        <is>
          <t>transport, freight, sea, container ship</t>
        </is>
      </c>
      <c r="B42" s="3" t="n">
        <v>2633.835</v>
      </c>
      <c r="C42" t="inlineStr">
        <is>
          <t>GLO</t>
        </is>
      </c>
      <c r="D42" t="inlineStr">
        <is>
          <t>ton kilometer</t>
        </is>
      </c>
      <c r="F42" t="inlineStr">
        <is>
          <t>technosphere</t>
        </is>
      </c>
      <c r="H42" s="13" t="inlineStr">
        <is>
          <t>transport, freight, sea, container ship</t>
        </is>
      </c>
    </row>
    <row r="43">
      <c r="B43" s="11" t="n"/>
    </row>
    <row r="44">
      <c r="B44" s="2" t="n"/>
    </row>
    <row r="45" ht="16" customHeight="1">
      <c r="A45" s="10" t="inlineStr">
        <is>
          <t>Activity</t>
        </is>
      </c>
      <c r="B45" s="8" t="inlineStr">
        <is>
          <t>transport, Motorbike, battery electric, 11-35kW</t>
        </is>
      </c>
    </row>
    <row r="46">
      <c r="A46" t="inlineStr">
        <is>
          <t>location</t>
        </is>
      </c>
      <c r="B46" t="inlineStr">
        <is>
          <t>CH</t>
        </is>
      </c>
    </row>
    <row r="47">
      <c r="A47" t="inlineStr">
        <is>
          <t>vehicle</t>
        </is>
      </c>
      <c r="B47" t="inlineStr">
        <is>
          <t>Motorbike, battery electric, 11-35kW</t>
        </is>
      </c>
    </row>
    <row r="48">
      <c r="A48" t="inlineStr">
        <is>
          <t>size</t>
        </is>
      </c>
    </row>
    <row r="49">
      <c r="A49" t="inlineStr">
        <is>
          <t>year</t>
        </is>
      </c>
      <c r="B49" t="n">
        <v>2020</v>
      </c>
    </row>
    <row r="50">
      <c r="A50" t="inlineStr">
        <is>
          <t>full name</t>
        </is>
      </c>
      <c r="B50" t="inlineStr">
        <is>
          <t>Motorbike, battery electric, 11-35kW - 2020 - NMC - CH</t>
        </is>
      </c>
    </row>
    <row r="51">
      <c r="A51" t="inlineStr">
        <is>
          <t>reference product</t>
        </is>
      </c>
      <c r="B51" t="inlineStr">
        <is>
          <t>transport, Motorbike, battery electric, 11-35kW</t>
        </is>
      </c>
    </row>
    <row r="52">
      <c r="A52" t="inlineStr">
        <is>
          <t>type</t>
        </is>
      </c>
      <c r="B52" t="inlineStr">
        <is>
          <t>process</t>
        </is>
      </c>
    </row>
    <row r="53">
      <c r="A53" t="inlineStr">
        <is>
          <t>unit</t>
        </is>
      </c>
      <c r="B53" t="inlineStr">
        <is>
          <t>kilometer</t>
        </is>
      </c>
    </row>
    <row r="54">
      <c r="A54" t="inlineStr">
        <is>
          <t>source</t>
        </is>
      </c>
      <c r="B54" t="inlineStr">
        <is>
          <t>Sacchi R., Bauer C. Life cycle inventories for on-road vehicles. Paul Scherrer Institut, 2021.</t>
        </is>
      </c>
    </row>
    <row r="55">
      <c r="A55" t="inlineStr">
        <is>
          <t>lifetime</t>
        </is>
      </c>
      <c r="B55" t="n">
        <v>38500</v>
      </c>
    </row>
    <row r="56">
      <c r="A56" t="inlineStr">
        <is>
          <t>passengers</t>
        </is>
      </c>
      <c r="B56" t="n">
        <v>1.1</v>
      </c>
    </row>
    <row r="57">
      <c r="A57" t="inlineStr">
        <is>
          <t>service</t>
        </is>
      </c>
      <c r="B57" t="n">
        <v>1.54</v>
      </c>
    </row>
    <row r="58">
      <c r="A58" t="inlineStr">
        <is>
          <t>battery replacement</t>
        </is>
      </c>
      <c r="B58" t="n">
        <v>1</v>
      </c>
    </row>
    <row r="59">
      <c r="A59" t="inlineStr">
        <is>
          <t>annual kilometers</t>
        </is>
      </c>
      <c r="B59" t="n">
        <v>2405</v>
      </c>
    </row>
    <row r="60">
      <c r="A60" t="inlineStr">
        <is>
          <t>curb mass</t>
        </is>
      </c>
      <c r="B60" s="2" t="n">
        <v>165.65</v>
      </c>
    </row>
    <row r="61">
      <c r="A61" t="inlineStr">
        <is>
          <t>power</t>
        </is>
      </c>
      <c r="B61" t="n">
        <v>14</v>
      </c>
    </row>
    <row r="62">
      <c r="A62" t="inlineStr">
        <is>
          <t>battery type</t>
        </is>
      </c>
      <c r="B62" s="19" t="inlineStr">
        <is>
          <t>NMC</t>
        </is>
      </c>
    </row>
    <row r="63">
      <c r="A63" t="inlineStr">
        <is>
          <t>battery mass</t>
        </is>
      </c>
      <c r="B63" t="n">
        <v>52.64999999999999</v>
      </c>
    </row>
    <row r="64">
      <c r="A64" t="inlineStr">
        <is>
          <t>electricity, low voltage</t>
        </is>
      </c>
      <c r="B64" t="n">
        <v>8.1</v>
      </c>
    </row>
    <row r="65">
      <c r="A65" t="inlineStr">
        <is>
          <t>battery capacity available</t>
        </is>
      </c>
      <c r="B65" t="n">
        <v>6.48</v>
      </c>
    </row>
    <row r="66">
      <c r="A66" t="inlineStr">
        <is>
          <t>tank capacity</t>
        </is>
      </c>
      <c r="B66" s="2" t="n">
        <v>0</v>
      </c>
    </row>
    <row r="67">
      <c r="A67" t="inlineStr">
        <is>
          <t>fuel mass</t>
        </is>
      </c>
      <c r="B67" t="n">
        <v>0</v>
      </c>
    </row>
    <row r="68">
      <c r="A68" t="inlineStr">
        <is>
          <t>range</t>
        </is>
      </c>
      <c r="B68" s="2" t="n">
        <v>94.69231120879122</v>
      </c>
    </row>
    <row r="69">
      <c r="A69" t="inlineStr">
        <is>
          <t>emission standard</t>
        </is>
      </c>
      <c r="B69" t="inlineStr">
        <is>
          <t>None</t>
        </is>
      </c>
    </row>
    <row r="70">
      <c r="A70" t="inlineStr">
        <is>
          <t>Glider lightweighting</t>
        </is>
      </c>
      <c r="B70" s="6" t="n">
        <v>0</v>
      </c>
    </row>
    <row r="71">
      <c r="A71" t="inlineStr">
        <is>
          <t>comment</t>
        </is>
      </c>
      <c r="B71" t="inlineStr">
        <is>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ht="16" customHeight="1">
      <c r="A72" s="10" t="inlineStr">
        <is>
          <t>Exchanges</t>
        </is>
      </c>
    </row>
    <row r="73">
      <c r="A73" t="inlineStr">
        <is>
          <t>name</t>
        </is>
      </c>
      <c r="B73" t="inlineStr">
        <is>
          <t>amount</t>
        </is>
      </c>
      <c r="C73" t="inlineStr">
        <is>
          <t>location</t>
        </is>
      </c>
      <c r="D73" t="inlineStr">
        <is>
          <t>unit</t>
        </is>
      </c>
      <c r="E73" t="inlineStr">
        <is>
          <t>categories</t>
        </is>
      </c>
      <c r="F73" t="inlineStr">
        <is>
          <t>type</t>
        </is>
      </c>
      <c r="G73" t="inlineStr">
        <is>
          <t>comment</t>
        </is>
      </c>
      <c r="H73" t="inlineStr">
        <is>
          <t>reference product</t>
        </is>
      </c>
    </row>
    <row r="74">
      <c r="A74" t="inlineStr">
        <is>
          <t>transport, Motorbike, battery electric, 11-35kW</t>
        </is>
      </c>
      <c r="B74" t="n">
        <v>1</v>
      </c>
      <c r="C74" t="inlineStr">
        <is>
          <t>CH</t>
        </is>
      </c>
      <c r="D74" t="inlineStr">
        <is>
          <t>kilometer</t>
        </is>
      </c>
      <c r="F74" t="inlineStr">
        <is>
          <t>production</t>
        </is>
      </c>
      <c r="H74" t="inlineStr">
        <is>
          <t>transport, Motorbike, battery electric, 11-35kW</t>
        </is>
      </c>
    </row>
    <row r="75">
      <c r="A75" t="inlineStr">
        <is>
          <t>Motorbike, battery electric, 11-35kW</t>
        </is>
      </c>
      <c r="B75" s="7" t="n">
        <v>2.597402597402598e-05</v>
      </c>
      <c r="C75" t="inlineStr">
        <is>
          <t>CH</t>
        </is>
      </c>
      <c r="D75" t="inlineStr">
        <is>
          <t>unit</t>
        </is>
      </c>
      <c r="F75" t="inlineStr">
        <is>
          <t>technosphere</t>
        </is>
      </c>
      <c r="H75" t="inlineStr">
        <is>
          <t>Motorbike, battery electric, 11-35kW</t>
        </is>
      </c>
    </row>
    <row r="76">
      <c r="A76" t="inlineStr">
        <is>
          <t>road construction</t>
        </is>
      </c>
      <c r="B76" s="7" t="n">
        <v>0.00013647855</v>
      </c>
      <c r="C76" t="inlineStr">
        <is>
          <t>CH</t>
        </is>
      </c>
      <c r="D76" t="inlineStr">
        <is>
          <t>meter-year</t>
        </is>
      </c>
      <c r="F76" t="inlineStr">
        <is>
          <t>technosphere</t>
        </is>
      </c>
      <c r="G76" t="inlineStr">
        <is>
          <t>Road/track use [m*year/vkm or pkm]</t>
        </is>
      </c>
      <c r="H76" t="inlineStr">
        <is>
          <t>road</t>
        </is>
      </c>
    </row>
    <row r="77">
      <c r="A77" t="inlineStr">
        <is>
          <t>road maintenance</t>
        </is>
      </c>
      <c r="B77" s="7" t="n">
        <v>0.00129</v>
      </c>
      <c r="C77" t="inlineStr">
        <is>
          <t>CH</t>
        </is>
      </c>
      <c r="D77" t="inlineStr">
        <is>
          <t>meter-year</t>
        </is>
      </c>
      <c r="F77" t="inlineStr">
        <is>
          <t>technosphere</t>
        </is>
      </c>
      <c r="G77" t="inlineStr">
        <is>
          <t>Road maintenance [m*year/vkm]</t>
        </is>
      </c>
      <c r="H77" t="inlineStr">
        <is>
          <t>road maintenance</t>
        </is>
      </c>
    </row>
    <row r="78">
      <c r="A78" t="inlineStr">
        <is>
          <t>market for electricity, low voltage</t>
        </is>
      </c>
      <c r="B78" s="7" t="n">
        <v>0.07527538306973162</v>
      </c>
      <c r="C78" t="inlineStr">
        <is>
          <t>CH</t>
        </is>
      </c>
      <c r="D78" t="inlineStr">
        <is>
          <t>kilowatt hour</t>
        </is>
      </c>
      <c r="F78" t="inlineStr">
        <is>
          <t>technosphere</t>
        </is>
      </c>
      <c r="G78" t="inlineStr">
        <is>
          <t>Electricity consumption [MJ/km]</t>
        </is>
      </c>
      <c r="H78" t="inlineStr">
        <is>
          <t>electricity, low voltage</t>
        </is>
      </c>
    </row>
    <row r="79">
      <c r="A79" t="inlineStr">
        <is>
          <t>market for maintenance, electric scooter, without battery</t>
        </is>
      </c>
      <c r="B79" s="7" t="n">
        <v>4e-05</v>
      </c>
      <c r="C79" t="inlineStr">
        <is>
          <t>GLO</t>
        </is>
      </c>
      <c r="D79" t="inlineStr">
        <is>
          <t>unit</t>
        </is>
      </c>
      <c r="F79" t="inlineStr">
        <is>
          <t>technosphere</t>
        </is>
      </c>
      <c r="G79" t="inlineStr">
        <is>
          <t>Servicing [unit]</t>
        </is>
      </c>
      <c r="H79" t="inlineStr">
        <is>
          <t>maintenance, electric scooter, without battery</t>
        </is>
      </c>
    </row>
    <row r="80">
      <c r="A80" t="inlineStr">
        <is>
          <t>treatment of road wear emissions, passenger car</t>
        </is>
      </c>
      <c r="B80" s="7" t="n">
        <v>-8.813357819936645e-06</v>
      </c>
      <c r="C80" t="inlineStr">
        <is>
          <t>RER</t>
        </is>
      </c>
      <c r="D80" t="inlineStr">
        <is>
          <t>kilogram</t>
        </is>
      </c>
      <c r="F80" t="inlineStr">
        <is>
          <t>technosphere</t>
        </is>
      </c>
      <c r="G80" t="inlineStr">
        <is>
          <t>Road wear [kg/km]</t>
        </is>
      </c>
      <c r="H80" t="inlineStr">
        <is>
          <t>road wear emissions, passenger car</t>
        </is>
      </c>
    </row>
    <row r="81">
      <c r="A81" t="inlineStr">
        <is>
          <t>treatment of tyre wear emissions, passenger car</t>
        </is>
      </c>
      <c r="B81" s="7" t="n">
        <v>-5.785768225876683e-06</v>
      </c>
      <c r="C81" t="inlineStr">
        <is>
          <t>RER</t>
        </is>
      </c>
      <c r="D81" t="inlineStr">
        <is>
          <t>kilogram</t>
        </is>
      </c>
      <c r="F81" t="inlineStr">
        <is>
          <t>technosphere</t>
        </is>
      </c>
      <c r="G81" t="inlineStr">
        <is>
          <t>Tire wear [kg/km]</t>
        </is>
      </c>
      <c r="H81" t="inlineStr">
        <is>
          <t>tyre wear emissions, passenger car</t>
        </is>
      </c>
    </row>
    <row r="82">
      <c r="A82" t="inlineStr">
        <is>
          <t>treatment of brake wear emissions, passenger car</t>
        </is>
      </c>
      <c r="B82" s="7" t="n">
        <v>-3.226394913087311e-06</v>
      </c>
      <c r="C82" t="inlineStr">
        <is>
          <t>RER</t>
        </is>
      </c>
      <c r="D82" t="inlineStr">
        <is>
          <t>kilogram</t>
        </is>
      </c>
      <c r="F82" t="inlineStr">
        <is>
          <t>technosphere</t>
        </is>
      </c>
      <c r="G82" t="inlineStr">
        <is>
          <t>Brake wear [kg/km]</t>
        </is>
      </c>
      <c r="H82" t="inlineStr">
        <is>
          <t>brake wear emissions, passenger car</t>
        </is>
      </c>
    </row>
    <row r="83">
      <c r="B83" s="6" t="n"/>
    </row>
    <row r="84" ht="16" customHeight="1">
      <c r="A84" s="10" t="n"/>
      <c r="B84" s="8" t="n"/>
    </row>
    <row r="85"/>
    <row r="86"/>
    <row r="87"/>
    <row r="88"/>
    <row r="89"/>
    <row r="90"/>
    <row r="91"/>
    <row r="92"/>
    <row r="93"/>
    <row r="94"/>
    <row r="95"/>
    <row r="96"/>
    <row r="97"/>
    <row r="98"/>
    <row r="99">
      <c r="B99" s="2" t="n"/>
    </row>
    <row r="100"/>
    <row r="101"/>
    <row r="102"/>
    <row r="103">
      <c r="B103" s="2" t="n"/>
    </row>
    <row r="104"/>
    <row r="105">
      <c r="B105" s="2" t="n"/>
    </row>
    <row r="106"/>
    <row r="107">
      <c r="B107" s="6" t="n"/>
    </row>
    <row r="108"/>
    <row r="109" ht="16" customHeight="1">
      <c r="A109" s="10" t="n"/>
    </row>
    <row r="110"/>
    <row r="111"/>
    <row r="112">
      <c r="B112" s="11" t="n"/>
    </row>
    <row r="113">
      <c r="B113" s="11" t="n"/>
    </row>
    <row r="114">
      <c r="B114" s="11" t="n"/>
    </row>
    <row r="115">
      <c r="B115" s="11" t="n"/>
    </row>
    <row r="116">
      <c r="B116" s="11" t="n"/>
    </row>
    <row r="117">
      <c r="B117" s="11" t="n"/>
    </row>
    <row r="118">
      <c r="B118" s="11" t="n"/>
    </row>
    <row r="119">
      <c r="B119" s="11" t="n"/>
    </row>
    <row r="120">
      <c r="B120" s="11" t="n"/>
    </row>
    <row r="121">
      <c r="B121" s="11" t="n"/>
    </row>
    <row r="122">
      <c r="B122" s="11" t="n"/>
    </row>
    <row r="123" ht="16" customHeight="1">
      <c r="A123" s="10" t="n"/>
      <c r="B123" s="8" t="n"/>
    </row>
    <row r="124"/>
    <row r="125"/>
    <row r="126"/>
    <row r="127"/>
    <row r="128"/>
    <row r="129"/>
    <row r="130"/>
    <row r="131"/>
    <row r="132"/>
    <row r="133"/>
    <row r="134"/>
    <row r="135"/>
    <row r="136"/>
    <row r="137"/>
    <row r="138">
      <c r="B138" s="2" t="n"/>
    </row>
    <row r="139"/>
    <row r="140"/>
    <row r="141"/>
    <row r="142">
      <c r="B142" s="2" t="n"/>
    </row>
    <row r="143"/>
    <row r="144">
      <c r="B144" s="2" t="n"/>
    </row>
    <row r="145"/>
    <row r="146">
      <c r="B146" s="6" t="n"/>
    </row>
    <row r="147"/>
    <row r="148" ht="16" customHeight="1">
      <c r="A148" s="10" t="n"/>
    </row>
    <row r="149"/>
    <row r="150"/>
    <row r="151">
      <c r="B151" s="11" t="n"/>
    </row>
    <row r="152">
      <c r="B152" s="11" t="n"/>
    </row>
    <row r="153">
      <c r="B153" s="11" t="n"/>
    </row>
    <row r="154">
      <c r="B154" s="11" t="n"/>
    </row>
    <row r="155">
      <c r="B155" s="11" t="n"/>
    </row>
    <row r="156">
      <c r="B156" s="11" t="n"/>
    </row>
    <row r="157">
      <c r="B157" s="11" t="n"/>
    </row>
    <row r="158">
      <c r="B158" s="11" t="n"/>
    </row>
    <row r="159">
      <c r="B159" s="11" t="n"/>
    </row>
    <row r="160">
      <c r="B160" s="11" t="n"/>
    </row>
    <row r="161"/>
    <row r="162" ht="16" customHeight="1">
      <c r="A162" s="10" t="n"/>
      <c r="B162" s="8" t="n"/>
    </row>
    <row r="163"/>
    <row r="164"/>
    <row r="165"/>
    <row r="166"/>
    <row r="167"/>
    <row r="168"/>
    <row r="169"/>
    <row r="170"/>
    <row r="171"/>
    <row r="172"/>
    <row r="173"/>
    <row r="174"/>
    <row r="175"/>
    <row r="176"/>
    <row r="177">
      <c r="B177" s="2" t="n"/>
    </row>
    <row r="178"/>
    <row r="179"/>
    <row r="180"/>
    <row r="181">
      <c r="B181" s="2" t="n"/>
    </row>
    <row r="182"/>
    <row r="183">
      <c r="B183" s="2" t="n"/>
    </row>
    <row r="184"/>
    <row r="185">
      <c r="B185" s="6" t="n"/>
    </row>
    <row r="186"/>
    <row r="187" ht="16" customHeight="1">
      <c r="A187" s="10" t="n"/>
    </row>
    <row r="188"/>
    <row r="189"/>
    <row r="190">
      <c r="B190" s="11" t="n"/>
    </row>
    <row r="191">
      <c r="B191" s="11" t="n"/>
    </row>
    <row r="192">
      <c r="B192" s="11" t="n"/>
    </row>
    <row r="193">
      <c r="B193" s="11" t="n"/>
    </row>
    <row r="194">
      <c r="B194" s="11" t="n"/>
    </row>
    <row r="195">
      <c r="B195" s="11" t="n"/>
    </row>
    <row r="196">
      <c r="B196" s="11" t="n"/>
    </row>
    <row r="197">
      <c r="B197" s="11" t="n"/>
    </row>
    <row r="198">
      <c r="B198" s="11" t="n"/>
    </row>
    <row r="199">
      <c r="B199" s="11" t="n"/>
    </row>
    <row r="200"/>
    <row r="201" ht="16" customHeight="1">
      <c r="A201" s="10" t="n"/>
      <c r="B201" s="8" t="n"/>
    </row>
    <row r="202"/>
    <row r="203"/>
    <row r="204"/>
    <row r="205"/>
    <row r="206"/>
    <row r="207"/>
    <row r="208"/>
    <row r="209"/>
    <row r="210"/>
    <row r="211"/>
    <row r="212"/>
    <row r="213"/>
    <row r="214"/>
    <row r="215"/>
    <row r="216">
      <c r="B216" s="2" t="n"/>
    </row>
    <row r="217"/>
    <row r="218"/>
    <row r="219"/>
    <row r="220">
      <c r="B220" s="2" t="n"/>
    </row>
    <row r="221"/>
    <row r="222">
      <c r="B222" s="2" t="n"/>
    </row>
    <row r="223"/>
    <row r="224">
      <c r="B224" s="6" t="n"/>
    </row>
    <row r="225"/>
    <row r="226" ht="16" customHeight="1">
      <c r="A226" s="10" t="n"/>
    </row>
    <row r="227"/>
    <row r="228"/>
    <row r="229">
      <c r="B229" s="11" t="n"/>
    </row>
    <row r="230">
      <c r="B230" s="11" t="n"/>
    </row>
    <row r="231">
      <c r="B231" s="11" t="n"/>
    </row>
    <row r="232">
      <c r="B232" s="11" t="n"/>
    </row>
    <row r="233">
      <c r="B233" s="11" t="n"/>
    </row>
    <row r="234">
      <c r="B234" s="11" t="n"/>
    </row>
    <row r="235">
      <c r="B235" s="11" t="n"/>
    </row>
    <row r="236">
      <c r="B236" s="11" t="n"/>
    </row>
    <row r="237">
      <c r="B237" s="11" t="n"/>
    </row>
    <row r="238">
      <c r="B238" s="11" t="n"/>
    </row>
    <row r="239">
      <c r="B239" s="2" t="n"/>
    </row>
    <row r="240" ht="16" customHeight="1">
      <c r="A240" s="10" t="n"/>
      <c r="B240" s="8" t="n"/>
    </row>
    <row r="241"/>
    <row r="242"/>
    <row r="243"/>
    <row r="244"/>
    <row r="245"/>
    <row r="246"/>
    <row r="247"/>
    <row r="248"/>
    <row r="249"/>
    <row r="250"/>
    <row r="251"/>
    <row r="252"/>
    <row r="253"/>
    <row r="254"/>
    <row r="255">
      <c r="B255" s="2" t="n"/>
    </row>
    <row r="256"/>
    <row r="257"/>
    <row r="258"/>
    <row r="259">
      <c r="B259" s="2" t="n"/>
    </row>
    <row r="260"/>
    <row r="261">
      <c r="B261" s="2" t="n"/>
    </row>
    <row r="262"/>
    <row r="263">
      <c r="B263" s="6" t="n"/>
    </row>
    <row r="264"/>
    <row r="265" ht="16" customHeight="1">
      <c r="A265" s="10" t="n"/>
    </row>
    <row r="266"/>
    <row r="267"/>
    <row r="268">
      <c r="B268" s="7" t="n"/>
    </row>
    <row r="269">
      <c r="B269" s="11" t="n"/>
    </row>
    <row r="270">
      <c r="B270" s="4" t="n"/>
    </row>
    <row r="271">
      <c r="B271" s="11" t="n"/>
    </row>
    <row r="272">
      <c r="B272" s="11" t="n"/>
    </row>
    <row r="273">
      <c r="B273" s="11" t="n"/>
    </row>
    <row r="274">
      <c r="B274" s="11" t="n"/>
    </row>
    <row r="275">
      <c r="B275" s="6" t="n"/>
    </row>
    <row r="276" ht="16" customHeight="1">
      <c r="A276" s="10" t="n"/>
      <c r="B276" s="8" t="n"/>
    </row>
    <row r="277"/>
    <row r="278"/>
    <row r="279"/>
    <row r="280"/>
    <row r="281"/>
    <row r="282"/>
    <row r="283"/>
    <row r="284"/>
    <row r="285"/>
    <row r="286"/>
    <row r="287"/>
    <row r="288"/>
    <row r="289"/>
    <row r="290"/>
    <row r="291">
      <c r="B291" s="2" t="n"/>
    </row>
    <row r="292"/>
    <row r="293"/>
    <row r="294"/>
    <row r="295">
      <c r="B295" s="2" t="n"/>
    </row>
    <row r="296"/>
    <row r="297">
      <c r="B297" s="2" t="n"/>
    </row>
    <row r="298"/>
    <row r="299">
      <c r="B299" s="6" t="n"/>
    </row>
    <row r="300"/>
    <row r="301" ht="16" customHeight="1">
      <c r="A301" s="10" t="n"/>
    </row>
    <row r="302"/>
    <row r="303"/>
    <row r="304"/>
    <row r="305">
      <c r="B305" s="11" t="n"/>
    </row>
    <row r="306">
      <c r="B306" s="4" t="n"/>
    </row>
    <row r="307">
      <c r="B307" s="11" t="n"/>
    </row>
    <row r="308">
      <c r="B308" s="11" t="n"/>
    </row>
    <row r="309">
      <c r="B309" s="11" t="n"/>
    </row>
    <row r="310">
      <c r="B310" s="11" t="n"/>
    </row>
    <row r="311"/>
    <row r="312" ht="16" customHeight="1">
      <c r="A312" s="10" t="n"/>
      <c r="B312" s="8" t="n"/>
    </row>
    <row r="313"/>
    <row r="314"/>
    <row r="315"/>
    <row r="316"/>
    <row r="317"/>
    <row r="318"/>
    <row r="319"/>
    <row r="320"/>
    <row r="321"/>
    <row r="322"/>
    <row r="323"/>
    <row r="324"/>
    <row r="325"/>
    <row r="326"/>
    <row r="327">
      <c r="B327" s="2" t="n"/>
    </row>
    <row r="328"/>
    <row r="329"/>
    <row r="330"/>
    <row r="331">
      <c r="B331" s="2" t="n"/>
    </row>
    <row r="332"/>
    <row r="333">
      <c r="B333" s="2" t="n"/>
    </row>
    <row r="334"/>
    <row r="335">
      <c r="B335" s="6" t="n"/>
    </row>
    <row r="336"/>
    <row r="337" ht="16" customHeight="1">
      <c r="A337" s="10" t="n"/>
    </row>
    <row r="338"/>
    <row r="339"/>
    <row r="340"/>
    <row r="341">
      <c r="B341" s="11" t="n"/>
    </row>
    <row r="342">
      <c r="B342" s="4" t="n"/>
    </row>
    <row r="343">
      <c r="B343" s="11" t="n"/>
    </row>
    <row r="344">
      <c r="B344" s="11" t="n"/>
    </row>
    <row r="345">
      <c r="B345" s="11" t="n"/>
    </row>
    <row r="346">
      <c r="B346" s="11" t="n"/>
    </row>
    <row r="347"/>
    <row r="348" ht="16" customHeight="1">
      <c r="A348" s="10" t="n"/>
      <c r="B348" s="8" t="n"/>
    </row>
    <row r="349"/>
    <row r="350"/>
    <row r="351"/>
    <row r="352"/>
    <row r="353"/>
    <row r="354"/>
    <row r="355"/>
    <row r="356"/>
    <row r="357"/>
    <row r="358"/>
    <row r="359"/>
    <row r="360"/>
    <row r="361"/>
    <row r="362"/>
    <row r="363">
      <c r="B363" s="2" t="n"/>
    </row>
    <row r="364"/>
    <row r="365"/>
    <row r="366"/>
    <row r="367">
      <c r="B367" s="2" t="n"/>
    </row>
    <row r="368"/>
    <row r="369">
      <c r="B369" s="2" t="n"/>
    </row>
    <row r="370"/>
    <row r="371">
      <c r="B371" s="6" t="n"/>
    </row>
    <row r="372"/>
    <row r="373" ht="16" customHeight="1">
      <c r="A373" s="10" t="n"/>
    </row>
    <row r="374"/>
    <row r="375"/>
    <row r="376"/>
    <row r="377">
      <c r="B377" s="11" t="n"/>
    </row>
    <row r="378">
      <c r="B378" s="4" t="n"/>
    </row>
    <row r="379">
      <c r="B379" s="11" t="n"/>
    </row>
    <row r="380">
      <c r="B380" s="11" t="n"/>
    </row>
    <row r="381">
      <c r="B381" s="11" t="n"/>
    </row>
    <row r="382">
      <c r="B382" s="11" t="n"/>
    </row>
  </sheetData>
  <pageMargins left="0.7" right="0.7" top="0.75" bottom="0.75" header="0.3" footer="0.3"/>
  <pageSetup orientation="portrait" horizontalDpi="300" verticalDpi="300"/>
</worksheet>
</file>

<file path=xl/worksheets/sheet13.xml><?xml version="1.0" encoding="utf-8"?>
<worksheet xmlns="http://schemas.openxmlformats.org/spreadsheetml/2006/main">
  <sheetPr>
    <outlinePr summaryBelow="1" summaryRight="1"/>
    <pageSetUpPr/>
  </sheetPr>
  <dimension ref="A1:H382"/>
  <sheetViews>
    <sheetView topLeftCell="A14" workbookViewId="0">
      <selection activeCell="A36" sqref="A36"/>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Motorbike, battery electric, &gt;35kW</t>
        </is>
      </c>
    </row>
    <row r="2">
      <c r="A2" t="inlineStr">
        <is>
          <t>location</t>
        </is>
      </c>
      <c r="B2" t="inlineStr">
        <is>
          <t>CH</t>
        </is>
      </c>
    </row>
    <row r="3">
      <c r="A3" t="inlineStr">
        <is>
          <t>vehicle</t>
        </is>
      </c>
      <c r="B3" t="inlineStr">
        <is>
          <t>Motorbike, battery electric, &gt;35kW</t>
        </is>
      </c>
    </row>
    <row r="4">
      <c r="A4" t="inlineStr">
        <is>
          <t>size</t>
        </is>
      </c>
    </row>
    <row r="5">
      <c r="A5" t="inlineStr">
        <is>
          <t>year</t>
        </is>
      </c>
      <c r="B5" t="n">
        <v>2020</v>
      </c>
    </row>
    <row r="6">
      <c r="A6" t="inlineStr">
        <is>
          <t>full name</t>
        </is>
      </c>
      <c r="B6" t="inlineStr">
        <is>
          <t>Motorbike, battery electric, &gt;35kW - 2020 - NMC - CH</t>
        </is>
      </c>
    </row>
    <row r="7">
      <c r="A7" t="inlineStr">
        <is>
          <t>reference product</t>
        </is>
      </c>
      <c r="B7" t="inlineStr">
        <is>
          <t>Motorbike, battery electric, &gt;35kW</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40500</v>
      </c>
    </row>
    <row r="12">
      <c r="A12" t="inlineStr">
        <is>
          <t>passengers</t>
        </is>
      </c>
      <c r="B12" t="n">
        <v>1.1</v>
      </c>
    </row>
    <row r="13">
      <c r="A13" t="inlineStr">
        <is>
          <t>service</t>
        </is>
      </c>
      <c r="B13" t="n">
        <v>1.62</v>
      </c>
    </row>
    <row r="14">
      <c r="A14" t="inlineStr">
        <is>
          <t>battery replacement</t>
        </is>
      </c>
      <c r="B14" t="n">
        <v>1</v>
      </c>
    </row>
    <row r="15">
      <c r="A15" t="inlineStr">
        <is>
          <t>annual kilometers</t>
        </is>
      </c>
      <c r="B15" t="n">
        <v>2896</v>
      </c>
    </row>
    <row r="16">
      <c r="A16" t="inlineStr">
        <is>
          <t>curb mass</t>
        </is>
      </c>
      <c r="B16" s="2" t="n">
        <v>254.89</v>
      </c>
    </row>
    <row r="17">
      <c r="A17" t="inlineStr">
        <is>
          <t>power</t>
        </is>
      </c>
      <c r="B17" t="n">
        <v>49</v>
      </c>
    </row>
    <row r="18">
      <c r="A18" t="inlineStr">
        <is>
          <t>battery type</t>
        </is>
      </c>
      <c r="B18" s="19" t="inlineStr">
        <is>
          <t>NMC</t>
        </is>
      </c>
    </row>
    <row r="19">
      <c r="A19" t="inlineStr">
        <is>
          <t>battery mass</t>
        </is>
      </c>
      <c r="B19" t="n">
        <v>107.25</v>
      </c>
    </row>
    <row r="20">
      <c r="A20" t="inlineStr">
        <is>
          <t>electricity, low voltage</t>
        </is>
      </c>
      <c r="B20" t="n">
        <v>16.5</v>
      </c>
    </row>
    <row r="21">
      <c r="A21" t="inlineStr">
        <is>
          <t>battery capacity available</t>
        </is>
      </c>
      <c r="B21" t="n">
        <v>13.2</v>
      </c>
    </row>
    <row r="22">
      <c r="A22" t="inlineStr">
        <is>
          <t>tank capacity</t>
        </is>
      </c>
      <c r="B22" s="2" t="n">
        <v>0</v>
      </c>
    </row>
    <row r="23">
      <c r="A23" t="inlineStr">
        <is>
          <t>fuel mass</t>
        </is>
      </c>
      <c r="B23" t="n">
        <v>0</v>
      </c>
    </row>
    <row r="24">
      <c r="A24" t="inlineStr">
        <is>
          <t>range</t>
        </is>
      </c>
      <c r="B24" s="2" t="n">
        <v>172.9686784176753</v>
      </c>
    </row>
    <row r="25">
      <c r="A25" t="inlineStr">
        <is>
          <t>emission standard</t>
        </is>
      </c>
      <c r="B25" t="inlineStr">
        <is>
          <t>None</t>
        </is>
      </c>
    </row>
    <row r="26">
      <c r="A26" t="inlineStr">
        <is>
          <t>Glider lightweighting</t>
        </is>
      </c>
      <c r="B26" s="6" t="n">
        <v>0</v>
      </c>
    </row>
    <row r="27">
      <c r="A27" t="inlineStr">
        <is>
          <t>origin</t>
        </is>
      </c>
      <c r="B27" s="6" t="inlineStr">
        <is>
          <t>China</t>
        </is>
      </c>
    </row>
    <row r="28">
      <c r="A28" t="inlineStr">
        <is>
          <t>distance by ship [km]</t>
        </is>
      </c>
      <c r="B28" s="2" t="n">
        <v>15900</v>
      </c>
    </row>
    <row r="29">
      <c r="A29" t="inlineStr">
        <is>
          <t>distance by truck [km]</t>
        </is>
      </c>
      <c r="B29" s="2" t="n">
        <v>1000</v>
      </c>
    </row>
    <row r="30">
      <c r="A30" t="inlineStr">
        <is>
          <t>comment</t>
        </is>
      </c>
      <c r="B30" t="inlineStr">
        <is>
          <t>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ht="16" customHeight="1">
      <c r="A31" s="10" t="inlineStr">
        <is>
          <t>Exchanges</t>
        </is>
      </c>
    </row>
    <row r="32">
      <c r="A32" t="inlineStr">
        <is>
          <t>name</t>
        </is>
      </c>
      <c r="B32" t="inlineStr">
        <is>
          <t>amount</t>
        </is>
      </c>
      <c r="C32" t="inlineStr">
        <is>
          <t>location</t>
        </is>
      </c>
      <c r="D32" t="inlineStr">
        <is>
          <t>unit</t>
        </is>
      </c>
      <c r="E32" t="inlineStr">
        <is>
          <t>categories</t>
        </is>
      </c>
      <c r="F32" t="inlineStr">
        <is>
          <t>type</t>
        </is>
      </c>
      <c r="G32" t="inlineStr">
        <is>
          <t>comment</t>
        </is>
      </c>
      <c r="H32" t="inlineStr">
        <is>
          <t>reference product</t>
        </is>
      </c>
    </row>
    <row r="33">
      <c r="A33" t="inlineStr">
        <is>
          <t>Motorbike, battery electric, &gt;35kW</t>
        </is>
      </c>
      <c r="B33" t="n">
        <v>1</v>
      </c>
      <c r="C33" t="inlineStr">
        <is>
          <t>CH</t>
        </is>
      </c>
      <c r="D33" t="inlineStr">
        <is>
          <t>unit</t>
        </is>
      </c>
      <c r="F33" t="inlineStr">
        <is>
          <t>production</t>
        </is>
      </c>
      <c r="H33" t="inlineStr">
        <is>
          <t>Motorbike, battery electric, &gt;35kW</t>
        </is>
      </c>
    </row>
    <row r="34">
      <c r="A34" t="inlineStr">
        <is>
          <t>market for glider, for electric scooter</t>
        </is>
      </c>
      <c r="B34" s="3" t="n">
        <v>111</v>
      </c>
      <c r="C34" t="inlineStr">
        <is>
          <t>GLO</t>
        </is>
      </c>
      <c r="D34" t="inlineStr">
        <is>
          <t>kilogram</t>
        </is>
      </c>
      <c r="F34" t="inlineStr">
        <is>
          <t>technosphere</t>
        </is>
      </c>
      <c r="G34" t="inlineStr">
        <is>
          <t>Glider base mass [kg]</t>
        </is>
      </c>
      <c r="H34" t="inlineStr">
        <is>
          <t>glider, for electric scooter</t>
        </is>
      </c>
    </row>
    <row r="35">
      <c r="A35" t="inlineStr">
        <is>
          <t>market for glider, for electric scooter</t>
        </is>
      </c>
      <c r="B35" s="3" t="n">
        <v>13.74</v>
      </c>
      <c r="C35" t="inlineStr">
        <is>
          <t>GLO</t>
        </is>
      </c>
      <c r="D35" t="inlineStr">
        <is>
          <t>kilogram</t>
        </is>
      </c>
      <c r="F35" t="inlineStr">
        <is>
          <t>technosphere</t>
        </is>
      </c>
      <c r="G35" t="inlineStr">
        <is>
          <t>Mechanical powertrain mass [kg]</t>
        </is>
      </c>
      <c r="H35" t="inlineStr">
        <is>
          <t>glider, for electric scooter</t>
        </is>
      </c>
    </row>
    <row r="36">
      <c r="A36" t="inlineStr">
        <is>
          <t>market for electric powertrain, for electric scooter</t>
        </is>
      </c>
      <c r="B36" s="3" t="n">
        <v>22.9</v>
      </c>
      <c r="C36" t="inlineStr">
        <is>
          <t>GLO</t>
        </is>
      </c>
      <c r="D36" t="inlineStr">
        <is>
          <t>kilogram</t>
        </is>
      </c>
      <c r="F36" t="inlineStr">
        <is>
          <t>technosphere</t>
        </is>
      </c>
      <c r="G36" t="inlineStr">
        <is>
          <t>Electric powertrain mass [kg]</t>
        </is>
      </c>
      <c r="H36" t="inlineStr">
        <is>
          <t>powertrain, for electric scooter</t>
        </is>
      </c>
    </row>
    <row r="37">
      <c r="A37" t="inlineStr">
        <is>
          <t>market for battery capacity (MIX scenario)</t>
        </is>
      </c>
      <c r="B37" s="3" t="n">
        <v>16.5</v>
      </c>
      <c r="C37" t="inlineStr">
        <is>
          <t>GLO</t>
        </is>
      </c>
      <c r="D37" t="inlineStr">
        <is>
          <t>kilowatt hour</t>
        </is>
      </c>
      <c r="F37" t="inlineStr">
        <is>
          <t>technosphere</t>
        </is>
      </c>
      <c r="H37" t="inlineStr">
        <is>
          <t>electricity storage capacity</t>
        </is>
      </c>
    </row>
    <row r="38">
      <c r="A38" t="inlineStr">
        <is>
          <t>charging station, 3kW</t>
        </is>
      </c>
      <c r="B38" s="3" t="n">
        <v>1</v>
      </c>
      <c r="C38" t="inlineStr">
        <is>
          <t>GLO</t>
        </is>
      </c>
      <c r="D38" t="inlineStr">
        <is>
          <t>unit</t>
        </is>
      </c>
      <c r="F38" t="inlineStr">
        <is>
          <t>technosphere</t>
        </is>
      </c>
      <c r="G38" t="inlineStr">
        <is>
          <t>Charging station per vehicle [unit]</t>
        </is>
      </c>
      <c r="H38" t="inlineStr">
        <is>
          <t>charging station, 3kW</t>
        </is>
      </c>
    </row>
    <row r="39">
      <c r="A39" t="inlineStr">
        <is>
          <t>manual dismantling of used electric scooter</t>
        </is>
      </c>
      <c r="B39" s="3" t="n">
        <v>111</v>
      </c>
      <c r="C39" t="inlineStr">
        <is>
          <t>GLO</t>
        </is>
      </c>
      <c r="D39" t="inlineStr">
        <is>
          <t>unit</t>
        </is>
      </c>
      <c r="F39" t="inlineStr">
        <is>
          <t>technosphere</t>
        </is>
      </c>
      <c r="G39" t="inlineStr">
        <is>
          <t>Discarding glider [kg]</t>
        </is>
      </c>
      <c r="H39" t="inlineStr">
        <is>
          <t>manual dismantling of electric scooter</t>
        </is>
      </c>
    </row>
    <row r="40">
      <c r="A40" t="inlineStr">
        <is>
          <t>manual dismantling of used electric scooter</t>
        </is>
      </c>
      <c r="B40" s="3" t="n">
        <v>36.64</v>
      </c>
      <c r="C40" t="inlineStr">
        <is>
          <t>GLO</t>
        </is>
      </c>
      <c r="D40" t="inlineStr">
        <is>
          <t>unit</t>
        </is>
      </c>
      <c r="F40" t="inlineStr">
        <is>
          <t>technosphere</t>
        </is>
      </c>
      <c r="G40" t="inlineStr">
        <is>
          <t>Discarding powertrain [kg]</t>
        </is>
      </c>
      <c r="H40" t="inlineStr">
        <is>
          <t>manual dismantling of electric scooter</t>
        </is>
      </c>
    </row>
    <row r="41">
      <c r="A41" s="13" t="inlineStr">
        <is>
          <t>market for transport, freight, lorry, unspecified</t>
        </is>
      </c>
      <c r="B41" s="3" t="n">
        <v>254.89</v>
      </c>
      <c r="C41" t="inlineStr">
        <is>
          <t>RER</t>
        </is>
      </c>
      <c r="D41" t="inlineStr">
        <is>
          <t>ton kilometer</t>
        </is>
      </c>
      <c r="F41" t="inlineStr">
        <is>
          <t>technosphere</t>
        </is>
      </c>
      <c r="H41" s="13" t="inlineStr">
        <is>
          <t>transport, freight, lorry, unspecified</t>
        </is>
      </c>
    </row>
    <row r="42">
      <c r="A42" s="13" t="inlineStr">
        <is>
          <t>transport, freight, sea, container ship</t>
        </is>
      </c>
      <c r="B42" s="3" t="n">
        <v>4052.751</v>
      </c>
      <c r="C42" t="inlineStr">
        <is>
          <t>GLO</t>
        </is>
      </c>
      <c r="D42" t="inlineStr">
        <is>
          <t>ton kilometer</t>
        </is>
      </c>
      <c r="F42" t="inlineStr">
        <is>
          <t>technosphere</t>
        </is>
      </c>
      <c r="H42" s="13" t="inlineStr">
        <is>
          <t>transport, freight, sea, container ship</t>
        </is>
      </c>
    </row>
    <row r="43">
      <c r="B43" s="11" t="n"/>
    </row>
    <row r="44">
      <c r="B44" s="2" t="n"/>
    </row>
    <row r="45" ht="16" customHeight="1">
      <c r="A45" s="10" t="inlineStr">
        <is>
          <t>Activity</t>
        </is>
      </c>
      <c r="B45" s="8" t="inlineStr">
        <is>
          <t>transport, Motorbike, battery electric, &gt;35kW</t>
        </is>
      </c>
    </row>
    <row r="46">
      <c r="A46" t="inlineStr">
        <is>
          <t>location</t>
        </is>
      </c>
      <c r="B46" t="inlineStr">
        <is>
          <t>CH</t>
        </is>
      </c>
    </row>
    <row r="47">
      <c r="A47" t="inlineStr">
        <is>
          <t>vehicle</t>
        </is>
      </c>
      <c r="B47" t="inlineStr">
        <is>
          <t>Motorbike, battery electric, &gt;35kW</t>
        </is>
      </c>
    </row>
    <row r="48">
      <c r="A48" t="inlineStr">
        <is>
          <t>size</t>
        </is>
      </c>
    </row>
    <row r="49">
      <c r="A49" t="inlineStr">
        <is>
          <t>year</t>
        </is>
      </c>
      <c r="B49" t="n">
        <v>2020</v>
      </c>
    </row>
    <row r="50">
      <c r="A50" t="inlineStr">
        <is>
          <t>full name</t>
        </is>
      </c>
      <c r="B50" t="inlineStr">
        <is>
          <t>Motorbike, battery electric, &gt;35kW - 2020 - NMC - CH</t>
        </is>
      </c>
    </row>
    <row r="51">
      <c r="A51" t="inlineStr">
        <is>
          <t>reference product</t>
        </is>
      </c>
      <c r="B51" t="inlineStr">
        <is>
          <t>transport, Motorbike, battery electric, &gt;35kW</t>
        </is>
      </c>
    </row>
    <row r="52">
      <c r="A52" t="inlineStr">
        <is>
          <t>type</t>
        </is>
      </c>
      <c r="B52" t="inlineStr">
        <is>
          <t>process</t>
        </is>
      </c>
    </row>
    <row r="53">
      <c r="A53" t="inlineStr">
        <is>
          <t>unit</t>
        </is>
      </c>
      <c r="B53" t="inlineStr">
        <is>
          <t>kilometer</t>
        </is>
      </c>
    </row>
    <row r="54">
      <c r="A54" t="inlineStr">
        <is>
          <t>source</t>
        </is>
      </c>
      <c r="B54" t="inlineStr">
        <is>
          <t>Sacchi R., Bauer C. Life cycle inventories for on-road vehicles. Paul Scherrer Institut, 2021.</t>
        </is>
      </c>
    </row>
    <row r="55">
      <c r="A55" t="inlineStr">
        <is>
          <t>lifetime</t>
        </is>
      </c>
      <c r="B55" t="n">
        <v>40500</v>
      </c>
    </row>
    <row r="56">
      <c r="A56" t="inlineStr">
        <is>
          <t>passengers</t>
        </is>
      </c>
      <c r="B56" t="n">
        <v>1.1</v>
      </c>
    </row>
    <row r="57">
      <c r="A57" t="inlineStr">
        <is>
          <t>service</t>
        </is>
      </c>
      <c r="B57" t="n">
        <v>1.62</v>
      </c>
    </row>
    <row r="58">
      <c r="A58" t="inlineStr">
        <is>
          <t>battery replacement</t>
        </is>
      </c>
      <c r="B58" t="n">
        <v>1</v>
      </c>
    </row>
    <row r="59">
      <c r="A59" t="inlineStr">
        <is>
          <t>annual kilometers</t>
        </is>
      </c>
      <c r="B59" t="n">
        <v>2896</v>
      </c>
    </row>
    <row r="60">
      <c r="A60" t="inlineStr">
        <is>
          <t>curb mass</t>
        </is>
      </c>
      <c r="B60" s="2" t="n">
        <v>254.89</v>
      </c>
    </row>
    <row r="61">
      <c r="A61" t="inlineStr">
        <is>
          <t>power</t>
        </is>
      </c>
      <c r="B61" t="n">
        <v>49</v>
      </c>
    </row>
    <row r="62">
      <c r="A62" t="inlineStr">
        <is>
          <t>battery type</t>
        </is>
      </c>
      <c r="B62" s="19" t="inlineStr">
        <is>
          <t>NMC</t>
        </is>
      </c>
    </row>
    <row r="63">
      <c r="A63" t="inlineStr">
        <is>
          <t>battery mass</t>
        </is>
      </c>
      <c r="B63" t="n">
        <v>107.25</v>
      </c>
    </row>
    <row r="64">
      <c r="A64" t="inlineStr">
        <is>
          <t>electricity, low voltage</t>
        </is>
      </c>
      <c r="B64" t="n">
        <v>16.5</v>
      </c>
    </row>
    <row r="65">
      <c r="A65" t="inlineStr">
        <is>
          <t>battery capacity available</t>
        </is>
      </c>
      <c r="B65" t="n">
        <v>13.2</v>
      </c>
    </row>
    <row r="66">
      <c r="A66" t="inlineStr">
        <is>
          <t>tank capacity</t>
        </is>
      </c>
      <c r="B66" s="2" t="n">
        <v>0</v>
      </c>
    </row>
    <row r="67">
      <c r="A67" t="inlineStr">
        <is>
          <t>fuel mass</t>
        </is>
      </c>
      <c r="B67" t="n">
        <v>0</v>
      </c>
    </row>
    <row r="68">
      <c r="A68" t="inlineStr">
        <is>
          <t>range</t>
        </is>
      </c>
      <c r="B68" s="2" t="n">
        <v>172.9686784176753</v>
      </c>
    </row>
    <row r="69">
      <c r="A69" t="inlineStr">
        <is>
          <t>emission standard</t>
        </is>
      </c>
      <c r="B69" t="inlineStr">
        <is>
          <t>None</t>
        </is>
      </c>
    </row>
    <row r="70">
      <c r="A70" t="inlineStr">
        <is>
          <t>Glider lightweighting</t>
        </is>
      </c>
      <c r="B70" s="6" t="n">
        <v>0</v>
      </c>
    </row>
    <row r="71">
      <c r="A71" t="inlineStr">
        <is>
          <t>comment</t>
        </is>
      </c>
      <c r="B71" t="inlineStr">
        <is>
          <t>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ht="16" customHeight="1">
      <c r="A72" s="10" t="inlineStr">
        <is>
          <t>Exchanges</t>
        </is>
      </c>
    </row>
    <row r="73">
      <c r="A73" t="inlineStr">
        <is>
          <t>name</t>
        </is>
      </c>
      <c r="B73" t="inlineStr">
        <is>
          <t>amount</t>
        </is>
      </c>
      <c r="C73" t="inlineStr">
        <is>
          <t>location</t>
        </is>
      </c>
      <c r="D73" t="inlineStr">
        <is>
          <t>unit</t>
        </is>
      </c>
      <c r="E73" t="inlineStr">
        <is>
          <t>categories</t>
        </is>
      </c>
      <c r="F73" t="inlineStr">
        <is>
          <t>type</t>
        </is>
      </c>
      <c r="G73" t="inlineStr">
        <is>
          <t>comment</t>
        </is>
      </c>
      <c r="H73" t="inlineStr">
        <is>
          <t>reference product</t>
        </is>
      </c>
    </row>
    <row r="74">
      <c r="A74" t="inlineStr">
        <is>
          <t>transport, Motorbike, battery electric, &gt;35kW</t>
        </is>
      </c>
      <c r="B74" t="n">
        <v>1</v>
      </c>
      <c r="C74" t="inlineStr">
        <is>
          <t>CH</t>
        </is>
      </c>
      <c r="D74" t="inlineStr">
        <is>
          <t>kilometer</t>
        </is>
      </c>
      <c r="F74" t="inlineStr">
        <is>
          <t>production</t>
        </is>
      </c>
      <c r="H74" t="inlineStr">
        <is>
          <t>transport, Motorbike, battery electric, &gt;35kW</t>
        </is>
      </c>
    </row>
    <row r="75">
      <c r="A75" t="inlineStr">
        <is>
          <t>Motorbike, battery electric, &gt;35kW</t>
        </is>
      </c>
      <c r="B75" s="7" t="n">
        <v>2.469135802469136e-05</v>
      </c>
      <c r="C75" t="inlineStr">
        <is>
          <t>CH</t>
        </is>
      </c>
      <c r="D75" t="inlineStr">
        <is>
          <t>unit</t>
        </is>
      </c>
      <c r="F75" t="inlineStr">
        <is>
          <t>technosphere</t>
        </is>
      </c>
      <c r="H75" t="inlineStr">
        <is>
          <t>Motorbike, battery electric, &gt;35kW</t>
        </is>
      </c>
    </row>
    <row r="76">
      <c r="A76" t="inlineStr">
        <is>
          <t>road construction</t>
        </is>
      </c>
      <c r="B76" s="7" t="n">
        <v>0.00018440043</v>
      </c>
      <c r="C76" t="inlineStr">
        <is>
          <t>CH</t>
        </is>
      </c>
      <c r="D76" t="inlineStr">
        <is>
          <t>meter-year</t>
        </is>
      </c>
      <c r="F76" t="inlineStr">
        <is>
          <t>technosphere</t>
        </is>
      </c>
      <c r="G76" t="inlineStr">
        <is>
          <t>Road/track use [m*year/vkm or pkm]</t>
        </is>
      </c>
      <c r="H76" t="inlineStr">
        <is>
          <t>road</t>
        </is>
      </c>
    </row>
    <row r="77">
      <c r="A77" t="inlineStr">
        <is>
          <t>road maintenance</t>
        </is>
      </c>
      <c r="B77" s="7" t="n">
        <v>0.00129</v>
      </c>
      <c r="C77" t="inlineStr">
        <is>
          <t>CH</t>
        </is>
      </c>
      <c r="D77" t="inlineStr">
        <is>
          <t>meter-year</t>
        </is>
      </c>
      <c r="F77" t="inlineStr">
        <is>
          <t>technosphere</t>
        </is>
      </c>
      <c r="G77" t="inlineStr">
        <is>
          <t>Road maintenance [m*year/vkm]</t>
        </is>
      </c>
      <c r="H77" t="inlineStr">
        <is>
          <t>road maintenance</t>
        </is>
      </c>
    </row>
    <row r="78">
      <c r="A78" t="inlineStr">
        <is>
          <t>market for electricity, low voltage</t>
        </is>
      </c>
      <c r="B78" s="7" t="n">
        <v>0.08394583419859347</v>
      </c>
      <c r="C78" t="inlineStr">
        <is>
          <t>CH</t>
        </is>
      </c>
      <c r="D78" t="inlineStr">
        <is>
          <t>kilowatt hour</t>
        </is>
      </c>
      <c r="F78" t="inlineStr">
        <is>
          <t>technosphere</t>
        </is>
      </c>
      <c r="G78" t="inlineStr">
        <is>
          <t>Electricity consumption [MJ/km]</t>
        </is>
      </c>
      <c r="H78" t="inlineStr">
        <is>
          <t>electricity, low voltage</t>
        </is>
      </c>
    </row>
    <row r="79">
      <c r="A79" t="inlineStr">
        <is>
          <t>market for maintenance, electric scooter, without battery</t>
        </is>
      </c>
      <c r="B79" s="7" t="n">
        <v>4e-05</v>
      </c>
      <c r="C79" t="inlineStr">
        <is>
          <t>GLO</t>
        </is>
      </c>
      <c r="D79" t="inlineStr">
        <is>
          <t>unit</t>
        </is>
      </c>
      <c r="F79" t="inlineStr">
        <is>
          <t>technosphere</t>
        </is>
      </c>
      <c r="G79" t="inlineStr">
        <is>
          <t>Servicing [unit]</t>
        </is>
      </c>
      <c r="H79" t="inlineStr">
        <is>
          <t>maintenance, electric scooter, without battery</t>
        </is>
      </c>
    </row>
    <row r="80">
      <c r="A80" t="inlineStr">
        <is>
          <t>treatment of road wear emissions, passenger car</t>
        </is>
      </c>
      <c r="B80" s="7" t="n">
        <v>-1.120808571616671e-05</v>
      </c>
      <c r="C80" t="inlineStr">
        <is>
          <t>RER</t>
        </is>
      </c>
      <c r="D80" t="inlineStr">
        <is>
          <t>kilogram</t>
        </is>
      </c>
      <c r="F80" t="inlineStr">
        <is>
          <t>technosphere</t>
        </is>
      </c>
      <c r="G80" t="inlineStr">
        <is>
          <t>Road wear [kg/km]</t>
        </is>
      </c>
      <c r="H80" t="inlineStr">
        <is>
          <t>road wear emissions, passenger car</t>
        </is>
      </c>
    </row>
    <row r="81">
      <c r="A81" t="inlineStr">
        <is>
          <t>treatment of tyre wear emissions, passenger car</t>
        </is>
      </c>
      <c r="B81" s="7" t="n">
        <v>-6.735708783746045e-06</v>
      </c>
      <c r="C81" t="inlineStr">
        <is>
          <t>RER</t>
        </is>
      </c>
      <c r="D81" t="inlineStr">
        <is>
          <t>kilogram</t>
        </is>
      </c>
      <c r="F81" t="inlineStr">
        <is>
          <t>technosphere</t>
        </is>
      </c>
      <c r="G81" t="inlineStr">
        <is>
          <t>Tire wear [kg/km]</t>
        </is>
      </c>
      <c r="H81" t="inlineStr">
        <is>
          <t>tyre wear emissions, passenger car</t>
        </is>
      </c>
    </row>
    <row r="82">
      <c r="A82" t="inlineStr">
        <is>
          <t>treatment of brake wear emissions, passenger car</t>
        </is>
      </c>
      <c r="B82" s="7" t="n">
        <v>-3.90131988435982e-06</v>
      </c>
      <c r="C82" t="inlineStr">
        <is>
          <t>RER</t>
        </is>
      </c>
      <c r="D82" t="inlineStr">
        <is>
          <t>kilogram</t>
        </is>
      </c>
      <c r="F82" t="inlineStr">
        <is>
          <t>technosphere</t>
        </is>
      </c>
      <c r="G82" t="inlineStr">
        <is>
          <t>Brake wear [kg/km]</t>
        </is>
      </c>
      <c r="H82" t="inlineStr">
        <is>
          <t>brake wear emissions, passenger car</t>
        </is>
      </c>
    </row>
    <row r="83">
      <c r="B83" s="6" t="n"/>
    </row>
    <row r="84" ht="16" customHeight="1">
      <c r="A84" s="10" t="n"/>
      <c r="B84" s="8" t="n"/>
    </row>
    <row r="85"/>
    <row r="86"/>
    <row r="87"/>
    <row r="88"/>
    <row r="89"/>
    <row r="90"/>
    <row r="91"/>
    <row r="92"/>
    <row r="93"/>
    <row r="94"/>
    <row r="95"/>
    <row r="96"/>
    <row r="97"/>
    <row r="98"/>
    <row r="99">
      <c r="B99" s="2" t="n"/>
    </row>
    <row r="100"/>
    <row r="101"/>
    <row r="102"/>
    <row r="103">
      <c r="B103" s="2" t="n"/>
    </row>
    <row r="104"/>
    <row r="105">
      <c r="B105" s="2" t="n"/>
    </row>
    <row r="106"/>
    <row r="107">
      <c r="B107" s="6" t="n"/>
    </row>
    <row r="108"/>
    <row r="109" ht="16" customHeight="1">
      <c r="A109" s="10" t="n"/>
    </row>
    <row r="110"/>
    <row r="111"/>
    <row r="112">
      <c r="B112" s="11" t="n"/>
    </row>
    <row r="113">
      <c r="B113" s="11" t="n"/>
    </row>
    <row r="114">
      <c r="B114" s="11" t="n"/>
    </row>
    <row r="115">
      <c r="B115" s="11" t="n"/>
    </row>
    <row r="116">
      <c r="B116" s="11" t="n"/>
    </row>
    <row r="117">
      <c r="B117" s="11" t="n"/>
    </row>
    <row r="118">
      <c r="B118" s="11" t="n"/>
    </row>
    <row r="119">
      <c r="B119" s="11" t="n"/>
    </row>
    <row r="120">
      <c r="B120" s="11" t="n"/>
    </row>
    <row r="121">
      <c r="B121" s="11" t="n"/>
    </row>
    <row r="122">
      <c r="B122" s="11" t="n"/>
    </row>
    <row r="123" ht="16" customHeight="1">
      <c r="A123" s="10" t="n"/>
      <c r="B123" s="8" t="n"/>
    </row>
    <row r="124"/>
    <row r="125"/>
    <row r="126"/>
    <row r="127"/>
    <row r="128"/>
    <row r="129"/>
    <row r="130"/>
    <row r="131"/>
    <row r="132"/>
    <row r="133"/>
    <row r="134"/>
    <row r="135"/>
    <row r="136"/>
    <row r="137"/>
    <row r="138">
      <c r="B138" s="2" t="n"/>
    </row>
    <row r="139"/>
    <row r="140"/>
    <row r="141"/>
    <row r="142">
      <c r="B142" s="2" t="n"/>
    </row>
    <row r="143"/>
    <row r="144">
      <c r="B144" s="2" t="n"/>
    </row>
    <row r="145"/>
    <row r="146">
      <c r="B146" s="6" t="n"/>
    </row>
    <row r="147"/>
    <row r="148" ht="16" customHeight="1">
      <c r="A148" s="10" t="n"/>
    </row>
    <row r="149"/>
    <row r="150"/>
    <row r="151">
      <c r="B151" s="11" t="n"/>
    </row>
    <row r="152">
      <c r="B152" s="11" t="n"/>
    </row>
    <row r="153">
      <c r="B153" s="11" t="n"/>
    </row>
    <row r="154">
      <c r="B154" s="11" t="n"/>
    </row>
    <row r="155">
      <c r="B155" s="11" t="n"/>
    </row>
    <row r="156">
      <c r="B156" s="11" t="n"/>
    </row>
    <row r="157">
      <c r="B157" s="11" t="n"/>
    </row>
    <row r="158">
      <c r="B158" s="11" t="n"/>
    </row>
    <row r="159">
      <c r="B159" s="11" t="n"/>
    </row>
    <row r="160">
      <c r="B160" s="11" t="n"/>
    </row>
    <row r="161"/>
    <row r="162" ht="16" customHeight="1">
      <c r="A162" s="10" t="n"/>
      <c r="B162" s="8" t="n"/>
    </row>
    <row r="163"/>
    <row r="164"/>
    <row r="165"/>
    <row r="166"/>
    <row r="167"/>
    <row r="168"/>
    <row r="169"/>
    <row r="170"/>
    <row r="171"/>
    <row r="172"/>
    <row r="173"/>
    <row r="174"/>
    <row r="175"/>
    <row r="176"/>
    <row r="177">
      <c r="B177" s="2" t="n"/>
    </row>
    <row r="178"/>
    <row r="179"/>
    <row r="180"/>
    <row r="181">
      <c r="B181" s="2" t="n"/>
    </row>
    <row r="182"/>
    <row r="183">
      <c r="B183" s="2" t="n"/>
    </row>
    <row r="184"/>
    <row r="185">
      <c r="B185" s="6" t="n"/>
    </row>
    <row r="186"/>
    <row r="187" ht="16" customHeight="1">
      <c r="A187" s="10" t="n"/>
    </row>
    <row r="188"/>
    <row r="189"/>
    <row r="190">
      <c r="B190" s="11" t="n"/>
    </row>
    <row r="191">
      <c r="B191" s="11" t="n"/>
    </row>
    <row r="192">
      <c r="B192" s="11" t="n"/>
    </row>
    <row r="193">
      <c r="B193" s="11" t="n"/>
    </row>
    <row r="194">
      <c r="B194" s="11" t="n"/>
    </row>
    <row r="195">
      <c r="B195" s="11" t="n"/>
    </row>
    <row r="196">
      <c r="B196" s="11" t="n"/>
    </row>
    <row r="197">
      <c r="B197" s="11" t="n"/>
    </row>
    <row r="198">
      <c r="B198" s="11" t="n"/>
    </row>
    <row r="199">
      <c r="B199" s="11" t="n"/>
    </row>
    <row r="200"/>
    <row r="201" ht="16" customHeight="1">
      <c r="A201" s="10" t="n"/>
      <c r="B201" s="8" t="n"/>
    </row>
    <row r="202"/>
    <row r="203"/>
    <row r="204"/>
    <row r="205"/>
    <row r="206"/>
    <row r="207"/>
    <row r="208"/>
    <row r="209"/>
    <row r="210"/>
    <row r="211"/>
    <row r="212"/>
    <row r="213"/>
    <row r="214"/>
    <row r="215"/>
    <row r="216">
      <c r="B216" s="2" t="n"/>
    </row>
    <row r="217"/>
    <row r="218"/>
    <row r="219"/>
    <row r="220">
      <c r="B220" s="2" t="n"/>
    </row>
    <row r="221"/>
    <row r="222">
      <c r="B222" s="2" t="n"/>
    </row>
    <row r="223"/>
    <row r="224">
      <c r="B224" s="6" t="n"/>
    </row>
    <row r="225"/>
    <row r="226" ht="16" customHeight="1">
      <c r="A226" s="10" t="n"/>
    </row>
    <row r="227"/>
    <row r="228"/>
    <row r="229">
      <c r="B229" s="11" t="n"/>
    </row>
    <row r="230">
      <c r="B230" s="11" t="n"/>
    </row>
    <row r="231">
      <c r="B231" s="11" t="n"/>
    </row>
    <row r="232">
      <c r="B232" s="11" t="n"/>
    </row>
    <row r="233">
      <c r="B233" s="11" t="n"/>
    </row>
    <row r="234">
      <c r="B234" s="11" t="n"/>
    </row>
    <row r="235">
      <c r="B235" s="11" t="n"/>
    </row>
    <row r="236">
      <c r="B236" s="11" t="n"/>
    </row>
    <row r="237">
      <c r="B237" s="11" t="n"/>
    </row>
    <row r="238">
      <c r="B238" s="11" t="n"/>
    </row>
    <row r="239">
      <c r="B239" s="2" t="n"/>
    </row>
    <row r="240" ht="16" customHeight="1">
      <c r="A240" s="10" t="n"/>
      <c r="B240" s="8" t="n"/>
    </row>
    <row r="241"/>
    <row r="242"/>
    <row r="243"/>
    <row r="244"/>
    <row r="245"/>
    <row r="246"/>
    <row r="247"/>
    <row r="248"/>
    <row r="249"/>
    <row r="250"/>
    <row r="251"/>
    <row r="252"/>
    <row r="253"/>
    <row r="254"/>
    <row r="255">
      <c r="B255" s="2" t="n"/>
    </row>
    <row r="256"/>
    <row r="257"/>
    <row r="258"/>
    <row r="259">
      <c r="B259" s="2" t="n"/>
    </row>
    <row r="260"/>
    <row r="261">
      <c r="B261" s="2" t="n"/>
    </row>
    <row r="262"/>
    <row r="263">
      <c r="B263" s="6" t="n"/>
    </row>
    <row r="264"/>
    <row r="265" ht="16" customHeight="1">
      <c r="A265" s="10" t="n"/>
    </row>
    <row r="266"/>
    <row r="267"/>
    <row r="268">
      <c r="B268" s="7" t="n"/>
    </row>
    <row r="269">
      <c r="B269" s="11" t="n"/>
    </row>
    <row r="270">
      <c r="B270" s="4" t="n"/>
    </row>
    <row r="271">
      <c r="B271" s="11" t="n"/>
    </row>
    <row r="272">
      <c r="B272" s="11" t="n"/>
    </row>
    <row r="273">
      <c r="B273" s="11" t="n"/>
    </row>
    <row r="274">
      <c r="B274" s="11" t="n"/>
    </row>
    <row r="275">
      <c r="B275" s="6" t="n"/>
    </row>
    <row r="276" ht="16" customHeight="1">
      <c r="A276" s="10" t="n"/>
      <c r="B276" s="8" t="n"/>
    </row>
    <row r="277"/>
    <row r="278"/>
    <row r="279"/>
    <row r="280"/>
    <row r="281"/>
    <row r="282"/>
    <row r="283"/>
    <row r="284"/>
    <row r="285"/>
    <row r="286"/>
    <row r="287"/>
    <row r="288"/>
    <row r="289"/>
    <row r="290"/>
    <row r="291">
      <c r="B291" s="2" t="n"/>
    </row>
    <row r="292"/>
    <row r="293"/>
    <row r="294"/>
    <row r="295">
      <c r="B295" s="2" t="n"/>
    </row>
    <row r="296"/>
    <row r="297">
      <c r="B297" s="2" t="n"/>
    </row>
    <row r="298"/>
    <row r="299">
      <c r="B299" s="6" t="n"/>
    </row>
    <row r="300"/>
    <row r="301" ht="16" customHeight="1">
      <c r="A301" s="10" t="n"/>
    </row>
    <row r="302"/>
    <row r="303"/>
    <row r="304"/>
    <row r="305">
      <c r="B305" s="11" t="n"/>
    </row>
    <row r="306">
      <c r="B306" s="4" t="n"/>
    </row>
    <row r="307">
      <c r="B307" s="11" t="n"/>
    </row>
    <row r="308">
      <c r="B308" s="11" t="n"/>
    </row>
    <row r="309">
      <c r="B309" s="11" t="n"/>
    </row>
    <row r="310">
      <c r="B310" s="11" t="n"/>
    </row>
    <row r="311"/>
    <row r="312" ht="16" customHeight="1">
      <c r="A312" s="10" t="n"/>
      <c r="B312" s="8" t="n"/>
    </row>
    <row r="313"/>
    <row r="314"/>
    <row r="315"/>
    <row r="316"/>
    <row r="317"/>
    <row r="318"/>
    <row r="319"/>
    <row r="320"/>
    <row r="321"/>
    <row r="322"/>
    <row r="323"/>
    <row r="324"/>
    <row r="325"/>
    <row r="326"/>
    <row r="327">
      <c r="B327" s="2" t="n"/>
    </row>
    <row r="328"/>
    <row r="329"/>
    <row r="330"/>
    <row r="331">
      <c r="B331" s="2" t="n"/>
    </row>
    <row r="332"/>
    <row r="333">
      <c r="B333" s="2" t="n"/>
    </row>
    <row r="334"/>
    <row r="335">
      <c r="B335" s="6" t="n"/>
    </row>
    <row r="336"/>
    <row r="337" ht="16" customHeight="1">
      <c r="A337" s="10" t="n"/>
    </row>
    <row r="338"/>
    <row r="339"/>
    <row r="340"/>
    <row r="341">
      <c r="B341" s="11" t="n"/>
    </row>
    <row r="342">
      <c r="B342" s="4" t="n"/>
    </row>
    <row r="343">
      <c r="B343" s="11" t="n"/>
    </row>
    <row r="344">
      <c r="B344" s="11" t="n"/>
    </row>
    <row r="345">
      <c r="B345" s="11" t="n"/>
    </row>
    <row r="346">
      <c r="B346" s="11" t="n"/>
    </row>
    <row r="347"/>
    <row r="348" ht="16" customHeight="1">
      <c r="A348" s="10" t="n"/>
      <c r="B348" s="8" t="n"/>
    </row>
    <row r="349"/>
    <row r="350"/>
    <row r="351"/>
    <row r="352"/>
    <row r="353"/>
    <row r="354"/>
    <row r="355"/>
    <row r="356"/>
    <row r="357"/>
    <row r="358"/>
    <row r="359"/>
    <row r="360"/>
    <row r="361"/>
    <row r="362"/>
    <row r="363">
      <c r="B363" s="2" t="n"/>
    </row>
    <row r="364"/>
    <row r="365"/>
    <row r="366"/>
    <row r="367">
      <c r="B367" s="2" t="n"/>
    </row>
    <row r="368"/>
    <row r="369">
      <c r="B369" s="2" t="n"/>
    </row>
    <row r="370"/>
    <row r="371">
      <c r="B371" s="6" t="n"/>
    </row>
    <row r="372"/>
    <row r="373" ht="16" customHeight="1">
      <c r="A373" s="10" t="n"/>
    </row>
    <row r="374"/>
    <row r="375"/>
    <row r="376"/>
    <row r="377">
      <c r="B377" s="11" t="n"/>
    </row>
    <row r="378">
      <c r="B378" s="4" t="n"/>
    </row>
    <row r="379">
      <c r="B379" s="11" t="n"/>
    </row>
    <row r="380">
      <c r="B380" s="11" t="n"/>
    </row>
    <row r="381">
      <c r="B381" s="11" t="n"/>
    </row>
    <row r="382">
      <c r="B382" s="11" t="n"/>
    </row>
  </sheetData>
  <pageMargins left="0.7" right="0.7" top="0.75" bottom="0.75" header="0.3" footer="0.3"/>
  <pageSetup orientation="portrait" horizontalDpi="300" verticalDpi="300"/>
</worksheet>
</file>

<file path=xl/worksheets/sheet14.xml><?xml version="1.0" encoding="utf-8"?>
<worksheet xmlns="http://schemas.openxmlformats.org/spreadsheetml/2006/main">
  <sheetPr>
    <outlinePr summaryBelow="1" summaryRight="1"/>
    <pageSetUpPr/>
  </sheetPr>
  <dimension ref="A1:H420"/>
  <sheetViews>
    <sheetView topLeftCell="A273" workbookViewId="0">
      <selection activeCell="G298" sqref="G298"/>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Motorbike, gasoline, 4-11kW, EURO-3</t>
        </is>
      </c>
    </row>
    <row r="2">
      <c r="A2" t="inlineStr">
        <is>
          <t>location</t>
        </is>
      </c>
      <c r="B2" t="inlineStr">
        <is>
          <t>CH</t>
        </is>
      </c>
    </row>
    <row r="3">
      <c r="A3" t="inlineStr">
        <is>
          <t>vehicle</t>
        </is>
      </c>
      <c r="B3" t="inlineStr">
        <is>
          <t>Motorbike, gasoline, 4-11kW, EURO-3</t>
        </is>
      </c>
    </row>
    <row r="4">
      <c r="A4" t="inlineStr">
        <is>
          <t>size</t>
        </is>
      </c>
    </row>
    <row r="5">
      <c r="A5" t="inlineStr">
        <is>
          <t>year</t>
        </is>
      </c>
      <c r="B5" t="n">
        <v>2006</v>
      </c>
    </row>
    <row r="6">
      <c r="A6" t="inlineStr">
        <is>
          <t>full name</t>
        </is>
      </c>
      <c r="B6" t="inlineStr">
        <is>
          <t>Motorbike, gasoline, 4-11kW, EURO-3 - 2006 - CH</t>
        </is>
      </c>
    </row>
    <row r="7">
      <c r="A7" t="inlineStr">
        <is>
          <t>reference product</t>
        </is>
      </c>
      <c r="B7" t="inlineStr">
        <is>
          <t>Motorbike, gasoline, 4-11kW, EURO-3</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25000</v>
      </c>
    </row>
    <row r="12">
      <c r="A12" t="inlineStr">
        <is>
          <t>passengers</t>
        </is>
      </c>
      <c r="B12" t="n">
        <v>1.1</v>
      </c>
    </row>
    <row r="13">
      <c r="A13" t="inlineStr">
        <is>
          <t>service</t>
        </is>
      </c>
      <c r="B13" t="n">
        <v>1</v>
      </c>
    </row>
    <row r="14">
      <c r="A14" t="inlineStr">
        <is>
          <t>battery replacement</t>
        </is>
      </c>
      <c r="B14" t="n">
        <v>0</v>
      </c>
    </row>
    <row r="15">
      <c r="A15" t="inlineStr">
        <is>
          <t>annual kilometers</t>
        </is>
      </c>
      <c r="B15" t="n">
        <v>1776</v>
      </c>
    </row>
    <row r="16">
      <c r="A16" t="inlineStr">
        <is>
          <t>curb mass</t>
        </is>
      </c>
      <c r="B16" s="2" t="n">
        <v>122.2716971805749</v>
      </c>
    </row>
    <row r="17">
      <c r="A17" t="inlineStr">
        <is>
          <t>power</t>
        </is>
      </c>
      <c r="B17" t="n">
        <v>9</v>
      </c>
    </row>
    <row r="18">
      <c r="A18" t="inlineStr">
        <is>
          <t>battery mass</t>
        </is>
      </c>
    </row>
    <row r="19">
      <c r="A19" t="inlineStr">
        <is>
          <t>electricity, low voltage</t>
        </is>
      </c>
      <c r="B19" t="n">
        <v>0</v>
      </c>
    </row>
    <row r="20">
      <c r="A20" t="inlineStr">
        <is>
          <t>tank capacity</t>
        </is>
      </c>
      <c r="B20" s="2" t="n">
        <v>79.875</v>
      </c>
    </row>
    <row r="21">
      <c r="A21" t="inlineStr">
        <is>
          <t>fuel mass</t>
        </is>
      </c>
      <c r="B21" t="n">
        <v>6.75</v>
      </c>
    </row>
    <row r="22">
      <c r="A22" t="inlineStr">
        <is>
          <t>range</t>
        </is>
      </c>
      <c r="B22" s="2" t="n">
        <v>280.2412440389083</v>
      </c>
    </row>
    <row r="23">
      <c r="A23" t="inlineStr">
        <is>
          <t>emission standard</t>
        </is>
      </c>
      <c r="B23" t="inlineStr">
        <is>
          <t>EURO-3</t>
        </is>
      </c>
    </row>
    <row r="24">
      <c r="A24" t="inlineStr">
        <is>
          <t>Glider lightweighting</t>
        </is>
      </c>
      <c r="B24" s="6" t="n">
        <v>-0.05</v>
      </c>
    </row>
    <row r="25">
      <c r="A25" t="inlineStr">
        <is>
          <t>origin</t>
        </is>
      </c>
      <c r="B25" s="6" t="inlineStr">
        <is>
          <t>China</t>
        </is>
      </c>
    </row>
    <row r="26">
      <c r="A26" t="inlineStr">
        <is>
          <t>distance by ship [km]</t>
        </is>
      </c>
      <c r="B26" s="2" t="n">
        <v>15900</v>
      </c>
    </row>
    <row r="27">
      <c r="A27" t="inlineStr">
        <is>
          <t>distance by truck [km]</t>
        </is>
      </c>
      <c r="B27" s="2" t="n">
        <v>1000</v>
      </c>
    </row>
    <row r="28">
      <c r="A28" t="inlineStr">
        <is>
          <t>comment</t>
        </is>
      </c>
      <c r="B28" t="inlineStr">
        <is>
          <t>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ht="16" customHeight="1">
      <c r="A29" s="10" t="inlineStr">
        <is>
          <t>Exchanges</t>
        </is>
      </c>
    </row>
    <row r="30">
      <c r="A30" t="inlineStr">
        <is>
          <t>name</t>
        </is>
      </c>
      <c r="B30" t="inlineStr">
        <is>
          <t>amount</t>
        </is>
      </c>
      <c r="C30" t="inlineStr">
        <is>
          <t>location</t>
        </is>
      </c>
      <c r="D30" t="inlineStr">
        <is>
          <t>unit</t>
        </is>
      </c>
      <c r="E30" t="inlineStr">
        <is>
          <t>categories</t>
        </is>
      </c>
      <c r="F30" t="inlineStr">
        <is>
          <t>type</t>
        </is>
      </c>
      <c r="G30" t="inlineStr">
        <is>
          <t>comment</t>
        </is>
      </c>
      <c r="H30" t="inlineStr">
        <is>
          <t>reference product</t>
        </is>
      </c>
    </row>
    <row r="31">
      <c r="A31" t="inlineStr">
        <is>
          <t>Motorbike, gasoline, 4-11kW, EURO-3</t>
        </is>
      </c>
      <c r="B31" t="n">
        <v>1</v>
      </c>
      <c r="C31" t="inlineStr">
        <is>
          <t>CH</t>
        </is>
      </c>
      <c r="D31" t="inlineStr">
        <is>
          <t>unit</t>
        </is>
      </c>
      <c r="F31" t="inlineStr">
        <is>
          <t>production</t>
        </is>
      </c>
      <c r="H31" t="inlineStr">
        <is>
          <t>Motorbike, gasoline, 4-11kW, EURO-3</t>
        </is>
      </c>
    </row>
    <row r="32">
      <c r="A32" t="inlineStr">
        <is>
          <t>motor scooter production</t>
        </is>
      </c>
      <c r="B32" s="6" t="n">
        <v>0.7270425217814277</v>
      </c>
      <c r="C32" t="inlineStr">
        <is>
          <t>RER</t>
        </is>
      </c>
      <c r="D32" t="inlineStr">
        <is>
          <t>unit</t>
        </is>
      </c>
      <c r="F32" t="inlineStr">
        <is>
          <t>technosphere</t>
        </is>
      </c>
      <c r="G32" t="inlineStr">
        <is>
          <t>Glider base mass [kg]</t>
        </is>
      </c>
      <c r="H32" t="inlineStr">
        <is>
          <t>motor scooter, 50 cubic cm engine</t>
        </is>
      </c>
    </row>
    <row r="33">
      <c r="A33" t="inlineStr">
        <is>
          <t>motor scooter production</t>
        </is>
      </c>
      <c r="B33" s="6" t="n">
        <v>0.5089297652469993</v>
      </c>
      <c r="C33" t="inlineStr">
        <is>
          <t>RER</t>
        </is>
      </c>
      <c r="D33" t="inlineStr">
        <is>
          <t>unit</t>
        </is>
      </c>
      <c r="F33" t="inlineStr">
        <is>
          <t>technosphere</t>
        </is>
      </c>
      <c r="G33" t="inlineStr">
        <is>
          <t>Mechanical powertrain mass [kg]</t>
        </is>
      </c>
      <c r="H33" t="inlineStr">
        <is>
          <t>motor scooter, 50 cubic cm engine</t>
        </is>
      </c>
    </row>
    <row r="34">
      <c r="A34" t="inlineStr">
        <is>
          <t>polyethylene production, high density, granulate</t>
        </is>
      </c>
      <c r="B34" s="6" t="n">
        <v>1.0125</v>
      </c>
      <c r="C34" t="inlineStr">
        <is>
          <t>RER</t>
        </is>
      </c>
      <c r="D34" t="inlineStr">
        <is>
          <t>kilogram</t>
        </is>
      </c>
      <c r="F34" t="inlineStr">
        <is>
          <t>technosphere</t>
        </is>
      </c>
      <c r="G34" t="inlineStr">
        <is>
          <t>Fuel tank mass [kg]</t>
        </is>
      </c>
      <c r="H34" t="inlineStr">
        <is>
          <t>polyethylene, high density, granulate</t>
        </is>
      </c>
    </row>
    <row r="35">
      <c r="A35" t="inlineStr">
        <is>
          <t>injection moulding</t>
        </is>
      </c>
      <c r="B35" s="6" t="n">
        <v>1.018611670020121</v>
      </c>
      <c r="C35" t="inlineStr">
        <is>
          <t>RER</t>
        </is>
      </c>
      <c r="D35" t="inlineStr">
        <is>
          <t>kilogram</t>
        </is>
      </c>
      <c r="F35" t="inlineStr">
        <is>
          <t>technosphere</t>
        </is>
      </c>
      <c r="G35" t="inlineStr">
        <is>
          <t>Fuel tank shaping</t>
        </is>
      </c>
      <c r="H35" t="inlineStr">
        <is>
          <t>injection moulding</t>
        </is>
      </c>
    </row>
    <row r="36">
      <c r="A36" s="13" t="inlineStr">
        <is>
          <t>market for transport, freight, lorry, unspecified</t>
        </is>
      </c>
      <c r="B36" s="2" t="n">
        <v>122.2716971805749</v>
      </c>
      <c r="C36" t="inlineStr">
        <is>
          <t>RER</t>
        </is>
      </c>
      <c r="D36" t="inlineStr">
        <is>
          <t>ton kilometer</t>
        </is>
      </c>
      <c r="F36" t="inlineStr">
        <is>
          <t>technosphere</t>
        </is>
      </c>
      <c r="H36" s="13" t="inlineStr">
        <is>
          <t>transport, freight, lorry, unspecified</t>
        </is>
      </c>
    </row>
    <row r="37">
      <c r="A37" s="13" t="inlineStr">
        <is>
          <t>transport, freight, sea, container ship</t>
        </is>
      </c>
      <c r="B37" s="2" t="n">
        <v>1944.11998517114</v>
      </c>
      <c r="C37" t="inlineStr">
        <is>
          <t>GLO</t>
        </is>
      </c>
      <c r="D37" t="inlineStr">
        <is>
          <t>ton kilometer</t>
        </is>
      </c>
      <c r="F37" t="inlineStr">
        <is>
          <t>technosphere</t>
        </is>
      </c>
      <c r="H37" s="13" t="inlineStr">
        <is>
          <t>transport, freight, sea, container ship</t>
        </is>
      </c>
    </row>
    <row r="38">
      <c r="B38" s="11" t="n"/>
    </row>
    <row r="39" ht="16" customHeight="1">
      <c r="A39" s="10" t="inlineStr">
        <is>
          <t>Activity</t>
        </is>
      </c>
      <c r="B39" s="8" t="inlineStr">
        <is>
          <t>Motorbike, gasoline, 4-11kW, EURO-4</t>
        </is>
      </c>
    </row>
    <row r="40">
      <c r="A40" t="inlineStr">
        <is>
          <t>location</t>
        </is>
      </c>
      <c r="B40" t="inlineStr">
        <is>
          <t>CH</t>
        </is>
      </c>
    </row>
    <row r="41">
      <c r="A41" t="inlineStr">
        <is>
          <t>vehicle</t>
        </is>
      </c>
      <c r="B41" t="inlineStr">
        <is>
          <t>Motorbike, gasoline, 4-11kW, EURO-4</t>
        </is>
      </c>
    </row>
    <row r="42">
      <c r="A42" t="inlineStr">
        <is>
          <t>size</t>
        </is>
      </c>
    </row>
    <row r="43">
      <c r="A43" t="inlineStr">
        <is>
          <t>year</t>
        </is>
      </c>
      <c r="B43" t="n">
        <v>2016</v>
      </c>
    </row>
    <row r="44">
      <c r="A44" t="inlineStr">
        <is>
          <t>full name</t>
        </is>
      </c>
      <c r="B44" t="inlineStr">
        <is>
          <t>Motorbike, gasoline, 4-11kW, EURO-4 - 2016 - CH</t>
        </is>
      </c>
    </row>
    <row r="45">
      <c r="A45" t="inlineStr">
        <is>
          <t>reference product</t>
        </is>
      </c>
      <c r="B45" t="inlineStr">
        <is>
          <t>Motorbike, gasoline, 4-11kW, EURO-4</t>
        </is>
      </c>
    </row>
    <row r="46">
      <c r="A46" t="inlineStr">
        <is>
          <t>type</t>
        </is>
      </c>
      <c r="B46" t="inlineStr">
        <is>
          <t>process</t>
        </is>
      </c>
    </row>
    <row r="47">
      <c r="A47" t="inlineStr">
        <is>
          <t>unit</t>
        </is>
      </c>
      <c r="B47" t="inlineStr">
        <is>
          <t>unit</t>
        </is>
      </c>
    </row>
    <row r="48">
      <c r="A48" t="inlineStr">
        <is>
          <t>source</t>
        </is>
      </c>
      <c r="B48" t="inlineStr">
        <is>
          <t>Sacchi R., Bauer C. Life cycle inventories for on-road vehicles. Paul Scherrer Institut, 2021.</t>
        </is>
      </c>
    </row>
    <row r="49">
      <c r="A49" t="inlineStr">
        <is>
          <t>lifetime</t>
        </is>
      </c>
      <c r="B49" t="n">
        <v>25000</v>
      </c>
    </row>
    <row r="50">
      <c r="A50" t="inlineStr">
        <is>
          <t>passengers</t>
        </is>
      </c>
      <c r="B50" t="n">
        <v>1.1</v>
      </c>
    </row>
    <row r="51">
      <c r="A51" t="inlineStr">
        <is>
          <t>service</t>
        </is>
      </c>
      <c r="B51" t="n">
        <v>1</v>
      </c>
    </row>
    <row r="52">
      <c r="A52" t="inlineStr">
        <is>
          <t>battery replacement</t>
        </is>
      </c>
      <c r="B52" t="n">
        <v>0</v>
      </c>
    </row>
    <row r="53">
      <c r="A53" t="inlineStr">
        <is>
          <t>annual kilometers</t>
        </is>
      </c>
      <c r="B53" t="n">
        <v>1776</v>
      </c>
    </row>
    <row r="54">
      <c r="A54" t="inlineStr">
        <is>
          <t>curb mass</t>
        </is>
      </c>
      <c r="B54" s="2" t="n">
        <v>120.308682371765</v>
      </c>
    </row>
    <row r="55">
      <c r="A55" t="inlineStr">
        <is>
          <t>power</t>
        </is>
      </c>
      <c r="B55" t="n">
        <v>9</v>
      </c>
    </row>
    <row r="56">
      <c r="A56" t="inlineStr">
        <is>
          <t>battery mass</t>
        </is>
      </c>
    </row>
    <row r="57">
      <c r="A57" t="inlineStr">
        <is>
          <t>electricity, low voltage</t>
        </is>
      </c>
      <c r="B57" t="n">
        <v>0</v>
      </c>
    </row>
    <row r="58">
      <c r="A58" t="inlineStr">
        <is>
          <t>tank capacity</t>
        </is>
      </c>
      <c r="B58" s="2" t="n">
        <v>79.875</v>
      </c>
    </row>
    <row r="59">
      <c r="A59" t="inlineStr">
        <is>
          <t>fuel mass</t>
        </is>
      </c>
      <c r="B59" t="n">
        <v>6.75</v>
      </c>
    </row>
    <row r="60">
      <c r="A60" t="inlineStr">
        <is>
          <t>range</t>
        </is>
      </c>
      <c r="B60" s="2" t="n">
        <v>283.0436564792974</v>
      </c>
    </row>
    <row r="61">
      <c r="A61" t="inlineStr">
        <is>
          <t>emission standard</t>
        </is>
      </c>
      <c r="B61" t="inlineStr">
        <is>
          <t>EURO-4</t>
        </is>
      </c>
    </row>
    <row r="62">
      <c r="A62" t="inlineStr">
        <is>
          <t>Glider lightweighting</t>
        </is>
      </c>
      <c r="B62" s="6" t="n">
        <v>-0.02</v>
      </c>
    </row>
    <row r="63">
      <c r="A63" t="inlineStr">
        <is>
          <t>origin</t>
        </is>
      </c>
      <c r="B63" s="6" t="inlineStr">
        <is>
          <t>China</t>
        </is>
      </c>
    </row>
    <row r="64">
      <c r="A64" t="inlineStr">
        <is>
          <t>distance by ship [km]</t>
        </is>
      </c>
      <c r="B64" s="2" t="n">
        <v>15900</v>
      </c>
    </row>
    <row r="65">
      <c r="A65" t="inlineStr">
        <is>
          <t>distance by truck [km]</t>
        </is>
      </c>
      <c r="B65" s="2" t="n">
        <v>1000</v>
      </c>
    </row>
    <row r="66">
      <c r="A66" t="inlineStr">
        <is>
          <t>comment</t>
        </is>
      </c>
      <c r="B66" t="inlineStr">
        <is>
          <t>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ht="16" customHeight="1">
      <c r="A67" s="10" t="inlineStr">
        <is>
          <t>Exchanges</t>
        </is>
      </c>
    </row>
    <row r="68">
      <c r="A68" t="inlineStr">
        <is>
          <t>name</t>
        </is>
      </c>
      <c r="B68" t="inlineStr">
        <is>
          <t>amount</t>
        </is>
      </c>
      <c r="C68" t="inlineStr">
        <is>
          <t>location</t>
        </is>
      </c>
      <c r="D68" t="inlineStr">
        <is>
          <t>unit</t>
        </is>
      </c>
      <c r="E68" t="inlineStr">
        <is>
          <t>categories</t>
        </is>
      </c>
      <c r="F68" t="inlineStr">
        <is>
          <t>type</t>
        </is>
      </c>
      <c r="G68" t="inlineStr">
        <is>
          <t>comment</t>
        </is>
      </c>
      <c r="H68" t="inlineStr">
        <is>
          <t>reference product</t>
        </is>
      </c>
    </row>
    <row r="69">
      <c r="A69" t="inlineStr">
        <is>
          <t>Motorbike, gasoline, 4-11kW, EURO-4</t>
        </is>
      </c>
      <c r="B69" t="n">
        <v>1</v>
      </c>
      <c r="C69" t="inlineStr">
        <is>
          <t>CH</t>
        </is>
      </c>
      <c r="D69" t="inlineStr">
        <is>
          <t>unit</t>
        </is>
      </c>
      <c r="F69" t="inlineStr">
        <is>
          <t>production</t>
        </is>
      </c>
      <c r="H69" t="inlineStr">
        <is>
          <t>Motorbike, gasoline, 4-11kW, EURO-4</t>
        </is>
      </c>
    </row>
    <row r="70">
      <c r="A70" t="inlineStr">
        <is>
          <t>motor scooter production</t>
        </is>
      </c>
      <c r="B70" s="6" t="n">
        <v>0.7270425217814277</v>
      </c>
      <c r="C70" t="inlineStr">
        <is>
          <t>RER</t>
        </is>
      </c>
      <c r="D70" t="inlineStr">
        <is>
          <t>unit</t>
        </is>
      </c>
      <c r="F70" t="inlineStr">
        <is>
          <t>technosphere</t>
        </is>
      </c>
      <c r="G70" t="inlineStr">
        <is>
          <t>Glider base mass [kg]</t>
        </is>
      </c>
      <c r="H70" t="inlineStr">
        <is>
          <t>motor scooter, 50 cubic cm engine</t>
        </is>
      </c>
    </row>
    <row r="71">
      <c r="A71" t="inlineStr">
        <is>
          <t>motor scooter production</t>
        </is>
      </c>
      <c r="B71" s="6" t="n">
        <v>0.5089297652469993</v>
      </c>
      <c r="C71" t="inlineStr">
        <is>
          <t>RER</t>
        </is>
      </c>
      <c r="D71" t="inlineStr">
        <is>
          <t>unit</t>
        </is>
      </c>
      <c r="F71" t="inlineStr">
        <is>
          <t>technosphere</t>
        </is>
      </c>
      <c r="G71" t="inlineStr">
        <is>
          <t>Mechanical powertrain mass [kg]</t>
        </is>
      </c>
      <c r="H71" t="inlineStr">
        <is>
          <t>motor scooter, 50 cubic cm engine</t>
        </is>
      </c>
    </row>
    <row r="72">
      <c r="A72" t="inlineStr">
        <is>
          <t>polyethylene production, high density, granulate</t>
        </is>
      </c>
      <c r="B72" s="6" t="n">
        <v>1.0125</v>
      </c>
      <c r="C72" t="inlineStr">
        <is>
          <t>RER</t>
        </is>
      </c>
      <c r="D72" t="inlineStr">
        <is>
          <t>kilogram</t>
        </is>
      </c>
      <c r="F72" t="inlineStr">
        <is>
          <t>technosphere</t>
        </is>
      </c>
      <c r="G72" t="inlineStr">
        <is>
          <t>Fuel tank mass [kg]</t>
        </is>
      </c>
      <c r="H72" t="inlineStr">
        <is>
          <t>polyethylene, high density, granulate</t>
        </is>
      </c>
    </row>
    <row r="73">
      <c r="A73" t="inlineStr">
        <is>
          <t>injection moulding</t>
        </is>
      </c>
      <c r="B73" s="6" t="n">
        <v>1.018611670020121</v>
      </c>
      <c r="C73" t="inlineStr">
        <is>
          <t>RER</t>
        </is>
      </c>
      <c r="D73" t="inlineStr">
        <is>
          <t>kilogram</t>
        </is>
      </c>
      <c r="F73" t="inlineStr">
        <is>
          <t>technosphere</t>
        </is>
      </c>
      <c r="G73" t="inlineStr">
        <is>
          <t>Fuel tank shaping</t>
        </is>
      </c>
      <c r="H73" t="inlineStr">
        <is>
          <t>injection moulding</t>
        </is>
      </c>
    </row>
    <row r="74">
      <c r="A74" s="13" t="inlineStr">
        <is>
          <t>market for transport, freight, lorry, unspecified</t>
        </is>
      </c>
      <c r="B74" s="2" t="n">
        <v>120.308682371765</v>
      </c>
      <c r="C74" t="inlineStr">
        <is>
          <t>RER</t>
        </is>
      </c>
      <c r="D74" t="inlineStr">
        <is>
          <t>ton kilometer</t>
        </is>
      </c>
      <c r="F74" t="inlineStr">
        <is>
          <t>technosphere</t>
        </is>
      </c>
      <c r="H74" s="13" t="inlineStr">
        <is>
          <t>transport, freight, lorry, unspecified</t>
        </is>
      </c>
    </row>
    <row r="75">
      <c r="A75" s="13" t="inlineStr">
        <is>
          <t>transport, freight, sea, container ship</t>
        </is>
      </c>
      <c r="B75" s="2" t="n">
        <v>1912.908049711064</v>
      </c>
      <c r="C75" t="inlineStr">
        <is>
          <t>GLO</t>
        </is>
      </c>
      <c r="D75" t="inlineStr">
        <is>
          <t>ton kilometer</t>
        </is>
      </c>
      <c r="F75" t="inlineStr">
        <is>
          <t>technosphere</t>
        </is>
      </c>
      <c r="H75" s="13" t="inlineStr">
        <is>
          <t>transport, freight, sea, container ship</t>
        </is>
      </c>
    </row>
    <row r="76"/>
    <row r="77" ht="16" customHeight="1">
      <c r="A77" s="10" t="inlineStr">
        <is>
          <t>Activity</t>
        </is>
      </c>
      <c r="B77" s="8" t="inlineStr">
        <is>
          <t>Motorbike, gasoline, 4-11kW, EURO-5</t>
        </is>
      </c>
    </row>
    <row r="78">
      <c r="A78" t="inlineStr">
        <is>
          <t>location</t>
        </is>
      </c>
      <c r="B78" t="inlineStr">
        <is>
          <t>CH</t>
        </is>
      </c>
    </row>
    <row r="79">
      <c r="A79" t="inlineStr">
        <is>
          <t>vehicle</t>
        </is>
      </c>
      <c r="B79" t="inlineStr">
        <is>
          <t>Motorbike, gasoline, 4-11kW, EURO-5</t>
        </is>
      </c>
    </row>
    <row r="80">
      <c r="A80" t="inlineStr">
        <is>
          <t>size</t>
        </is>
      </c>
    </row>
    <row r="81">
      <c r="A81" t="inlineStr">
        <is>
          <t>year</t>
        </is>
      </c>
      <c r="B81" t="n">
        <v>2020</v>
      </c>
    </row>
    <row r="82">
      <c r="A82" t="inlineStr">
        <is>
          <t>full name</t>
        </is>
      </c>
      <c r="B82" t="inlineStr">
        <is>
          <t>Motorbike, gasoline, 4-11kW, EURO-5 - 2020 - CH</t>
        </is>
      </c>
    </row>
    <row r="83">
      <c r="A83" t="inlineStr">
        <is>
          <t>reference product</t>
        </is>
      </c>
      <c r="B83" t="inlineStr">
        <is>
          <t>Motorbike, gasoline, 4-11kW, EURO-5</t>
        </is>
      </c>
    </row>
    <row r="84">
      <c r="A84" t="inlineStr">
        <is>
          <t>type</t>
        </is>
      </c>
      <c r="B84" t="inlineStr">
        <is>
          <t>process</t>
        </is>
      </c>
    </row>
    <row r="85">
      <c r="A85" t="inlineStr">
        <is>
          <t>unit</t>
        </is>
      </c>
      <c r="B85" t="inlineStr">
        <is>
          <t>unit</t>
        </is>
      </c>
    </row>
    <row r="86">
      <c r="A86" t="inlineStr">
        <is>
          <t>source</t>
        </is>
      </c>
      <c r="B86" t="inlineStr">
        <is>
          <t>Sacchi R., Bauer C. Life cycle inventories for on-road vehicles. Paul Scherrer Institut, 2021.</t>
        </is>
      </c>
    </row>
    <row r="87">
      <c r="A87" t="inlineStr">
        <is>
          <t>lifetime</t>
        </is>
      </c>
      <c r="B87" t="n">
        <v>25000</v>
      </c>
    </row>
    <row r="88">
      <c r="A88" t="inlineStr">
        <is>
          <t>passengers</t>
        </is>
      </c>
      <c r="B88" t="n">
        <v>1.1</v>
      </c>
    </row>
    <row r="89">
      <c r="A89" t="inlineStr">
        <is>
          <t>service</t>
        </is>
      </c>
      <c r="B89" t="n">
        <v>1</v>
      </c>
    </row>
    <row r="90">
      <c r="A90" t="inlineStr">
        <is>
          <t>battery replacement</t>
        </is>
      </c>
      <c r="B90" t="n">
        <v>0</v>
      </c>
    </row>
    <row r="91">
      <c r="A91" t="inlineStr">
        <is>
          <t>annual kilometers</t>
        </is>
      </c>
      <c r="B91" t="n">
        <v>1776</v>
      </c>
    </row>
    <row r="92">
      <c r="A92" t="inlineStr">
        <is>
          <t>curb mass</t>
        </is>
      </c>
      <c r="B92" s="2" t="n">
        <v>119.0000058325584</v>
      </c>
    </row>
    <row r="93">
      <c r="A93" t="inlineStr">
        <is>
          <t>power</t>
        </is>
      </c>
      <c r="B93" t="n">
        <v>9</v>
      </c>
    </row>
    <row r="94">
      <c r="A94" t="inlineStr">
        <is>
          <t>battery mass</t>
        </is>
      </c>
    </row>
    <row r="95">
      <c r="A95" t="inlineStr">
        <is>
          <t>electricity, low voltage</t>
        </is>
      </c>
      <c r="B95" t="n">
        <v>0</v>
      </c>
    </row>
    <row r="96">
      <c r="A96" t="inlineStr">
        <is>
          <t>tank capacity</t>
        </is>
      </c>
      <c r="B96" s="2" t="n">
        <v>79.875</v>
      </c>
    </row>
    <row r="97">
      <c r="A97" t="inlineStr">
        <is>
          <t>fuel mass</t>
        </is>
      </c>
      <c r="B97" t="n">
        <v>6.75</v>
      </c>
    </row>
    <row r="98">
      <c r="A98" t="inlineStr">
        <is>
          <t>range</t>
        </is>
      </c>
      <c r="B98" s="2" t="n">
        <v>285.9026833124216</v>
      </c>
    </row>
    <row r="99">
      <c r="A99" t="inlineStr">
        <is>
          <t>emission standard</t>
        </is>
      </c>
      <c r="B99" t="inlineStr">
        <is>
          <t>EURO-5</t>
        </is>
      </c>
    </row>
    <row r="100">
      <c r="A100" t="inlineStr">
        <is>
          <t>Glider lightweighting</t>
        </is>
      </c>
      <c r="B100" s="6" t="n">
        <v>0</v>
      </c>
    </row>
    <row r="101">
      <c r="A101" t="inlineStr">
        <is>
          <t>origin</t>
        </is>
      </c>
      <c r="B101" s="6" t="inlineStr">
        <is>
          <t>China</t>
        </is>
      </c>
    </row>
    <row r="102">
      <c r="A102" t="inlineStr">
        <is>
          <t>distance by ship [km]</t>
        </is>
      </c>
      <c r="B102" s="2" t="n">
        <v>15900</v>
      </c>
    </row>
    <row r="103">
      <c r="A103" t="inlineStr">
        <is>
          <t>distance by truck [km]</t>
        </is>
      </c>
      <c r="B103" s="2" t="n">
        <v>1000</v>
      </c>
    </row>
    <row r="104">
      <c r="A104" t="inlineStr">
        <is>
          <t>comment</t>
        </is>
      </c>
      <c r="B104" t="inlineStr">
        <is>
          <t>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ht="16" customHeight="1">
      <c r="A105" s="10" t="inlineStr">
        <is>
          <t>Exchanges</t>
        </is>
      </c>
    </row>
    <row r="106">
      <c r="A106" t="inlineStr">
        <is>
          <t>name</t>
        </is>
      </c>
      <c r="B106" t="inlineStr">
        <is>
          <t>amount</t>
        </is>
      </c>
      <c r="C106" t="inlineStr">
        <is>
          <t>location</t>
        </is>
      </c>
      <c r="D106" t="inlineStr">
        <is>
          <t>unit</t>
        </is>
      </c>
      <c r="E106" t="inlineStr">
        <is>
          <t>categories</t>
        </is>
      </c>
      <c r="F106" t="inlineStr">
        <is>
          <t>type</t>
        </is>
      </c>
      <c r="G106" t="inlineStr">
        <is>
          <t>comment</t>
        </is>
      </c>
      <c r="H106" t="inlineStr">
        <is>
          <t>reference product</t>
        </is>
      </c>
    </row>
    <row r="107">
      <c r="A107" t="inlineStr">
        <is>
          <t>Motorbike, gasoline, 4-11kW, EURO-5</t>
        </is>
      </c>
      <c r="B107" t="n">
        <v>1</v>
      </c>
      <c r="C107" t="inlineStr">
        <is>
          <t>CH</t>
        </is>
      </c>
      <c r="D107" t="inlineStr">
        <is>
          <t>unit</t>
        </is>
      </c>
      <c r="F107" t="inlineStr">
        <is>
          <t>production</t>
        </is>
      </c>
      <c r="H107" t="inlineStr">
        <is>
          <t>Motorbike, gasoline, 4-11kW, EURO-5</t>
        </is>
      </c>
    </row>
    <row r="108">
      <c r="A108" t="inlineStr">
        <is>
          <t>motor scooter production</t>
        </is>
      </c>
      <c r="B108" s="6" t="n">
        <v>0.7270425217814277</v>
      </c>
      <c r="C108" t="inlineStr">
        <is>
          <t>RER</t>
        </is>
      </c>
      <c r="D108" t="inlineStr">
        <is>
          <t>unit</t>
        </is>
      </c>
      <c r="F108" t="inlineStr">
        <is>
          <t>technosphere</t>
        </is>
      </c>
      <c r="G108" t="inlineStr">
        <is>
          <t>Glider base mass [kg]</t>
        </is>
      </c>
      <c r="H108" t="inlineStr">
        <is>
          <t>motor scooter, 50 cubic cm engine</t>
        </is>
      </c>
    </row>
    <row r="109">
      <c r="A109" t="inlineStr">
        <is>
          <t>motor scooter production</t>
        </is>
      </c>
      <c r="B109" s="6" t="n">
        <v>0.5089297652469993</v>
      </c>
      <c r="C109" t="inlineStr">
        <is>
          <t>RER</t>
        </is>
      </c>
      <c r="D109" t="inlineStr">
        <is>
          <t>unit</t>
        </is>
      </c>
      <c r="F109" t="inlineStr">
        <is>
          <t>technosphere</t>
        </is>
      </c>
      <c r="G109" t="inlineStr">
        <is>
          <t>Mechanical powertrain mass [kg]</t>
        </is>
      </c>
      <c r="H109" t="inlineStr">
        <is>
          <t>motor scooter, 50 cubic cm engine</t>
        </is>
      </c>
    </row>
    <row r="110">
      <c r="A110" t="inlineStr">
        <is>
          <t>polyethylene production, high density, granulate</t>
        </is>
      </c>
      <c r="B110" s="6" t="n">
        <v>1.0125</v>
      </c>
      <c r="C110" t="inlineStr">
        <is>
          <t>RER</t>
        </is>
      </c>
      <c r="D110" t="inlineStr">
        <is>
          <t>kilogram</t>
        </is>
      </c>
      <c r="F110" t="inlineStr">
        <is>
          <t>technosphere</t>
        </is>
      </c>
      <c r="G110" t="inlineStr">
        <is>
          <t>Fuel tank mass [kg]</t>
        </is>
      </c>
      <c r="H110" t="inlineStr">
        <is>
          <t>polyethylene, high density, granulate</t>
        </is>
      </c>
    </row>
    <row r="111">
      <c r="A111" t="inlineStr">
        <is>
          <t>injection moulding</t>
        </is>
      </c>
      <c r="B111" s="6" t="n">
        <v>1.018611670020121</v>
      </c>
      <c r="C111" t="inlineStr">
        <is>
          <t>RER</t>
        </is>
      </c>
      <c r="D111" t="inlineStr">
        <is>
          <t>kilogram</t>
        </is>
      </c>
      <c r="F111" t="inlineStr">
        <is>
          <t>technosphere</t>
        </is>
      </c>
      <c r="G111" t="inlineStr">
        <is>
          <t>Fuel tank shaping</t>
        </is>
      </c>
      <c r="H111" t="inlineStr">
        <is>
          <t>injection moulding</t>
        </is>
      </c>
    </row>
    <row r="112">
      <c r="A112" s="13" t="inlineStr">
        <is>
          <t>market for transport, freight, lorry, unspecified</t>
        </is>
      </c>
      <c r="B112" s="2" t="n">
        <v>119.0000058325584</v>
      </c>
      <c r="C112" t="inlineStr">
        <is>
          <t>RER</t>
        </is>
      </c>
      <c r="D112" t="inlineStr">
        <is>
          <t>ton kilometer</t>
        </is>
      </c>
      <c r="F112" t="inlineStr">
        <is>
          <t>technosphere</t>
        </is>
      </c>
      <c r="H112" s="13" t="inlineStr">
        <is>
          <t>transport, freight, lorry, unspecified</t>
        </is>
      </c>
    </row>
    <row r="113">
      <c r="A113" s="13" t="inlineStr">
        <is>
          <t>transport, freight, sea, container ship</t>
        </is>
      </c>
      <c r="B113" s="2" t="n">
        <v>1892.100092737679</v>
      </c>
      <c r="C113" t="inlineStr">
        <is>
          <t>GLO</t>
        </is>
      </c>
      <c r="D113" t="inlineStr">
        <is>
          <t>ton kilometer</t>
        </is>
      </c>
      <c r="F113" t="inlineStr">
        <is>
          <t>technosphere</t>
        </is>
      </c>
      <c r="H113" s="13" t="inlineStr">
        <is>
          <t>transport, freight, sea, container ship</t>
        </is>
      </c>
    </row>
    <row r="114"/>
    <row r="115"/>
    <row r="116" ht="16" customHeight="1">
      <c r="A116" s="10" t="inlineStr">
        <is>
          <t>Activity</t>
        </is>
      </c>
      <c r="B116" s="8" t="inlineStr">
        <is>
          <t>transport, Motorbike, gasoline, 4-11kW, EURO-3</t>
        </is>
      </c>
    </row>
    <row r="117">
      <c r="A117" t="inlineStr">
        <is>
          <t>location</t>
        </is>
      </c>
      <c r="B117" t="inlineStr">
        <is>
          <t>CH</t>
        </is>
      </c>
    </row>
    <row r="118">
      <c r="A118" t="inlineStr">
        <is>
          <t>vehicle</t>
        </is>
      </c>
      <c r="B118" t="inlineStr">
        <is>
          <t>Motorbike, gasoline, 4-11kW, EURO-3</t>
        </is>
      </c>
    </row>
    <row r="119">
      <c r="A119" t="inlineStr">
        <is>
          <t>size</t>
        </is>
      </c>
    </row>
    <row r="120">
      <c r="A120" t="inlineStr">
        <is>
          <t>year</t>
        </is>
      </c>
      <c r="B120" t="n">
        <v>2006</v>
      </c>
    </row>
    <row r="121">
      <c r="A121" t="inlineStr">
        <is>
          <t>full name</t>
        </is>
      </c>
      <c r="B121" t="inlineStr">
        <is>
          <t>Motorbike, gasoline, 4-11kW, EURO-3 - 2006 - CH</t>
        </is>
      </c>
    </row>
    <row r="122">
      <c r="A122" t="inlineStr">
        <is>
          <t>reference product</t>
        </is>
      </c>
      <c r="B122" t="inlineStr">
        <is>
          <t>transport, Motorbike, gasoline, 4-11kW, EURO-3</t>
        </is>
      </c>
    </row>
    <row r="123">
      <c r="A123" t="inlineStr">
        <is>
          <t>type</t>
        </is>
      </c>
      <c r="B123" t="inlineStr">
        <is>
          <t>process</t>
        </is>
      </c>
    </row>
    <row r="124">
      <c r="A124" t="inlineStr">
        <is>
          <t>unit</t>
        </is>
      </c>
      <c r="B124" t="inlineStr">
        <is>
          <t>kilometer</t>
        </is>
      </c>
    </row>
    <row r="125">
      <c r="A125" t="inlineStr">
        <is>
          <t>source</t>
        </is>
      </c>
      <c r="B125" t="inlineStr">
        <is>
          <t>Sacchi R., Bauer C. Life cycle inventories for on-road vehicles. Paul Scherrer Institut, 2021.</t>
        </is>
      </c>
    </row>
    <row r="126">
      <c r="A126" t="inlineStr">
        <is>
          <t>lifetime</t>
        </is>
      </c>
      <c r="B126" t="n">
        <v>25000</v>
      </c>
    </row>
    <row r="127">
      <c r="A127" t="inlineStr">
        <is>
          <t>passengers</t>
        </is>
      </c>
      <c r="B127" t="n">
        <v>1.1</v>
      </c>
    </row>
    <row r="128">
      <c r="A128" t="inlineStr">
        <is>
          <t>service</t>
        </is>
      </c>
      <c r="B128" t="n">
        <v>1</v>
      </c>
    </row>
    <row r="129">
      <c r="A129" t="inlineStr">
        <is>
          <t>battery replacement</t>
        </is>
      </c>
      <c r="B129" t="n">
        <v>0</v>
      </c>
    </row>
    <row r="130">
      <c r="A130" t="inlineStr">
        <is>
          <t>annual kilometers</t>
        </is>
      </c>
      <c r="B130" t="n">
        <v>1776</v>
      </c>
    </row>
    <row r="131">
      <c r="A131" t="inlineStr">
        <is>
          <t>curb mass</t>
        </is>
      </c>
      <c r="B131" s="2" t="n">
        <v>122.2716971805749</v>
      </c>
    </row>
    <row r="132">
      <c r="A132" t="inlineStr">
        <is>
          <t>power</t>
        </is>
      </c>
      <c r="B132" t="n">
        <v>9</v>
      </c>
    </row>
    <row r="133">
      <c r="A133" t="inlineStr">
        <is>
          <t>battery mass</t>
        </is>
      </c>
    </row>
    <row r="134">
      <c r="A134" t="inlineStr">
        <is>
          <t>electricity, low voltage</t>
        </is>
      </c>
      <c r="B134" t="n">
        <v>0</v>
      </c>
    </row>
    <row r="135">
      <c r="A135" t="inlineStr">
        <is>
          <t>tank capacity</t>
        </is>
      </c>
      <c r="B135" s="2" t="n">
        <v>79.875</v>
      </c>
    </row>
    <row r="136">
      <c r="A136" t="inlineStr">
        <is>
          <t>fuel mass</t>
        </is>
      </c>
      <c r="B136" t="n">
        <v>6.75</v>
      </c>
    </row>
    <row r="137">
      <c r="A137" t="inlineStr">
        <is>
          <t>range</t>
        </is>
      </c>
      <c r="B137" s="2" t="n">
        <v>280.2412440389083</v>
      </c>
    </row>
    <row r="138">
      <c r="A138" t="inlineStr">
        <is>
          <t>emission standard</t>
        </is>
      </c>
      <c r="B138" t="inlineStr">
        <is>
          <t>EURO-3</t>
        </is>
      </c>
    </row>
    <row r="139">
      <c r="A139" t="inlineStr">
        <is>
          <t>Glider lightweighting</t>
        </is>
      </c>
      <c r="B139" s="6" t="n">
        <v>-0.05</v>
      </c>
    </row>
    <row r="140">
      <c r="A140" t="inlineStr">
        <is>
          <t>comment</t>
        </is>
      </c>
      <c r="B140" t="inlineStr">
        <is>
          <t>Power: 9 kW. Lifetime: 25000 km. Annual kilometers: 1776 km. Number of passengers: 1.1. Curb mass: 122.3 kg. Lightweighting of glider: -5%. Emission standard: EURO-3. Service visits throughout lifetime: 1. Range: 280 km. Fuel tank capacity: 79.9 kWh. Fuel mass: 6.8 kg. Documentation: Life-cycle inventories for on-road vehicles, Sacchi R. (PSI), Bauer C. (PSI), 2021. Sacchi R., Bauer C. Life cycle inventories for on-road vehicles. Paul Scherrer Institut, 2021.</t>
        </is>
      </c>
    </row>
    <row r="141" ht="16" customHeight="1">
      <c r="A141" s="10" t="inlineStr">
        <is>
          <t>Exchanges</t>
        </is>
      </c>
    </row>
    <row r="142">
      <c r="A142" t="inlineStr">
        <is>
          <t>name</t>
        </is>
      </c>
      <c r="B142" t="inlineStr">
        <is>
          <t>amount</t>
        </is>
      </c>
      <c r="C142" t="inlineStr">
        <is>
          <t>location</t>
        </is>
      </c>
      <c r="D142" t="inlineStr">
        <is>
          <t>unit</t>
        </is>
      </c>
      <c r="E142" t="inlineStr">
        <is>
          <t>categories</t>
        </is>
      </c>
      <c r="F142" t="inlineStr">
        <is>
          <t>type</t>
        </is>
      </c>
      <c r="G142" t="inlineStr">
        <is>
          <t>comment</t>
        </is>
      </c>
      <c r="H142" t="inlineStr">
        <is>
          <t>reference product</t>
        </is>
      </c>
    </row>
    <row r="143">
      <c r="A143" t="inlineStr">
        <is>
          <t>transport, Motorbike, gasoline, 4-11kW, EURO-3</t>
        </is>
      </c>
      <c r="B143" t="n">
        <v>1</v>
      </c>
      <c r="C143" t="inlineStr">
        <is>
          <t>CH</t>
        </is>
      </c>
      <c r="D143" t="inlineStr">
        <is>
          <t>kilometer</t>
        </is>
      </c>
      <c r="F143" t="inlineStr">
        <is>
          <t>production</t>
        </is>
      </c>
      <c r="H143" t="inlineStr">
        <is>
          <t>transport, Motorbike, gasoline, 4-11kW, EURO-3</t>
        </is>
      </c>
    </row>
    <row r="144">
      <c r="A144" t="inlineStr">
        <is>
          <t>Motorbike, gasoline, 4-11kW, EURO-3</t>
        </is>
      </c>
      <c r="B144" s="7" t="n">
        <v>4e-05</v>
      </c>
      <c r="C144" t="inlineStr">
        <is>
          <t>CH</t>
        </is>
      </c>
      <c r="D144" t="inlineStr">
        <is>
          <t>unit</t>
        </is>
      </c>
      <c r="F144" t="inlineStr">
        <is>
          <t>technosphere</t>
        </is>
      </c>
      <c r="H144" t="inlineStr">
        <is>
          <t>Motorbike, gasoline, 4-11kW, EURO-3</t>
        </is>
      </c>
    </row>
    <row r="145">
      <c r="A145" t="inlineStr">
        <is>
          <t>road construction</t>
        </is>
      </c>
      <c r="B145" s="7" t="n">
        <v>0.0001131844013859687</v>
      </c>
      <c r="C145" t="inlineStr">
        <is>
          <t>CH</t>
        </is>
      </c>
      <c r="D145" t="inlineStr">
        <is>
          <t>meter-year</t>
        </is>
      </c>
      <c r="F145" t="inlineStr">
        <is>
          <t>technosphere</t>
        </is>
      </c>
      <c r="G145" t="inlineStr">
        <is>
          <t>Road/track use [m*year/vkm or pkm]</t>
        </is>
      </c>
      <c r="H145" t="inlineStr">
        <is>
          <t>road</t>
        </is>
      </c>
    </row>
    <row r="146">
      <c r="A146" t="inlineStr">
        <is>
          <t>road maintenance</t>
        </is>
      </c>
      <c r="B146" s="7" t="n">
        <v>0.00129</v>
      </c>
      <c r="C146" t="inlineStr">
        <is>
          <t>CH</t>
        </is>
      </c>
      <c r="D146" t="inlineStr">
        <is>
          <t>meter-year</t>
        </is>
      </c>
      <c r="F146" t="inlineStr">
        <is>
          <t>technosphere</t>
        </is>
      </c>
      <c r="G146" t="inlineStr">
        <is>
          <t>Road maintenance [m*year/vkm]</t>
        </is>
      </c>
      <c r="H146" t="inlineStr">
        <is>
          <t>road maintenance</t>
        </is>
      </c>
    </row>
    <row r="147">
      <c r="A147" t="inlineStr">
        <is>
          <t>maintenance, motor scooter</t>
        </is>
      </c>
      <c r="B147" s="7" t="n">
        <v>4e-05</v>
      </c>
      <c r="C147" t="inlineStr">
        <is>
          <t>CH</t>
        </is>
      </c>
      <c r="D147" t="inlineStr">
        <is>
          <t>unit</t>
        </is>
      </c>
      <c r="F147" t="inlineStr">
        <is>
          <t>technosphere</t>
        </is>
      </c>
      <c r="G147" t="inlineStr">
        <is>
          <t>Servicing [unit]</t>
        </is>
      </c>
      <c r="H147" t="inlineStr">
        <is>
          <t>maintenance, motor scooter</t>
        </is>
      </c>
    </row>
    <row r="148">
      <c r="A148" t="inlineStr">
        <is>
          <t>fuel supply for gasoline vehicles</t>
        </is>
      </c>
      <c r="B148" s="7" t="n">
        <v>0.02408639036394956</v>
      </c>
      <c r="C148" t="inlineStr">
        <is>
          <t>CH</t>
        </is>
      </c>
      <c r="D148" t="inlineStr">
        <is>
          <t>kilogram</t>
        </is>
      </c>
      <c r="F148" t="inlineStr">
        <is>
          <t>technosphere</t>
        </is>
      </c>
      <c r="G148" t="inlineStr">
        <is>
          <t>Gasoline consumption [MJ/km]</t>
        </is>
      </c>
      <c r="H148" t="inlineStr">
        <is>
          <t>gasoline blend</t>
        </is>
      </c>
    </row>
    <row r="149">
      <c r="A149" t="inlineStr">
        <is>
          <t>Carbon dioxide, fossil</t>
        </is>
      </c>
      <c r="B149" s="11" t="n">
        <v>0.07472369055388801</v>
      </c>
      <c r="D149" t="inlineStr">
        <is>
          <t>kilogram</t>
        </is>
      </c>
      <c r="E149" t="inlineStr">
        <is>
          <t>air::urban air close to ground</t>
        </is>
      </c>
      <c r="F149" t="inlineStr">
        <is>
          <t>biosphere</t>
        </is>
      </c>
      <c r="G149" t="inlineStr">
        <is>
          <t>CO2</t>
        </is>
      </c>
    </row>
    <row r="150">
      <c r="A150" t="inlineStr">
        <is>
          <t>Carbon dioxide, from soil or biomass stock</t>
        </is>
      </c>
      <c r="B150" s="11" t="n">
        <v>0.0009075751889136195</v>
      </c>
      <c r="D150" t="inlineStr">
        <is>
          <t>kilogram</t>
        </is>
      </c>
      <c r="E150" t="inlineStr">
        <is>
          <t>air::urban air close to ground</t>
        </is>
      </c>
      <c r="F150" t="inlineStr">
        <is>
          <t>biosphere</t>
        </is>
      </c>
      <c r="G150" t="inlineStr">
        <is>
          <t>CO2, bio</t>
        </is>
      </c>
    </row>
    <row r="151">
      <c r="A151" t="inlineStr">
        <is>
          <t>Sulfur dioxide</t>
        </is>
      </c>
      <c r="B151" s="7" t="n">
        <v>3.85382245823193e-07</v>
      </c>
      <c r="D151" t="inlineStr">
        <is>
          <t>kilogram</t>
        </is>
      </c>
      <c r="E151" t="inlineStr">
        <is>
          <t>air::urban air close to ground</t>
        </is>
      </c>
      <c r="F151" t="inlineStr">
        <is>
          <t>biosphere</t>
        </is>
      </c>
      <c r="G151" t="inlineStr">
        <is>
          <t>SO2</t>
        </is>
      </c>
    </row>
    <row r="152">
      <c r="A152" t="inlineStr">
        <is>
          <t>Benzene</t>
        </is>
      </c>
      <c r="B152" s="7" t="n">
        <v>3.652970416900432e-06</v>
      </c>
      <c r="D152" t="inlineStr">
        <is>
          <t>kilogram</t>
        </is>
      </c>
      <c r="E152" t="inlineStr">
        <is>
          <t>air::urban air close to ground</t>
        </is>
      </c>
      <c r="F152" t="inlineStr">
        <is>
          <t>biosphere</t>
        </is>
      </c>
      <c r="G152" t="inlineStr">
        <is>
          <t>Benzene</t>
        </is>
      </c>
    </row>
    <row r="153">
      <c r="A153" t="inlineStr">
        <is>
          <t>Methane, fossil</t>
        </is>
      </c>
      <c r="B153" s="7" t="n">
        <v>5.014388539491457e-05</v>
      </c>
      <c r="D153" t="inlineStr">
        <is>
          <t>kilogram</t>
        </is>
      </c>
      <c r="E153" t="inlineStr">
        <is>
          <t>air::urban air close to ground</t>
        </is>
      </c>
      <c r="F153" t="inlineStr">
        <is>
          <t>biosphere</t>
        </is>
      </c>
      <c r="G153" t="inlineStr">
        <is>
          <t>CH4</t>
        </is>
      </c>
    </row>
    <row r="154">
      <c r="A154" t="inlineStr">
        <is>
          <t>Carbon monoxide, fossil</t>
        </is>
      </c>
      <c r="B154" s="7" t="n">
        <v>0.0007025003055941112</v>
      </c>
      <c r="D154" t="inlineStr">
        <is>
          <t>kilogram</t>
        </is>
      </c>
      <c r="E154" t="inlineStr">
        <is>
          <t>air::urban air close to ground</t>
        </is>
      </c>
      <c r="F154" t="inlineStr">
        <is>
          <t>biosphere</t>
        </is>
      </c>
      <c r="G154" t="inlineStr">
        <is>
          <t>CO</t>
        </is>
      </c>
    </row>
    <row r="155">
      <c r="A155" t="inlineStr">
        <is>
          <t>Dinitrogen monoxide</t>
        </is>
      </c>
      <c r="B155" s="7" t="n">
        <v>1.790853049818378e-06</v>
      </c>
      <c r="D155" t="inlineStr">
        <is>
          <t>kilogram</t>
        </is>
      </c>
      <c r="E155" t="inlineStr">
        <is>
          <t>air::urban air close to ground</t>
        </is>
      </c>
      <c r="F155" t="inlineStr">
        <is>
          <t>biosphere</t>
        </is>
      </c>
      <c r="G155" t="inlineStr">
        <is>
          <t>N2O</t>
        </is>
      </c>
    </row>
    <row r="156">
      <c r="A156" t="inlineStr">
        <is>
          <t>Ammonia</t>
        </is>
      </c>
      <c r="B156" s="7" t="n">
        <v>1.790853049818378e-06</v>
      </c>
      <c r="D156" t="inlineStr">
        <is>
          <t>kilogram</t>
        </is>
      </c>
      <c r="E156" t="inlineStr">
        <is>
          <t>air::urban air close to ground</t>
        </is>
      </c>
      <c r="F156" t="inlineStr">
        <is>
          <t>biosphere</t>
        </is>
      </c>
      <c r="G156" t="inlineStr">
        <is>
          <t>NH3</t>
        </is>
      </c>
    </row>
    <row r="157">
      <c r="A157" t="inlineStr">
        <is>
          <t>Nitrogen oxides</t>
        </is>
      </c>
      <c r="B157" s="7" t="n">
        <v>9.553608805937841e-05</v>
      </c>
      <c r="D157" t="inlineStr">
        <is>
          <t>kilogram</t>
        </is>
      </c>
      <c r="E157" t="inlineStr">
        <is>
          <t>air::urban air close to ground</t>
        </is>
      </c>
      <c r="F157" t="inlineStr">
        <is>
          <t>biosphere</t>
        </is>
      </c>
      <c r="G157" t="inlineStr">
        <is>
          <t>NOx</t>
        </is>
      </c>
    </row>
    <row r="158">
      <c r="A158" t="inlineStr">
        <is>
          <t>Particulates, &lt; 2.5 um</t>
        </is>
      </c>
      <c r="B158" s="7" t="n">
        <v>4.477132624545944e-06</v>
      </c>
      <c r="D158" t="inlineStr">
        <is>
          <t>kilogram</t>
        </is>
      </c>
      <c r="E158" t="inlineStr">
        <is>
          <t>air::urban air close to ground</t>
        </is>
      </c>
      <c r="F158" t="inlineStr">
        <is>
          <t>biosphere</t>
        </is>
      </c>
      <c r="G158" t="inlineStr">
        <is>
          <t>PM2.5</t>
        </is>
      </c>
    </row>
    <row r="159">
      <c r="A159" t="inlineStr">
        <is>
          <t>NMVOC, non-methane volatile organic compounds, unspecified origin</t>
        </is>
      </c>
      <c r="B159" s="7" t="n">
        <v>2.945817854912221e-05</v>
      </c>
      <c r="D159" t="inlineStr">
        <is>
          <t>kilogram</t>
        </is>
      </c>
      <c r="E159" t="inlineStr">
        <is>
          <t>air::urban air close to ground</t>
        </is>
      </c>
      <c r="F159" t="inlineStr">
        <is>
          <t>biosphere</t>
        </is>
      </c>
      <c r="G159" t="inlineStr">
        <is>
          <t>NMVOC</t>
        </is>
      </c>
    </row>
    <row r="160">
      <c r="A160" t="inlineStr">
        <is>
          <t>Ethane</t>
        </is>
      </c>
      <c r="B160" s="7" t="n">
        <v>2.077179256668873e-06</v>
      </c>
      <c r="D160" t="inlineStr">
        <is>
          <t>kilogram</t>
        </is>
      </c>
      <c r="E160" t="inlineStr">
        <is>
          <t>air::urban air close to ground</t>
        </is>
      </c>
      <c r="F160" t="inlineStr">
        <is>
          <t>biosphere</t>
        </is>
      </c>
      <c r="G160" t="inlineStr">
        <is>
          <t>Ethane</t>
        </is>
      </c>
    </row>
    <row r="161">
      <c r="A161" t="inlineStr">
        <is>
          <t>Propane</t>
        </is>
      </c>
      <c r="B161" s="7" t="n">
        <v>4.232496917977328e-07</v>
      </c>
      <c r="D161" t="inlineStr">
        <is>
          <t>kilogram</t>
        </is>
      </c>
      <c r="E161" t="inlineStr">
        <is>
          <t>air::urban air close to ground</t>
        </is>
      </c>
      <c r="F161" t="inlineStr">
        <is>
          <t>biosphere</t>
        </is>
      </c>
      <c r="G161" t="inlineStr">
        <is>
          <t>Propane</t>
        </is>
      </c>
    </row>
    <row r="162">
      <c r="A162" t="inlineStr">
        <is>
          <t>Butane</t>
        </is>
      </c>
      <c r="B162" s="7" t="n">
        <v>3.412043669261723e-06</v>
      </c>
      <c r="D162" t="inlineStr">
        <is>
          <t>kilogram</t>
        </is>
      </c>
      <c r="E162" t="inlineStr">
        <is>
          <t>air::urban air close to ground</t>
        </is>
      </c>
      <c r="F162" t="inlineStr">
        <is>
          <t>biosphere</t>
        </is>
      </c>
      <c r="G162" t="inlineStr">
        <is>
          <t>Butane</t>
        </is>
      </c>
    </row>
    <row r="163">
      <c r="A163" t="inlineStr">
        <is>
          <t>Pentane</t>
        </is>
      </c>
      <c r="B163" s="7" t="n">
        <v>1.399979749792501e-06</v>
      </c>
      <c r="D163" t="inlineStr">
        <is>
          <t>kilogram</t>
        </is>
      </c>
      <c r="E163" t="inlineStr">
        <is>
          <t>air::urban air close to ground</t>
        </is>
      </c>
      <c r="F163" t="inlineStr">
        <is>
          <t>biosphere</t>
        </is>
      </c>
      <c r="G163" t="inlineStr">
        <is>
          <t>Pentane</t>
        </is>
      </c>
    </row>
    <row r="164">
      <c r="A164" t="inlineStr">
        <is>
          <t>Hexane</t>
        </is>
      </c>
      <c r="B164" s="7" t="n">
        <v>1.048356928914384e-06</v>
      </c>
      <c r="D164" t="inlineStr">
        <is>
          <t>kilogram</t>
        </is>
      </c>
      <c r="E164" t="inlineStr">
        <is>
          <t>air::urban air close to ground</t>
        </is>
      </c>
      <c r="F164" t="inlineStr">
        <is>
          <t>biosphere</t>
        </is>
      </c>
      <c r="G164" t="inlineStr">
        <is>
          <t>Hexane</t>
        </is>
      </c>
    </row>
    <row r="165">
      <c r="A165" t="inlineStr">
        <is>
          <t>Cyclohexane</t>
        </is>
      </c>
      <c r="B165" s="7" t="n">
        <v>7.423148440760237e-07</v>
      </c>
      <c r="D165" t="inlineStr">
        <is>
          <t>kilogram</t>
        </is>
      </c>
      <c r="E165" t="inlineStr">
        <is>
          <t>air::urban air close to ground</t>
        </is>
      </c>
      <c r="F165" t="inlineStr">
        <is>
          <t>biosphere</t>
        </is>
      </c>
      <c r="G165" t="inlineStr">
        <is>
          <t>Cyclohexane</t>
        </is>
      </c>
    </row>
    <row r="166">
      <c r="A166" t="inlineStr">
        <is>
          <t>Heptane</t>
        </is>
      </c>
      <c r="B166" s="7" t="n">
        <v>4.818534952774189e-07</v>
      </c>
      <c r="D166" t="inlineStr">
        <is>
          <t>kilogram</t>
        </is>
      </c>
      <c r="E166" t="inlineStr">
        <is>
          <t>air::urban air close to ground</t>
        </is>
      </c>
      <c r="F166" t="inlineStr">
        <is>
          <t>biosphere</t>
        </is>
      </c>
      <c r="G166" t="inlineStr">
        <is>
          <t>Heptane</t>
        </is>
      </c>
    </row>
    <row r="167">
      <c r="A167" t="inlineStr">
        <is>
          <t>Ethene</t>
        </is>
      </c>
      <c r="B167" s="7" t="n">
        <v>4.753419615574537e-06</v>
      </c>
      <c r="D167" t="inlineStr">
        <is>
          <t>kilogram</t>
        </is>
      </c>
      <c r="E167" t="inlineStr">
        <is>
          <t>air::urban air close to ground</t>
        </is>
      </c>
      <c r="F167" t="inlineStr">
        <is>
          <t>biosphere</t>
        </is>
      </c>
      <c r="G167" t="inlineStr">
        <is>
          <t>Ethene</t>
        </is>
      </c>
    </row>
    <row r="168">
      <c r="A168" t="inlineStr">
        <is>
          <t>Propene</t>
        </is>
      </c>
      <c r="B168" s="7" t="n">
        <v>2.487405881026676e-06</v>
      </c>
      <c r="D168" t="inlineStr">
        <is>
          <t>kilogram</t>
        </is>
      </c>
      <c r="E168" t="inlineStr">
        <is>
          <t>air::urban air close to ground</t>
        </is>
      </c>
      <c r="F168" t="inlineStr">
        <is>
          <t>biosphere</t>
        </is>
      </c>
      <c r="G168" t="inlineStr">
        <is>
          <t>Propene</t>
        </is>
      </c>
    </row>
    <row r="169">
      <c r="A169" t="inlineStr">
        <is>
          <t>1-Pentene</t>
        </is>
      </c>
      <c r="B169" s="7" t="n">
        <v>7.162687091961634e-08</v>
      </c>
      <c r="D169" t="inlineStr">
        <is>
          <t>kilogram</t>
        </is>
      </c>
      <c r="E169" t="inlineStr">
        <is>
          <t>air::urban air close to ground</t>
        </is>
      </c>
      <c r="F169" t="inlineStr">
        <is>
          <t>biosphere</t>
        </is>
      </c>
      <c r="G169" t="inlineStr">
        <is>
          <t>1-Pentene</t>
        </is>
      </c>
    </row>
    <row r="170">
      <c r="A170" t="inlineStr">
        <is>
          <t>Toluene</t>
        </is>
      </c>
      <c r="B170" s="7" t="n">
        <v>7.149664024521701e-06</v>
      </c>
      <c r="D170" t="inlineStr">
        <is>
          <t>kilogram</t>
        </is>
      </c>
      <c r="E170" t="inlineStr">
        <is>
          <t>air::urban air close to ground</t>
        </is>
      </c>
      <c r="F170" t="inlineStr">
        <is>
          <t>biosphere</t>
        </is>
      </c>
      <c r="G170" t="inlineStr">
        <is>
          <t>Toluene</t>
        </is>
      </c>
    </row>
    <row r="171">
      <c r="A171" t="inlineStr">
        <is>
          <t>m-Xylene</t>
        </is>
      </c>
      <c r="B171" s="7" t="n">
        <v>3.53576280994106e-06</v>
      </c>
      <c r="D171" t="inlineStr">
        <is>
          <t>kilogram</t>
        </is>
      </c>
      <c r="E171" t="inlineStr">
        <is>
          <t>air::urban air close to ground</t>
        </is>
      </c>
      <c r="F171" t="inlineStr">
        <is>
          <t>biosphere</t>
        </is>
      </c>
      <c r="G171" t="inlineStr">
        <is>
          <t>m-Xylene</t>
        </is>
      </c>
    </row>
    <row r="172">
      <c r="A172" t="inlineStr">
        <is>
          <t>o-Xylene</t>
        </is>
      </c>
      <c r="B172" s="7" t="n">
        <v>1.471606620712117e-06</v>
      </c>
      <c r="D172" t="inlineStr">
        <is>
          <t>kilogram</t>
        </is>
      </c>
      <c r="E172" t="inlineStr">
        <is>
          <t>air::urban air close to ground</t>
        </is>
      </c>
      <c r="F172" t="inlineStr">
        <is>
          <t>biosphere</t>
        </is>
      </c>
      <c r="G172" t="inlineStr">
        <is>
          <t>o-Xylene</t>
        </is>
      </c>
    </row>
    <row r="173">
      <c r="A173" t="inlineStr">
        <is>
          <t>Formaldehyde</t>
        </is>
      </c>
      <c r="B173" s="7" t="n">
        <v>1.10696073239407e-06</v>
      </c>
      <c r="D173" t="inlineStr">
        <is>
          <t>kilogram</t>
        </is>
      </c>
      <c r="E173" t="inlineStr">
        <is>
          <t>air::urban air close to ground</t>
        </is>
      </c>
      <c r="F173" t="inlineStr">
        <is>
          <t>biosphere</t>
        </is>
      </c>
      <c r="G173" t="inlineStr">
        <is>
          <t>Formaldehyde</t>
        </is>
      </c>
    </row>
    <row r="174">
      <c r="A174" t="inlineStr">
        <is>
          <t>Acetaldehyde</t>
        </is>
      </c>
      <c r="B174" s="7" t="n">
        <v>4.88365028997384e-07</v>
      </c>
      <c r="D174" t="inlineStr">
        <is>
          <t>kilogram</t>
        </is>
      </c>
      <c r="E174" t="inlineStr">
        <is>
          <t>air::urban air close to ground</t>
        </is>
      </c>
      <c r="F174" t="inlineStr">
        <is>
          <t>biosphere</t>
        </is>
      </c>
      <c r="G174" t="inlineStr">
        <is>
          <t>Acetaldehyde</t>
        </is>
      </c>
    </row>
    <row r="175">
      <c r="A175" t="inlineStr">
        <is>
          <t>Benzaldehyde</t>
        </is>
      </c>
      <c r="B175" s="7" t="n">
        <v>1.432537418392327e-07</v>
      </c>
      <c r="D175" t="inlineStr">
        <is>
          <t>kilogram</t>
        </is>
      </c>
      <c r="E175" t="inlineStr">
        <is>
          <t>air::urban air close to ground</t>
        </is>
      </c>
      <c r="F175" t="inlineStr">
        <is>
          <t>biosphere</t>
        </is>
      </c>
      <c r="G175" t="inlineStr">
        <is>
          <t>Benzaldehyde</t>
        </is>
      </c>
    </row>
    <row r="176">
      <c r="A176" t="inlineStr">
        <is>
          <t>Acetone</t>
        </is>
      </c>
      <c r="B176" s="7" t="n">
        <v>3.972035569178724e-07</v>
      </c>
      <c r="D176" t="inlineStr">
        <is>
          <t>kilogram</t>
        </is>
      </c>
      <c r="E176" t="inlineStr">
        <is>
          <t>air::urban air close to ground</t>
        </is>
      </c>
      <c r="F176" t="inlineStr">
        <is>
          <t>biosphere</t>
        </is>
      </c>
      <c r="G176" t="inlineStr">
        <is>
          <t>Acetone</t>
        </is>
      </c>
    </row>
    <row r="177">
      <c r="A177" t="inlineStr">
        <is>
          <t>Methyl ethyl ketone</t>
        </is>
      </c>
      <c r="B177" s="7" t="n">
        <v>3.25576685998256e-08</v>
      </c>
      <c r="D177" t="inlineStr">
        <is>
          <t>kilogram</t>
        </is>
      </c>
      <c r="E177" t="inlineStr">
        <is>
          <t>air::urban air close to ground</t>
        </is>
      </c>
      <c r="F177" t="inlineStr">
        <is>
          <t>biosphere</t>
        </is>
      </c>
      <c r="G177" t="inlineStr">
        <is>
          <t>Methyl ethyl ketone</t>
        </is>
      </c>
    </row>
    <row r="178">
      <c r="A178" t="inlineStr">
        <is>
          <t>Acrolein</t>
        </is>
      </c>
      <c r="B178" s="7" t="n">
        <v>1.237191406793373e-07</v>
      </c>
      <c r="D178" t="inlineStr">
        <is>
          <t>kilogram</t>
        </is>
      </c>
      <c r="E178" t="inlineStr">
        <is>
          <t>air::urban air close to ground</t>
        </is>
      </c>
      <c r="F178" t="inlineStr">
        <is>
          <t>biosphere</t>
        </is>
      </c>
      <c r="G178" t="inlineStr">
        <is>
          <t>Acrolein</t>
        </is>
      </c>
    </row>
    <row r="179">
      <c r="A179" t="inlineStr">
        <is>
          <t>Styrene</t>
        </is>
      </c>
      <c r="B179" s="7" t="n">
        <v>6.576649057164771e-07</v>
      </c>
      <c r="D179" t="inlineStr">
        <is>
          <t>kilogram</t>
        </is>
      </c>
      <c r="E179" t="inlineStr">
        <is>
          <t>air::urban air close to ground</t>
        </is>
      </c>
      <c r="F179" t="inlineStr">
        <is>
          <t>biosphere</t>
        </is>
      </c>
      <c r="G179" t="inlineStr">
        <is>
          <t>Styrene</t>
        </is>
      </c>
    </row>
    <row r="180">
      <c r="A180" t="inlineStr">
        <is>
          <t>PAH, polycyclic aromatic hydrocarbons</t>
        </is>
      </c>
      <c r="B180" s="7" t="n">
        <v>8.401786349823048e-10</v>
      </c>
      <c r="D180" t="inlineStr">
        <is>
          <t>kilogram</t>
        </is>
      </c>
      <c r="E180" t="inlineStr">
        <is>
          <t>air::urban air close to ground</t>
        </is>
      </c>
      <c r="F180" t="inlineStr">
        <is>
          <t>biosphere</t>
        </is>
      </c>
      <c r="G180" t="inlineStr">
        <is>
          <t>PAHs</t>
        </is>
      </c>
    </row>
    <row r="181">
      <c r="A181" t="inlineStr">
        <is>
          <t>Arsenic</t>
        </is>
      </c>
      <c r="B181" s="7" t="n">
        <v>7.242919267088834e-12</v>
      </c>
      <c r="D181" t="inlineStr">
        <is>
          <t>kilogram</t>
        </is>
      </c>
      <c r="E181" t="inlineStr">
        <is>
          <t>air::urban air close to ground</t>
        </is>
      </c>
      <c r="F181" t="inlineStr">
        <is>
          <t>biosphere</t>
        </is>
      </c>
      <c r="G181" t="inlineStr">
        <is>
          <t>Arsenic</t>
        </is>
      </c>
    </row>
    <row r="182">
      <c r="A182" t="inlineStr">
        <is>
          <t>Selenium</t>
        </is>
      </c>
      <c r="B182" s="7" t="n">
        <v>4.828612844725889e-12</v>
      </c>
      <c r="D182" t="inlineStr">
        <is>
          <t>kilogram</t>
        </is>
      </c>
      <c r="E182" t="inlineStr">
        <is>
          <t>air::urban air close to ground</t>
        </is>
      </c>
      <c r="F182" t="inlineStr">
        <is>
          <t>biosphere</t>
        </is>
      </c>
      <c r="G182" t="inlineStr">
        <is>
          <t>Selenium</t>
        </is>
      </c>
    </row>
    <row r="183">
      <c r="A183" t="inlineStr">
        <is>
          <t>Zinc</t>
        </is>
      </c>
      <c r="B183" s="7" t="n">
        <v>5.214901872303961e-08</v>
      </c>
      <c r="D183" t="inlineStr">
        <is>
          <t>kilogram</t>
        </is>
      </c>
      <c r="E183" t="inlineStr">
        <is>
          <t>air::urban air close to ground</t>
        </is>
      </c>
      <c r="F183" t="inlineStr">
        <is>
          <t>biosphere</t>
        </is>
      </c>
      <c r="G183" t="inlineStr">
        <is>
          <t>Zinc</t>
        </is>
      </c>
    </row>
    <row r="184">
      <c r="A184" t="inlineStr">
        <is>
          <t>Copper</t>
        </is>
      </c>
      <c r="B184" s="7" t="n">
        <v>1.014008697392437e-09</v>
      </c>
      <c r="D184" t="inlineStr">
        <is>
          <t>kilogram</t>
        </is>
      </c>
      <c r="E184" t="inlineStr">
        <is>
          <t>air::urban air close to ground</t>
        </is>
      </c>
      <c r="F184" t="inlineStr">
        <is>
          <t>biosphere</t>
        </is>
      </c>
      <c r="G184" t="inlineStr">
        <is>
          <t>Copper</t>
        </is>
      </c>
    </row>
    <row r="185">
      <c r="A185" t="inlineStr">
        <is>
          <t>Nickel</t>
        </is>
      </c>
      <c r="B185" s="7" t="n">
        <v>3.138598349071828e-10</v>
      </c>
      <c r="D185" t="inlineStr">
        <is>
          <t>kilogram</t>
        </is>
      </c>
      <c r="E185" t="inlineStr">
        <is>
          <t>air::urban air close to ground</t>
        </is>
      </c>
      <c r="F185" t="inlineStr">
        <is>
          <t>biosphere</t>
        </is>
      </c>
      <c r="G185" t="inlineStr">
        <is>
          <t>Nickel</t>
        </is>
      </c>
    </row>
    <row r="186">
      <c r="A186" t="inlineStr">
        <is>
          <t>Chromium</t>
        </is>
      </c>
      <c r="B186" s="7" t="n">
        <v>3.862890275780712e-10</v>
      </c>
      <c r="D186" t="inlineStr">
        <is>
          <t>kilogram</t>
        </is>
      </c>
      <c r="E186" t="inlineStr">
        <is>
          <t>air::urban air close to ground</t>
        </is>
      </c>
      <c r="F186" t="inlineStr">
        <is>
          <t>biosphere</t>
        </is>
      </c>
      <c r="G186" t="inlineStr">
        <is>
          <t>Chromium</t>
        </is>
      </c>
    </row>
    <row r="187">
      <c r="A187" t="inlineStr">
        <is>
          <t>Chromium VI</t>
        </is>
      </c>
      <c r="B187" s="7" t="n">
        <v>7.725780551561422e-13</v>
      </c>
      <c r="D187" t="inlineStr">
        <is>
          <t>kilogram</t>
        </is>
      </c>
      <c r="E187" t="inlineStr">
        <is>
          <t>air::urban air close to ground</t>
        </is>
      </c>
      <c r="F187" t="inlineStr">
        <is>
          <t>biosphere</t>
        </is>
      </c>
      <c r="G187" t="inlineStr">
        <is>
          <t>Chromium VI</t>
        </is>
      </c>
    </row>
    <row r="188">
      <c r="A188" t="inlineStr">
        <is>
          <t>Mercury</t>
        </is>
      </c>
      <c r="B188" s="7" t="n">
        <v>2.100446587455762e-10</v>
      </c>
      <c r="D188" t="inlineStr">
        <is>
          <t>kilogram</t>
        </is>
      </c>
      <c r="E188" t="inlineStr">
        <is>
          <t>air::urban air close to ground</t>
        </is>
      </c>
      <c r="F188" t="inlineStr">
        <is>
          <t>biosphere</t>
        </is>
      </c>
      <c r="G188" t="inlineStr">
        <is>
          <t>Mercury</t>
        </is>
      </c>
    </row>
    <row r="189">
      <c r="A189" t="inlineStr">
        <is>
          <t>Cadmium</t>
        </is>
      </c>
      <c r="B189" s="7" t="n">
        <v>2.607450936151981e-10</v>
      </c>
      <c r="D189" t="inlineStr">
        <is>
          <t>kilogram</t>
        </is>
      </c>
      <c r="E189" t="inlineStr">
        <is>
          <t>air::urban air close to ground</t>
        </is>
      </c>
      <c r="F189" t="inlineStr">
        <is>
          <t>biosphere</t>
        </is>
      </c>
      <c r="G189" t="inlineStr">
        <is>
          <t>Cadmium</t>
        </is>
      </c>
    </row>
    <row r="190">
      <c r="A190" t="inlineStr">
        <is>
          <t>treatment of road wear emissions, passenger car</t>
        </is>
      </c>
      <c r="B190" s="7" t="n">
        <v>-7.594747185441163e-06</v>
      </c>
      <c r="C190" t="inlineStr">
        <is>
          <t>RER</t>
        </is>
      </c>
      <c r="D190" t="inlineStr">
        <is>
          <t>kilogram</t>
        </is>
      </c>
      <c r="F190" t="inlineStr">
        <is>
          <t>technosphere</t>
        </is>
      </c>
      <c r="G190" t="inlineStr">
        <is>
          <t>Road wear [kg/km]</t>
        </is>
      </c>
      <c r="H190" t="inlineStr">
        <is>
          <t>road wear emissions, passenger car</t>
        </is>
      </c>
    </row>
    <row r="191">
      <c r="A191" t="inlineStr">
        <is>
          <t>treatment of tyre wear emissions, passenger car</t>
        </is>
      </c>
      <c r="B191" s="7" t="n">
        <v>-5.774953692676158e-06</v>
      </c>
      <c r="C191" t="inlineStr">
        <is>
          <t>RER</t>
        </is>
      </c>
      <c r="D191" t="inlineStr">
        <is>
          <t>kilogram</t>
        </is>
      </c>
      <c r="F191" t="inlineStr">
        <is>
          <t>technosphere</t>
        </is>
      </c>
      <c r="G191" t="inlineStr">
        <is>
          <t>Tire wear [kg/km]</t>
        </is>
      </c>
      <c r="H191" t="inlineStr">
        <is>
          <t>tyre wear emissions, passenger car</t>
        </is>
      </c>
    </row>
    <row r="192">
      <c r="A192" t="inlineStr">
        <is>
          <t>treatment of brake wear emissions, passenger car</t>
        </is>
      </c>
      <c r="B192" s="7" t="n">
        <v>-4.13707271270591e-06</v>
      </c>
      <c r="C192" t="inlineStr">
        <is>
          <t>RER</t>
        </is>
      </c>
      <c r="D192" t="inlineStr">
        <is>
          <t>kilogram</t>
        </is>
      </c>
      <c r="F192" t="inlineStr">
        <is>
          <t>technosphere</t>
        </is>
      </c>
      <c r="G192" t="inlineStr">
        <is>
          <t>Brake wear [kg/km]</t>
        </is>
      </c>
      <c r="H192" t="inlineStr">
        <is>
          <t>brake wear emissions, passenger car</t>
        </is>
      </c>
    </row>
    <row r="193"/>
    <row r="194" ht="16" customHeight="1">
      <c r="A194" s="10" t="inlineStr">
        <is>
          <t>Activity</t>
        </is>
      </c>
      <c r="B194" s="8" t="inlineStr">
        <is>
          <t>transport, Motorbike, gasoline, 4-11kW, EURO-4</t>
        </is>
      </c>
    </row>
    <row r="195">
      <c r="A195" t="inlineStr">
        <is>
          <t>location</t>
        </is>
      </c>
      <c r="B195" t="inlineStr">
        <is>
          <t>CH</t>
        </is>
      </c>
    </row>
    <row r="196">
      <c r="A196" t="inlineStr">
        <is>
          <t>vehicle</t>
        </is>
      </c>
      <c r="B196" t="inlineStr">
        <is>
          <t>Motorbike, gasoline, 4-11kW, EURO-4</t>
        </is>
      </c>
    </row>
    <row r="197">
      <c r="A197" t="inlineStr">
        <is>
          <t>size</t>
        </is>
      </c>
    </row>
    <row r="198">
      <c r="A198" t="inlineStr">
        <is>
          <t>year</t>
        </is>
      </c>
      <c r="B198" t="n">
        <v>2016</v>
      </c>
    </row>
    <row r="199">
      <c r="A199" t="inlineStr">
        <is>
          <t>full name</t>
        </is>
      </c>
      <c r="B199" t="inlineStr">
        <is>
          <t>Motorbike, gasoline, 4-11kW, EURO-4 - 2016 - CH</t>
        </is>
      </c>
    </row>
    <row r="200">
      <c r="A200" t="inlineStr">
        <is>
          <t>reference product</t>
        </is>
      </c>
      <c r="B200" t="inlineStr">
        <is>
          <t>transport, Motorbike, gasoline, 4-11kW, EURO-4</t>
        </is>
      </c>
    </row>
    <row r="201">
      <c r="A201" t="inlineStr">
        <is>
          <t>type</t>
        </is>
      </c>
      <c r="B201" t="inlineStr">
        <is>
          <t>process</t>
        </is>
      </c>
    </row>
    <row r="202">
      <c r="A202" t="inlineStr">
        <is>
          <t>unit</t>
        </is>
      </c>
      <c r="B202" t="inlineStr">
        <is>
          <t>kilometer</t>
        </is>
      </c>
    </row>
    <row r="203">
      <c r="A203" t="inlineStr">
        <is>
          <t>source</t>
        </is>
      </c>
      <c r="B203" t="inlineStr">
        <is>
          <t>Sacchi R., Bauer C. Life cycle inventories for on-road vehicles. Paul Scherrer Institut, 2021.</t>
        </is>
      </c>
    </row>
    <row r="204">
      <c r="A204" t="inlineStr">
        <is>
          <t>lifetime</t>
        </is>
      </c>
      <c r="B204" t="n">
        <v>25000</v>
      </c>
    </row>
    <row r="205">
      <c r="A205" t="inlineStr">
        <is>
          <t>passengers</t>
        </is>
      </c>
      <c r="B205" t="n">
        <v>1.1</v>
      </c>
    </row>
    <row r="206">
      <c r="A206" t="inlineStr">
        <is>
          <t>service</t>
        </is>
      </c>
      <c r="B206" t="n">
        <v>1</v>
      </c>
    </row>
    <row r="207">
      <c r="A207" t="inlineStr">
        <is>
          <t>battery replacement</t>
        </is>
      </c>
      <c r="B207" t="n">
        <v>0</v>
      </c>
    </row>
    <row r="208">
      <c r="A208" t="inlineStr">
        <is>
          <t>annual kilometers</t>
        </is>
      </c>
      <c r="B208" t="n">
        <v>1776</v>
      </c>
    </row>
    <row r="209">
      <c r="A209" t="inlineStr">
        <is>
          <t>curb mass</t>
        </is>
      </c>
      <c r="B209" s="2" t="n">
        <v>120.308682371765</v>
      </c>
    </row>
    <row r="210">
      <c r="A210" t="inlineStr">
        <is>
          <t>power</t>
        </is>
      </c>
      <c r="B210" t="n">
        <v>9</v>
      </c>
    </row>
    <row r="211">
      <c r="A211" t="inlineStr">
        <is>
          <t>battery mass</t>
        </is>
      </c>
    </row>
    <row r="212">
      <c r="A212" t="inlineStr">
        <is>
          <t>electricity, low voltage</t>
        </is>
      </c>
      <c r="B212" t="n">
        <v>0</v>
      </c>
    </row>
    <row r="213">
      <c r="A213" t="inlineStr">
        <is>
          <t>tank capacity</t>
        </is>
      </c>
      <c r="B213" s="2" t="n">
        <v>79.875</v>
      </c>
    </row>
    <row r="214">
      <c r="A214" t="inlineStr">
        <is>
          <t>fuel mass</t>
        </is>
      </c>
      <c r="B214" t="n">
        <v>6.75</v>
      </c>
    </row>
    <row r="215">
      <c r="A215" t="inlineStr">
        <is>
          <t>range</t>
        </is>
      </c>
      <c r="B215" s="2" t="n">
        <v>283.0436564792974</v>
      </c>
    </row>
    <row r="216">
      <c r="A216" t="inlineStr">
        <is>
          <t>emission standard</t>
        </is>
      </c>
      <c r="B216" t="inlineStr">
        <is>
          <t>EURO-4</t>
        </is>
      </c>
    </row>
    <row r="217">
      <c r="A217" t="inlineStr">
        <is>
          <t>Glider lightweighting</t>
        </is>
      </c>
      <c r="B217" s="6" t="n">
        <v>-0.02</v>
      </c>
    </row>
    <row r="218">
      <c r="A218" t="inlineStr">
        <is>
          <t>comment</t>
        </is>
      </c>
      <c r="B218" t="inlineStr">
        <is>
          <t>Power: 9 kW. Lifetime: 25000 km. Annual kilometers: 1776 km. Number of passengers: 1.1. Curb mass: 120.3 kg. Lightweighting of glider: -2%. Emission standard: EURO-4. Service visits throughout lifetime: 1. Range: 283 km. Fuel tank capacity: 79.9 kWh. Fuel mass: 6.8 kg. Documentation: Life-cycle inventories for on-road vehicles, Sacchi R. (PSI), Bauer C. (PSI), 2021. Sacchi R., Bauer C. Life cycle inventories for on-road vehicles. Paul Scherrer Institut, 2021.</t>
        </is>
      </c>
    </row>
    <row r="219" ht="16" customHeight="1">
      <c r="A219" s="10" t="inlineStr">
        <is>
          <t>Exchanges</t>
        </is>
      </c>
    </row>
    <row r="220">
      <c r="A220" t="inlineStr">
        <is>
          <t>name</t>
        </is>
      </c>
      <c r="B220" t="inlineStr">
        <is>
          <t>amount</t>
        </is>
      </c>
      <c r="C220" t="inlineStr">
        <is>
          <t>location</t>
        </is>
      </c>
      <c r="D220" t="inlineStr">
        <is>
          <t>unit</t>
        </is>
      </c>
      <c r="E220" t="inlineStr">
        <is>
          <t>categories</t>
        </is>
      </c>
      <c r="F220" t="inlineStr">
        <is>
          <t>type</t>
        </is>
      </c>
      <c r="G220" t="inlineStr">
        <is>
          <t>comment</t>
        </is>
      </c>
      <c r="H220" t="inlineStr">
        <is>
          <t>reference product</t>
        </is>
      </c>
    </row>
    <row r="221">
      <c r="A221" t="inlineStr">
        <is>
          <t>transport, Motorbike, gasoline, 4-11kW, EURO-4</t>
        </is>
      </c>
      <c r="B221" t="n">
        <v>1</v>
      </c>
      <c r="C221" t="inlineStr">
        <is>
          <t>CH</t>
        </is>
      </c>
      <c r="D221" t="inlineStr">
        <is>
          <t>kilometer</t>
        </is>
      </c>
      <c r="F221" t="inlineStr">
        <is>
          <t>production</t>
        </is>
      </c>
      <c r="H221" t="inlineStr">
        <is>
          <t>transport, Motorbike, gasoline, 4-11kW, EURO-4</t>
        </is>
      </c>
    </row>
    <row r="222">
      <c r="A222" t="inlineStr">
        <is>
          <t>Motorbike, gasoline, 4-11kW, EURO-4</t>
        </is>
      </c>
      <c r="B222" s="7" t="n">
        <v>4e-05</v>
      </c>
      <c r="C222" t="inlineStr">
        <is>
          <t>CH</t>
        </is>
      </c>
      <c r="D222" t="inlineStr">
        <is>
          <t>unit</t>
        </is>
      </c>
      <c r="F222" t="inlineStr">
        <is>
          <t>technosphere</t>
        </is>
      </c>
      <c r="H222" t="inlineStr">
        <is>
          <t>Motorbike, gasoline, 4-11kW, EURO-4</t>
        </is>
      </c>
    </row>
    <row r="223">
      <c r="A223" t="inlineStr">
        <is>
          <t>road construction</t>
        </is>
      </c>
      <c r="B223" s="7" t="n">
        <v>0.0001121302624336378</v>
      </c>
      <c r="C223" t="inlineStr">
        <is>
          <t>CH</t>
        </is>
      </c>
      <c r="D223" t="inlineStr">
        <is>
          <t>meter-year</t>
        </is>
      </c>
      <c r="F223" t="inlineStr">
        <is>
          <t>technosphere</t>
        </is>
      </c>
      <c r="G223" t="inlineStr">
        <is>
          <t>Road/track use [m*year/vkm or pkm]</t>
        </is>
      </c>
      <c r="H223" t="inlineStr">
        <is>
          <t>road</t>
        </is>
      </c>
    </row>
    <row r="224">
      <c r="A224" t="inlineStr">
        <is>
          <t>road maintenance</t>
        </is>
      </c>
      <c r="B224" s="7" t="n">
        <v>0.00129</v>
      </c>
      <c r="C224" t="inlineStr">
        <is>
          <t>CH</t>
        </is>
      </c>
      <c r="D224" t="inlineStr">
        <is>
          <t>meter-year</t>
        </is>
      </c>
      <c r="F224" t="inlineStr">
        <is>
          <t>technosphere</t>
        </is>
      </c>
      <c r="G224" t="inlineStr">
        <is>
          <t>Road maintenance [m*year/vkm]</t>
        </is>
      </c>
      <c r="H224" t="inlineStr">
        <is>
          <t>road maintenance</t>
        </is>
      </c>
    </row>
    <row r="225">
      <c r="A225" t="inlineStr">
        <is>
          <t>maintenance, motor scooter</t>
        </is>
      </c>
      <c r="B225" s="7" t="n">
        <v>4e-05</v>
      </c>
      <c r="C225" t="inlineStr">
        <is>
          <t>CH</t>
        </is>
      </c>
      <c r="D225" t="inlineStr">
        <is>
          <t>unit</t>
        </is>
      </c>
      <c r="F225" t="inlineStr">
        <is>
          <t>technosphere</t>
        </is>
      </c>
      <c r="G225" t="inlineStr">
        <is>
          <t>Servicing [unit]</t>
        </is>
      </c>
      <c r="H225" t="inlineStr">
        <is>
          <t>maintenance, motor scooter</t>
        </is>
      </c>
    </row>
    <row r="226">
      <c r="A226" t="inlineStr">
        <is>
          <t>fuel supply for gasoline vehicles</t>
        </is>
      </c>
      <c r="B226" s="7" t="n">
        <v>0.02384791125143521</v>
      </c>
      <c r="C226" t="inlineStr">
        <is>
          <t>CH</t>
        </is>
      </c>
      <c r="D226" t="inlineStr">
        <is>
          <t>kilogram</t>
        </is>
      </c>
      <c r="F226" t="inlineStr">
        <is>
          <t>technosphere</t>
        </is>
      </c>
      <c r="G226" t="inlineStr">
        <is>
          <t>Gasoline consumption [MJ/km]</t>
        </is>
      </c>
      <c r="H226" t="inlineStr">
        <is>
          <t>gasoline blend</t>
        </is>
      </c>
    </row>
    <row r="227">
      <c r="A227" t="inlineStr">
        <is>
          <t>Carbon dioxide, fossil</t>
        </is>
      </c>
      <c r="B227" s="11" t="n">
        <v>0.07398385203355248</v>
      </c>
      <c r="D227" t="inlineStr">
        <is>
          <t>kilogram</t>
        </is>
      </c>
      <c r="E227" t="inlineStr">
        <is>
          <t>air::urban air close to ground</t>
        </is>
      </c>
      <c r="F227" t="inlineStr">
        <is>
          <t>biosphere</t>
        </is>
      </c>
      <c r="G227" t="inlineStr">
        <is>
          <t>CO2</t>
        </is>
      </c>
    </row>
    <row r="228">
      <c r="A228" t="inlineStr">
        <is>
          <t>Carbon dioxide, from soil or biomass stock</t>
        </is>
      </c>
      <c r="B228" s="11" t="n">
        <v>0.0008985892959540788</v>
      </c>
      <c r="D228" t="inlineStr">
        <is>
          <t>kilogram</t>
        </is>
      </c>
      <c r="E228" t="inlineStr">
        <is>
          <t>air::urban air close to ground</t>
        </is>
      </c>
      <c r="F228" t="inlineStr">
        <is>
          <t>biosphere</t>
        </is>
      </c>
      <c r="G228" t="inlineStr">
        <is>
          <t>CO2, bio</t>
        </is>
      </c>
    </row>
    <row r="229">
      <c r="A229" t="inlineStr">
        <is>
          <t>Sulfur dioxide</t>
        </is>
      </c>
      <c r="B229" s="7" t="n">
        <v>3.815665800229634e-07</v>
      </c>
      <c r="D229" t="inlineStr">
        <is>
          <t>kilogram</t>
        </is>
      </c>
      <c r="E229" t="inlineStr">
        <is>
          <t>air::urban air close to ground</t>
        </is>
      </c>
      <c r="F229" t="inlineStr">
        <is>
          <t>biosphere</t>
        </is>
      </c>
      <c r="G229" t="inlineStr">
        <is>
          <t>SO2</t>
        </is>
      </c>
    </row>
    <row r="230">
      <c r="A230" t="inlineStr">
        <is>
          <t>Benzene</t>
        </is>
      </c>
      <c r="B230" s="7" t="n">
        <v>5.165745283622559e-06</v>
      </c>
      <c r="D230" t="inlineStr">
        <is>
          <t>kilogram</t>
        </is>
      </c>
      <c r="E230" t="inlineStr">
        <is>
          <t>air::urban air close to ground</t>
        </is>
      </c>
      <c r="F230" t="inlineStr">
        <is>
          <t>biosphere</t>
        </is>
      </c>
      <c r="G230" t="inlineStr">
        <is>
          <t>Benzene</t>
        </is>
      </c>
    </row>
    <row r="231">
      <c r="A231" t="inlineStr">
        <is>
          <t>Methane, fossil</t>
        </is>
      </c>
      <c r="B231" s="7" t="n">
        <v>5.630701900638842e-05</v>
      </c>
      <c r="D231" t="inlineStr">
        <is>
          <t>kilogram</t>
        </is>
      </c>
      <c r="E231" t="inlineStr">
        <is>
          <t>air::urban air close to ground</t>
        </is>
      </c>
      <c r="F231" t="inlineStr">
        <is>
          <t>biosphere</t>
        </is>
      </c>
      <c r="G231" t="inlineStr">
        <is>
          <t>CH4</t>
        </is>
      </c>
    </row>
    <row r="232">
      <c r="A232" t="inlineStr">
        <is>
          <t>Carbon monoxide, fossil</t>
        </is>
      </c>
      <c r="B232" s="7" t="n">
        <v>0.0008217759312477241</v>
      </c>
      <c r="D232" t="inlineStr">
        <is>
          <t>kilogram</t>
        </is>
      </c>
      <c r="E232" t="inlineStr">
        <is>
          <t>air::urban air close to ground</t>
        </is>
      </c>
      <c r="F232" t="inlineStr">
        <is>
          <t>biosphere</t>
        </is>
      </c>
      <c r="G232" t="inlineStr">
        <is>
          <t>CO</t>
        </is>
      </c>
    </row>
    <row r="233">
      <c r="A233" t="inlineStr">
        <is>
          <t>Dinitrogen monoxide</t>
        </is>
      </c>
      <c r="B233" s="7" t="n">
        <v>2.010964964513872e-06</v>
      </c>
      <c r="D233" t="inlineStr">
        <is>
          <t>kilogram</t>
        </is>
      </c>
      <c r="E233" t="inlineStr">
        <is>
          <t>air::urban air close to ground</t>
        </is>
      </c>
      <c r="F233" t="inlineStr">
        <is>
          <t>biosphere</t>
        </is>
      </c>
      <c r="G233" t="inlineStr">
        <is>
          <t>N2O</t>
        </is>
      </c>
    </row>
    <row r="234">
      <c r="A234" t="inlineStr">
        <is>
          <t>Ammonia</t>
        </is>
      </c>
      <c r="B234" s="7" t="n">
        <v>2.010964964513872e-06</v>
      </c>
      <c r="D234" t="inlineStr">
        <is>
          <t>kilogram</t>
        </is>
      </c>
      <c r="E234" t="inlineStr">
        <is>
          <t>air::urban air close to ground</t>
        </is>
      </c>
      <c r="F234" t="inlineStr">
        <is>
          <t>biosphere</t>
        </is>
      </c>
      <c r="G234" t="inlineStr">
        <is>
          <t>NH3</t>
        </is>
      </c>
    </row>
    <row r="235">
      <c r="A235" t="inlineStr">
        <is>
          <t>Nitrogen oxides</t>
        </is>
      </c>
      <c r="B235" s="7" t="n">
        <v>2.729767824082666e-05</v>
      </c>
      <c r="D235" t="inlineStr">
        <is>
          <t>kilogram</t>
        </is>
      </c>
      <c r="E235" t="inlineStr">
        <is>
          <t>air::urban air close to ground</t>
        </is>
      </c>
      <c r="F235" t="inlineStr">
        <is>
          <t>biosphere</t>
        </is>
      </c>
      <c r="G235" t="inlineStr">
        <is>
          <t>NOx</t>
        </is>
      </c>
    </row>
    <row r="236">
      <c r="A236" t="inlineStr">
        <is>
          <t>Particulates, &lt; 2.5 um</t>
        </is>
      </c>
      <c r="B236" s="7" t="n">
        <v>5.02741241128468e-06</v>
      </c>
      <c r="D236" t="inlineStr">
        <is>
          <t>kilogram</t>
        </is>
      </c>
      <c r="E236" t="inlineStr">
        <is>
          <t>air::urban air close to ground</t>
        </is>
      </c>
      <c r="F236" t="inlineStr">
        <is>
          <t>biosphere</t>
        </is>
      </c>
      <c r="G236" t="inlineStr">
        <is>
          <t>PM2.5</t>
        </is>
      </c>
    </row>
    <row r="237">
      <c r="A237" t="inlineStr">
        <is>
          <t>NMVOC, non-methane volatile organic compounds, unspecified origin</t>
        </is>
      </c>
      <c r="B237" s="7" t="n">
        <v>4.165745394493486e-05</v>
      </c>
      <c r="D237" t="inlineStr">
        <is>
          <t>kilogram</t>
        </is>
      </c>
      <c r="E237" t="inlineStr">
        <is>
          <t>air::urban air close to ground</t>
        </is>
      </c>
      <c r="F237" t="inlineStr">
        <is>
          <t>biosphere</t>
        </is>
      </c>
      <c r="G237" t="inlineStr">
        <is>
          <t>NMVOC</t>
        </is>
      </c>
    </row>
    <row r="238">
      <c r="A238" t="inlineStr">
        <is>
          <t>Ethane</t>
        </is>
      </c>
      <c r="B238" s="7" t="n">
        <v>2.937384573040279e-06</v>
      </c>
      <c r="D238" t="inlineStr">
        <is>
          <t>kilogram</t>
        </is>
      </c>
      <c r="E238" t="inlineStr">
        <is>
          <t>air::urban air close to ground</t>
        </is>
      </c>
      <c r="F238" t="inlineStr">
        <is>
          <t>biosphere</t>
        </is>
      </c>
      <c r="G238" t="inlineStr">
        <is>
          <t>Ethane</t>
        </is>
      </c>
    </row>
    <row r="239">
      <c r="A239" t="inlineStr">
        <is>
          <t>Propane</t>
        </is>
      </c>
      <c r="B239" s="7" t="n">
        <v>5.985266371398687e-07</v>
      </c>
      <c r="D239" t="inlineStr">
        <is>
          <t>kilogram</t>
        </is>
      </c>
      <c r="E239" t="inlineStr">
        <is>
          <t>air::urban air close to ground</t>
        </is>
      </c>
      <c r="F239" t="inlineStr">
        <is>
          <t>biosphere</t>
        </is>
      </c>
      <c r="G239" t="inlineStr">
        <is>
          <t>Propane</t>
        </is>
      </c>
    </row>
    <row r="240">
      <c r="A240" t="inlineStr">
        <is>
          <t>Butane</t>
        </is>
      </c>
      <c r="B240" s="7" t="n">
        <v>4.825045505558326e-06</v>
      </c>
      <c r="D240" t="inlineStr">
        <is>
          <t>kilogram</t>
        </is>
      </c>
      <c r="E240" t="inlineStr">
        <is>
          <t>air::urban air close to ground</t>
        </is>
      </c>
      <c r="F240" t="inlineStr">
        <is>
          <t>biosphere</t>
        </is>
      </c>
      <c r="G240" t="inlineStr">
        <is>
          <t>Butane</t>
        </is>
      </c>
    </row>
    <row r="241">
      <c r="A241" t="inlineStr">
        <is>
          <t>Pentane</t>
        </is>
      </c>
      <c r="B241" s="7" t="n">
        <v>1.979741953616489e-06</v>
      </c>
      <c r="D241" t="inlineStr">
        <is>
          <t>kilogram</t>
        </is>
      </c>
      <c r="E241" t="inlineStr">
        <is>
          <t>air::urban air close to ground</t>
        </is>
      </c>
      <c r="F241" t="inlineStr">
        <is>
          <t>biosphere</t>
        </is>
      </c>
      <c r="G241" t="inlineStr">
        <is>
          <t>Pentane</t>
        </is>
      </c>
    </row>
    <row r="242">
      <c r="A242" t="inlineStr">
        <is>
          <t>Hexane</t>
        </is>
      </c>
      <c r="B242" s="7" t="n">
        <v>1.482504439684905e-06</v>
      </c>
      <c r="D242" t="inlineStr">
        <is>
          <t>kilogram</t>
        </is>
      </c>
      <c r="E242" t="inlineStr">
        <is>
          <t>air::urban air close to ground</t>
        </is>
      </c>
      <c r="F242" t="inlineStr">
        <is>
          <t>biosphere</t>
        </is>
      </c>
      <c r="G242" t="inlineStr">
        <is>
          <t>Hexane</t>
        </is>
      </c>
    </row>
    <row r="243">
      <c r="A243" t="inlineStr">
        <is>
          <t>Cyclohexane</t>
        </is>
      </c>
      <c r="B243" s="7" t="n">
        <v>1.049723640522231e-06</v>
      </c>
      <c r="D243" t="inlineStr">
        <is>
          <t>kilogram</t>
        </is>
      </c>
      <c r="E243" t="inlineStr">
        <is>
          <t>air::urban air close to ground</t>
        </is>
      </c>
      <c r="F243" t="inlineStr">
        <is>
          <t>biosphere</t>
        </is>
      </c>
      <c r="G243" t="inlineStr">
        <is>
          <t>Cyclohexane</t>
        </is>
      </c>
    </row>
    <row r="244">
      <c r="A244" t="inlineStr">
        <is>
          <t>Heptane</t>
        </is>
      </c>
      <c r="B244" s="7" t="n">
        <v>6.813995561284659e-07</v>
      </c>
      <c r="D244" t="inlineStr">
        <is>
          <t>kilogram</t>
        </is>
      </c>
      <c r="E244" t="inlineStr">
        <is>
          <t>air::urban air close to ground</t>
        </is>
      </c>
      <c r="F244" t="inlineStr">
        <is>
          <t>biosphere</t>
        </is>
      </c>
      <c r="G244" t="inlineStr">
        <is>
          <t>Heptane</t>
        </is>
      </c>
    </row>
    <row r="245">
      <c r="A245" t="inlineStr">
        <is>
          <t>Ethene</t>
        </is>
      </c>
      <c r="B245" s="7" t="n">
        <v>6.721914540186217e-06</v>
      </c>
      <c r="D245" t="inlineStr">
        <is>
          <t>kilogram</t>
        </is>
      </c>
      <c r="E245" t="inlineStr">
        <is>
          <t>air::urban air close to ground</t>
        </is>
      </c>
      <c r="F245" t="inlineStr">
        <is>
          <t>biosphere</t>
        </is>
      </c>
      <c r="G245" t="inlineStr">
        <is>
          <t>Ethene</t>
        </is>
      </c>
    </row>
    <row r="246">
      <c r="A246" t="inlineStr">
        <is>
          <t>Propene</t>
        </is>
      </c>
      <c r="B246" s="7" t="n">
        <v>3.517495005960458e-06</v>
      </c>
      <c r="D246" t="inlineStr">
        <is>
          <t>kilogram</t>
        </is>
      </c>
      <c r="E246" t="inlineStr">
        <is>
          <t>air::urban air close to ground</t>
        </is>
      </c>
      <c r="F246" t="inlineStr">
        <is>
          <t>biosphere</t>
        </is>
      </c>
      <c r="G246" t="inlineStr">
        <is>
          <t>Propene</t>
        </is>
      </c>
    </row>
    <row r="247">
      <c r="A247" t="inlineStr">
        <is>
          <t>1-Pentene</t>
        </is>
      </c>
      <c r="B247" s="7" t="n">
        <v>1.012891232082855e-07</v>
      </c>
      <c r="D247" t="inlineStr">
        <is>
          <t>kilogram</t>
        </is>
      </c>
      <c r="E247" t="inlineStr">
        <is>
          <t>air::urban air close to ground</t>
        </is>
      </c>
      <c r="F247" t="inlineStr">
        <is>
          <t>biosphere</t>
        </is>
      </c>
      <c r="G247" t="inlineStr">
        <is>
          <t>1-Pentene</t>
        </is>
      </c>
    </row>
    <row r="248">
      <c r="A248" t="inlineStr">
        <is>
          <t>Toluene</t>
        </is>
      </c>
      <c r="B248" s="7" t="n">
        <v>1.011049611660886e-05</v>
      </c>
      <c r="D248" t="inlineStr">
        <is>
          <t>kilogram</t>
        </is>
      </c>
      <c r="E248" t="inlineStr">
        <is>
          <t>air::urban air close to ground</t>
        </is>
      </c>
      <c r="F248" t="inlineStr">
        <is>
          <t>biosphere</t>
        </is>
      </c>
      <c r="G248" t="inlineStr">
        <is>
          <t>Toluene</t>
        </is>
      </c>
    </row>
    <row r="249">
      <c r="A249" t="inlineStr">
        <is>
          <t>m-Xylene</t>
        </is>
      </c>
      <c r="B249" s="7" t="n">
        <v>4.999999445645365e-06</v>
      </c>
      <c r="D249" t="inlineStr">
        <is>
          <t>kilogram</t>
        </is>
      </c>
      <c r="E249" t="inlineStr">
        <is>
          <t>air::urban air close to ground</t>
        </is>
      </c>
      <c r="F249" t="inlineStr">
        <is>
          <t>biosphere</t>
        </is>
      </c>
      <c r="G249" t="inlineStr">
        <is>
          <t>m-Xylene</t>
        </is>
      </c>
    </row>
    <row r="250">
      <c r="A250" t="inlineStr">
        <is>
          <t>o-Xylene</t>
        </is>
      </c>
      <c r="B250" s="7" t="n">
        <v>2.081031076824774e-06</v>
      </c>
      <c r="D250" t="inlineStr">
        <is>
          <t>kilogram</t>
        </is>
      </c>
      <c r="E250" t="inlineStr">
        <is>
          <t>air::urban air close to ground</t>
        </is>
      </c>
      <c r="F250" t="inlineStr">
        <is>
          <t>biosphere</t>
        </is>
      </c>
      <c r="G250" t="inlineStr">
        <is>
          <t>o-Xylene</t>
        </is>
      </c>
    </row>
    <row r="251">
      <c r="A251" t="inlineStr">
        <is>
          <t>Formaldehyde</t>
        </is>
      </c>
      <c r="B251" s="7" t="n">
        <v>1.565377358673503e-06</v>
      </c>
      <c r="D251" t="inlineStr">
        <is>
          <t>kilogram</t>
        </is>
      </c>
      <c r="E251" t="inlineStr">
        <is>
          <t>air::urban air close to ground</t>
        </is>
      </c>
      <c r="F251" t="inlineStr">
        <is>
          <t>biosphere</t>
        </is>
      </c>
      <c r="G251" t="inlineStr">
        <is>
          <t>Formaldehyde</t>
        </is>
      </c>
    </row>
    <row r="252">
      <c r="A252" t="inlineStr">
        <is>
          <t>Acetaldehyde</t>
        </is>
      </c>
      <c r="B252" s="7" t="n">
        <v>6.9060765823831e-07</v>
      </c>
      <c r="D252" t="inlineStr">
        <is>
          <t>kilogram</t>
        </is>
      </c>
      <c r="E252" t="inlineStr">
        <is>
          <t>air::urban air close to ground</t>
        </is>
      </c>
      <c r="F252" t="inlineStr">
        <is>
          <t>biosphere</t>
        </is>
      </c>
      <c r="G252" t="inlineStr">
        <is>
          <t>Acetaldehyde</t>
        </is>
      </c>
    </row>
    <row r="253">
      <c r="A253" t="inlineStr">
        <is>
          <t>Benzaldehyde</t>
        </is>
      </c>
      <c r="B253" s="7" t="n">
        <v>2.025782464165709e-07</v>
      </c>
      <c r="D253" t="inlineStr">
        <is>
          <t>kilogram</t>
        </is>
      </c>
      <c r="E253" t="inlineStr">
        <is>
          <t>air::urban air close to ground</t>
        </is>
      </c>
      <c r="F253" t="inlineStr">
        <is>
          <t>biosphere</t>
        </is>
      </c>
      <c r="G253" t="inlineStr">
        <is>
          <t>Benzaldehyde</t>
        </is>
      </c>
    </row>
    <row r="254">
      <c r="A254" t="inlineStr">
        <is>
          <t>Acetone</t>
        </is>
      </c>
      <c r="B254" s="7" t="n">
        <v>5.616942287004922e-07</v>
      </c>
      <c r="D254" t="inlineStr">
        <is>
          <t>kilogram</t>
        </is>
      </c>
      <c r="E254" t="inlineStr">
        <is>
          <t>air::urban air close to ground</t>
        </is>
      </c>
      <c r="F254" t="inlineStr">
        <is>
          <t>biosphere</t>
        </is>
      </c>
      <c r="G254" t="inlineStr">
        <is>
          <t>Acetone</t>
        </is>
      </c>
    </row>
    <row r="255">
      <c r="A255" t="inlineStr">
        <is>
          <t>Methyl ethyl ketone</t>
        </is>
      </c>
      <c r="B255" s="7" t="n">
        <v>0</v>
      </c>
      <c r="D255" t="inlineStr">
        <is>
          <t>kilogram</t>
        </is>
      </c>
      <c r="E255" t="inlineStr">
        <is>
          <t>air::urban air close to ground</t>
        </is>
      </c>
      <c r="F255" t="inlineStr">
        <is>
          <t>biosphere</t>
        </is>
      </c>
      <c r="G255" t="inlineStr">
        <is>
          <t>Methyl ethyl ketone</t>
        </is>
      </c>
    </row>
    <row r="256">
      <c r="A256" t="inlineStr">
        <is>
          <t>Acrolein</t>
        </is>
      </c>
      <c r="B256" s="7" t="n">
        <v>1.749539400870385e-07</v>
      </c>
      <c r="D256" t="inlineStr">
        <is>
          <t>kilogram</t>
        </is>
      </c>
      <c r="E256" t="inlineStr">
        <is>
          <t>air::urban air close to ground</t>
        </is>
      </c>
      <c r="F256" t="inlineStr">
        <is>
          <t>biosphere</t>
        </is>
      </c>
      <c r="G256" t="inlineStr">
        <is>
          <t>Acrolein</t>
        </is>
      </c>
    </row>
    <row r="257">
      <c r="A257" t="inlineStr">
        <is>
          <t>Styrene</t>
        </is>
      </c>
      <c r="B257" s="7" t="n">
        <v>9.300183130942575e-07</v>
      </c>
      <c r="D257" t="inlineStr">
        <is>
          <t>kilogram</t>
        </is>
      </c>
      <c r="E257" t="inlineStr">
        <is>
          <t>air::urban air close to ground</t>
        </is>
      </c>
      <c r="F257" t="inlineStr">
        <is>
          <t>biosphere</t>
        </is>
      </c>
      <c r="G257" t="inlineStr">
        <is>
          <t>Styrene</t>
        </is>
      </c>
    </row>
    <row r="258">
      <c r="A258" t="inlineStr">
        <is>
          <t>PAH, polycyclic aromatic hydrocarbons</t>
        </is>
      </c>
      <c r="B258" s="7" t="n">
        <v>8.318600346359453e-10</v>
      </c>
      <c r="D258" t="inlineStr">
        <is>
          <t>kilogram</t>
        </is>
      </c>
      <c r="E258" t="inlineStr">
        <is>
          <t>air::urban air close to ground</t>
        </is>
      </c>
      <c r="F258" t="inlineStr">
        <is>
          <t>biosphere</t>
        </is>
      </c>
      <c r="G258" t="inlineStr">
        <is>
          <t>PAHs</t>
        </is>
      </c>
    </row>
    <row r="259">
      <c r="A259" t="inlineStr">
        <is>
          <t>Arsenic</t>
        </is>
      </c>
      <c r="B259" s="7" t="n">
        <v>7.17120719513746e-12</v>
      </c>
      <c r="D259" t="inlineStr">
        <is>
          <t>kilogram</t>
        </is>
      </c>
      <c r="E259" t="inlineStr">
        <is>
          <t>air::urban air close to ground</t>
        </is>
      </c>
      <c r="F259" t="inlineStr">
        <is>
          <t>biosphere</t>
        </is>
      </c>
      <c r="G259" t="inlineStr">
        <is>
          <t>Arsenic</t>
        </is>
      </c>
    </row>
    <row r="260">
      <c r="A260" t="inlineStr">
        <is>
          <t>Selenium</t>
        </is>
      </c>
      <c r="B260" s="7" t="n">
        <v>4.780804796758306e-12</v>
      </c>
      <c r="D260" t="inlineStr">
        <is>
          <t>kilogram</t>
        </is>
      </c>
      <c r="E260" t="inlineStr">
        <is>
          <t>air::urban air close to ground</t>
        </is>
      </c>
      <c r="F260" t="inlineStr">
        <is>
          <t>biosphere</t>
        </is>
      </c>
      <c r="G260" t="inlineStr">
        <is>
          <t>Selenium</t>
        </is>
      </c>
    </row>
    <row r="261">
      <c r="A261" t="inlineStr">
        <is>
          <t>Zinc</t>
        </is>
      </c>
      <c r="B261" s="7" t="n">
        <v>5.163269180498971e-08</v>
      </c>
      <c r="D261" t="inlineStr">
        <is>
          <t>kilogram</t>
        </is>
      </c>
      <c r="E261" t="inlineStr">
        <is>
          <t>air::urban air close to ground</t>
        </is>
      </c>
      <c r="F261" t="inlineStr">
        <is>
          <t>biosphere</t>
        </is>
      </c>
      <c r="G261" t="inlineStr">
        <is>
          <t>Zinc</t>
        </is>
      </c>
    </row>
    <row r="262">
      <c r="A262" t="inlineStr">
        <is>
          <t>Copper</t>
        </is>
      </c>
      <c r="B262" s="7" t="n">
        <v>1.003969007319244e-09</v>
      </c>
      <c r="D262" t="inlineStr">
        <is>
          <t>kilogram</t>
        </is>
      </c>
      <c r="E262" t="inlineStr">
        <is>
          <t>air::urban air close to ground</t>
        </is>
      </c>
      <c r="F262" t="inlineStr">
        <is>
          <t>biosphere</t>
        </is>
      </c>
      <c r="G262" t="inlineStr">
        <is>
          <t>Copper</t>
        </is>
      </c>
    </row>
    <row r="263">
      <c r="A263" t="inlineStr">
        <is>
          <t>Nickel</t>
        </is>
      </c>
      <c r="B263" s="7" t="n">
        <v>3.107523117892899e-10</v>
      </c>
      <c r="D263" t="inlineStr">
        <is>
          <t>kilogram</t>
        </is>
      </c>
      <c r="E263" t="inlineStr">
        <is>
          <t>air::urban air close to ground</t>
        </is>
      </c>
      <c r="F263" t="inlineStr">
        <is>
          <t>biosphere</t>
        </is>
      </c>
      <c r="G263" t="inlineStr">
        <is>
          <t>Nickel</t>
        </is>
      </c>
    </row>
    <row r="264">
      <c r="A264" t="inlineStr">
        <is>
          <t>Chromium</t>
        </is>
      </c>
      <c r="B264" s="7" t="n">
        <v>3.824643837406645e-10</v>
      </c>
      <c r="D264" t="inlineStr">
        <is>
          <t>kilogram</t>
        </is>
      </c>
      <c r="E264" t="inlineStr">
        <is>
          <t>air::urban air close to ground</t>
        </is>
      </c>
      <c r="F264" t="inlineStr">
        <is>
          <t>biosphere</t>
        </is>
      </c>
      <c r="G264" t="inlineStr">
        <is>
          <t>Chromium</t>
        </is>
      </c>
    </row>
    <row r="265">
      <c r="A265" t="inlineStr">
        <is>
          <t>Chromium VI</t>
        </is>
      </c>
      <c r="B265" s="7" t="n">
        <v>7.64928767481329e-13</v>
      </c>
      <c r="D265" t="inlineStr">
        <is>
          <t>kilogram</t>
        </is>
      </c>
      <c r="E265" t="inlineStr">
        <is>
          <t>air::urban air close to ground</t>
        </is>
      </c>
      <c r="F265" t="inlineStr">
        <is>
          <t>biosphere</t>
        </is>
      </c>
      <c r="G265" t="inlineStr">
        <is>
          <t>Chromium VI</t>
        </is>
      </c>
    </row>
    <row r="266">
      <c r="A266" t="inlineStr">
        <is>
          <t>Mercury</t>
        </is>
      </c>
      <c r="B266" s="7" t="n">
        <v>2.079650086589863e-10</v>
      </c>
      <c r="D266" t="inlineStr">
        <is>
          <t>kilogram</t>
        </is>
      </c>
      <c r="E266" t="inlineStr">
        <is>
          <t>air::urban air close to ground</t>
        </is>
      </c>
      <c r="F266" t="inlineStr">
        <is>
          <t>biosphere</t>
        </is>
      </c>
      <c r="G266" t="inlineStr">
        <is>
          <t>Mercury</t>
        </is>
      </c>
    </row>
    <row r="267">
      <c r="A267" t="inlineStr">
        <is>
          <t>Cadmium</t>
        </is>
      </c>
      <c r="B267" s="7" t="n">
        <v>2.581634590249486e-10</v>
      </c>
      <c r="D267" t="inlineStr">
        <is>
          <t>kilogram</t>
        </is>
      </c>
      <c r="E267" t="inlineStr">
        <is>
          <t>air::urban air close to ground</t>
        </is>
      </c>
      <c r="F267" t="inlineStr">
        <is>
          <t>biosphere</t>
        </is>
      </c>
      <c r="G267" t="inlineStr">
        <is>
          <t>Cadmium</t>
        </is>
      </c>
    </row>
    <row r="268">
      <c r="A268" t="inlineStr">
        <is>
          <t>treatment of road wear emissions, passenger car</t>
        </is>
      </c>
      <c r="B268" s="7" t="n">
        <v>-7.538551147222733e-06</v>
      </c>
      <c r="C268" t="inlineStr">
        <is>
          <t>RER</t>
        </is>
      </c>
      <c r="D268" t="inlineStr">
        <is>
          <t>kilogram</t>
        </is>
      </c>
      <c r="F268" t="inlineStr">
        <is>
          <t>technosphere</t>
        </is>
      </c>
      <c r="G268" t="inlineStr">
        <is>
          <t>Road wear [kg/km]</t>
        </is>
      </c>
      <c r="H268" t="inlineStr">
        <is>
          <t>road wear emissions, passenger car</t>
        </is>
      </c>
    </row>
    <row r="269">
      <c r="A269" t="inlineStr">
        <is>
          <t>treatment of tyre wear emissions, passenger car</t>
        </is>
      </c>
      <c r="B269" s="7" t="n">
        <v>-5.745409976131475e-06</v>
      </c>
      <c r="C269" t="inlineStr">
        <is>
          <t>RER</t>
        </is>
      </c>
      <c r="D269" t="inlineStr">
        <is>
          <t>kilogram</t>
        </is>
      </c>
      <c r="F269" t="inlineStr">
        <is>
          <t>technosphere</t>
        </is>
      </c>
      <c r="G269" t="inlineStr">
        <is>
          <t>Tire wear [kg/km]</t>
        </is>
      </c>
      <c r="H269" t="inlineStr">
        <is>
          <t>tyre wear emissions, passenger car</t>
        </is>
      </c>
    </row>
    <row r="270">
      <c r="A270" t="inlineStr">
        <is>
          <t>treatment of brake wear emissions, passenger car</t>
        </is>
      </c>
      <c r="B270" s="7" t="n">
        <v>-4.111937602413991e-06</v>
      </c>
      <c r="C270" t="inlineStr">
        <is>
          <t>RER</t>
        </is>
      </c>
      <c r="D270" t="inlineStr">
        <is>
          <t>kilogram</t>
        </is>
      </c>
      <c r="F270" t="inlineStr">
        <is>
          <t>technosphere</t>
        </is>
      </c>
      <c r="G270" t="inlineStr">
        <is>
          <t>Brake wear [kg/km]</t>
        </is>
      </c>
      <c r="H270" t="inlineStr">
        <is>
          <t>brake wear emissions, passenger car</t>
        </is>
      </c>
    </row>
    <row r="271"/>
    <row r="272" ht="16" customHeight="1">
      <c r="A272" s="10" t="inlineStr">
        <is>
          <t>Activity</t>
        </is>
      </c>
      <c r="B272" s="8" t="inlineStr">
        <is>
          <t>transport, Motorbike, gasoline, 4-11kW, EURO-5</t>
        </is>
      </c>
    </row>
    <row r="273">
      <c r="A273" t="inlineStr">
        <is>
          <t>location</t>
        </is>
      </c>
      <c r="B273" t="inlineStr">
        <is>
          <t>CH</t>
        </is>
      </c>
    </row>
    <row r="274">
      <c r="A274" t="inlineStr">
        <is>
          <t>vehicle</t>
        </is>
      </c>
      <c r="B274" t="inlineStr">
        <is>
          <t>Motorbike, gasoline, 4-11kW, EURO-5</t>
        </is>
      </c>
    </row>
    <row r="275">
      <c r="A275" t="inlineStr">
        <is>
          <t>size</t>
        </is>
      </c>
    </row>
    <row r="276">
      <c r="A276" t="inlineStr">
        <is>
          <t>year</t>
        </is>
      </c>
      <c r="B276" t="n">
        <v>2020</v>
      </c>
    </row>
    <row r="277">
      <c r="A277" t="inlineStr">
        <is>
          <t>full name</t>
        </is>
      </c>
      <c r="B277" t="inlineStr">
        <is>
          <t>Motorbike, gasoline, 4-11kW, EURO-5 - 2020 - CH</t>
        </is>
      </c>
    </row>
    <row r="278">
      <c r="A278" t="inlineStr">
        <is>
          <t>reference product</t>
        </is>
      </c>
      <c r="B278" t="inlineStr">
        <is>
          <t>transport, Motorbike, gasoline, 4-11kW, EURO-5</t>
        </is>
      </c>
    </row>
    <row r="279">
      <c r="A279" t="inlineStr">
        <is>
          <t>type</t>
        </is>
      </c>
      <c r="B279" t="inlineStr">
        <is>
          <t>process</t>
        </is>
      </c>
    </row>
    <row r="280">
      <c r="A280" t="inlineStr">
        <is>
          <t>unit</t>
        </is>
      </c>
      <c r="B280" t="inlineStr">
        <is>
          <t>kilometer</t>
        </is>
      </c>
    </row>
    <row r="281">
      <c r="A281" t="inlineStr">
        <is>
          <t>source</t>
        </is>
      </c>
      <c r="B281" t="inlineStr">
        <is>
          <t>Sacchi R., Bauer C. Life cycle inventories for on-road vehicles. Paul Scherrer Institut, 2021.</t>
        </is>
      </c>
    </row>
    <row r="282">
      <c r="A282" t="inlineStr">
        <is>
          <t>lifetime</t>
        </is>
      </c>
      <c r="B282" t="n">
        <v>25000</v>
      </c>
    </row>
    <row r="283">
      <c r="A283" t="inlineStr">
        <is>
          <t>passengers</t>
        </is>
      </c>
      <c r="B283" t="n">
        <v>1.1</v>
      </c>
    </row>
    <row r="284">
      <c r="A284" t="inlineStr">
        <is>
          <t>service</t>
        </is>
      </c>
      <c r="B284" t="n">
        <v>1</v>
      </c>
    </row>
    <row r="285">
      <c r="A285" t="inlineStr">
        <is>
          <t>battery replacement</t>
        </is>
      </c>
      <c r="B285" t="n">
        <v>0</v>
      </c>
    </row>
    <row r="286">
      <c r="A286" t="inlineStr">
        <is>
          <t>annual kilometers</t>
        </is>
      </c>
      <c r="B286" t="n">
        <v>1776</v>
      </c>
    </row>
    <row r="287">
      <c r="A287" t="inlineStr">
        <is>
          <t>curb mass</t>
        </is>
      </c>
      <c r="B287" s="2" t="n">
        <v>119.0000058325584</v>
      </c>
    </row>
    <row r="288">
      <c r="A288" t="inlineStr">
        <is>
          <t>power</t>
        </is>
      </c>
      <c r="B288" t="n">
        <v>9</v>
      </c>
    </row>
    <row r="289">
      <c r="A289" t="inlineStr">
        <is>
          <t>battery mass</t>
        </is>
      </c>
    </row>
    <row r="290">
      <c r="A290" t="inlineStr">
        <is>
          <t>electricity, low voltage</t>
        </is>
      </c>
      <c r="B290" t="n">
        <v>0</v>
      </c>
    </row>
    <row r="291">
      <c r="A291" t="inlineStr">
        <is>
          <t>tank capacity</t>
        </is>
      </c>
      <c r="B291" s="2" t="n">
        <v>79.875</v>
      </c>
    </row>
    <row r="292">
      <c r="A292" t="inlineStr">
        <is>
          <t>fuel mass</t>
        </is>
      </c>
      <c r="B292" t="n">
        <v>6.75</v>
      </c>
    </row>
    <row r="293">
      <c r="A293" t="inlineStr">
        <is>
          <t>range</t>
        </is>
      </c>
      <c r="B293" s="2" t="n">
        <v>285.9026833124216</v>
      </c>
    </row>
    <row r="294">
      <c r="A294" t="inlineStr">
        <is>
          <t>emission standard</t>
        </is>
      </c>
      <c r="B294" t="inlineStr">
        <is>
          <t>EURO-5</t>
        </is>
      </c>
    </row>
    <row r="295">
      <c r="A295" t="inlineStr">
        <is>
          <t>Glider lightweighting</t>
        </is>
      </c>
      <c r="B295" s="6" t="n">
        <v>0</v>
      </c>
    </row>
    <row r="296">
      <c r="A296" t="inlineStr">
        <is>
          <t>comment</t>
        </is>
      </c>
      <c r="B296" t="inlineStr">
        <is>
          <t>Power: 9 kW. Lifetime: 25000 km. Annual kilometers: 1776 km. Number of passengers: 1.1. Curb mass: 119 kg. Lightweighting of glider: 0%. Emission standard: EURO-5. Service visits throughout lifetime: 1. Range: 286 km. Fuel tank capacity: 79.9 kWh. Fuel mass: 6.8 kg. Documentation: Life-cycle inventories for on-road vehicles, Sacchi R. (PSI), Bauer C. (PSI), 2021. Sacchi R., Bauer C. Life cycle inventories for on-road vehicles. Paul Scherrer Institut, 2021.</t>
        </is>
      </c>
    </row>
    <row r="297" ht="16" customHeight="1">
      <c r="A297" s="10" t="inlineStr">
        <is>
          <t>Exchanges</t>
        </is>
      </c>
    </row>
    <row r="298">
      <c r="A298" t="inlineStr">
        <is>
          <t>name</t>
        </is>
      </c>
      <c r="B298" t="inlineStr">
        <is>
          <t>amount</t>
        </is>
      </c>
      <c r="C298" t="inlineStr">
        <is>
          <t>location</t>
        </is>
      </c>
      <c r="D298" t="inlineStr">
        <is>
          <t>unit</t>
        </is>
      </c>
      <c r="E298" t="inlineStr">
        <is>
          <t>categories</t>
        </is>
      </c>
      <c r="F298" t="inlineStr">
        <is>
          <t>type</t>
        </is>
      </c>
      <c r="G298" t="inlineStr">
        <is>
          <t>comment</t>
        </is>
      </c>
      <c r="H298" t="inlineStr">
        <is>
          <t>reference product</t>
        </is>
      </c>
    </row>
    <row r="299">
      <c r="A299" t="inlineStr">
        <is>
          <t>transport, Motorbike, gasoline, 4-11kW, EURO-5</t>
        </is>
      </c>
      <c r="B299" t="n">
        <v>1</v>
      </c>
      <c r="C299" t="inlineStr">
        <is>
          <t>CH</t>
        </is>
      </c>
      <c r="D299" t="inlineStr">
        <is>
          <t>kilometer</t>
        </is>
      </c>
      <c r="F299" t="inlineStr">
        <is>
          <t>production</t>
        </is>
      </c>
      <c r="H299" t="inlineStr">
        <is>
          <t>transport, Motorbike, gasoline, 4-11kW, EURO-5</t>
        </is>
      </c>
    </row>
    <row r="300">
      <c r="A300" t="inlineStr">
        <is>
          <t>Motorbike, gasoline, 4-11kW, EURO-5</t>
        </is>
      </c>
      <c r="B300" s="7" t="n">
        <v>4e-05</v>
      </c>
      <c r="C300" t="inlineStr">
        <is>
          <t>CH</t>
        </is>
      </c>
      <c r="D300" t="inlineStr">
        <is>
          <t>unit</t>
        </is>
      </c>
      <c r="F300" t="inlineStr">
        <is>
          <t>technosphere</t>
        </is>
      </c>
      <c r="H300" t="inlineStr">
        <is>
          <t>Motorbike, gasoline, 4-11kW, EURO-5</t>
        </is>
      </c>
    </row>
    <row r="301">
      <c r="A301" t="inlineStr">
        <is>
          <t>road construction</t>
        </is>
      </c>
      <c r="B301" s="7" t="n">
        <v>0.0001114275031320839</v>
      </c>
      <c r="C301" t="inlineStr">
        <is>
          <t>CH</t>
        </is>
      </c>
      <c r="D301" t="inlineStr">
        <is>
          <t>meter-year</t>
        </is>
      </c>
      <c r="F301" t="inlineStr">
        <is>
          <t>technosphere</t>
        </is>
      </c>
      <c r="G301" t="inlineStr">
        <is>
          <t>Road/track use [m*year/vkm or pkm]</t>
        </is>
      </c>
      <c r="H301" t="inlineStr">
        <is>
          <t>road</t>
        </is>
      </c>
    </row>
    <row r="302">
      <c r="A302" t="inlineStr">
        <is>
          <t>road maintenance</t>
        </is>
      </c>
      <c r="B302" s="7" t="n">
        <v>0.00129</v>
      </c>
      <c r="C302" t="inlineStr">
        <is>
          <t>CH</t>
        </is>
      </c>
      <c r="D302" t="inlineStr">
        <is>
          <t>meter-year</t>
        </is>
      </c>
      <c r="F302" t="inlineStr">
        <is>
          <t>technosphere</t>
        </is>
      </c>
      <c r="G302" t="inlineStr">
        <is>
          <t>Road maintenance [m*year/vkm]</t>
        </is>
      </c>
      <c r="H302" t="inlineStr">
        <is>
          <t>road maintenance</t>
        </is>
      </c>
    </row>
    <row r="303">
      <c r="A303" t="inlineStr">
        <is>
          <t>maintenance, motor scooter</t>
        </is>
      </c>
      <c r="B303" s="7" t="n">
        <v>4e-05</v>
      </c>
      <c r="C303" t="inlineStr">
        <is>
          <t>CH</t>
        </is>
      </c>
      <c r="D303" t="inlineStr">
        <is>
          <t>unit</t>
        </is>
      </c>
      <c r="F303" t="inlineStr">
        <is>
          <t>technosphere</t>
        </is>
      </c>
      <c r="G303" t="inlineStr">
        <is>
          <t>Servicing [unit]</t>
        </is>
      </c>
      <c r="H303" t="inlineStr">
        <is>
          <t>maintenance, motor scooter</t>
        </is>
      </c>
    </row>
    <row r="304">
      <c r="A304" t="inlineStr">
        <is>
          <t>fuel supply for gasoline vehicles</t>
        </is>
      </c>
      <c r="B304" s="7" t="n">
        <v>0.02360943213892086</v>
      </c>
      <c r="C304" t="inlineStr">
        <is>
          <t>CH</t>
        </is>
      </c>
      <c r="D304" t="inlineStr">
        <is>
          <t>kilogram</t>
        </is>
      </c>
      <c r="F304" t="inlineStr">
        <is>
          <t>technosphere</t>
        </is>
      </c>
      <c r="G304" t="inlineStr">
        <is>
          <t>Gasoline consumption [MJ/km]</t>
        </is>
      </c>
      <c r="H304" t="inlineStr">
        <is>
          <t>gasoline blend</t>
        </is>
      </c>
    </row>
    <row r="305">
      <c r="A305" t="inlineStr">
        <is>
          <t>Carbon dioxide, fossil</t>
        </is>
      </c>
      <c r="B305" s="11" t="n">
        <v>0.07324401351321697</v>
      </c>
      <c r="D305" t="inlineStr">
        <is>
          <t>kilogram</t>
        </is>
      </c>
      <c r="E305" t="inlineStr">
        <is>
          <t>air::urban air close to ground</t>
        </is>
      </c>
      <c r="F305" t="inlineStr">
        <is>
          <t>biosphere</t>
        </is>
      </c>
      <c r="G305" t="inlineStr">
        <is>
          <t>CO2</t>
        </is>
      </c>
    </row>
    <row r="306">
      <c r="A306" t="inlineStr">
        <is>
          <t>Carbon dioxide, from soil or biomass stock</t>
        </is>
      </c>
      <c r="B306" s="11" t="n">
        <v>0.0008896034029945381</v>
      </c>
      <c r="D306" t="inlineStr">
        <is>
          <t>kilogram</t>
        </is>
      </c>
      <c r="E306" t="inlineStr">
        <is>
          <t>air::urban air close to ground</t>
        </is>
      </c>
      <c r="F306" t="inlineStr">
        <is>
          <t>biosphere</t>
        </is>
      </c>
      <c r="G306" t="inlineStr">
        <is>
          <t>CO2, bio</t>
        </is>
      </c>
    </row>
    <row r="307">
      <c r="A307" t="inlineStr">
        <is>
          <t>Sulfur dioxide</t>
        </is>
      </c>
      <c r="B307" s="7" t="n">
        <v>3.777509142227338e-07</v>
      </c>
      <c r="D307" t="inlineStr">
        <is>
          <t>kilogram</t>
        </is>
      </c>
      <c r="E307" t="inlineStr">
        <is>
          <t>air::urban air close to ground</t>
        </is>
      </c>
      <c r="F307" t="inlineStr">
        <is>
          <t>biosphere</t>
        </is>
      </c>
      <c r="G307" t="inlineStr">
        <is>
          <t>SO2</t>
        </is>
      </c>
    </row>
    <row r="308">
      <c r="A308" t="inlineStr">
        <is>
          <t>Benzene</t>
        </is>
      </c>
      <c r="B308" s="7" t="n">
        <v>3.002855150293991e-06</v>
      </c>
      <c r="D308" t="inlineStr">
        <is>
          <t>kilogram</t>
        </is>
      </c>
      <c r="E308" t="inlineStr">
        <is>
          <t>air::urban air close to ground</t>
        </is>
      </c>
      <c r="F308" t="inlineStr">
        <is>
          <t>biosphere</t>
        </is>
      </c>
      <c r="G308" t="inlineStr">
        <is>
          <t>Benzene</t>
        </is>
      </c>
    </row>
    <row r="309">
      <c r="A309" t="inlineStr">
        <is>
          <t>Methane, fossil</t>
        </is>
      </c>
      <c r="B309" s="7" t="n">
        <v>5.574394881632454e-05</v>
      </c>
      <c r="D309" t="inlineStr">
        <is>
          <t>kilogram</t>
        </is>
      </c>
      <c r="E309" t="inlineStr">
        <is>
          <t>air::urban air close to ground</t>
        </is>
      </c>
      <c r="F309" t="inlineStr">
        <is>
          <t>biosphere</t>
        </is>
      </c>
      <c r="G309" t="inlineStr">
        <is>
          <t>CH4</t>
        </is>
      </c>
    </row>
    <row r="310">
      <c r="A310" t="inlineStr">
        <is>
          <t>Carbon monoxide, fossil</t>
        </is>
      </c>
      <c r="B310" s="7" t="n">
        <v>0.000712423222923834</v>
      </c>
      <c r="D310" t="inlineStr">
        <is>
          <t>kilogram</t>
        </is>
      </c>
      <c r="E310" t="inlineStr">
        <is>
          <t>air::urban air close to ground</t>
        </is>
      </c>
      <c r="F310" t="inlineStr">
        <is>
          <t>biosphere</t>
        </is>
      </c>
      <c r="G310" t="inlineStr">
        <is>
          <t>CO</t>
        </is>
      </c>
    </row>
    <row r="311">
      <c r="A311" t="inlineStr">
        <is>
          <t>Dinitrogen monoxide</t>
        </is>
      </c>
      <c r="B311" s="7" t="n">
        <v>1.990855314868733e-06</v>
      </c>
      <c r="D311" t="inlineStr">
        <is>
          <t>kilogram</t>
        </is>
      </c>
      <c r="E311" t="inlineStr">
        <is>
          <t>air::urban air close to ground</t>
        </is>
      </c>
      <c r="F311" t="inlineStr">
        <is>
          <t>biosphere</t>
        </is>
      </c>
      <c r="G311" t="inlineStr">
        <is>
          <t>N2O</t>
        </is>
      </c>
    </row>
    <row r="312">
      <c r="A312" t="inlineStr">
        <is>
          <t>Ammonia</t>
        </is>
      </c>
      <c r="B312" s="7" t="n">
        <v>1.990855314868733e-06</v>
      </c>
      <c r="D312" t="inlineStr">
        <is>
          <t>kilogram</t>
        </is>
      </c>
      <c r="E312" t="inlineStr">
        <is>
          <t>air::urban air close to ground</t>
        </is>
      </c>
      <c r="F312" t="inlineStr">
        <is>
          <t>biosphere</t>
        </is>
      </c>
      <c r="G312" t="inlineStr">
        <is>
          <t>NH3</t>
        </is>
      </c>
    </row>
    <row r="313">
      <c r="A313" t="inlineStr">
        <is>
          <t>Nitrogen oxides</t>
        </is>
      </c>
      <c r="B313" s="7" t="n">
        <v>1.831551612889812e-05</v>
      </c>
      <c r="D313" t="inlineStr">
        <is>
          <t>kilogram</t>
        </is>
      </c>
      <c r="E313" t="inlineStr">
        <is>
          <t>air::urban air close to ground</t>
        </is>
      </c>
      <c r="F313" t="inlineStr">
        <is>
          <t>biosphere</t>
        </is>
      </c>
      <c r="G313" t="inlineStr">
        <is>
          <t>NOx</t>
        </is>
      </c>
    </row>
    <row r="314">
      <c r="A314" t="inlineStr">
        <is>
          <t>Particulates, &lt; 2.5 um</t>
        </is>
      </c>
      <c r="B314" s="7" t="n">
        <v>4.977138287171833e-06</v>
      </c>
      <c r="D314" t="inlineStr">
        <is>
          <t>kilogram</t>
        </is>
      </c>
      <c r="E314" t="inlineStr">
        <is>
          <t>air::urban air close to ground</t>
        </is>
      </c>
      <c r="F314" t="inlineStr">
        <is>
          <t>biosphere</t>
        </is>
      </c>
      <c r="G314" t="inlineStr">
        <is>
          <t>PM2.5</t>
        </is>
      </c>
    </row>
    <row r="315">
      <c r="A315" t="inlineStr">
        <is>
          <t>NMVOC, non-methane volatile organic compounds, unspecified origin</t>
        </is>
      </c>
      <c r="B315" s="7" t="n">
        <v>2.421553778953657e-05</v>
      </c>
      <c r="D315" t="inlineStr">
        <is>
          <t>kilogram</t>
        </is>
      </c>
      <c r="E315" t="inlineStr">
        <is>
          <t>air::urban air close to ground</t>
        </is>
      </c>
      <c r="F315" t="inlineStr">
        <is>
          <t>biosphere</t>
        </is>
      </c>
      <c r="G315" t="inlineStr">
        <is>
          <t>NMVOC</t>
        </is>
      </c>
    </row>
    <row r="316">
      <c r="A316" t="inlineStr">
        <is>
          <t>Ethane</t>
        </is>
      </c>
      <c r="B316" s="7" t="n">
        <v>1.707505869775014e-06</v>
      </c>
      <c r="D316" t="inlineStr">
        <is>
          <t>kilogram</t>
        </is>
      </c>
      <c r="E316" t="inlineStr">
        <is>
          <t>air::urban air close to ground</t>
        </is>
      </c>
      <c r="F316" t="inlineStr">
        <is>
          <t>biosphere</t>
        </is>
      </c>
      <c r="G316" t="inlineStr">
        <is>
          <t>Ethane</t>
        </is>
      </c>
    </row>
    <row r="317">
      <c r="A317" t="inlineStr">
        <is>
          <t>Propane</t>
        </is>
      </c>
      <c r="B317" s="7" t="n">
        <v>3.479243935278242e-07</v>
      </c>
      <c r="D317" t="inlineStr">
        <is>
          <t>kilogram</t>
        </is>
      </c>
      <c r="E317" t="inlineStr">
        <is>
          <t>air::urban air close to ground</t>
        </is>
      </c>
      <c r="F317" t="inlineStr">
        <is>
          <t>biosphere</t>
        </is>
      </c>
      <c r="G317" t="inlineStr">
        <is>
          <t>Propane</t>
        </is>
      </c>
    </row>
    <row r="318">
      <c r="A318" t="inlineStr">
        <is>
          <t>Butane</t>
        </is>
      </c>
      <c r="B318" s="7" t="n">
        <v>2.804805880131999e-06</v>
      </c>
      <c r="D318" t="inlineStr">
        <is>
          <t>kilogram</t>
        </is>
      </c>
      <c r="E318" t="inlineStr">
        <is>
          <t>air::urban air close to ground</t>
        </is>
      </c>
      <c r="F318" t="inlineStr">
        <is>
          <t>biosphere</t>
        </is>
      </c>
      <c r="G318" t="inlineStr">
        <is>
          <t>Butane</t>
        </is>
      </c>
    </row>
    <row r="319">
      <c r="A319" t="inlineStr">
        <is>
          <t>Pentane</t>
        </is>
      </c>
      <c r="B319" s="7" t="n">
        <v>1.150826840130496e-06</v>
      </c>
      <c r="D319" t="inlineStr">
        <is>
          <t>kilogram</t>
        </is>
      </c>
      <c r="E319" t="inlineStr">
        <is>
          <t>air::urban air close to ground</t>
        </is>
      </c>
      <c r="F319" t="inlineStr">
        <is>
          <t>biosphere</t>
        </is>
      </c>
      <c r="G319" t="inlineStr">
        <is>
          <t>Pentane</t>
        </is>
      </c>
    </row>
    <row r="320">
      <c r="A320" t="inlineStr">
        <is>
          <t>Hexane</t>
        </is>
      </c>
      <c r="B320" s="7" t="n">
        <v>8.61781959353534e-07</v>
      </c>
      <c r="D320" t="inlineStr">
        <is>
          <t>kilogram</t>
        </is>
      </c>
      <c r="E320" t="inlineStr">
        <is>
          <t>air::urban air close to ground</t>
        </is>
      </c>
      <c r="F320" t="inlineStr">
        <is>
          <t>biosphere</t>
        </is>
      </c>
      <c r="G320" t="inlineStr">
        <is>
          <t>Hexane</t>
        </is>
      </c>
    </row>
    <row r="321">
      <c r="A321" t="inlineStr">
        <is>
          <t>Cyclohexane</t>
        </is>
      </c>
      <c r="B321" s="7" t="n">
        <v>6.102058594180303e-07</v>
      </c>
      <c r="D321" t="inlineStr">
        <is>
          <t>kilogram</t>
        </is>
      </c>
      <c r="E321" t="inlineStr">
        <is>
          <t>air::urban air close to ground</t>
        </is>
      </c>
      <c r="F321" t="inlineStr">
        <is>
          <t>biosphere</t>
        </is>
      </c>
      <c r="G321" t="inlineStr">
        <is>
          <t>Cyclohexane</t>
        </is>
      </c>
    </row>
    <row r="322">
      <c r="A322" t="inlineStr">
        <is>
          <t>Heptane</t>
        </is>
      </c>
      <c r="B322" s="7" t="n">
        <v>3.960985403239846e-07</v>
      </c>
      <c r="D322" t="inlineStr">
        <is>
          <t>kilogram</t>
        </is>
      </c>
      <c r="E322" t="inlineStr">
        <is>
          <t>air::urban air close to ground</t>
        </is>
      </c>
      <c r="F322" t="inlineStr">
        <is>
          <t>biosphere</t>
        </is>
      </c>
      <c r="G322" t="inlineStr">
        <is>
          <t>Heptane</t>
        </is>
      </c>
    </row>
    <row r="323">
      <c r="A323" t="inlineStr">
        <is>
          <t>Ethene</t>
        </is>
      </c>
      <c r="B323" s="7" t="n">
        <v>3.907458573466334e-06</v>
      </c>
      <c r="D323" t="inlineStr">
        <is>
          <t>kilogram</t>
        </is>
      </c>
      <c r="E323" t="inlineStr">
        <is>
          <t>air::urban air close to ground</t>
        </is>
      </c>
      <c r="F323" t="inlineStr">
        <is>
          <t>biosphere</t>
        </is>
      </c>
      <c r="G323" t="inlineStr">
        <is>
          <t>Ethene</t>
        </is>
      </c>
    </row>
    <row r="324">
      <c r="A324" t="inlineStr">
        <is>
          <t>Propene</t>
        </is>
      </c>
      <c r="B324" s="7" t="n">
        <v>2.044724897348136e-06</v>
      </c>
      <c r="D324" t="inlineStr">
        <is>
          <t>kilogram</t>
        </is>
      </c>
      <c r="E324" t="inlineStr">
        <is>
          <t>air::urban air close to ground</t>
        </is>
      </c>
      <c r="F324" t="inlineStr">
        <is>
          <t>biosphere</t>
        </is>
      </c>
      <c r="G324" t="inlineStr">
        <is>
          <t>Propene</t>
        </is>
      </c>
    </row>
    <row r="325">
      <c r="A325" t="inlineStr">
        <is>
          <t>1-Pentene</t>
        </is>
      </c>
      <c r="B325" s="7" t="n">
        <v>5.887951275086257e-08</v>
      </c>
      <c r="D325" t="inlineStr">
        <is>
          <t>kilogram</t>
        </is>
      </c>
      <c r="E325" t="inlineStr">
        <is>
          <t>air::urban air close to ground</t>
        </is>
      </c>
      <c r="F325" t="inlineStr">
        <is>
          <t>biosphere</t>
        </is>
      </c>
      <c r="G325" t="inlineStr">
        <is>
          <t>1-Pentene</t>
        </is>
      </c>
    </row>
    <row r="326">
      <c r="A326" t="inlineStr">
        <is>
          <t>Toluene</t>
        </is>
      </c>
      <c r="B326" s="7" t="n">
        <v>5.877245909131555e-06</v>
      </c>
      <c r="D326" t="inlineStr">
        <is>
          <t>kilogram</t>
        </is>
      </c>
      <c r="E326" t="inlineStr">
        <is>
          <t>air::urban air close to ground</t>
        </is>
      </c>
      <c r="F326" t="inlineStr">
        <is>
          <t>biosphere</t>
        </is>
      </c>
      <c r="G326" t="inlineStr">
        <is>
          <t>Toluene</t>
        </is>
      </c>
    </row>
    <row r="327">
      <c r="A327" t="inlineStr">
        <is>
          <t>m-Xylene</t>
        </is>
      </c>
      <c r="B327" s="7" t="n">
        <v>2.906506856701671e-06</v>
      </c>
      <c r="D327" t="inlineStr">
        <is>
          <t>kilogram</t>
        </is>
      </c>
      <c r="E327" t="inlineStr">
        <is>
          <t>air::urban air close to ground</t>
        </is>
      </c>
      <c r="F327" t="inlineStr">
        <is>
          <t>biosphere</t>
        </is>
      </c>
      <c r="G327" t="inlineStr">
        <is>
          <t>m-Xylene</t>
        </is>
      </c>
    </row>
    <row r="328">
      <c r="A328" t="inlineStr">
        <is>
          <t>o-Xylene</t>
        </is>
      </c>
      <c r="B328" s="7" t="n">
        <v>1.209706352881358e-06</v>
      </c>
      <c r="D328" t="inlineStr">
        <is>
          <t>kilogram</t>
        </is>
      </c>
      <c r="E328" t="inlineStr">
        <is>
          <t>air::urban air close to ground</t>
        </is>
      </c>
      <c r="F328" t="inlineStr">
        <is>
          <t>biosphere</t>
        </is>
      </c>
      <c r="G328" t="inlineStr">
        <is>
          <t>o-Xylene</t>
        </is>
      </c>
    </row>
    <row r="329">
      <c r="A329" t="inlineStr">
        <is>
          <t>Formaldehyde</t>
        </is>
      </c>
      <c r="B329" s="7" t="n">
        <v>9.099561061496942e-07</v>
      </c>
      <c r="D329" t="inlineStr">
        <is>
          <t>kilogram</t>
        </is>
      </c>
      <c r="E329" t="inlineStr">
        <is>
          <t>air::urban air close to ground</t>
        </is>
      </c>
      <c r="F329" t="inlineStr">
        <is>
          <t>biosphere</t>
        </is>
      </c>
      <c r="G329" t="inlineStr">
        <is>
          <t>Formaldehyde</t>
        </is>
      </c>
    </row>
    <row r="330">
      <c r="A330" t="inlineStr">
        <is>
          <t>Acetaldehyde</t>
        </is>
      </c>
      <c r="B330" s="7" t="n">
        <v>4.014512233013357e-07</v>
      </c>
      <c r="D330" t="inlineStr">
        <is>
          <t>kilogram</t>
        </is>
      </c>
      <c r="E330" t="inlineStr">
        <is>
          <t>air::urban air close to ground</t>
        </is>
      </c>
      <c r="F330" t="inlineStr">
        <is>
          <t>biosphere</t>
        </is>
      </c>
      <c r="G330" t="inlineStr">
        <is>
          <t>Acetaldehyde</t>
        </is>
      </c>
    </row>
    <row r="331">
      <c r="A331" t="inlineStr">
        <is>
          <t>Benzaldehyde</t>
        </is>
      </c>
      <c r="B331" s="7" t="n">
        <v>1.177590255017251e-07</v>
      </c>
      <c r="D331" t="inlineStr">
        <is>
          <t>kilogram</t>
        </is>
      </c>
      <c r="E331" t="inlineStr">
        <is>
          <t>air::urban air close to ground</t>
        </is>
      </c>
      <c r="F331" t="inlineStr">
        <is>
          <t>biosphere</t>
        </is>
      </c>
      <c r="G331" t="inlineStr">
        <is>
          <t>Benzaldehyde</t>
        </is>
      </c>
    </row>
    <row r="332">
      <c r="A332" t="inlineStr">
        <is>
          <t>Acetone</t>
        </is>
      </c>
      <c r="B332" s="7" t="n">
        <v>3.265136616184197e-07</v>
      </c>
      <c r="D332" t="inlineStr">
        <is>
          <t>kilogram</t>
        </is>
      </c>
      <c r="E332" t="inlineStr">
        <is>
          <t>air::urban air close to ground</t>
        </is>
      </c>
      <c r="F332" t="inlineStr">
        <is>
          <t>biosphere</t>
        </is>
      </c>
      <c r="G332" t="inlineStr">
        <is>
          <t>Acetone</t>
        </is>
      </c>
    </row>
    <row r="333">
      <c r="A333" t="inlineStr">
        <is>
          <t>Methyl ethyl ketone</t>
        </is>
      </c>
      <c r="B333" s="7" t="n">
        <v>0</v>
      </c>
      <c r="D333" t="inlineStr">
        <is>
          <t>kilogram</t>
        </is>
      </c>
      <c r="E333" t="inlineStr">
        <is>
          <t>air::urban air close to ground</t>
        </is>
      </c>
      <c r="F333" t="inlineStr">
        <is>
          <t>biosphere</t>
        </is>
      </c>
      <c r="G333" t="inlineStr">
        <is>
          <t>Methyl ethyl ketone</t>
        </is>
      </c>
    </row>
    <row r="334">
      <c r="A334" t="inlineStr">
        <is>
          <t>Acrolein</t>
        </is>
      </c>
      <c r="B334" s="7" t="n">
        <v>1.017009765696717e-07</v>
      </c>
      <c r="D334" t="inlineStr">
        <is>
          <t>kilogram</t>
        </is>
      </c>
      <c r="E334" t="inlineStr">
        <is>
          <t>air::urban air close to ground</t>
        </is>
      </c>
      <c r="F334" t="inlineStr">
        <is>
          <t>biosphere</t>
        </is>
      </c>
      <c r="G334" t="inlineStr">
        <is>
          <t>Acrolein</t>
        </is>
      </c>
    </row>
    <row r="335">
      <c r="A335" t="inlineStr">
        <is>
          <t>Styrene</t>
        </is>
      </c>
      <c r="B335" s="7" t="n">
        <v>5.406209807124654e-07</v>
      </c>
      <c r="D335" t="inlineStr">
        <is>
          <t>kilogram</t>
        </is>
      </c>
      <c r="E335" t="inlineStr">
        <is>
          <t>air::urban air close to ground</t>
        </is>
      </c>
      <c r="F335" t="inlineStr">
        <is>
          <t>biosphere</t>
        </is>
      </c>
      <c r="G335" t="inlineStr">
        <is>
          <t>Styrene</t>
        </is>
      </c>
    </row>
    <row r="336">
      <c r="A336" t="inlineStr">
        <is>
          <t>PAH, polycyclic aromatic hydrocarbons</t>
        </is>
      </c>
      <c r="B336" s="7" t="n">
        <v>8.235414342895859e-10</v>
      </c>
      <c r="D336" t="inlineStr">
        <is>
          <t>kilogram</t>
        </is>
      </c>
      <c r="E336" t="inlineStr">
        <is>
          <t>air::urban air close to ground</t>
        </is>
      </c>
      <c r="F336" t="inlineStr">
        <is>
          <t>biosphere</t>
        </is>
      </c>
      <c r="G336" t="inlineStr">
        <is>
          <t>PAHs</t>
        </is>
      </c>
    </row>
    <row r="337">
      <c r="A337" t="inlineStr">
        <is>
          <t>Arsenic</t>
        </is>
      </c>
      <c r="B337" s="7" t="n">
        <v>7.099495123186085e-12</v>
      </c>
      <c r="D337" t="inlineStr">
        <is>
          <t>kilogram</t>
        </is>
      </c>
      <c r="E337" t="inlineStr">
        <is>
          <t>air::urban air close to ground</t>
        </is>
      </c>
      <c r="F337" t="inlineStr">
        <is>
          <t>biosphere</t>
        </is>
      </c>
      <c r="G337" t="inlineStr">
        <is>
          <t>Arsenic</t>
        </is>
      </c>
    </row>
    <row r="338">
      <c r="A338" t="inlineStr">
        <is>
          <t>Selenium</t>
        </is>
      </c>
      <c r="B338" s="7" t="n">
        <v>4.732996748790723e-12</v>
      </c>
      <c r="D338" t="inlineStr">
        <is>
          <t>kilogram</t>
        </is>
      </c>
      <c r="E338" t="inlineStr">
        <is>
          <t>air::urban air close to ground</t>
        </is>
      </c>
      <c r="F338" t="inlineStr">
        <is>
          <t>biosphere</t>
        </is>
      </c>
      <c r="G338" t="inlineStr">
        <is>
          <t>Selenium</t>
        </is>
      </c>
    </row>
    <row r="339">
      <c r="A339" t="inlineStr">
        <is>
          <t>Zinc</t>
        </is>
      </c>
      <c r="B339" s="7" t="n">
        <v>5.111636488693982e-08</v>
      </c>
      <c r="D339" t="inlineStr">
        <is>
          <t>kilogram</t>
        </is>
      </c>
      <c r="E339" t="inlineStr">
        <is>
          <t>air::urban air close to ground</t>
        </is>
      </c>
      <c r="F339" t="inlineStr">
        <is>
          <t>biosphere</t>
        </is>
      </c>
      <c r="G339" t="inlineStr">
        <is>
          <t>Zinc</t>
        </is>
      </c>
    </row>
    <row r="340">
      <c r="A340" t="inlineStr">
        <is>
          <t>Copper</t>
        </is>
      </c>
      <c r="B340" s="7" t="n">
        <v>9.939293172460518e-10</v>
      </c>
      <c r="D340" t="inlineStr">
        <is>
          <t>kilogram</t>
        </is>
      </c>
      <c r="E340" t="inlineStr">
        <is>
          <t>air::urban air close to ground</t>
        </is>
      </c>
      <c r="F340" t="inlineStr">
        <is>
          <t>biosphere</t>
        </is>
      </c>
      <c r="G340" t="inlineStr">
        <is>
          <t>Copper</t>
        </is>
      </c>
    </row>
    <row r="341">
      <c r="A341" t="inlineStr">
        <is>
          <t>Nickel</t>
        </is>
      </c>
      <c r="B341" s="7" t="n">
        <v>3.07644788671397e-10</v>
      </c>
      <c r="D341" t="inlineStr">
        <is>
          <t>kilogram</t>
        </is>
      </c>
      <c r="E341" t="inlineStr">
        <is>
          <t>air::urban air close to ground</t>
        </is>
      </c>
      <c r="F341" t="inlineStr">
        <is>
          <t>biosphere</t>
        </is>
      </c>
      <c r="G341" t="inlineStr">
        <is>
          <t>Nickel</t>
        </is>
      </c>
    </row>
    <row r="342">
      <c r="A342" t="inlineStr">
        <is>
          <t>Chromium</t>
        </is>
      </c>
      <c r="B342" s="7" t="n">
        <v>3.786397399032579e-10</v>
      </c>
      <c r="D342" t="inlineStr">
        <is>
          <t>kilogram</t>
        </is>
      </c>
      <c r="E342" t="inlineStr">
        <is>
          <t>air::urban air close to ground</t>
        </is>
      </c>
      <c r="F342" t="inlineStr">
        <is>
          <t>biosphere</t>
        </is>
      </c>
      <c r="G342" t="inlineStr">
        <is>
          <t>Chromium</t>
        </is>
      </c>
    </row>
    <row r="343">
      <c r="A343" t="inlineStr">
        <is>
          <t>Chromium VI</t>
        </is>
      </c>
      <c r="B343" s="7" t="n">
        <v>7.572794798065157e-13</v>
      </c>
      <c r="D343" t="inlineStr">
        <is>
          <t>kilogram</t>
        </is>
      </c>
      <c r="E343" t="inlineStr">
        <is>
          <t>air::urban air close to ground</t>
        </is>
      </c>
      <c r="F343" t="inlineStr">
        <is>
          <t>biosphere</t>
        </is>
      </c>
      <c r="G343" t="inlineStr">
        <is>
          <t>Chromium VI</t>
        </is>
      </c>
    </row>
    <row r="344">
      <c r="A344" t="inlineStr">
        <is>
          <t>Mercury</t>
        </is>
      </c>
      <c r="B344" s="7" t="n">
        <v>2.058853585723965e-10</v>
      </c>
      <c r="D344" t="inlineStr">
        <is>
          <t>kilogram</t>
        </is>
      </c>
      <c r="E344" t="inlineStr">
        <is>
          <t>air::urban air close to ground</t>
        </is>
      </c>
      <c r="F344" t="inlineStr">
        <is>
          <t>biosphere</t>
        </is>
      </c>
      <c r="G344" t="inlineStr">
        <is>
          <t>Mercury</t>
        </is>
      </c>
    </row>
    <row r="345">
      <c r="A345" t="inlineStr">
        <is>
          <t>Cadmium</t>
        </is>
      </c>
      <c r="B345" s="7" t="n">
        <v>2.555818244346991e-10</v>
      </c>
      <c r="D345" t="inlineStr">
        <is>
          <t>kilogram</t>
        </is>
      </c>
      <c r="E345" t="inlineStr">
        <is>
          <t>air::urban air close to ground</t>
        </is>
      </c>
      <c r="F345" t="inlineStr">
        <is>
          <t>biosphere</t>
        </is>
      </c>
      <c r="G345" t="inlineStr">
        <is>
          <t>Cadmium</t>
        </is>
      </c>
    </row>
    <row r="346">
      <c r="A346" t="inlineStr">
        <is>
          <t>treatment of road wear emissions, passenger car</t>
        </is>
      </c>
      <c r="B346" s="7" t="n">
        <v>-7.501032000363144e-06</v>
      </c>
      <c r="C346" t="inlineStr">
        <is>
          <t>RER</t>
        </is>
      </c>
      <c r="D346" t="inlineStr">
        <is>
          <t>kilogram</t>
        </is>
      </c>
      <c r="F346" t="inlineStr">
        <is>
          <t>technosphere</t>
        </is>
      </c>
      <c r="G346" t="inlineStr">
        <is>
          <t>Road wear [kg/km]</t>
        </is>
      </c>
      <c r="H346" t="inlineStr">
        <is>
          <t>road wear emissions, passenger car</t>
        </is>
      </c>
    </row>
    <row r="347">
      <c r="A347" t="inlineStr">
        <is>
          <t>treatment of tyre wear emissions, passenger car</t>
        </is>
      </c>
      <c r="B347" s="7" t="n">
        <v>-5.725595322112941e-06</v>
      </c>
      <c r="C347" t="inlineStr">
        <is>
          <t>RER</t>
        </is>
      </c>
      <c r="D347" t="inlineStr">
        <is>
          <t>kilogram</t>
        </is>
      </c>
      <c r="F347" t="inlineStr">
        <is>
          <t>technosphere</t>
        </is>
      </c>
      <c r="G347" t="inlineStr">
        <is>
          <t>Tire wear [kg/km]</t>
        </is>
      </c>
      <c r="H347" t="inlineStr">
        <is>
          <t>tyre wear emissions, passenger car</t>
        </is>
      </c>
    </row>
    <row r="348">
      <c r="A348" t="inlineStr">
        <is>
          <t>treatment of brake wear emissions, passenger car</t>
        </is>
      </c>
      <c r="B348" s="7" t="n">
        <v>-4.095110227642976e-06</v>
      </c>
      <c r="C348" t="inlineStr">
        <is>
          <t>RER</t>
        </is>
      </c>
      <c r="D348" t="inlineStr">
        <is>
          <t>kilogram</t>
        </is>
      </c>
      <c r="F348" t="inlineStr">
        <is>
          <t>technosphere</t>
        </is>
      </c>
      <c r="G348" t="inlineStr">
        <is>
          <t>Brake wear [kg/km]</t>
        </is>
      </c>
      <c r="H348" t="inlineStr">
        <is>
          <t>brake wear emissions, passenger car</t>
        </is>
      </c>
    </row>
    <row r="349">
      <c r="B349" s="6" t="n"/>
    </row>
    <row r="350"/>
    <row r="351"/>
    <row r="352">
      <c r="B352" s="11" t="n"/>
    </row>
    <row r="353">
      <c r="B353" s="12" t="n"/>
    </row>
    <row r="354">
      <c r="B354" s="11" t="n"/>
    </row>
    <row r="355"/>
    <row r="356" ht="16" customHeight="1">
      <c r="A356" s="10" t="n"/>
      <c r="B356" s="8" t="n"/>
    </row>
    <row r="357"/>
    <row r="358"/>
    <row r="359"/>
    <row r="360"/>
    <row r="361"/>
    <row r="362"/>
    <row r="363"/>
    <row r="364"/>
    <row r="365"/>
    <row r="366"/>
    <row r="367"/>
    <row r="368"/>
    <row r="369"/>
    <row r="370"/>
    <row r="371"/>
    <row r="372"/>
    <row r="373"/>
    <row r="374"/>
    <row r="375"/>
    <row r="376"/>
    <row r="377"/>
    <row r="378"/>
    <row r="379">
      <c r="B379" s="6" t="n"/>
    </row>
    <row r="380"/>
    <row r="381" ht="16" customHeight="1">
      <c r="A381" s="10" t="n"/>
    </row>
    <row r="382"/>
    <row r="383"/>
    <row r="384"/>
    <row r="385">
      <c r="B385" s="11" t="n"/>
    </row>
    <row r="386">
      <c r="B386" s="12" t="n"/>
    </row>
    <row r="387">
      <c r="B387" s="11" t="n"/>
    </row>
    <row r="388"/>
    <row r="389" ht="16" customHeight="1">
      <c r="A389" s="10" t="n"/>
      <c r="B389" s="8" t="n"/>
    </row>
    <row r="390"/>
    <row r="391"/>
    <row r="392"/>
    <row r="393"/>
    <row r="394"/>
    <row r="395"/>
    <row r="396"/>
    <row r="397"/>
    <row r="398"/>
    <row r="399"/>
    <row r="400"/>
    <row r="401"/>
    <row r="402"/>
    <row r="403"/>
    <row r="404"/>
    <row r="405"/>
    <row r="406"/>
    <row r="407"/>
    <row r="408"/>
    <row r="409"/>
    <row r="410"/>
    <row r="411"/>
    <row r="412">
      <c r="B412" s="6" t="n"/>
    </row>
    <row r="413"/>
    <row r="414" ht="16" customHeight="1">
      <c r="A414" s="10" t="n"/>
    </row>
    <row r="415"/>
    <row r="416"/>
    <row r="417"/>
    <row r="418">
      <c r="B418" s="11" t="n"/>
    </row>
    <row r="419">
      <c r="B419" s="12" t="n"/>
    </row>
    <row r="420">
      <c r="B420" s="11" t="n"/>
    </row>
  </sheetData>
  <pageMargins left="0.7" right="0.7" top="0.75" bottom="0.75" header="0.3" footer="0.3"/>
  <pageSetup orientation="portrait" horizontalDpi="300" verticalDpi="300"/>
</worksheet>
</file>

<file path=xl/worksheets/sheet15.xml><?xml version="1.0" encoding="utf-8"?>
<worksheet xmlns="http://schemas.openxmlformats.org/spreadsheetml/2006/main">
  <sheetPr>
    <outlinePr summaryBelow="1" summaryRight="1"/>
    <pageSetUpPr/>
  </sheetPr>
  <dimension ref="A1:H420"/>
  <sheetViews>
    <sheetView topLeftCell="A273" workbookViewId="0">
      <selection activeCell="G298" sqref="G298"/>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Motorbike, gasoline, 11-35kW, EURO-3</t>
        </is>
      </c>
    </row>
    <row r="2">
      <c r="A2" t="inlineStr">
        <is>
          <t>location</t>
        </is>
      </c>
      <c r="B2" t="inlineStr">
        <is>
          <t>CH</t>
        </is>
      </c>
    </row>
    <row r="3">
      <c r="A3" t="inlineStr">
        <is>
          <t>vehicle</t>
        </is>
      </c>
      <c r="B3" t="inlineStr">
        <is>
          <t>Motorbike, gasoline, 11-35kW, EURO-3</t>
        </is>
      </c>
    </row>
    <row r="4">
      <c r="A4" t="inlineStr">
        <is>
          <t>size</t>
        </is>
      </c>
    </row>
    <row r="5">
      <c r="A5" t="inlineStr">
        <is>
          <t>year</t>
        </is>
      </c>
      <c r="B5" t="n">
        <v>2006</v>
      </c>
    </row>
    <row r="6">
      <c r="A6" t="inlineStr">
        <is>
          <t>full name</t>
        </is>
      </c>
      <c r="B6" t="inlineStr">
        <is>
          <t>Motorbike, gasoline, 11-35kW, EURO-3 - 2006 - CH</t>
        </is>
      </c>
    </row>
    <row r="7">
      <c r="A7" t="inlineStr">
        <is>
          <t>reference product</t>
        </is>
      </c>
      <c r="B7" t="inlineStr">
        <is>
          <t>Motorbike, gasoline, 11-35kW, EURO-3</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38500</v>
      </c>
    </row>
    <row r="12">
      <c r="A12" t="inlineStr">
        <is>
          <t>passengers</t>
        </is>
      </c>
      <c r="B12" t="n">
        <v>1.1</v>
      </c>
    </row>
    <row r="13">
      <c r="A13" t="inlineStr">
        <is>
          <t>service</t>
        </is>
      </c>
      <c r="B13" t="n">
        <v>1.54</v>
      </c>
    </row>
    <row r="14">
      <c r="A14" t="inlineStr">
        <is>
          <t>battery replacement</t>
        </is>
      </c>
      <c r="B14" t="n">
        <v>0</v>
      </c>
    </row>
    <row r="15">
      <c r="A15" t="inlineStr">
        <is>
          <t>annual kilometers</t>
        </is>
      </c>
      <c r="B15" t="n">
        <v>2405</v>
      </c>
    </row>
    <row r="16">
      <c r="A16" t="inlineStr">
        <is>
          <t>curb mass</t>
        </is>
      </c>
      <c r="B16" s="2" t="n">
        <v>159.9875</v>
      </c>
    </row>
    <row r="17">
      <c r="A17" t="inlineStr">
        <is>
          <t>power</t>
        </is>
      </c>
      <c r="B17" t="n">
        <v>20</v>
      </c>
    </row>
    <row r="18">
      <c r="A18" t="inlineStr">
        <is>
          <t>battery mass</t>
        </is>
      </c>
    </row>
    <row r="19">
      <c r="A19" t="inlineStr">
        <is>
          <t>electricity, low voltage</t>
        </is>
      </c>
      <c r="B19" t="n">
        <v>0</v>
      </c>
    </row>
    <row r="20">
      <c r="A20" t="inlineStr">
        <is>
          <t>tank capacity</t>
        </is>
      </c>
      <c r="B20" s="2" t="n">
        <v>133.125</v>
      </c>
    </row>
    <row r="21">
      <c r="A21" t="inlineStr">
        <is>
          <t>fuel mass</t>
        </is>
      </c>
      <c r="B21" t="n">
        <v>11.25</v>
      </c>
    </row>
    <row r="22">
      <c r="A22" t="inlineStr">
        <is>
          <t>range</t>
        </is>
      </c>
      <c r="B22" s="2" t="n">
        <v>322.0229102242386</v>
      </c>
    </row>
    <row r="23">
      <c r="A23" t="inlineStr">
        <is>
          <t>emission standard</t>
        </is>
      </c>
      <c r="B23" t="inlineStr">
        <is>
          <t>EURO-3</t>
        </is>
      </c>
    </row>
    <row r="24" ht="15" customHeight="1">
      <c r="A24" t="inlineStr">
        <is>
          <t>Glider lightweighting</t>
        </is>
      </c>
      <c r="B24" s="6" t="n">
        <v>-0.05</v>
      </c>
    </row>
    <row r="25">
      <c r="A25" t="inlineStr">
        <is>
          <t>origin</t>
        </is>
      </c>
      <c r="B25" s="6" t="inlineStr">
        <is>
          <t>China</t>
        </is>
      </c>
    </row>
    <row r="26">
      <c r="A26" t="inlineStr">
        <is>
          <t>distance by ship [km]</t>
        </is>
      </c>
      <c r="B26" s="2" t="n">
        <v>15900</v>
      </c>
    </row>
    <row r="27">
      <c r="A27" t="inlineStr">
        <is>
          <t>distance by truck [km]</t>
        </is>
      </c>
      <c r="B27" s="2" t="n">
        <v>1000</v>
      </c>
    </row>
    <row r="28">
      <c r="A28" t="inlineStr">
        <is>
          <t>comment</t>
        </is>
      </c>
      <c r="B28" t="inlineStr">
        <is>
          <t>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ht="16" customHeight="1">
      <c r="A29" s="10" t="inlineStr">
        <is>
          <t>Exchanges</t>
        </is>
      </c>
    </row>
    <row r="30">
      <c r="A30" t="inlineStr">
        <is>
          <t>name</t>
        </is>
      </c>
      <c r="B30" t="inlineStr">
        <is>
          <t>amount</t>
        </is>
      </c>
      <c r="C30" t="inlineStr">
        <is>
          <t>location</t>
        </is>
      </c>
      <c r="D30" t="inlineStr">
        <is>
          <t>unit</t>
        </is>
      </c>
      <c r="E30" t="inlineStr">
        <is>
          <t>categories</t>
        </is>
      </c>
      <c r="F30" t="inlineStr">
        <is>
          <t>type</t>
        </is>
      </c>
      <c r="G30" t="inlineStr">
        <is>
          <t>comment</t>
        </is>
      </c>
      <c r="H30" t="inlineStr">
        <is>
          <t>reference product</t>
        </is>
      </c>
    </row>
    <row r="31">
      <c r="A31" t="inlineStr">
        <is>
          <t>Motorbike, gasoline, 11-35kW, EURO-3</t>
        </is>
      </c>
      <c r="B31" t="n">
        <v>1</v>
      </c>
      <c r="C31" t="inlineStr">
        <is>
          <t>CH</t>
        </is>
      </c>
      <c r="D31" t="inlineStr">
        <is>
          <t>unit</t>
        </is>
      </c>
      <c r="F31" t="inlineStr">
        <is>
          <t>production</t>
        </is>
      </c>
      <c r="H31" t="inlineStr">
        <is>
          <t>Motorbike, gasoline, 11-35kW, EURO-3</t>
        </is>
      </c>
    </row>
    <row r="32">
      <c r="A32" t="inlineStr">
        <is>
          <t>motor scooter production</t>
        </is>
      </c>
      <c r="B32" s="6" t="n">
        <v>0.9</v>
      </c>
      <c r="C32" t="inlineStr">
        <is>
          <t>RER</t>
        </is>
      </c>
      <c r="D32" t="inlineStr">
        <is>
          <t>unit</t>
        </is>
      </c>
      <c r="F32" t="inlineStr">
        <is>
          <t>technosphere</t>
        </is>
      </c>
      <c r="G32" t="inlineStr">
        <is>
          <t>Glider base mass [kg]</t>
        </is>
      </c>
      <c r="H32" t="inlineStr">
        <is>
          <t>motor scooter, 50 cubic cm engine</t>
        </is>
      </c>
    </row>
    <row r="33">
      <c r="A33" t="inlineStr">
        <is>
          <t>motor scooter production</t>
        </is>
      </c>
      <c r="B33" s="6" t="n">
        <v>0.6888888888888889</v>
      </c>
      <c r="C33" t="inlineStr">
        <is>
          <t>RER</t>
        </is>
      </c>
      <c r="D33" t="inlineStr">
        <is>
          <t>unit</t>
        </is>
      </c>
      <c r="F33" t="inlineStr">
        <is>
          <t>technosphere</t>
        </is>
      </c>
      <c r="G33" t="inlineStr">
        <is>
          <t>Mechanical powertrain mass [kg]</t>
        </is>
      </c>
      <c r="H33" t="inlineStr">
        <is>
          <t>motor scooter, 50 cubic cm engine</t>
        </is>
      </c>
    </row>
    <row r="34">
      <c r="A34" t="inlineStr">
        <is>
          <t>polyethylene production, high density, granulate</t>
        </is>
      </c>
      <c r="B34" s="6" t="n">
        <v>1.6875</v>
      </c>
      <c r="C34" t="inlineStr">
        <is>
          <t>RER</t>
        </is>
      </c>
      <c r="D34" t="inlineStr">
        <is>
          <t>kilogram</t>
        </is>
      </c>
      <c r="F34" t="inlineStr">
        <is>
          <t>technosphere</t>
        </is>
      </c>
      <c r="G34" t="inlineStr">
        <is>
          <t>Fuel tank mass [kg]</t>
        </is>
      </c>
      <c r="H34" t="inlineStr">
        <is>
          <t>polyethylene, high density, granulate</t>
        </is>
      </c>
    </row>
    <row r="35">
      <c r="A35" t="inlineStr">
        <is>
          <t>injection moulding</t>
        </is>
      </c>
      <c r="B35" s="6" t="n">
        <v>1.697686116700201</v>
      </c>
      <c r="C35" t="inlineStr">
        <is>
          <t>RER</t>
        </is>
      </c>
      <c r="D35" t="inlineStr">
        <is>
          <t>kilogram</t>
        </is>
      </c>
      <c r="F35" t="inlineStr">
        <is>
          <t>technosphere</t>
        </is>
      </c>
      <c r="G35" t="inlineStr">
        <is>
          <t>Fuel tank shaping</t>
        </is>
      </c>
      <c r="H35" t="inlineStr">
        <is>
          <t>injection moulding</t>
        </is>
      </c>
    </row>
    <row r="36">
      <c r="A36" s="13" t="inlineStr">
        <is>
          <t>market for transport, freight, lorry, unspecified</t>
        </is>
      </c>
      <c r="B36" s="2" t="n">
        <v>159.9875</v>
      </c>
      <c r="C36" t="inlineStr">
        <is>
          <t>RER</t>
        </is>
      </c>
      <c r="D36" t="inlineStr">
        <is>
          <t>ton kilometer</t>
        </is>
      </c>
      <c r="F36" t="inlineStr">
        <is>
          <t>technosphere</t>
        </is>
      </c>
      <c r="H36" s="13" t="inlineStr">
        <is>
          <t>transport, freight, lorry, unspecified</t>
        </is>
      </c>
    </row>
    <row r="37">
      <c r="A37" s="13" t="inlineStr">
        <is>
          <t>transport, freight, sea, container ship</t>
        </is>
      </c>
      <c r="B37" s="2" t="n">
        <v>2543.80125</v>
      </c>
      <c r="C37" t="inlineStr">
        <is>
          <t>GLO</t>
        </is>
      </c>
      <c r="D37" t="inlineStr">
        <is>
          <t>ton kilometer</t>
        </is>
      </c>
      <c r="F37" t="inlineStr">
        <is>
          <t>technosphere</t>
        </is>
      </c>
      <c r="H37" s="13" t="inlineStr">
        <is>
          <t>transport, freight, sea, container ship</t>
        </is>
      </c>
    </row>
    <row r="38">
      <c r="B38" s="11" t="n"/>
    </row>
    <row r="39" ht="16" customHeight="1">
      <c r="A39" s="10" t="inlineStr">
        <is>
          <t>Activity</t>
        </is>
      </c>
      <c r="B39" s="8" t="inlineStr">
        <is>
          <t>Motorbike, gasoline, 11-35kW, EURO-4</t>
        </is>
      </c>
    </row>
    <row r="40">
      <c r="A40" t="inlineStr">
        <is>
          <t>location</t>
        </is>
      </c>
      <c r="B40" t="inlineStr">
        <is>
          <t>CH</t>
        </is>
      </c>
    </row>
    <row r="41">
      <c r="A41" t="inlineStr">
        <is>
          <t>vehicle</t>
        </is>
      </c>
      <c r="B41" t="inlineStr">
        <is>
          <t>Motorbike, gasoline, 11-35kW, EURO-4</t>
        </is>
      </c>
    </row>
    <row r="42">
      <c r="A42" t="inlineStr">
        <is>
          <t>size</t>
        </is>
      </c>
    </row>
    <row r="43">
      <c r="A43" t="inlineStr">
        <is>
          <t>year</t>
        </is>
      </c>
      <c r="B43" t="n">
        <v>2016</v>
      </c>
    </row>
    <row r="44">
      <c r="A44" t="inlineStr">
        <is>
          <t>full name</t>
        </is>
      </c>
      <c r="B44" t="inlineStr">
        <is>
          <t>Motorbike, gasoline, 11-35kW, EURO-4 - 2016 - CH</t>
        </is>
      </c>
    </row>
    <row r="45">
      <c r="A45" t="inlineStr">
        <is>
          <t>reference product</t>
        </is>
      </c>
      <c r="B45" t="inlineStr">
        <is>
          <t>Motorbike, gasoline, 11-35kW, EURO-4</t>
        </is>
      </c>
    </row>
    <row r="46">
      <c r="A46" t="inlineStr">
        <is>
          <t>type</t>
        </is>
      </c>
      <c r="B46" t="inlineStr">
        <is>
          <t>process</t>
        </is>
      </c>
    </row>
    <row r="47">
      <c r="A47" t="inlineStr">
        <is>
          <t>unit</t>
        </is>
      </c>
      <c r="B47" t="inlineStr">
        <is>
          <t>unit</t>
        </is>
      </c>
    </row>
    <row r="48">
      <c r="A48" t="inlineStr">
        <is>
          <t>source</t>
        </is>
      </c>
      <c r="B48" t="inlineStr">
        <is>
          <t>Sacchi R., Bauer C. Life cycle inventories for on-road vehicles. Paul Scherrer Institut, 2021.</t>
        </is>
      </c>
    </row>
    <row r="49">
      <c r="A49" t="inlineStr">
        <is>
          <t>lifetime</t>
        </is>
      </c>
      <c r="B49" t="n">
        <v>38500</v>
      </c>
    </row>
    <row r="50">
      <c r="A50" t="inlineStr">
        <is>
          <t>passengers</t>
        </is>
      </c>
      <c r="B50" t="n">
        <v>1.1</v>
      </c>
    </row>
    <row r="51">
      <c r="A51" t="inlineStr">
        <is>
          <t>service</t>
        </is>
      </c>
      <c r="B51" t="n">
        <v>1.54</v>
      </c>
    </row>
    <row r="52">
      <c r="A52" t="inlineStr">
        <is>
          <t>battery replacement</t>
        </is>
      </c>
      <c r="B52" t="n">
        <v>0</v>
      </c>
    </row>
    <row r="53">
      <c r="A53" t="inlineStr">
        <is>
          <t>annual kilometers</t>
        </is>
      </c>
      <c r="B53" t="n">
        <v>2405</v>
      </c>
    </row>
    <row r="54">
      <c r="A54" t="inlineStr">
        <is>
          <t>curb mass</t>
        </is>
      </c>
      <c r="B54" s="2" t="n">
        <v>157.5575</v>
      </c>
    </row>
    <row r="55">
      <c r="A55" t="inlineStr">
        <is>
          <t>power</t>
        </is>
      </c>
      <c r="B55" t="n">
        <v>20</v>
      </c>
    </row>
    <row r="56">
      <c r="A56" t="inlineStr">
        <is>
          <t>battery mass</t>
        </is>
      </c>
    </row>
    <row r="57">
      <c r="A57" t="inlineStr">
        <is>
          <t>electricity, low voltage</t>
        </is>
      </c>
      <c r="B57" t="n">
        <v>0</v>
      </c>
    </row>
    <row r="58">
      <c r="A58" t="inlineStr">
        <is>
          <t>tank capacity</t>
        </is>
      </c>
      <c r="B58" s="2" t="n">
        <v>133.125</v>
      </c>
    </row>
    <row r="59">
      <c r="A59" t="inlineStr">
        <is>
          <t>fuel mass</t>
        </is>
      </c>
      <c r="B59" t="n">
        <v>11.25</v>
      </c>
    </row>
    <row r="60">
      <c r="A60" t="inlineStr">
        <is>
          <t>range</t>
        </is>
      </c>
      <c r="B60" s="2" t="n">
        <v>325.243139326481</v>
      </c>
    </row>
    <row r="61">
      <c r="A61" t="inlineStr">
        <is>
          <t>emission standard</t>
        </is>
      </c>
      <c r="B61" t="inlineStr">
        <is>
          <t>EURO-4</t>
        </is>
      </c>
    </row>
    <row r="62">
      <c r="A62" t="inlineStr">
        <is>
          <t>Glider lightweighting</t>
        </is>
      </c>
      <c r="B62" s="6" t="n">
        <v>-0.02</v>
      </c>
    </row>
    <row r="63">
      <c r="A63" t="inlineStr">
        <is>
          <t>origin</t>
        </is>
      </c>
      <c r="B63" s="6" t="inlineStr">
        <is>
          <t>China</t>
        </is>
      </c>
    </row>
    <row r="64">
      <c r="A64" t="inlineStr">
        <is>
          <t>distance by ship [km]</t>
        </is>
      </c>
      <c r="B64" s="2" t="n">
        <v>15900</v>
      </c>
    </row>
    <row r="65">
      <c r="A65" t="inlineStr">
        <is>
          <t>distance by truck [km]</t>
        </is>
      </c>
      <c r="B65" s="2" t="n">
        <v>1000</v>
      </c>
    </row>
    <row r="66">
      <c r="A66" t="inlineStr">
        <is>
          <t>comment</t>
        </is>
      </c>
      <c r="B66" t="inlineStr">
        <is>
          <t>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ht="16" customHeight="1">
      <c r="A67" s="10" t="inlineStr">
        <is>
          <t>Exchanges</t>
        </is>
      </c>
    </row>
    <row r="68">
      <c r="A68" t="inlineStr">
        <is>
          <t>name</t>
        </is>
      </c>
      <c r="B68" t="inlineStr">
        <is>
          <t>amount</t>
        </is>
      </c>
      <c r="C68" t="inlineStr">
        <is>
          <t>location</t>
        </is>
      </c>
      <c r="D68" t="inlineStr">
        <is>
          <t>unit</t>
        </is>
      </c>
      <c r="E68" t="inlineStr">
        <is>
          <t>categories</t>
        </is>
      </c>
      <c r="F68" t="inlineStr">
        <is>
          <t>type</t>
        </is>
      </c>
      <c r="G68" t="inlineStr">
        <is>
          <t>comment</t>
        </is>
      </c>
      <c r="H68" t="inlineStr">
        <is>
          <t>reference product</t>
        </is>
      </c>
    </row>
    <row r="69">
      <c r="A69" t="inlineStr">
        <is>
          <t>Motorbike, gasoline, 11-35kW, EURO-4</t>
        </is>
      </c>
      <c r="B69" t="n">
        <v>1</v>
      </c>
      <c r="C69" t="inlineStr">
        <is>
          <t>CH</t>
        </is>
      </c>
      <c r="D69" t="inlineStr">
        <is>
          <t>unit</t>
        </is>
      </c>
      <c r="F69" t="inlineStr">
        <is>
          <t>production</t>
        </is>
      </c>
      <c r="H69" t="inlineStr">
        <is>
          <t>Motorbike, gasoline, 11-35kW, EURO-4</t>
        </is>
      </c>
    </row>
    <row r="70">
      <c r="A70" t="inlineStr">
        <is>
          <t>motor scooter production</t>
        </is>
      </c>
      <c r="B70" s="6" t="n">
        <v>0.9</v>
      </c>
      <c r="C70" t="inlineStr">
        <is>
          <t>RER</t>
        </is>
      </c>
      <c r="D70" t="inlineStr">
        <is>
          <t>unit</t>
        </is>
      </c>
      <c r="F70" t="inlineStr">
        <is>
          <t>technosphere</t>
        </is>
      </c>
      <c r="G70" t="inlineStr">
        <is>
          <t>Glider base mass [kg]</t>
        </is>
      </c>
      <c r="H70" t="inlineStr">
        <is>
          <t>motor scooter, 50 cubic cm engine</t>
        </is>
      </c>
    </row>
    <row r="71">
      <c r="A71" t="inlineStr">
        <is>
          <t>motor scooter production</t>
        </is>
      </c>
      <c r="B71" s="6" t="n">
        <v>0.6888888888888889</v>
      </c>
      <c r="C71" t="inlineStr">
        <is>
          <t>RER</t>
        </is>
      </c>
      <c r="D71" t="inlineStr">
        <is>
          <t>unit</t>
        </is>
      </c>
      <c r="F71" t="inlineStr">
        <is>
          <t>technosphere</t>
        </is>
      </c>
      <c r="G71" t="inlineStr">
        <is>
          <t>Mechanical powertrain mass [kg]</t>
        </is>
      </c>
      <c r="H71" t="inlineStr">
        <is>
          <t>motor scooter, 50 cubic cm engine</t>
        </is>
      </c>
    </row>
    <row r="72">
      <c r="A72" t="inlineStr">
        <is>
          <t>polyethylene production, high density, granulate</t>
        </is>
      </c>
      <c r="B72" s="6" t="n">
        <v>1.6875</v>
      </c>
      <c r="C72" t="inlineStr">
        <is>
          <t>RER</t>
        </is>
      </c>
      <c r="D72" t="inlineStr">
        <is>
          <t>kilogram</t>
        </is>
      </c>
      <c r="F72" t="inlineStr">
        <is>
          <t>technosphere</t>
        </is>
      </c>
      <c r="G72" t="inlineStr">
        <is>
          <t>Fuel tank mass [kg]</t>
        </is>
      </c>
      <c r="H72" t="inlineStr">
        <is>
          <t>polyethylene, high density, granulate</t>
        </is>
      </c>
    </row>
    <row r="73">
      <c r="A73" t="inlineStr">
        <is>
          <t>injection moulding</t>
        </is>
      </c>
      <c r="B73" s="6" t="n">
        <v>1.697686116700201</v>
      </c>
      <c r="C73" t="inlineStr">
        <is>
          <t>RER</t>
        </is>
      </c>
      <c r="D73" t="inlineStr">
        <is>
          <t>kilogram</t>
        </is>
      </c>
      <c r="F73" t="inlineStr">
        <is>
          <t>technosphere</t>
        </is>
      </c>
      <c r="G73" t="inlineStr">
        <is>
          <t>Fuel tank shaping</t>
        </is>
      </c>
      <c r="H73" t="inlineStr">
        <is>
          <t>injection moulding</t>
        </is>
      </c>
    </row>
    <row r="74">
      <c r="A74" s="13" t="inlineStr">
        <is>
          <t>market for transport, freight, lorry, unspecified</t>
        </is>
      </c>
      <c r="B74" s="2" t="n">
        <v>157.5575</v>
      </c>
      <c r="C74" t="inlineStr">
        <is>
          <t>RER</t>
        </is>
      </c>
      <c r="D74" t="inlineStr">
        <is>
          <t>ton kilometer</t>
        </is>
      </c>
      <c r="F74" t="inlineStr">
        <is>
          <t>technosphere</t>
        </is>
      </c>
      <c r="H74" s="13" t="inlineStr">
        <is>
          <t>transport, freight, lorry, unspecified</t>
        </is>
      </c>
    </row>
    <row r="75">
      <c r="A75" s="13" t="inlineStr">
        <is>
          <t>transport, freight, sea, container ship</t>
        </is>
      </c>
      <c r="B75" s="2" t="n">
        <v>2505.16425</v>
      </c>
      <c r="C75" t="inlineStr">
        <is>
          <t>GLO</t>
        </is>
      </c>
      <c r="D75" t="inlineStr">
        <is>
          <t>ton kilometer</t>
        </is>
      </c>
      <c r="F75" t="inlineStr">
        <is>
          <t>technosphere</t>
        </is>
      </c>
      <c r="H75" s="13" t="inlineStr">
        <is>
          <t>transport, freight, sea, container ship</t>
        </is>
      </c>
    </row>
    <row r="76"/>
    <row r="77" ht="16" customHeight="1">
      <c r="A77" s="10" t="inlineStr">
        <is>
          <t>Activity</t>
        </is>
      </c>
      <c r="B77" s="8" t="inlineStr">
        <is>
          <t>Motorbike, gasoline, 11-35kW, EURO-5</t>
        </is>
      </c>
    </row>
    <row r="78">
      <c r="A78" t="inlineStr">
        <is>
          <t>location</t>
        </is>
      </c>
      <c r="B78" t="inlineStr">
        <is>
          <t>CH</t>
        </is>
      </c>
    </row>
    <row r="79">
      <c r="A79" t="inlineStr">
        <is>
          <t>vehicle</t>
        </is>
      </c>
      <c r="B79" t="inlineStr">
        <is>
          <t>Motorbike, gasoline, 11-35kW, EURO-5</t>
        </is>
      </c>
    </row>
    <row r="80">
      <c r="A80" t="inlineStr">
        <is>
          <t>size</t>
        </is>
      </c>
    </row>
    <row r="81">
      <c r="A81" t="inlineStr">
        <is>
          <t>year</t>
        </is>
      </c>
      <c r="B81" t="n">
        <v>2020</v>
      </c>
    </row>
    <row r="82">
      <c r="A82" t="inlineStr">
        <is>
          <t>full name</t>
        </is>
      </c>
      <c r="B82" t="inlineStr">
        <is>
          <t>Motorbike, gasoline, 11-35kW, EURO-5 - 2020 - CH</t>
        </is>
      </c>
    </row>
    <row r="83">
      <c r="A83" t="inlineStr">
        <is>
          <t>reference product</t>
        </is>
      </c>
      <c r="B83" t="inlineStr">
        <is>
          <t>Motorbike, gasoline, 11-35kW, EURO-5</t>
        </is>
      </c>
    </row>
    <row r="84">
      <c r="A84" t="inlineStr">
        <is>
          <t>type</t>
        </is>
      </c>
      <c r="B84" t="inlineStr">
        <is>
          <t>process</t>
        </is>
      </c>
    </row>
    <row r="85">
      <c r="A85" t="inlineStr">
        <is>
          <t>unit</t>
        </is>
      </c>
      <c r="B85" t="inlineStr">
        <is>
          <t>unit</t>
        </is>
      </c>
    </row>
    <row r="86">
      <c r="A86" t="inlineStr">
        <is>
          <t>source</t>
        </is>
      </c>
      <c r="B86" t="inlineStr">
        <is>
          <t>Sacchi R., Bauer C. Life cycle inventories for on-road vehicles. Paul Scherrer Institut, 2021.</t>
        </is>
      </c>
    </row>
    <row r="87">
      <c r="A87" t="inlineStr">
        <is>
          <t>lifetime</t>
        </is>
      </c>
      <c r="B87" t="n">
        <v>38500</v>
      </c>
    </row>
    <row r="88">
      <c r="A88" t="inlineStr">
        <is>
          <t>passengers</t>
        </is>
      </c>
      <c r="B88" t="n">
        <v>1.1</v>
      </c>
    </row>
    <row r="89">
      <c r="A89" t="inlineStr">
        <is>
          <t>service</t>
        </is>
      </c>
      <c r="B89" t="n">
        <v>1.54</v>
      </c>
    </row>
    <row r="90">
      <c r="A90" t="inlineStr">
        <is>
          <t>battery replacement</t>
        </is>
      </c>
      <c r="B90" t="n">
        <v>0</v>
      </c>
    </row>
    <row r="91">
      <c r="A91" t="inlineStr">
        <is>
          <t>annual kilometers</t>
        </is>
      </c>
      <c r="B91" t="n">
        <v>2405</v>
      </c>
    </row>
    <row r="92">
      <c r="A92" t="inlineStr">
        <is>
          <t>curb mass</t>
        </is>
      </c>
      <c r="B92" s="2" t="n">
        <v>155.9375</v>
      </c>
    </row>
    <row r="93">
      <c r="A93" t="inlineStr">
        <is>
          <t>power</t>
        </is>
      </c>
      <c r="B93" t="n">
        <v>20</v>
      </c>
    </row>
    <row r="94">
      <c r="A94" t="inlineStr">
        <is>
          <t>battery mass</t>
        </is>
      </c>
    </row>
    <row r="95">
      <c r="A95" t="inlineStr">
        <is>
          <t>electricity, low voltage</t>
        </is>
      </c>
      <c r="B95" t="n">
        <v>0</v>
      </c>
    </row>
    <row r="96">
      <c r="A96" t="inlineStr">
        <is>
          <t>tank capacity</t>
        </is>
      </c>
      <c r="B96" s="2" t="n">
        <v>133.125</v>
      </c>
    </row>
    <row r="97">
      <c r="A97" t="inlineStr">
        <is>
          <t>fuel mass</t>
        </is>
      </c>
      <c r="B97" t="n">
        <v>11.25</v>
      </c>
    </row>
    <row r="98">
      <c r="A98" t="inlineStr">
        <is>
          <t>range</t>
        </is>
      </c>
      <c r="B98" s="2" t="n">
        <v>328.528423562102</v>
      </c>
    </row>
    <row r="99">
      <c r="A99" t="inlineStr">
        <is>
          <t>emission standard</t>
        </is>
      </c>
      <c r="B99" t="inlineStr">
        <is>
          <t>EURO-5</t>
        </is>
      </c>
    </row>
    <row r="100">
      <c r="A100" t="inlineStr">
        <is>
          <t>Glider lightweighting</t>
        </is>
      </c>
      <c r="B100" s="6" t="n">
        <v>0</v>
      </c>
    </row>
    <row r="101">
      <c r="A101" t="inlineStr">
        <is>
          <t>origin</t>
        </is>
      </c>
      <c r="B101" s="6" t="inlineStr">
        <is>
          <t>China</t>
        </is>
      </c>
    </row>
    <row r="102">
      <c r="A102" t="inlineStr">
        <is>
          <t>distance by ship [km]</t>
        </is>
      </c>
      <c r="B102" s="2" t="n">
        <v>15900</v>
      </c>
    </row>
    <row r="103">
      <c r="A103" t="inlineStr">
        <is>
          <t>distance by truck [km]</t>
        </is>
      </c>
      <c r="B103" s="2" t="n">
        <v>1000</v>
      </c>
    </row>
    <row r="104">
      <c r="A104" t="inlineStr">
        <is>
          <t>comment</t>
        </is>
      </c>
      <c r="B104" t="inlineStr">
        <is>
          <t>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ht="16" customHeight="1">
      <c r="A105" s="10" t="inlineStr">
        <is>
          <t>Exchanges</t>
        </is>
      </c>
    </row>
    <row r="106">
      <c r="A106" t="inlineStr">
        <is>
          <t>name</t>
        </is>
      </c>
      <c r="B106" t="inlineStr">
        <is>
          <t>amount</t>
        </is>
      </c>
      <c r="C106" t="inlineStr">
        <is>
          <t>location</t>
        </is>
      </c>
      <c r="D106" t="inlineStr">
        <is>
          <t>unit</t>
        </is>
      </c>
      <c r="E106" t="inlineStr">
        <is>
          <t>categories</t>
        </is>
      </c>
      <c r="F106" t="inlineStr">
        <is>
          <t>type</t>
        </is>
      </c>
      <c r="G106" t="inlineStr">
        <is>
          <t>comment</t>
        </is>
      </c>
      <c r="H106" t="inlineStr">
        <is>
          <t>reference product</t>
        </is>
      </c>
    </row>
    <row r="107">
      <c r="A107" t="inlineStr">
        <is>
          <t>Motorbike, gasoline, 11-35kW, EURO-5</t>
        </is>
      </c>
      <c r="B107" t="n">
        <v>1</v>
      </c>
      <c r="C107" t="inlineStr">
        <is>
          <t>CH</t>
        </is>
      </c>
      <c r="D107" t="inlineStr">
        <is>
          <t>unit</t>
        </is>
      </c>
      <c r="F107" t="inlineStr">
        <is>
          <t>production</t>
        </is>
      </c>
      <c r="H107" t="inlineStr">
        <is>
          <t>Motorbike, gasoline, 11-35kW, EURO-5</t>
        </is>
      </c>
    </row>
    <row r="108">
      <c r="A108" t="inlineStr">
        <is>
          <t>motor scooter production</t>
        </is>
      </c>
      <c r="B108" s="6" t="n">
        <v>0.9</v>
      </c>
      <c r="C108" t="inlineStr">
        <is>
          <t>RER</t>
        </is>
      </c>
      <c r="D108" t="inlineStr">
        <is>
          <t>unit</t>
        </is>
      </c>
      <c r="F108" t="inlineStr">
        <is>
          <t>technosphere</t>
        </is>
      </c>
      <c r="G108" t="inlineStr">
        <is>
          <t>Glider base mass [kg]</t>
        </is>
      </c>
      <c r="H108" t="inlineStr">
        <is>
          <t>motor scooter, 50 cubic cm engine</t>
        </is>
      </c>
    </row>
    <row r="109">
      <c r="A109" t="inlineStr">
        <is>
          <t>motor scooter production</t>
        </is>
      </c>
      <c r="B109" s="6" t="n">
        <v>0.6888888888888889</v>
      </c>
      <c r="C109" t="inlineStr">
        <is>
          <t>RER</t>
        </is>
      </c>
      <c r="D109" t="inlineStr">
        <is>
          <t>unit</t>
        </is>
      </c>
      <c r="F109" t="inlineStr">
        <is>
          <t>technosphere</t>
        </is>
      </c>
      <c r="G109" t="inlineStr">
        <is>
          <t>Mechanical powertrain mass [kg]</t>
        </is>
      </c>
      <c r="H109" t="inlineStr">
        <is>
          <t>motor scooter, 50 cubic cm engine</t>
        </is>
      </c>
    </row>
    <row r="110">
      <c r="A110" t="inlineStr">
        <is>
          <t>polyethylene production, high density, granulate</t>
        </is>
      </c>
      <c r="B110" s="6" t="n">
        <v>1.6875</v>
      </c>
      <c r="C110" t="inlineStr">
        <is>
          <t>RER</t>
        </is>
      </c>
      <c r="D110" t="inlineStr">
        <is>
          <t>kilogram</t>
        </is>
      </c>
      <c r="F110" t="inlineStr">
        <is>
          <t>technosphere</t>
        </is>
      </c>
      <c r="G110" t="inlineStr">
        <is>
          <t>Fuel tank mass [kg]</t>
        </is>
      </c>
      <c r="H110" t="inlineStr">
        <is>
          <t>polyethylene, high density, granulate</t>
        </is>
      </c>
    </row>
    <row r="111">
      <c r="A111" t="inlineStr">
        <is>
          <t>injection moulding</t>
        </is>
      </c>
      <c r="B111" s="6" t="n">
        <v>1.697686116700201</v>
      </c>
      <c r="C111" t="inlineStr">
        <is>
          <t>RER</t>
        </is>
      </c>
      <c r="D111" t="inlineStr">
        <is>
          <t>kilogram</t>
        </is>
      </c>
      <c r="F111" t="inlineStr">
        <is>
          <t>technosphere</t>
        </is>
      </c>
      <c r="G111" t="inlineStr">
        <is>
          <t>Fuel tank shaping</t>
        </is>
      </c>
      <c r="H111" t="inlineStr">
        <is>
          <t>injection moulding</t>
        </is>
      </c>
    </row>
    <row r="112">
      <c r="A112" s="13" t="inlineStr">
        <is>
          <t>market for transport, freight, lorry, unspecified</t>
        </is>
      </c>
      <c r="B112" s="2" t="n">
        <v>155.9375</v>
      </c>
      <c r="C112" t="inlineStr">
        <is>
          <t>RER</t>
        </is>
      </c>
      <c r="D112" t="inlineStr">
        <is>
          <t>ton kilometer</t>
        </is>
      </c>
      <c r="F112" t="inlineStr">
        <is>
          <t>technosphere</t>
        </is>
      </c>
      <c r="H112" s="13" t="inlineStr">
        <is>
          <t>transport, freight, lorry, unspecified</t>
        </is>
      </c>
    </row>
    <row r="113">
      <c r="A113" s="13" t="inlineStr">
        <is>
          <t>transport, freight, sea, container ship</t>
        </is>
      </c>
      <c r="B113" s="2" t="n">
        <v>2479.40625</v>
      </c>
      <c r="C113" t="inlineStr">
        <is>
          <t>GLO</t>
        </is>
      </c>
      <c r="D113" t="inlineStr">
        <is>
          <t>ton kilometer</t>
        </is>
      </c>
      <c r="F113" t="inlineStr">
        <is>
          <t>technosphere</t>
        </is>
      </c>
      <c r="H113" s="13" t="inlineStr">
        <is>
          <t>transport, freight, sea, container ship</t>
        </is>
      </c>
    </row>
    <row r="114"/>
    <row r="115"/>
    <row r="116" ht="16" customHeight="1">
      <c r="A116" s="10" t="inlineStr">
        <is>
          <t>Activity</t>
        </is>
      </c>
      <c r="B116" s="8" t="inlineStr">
        <is>
          <t>transport, Motorbike, gasoline, 11-35kW, EURO-3</t>
        </is>
      </c>
    </row>
    <row r="117">
      <c r="A117" t="inlineStr">
        <is>
          <t>location</t>
        </is>
      </c>
      <c r="B117" t="inlineStr">
        <is>
          <t>CH</t>
        </is>
      </c>
    </row>
    <row r="118">
      <c r="A118" t="inlineStr">
        <is>
          <t>vehicle</t>
        </is>
      </c>
      <c r="B118" t="inlineStr">
        <is>
          <t>Motorbike, gasoline, 11-35kW, EURO-3</t>
        </is>
      </c>
    </row>
    <row r="119">
      <c r="A119" t="inlineStr">
        <is>
          <t>size</t>
        </is>
      </c>
    </row>
    <row r="120">
      <c r="A120" t="inlineStr">
        <is>
          <t>year</t>
        </is>
      </c>
      <c r="B120" t="n">
        <v>2006</v>
      </c>
    </row>
    <row r="121">
      <c r="A121" t="inlineStr">
        <is>
          <t>full name</t>
        </is>
      </c>
      <c r="B121" t="inlineStr">
        <is>
          <t>Motorbike, gasoline, 11-35kW, EURO-3 - 2006 - CH</t>
        </is>
      </c>
    </row>
    <row r="122">
      <c r="A122" t="inlineStr">
        <is>
          <t>reference product</t>
        </is>
      </c>
      <c r="B122" t="inlineStr">
        <is>
          <t>transport, Motorbike, gasoline, 11-35kW, EURO-3</t>
        </is>
      </c>
    </row>
    <row r="123">
      <c r="A123" t="inlineStr">
        <is>
          <t>type</t>
        </is>
      </c>
      <c r="B123" t="inlineStr">
        <is>
          <t>process</t>
        </is>
      </c>
    </row>
    <row r="124">
      <c r="A124" t="inlineStr">
        <is>
          <t>unit</t>
        </is>
      </c>
      <c r="B124" t="inlineStr">
        <is>
          <t>kilometer</t>
        </is>
      </c>
    </row>
    <row r="125">
      <c r="A125" t="inlineStr">
        <is>
          <t>source</t>
        </is>
      </c>
      <c r="B125" t="inlineStr">
        <is>
          <t>Sacchi R., Bauer C. Life cycle inventories for on-road vehicles. Paul Scherrer Institut, 2021.</t>
        </is>
      </c>
    </row>
    <row r="126">
      <c r="A126" t="inlineStr">
        <is>
          <t>lifetime</t>
        </is>
      </c>
      <c r="B126" t="n">
        <v>38500</v>
      </c>
    </row>
    <row r="127">
      <c r="A127" t="inlineStr">
        <is>
          <t>passengers</t>
        </is>
      </c>
      <c r="B127" t="n">
        <v>1.1</v>
      </c>
    </row>
    <row r="128">
      <c r="A128" t="inlineStr">
        <is>
          <t>service</t>
        </is>
      </c>
      <c r="B128" t="n">
        <v>1.54</v>
      </c>
    </row>
    <row r="129">
      <c r="A129" t="inlineStr">
        <is>
          <t>battery replacement</t>
        </is>
      </c>
      <c r="B129" t="n">
        <v>0</v>
      </c>
    </row>
    <row r="130">
      <c r="A130" t="inlineStr">
        <is>
          <t>annual kilometers</t>
        </is>
      </c>
      <c r="B130" t="n">
        <v>2405</v>
      </c>
    </row>
    <row r="131">
      <c r="A131" t="inlineStr">
        <is>
          <t>curb mass</t>
        </is>
      </c>
      <c r="B131" s="2" t="n">
        <v>159.9875</v>
      </c>
    </row>
    <row r="132">
      <c r="A132" t="inlineStr">
        <is>
          <t>power</t>
        </is>
      </c>
      <c r="B132" t="n">
        <v>20</v>
      </c>
    </row>
    <row r="133">
      <c r="A133" t="inlineStr">
        <is>
          <t>battery mass</t>
        </is>
      </c>
    </row>
    <row r="134">
      <c r="A134" t="inlineStr">
        <is>
          <t>electricity, low voltage</t>
        </is>
      </c>
      <c r="B134" t="n">
        <v>0</v>
      </c>
    </row>
    <row r="135">
      <c r="A135" t="inlineStr">
        <is>
          <t>tank capacity</t>
        </is>
      </c>
      <c r="B135" s="2" t="n">
        <v>133.125</v>
      </c>
    </row>
    <row r="136">
      <c r="A136" t="inlineStr">
        <is>
          <t>fuel mass</t>
        </is>
      </c>
      <c r="B136" t="n">
        <v>11.25</v>
      </c>
    </row>
    <row r="137">
      <c r="A137" t="inlineStr">
        <is>
          <t>range</t>
        </is>
      </c>
      <c r="B137" s="2" t="n">
        <v>322.0229102242386</v>
      </c>
    </row>
    <row r="138">
      <c r="A138" t="inlineStr">
        <is>
          <t>emission standard</t>
        </is>
      </c>
      <c r="B138" t="inlineStr">
        <is>
          <t>EURO-3</t>
        </is>
      </c>
    </row>
    <row r="139">
      <c r="A139" t="inlineStr">
        <is>
          <t>Glider lightweighting</t>
        </is>
      </c>
      <c r="B139" s="6" t="n">
        <v>-0.05</v>
      </c>
    </row>
    <row r="140">
      <c r="A140" t="inlineStr">
        <is>
          <t>comment</t>
        </is>
      </c>
      <c r="B140" t="inlineStr">
        <is>
          <t>Power: 20 kW. Lifetime: 38500 km. Annual kilometers: 2405 km. Number of passengers: 1.1. Curb mass: 160 kg. Lightweighting of glider: -5%. Emission standard: EURO-3. Service visits throughout lifetime: 1.5. Range: 322 km. Fuel tank capacity: 133.1 kWh. Fuel mass: 11.3 kg. Documentation: Life-cycle inventories for on-road vehicles, Sacchi R. (PSI), Bauer C. (PSI), 2021. Sacchi R., Bauer C. Life cycle inventories for on-road vehicles. Paul Scherrer Institut, 2021.</t>
        </is>
      </c>
    </row>
    <row r="141" ht="16" customHeight="1">
      <c r="A141" s="10" t="inlineStr">
        <is>
          <t>Exchanges</t>
        </is>
      </c>
    </row>
    <row r="142">
      <c r="A142" t="inlineStr">
        <is>
          <t>name</t>
        </is>
      </c>
      <c r="B142" t="inlineStr">
        <is>
          <t>amount</t>
        </is>
      </c>
      <c r="C142" t="inlineStr">
        <is>
          <t>location</t>
        </is>
      </c>
      <c r="D142" t="inlineStr">
        <is>
          <t>unit</t>
        </is>
      </c>
      <c r="E142" t="inlineStr">
        <is>
          <t>categories</t>
        </is>
      </c>
      <c r="F142" t="inlineStr">
        <is>
          <t>type</t>
        </is>
      </c>
      <c r="G142" t="inlineStr">
        <is>
          <t>comment</t>
        </is>
      </c>
      <c r="H142" t="inlineStr">
        <is>
          <t>reference product</t>
        </is>
      </c>
    </row>
    <row r="143">
      <c r="A143" t="inlineStr">
        <is>
          <t>transport, Motorbike, gasoline, 11-35kW, EURO-3</t>
        </is>
      </c>
      <c r="B143" t="n">
        <v>1</v>
      </c>
      <c r="C143" t="inlineStr">
        <is>
          <t>CH</t>
        </is>
      </c>
      <c r="D143" t="inlineStr">
        <is>
          <t>kilometer</t>
        </is>
      </c>
      <c r="F143" t="inlineStr">
        <is>
          <t>production</t>
        </is>
      </c>
      <c r="H143" t="inlineStr">
        <is>
          <t>transport, Motorbike, gasoline, 11-35kW, EURO-3</t>
        </is>
      </c>
    </row>
    <row r="144">
      <c r="A144" t="inlineStr">
        <is>
          <t>Motorbike, gasoline, 11-35kW, EURO-3</t>
        </is>
      </c>
      <c r="B144" s="7" t="n">
        <v>2.597402597402598e-05</v>
      </c>
      <c r="C144" t="inlineStr">
        <is>
          <t>CH</t>
        </is>
      </c>
      <c r="D144" t="inlineStr">
        <is>
          <t>unit</t>
        </is>
      </c>
      <c r="F144" t="inlineStr">
        <is>
          <t>technosphere</t>
        </is>
      </c>
      <c r="H144" t="inlineStr">
        <is>
          <t>Motorbike, gasoline, 11-35kW, EURO-3</t>
        </is>
      </c>
    </row>
    <row r="145">
      <c r="A145" t="inlineStr">
        <is>
          <t>road construction</t>
        </is>
      </c>
      <c r="B145" s="7" t="n">
        <v>0.0001334377875</v>
      </c>
      <c r="C145" t="inlineStr">
        <is>
          <t>CH</t>
        </is>
      </c>
      <c r="D145" t="inlineStr">
        <is>
          <t>meter-year</t>
        </is>
      </c>
      <c r="F145" t="inlineStr">
        <is>
          <t>technosphere</t>
        </is>
      </c>
      <c r="G145" t="inlineStr">
        <is>
          <t>Road/track use [m*year/vkm or pkm]</t>
        </is>
      </c>
      <c r="H145" t="inlineStr">
        <is>
          <t>road</t>
        </is>
      </c>
    </row>
    <row r="146">
      <c r="A146" t="inlineStr">
        <is>
          <t>road maintenance</t>
        </is>
      </c>
      <c r="B146" s="7" t="n">
        <v>0.00129</v>
      </c>
      <c r="C146" t="inlineStr">
        <is>
          <t>CH</t>
        </is>
      </c>
      <c r="D146" t="inlineStr">
        <is>
          <t>meter-year</t>
        </is>
      </c>
      <c r="F146" t="inlineStr">
        <is>
          <t>technosphere</t>
        </is>
      </c>
      <c r="G146" t="inlineStr">
        <is>
          <t>Road maintenance [m*year/vkm]</t>
        </is>
      </c>
      <c r="H146" t="inlineStr">
        <is>
          <t>road maintenance</t>
        </is>
      </c>
    </row>
    <row r="147">
      <c r="A147" t="inlineStr">
        <is>
          <t>maintenance, motor scooter</t>
        </is>
      </c>
      <c r="B147" s="7" t="n">
        <v>4e-05</v>
      </c>
      <c r="C147" t="inlineStr">
        <is>
          <t>CH</t>
        </is>
      </c>
      <c r="D147" t="inlineStr">
        <is>
          <t>unit</t>
        </is>
      </c>
      <c r="F147" t="inlineStr">
        <is>
          <t>technosphere</t>
        </is>
      </c>
      <c r="G147" t="inlineStr">
        <is>
          <t>Servicing [unit]</t>
        </is>
      </c>
      <c r="H147" t="inlineStr">
        <is>
          <t>maintenance, motor scooter</t>
        </is>
      </c>
    </row>
    <row r="148">
      <c r="A148" t="inlineStr">
        <is>
          <t>fuel supply for gasoline vehicles</t>
        </is>
      </c>
      <c r="B148" s="7" t="n">
        <v>0.03493540255308585</v>
      </c>
      <c r="C148" t="inlineStr">
        <is>
          <t>CH</t>
        </is>
      </c>
      <c r="D148" t="inlineStr">
        <is>
          <t>kilogram</t>
        </is>
      </c>
      <c r="F148" t="inlineStr">
        <is>
          <t>technosphere</t>
        </is>
      </c>
      <c r="G148" t="inlineStr">
        <is>
          <t>Gasoline consumption [MJ/km]</t>
        </is>
      </c>
      <c r="H148" t="inlineStr">
        <is>
          <t>gasoline blend</t>
        </is>
      </c>
    </row>
    <row r="149">
      <c r="A149" t="inlineStr">
        <is>
          <t>Carbon dioxide, fossil</t>
        </is>
      </c>
      <c r="B149" s="11" t="n">
        <v>0.1083807980484893</v>
      </c>
      <c r="D149" t="inlineStr">
        <is>
          <t>kilogram</t>
        </is>
      </c>
      <c r="E149" t="inlineStr">
        <is>
          <t>air::urban air close to ground</t>
        </is>
      </c>
      <c r="F149" t="inlineStr">
        <is>
          <t>biosphere</t>
        </is>
      </c>
      <c r="G149" t="inlineStr">
        <is>
          <t>CO2</t>
        </is>
      </c>
    </row>
    <row r="150">
      <c r="A150" t="inlineStr">
        <is>
          <t>Carbon dioxide, from soil or biomass stock</t>
        </is>
      </c>
      <c r="B150" s="11" t="n">
        <v>0.001316365968200275</v>
      </c>
      <c r="D150" t="inlineStr">
        <is>
          <t>kilogram</t>
        </is>
      </c>
      <c r="E150" t="inlineStr">
        <is>
          <t>air::urban air close to ground</t>
        </is>
      </c>
      <c r="F150" t="inlineStr">
        <is>
          <t>biosphere</t>
        </is>
      </c>
      <c r="G150" t="inlineStr">
        <is>
          <t>CO2, bio</t>
        </is>
      </c>
    </row>
    <row r="151">
      <c r="A151" t="inlineStr">
        <is>
          <t>Sulfur dioxide</t>
        </is>
      </c>
      <c r="B151" s="7" t="n">
        <v>5.589664408493735e-07</v>
      </c>
      <c r="D151" t="inlineStr">
        <is>
          <t>kilogram</t>
        </is>
      </c>
      <c r="E151" t="inlineStr">
        <is>
          <t>air::urban air close to ground</t>
        </is>
      </c>
      <c r="F151" t="inlineStr">
        <is>
          <t>biosphere</t>
        </is>
      </c>
      <c r="G151" t="inlineStr">
        <is>
          <t>SO2</t>
        </is>
      </c>
    </row>
    <row r="152">
      <c r="A152" t="inlineStr">
        <is>
          <t>Benzene</t>
        </is>
      </c>
      <c r="B152" s="7" t="n">
        <v>5.44179627197807e-06</v>
      </c>
      <c r="D152" t="inlineStr">
        <is>
          <t>kilogram</t>
        </is>
      </c>
      <c r="E152" t="inlineStr">
        <is>
          <t>air::urban air close to ground</t>
        </is>
      </c>
      <c r="F152" t="inlineStr">
        <is>
          <t>biosphere</t>
        </is>
      </c>
      <c r="G152" t="inlineStr">
        <is>
          <t>Benzene</t>
        </is>
      </c>
    </row>
    <row r="153">
      <c r="A153" t="inlineStr">
        <is>
          <t>Methane, fossil</t>
        </is>
      </c>
      <c r="B153" s="7" t="n">
        <v>2.203769637337727e-05</v>
      </c>
      <c r="D153" t="inlineStr">
        <is>
          <t>kilogram</t>
        </is>
      </c>
      <c r="E153" t="inlineStr">
        <is>
          <t>air::urban air close to ground</t>
        </is>
      </c>
      <c r="F153" t="inlineStr">
        <is>
          <t>biosphere</t>
        </is>
      </c>
      <c r="G153" t="inlineStr">
        <is>
          <t>CH4</t>
        </is>
      </c>
    </row>
    <row r="154">
      <c r="A154" t="inlineStr">
        <is>
          <t>Carbon monoxide, fossil</t>
        </is>
      </c>
      <c r="B154" s="7" t="n">
        <v>0.0002212245504591031</v>
      </c>
      <c r="D154" t="inlineStr">
        <is>
          <t>kilogram</t>
        </is>
      </c>
      <c r="E154" t="inlineStr">
        <is>
          <t>air::urban air close to ground</t>
        </is>
      </c>
      <c r="F154" t="inlineStr">
        <is>
          <t>biosphere</t>
        </is>
      </c>
      <c r="G154" t="inlineStr">
        <is>
          <t>CO</t>
        </is>
      </c>
    </row>
    <row r="155">
      <c r="A155" t="inlineStr">
        <is>
          <t>Dinitrogen monoxide</t>
        </is>
      </c>
      <c r="B155" s="7" t="n">
        <v>6.627878608534517e-07</v>
      </c>
      <c r="D155" t="inlineStr">
        <is>
          <t>kilogram</t>
        </is>
      </c>
      <c r="E155" t="inlineStr">
        <is>
          <t>air::urban air close to ground</t>
        </is>
      </c>
      <c r="F155" t="inlineStr">
        <is>
          <t>biosphere</t>
        </is>
      </c>
      <c r="G155" t="inlineStr">
        <is>
          <t>N2O</t>
        </is>
      </c>
    </row>
    <row r="156">
      <c r="A156" t="inlineStr">
        <is>
          <t>Ammonia</t>
        </is>
      </c>
      <c r="B156" s="7" t="n">
        <v>6.627878608534517e-07</v>
      </c>
      <c r="D156" t="inlineStr">
        <is>
          <t>kilogram</t>
        </is>
      </c>
      <c r="E156" t="inlineStr">
        <is>
          <t>air::urban air close to ground</t>
        </is>
      </c>
      <c r="F156" t="inlineStr">
        <is>
          <t>biosphere</t>
        </is>
      </c>
      <c r="G156" t="inlineStr">
        <is>
          <t>NH3</t>
        </is>
      </c>
    </row>
    <row r="157">
      <c r="A157" t="inlineStr">
        <is>
          <t>Nitrogen oxides</t>
        </is>
      </c>
      <c r="B157" s="7" t="n">
        <v>2.622081719360142e-05</v>
      </c>
      <c r="D157" t="inlineStr">
        <is>
          <t>kilogram</t>
        </is>
      </c>
      <c r="E157" t="inlineStr">
        <is>
          <t>air::urban air close to ground</t>
        </is>
      </c>
      <c r="F157" t="inlineStr">
        <is>
          <t>biosphere</t>
        </is>
      </c>
      <c r="G157" t="inlineStr">
        <is>
          <t>NOx</t>
        </is>
      </c>
    </row>
    <row r="158">
      <c r="A158" t="inlineStr">
        <is>
          <t>Particulates, &lt; 2.5 um</t>
        </is>
      </c>
      <c r="B158" s="7" t="n">
        <v>1.656969652133629e-06</v>
      </c>
      <c r="D158" t="inlineStr">
        <is>
          <t>kilogram</t>
        </is>
      </c>
      <c r="E158" t="inlineStr">
        <is>
          <t>air::urban air close to ground</t>
        </is>
      </c>
      <c r="F158" t="inlineStr">
        <is>
          <t>biosphere</t>
        </is>
      </c>
      <c r="G158" t="inlineStr">
        <is>
          <t>PM2.5</t>
        </is>
      </c>
    </row>
    <row r="159">
      <c r="A159" t="inlineStr">
        <is>
          <t>NMVOC, non-methane volatile organic compounds, unspecified origin</t>
        </is>
      </c>
      <c r="B159" s="7" t="n">
        <v>4.38835763537055e-05</v>
      </c>
      <c r="D159" t="inlineStr">
        <is>
          <t>kilogram</t>
        </is>
      </c>
      <c r="E159" t="inlineStr">
        <is>
          <t>air::urban air close to ground</t>
        </is>
      </c>
      <c r="F159" t="inlineStr">
        <is>
          <t>biosphere</t>
        </is>
      </c>
      <c r="G159" t="inlineStr">
        <is>
          <t>NMVOC</t>
        </is>
      </c>
    </row>
    <row r="160">
      <c r="A160" t="inlineStr">
        <is>
          <t>Ethane</t>
        </is>
      </c>
      <c r="B160" s="7" t="n">
        <v>3.09435474288949e-06</v>
      </c>
      <c r="D160" t="inlineStr">
        <is>
          <t>kilogram</t>
        </is>
      </c>
      <c r="E160" t="inlineStr">
        <is>
          <t>air::urban air close to ground</t>
        </is>
      </c>
      <c r="F160" t="inlineStr">
        <is>
          <t>biosphere</t>
        </is>
      </c>
      <c r="G160" t="inlineStr">
        <is>
          <t>Ethane</t>
        </is>
      </c>
    </row>
    <row r="161">
      <c r="A161" t="inlineStr">
        <is>
          <t>Propane</t>
        </is>
      </c>
      <c r="B161" s="7" t="n">
        <v>6.30511154507263e-07</v>
      </c>
      <c r="D161" t="inlineStr">
        <is>
          <t>kilogram</t>
        </is>
      </c>
      <c r="E161" t="inlineStr">
        <is>
          <t>air::urban air close to ground</t>
        </is>
      </c>
      <c r="F161" t="inlineStr">
        <is>
          <t>biosphere</t>
        </is>
      </c>
      <c r="G161" t="inlineStr">
        <is>
          <t>Propane</t>
        </is>
      </c>
    </row>
    <row r="162">
      <c r="A162" t="inlineStr">
        <is>
          <t>Butane</t>
        </is>
      </c>
      <c r="B162" s="7" t="n">
        <v>5.08288992248932e-06</v>
      </c>
      <c r="D162" t="inlineStr">
        <is>
          <t>kilogram</t>
        </is>
      </c>
      <c r="E162" t="inlineStr">
        <is>
          <t>air::urban air close to ground</t>
        </is>
      </c>
      <c r="F162" t="inlineStr">
        <is>
          <t>biosphere</t>
        </is>
      </c>
      <c r="G162" t="inlineStr">
        <is>
          <t>Butane</t>
        </is>
      </c>
    </row>
    <row r="163">
      <c r="A163" t="inlineStr">
        <is>
          <t>Pentane</t>
        </is>
      </c>
      <c r="B163" s="7" t="n">
        <v>2.08553689567787e-06</v>
      </c>
      <c r="D163" t="inlineStr">
        <is>
          <t>kilogram</t>
        </is>
      </c>
      <c r="E163" t="inlineStr">
        <is>
          <t>air::urban air close to ground</t>
        </is>
      </c>
      <c r="F163" t="inlineStr">
        <is>
          <t>biosphere</t>
        </is>
      </c>
      <c r="G163" t="inlineStr">
        <is>
          <t>Pentane</t>
        </is>
      </c>
    </row>
    <row r="164">
      <c r="A164" t="inlineStr">
        <is>
          <t>Hexane</t>
        </is>
      </c>
      <c r="B164" s="7" t="n">
        <v>1.561727628856451e-06</v>
      </c>
      <c r="D164" t="inlineStr">
        <is>
          <t>kilogram</t>
        </is>
      </c>
      <c r="E164" t="inlineStr">
        <is>
          <t>air::urban air close to ground</t>
        </is>
      </c>
      <c r="F164" t="inlineStr">
        <is>
          <t>biosphere</t>
        </is>
      </c>
      <c r="G164" t="inlineStr">
        <is>
          <t>Hexane</t>
        </is>
      </c>
    </row>
    <row r="165">
      <c r="A165" t="inlineStr">
        <is>
          <t>Cyclohexane</t>
        </is>
      </c>
      <c r="B165" s="7" t="n">
        <v>1.105819563289661e-06</v>
      </c>
      <c r="D165" t="inlineStr">
        <is>
          <t>kilogram</t>
        </is>
      </c>
      <c r="E165" t="inlineStr">
        <is>
          <t>air::urban air close to ground</t>
        </is>
      </c>
      <c r="F165" t="inlineStr">
        <is>
          <t>biosphere</t>
        </is>
      </c>
      <c r="G165" t="inlineStr">
        <is>
          <t>Cyclohexane</t>
        </is>
      </c>
    </row>
    <row r="166">
      <c r="A166" t="inlineStr">
        <is>
          <t>Heptane</t>
        </is>
      </c>
      <c r="B166" s="7" t="n">
        <v>7.178126989774994e-07</v>
      </c>
      <c r="D166" t="inlineStr">
        <is>
          <t>kilogram</t>
        </is>
      </c>
      <c r="E166" t="inlineStr">
        <is>
          <t>air::urban air close to ground</t>
        </is>
      </c>
      <c r="F166" t="inlineStr">
        <is>
          <t>biosphere</t>
        </is>
      </c>
      <c r="G166" t="inlineStr">
        <is>
          <t>Heptane</t>
        </is>
      </c>
    </row>
    <row r="167">
      <c r="A167" t="inlineStr">
        <is>
          <t>Ethene</t>
        </is>
      </c>
      <c r="B167" s="7" t="n">
        <v>7.081125273696953e-06</v>
      </c>
      <c r="D167" t="inlineStr">
        <is>
          <t>kilogram</t>
        </is>
      </c>
      <c r="E167" t="inlineStr">
        <is>
          <t>air::urban air close to ground</t>
        </is>
      </c>
      <c r="F167" t="inlineStr">
        <is>
          <t>biosphere</t>
        </is>
      </c>
      <c r="G167" t="inlineStr">
        <is>
          <t>Ethene</t>
        </is>
      </c>
    </row>
    <row r="168">
      <c r="A168" t="inlineStr">
        <is>
          <t>Propene</t>
        </is>
      </c>
      <c r="B168" s="7" t="n">
        <v>3.705465554181145e-06</v>
      </c>
      <c r="D168" t="inlineStr">
        <is>
          <t>kilogram</t>
        </is>
      </c>
      <c r="E168" t="inlineStr">
        <is>
          <t>air::urban air close to ground</t>
        </is>
      </c>
      <c r="F168" t="inlineStr">
        <is>
          <t>biosphere</t>
        </is>
      </c>
      <c r="G168" t="inlineStr">
        <is>
          <t>Propene</t>
        </is>
      </c>
    </row>
    <row r="169">
      <c r="A169" t="inlineStr">
        <is>
          <t>1-Pentene</t>
        </is>
      </c>
      <c r="B169" s="7" t="n">
        <v>1.067018876858445e-07</v>
      </c>
      <c r="D169" t="inlineStr">
        <is>
          <t>kilogram</t>
        </is>
      </c>
      <c r="E169" t="inlineStr">
        <is>
          <t>air::urban air close to ground</t>
        </is>
      </c>
      <c r="F169" t="inlineStr">
        <is>
          <t>biosphere</t>
        </is>
      </c>
      <c r="G169" t="inlineStr">
        <is>
          <t>1-Pentene</t>
        </is>
      </c>
    </row>
    <row r="170">
      <c r="A170" t="inlineStr">
        <is>
          <t>Toluene</t>
        </is>
      </c>
      <c r="B170" s="7" t="n">
        <v>1.065078842536884e-05</v>
      </c>
      <c r="D170" t="inlineStr">
        <is>
          <t>kilogram</t>
        </is>
      </c>
      <c r="E170" t="inlineStr">
        <is>
          <t>air::urban air close to ground</t>
        </is>
      </c>
      <c r="F170" t="inlineStr">
        <is>
          <t>biosphere</t>
        </is>
      </c>
      <c r="G170" t="inlineStr">
        <is>
          <t>Toluene</t>
        </is>
      </c>
    </row>
    <row r="171">
      <c r="A171" t="inlineStr">
        <is>
          <t>m-Xylene</t>
        </is>
      </c>
      <c r="B171" s="7" t="n">
        <v>5.267193183037597e-06</v>
      </c>
      <c r="D171" t="inlineStr">
        <is>
          <t>kilogram</t>
        </is>
      </c>
      <c r="E171" t="inlineStr">
        <is>
          <t>air::urban air close to ground</t>
        </is>
      </c>
      <c r="F171" t="inlineStr">
        <is>
          <t>biosphere</t>
        </is>
      </c>
      <c r="G171" t="inlineStr">
        <is>
          <t>m-Xylene</t>
        </is>
      </c>
    </row>
    <row r="172">
      <c r="A172" t="inlineStr">
        <is>
          <t>o-Xylene</t>
        </is>
      </c>
      <c r="B172" s="7" t="n">
        <v>2.192238783363714e-06</v>
      </c>
      <c r="D172" t="inlineStr">
        <is>
          <t>kilogram</t>
        </is>
      </c>
      <c r="E172" t="inlineStr">
        <is>
          <t>air::urban air close to ground</t>
        </is>
      </c>
      <c r="F172" t="inlineStr">
        <is>
          <t>biosphere</t>
        </is>
      </c>
      <c r="G172" t="inlineStr">
        <is>
          <t>o-Xylene</t>
        </is>
      </c>
    </row>
    <row r="173">
      <c r="A173" t="inlineStr">
        <is>
          <t>Formaldehyde</t>
        </is>
      </c>
      <c r="B173" s="7" t="n">
        <v>1.649029173326688e-06</v>
      </c>
      <c r="D173" t="inlineStr">
        <is>
          <t>kilogram</t>
        </is>
      </c>
      <c r="E173" t="inlineStr">
        <is>
          <t>air::urban air close to ground</t>
        </is>
      </c>
      <c r="F173" t="inlineStr">
        <is>
          <t>biosphere</t>
        </is>
      </c>
      <c r="G173" t="inlineStr">
        <is>
          <t>Formaldehyde</t>
        </is>
      </c>
    </row>
    <row r="174">
      <c r="A174" t="inlineStr">
        <is>
          <t>Acetaldehyde</t>
        </is>
      </c>
      <c r="B174" s="7" t="n">
        <v>7.275128705853034e-07</v>
      </c>
      <c r="D174" t="inlineStr">
        <is>
          <t>kilogram</t>
        </is>
      </c>
      <c r="E174" t="inlineStr">
        <is>
          <t>air::urban air close to ground</t>
        </is>
      </c>
      <c r="F174" t="inlineStr">
        <is>
          <t>biosphere</t>
        </is>
      </c>
      <c r="G174" t="inlineStr">
        <is>
          <t>Acetaldehyde</t>
        </is>
      </c>
    </row>
    <row r="175">
      <c r="A175" t="inlineStr">
        <is>
          <t>Benzaldehyde</t>
        </is>
      </c>
      <c r="B175" s="7" t="n">
        <v>2.13403775371689e-07</v>
      </c>
      <c r="D175" t="inlineStr">
        <is>
          <t>kilogram</t>
        </is>
      </c>
      <c r="E175" t="inlineStr">
        <is>
          <t>air::urban air close to ground</t>
        </is>
      </c>
      <c r="F175" t="inlineStr">
        <is>
          <t>biosphere</t>
        </is>
      </c>
      <c r="G175" t="inlineStr">
        <is>
          <t>Benzaldehyde</t>
        </is>
      </c>
    </row>
    <row r="176">
      <c r="A176" t="inlineStr">
        <is>
          <t>Acetone</t>
        </is>
      </c>
      <c r="B176" s="7" t="n">
        <v>5.917104680760468e-07</v>
      </c>
      <c r="D176" t="inlineStr">
        <is>
          <t>kilogram</t>
        </is>
      </c>
      <c r="E176" t="inlineStr">
        <is>
          <t>air::urban air close to ground</t>
        </is>
      </c>
      <c r="F176" t="inlineStr">
        <is>
          <t>biosphere</t>
        </is>
      </c>
      <c r="G176" t="inlineStr">
        <is>
          <t>Acetone</t>
        </is>
      </c>
    </row>
    <row r="177">
      <c r="A177" t="inlineStr">
        <is>
          <t>Methyl ethyl ketone</t>
        </is>
      </c>
      <c r="B177" s="7" t="n">
        <v>4.850085803902023e-08</v>
      </c>
      <c r="D177" t="inlineStr">
        <is>
          <t>kilogram</t>
        </is>
      </c>
      <c r="E177" t="inlineStr">
        <is>
          <t>air::urban air close to ground</t>
        </is>
      </c>
      <c r="F177" t="inlineStr">
        <is>
          <t>biosphere</t>
        </is>
      </c>
      <c r="G177" t="inlineStr">
        <is>
          <t>Methyl ethyl ketone</t>
        </is>
      </c>
    </row>
    <row r="178">
      <c r="A178" t="inlineStr">
        <is>
          <t>Acrolein</t>
        </is>
      </c>
      <c r="B178" s="7" t="n">
        <v>1.843032605482769e-07</v>
      </c>
      <c r="D178" t="inlineStr">
        <is>
          <t>kilogram</t>
        </is>
      </c>
      <c r="E178" t="inlineStr">
        <is>
          <t>air::urban air close to ground</t>
        </is>
      </c>
      <c r="F178" t="inlineStr">
        <is>
          <t>biosphere</t>
        </is>
      </c>
      <c r="G178" t="inlineStr">
        <is>
          <t>Acrolein</t>
        </is>
      </c>
    </row>
    <row r="179">
      <c r="A179" t="inlineStr">
        <is>
          <t>Styrene</t>
        </is>
      </c>
      <c r="B179" s="7" t="n">
        <v>9.797173323882084e-07</v>
      </c>
      <c r="D179" t="inlineStr">
        <is>
          <t>kilogram</t>
        </is>
      </c>
      <c r="E179" t="inlineStr">
        <is>
          <t>air::urban air close to ground</t>
        </is>
      </c>
      <c r="F179" t="inlineStr">
        <is>
          <t>biosphere</t>
        </is>
      </c>
      <c r="G179" t="inlineStr">
        <is>
          <t>Styrene</t>
        </is>
      </c>
    </row>
    <row r="180">
      <c r="A180" t="inlineStr">
        <is>
          <t>PAH, polycyclic aromatic hydrocarbons</t>
        </is>
      </c>
      <c r="B180" s="7" t="n">
        <v>1.218612601809381e-09</v>
      </c>
      <c r="D180" t="inlineStr">
        <is>
          <t>kilogram</t>
        </is>
      </c>
      <c r="E180" t="inlineStr">
        <is>
          <t>air::urban air close to ground</t>
        </is>
      </c>
      <c r="F180" t="inlineStr">
        <is>
          <t>biosphere</t>
        </is>
      </c>
      <c r="G180" t="inlineStr">
        <is>
          <t>PAHs</t>
        </is>
      </c>
    </row>
    <row r="181">
      <c r="A181" t="inlineStr">
        <is>
          <t>Arsenic</t>
        </is>
      </c>
      <c r="B181" s="7" t="n">
        <v>1.050528105008087e-11</v>
      </c>
      <c r="D181" t="inlineStr">
        <is>
          <t>kilogram</t>
        </is>
      </c>
      <c r="E181" t="inlineStr">
        <is>
          <t>air::urban air close to ground</t>
        </is>
      </c>
      <c r="F181" t="inlineStr">
        <is>
          <t>biosphere</t>
        </is>
      </c>
      <c r="G181" t="inlineStr">
        <is>
          <t>Arsenic</t>
        </is>
      </c>
    </row>
    <row r="182">
      <c r="A182" t="inlineStr">
        <is>
          <t>Selenium</t>
        </is>
      </c>
      <c r="B182" s="7" t="n">
        <v>7.003520700053916e-12</v>
      </c>
      <c r="D182" t="inlineStr">
        <is>
          <t>kilogram</t>
        </is>
      </c>
      <c r="E182" t="inlineStr">
        <is>
          <t>air::urban air close to ground</t>
        </is>
      </c>
      <c r="F182" t="inlineStr">
        <is>
          <t>biosphere</t>
        </is>
      </c>
      <c r="G182" t="inlineStr">
        <is>
          <t>Selenium</t>
        </is>
      </c>
    </row>
    <row r="183">
      <c r="A183" t="inlineStr">
        <is>
          <t>Zinc</t>
        </is>
      </c>
      <c r="B183" s="7" t="n">
        <v>7.56380235605823e-08</v>
      </c>
      <c r="D183" t="inlineStr">
        <is>
          <t>kilogram</t>
        </is>
      </c>
      <c r="E183" t="inlineStr">
        <is>
          <t>air::urban air close to ground</t>
        </is>
      </c>
      <c r="F183" t="inlineStr">
        <is>
          <t>biosphere</t>
        </is>
      </c>
      <c r="G183" t="inlineStr">
        <is>
          <t>Zinc</t>
        </is>
      </c>
    </row>
    <row r="184">
      <c r="A184" t="inlineStr">
        <is>
          <t>Copper</t>
        </is>
      </c>
      <c r="B184" s="7" t="n">
        <v>1.470739347011322e-09</v>
      </c>
      <c r="D184" t="inlineStr">
        <is>
          <t>kilogram</t>
        </is>
      </c>
      <c r="E184" t="inlineStr">
        <is>
          <t>air::urban air close to ground</t>
        </is>
      </c>
      <c r="F184" t="inlineStr">
        <is>
          <t>biosphere</t>
        </is>
      </c>
      <c r="G184" t="inlineStr">
        <is>
          <t>Copper</t>
        </is>
      </c>
    </row>
    <row r="185">
      <c r="A185" t="inlineStr">
        <is>
          <t>Nickel</t>
        </is>
      </c>
      <c r="B185" s="7" t="n">
        <v>4.552288455035046e-10</v>
      </c>
      <c r="D185" t="inlineStr">
        <is>
          <t>kilogram</t>
        </is>
      </c>
      <c r="E185" t="inlineStr">
        <is>
          <t>air::urban air close to ground</t>
        </is>
      </c>
      <c r="F185" t="inlineStr">
        <is>
          <t>biosphere</t>
        </is>
      </c>
      <c r="G185" t="inlineStr">
        <is>
          <t>Nickel</t>
        </is>
      </c>
    </row>
    <row r="186">
      <c r="A186" t="inlineStr">
        <is>
          <t>Chromium</t>
        </is>
      </c>
      <c r="B186" s="7" t="n">
        <v>5.602816560043134e-10</v>
      </c>
      <c r="D186" t="inlineStr">
        <is>
          <t>kilogram</t>
        </is>
      </c>
      <c r="E186" t="inlineStr">
        <is>
          <t>air::urban air close to ground</t>
        </is>
      </c>
      <c r="F186" t="inlineStr">
        <is>
          <t>biosphere</t>
        </is>
      </c>
      <c r="G186" t="inlineStr">
        <is>
          <t>Chromium</t>
        </is>
      </c>
    </row>
    <row r="187">
      <c r="A187" t="inlineStr">
        <is>
          <t>Chromium VI</t>
        </is>
      </c>
      <c r="B187" s="7" t="n">
        <v>1.120563312008627e-12</v>
      </c>
      <c r="D187" t="inlineStr">
        <is>
          <t>kilogram</t>
        </is>
      </c>
      <c r="E187" t="inlineStr">
        <is>
          <t>air::urban air close to ground</t>
        </is>
      </c>
      <c r="F187" t="inlineStr">
        <is>
          <t>biosphere</t>
        </is>
      </c>
      <c r="G187" t="inlineStr">
        <is>
          <t>Chromium VI</t>
        </is>
      </c>
    </row>
    <row r="188">
      <c r="A188" t="inlineStr">
        <is>
          <t>Mercury</t>
        </is>
      </c>
      <c r="B188" s="7" t="n">
        <v>3.046531504523454e-10</v>
      </c>
      <c r="D188" t="inlineStr">
        <is>
          <t>kilogram</t>
        </is>
      </c>
      <c r="E188" t="inlineStr">
        <is>
          <t>air::urban air close to ground</t>
        </is>
      </c>
      <c r="F188" t="inlineStr">
        <is>
          <t>biosphere</t>
        </is>
      </c>
      <c r="G188" t="inlineStr">
        <is>
          <t>Mercury</t>
        </is>
      </c>
    </row>
    <row r="189">
      <c r="A189" t="inlineStr">
        <is>
          <t>Cadmium</t>
        </is>
      </c>
      <c r="B189" s="7" t="n">
        <v>3.781901178029115e-10</v>
      </c>
      <c r="D189" t="inlineStr">
        <is>
          <t>kilogram</t>
        </is>
      </c>
      <c r="E189" t="inlineStr">
        <is>
          <t>air::urban air close to ground</t>
        </is>
      </c>
      <c r="F189" t="inlineStr">
        <is>
          <t>biosphere</t>
        </is>
      </c>
      <c r="G189" t="inlineStr">
        <is>
          <t>Cadmium</t>
        </is>
      </c>
    </row>
    <row r="190">
      <c r="A190" t="inlineStr">
        <is>
          <t>treatment of road wear emissions, passenger car</t>
        </is>
      </c>
      <c r="B190" s="7" t="n">
        <v>-8.656625299749574e-06</v>
      </c>
      <c r="C190" t="inlineStr">
        <is>
          <t>RER</t>
        </is>
      </c>
      <c r="D190" t="inlineStr">
        <is>
          <t>kilogram</t>
        </is>
      </c>
      <c r="F190" t="inlineStr">
        <is>
          <t>technosphere</t>
        </is>
      </c>
      <c r="G190" t="inlineStr">
        <is>
          <t>Road wear [kg/km]</t>
        </is>
      </c>
      <c r="H190" t="inlineStr">
        <is>
          <t>road wear emissions, passenger car</t>
        </is>
      </c>
    </row>
    <row r="191">
      <c r="A191" t="inlineStr">
        <is>
          <t>treatment of tyre wear emissions, passenger car</t>
        </is>
      </c>
      <c r="B191" s="7" t="n">
        <v>-5.718164110678223e-06</v>
      </c>
      <c r="C191" t="inlineStr">
        <is>
          <t>RER</t>
        </is>
      </c>
      <c r="D191" t="inlineStr">
        <is>
          <t>kilogram</t>
        </is>
      </c>
      <c r="F191" t="inlineStr">
        <is>
          <t>technosphere</t>
        </is>
      </c>
      <c r="G191" t="inlineStr">
        <is>
          <t>Tire wear [kg/km]</t>
        </is>
      </c>
      <c r="H191" t="inlineStr">
        <is>
          <t>tyre wear emissions, passenger car</t>
        </is>
      </c>
    </row>
    <row r="192">
      <c r="A192" t="inlineStr">
        <is>
          <t>treatment of brake wear emissions, passenger car</t>
        </is>
      </c>
      <c r="B192" s="7" t="n">
        <v>-3.179984387521974e-06</v>
      </c>
      <c r="C192" t="inlineStr">
        <is>
          <t>RER</t>
        </is>
      </c>
      <c r="D192" t="inlineStr">
        <is>
          <t>kilogram</t>
        </is>
      </c>
      <c r="F192" t="inlineStr">
        <is>
          <t>technosphere</t>
        </is>
      </c>
      <c r="G192" t="inlineStr">
        <is>
          <t>Brake wear [kg/km]</t>
        </is>
      </c>
      <c r="H192" t="inlineStr">
        <is>
          <t>brake wear emissions, passenger car</t>
        </is>
      </c>
    </row>
    <row r="193"/>
    <row r="194" ht="16" customHeight="1">
      <c r="A194" s="10" t="inlineStr">
        <is>
          <t>Activity</t>
        </is>
      </c>
      <c r="B194" s="8" t="inlineStr">
        <is>
          <t>transport, Motorbike, gasoline, 11-35kW, EURO-4</t>
        </is>
      </c>
    </row>
    <row r="195">
      <c r="A195" t="inlineStr">
        <is>
          <t>location</t>
        </is>
      </c>
      <c r="B195" t="inlineStr">
        <is>
          <t>CH</t>
        </is>
      </c>
    </row>
    <row r="196">
      <c r="A196" t="inlineStr">
        <is>
          <t>vehicle</t>
        </is>
      </c>
      <c r="B196" t="inlineStr">
        <is>
          <t>Motorbike, gasoline, 11-35kW, EURO-4</t>
        </is>
      </c>
    </row>
    <row r="197">
      <c r="A197" t="inlineStr">
        <is>
          <t>size</t>
        </is>
      </c>
    </row>
    <row r="198">
      <c r="A198" t="inlineStr">
        <is>
          <t>year</t>
        </is>
      </c>
      <c r="B198" t="n">
        <v>2016</v>
      </c>
    </row>
    <row r="199">
      <c r="A199" t="inlineStr">
        <is>
          <t>full name</t>
        </is>
      </c>
      <c r="B199" t="inlineStr">
        <is>
          <t>Motorbike, gasoline, 11-35kW, EURO-4 - 2016 - CH</t>
        </is>
      </c>
    </row>
    <row r="200">
      <c r="A200" t="inlineStr">
        <is>
          <t>reference product</t>
        </is>
      </c>
      <c r="B200" t="inlineStr">
        <is>
          <t>transport, Motorbike, gasoline, 11-35kW, EURO-4</t>
        </is>
      </c>
    </row>
    <row r="201">
      <c r="A201" t="inlineStr">
        <is>
          <t>type</t>
        </is>
      </c>
      <c r="B201" t="inlineStr">
        <is>
          <t>process</t>
        </is>
      </c>
    </row>
    <row r="202">
      <c r="A202" t="inlineStr">
        <is>
          <t>unit</t>
        </is>
      </c>
      <c r="B202" t="inlineStr">
        <is>
          <t>kilometer</t>
        </is>
      </c>
    </row>
    <row r="203">
      <c r="A203" t="inlineStr">
        <is>
          <t>source</t>
        </is>
      </c>
      <c r="B203" t="inlineStr">
        <is>
          <t>Sacchi R., Bauer C. Life cycle inventories for on-road vehicles. Paul Scherrer Institut, 2021.</t>
        </is>
      </c>
    </row>
    <row r="204">
      <c r="A204" t="inlineStr">
        <is>
          <t>lifetime</t>
        </is>
      </c>
      <c r="B204" t="n">
        <v>38500</v>
      </c>
    </row>
    <row r="205">
      <c r="A205" t="inlineStr">
        <is>
          <t>passengers</t>
        </is>
      </c>
      <c r="B205" t="n">
        <v>1.1</v>
      </c>
    </row>
    <row r="206">
      <c r="A206" t="inlineStr">
        <is>
          <t>service</t>
        </is>
      </c>
      <c r="B206" t="n">
        <v>1.54</v>
      </c>
    </row>
    <row r="207">
      <c r="A207" t="inlineStr">
        <is>
          <t>battery replacement</t>
        </is>
      </c>
      <c r="B207" t="n">
        <v>0</v>
      </c>
    </row>
    <row r="208">
      <c r="A208" t="inlineStr">
        <is>
          <t>annual kilometers</t>
        </is>
      </c>
      <c r="B208" t="n">
        <v>2405</v>
      </c>
    </row>
    <row r="209">
      <c r="A209" t="inlineStr">
        <is>
          <t>curb mass</t>
        </is>
      </c>
      <c r="B209" s="2" t="n">
        <v>157.5575</v>
      </c>
    </row>
    <row r="210">
      <c r="A210" t="inlineStr">
        <is>
          <t>power</t>
        </is>
      </c>
      <c r="B210" t="n">
        <v>20</v>
      </c>
    </row>
    <row r="211">
      <c r="A211" t="inlineStr">
        <is>
          <t>battery mass</t>
        </is>
      </c>
    </row>
    <row r="212">
      <c r="A212" t="inlineStr">
        <is>
          <t>electricity, low voltage</t>
        </is>
      </c>
      <c r="B212" t="n">
        <v>0</v>
      </c>
    </row>
    <row r="213">
      <c r="A213" t="inlineStr">
        <is>
          <t>tank capacity</t>
        </is>
      </c>
      <c r="B213" s="2" t="n">
        <v>133.125</v>
      </c>
    </row>
    <row r="214">
      <c r="A214" t="inlineStr">
        <is>
          <t>fuel mass</t>
        </is>
      </c>
      <c r="B214" t="n">
        <v>11.25</v>
      </c>
    </row>
    <row r="215">
      <c r="A215" t="inlineStr">
        <is>
          <t>range</t>
        </is>
      </c>
      <c r="B215" s="2" t="n">
        <v>325.243139326481</v>
      </c>
    </row>
    <row r="216">
      <c r="A216" t="inlineStr">
        <is>
          <t>emission standard</t>
        </is>
      </c>
      <c r="B216" t="inlineStr">
        <is>
          <t>EURO-4</t>
        </is>
      </c>
    </row>
    <row r="217">
      <c r="A217" t="inlineStr">
        <is>
          <t>Glider lightweighting</t>
        </is>
      </c>
      <c r="B217" s="6" t="n">
        <v>-0.02</v>
      </c>
    </row>
    <row r="218">
      <c r="A218" t="inlineStr">
        <is>
          <t>comment</t>
        </is>
      </c>
      <c r="B218" t="inlineStr">
        <is>
          <t>Power: 20 kW. Lifetime: 38500 km. Annual kilometers: 2405 km. Number of passengers: 1.1. Curb mass: 157.6 kg. Lightweighting of glider: -2%. Emission standard: EURO-4. Service visits throughout lifetime: 1.5. Range: 325 km. Fuel tank capacity: 133.1 kWh. Fuel mass: 11.3 kg. Documentation: Life-cycle inventories for on-road vehicles, Sacchi R. (PSI), Bauer C. (PSI), 2021. Sacchi R., Bauer C. Life cycle inventories for on-road vehicles. Paul Scherrer Institut, 2021.</t>
        </is>
      </c>
    </row>
    <row r="219" ht="16" customHeight="1">
      <c r="A219" s="10" t="inlineStr">
        <is>
          <t>Exchanges</t>
        </is>
      </c>
    </row>
    <row r="220">
      <c r="A220" t="inlineStr">
        <is>
          <t>name</t>
        </is>
      </c>
      <c r="B220" t="inlineStr">
        <is>
          <t>amount</t>
        </is>
      </c>
      <c r="C220" t="inlineStr">
        <is>
          <t>location</t>
        </is>
      </c>
      <c r="D220" t="inlineStr">
        <is>
          <t>unit</t>
        </is>
      </c>
      <c r="E220" t="inlineStr">
        <is>
          <t>categories</t>
        </is>
      </c>
      <c r="F220" t="inlineStr">
        <is>
          <t>type</t>
        </is>
      </c>
      <c r="G220" t="inlineStr">
        <is>
          <t>comment</t>
        </is>
      </c>
      <c r="H220" t="inlineStr">
        <is>
          <t>reference product</t>
        </is>
      </c>
    </row>
    <row r="221">
      <c r="A221" t="inlineStr">
        <is>
          <t>transport, Motorbike, gasoline, 11-35kW, EURO-4</t>
        </is>
      </c>
      <c r="B221" t="n">
        <v>1</v>
      </c>
      <c r="C221" t="inlineStr">
        <is>
          <t>CH</t>
        </is>
      </c>
      <c r="D221" t="inlineStr">
        <is>
          <t>kilometer</t>
        </is>
      </c>
      <c r="F221" t="inlineStr">
        <is>
          <t>production</t>
        </is>
      </c>
      <c r="H221" t="inlineStr">
        <is>
          <t>transport, Motorbike, gasoline, 11-35kW, EURO-4</t>
        </is>
      </c>
    </row>
    <row r="222">
      <c r="A222" t="inlineStr">
        <is>
          <t>Motorbike, gasoline, 11-35kW, EURO-4</t>
        </is>
      </c>
      <c r="B222" s="7" t="n">
        <v>2.597402597402598e-05</v>
      </c>
      <c r="C222" t="inlineStr">
        <is>
          <t>CH</t>
        </is>
      </c>
      <c r="D222" t="inlineStr">
        <is>
          <t>unit</t>
        </is>
      </c>
      <c r="F222" t="inlineStr">
        <is>
          <t>technosphere</t>
        </is>
      </c>
      <c r="H222" t="inlineStr">
        <is>
          <t>Motorbike, gasoline, 11-35kW, EURO-4</t>
        </is>
      </c>
    </row>
    <row r="223">
      <c r="A223" t="inlineStr">
        <is>
          <t>road construction</t>
        </is>
      </c>
      <c r="B223" s="7" t="n">
        <v>0.0001321328775</v>
      </c>
      <c r="C223" t="inlineStr">
        <is>
          <t>CH</t>
        </is>
      </c>
      <c r="D223" t="inlineStr">
        <is>
          <t>meter-year</t>
        </is>
      </c>
      <c r="F223" t="inlineStr">
        <is>
          <t>technosphere</t>
        </is>
      </c>
      <c r="G223" t="inlineStr">
        <is>
          <t>Road/track use [m*year/vkm or pkm]</t>
        </is>
      </c>
      <c r="H223" t="inlineStr">
        <is>
          <t>road</t>
        </is>
      </c>
    </row>
    <row r="224">
      <c r="A224" t="inlineStr">
        <is>
          <t>road maintenance</t>
        </is>
      </c>
      <c r="B224" s="7" t="n">
        <v>0.00129</v>
      </c>
      <c r="C224" t="inlineStr">
        <is>
          <t>CH</t>
        </is>
      </c>
      <c r="D224" t="inlineStr">
        <is>
          <t>meter-year</t>
        </is>
      </c>
      <c r="F224" t="inlineStr">
        <is>
          <t>technosphere</t>
        </is>
      </c>
      <c r="G224" t="inlineStr">
        <is>
          <t>Road maintenance [m*year/vkm]</t>
        </is>
      </c>
      <c r="H224" t="inlineStr">
        <is>
          <t>road maintenance</t>
        </is>
      </c>
    </row>
    <row r="225">
      <c r="A225" t="inlineStr">
        <is>
          <t>maintenance, motor scooter</t>
        </is>
      </c>
      <c r="B225" s="7" t="n">
        <v>4e-05</v>
      </c>
      <c r="C225" t="inlineStr">
        <is>
          <t>CH</t>
        </is>
      </c>
      <c r="D225" t="inlineStr">
        <is>
          <t>unit</t>
        </is>
      </c>
      <c r="F225" t="inlineStr">
        <is>
          <t>technosphere</t>
        </is>
      </c>
      <c r="G225" t="inlineStr">
        <is>
          <t>Servicing [unit]</t>
        </is>
      </c>
      <c r="H225" t="inlineStr">
        <is>
          <t>maintenance, motor scooter</t>
        </is>
      </c>
    </row>
    <row r="226">
      <c r="A226" t="inlineStr">
        <is>
          <t>fuel supply for gasoline vehicles</t>
        </is>
      </c>
      <c r="B226" s="7" t="n">
        <v>0.03458950747830282</v>
      </c>
      <c r="C226" t="inlineStr">
        <is>
          <t>CH</t>
        </is>
      </c>
      <c r="D226" t="inlineStr">
        <is>
          <t>kilogram</t>
        </is>
      </c>
      <c r="F226" t="inlineStr">
        <is>
          <t>technosphere</t>
        </is>
      </c>
      <c r="G226" t="inlineStr">
        <is>
          <t>Gasoline consumption [MJ/km]</t>
        </is>
      </c>
      <c r="H226" t="inlineStr">
        <is>
          <t>gasoline blend</t>
        </is>
      </c>
    </row>
    <row r="227">
      <c r="A227" t="inlineStr">
        <is>
          <t>Carbon dioxide, fossil</t>
        </is>
      </c>
      <c r="B227" s="11" t="n">
        <v>0.1073077208400884</v>
      </c>
      <c r="D227" t="inlineStr">
        <is>
          <t>kilogram</t>
        </is>
      </c>
      <c r="E227" t="inlineStr">
        <is>
          <t>air::urban air close to ground</t>
        </is>
      </c>
      <c r="F227" t="inlineStr">
        <is>
          <t>biosphere</t>
        </is>
      </c>
      <c r="G227" t="inlineStr">
        <is>
          <t>CO2</t>
        </is>
      </c>
    </row>
    <row r="228">
      <c r="A228" t="inlineStr">
        <is>
          <t>Carbon dioxide, from soil or biomass stock</t>
        </is>
      </c>
      <c r="B228" s="11" t="n">
        <v>0.00130333264178245</v>
      </c>
      <c r="D228" t="inlineStr">
        <is>
          <t>kilogram</t>
        </is>
      </c>
      <c r="E228" t="inlineStr">
        <is>
          <t>air::urban air close to ground</t>
        </is>
      </c>
      <c r="F228" t="inlineStr">
        <is>
          <t>biosphere</t>
        </is>
      </c>
      <c r="G228" t="inlineStr">
        <is>
          <t>CO2, bio</t>
        </is>
      </c>
    </row>
    <row r="229">
      <c r="A229" t="inlineStr">
        <is>
          <t>Sulfur dioxide</t>
        </is>
      </c>
      <c r="B229" s="7" t="n">
        <v>5.53432119652845e-07</v>
      </c>
      <c r="D229" t="inlineStr">
        <is>
          <t>kilogram</t>
        </is>
      </c>
      <c r="E229" t="inlineStr">
        <is>
          <t>air::urban air close to ground</t>
        </is>
      </c>
      <c r="F229" t="inlineStr">
        <is>
          <t>biosphere</t>
        </is>
      </c>
      <c r="G229" t="inlineStr">
        <is>
          <t>SO2</t>
        </is>
      </c>
    </row>
    <row r="230">
      <c r="A230" t="inlineStr">
        <is>
          <t>Benzene</t>
        </is>
      </c>
      <c r="B230" s="7" t="n">
        <v>1.907361759113792e-06</v>
      </c>
      <c r="D230" t="inlineStr">
        <is>
          <t>kilogram</t>
        </is>
      </c>
      <c r="E230" t="inlineStr">
        <is>
          <t>air::urban air close to ground</t>
        </is>
      </c>
      <c r="F230" t="inlineStr">
        <is>
          <t>biosphere</t>
        </is>
      </c>
      <c r="G230" t="inlineStr">
        <is>
          <t>Benzene</t>
        </is>
      </c>
    </row>
    <row r="231">
      <c r="A231" t="inlineStr">
        <is>
          <t>Methane, fossil</t>
        </is>
      </c>
      <c r="B231" s="7" t="n">
        <v>2.76977357784606e-05</v>
      </c>
      <c r="D231" t="inlineStr">
        <is>
          <t>kilogram</t>
        </is>
      </c>
      <c r="E231" t="inlineStr">
        <is>
          <t>air::urban air close to ground</t>
        </is>
      </c>
      <c r="F231" t="inlineStr">
        <is>
          <t>biosphere</t>
        </is>
      </c>
      <c r="G231" t="inlineStr">
        <is>
          <t>CH4</t>
        </is>
      </c>
    </row>
    <row r="232">
      <c r="A232" t="inlineStr">
        <is>
          <t>Carbon monoxide, fossil</t>
        </is>
      </c>
      <c r="B232" s="7" t="n">
        <v>0.0001402059903811766</v>
      </c>
      <c r="D232" t="inlineStr">
        <is>
          <t>kilogram</t>
        </is>
      </c>
      <c r="E232" t="inlineStr">
        <is>
          <t>air::urban air close to ground</t>
        </is>
      </c>
      <c r="F232" t="inlineStr">
        <is>
          <t>biosphere</t>
        </is>
      </c>
      <c r="G232" t="inlineStr">
        <is>
          <t>CO</t>
        </is>
      </c>
    </row>
    <row r="233">
      <c r="A233" t="inlineStr">
        <is>
          <t>Dinitrogen monoxide</t>
        </is>
      </c>
      <c r="B233" s="7" t="n">
        <v>8.330146098785144e-07</v>
      </c>
      <c r="D233" t="inlineStr">
        <is>
          <t>kilogram</t>
        </is>
      </c>
      <c r="E233" t="inlineStr">
        <is>
          <t>air::urban air close to ground</t>
        </is>
      </c>
      <c r="F233" t="inlineStr">
        <is>
          <t>biosphere</t>
        </is>
      </c>
      <c r="G233" t="inlineStr">
        <is>
          <t>N2O</t>
        </is>
      </c>
    </row>
    <row r="234">
      <c r="A234" t="inlineStr">
        <is>
          <t>Ammonia</t>
        </is>
      </c>
      <c r="B234" s="7" t="n">
        <v>8.330146098785144e-07</v>
      </c>
      <c r="D234" t="inlineStr">
        <is>
          <t>kilogram</t>
        </is>
      </c>
      <c r="E234" t="inlineStr">
        <is>
          <t>air::urban air close to ground</t>
        </is>
      </c>
      <c r="F234" t="inlineStr">
        <is>
          <t>biosphere</t>
        </is>
      </c>
      <c r="G234" t="inlineStr">
        <is>
          <t>NH3</t>
        </is>
      </c>
    </row>
    <row r="235">
      <c r="A235" t="inlineStr">
        <is>
          <t>Nitrogen oxides</t>
        </is>
      </c>
      <c r="B235" s="7" t="n">
        <v>1.360329944448867e-05</v>
      </c>
      <c r="D235" t="inlineStr">
        <is>
          <t>kilogram</t>
        </is>
      </c>
      <c r="E235" t="inlineStr">
        <is>
          <t>air::urban air close to ground</t>
        </is>
      </c>
      <c r="F235" t="inlineStr">
        <is>
          <t>biosphere</t>
        </is>
      </c>
      <c r="G235" t="inlineStr">
        <is>
          <t>NOx</t>
        </is>
      </c>
    </row>
    <row r="236">
      <c r="A236" t="inlineStr">
        <is>
          <t>Particulates, &lt; 2.5 um</t>
        </is>
      </c>
      <c r="B236" s="7" t="n">
        <v>2.082536524696286e-06</v>
      </c>
      <c r="D236" t="inlineStr">
        <is>
          <t>kilogram</t>
        </is>
      </c>
      <c r="E236" t="inlineStr">
        <is>
          <t>air::urban air close to ground</t>
        </is>
      </c>
      <c r="F236" t="inlineStr">
        <is>
          <t>biosphere</t>
        </is>
      </c>
      <c r="G236" t="inlineStr">
        <is>
          <t>PM2.5</t>
        </is>
      </c>
    </row>
    <row r="237">
      <c r="A237" t="inlineStr">
        <is>
          <t>NMVOC, non-methane volatile organic compounds, unspecified origin</t>
        </is>
      </c>
      <c r="B237" s="7" t="n">
        <v>1.538129161894972e-05</v>
      </c>
      <c r="D237" t="inlineStr">
        <is>
          <t>kilogram</t>
        </is>
      </c>
      <c r="E237" t="inlineStr">
        <is>
          <t>air::urban air close to ground</t>
        </is>
      </c>
      <c r="F237" t="inlineStr">
        <is>
          <t>biosphere</t>
        </is>
      </c>
      <c r="G237" t="inlineStr">
        <is>
          <t>NMVOC</t>
        </is>
      </c>
    </row>
    <row r="238">
      <c r="A238" t="inlineStr">
        <is>
          <t>Ethane</t>
        </is>
      </c>
      <c r="B238" s="7" t="n">
        <v>1.084578255182352e-06</v>
      </c>
      <c r="D238" t="inlineStr">
        <is>
          <t>kilogram</t>
        </is>
      </c>
      <c r="E238" t="inlineStr">
        <is>
          <t>air::urban air close to ground</t>
        </is>
      </c>
      <c r="F238" t="inlineStr">
        <is>
          <t>biosphere</t>
        </is>
      </c>
      <c r="G238" t="inlineStr">
        <is>
          <t>Ethane</t>
        </is>
      </c>
    </row>
    <row r="239">
      <c r="A239" t="inlineStr">
        <is>
          <t>Propane</t>
        </is>
      </c>
      <c r="B239" s="7" t="n">
        <v>2.209955692377834e-07</v>
      </c>
      <c r="D239" t="inlineStr">
        <is>
          <t>kilogram</t>
        </is>
      </c>
      <c r="E239" t="inlineStr">
        <is>
          <t>air::urban air close to ground</t>
        </is>
      </c>
      <c r="F239" t="inlineStr">
        <is>
          <t>biosphere</t>
        </is>
      </c>
      <c r="G239" t="inlineStr">
        <is>
          <t>Propane</t>
        </is>
      </c>
    </row>
    <row r="240">
      <c r="A240" t="inlineStr">
        <is>
          <t>Butane</t>
        </is>
      </c>
      <c r="B240" s="7" t="n">
        <v>1.781564281239977e-06</v>
      </c>
      <c r="D240" t="inlineStr">
        <is>
          <t>kilogram</t>
        </is>
      </c>
      <c r="E240" t="inlineStr">
        <is>
          <t>air::urban air close to ground</t>
        </is>
      </c>
      <c r="F240" t="inlineStr">
        <is>
          <t>biosphere</t>
        </is>
      </c>
      <c r="G240" t="inlineStr">
        <is>
          <t>Butane</t>
        </is>
      </c>
    </row>
    <row r="241">
      <c r="A241" t="inlineStr">
        <is>
          <t>Pentane</t>
        </is>
      </c>
      <c r="B241" s="7" t="n">
        <v>7.309853444018987e-07</v>
      </c>
      <c r="D241" t="inlineStr">
        <is>
          <t>kilogram</t>
        </is>
      </c>
      <c r="E241" t="inlineStr">
        <is>
          <t>air::urban air close to ground</t>
        </is>
      </c>
      <c r="F241" t="inlineStr">
        <is>
          <t>biosphere</t>
        </is>
      </c>
      <c r="G241" t="inlineStr">
        <is>
          <t>Pentane</t>
        </is>
      </c>
    </row>
    <row r="242">
      <c r="A242" t="inlineStr">
        <is>
          <t>Hexane</t>
        </is>
      </c>
      <c r="B242" s="7" t="n">
        <v>5.473890253428173e-07</v>
      </c>
      <c r="D242" t="inlineStr">
        <is>
          <t>kilogram</t>
        </is>
      </c>
      <c r="E242" t="inlineStr">
        <is>
          <t>air::urban air close to ground</t>
        </is>
      </c>
      <c r="F242" t="inlineStr">
        <is>
          <t>biosphere</t>
        </is>
      </c>
      <c r="G242" t="inlineStr">
        <is>
          <t>Hexane</t>
        </is>
      </c>
    </row>
    <row r="243">
      <c r="A243" t="inlineStr">
        <is>
          <t>Cyclohexane</t>
        </is>
      </c>
      <c r="B243" s="7" t="n">
        <v>3.875922291247277e-07</v>
      </c>
      <c r="D243" t="inlineStr">
        <is>
          <t>kilogram</t>
        </is>
      </c>
      <c r="E243" t="inlineStr">
        <is>
          <t>air::urban air close to ground</t>
        </is>
      </c>
      <c r="F243" t="inlineStr">
        <is>
          <t>biosphere</t>
        </is>
      </c>
      <c r="G243" t="inlineStr">
        <is>
          <t>Cyclohexane</t>
        </is>
      </c>
    </row>
    <row r="244">
      <c r="A244" t="inlineStr">
        <is>
          <t>Heptane</t>
        </is>
      </c>
      <c r="B244" s="7" t="n">
        <v>2.515949557476303e-07</v>
      </c>
      <c r="D244" t="inlineStr">
        <is>
          <t>kilogram</t>
        </is>
      </c>
      <c r="E244" t="inlineStr">
        <is>
          <t>air::urban air close to ground</t>
        </is>
      </c>
      <c r="F244" t="inlineStr">
        <is>
          <t>biosphere</t>
        </is>
      </c>
      <c r="G244" t="inlineStr">
        <is>
          <t>Heptane</t>
        </is>
      </c>
    </row>
    <row r="245">
      <c r="A245" t="inlineStr">
        <is>
          <t>Ethene</t>
        </is>
      </c>
      <c r="B245" s="7" t="n">
        <v>2.481950239132028e-06</v>
      </c>
      <c r="D245" t="inlineStr">
        <is>
          <t>kilogram</t>
        </is>
      </c>
      <c r="E245" t="inlineStr">
        <is>
          <t>air::urban air close to ground</t>
        </is>
      </c>
      <c r="F245" t="inlineStr">
        <is>
          <t>biosphere</t>
        </is>
      </c>
      <c r="G245" t="inlineStr">
        <is>
          <t>Ethene</t>
        </is>
      </c>
    </row>
    <row r="246">
      <c r="A246" t="inlineStr">
        <is>
          <t>Propene</t>
        </is>
      </c>
      <c r="B246" s="7" t="n">
        <v>1.29877396075128e-06</v>
      </c>
      <c r="D246" t="inlineStr">
        <is>
          <t>kilogram</t>
        </is>
      </c>
      <c r="E246" t="inlineStr">
        <is>
          <t>air::urban air close to ground</t>
        </is>
      </c>
      <c r="F246" t="inlineStr">
        <is>
          <t>biosphere</t>
        </is>
      </c>
      <c r="G246" t="inlineStr">
        <is>
          <t>Propene</t>
        </is>
      </c>
    </row>
    <row r="247">
      <c r="A247" t="inlineStr">
        <is>
          <t>1-Pentene</t>
        </is>
      </c>
      <c r="B247" s="7" t="n">
        <v>3.73992501787018e-08</v>
      </c>
      <c r="D247" t="inlineStr">
        <is>
          <t>kilogram</t>
        </is>
      </c>
      <c r="E247" t="inlineStr">
        <is>
          <t>air::urban air close to ground</t>
        </is>
      </c>
      <c r="F247" t="inlineStr">
        <is>
          <t>biosphere</t>
        </is>
      </c>
      <c r="G247" t="inlineStr">
        <is>
          <t>1-Pentene</t>
        </is>
      </c>
    </row>
    <row r="248">
      <c r="A248" t="inlineStr">
        <is>
          <t>Toluene</t>
        </is>
      </c>
      <c r="B248" s="7" t="n">
        <v>3.733125154201325e-06</v>
      </c>
      <c r="D248" t="inlineStr">
        <is>
          <t>kilogram</t>
        </is>
      </c>
      <c r="E248" t="inlineStr">
        <is>
          <t>air::urban air close to ground</t>
        </is>
      </c>
      <c r="F248" t="inlineStr">
        <is>
          <t>biosphere</t>
        </is>
      </c>
      <c r="G248" t="inlineStr">
        <is>
          <t>Toluene</t>
        </is>
      </c>
    </row>
    <row r="249">
      <c r="A249" t="inlineStr">
        <is>
          <t>m-Xylene</t>
        </is>
      </c>
      <c r="B249" s="7" t="n">
        <v>1.846162986094098e-06</v>
      </c>
      <c r="D249" t="inlineStr">
        <is>
          <t>kilogram</t>
        </is>
      </c>
      <c r="E249" t="inlineStr">
        <is>
          <t>air::urban air close to ground</t>
        </is>
      </c>
      <c r="F249" t="inlineStr">
        <is>
          <t>biosphere</t>
        </is>
      </c>
      <c r="G249" t="inlineStr">
        <is>
          <t>m-Xylene</t>
        </is>
      </c>
    </row>
    <row r="250">
      <c r="A250" t="inlineStr">
        <is>
          <t>o-Xylene</t>
        </is>
      </c>
      <c r="B250" s="7" t="n">
        <v>7.683845945806006e-07</v>
      </c>
      <c r="D250" t="inlineStr">
        <is>
          <t>kilogram</t>
        </is>
      </c>
      <c r="E250" t="inlineStr">
        <is>
          <t>air::urban air close to ground</t>
        </is>
      </c>
      <c r="F250" t="inlineStr">
        <is>
          <t>biosphere</t>
        </is>
      </c>
      <c r="G250" t="inlineStr">
        <is>
          <t>o-Xylene</t>
        </is>
      </c>
    </row>
    <row r="251">
      <c r="A251" t="inlineStr">
        <is>
          <t>Formaldehyde</t>
        </is>
      </c>
      <c r="B251" s="7" t="n">
        <v>5.779884118526642e-07</v>
      </c>
      <c r="D251" t="inlineStr">
        <is>
          <t>kilogram</t>
        </is>
      </c>
      <c r="E251" t="inlineStr">
        <is>
          <t>air::urban air close to ground</t>
        </is>
      </c>
      <c r="F251" t="inlineStr">
        <is>
          <t>biosphere</t>
        </is>
      </c>
      <c r="G251" t="inlineStr">
        <is>
          <t>Formaldehyde</t>
        </is>
      </c>
    </row>
    <row r="252">
      <c r="A252" t="inlineStr">
        <is>
          <t>Acetaldehyde</t>
        </is>
      </c>
      <c r="B252" s="7" t="n">
        <v>2.549948875820577e-07</v>
      </c>
      <c r="D252" t="inlineStr">
        <is>
          <t>kilogram</t>
        </is>
      </c>
      <c r="E252" t="inlineStr">
        <is>
          <t>air::urban air close to ground</t>
        </is>
      </c>
      <c r="F252" t="inlineStr">
        <is>
          <t>biosphere</t>
        </is>
      </c>
      <c r="G252" t="inlineStr">
        <is>
          <t>Acetaldehyde</t>
        </is>
      </c>
    </row>
    <row r="253">
      <c r="A253" t="inlineStr">
        <is>
          <t>Benzaldehyde</t>
        </is>
      </c>
      <c r="B253" s="7" t="n">
        <v>7.47985003574036e-08</v>
      </c>
      <c r="D253" t="inlineStr">
        <is>
          <t>kilogram</t>
        </is>
      </c>
      <c r="E253" t="inlineStr">
        <is>
          <t>air::urban air close to ground</t>
        </is>
      </c>
      <c r="F253" t="inlineStr">
        <is>
          <t>biosphere</t>
        </is>
      </c>
      <c r="G253" t="inlineStr">
        <is>
          <t>Benzaldehyde</t>
        </is>
      </c>
    </row>
    <row r="254">
      <c r="A254" t="inlineStr">
        <is>
          <t>Acetone</t>
        </is>
      </c>
      <c r="B254" s="7" t="n">
        <v>2.073958419000736e-07</v>
      </c>
      <c r="D254" t="inlineStr">
        <is>
          <t>kilogram</t>
        </is>
      </c>
      <c r="E254" t="inlineStr">
        <is>
          <t>air::urban air close to ground</t>
        </is>
      </c>
      <c r="F254" t="inlineStr">
        <is>
          <t>biosphere</t>
        </is>
      </c>
      <c r="G254" t="inlineStr">
        <is>
          <t>Acetone</t>
        </is>
      </c>
    </row>
    <row r="255">
      <c r="A255" t="inlineStr">
        <is>
          <t>Methyl ethyl ketone</t>
        </is>
      </c>
      <c r="B255" s="7" t="n">
        <v>0</v>
      </c>
      <c r="D255" t="inlineStr">
        <is>
          <t>kilogram</t>
        </is>
      </c>
      <c r="E255" t="inlineStr">
        <is>
          <t>air::urban air close to ground</t>
        </is>
      </c>
      <c r="F255" t="inlineStr">
        <is>
          <t>biosphere</t>
        </is>
      </c>
      <c r="G255" t="inlineStr">
        <is>
          <t>Methyl ethyl ketone</t>
        </is>
      </c>
    </row>
    <row r="256">
      <c r="A256" t="inlineStr">
        <is>
          <t>Acrolein</t>
        </is>
      </c>
      <c r="B256" s="7" t="n">
        <v>6.459870485412128e-08</v>
      </c>
      <c r="D256" t="inlineStr">
        <is>
          <t>kilogram</t>
        </is>
      </c>
      <c r="E256" t="inlineStr">
        <is>
          <t>air::urban air close to ground</t>
        </is>
      </c>
      <c r="F256" t="inlineStr">
        <is>
          <t>biosphere</t>
        </is>
      </c>
      <c r="G256" t="inlineStr">
        <is>
          <t>Acrolein</t>
        </is>
      </c>
    </row>
    <row r="257">
      <c r="A257" t="inlineStr">
        <is>
          <t>Styrene</t>
        </is>
      </c>
      <c r="B257" s="7" t="n">
        <v>3.43393115277171e-07</v>
      </c>
      <c r="D257" t="inlineStr">
        <is>
          <t>kilogram</t>
        </is>
      </c>
      <c r="E257" t="inlineStr">
        <is>
          <t>air::urban air close to ground</t>
        </is>
      </c>
      <c r="F257" t="inlineStr">
        <is>
          <t>biosphere</t>
        </is>
      </c>
      <c r="G257" t="inlineStr">
        <is>
          <t>Styrene</t>
        </is>
      </c>
    </row>
    <row r="258">
      <c r="A258" t="inlineStr">
        <is>
          <t>PAH, polycyclic aromatic hydrocarbons</t>
        </is>
      </c>
      <c r="B258" s="7" t="n">
        <v>1.206547130504338e-09</v>
      </c>
      <c r="D258" t="inlineStr">
        <is>
          <t>kilogram</t>
        </is>
      </c>
      <c r="E258" t="inlineStr">
        <is>
          <t>air::urban air close to ground</t>
        </is>
      </c>
      <c r="F258" t="inlineStr">
        <is>
          <t>biosphere</t>
        </is>
      </c>
      <c r="G258" t="inlineStr">
        <is>
          <t>PAHs</t>
        </is>
      </c>
    </row>
    <row r="259">
      <c r="A259" t="inlineStr">
        <is>
          <t>Arsenic</t>
        </is>
      </c>
      <c r="B259" s="7" t="n">
        <v>1.040126836641671e-11</v>
      </c>
      <c r="D259" t="inlineStr">
        <is>
          <t>kilogram</t>
        </is>
      </c>
      <c r="E259" t="inlineStr">
        <is>
          <t>air::urban air close to ground</t>
        </is>
      </c>
      <c r="F259" t="inlineStr">
        <is>
          <t>biosphere</t>
        </is>
      </c>
      <c r="G259" t="inlineStr">
        <is>
          <t>Arsenic</t>
        </is>
      </c>
    </row>
    <row r="260">
      <c r="A260" t="inlineStr">
        <is>
          <t>Selenium</t>
        </is>
      </c>
      <c r="B260" s="7" t="n">
        <v>6.934178910944472e-12</v>
      </c>
      <c r="D260" t="inlineStr">
        <is>
          <t>kilogram</t>
        </is>
      </c>
      <c r="E260" t="inlineStr">
        <is>
          <t>air::urban air close to ground</t>
        </is>
      </c>
      <c r="F260" t="inlineStr">
        <is>
          <t>biosphere</t>
        </is>
      </c>
      <c r="G260" t="inlineStr">
        <is>
          <t>Selenium</t>
        </is>
      </c>
    </row>
    <row r="261">
      <c r="A261" t="inlineStr">
        <is>
          <t>Zinc</t>
        </is>
      </c>
      <c r="B261" s="7" t="n">
        <v>7.488913223820029e-08</v>
      </c>
      <c r="D261" t="inlineStr">
        <is>
          <t>kilogram</t>
        </is>
      </c>
      <c r="E261" t="inlineStr">
        <is>
          <t>air::urban air close to ground</t>
        </is>
      </c>
      <c r="F261" t="inlineStr">
        <is>
          <t>biosphere</t>
        </is>
      </c>
      <c r="G261" t="inlineStr">
        <is>
          <t>Zinc</t>
        </is>
      </c>
    </row>
    <row r="262">
      <c r="A262" t="inlineStr">
        <is>
          <t>Copper</t>
        </is>
      </c>
      <c r="B262" s="7" t="n">
        <v>1.456177571298339e-09</v>
      </c>
      <c r="D262" t="inlineStr">
        <is>
          <t>kilogram</t>
        </is>
      </c>
      <c r="E262" t="inlineStr">
        <is>
          <t>air::urban air close to ground</t>
        </is>
      </c>
      <c r="F262" t="inlineStr">
        <is>
          <t>biosphere</t>
        </is>
      </c>
      <c r="G262" t="inlineStr">
        <is>
          <t>Copper</t>
        </is>
      </c>
    </row>
    <row r="263">
      <c r="A263" t="inlineStr">
        <is>
          <t>Nickel</t>
        </is>
      </c>
      <c r="B263" s="7" t="n">
        <v>4.507216292113907e-10</v>
      </c>
      <c r="D263" t="inlineStr">
        <is>
          <t>kilogram</t>
        </is>
      </c>
      <c r="E263" t="inlineStr">
        <is>
          <t>air::urban air close to ground</t>
        </is>
      </c>
      <c r="F263" t="inlineStr">
        <is>
          <t>biosphere</t>
        </is>
      </c>
      <c r="G263" t="inlineStr">
        <is>
          <t>Nickel</t>
        </is>
      </c>
    </row>
    <row r="264">
      <c r="A264" t="inlineStr">
        <is>
          <t>Chromium</t>
        </is>
      </c>
      <c r="B264" s="7" t="n">
        <v>5.547343128755578e-10</v>
      </c>
      <c r="D264" t="inlineStr">
        <is>
          <t>kilogram</t>
        </is>
      </c>
      <c r="E264" t="inlineStr">
        <is>
          <t>air::urban air close to ground</t>
        </is>
      </c>
      <c r="F264" t="inlineStr">
        <is>
          <t>biosphere</t>
        </is>
      </c>
      <c r="G264" t="inlineStr">
        <is>
          <t>Chromium</t>
        </is>
      </c>
    </row>
    <row r="265">
      <c r="A265" t="inlineStr">
        <is>
          <t>Chromium VI</t>
        </is>
      </c>
      <c r="B265" s="7" t="n">
        <v>1.109468625751115e-12</v>
      </c>
      <c r="D265" t="inlineStr">
        <is>
          <t>kilogram</t>
        </is>
      </c>
      <c r="E265" t="inlineStr">
        <is>
          <t>air::urban air close to ground</t>
        </is>
      </c>
      <c r="F265" t="inlineStr">
        <is>
          <t>biosphere</t>
        </is>
      </c>
      <c r="G265" t="inlineStr">
        <is>
          <t>Chromium VI</t>
        </is>
      </c>
    </row>
    <row r="266">
      <c r="A266" t="inlineStr">
        <is>
          <t>Mercury</t>
        </is>
      </c>
      <c r="B266" s="7" t="n">
        <v>3.016367826260845e-10</v>
      </c>
      <c r="D266" t="inlineStr">
        <is>
          <t>kilogram</t>
        </is>
      </c>
      <c r="E266" t="inlineStr">
        <is>
          <t>air::urban air close to ground</t>
        </is>
      </c>
      <c r="F266" t="inlineStr">
        <is>
          <t>biosphere</t>
        </is>
      </c>
      <c r="G266" t="inlineStr">
        <is>
          <t>Mercury</t>
        </is>
      </c>
    </row>
    <row r="267">
      <c r="A267" t="inlineStr">
        <is>
          <t>Cadmium</t>
        </is>
      </c>
      <c r="B267" s="7" t="n">
        <v>3.744456611910016e-10</v>
      </c>
      <c r="D267" t="inlineStr">
        <is>
          <t>kilogram</t>
        </is>
      </c>
      <c r="E267" t="inlineStr">
        <is>
          <t>air::urban air close to ground</t>
        </is>
      </c>
      <c r="F267" t="inlineStr">
        <is>
          <t>biosphere</t>
        </is>
      </c>
      <c r="G267" t="inlineStr">
        <is>
          <t>Cadmium</t>
        </is>
      </c>
    </row>
    <row r="268">
      <c r="A268" t="inlineStr">
        <is>
          <t>treatment of road wear emissions, passenger car</t>
        </is>
      </c>
      <c r="B268" s="7" t="n">
        <v>-8.589162816193753e-06</v>
      </c>
      <c r="C268" t="inlineStr">
        <is>
          <t>RER</t>
        </is>
      </c>
      <c r="D268" t="inlineStr">
        <is>
          <t>kilogram</t>
        </is>
      </c>
      <c r="F268" t="inlineStr">
        <is>
          <t>technosphere</t>
        </is>
      </c>
      <c r="G268" t="inlineStr">
        <is>
          <t>Road wear [kg/km]</t>
        </is>
      </c>
      <c r="H268" t="inlineStr">
        <is>
          <t>road wear emissions, passenger car</t>
        </is>
      </c>
    </row>
    <row r="269">
      <c r="A269" t="inlineStr">
        <is>
          <t>treatment of tyre wear emissions, passenger car</t>
        </is>
      </c>
      <c r="B269" s="7" t="n">
        <v>-5.688815826747572e-06</v>
      </c>
      <c r="C269" t="inlineStr">
        <is>
          <t>RER</t>
        </is>
      </c>
      <c r="D269" t="inlineStr">
        <is>
          <t>kilogram</t>
        </is>
      </c>
      <c r="F269" t="inlineStr">
        <is>
          <t>technosphere</t>
        </is>
      </c>
      <c r="G269" t="inlineStr">
        <is>
          <t>Tire wear [kg/km]</t>
        </is>
      </c>
      <c r="H269" t="inlineStr">
        <is>
          <t>tyre wear emissions, passenger car</t>
        </is>
      </c>
    </row>
    <row r="270">
      <c r="A270" t="inlineStr">
        <is>
          <t>treatment of brake wear emissions, passenger car</t>
        </is>
      </c>
      <c r="B270" s="7" t="n">
        <v>-3.159908071313845e-06</v>
      </c>
      <c r="C270" t="inlineStr">
        <is>
          <t>RER</t>
        </is>
      </c>
      <c r="D270" t="inlineStr">
        <is>
          <t>kilogram</t>
        </is>
      </c>
      <c r="F270" t="inlineStr">
        <is>
          <t>technosphere</t>
        </is>
      </c>
      <c r="G270" t="inlineStr">
        <is>
          <t>Brake wear [kg/km]</t>
        </is>
      </c>
      <c r="H270" t="inlineStr">
        <is>
          <t>brake wear emissions, passenger car</t>
        </is>
      </c>
    </row>
    <row r="271"/>
    <row r="272" ht="16" customHeight="1">
      <c r="A272" s="10" t="inlineStr">
        <is>
          <t>Activity</t>
        </is>
      </c>
      <c r="B272" s="8" t="inlineStr">
        <is>
          <t>transport, Motorbike, gasoline, 11-35kW, EURO-5</t>
        </is>
      </c>
    </row>
    <row r="273">
      <c r="A273" t="inlineStr">
        <is>
          <t>location</t>
        </is>
      </c>
      <c r="B273" t="inlineStr">
        <is>
          <t>CH</t>
        </is>
      </c>
    </row>
    <row r="274">
      <c r="A274" t="inlineStr">
        <is>
          <t>vehicle</t>
        </is>
      </c>
      <c r="B274" t="inlineStr">
        <is>
          <t>Motorbike, gasoline, 11-35kW, EURO-5</t>
        </is>
      </c>
    </row>
    <row r="275">
      <c r="A275" t="inlineStr">
        <is>
          <t>size</t>
        </is>
      </c>
    </row>
    <row r="276">
      <c r="A276" t="inlineStr">
        <is>
          <t>year</t>
        </is>
      </c>
      <c r="B276" t="n">
        <v>2020</v>
      </c>
    </row>
    <row r="277">
      <c r="A277" t="inlineStr">
        <is>
          <t>full name</t>
        </is>
      </c>
      <c r="B277" t="inlineStr">
        <is>
          <t>Motorbike, gasoline, 11-35kW, EURO-5 - 2020 - CH</t>
        </is>
      </c>
    </row>
    <row r="278">
      <c r="A278" t="inlineStr">
        <is>
          <t>reference product</t>
        </is>
      </c>
      <c r="B278" t="inlineStr">
        <is>
          <t>transport, Motorbike, gasoline, 11-35kW, EURO-5</t>
        </is>
      </c>
    </row>
    <row r="279">
      <c r="A279" t="inlineStr">
        <is>
          <t>type</t>
        </is>
      </c>
      <c r="B279" t="inlineStr">
        <is>
          <t>process</t>
        </is>
      </c>
    </row>
    <row r="280">
      <c r="A280" t="inlineStr">
        <is>
          <t>unit</t>
        </is>
      </c>
      <c r="B280" t="inlineStr">
        <is>
          <t>kilometer</t>
        </is>
      </c>
    </row>
    <row r="281">
      <c r="A281" t="inlineStr">
        <is>
          <t>source</t>
        </is>
      </c>
      <c r="B281" t="inlineStr">
        <is>
          <t>Sacchi R., Bauer C. Life cycle inventories for on-road vehicles. Paul Scherrer Institut, 2021.</t>
        </is>
      </c>
    </row>
    <row r="282">
      <c r="A282" t="inlineStr">
        <is>
          <t>lifetime</t>
        </is>
      </c>
      <c r="B282" t="n">
        <v>38500</v>
      </c>
    </row>
    <row r="283">
      <c r="A283" t="inlineStr">
        <is>
          <t>passengers</t>
        </is>
      </c>
      <c r="B283" t="n">
        <v>1.1</v>
      </c>
    </row>
    <row r="284">
      <c r="A284" t="inlineStr">
        <is>
          <t>service</t>
        </is>
      </c>
      <c r="B284" t="n">
        <v>1.54</v>
      </c>
    </row>
    <row r="285">
      <c r="A285" t="inlineStr">
        <is>
          <t>battery replacement</t>
        </is>
      </c>
      <c r="B285" t="n">
        <v>0</v>
      </c>
    </row>
    <row r="286">
      <c r="A286" t="inlineStr">
        <is>
          <t>annual kilometers</t>
        </is>
      </c>
      <c r="B286" t="n">
        <v>2405</v>
      </c>
    </row>
    <row r="287">
      <c r="A287" t="inlineStr">
        <is>
          <t>curb mass</t>
        </is>
      </c>
      <c r="B287" s="2" t="n">
        <v>155.9375</v>
      </c>
    </row>
    <row r="288">
      <c r="A288" t="inlineStr">
        <is>
          <t>power</t>
        </is>
      </c>
      <c r="B288" t="n">
        <v>20</v>
      </c>
    </row>
    <row r="289">
      <c r="A289" t="inlineStr">
        <is>
          <t>battery mass</t>
        </is>
      </c>
    </row>
    <row r="290">
      <c r="A290" t="inlineStr">
        <is>
          <t>electricity, low voltage</t>
        </is>
      </c>
      <c r="B290" t="n">
        <v>0</v>
      </c>
    </row>
    <row r="291">
      <c r="A291" t="inlineStr">
        <is>
          <t>tank capacity</t>
        </is>
      </c>
      <c r="B291" s="2" t="n">
        <v>133.125</v>
      </c>
    </row>
    <row r="292">
      <c r="A292" t="inlineStr">
        <is>
          <t>fuel mass</t>
        </is>
      </c>
      <c r="B292" t="n">
        <v>11.25</v>
      </c>
    </row>
    <row r="293">
      <c r="A293" t="inlineStr">
        <is>
          <t>range</t>
        </is>
      </c>
      <c r="B293" s="2" t="n">
        <v>328.528423562102</v>
      </c>
    </row>
    <row r="294">
      <c r="A294" t="inlineStr">
        <is>
          <t>emission standard</t>
        </is>
      </c>
      <c r="B294" t="inlineStr">
        <is>
          <t>EURO-5</t>
        </is>
      </c>
    </row>
    <row r="295">
      <c r="A295" t="inlineStr">
        <is>
          <t>Glider lightweighting</t>
        </is>
      </c>
      <c r="B295" s="6" t="n">
        <v>0</v>
      </c>
    </row>
    <row r="296">
      <c r="A296" t="inlineStr">
        <is>
          <t>comment</t>
        </is>
      </c>
      <c r="B296" t="inlineStr">
        <is>
          <t>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97" ht="16" customHeight="1">
      <c r="A297" s="10" t="inlineStr">
        <is>
          <t>Exchanges</t>
        </is>
      </c>
    </row>
    <row r="298">
      <c r="A298" t="inlineStr">
        <is>
          <t>name</t>
        </is>
      </c>
      <c r="B298" t="inlineStr">
        <is>
          <t>amount</t>
        </is>
      </c>
      <c r="C298" t="inlineStr">
        <is>
          <t>location</t>
        </is>
      </c>
      <c r="D298" t="inlineStr">
        <is>
          <t>unit</t>
        </is>
      </c>
      <c r="E298" t="inlineStr">
        <is>
          <t>categories</t>
        </is>
      </c>
      <c r="F298" t="inlineStr">
        <is>
          <t>type</t>
        </is>
      </c>
      <c r="G298" t="inlineStr">
        <is>
          <t>comment</t>
        </is>
      </c>
      <c r="H298" t="inlineStr">
        <is>
          <t>reference product</t>
        </is>
      </c>
    </row>
    <row r="299">
      <c r="A299" t="inlineStr">
        <is>
          <t>transport, Motorbike, gasoline, 11-35kW, EURO-5</t>
        </is>
      </c>
      <c r="B299" t="n">
        <v>1</v>
      </c>
      <c r="C299" t="inlineStr">
        <is>
          <t>CH</t>
        </is>
      </c>
      <c r="D299" t="inlineStr">
        <is>
          <t>kilometer</t>
        </is>
      </c>
      <c r="F299" t="inlineStr">
        <is>
          <t>production</t>
        </is>
      </c>
      <c r="H299" t="inlineStr">
        <is>
          <t>transport, Motorbike, gasoline, 11-35kW, EURO-5</t>
        </is>
      </c>
    </row>
    <row r="300">
      <c r="A300" t="inlineStr">
        <is>
          <t>Motorbike, gasoline, 11-35kW, EURO-5</t>
        </is>
      </c>
      <c r="B300" s="7" t="n">
        <v>2.597402597402598e-05</v>
      </c>
      <c r="C300" t="inlineStr">
        <is>
          <t>CH</t>
        </is>
      </c>
      <c r="D300" t="inlineStr">
        <is>
          <t>unit</t>
        </is>
      </c>
      <c r="F300" t="inlineStr">
        <is>
          <t>technosphere</t>
        </is>
      </c>
      <c r="H300" t="inlineStr">
        <is>
          <t>Motorbike, gasoline, 11-35kW, EURO-5</t>
        </is>
      </c>
    </row>
    <row r="301">
      <c r="A301" t="inlineStr">
        <is>
          <t>road construction</t>
        </is>
      </c>
      <c r="B301" s="7" t="n">
        <v>0.0001312629375</v>
      </c>
      <c r="C301" t="inlineStr">
        <is>
          <t>CH</t>
        </is>
      </c>
      <c r="D301" t="inlineStr">
        <is>
          <t>meter-year</t>
        </is>
      </c>
      <c r="F301" t="inlineStr">
        <is>
          <t>technosphere</t>
        </is>
      </c>
      <c r="G301" t="inlineStr">
        <is>
          <t>Road/track use [m*year/vkm or pkm]</t>
        </is>
      </c>
      <c r="H301" t="inlineStr">
        <is>
          <t>road</t>
        </is>
      </c>
    </row>
    <row r="302">
      <c r="A302" t="inlineStr">
        <is>
          <t>road maintenance</t>
        </is>
      </c>
      <c r="B302" s="7" t="n">
        <v>0.00129</v>
      </c>
      <c r="C302" t="inlineStr">
        <is>
          <t>CH</t>
        </is>
      </c>
      <c r="D302" t="inlineStr">
        <is>
          <t>meter-year</t>
        </is>
      </c>
      <c r="F302" t="inlineStr">
        <is>
          <t>technosphere</t>
        </is>
      </c>
      <c r="G302" t="inlineStr">
        <is>
          <t>Road maintenance [m*year/vkm]</t>
        </is>
      </c>
      <c r="H302" t="inlineStr">
        <is>
          <t>road maintenance</t>
        </is>
      </c>
    </row>
    <row r="303">
      <c r="A303" t="inlineStr">
        <is>
          <t>maintenance, motor scooter</t>
        </is>
      </c>
      <c r="B303" s="7" t="n">
        <v>4e-05</v>
      </c>
      <c r="C303" t="inlineStr">
        <is>
          <t>CH</t>
        </is>
      </c>
      <c r="D303" t="inlineStr">
        <is>
          <t>unit</t>
        </is>
      </c>
      <c r="F303" t="inlineStr">
        <is>
          <t>technosphere</t>
        </is>
      </c>
      <c r="G303" t="inlineStr">
        <is>
          <t>Servicing [unit]</t>
        </is>
      </c>
      <c r="H303" t="inlineStr">
        <is>
          <t>maintenance, motor scooter</t>
        </is>
      </c>
    </row>
    <row r="304">
      <c r="A304" t="inlineStr">
        <is>
          <t>fuel supply for gasoline vehicles</t>
        </is>
      </c>
      <c r="B304" s="7" t="n">
        <v>0.03424361240351979</v>
      </c>
      <c r="C304" t="inlineStr">
        <is>
          <t>CH</t>
        </is>
      </c>
      <c r="D304" t="inlineStr">
        <is>
          <t>kilogram</t>
        </is>
      </c>
      <c r="F304" t="inlineStr">
        <is>
          <t>technosphere</t>
        </is>
      </c>
      <c r="G304" t="inlineStr">
        <is>
          <t>Gasoline consumption [MJ/km]</t>
        </is>
      </c>
      <c r="H304" t="inlineStr">
        <is>
          <t>gasoline blend</t>
        </is>
      </c>
    </row>
    <row r="305">
      <c r="A305" t="inlineStr">
        <is>
          <t>Carbon dioxide, fossil</t>
        </is>
      </c>
      <c r="B305" s="11" t="n">
        <v>0.1062346436316875</v>
      </c>
      <c r="D305" t="inlineStr">
        <is>
          <t>kilogram</t>
        </is>
      </c>
      <c r="E305" t="inlineStr">
        <is>
          <t>air::urban air close to ground</t>
        </is>
      </c>
      <c r="F305" t="inlineStr">
        <is>
          <t>biosphere</t>
        </is>
      </c>
      <c r="G305" t="inlineStr">
        <is>
          <t>CO2</t>
        </is>
      </c>
    </row>
    <row r="306">
      <c r="A306" t="inlineStr">
        <is>
          <t>Carbon dioxide, from soil or biomass stock</t>
        </is>
      </c>
      <c r="B306" s="11" t="n">
        <v>0.001290299315364626</v>
      </c>
      <c r="D306" t="inlineStr">
        <is>
          <t>kilogram</t>
        </is>
      </c>
      <c r="E306" t="inlineStr">
        <is>
          <t>air::urban air close to ground</t>
        </is>
      </c>
      <c r="F306" t="inlineStr">
        <is>
          <t>biosphere</t>
        </is>
      </c>
      <c r="G306" t="inlineStr">
        <is>
          <t>CO2, bio</t>
        </is>
      </c>
    </row>
    <row r="307">
      <c r="A307" t="inlineStr">
        <is>
          <t>Sulfur dioxide</t>
        </is>
      </c>
      <c r="B307" s="7" t="n">
        <v>5.478977984563167e-07</v>
      </c>
      <c r="D307" t="inlineStr">
        <is>
          <t>kilogram</t>
        </is>
      </c>
      <c r="E307" t="inlineStr">
        <is>
          <t>air::urban air close to ground</t>
        </is>
      </c>
      <c r="F307" t="inlineStr">
        <is>
          <t>biosphere</t>
        </is>
      </c>
      <c r="G307" t="inlineStr">
        <is>
          <t>SO2</t>
        </is>
      </c>
    </row>
    <row r="308">
      <c r="A308" t="inlineStr">
        <is>
          <t>Benzene</t>
        </is>
      </c>
      <c r="B308" s="7" t="n">
        <v>1.112086181563376e-06</v>
      </c>
      <c r="D308" t="inlineStr">
        <is>
          <t>kilogram</t>
        </is>
      </c>
      <c r="E308" t="inlineStr">
        <is>
          <t>air::urban air close to ground</t>
        </is>
      </c>
      <c r="F308" t="inlineStr">
        <is>
          <t>biosphere</t>
        </is>
      </c>
      <c r="G308" t="inlineStr">
        <is>
          <t>Benzene</t>
        </is>
      </c>
    </row>
    <row r="309">
      <c r="A309" t="inlineStr">
        <is>
          <t>Methane, fossil</t>
        </is>
      </c>
      <c r="B309" s="7" t="n">
        <v>2.7420758420676e-05</v>
      </c>
      <c r="D309" t="inlineStr">
        <is>
          <t>kilogram</t>
        </is>
      </c>
      <c r="E309" t="inlineStr">
        <is>
          <t>air::urban air close to ground</t>
        </is>
      </c>
      <c r="F309" t="inlineStr">
        <is>
          <t>biosphere</t>
        </is>
      </c>
      <c r="G309" t="inlineStr">
        <is>
          <t>CH4</t>
        </is>
      </c>
    </row>
    <row r="310">
      <c r="A310" t="inlineStr">
        <is>
          <t>Carbon monoxide, fossil</t>
        </is>
      </c>
      <c r="B310" s="7" t="n">
        <v>0.0001217425302427384</v>
      </c>
      <c r="D310" t="inlineStr">
        <is>
          <t>kilogram</t>
        </is>
      </c>
      <c r="E310" t="inlineStr">
        <is>
          <t>air::urban air close to ground</t>
        </is>
      </c>
      <c r="F310" t="inlineStr">
        <is>
          <t>biosphere</t>
        </is>
      </c>
      <c r="G310" t="inlineStr">
        <is>
          <t>CO</t>
        </is>
      </c>
    </row>
    <row r="311">
      <c r="A311" t="inlineStr">
        <is>
          <t>Dinitrogen monoxide</t>
        </is>
      </c>
      <c r="B311" s="7" t="n">
        <v>8.246844637797292e-07</v>
      </c>
      <c r="D311" t="inlineStr">
        <is>
          <t>kilogram</t>
        </is>
      </c>
      <c r="E311" t="inlineStr">
        <is>
          <t>air::urban air close to ground</t>
        </is>
      </c>
      <c r="F311" t="inlineStr">
        <is>
          <t>biosphere</t>
        </is>
      </c>
      <c r="G311" t="inlineStr">
        <is>
          <t>N2O</t>
        </is>
      </c>
    </row>
    <row r="312">
      <c r="A312" t="inlineStr">
        <is>
          <t>Ammonia</t>
        </is>
      </c>
      <c r="B312" s="7" t="n">
        <v>8.246844637797292e-07</v>
      </c>
      <c r="D312" t="inlineStr">
        <is>
          <t>kilogram</t>
        </is>
      </c>
      <c r="E312" t="inlineStr">
        <is>
          <t>air::urban air close to ground</t>
        </is>
      </c>
      <c r="F312" t="inlineStr">
        <is>
          <t>biosphere</t>
        </is>
      </c>
      <c r="G312" t="inlineStr">
        <is>
          <t>NH3</t>
        </is>
      </c>
    </row>
    <row r="313">
      <c r="A313" t="inlineStr">
        <is>
          <t>Nitrogen oxides</t>
        </is>
      </c>
      <c r="B313" s="7" t="n">
        <v>8.989009918919449e-06</v>
      </c>
      <c r="D313" t="inlineStr">
        <is>
          <t>kilogram</t>
        </is>
      </c>
      <c r="E313" t="inlineStr">
        <is>
          <t>air::urban air close to ground</t>
        </is>
      </c>
      <c r="F313" t="inlineStr">
        <is>
          <t>biosphere</t>
        </is>
      </c>
      <c r="G313" t="inlineStr">
        <is>
          <t>NOx</t>
        </is>
      </c>
    </row>
    <row r="314">
      <c r="A314" t="inlineStr">
        <is>
          <t>Particulates, &lt; 2.5 um</t>
        </is>
      </c>
      <c r="B314" s="7" t="n">
        <v>2.061711159449323e-06</v>
      </c>
      <c r="D314" t="inlineStr">
        <is>
          <t>kilogram</t>
        </is>
      </c>
      <c r="E314" t="inlineStr">
        <is>
          <t>air::urban air close to ground</t>
        </is>
      </c>
      <c r="F314" t="inlineStr">
        <is>
          <t>biosphere</t>
        </is>
      </c>
      <c r="G314" t="inlineStr">
        <is>
          <t>PM2.5</t>
        </is>
      </c>
    </row>
    <row r="315">
      <c r="A315" t="inlineStr">
        <is>
          <t>NMVOC, non-methane volatile organic compounds, unspecified origin</t>
        </is>
      </c>
      <c r="B315" s="7" t="n">
        <v>8.968053271644763e-06</v>
      </c>
      <c r="D315" t="inlineStr">
        <is>
          <t>kilogram</t>
        </is>
      </c>
      <c r="E315" t="inlineStr">
        <is>
          <t>air::urban air close to ground</t>
        </is>
      </c>
      <c r="F315" t="inlineStr">
        <is>
          <t>biosphere</t>
        </is>
      </c>
      <c r="G315" t="inlineStr">
        <is>
          <t>NMVOC</t>
        </is>
      </c>
    </row>
    <row r="316">
      <c r="A316" t="inlineStr">
        <is>
          <t>Ethane</t>
        </is>
      </c>
      <c r="B316" s="7" t="n">
        <v>6.323627306928998e-07</v>
      </c>
      <c r="D316" t="inlineStr">
        <is>
          <t>kilogram</t>
        </is>
      </c>
      <c r="E316" t="inlineStr">
        <is>
          <t>air::urban air close to ground</t>
        </is>
      </c>
      <c r="F316" t="inlineStr">
        <is>
          <t>biosphere</t>
        </is>
      </c>
      <c r="G316" t="inlineStr">
        <is>
          <t>Ethane</t>
        </is>
      </c>
    </row>
    <row r="317">
      <c r="A317" t="inlineStr">
        <is>
          <t>Propane</t>
        </is>
      </c>
      <c r="B317" s="7" t="n">
        <v>1.288513401098385e-07</v>
      </c>
      <c r="D317" t="inlineStr">
        <is>
          <t>kilogram</t>
        </is>
      </c>
      <c r="E317" t="inlineStr">
        <is>
          <t>air::urban air close to ground</t>
        </is>
      </c>
      <c r="F317" t="inlineStr">
        <is>
          <t>biosphere</t>
        </is>
      </c>
      <c r="G317" t="inlineStr">
        <is>
          <t>Propane</t>
        </is>
      </c>
    </row>
    <row r="318">
      <c r="A318" t="inlineStr">
        <is>
          <t>Butane</t>
        </is>
      </c>
      <c r="B318" s="7" t="n">
        <v>1.038740034116237e-06</v>
      </c>
      <c r="D318" t="inlineStr">
        <is>
          <t>kilogram</t>
        </is>
      </c>
      <c r="E318" t="inlineStr">
        <is>
          <t>air::urban air close to ground</t>
        </is>
      </c>
      <c r="F318" t="inlineStr">
        <is>
          <t>biosphere</t>
        </is>
      </c>
      <c r="G318" t="inlineStr">
        <is>
          <t>Butane</t>
        </is>
      </c>
    </row>
    <row r="319">
      <c r="A319" t="inlineStr">
        <is>
          <t>Pentane</t>
        </is>
      </c>
      <c r="B319" s="7" t="n">
        <v>4.262005865171582e-07</v>
      </c>
      <c r="D319" t="inlineStr">
        <is>
          <t>kilogram</t>
        </is>
      </c>
      <c r="E319" t="inlineStr">
        <is>
          <t>air::urban air close to ground</t>
        </is>
      </c>
      <c r="F319" t="inlineStr">
        <is>
          <t>biosphere</t>
        </is>
      </c>
      <c r="G319" t="inlineStr">
        <is>
          <t>Pentane</t>
        </is>
      </c>
    </row>
    <row r="320">
      <c r="A320" t="inlineStr">
        <is>
          <t>Hexane</t>
        </is>
      </c>
      <c r="B320" s="7" t="n">
        <v>3.191548578105232e-07</v>
      </c>
      <c r="D320" t="inlineStr">
        <is>
          <t>kilogram</t>
        </is>
      </c>
      <c r="E320" t="inlineStr">
        <is>
          <t>air::urban air close to ground</t>
        </is>
      </c>
      <c r="F320" t="inlineStr">
        <is>
          <t>biosphere</t>
        </is>
      </c>
      <c r="G320" t="inlineStr">
        <is>
          <t>Hexane</t>
        </is>
      </c>
    </row>
    <row r="321">
      <c r="A321" t="inlineStr">
        <is>
          <t>Cyclohexane</t>
        </is>
      </c>
      <c r="B321" s="7" t="n">
        <v>2.25985427269563e-07</v>
      </c>
      <c r="D321" t="inlineStr">
        <is>
          <t>kilogram</t>
        </is>
      </c>
      <c r="E321" t="inlineStr">
        <is>
          <t>air::urban air close to ground</t>
        </is>
      </c>
      <c r="F321" t="inlineStr">
        <is>
          <t>biosphere</t>
        </is>
      </c>
      <c r="G321" t="inlineStr">
        <is>
          <t>Cyclohexane</t>
        </is>
      </c>
    </row>
    <row r="322">
      <c r="A322" t="inlineStr">
        <is>
          <t>Heptane</t>
        </is>
      </c>
      <c r="B322" s="7" t="n">
        <v>1.466922948942777e-07</v>
      </c>
      <c r="D322" t="inlineStr">
        <is>
          <t>kilogram</t>
        </is>
      </c>
      <c r="E322" t="inlineStr">
        <is>
          <t>air::urban air close to ground</t>
        </is>
      </c>
      <c r="F322" t="inlineStr">
        <is>
          <t>biosphere</t>
        </is>
      </c>
      <c r="G322" t="inlineStr">
        <is>
          <t>Heptane</t>
        </is>
      </c>
    </row>
    <row r="323">
      <c r="A323" t="inlineStr">
        <is>
          <t>Ethene</t>
        </is>
      </c>
      <c r="B323" s="7" t="n">
        <v>1.447099665848956e-06</v>
      </c>
      <c r="D323" t="inlineStr">
        <is>
          <t>kilogram</t>
        </is>
      </c>
      <c r="E323" t="inlineStr">
        <is>
          <t>air::urban air close to ground</t>
        </is>
      </c>
      <c r="F323" t="inlineStr">
        <is>
          <t>biosphere</t>
        </is>
      </c>
      <c r="G323" t="inlineStr">
        <is>
          <t>Ethene</t>
        </is>
      </c>
    </row>
    <row r="324">
      <c r="A324" t="inlineStr">
        <is>
          <t>Propene</t>
        </is>
      </c>
      <c r="B324" s="7" t="n">
        <v>7.572494141839741e-07</v>
      </c>
      <c r="D324" t="inlineStr">
        <is>
          <t>kilogram</t>
        </is>
      </c>
      <c r="E324" t="inlineStr">
        <is>
          <t>air::urban air close to ground</t>
        </is>
      </c>
      <c r="F324" t="inlineStr">
        <is>
          <t>biosphere</t>
        </is>
      </c>
      <c r="G324" t="inlineStr">
        <is>
          <t>Propene</t>
        </is>
      </c>
    </row>
    <row r="325">
      <c r="A325" t="inlineStr">
        <is>
          <t>1-Pentene</t>
        </is>
      </c>
      <c r="B325" s="7" t="n">
        <v>2.180561140320345e-08</v>
      </c>
      <c r="D325" t="inlineStr">
        <is>
          <t>kilogram</t>
        </is>
      </c>
      <c r="E325" t="inlineStr">
        <is>
          <t>air::urban air close to ground</t>
        </is>
      </c>
      <c r="F325" t="inlineStr">
        <is>
          <t>biosphere</t>
        </is>
      </c>
      <c r="G325" t="inlineStr">
        <is>
          <t>1-Pentene</t>
        </is>
      </c>
    </row>
    <row r="326">
      <c r="A326" t="inlineStr">
        <is>
          <t>Toluene</t>
        </is>
      </c>
      <c r="B326" s="7" t="n">
        <v>2.17659648370158e-06</v>
      </c>
      <c r="D326" t="inlineStr">
        <is>
          <t>kilogram</t>
        </is>
      </c>
      <c r="E326" t="inlineStr">
        <is>
          <t>air::urban air close to ground</t>
        </is>
      </c>
      <c r="F326" t="inlineStr">
        <is>
          <t>biosphere</t>
        </is>
      </c>
      <c r="G326" t="inlineStr">
        <is>
          <t>Toluene</t>
        </is>
      </c>
    </row>
    <row r="327">
      <c r="A327" t="inlineStr">
        <is>
          <t>m-Xylene</t>
        </is>
      </c>
      <c r="B327" s="7" t="n">
        <v>1.076404271994497e-06</v>
      </c>
      <c r="D327" t="inlineStr">
        <is>
          <t>kilogram</t>
        </is>
      </c>
      <c r="E327" t="inlineStr">
        <is>
          <t>air::urban air close to ground</t>
        </is>
      </c>
      <c r="F327" t="inlineStr">
        <is>
          <t>biosphere</t>
        </is>
      </c>
      <c r="G327" t="inlineStr">
        <is>
          <t>m-Xylene</t>
        </is>
      </c>
    </row>
    <row r="328">
      <c r="A328" t="inlineStr">
        <is>
          <t>o-Xylene</t>
        </is>
      </c>
      <c r="B328" s="7" t="n">
        <v>4.480061979203616e-07</v>
      </c>
      <c r="D328" t="inlineStr">
        <is>
          <t>kilogram</t>
        </is>
      </c>
      <c r="E328" t="inlineStr">
        <is>
          <t>air::urban air close to ground</t>
        </is>
      </c>
      <c r="F328" t="inlineStr">
        <is>
          <t>biosphere</t>
        </is>
      </c>
      <c r="G328" t="inlineStr">
        <is>
          <t>o-Xylene</t>
        </is>
      </c>
    </row>
    <row r="329">
      <c r="A329" t="inlineStr">
        <is>
          <t>Formaldehyde</t>
        </is>
      </c>
      <c r="B329" s="7" t="n">
        <v>3.369958125949624e-07</v>
      </c>
      <c r="D329" t="inlineStr">
        <is>
          <t>kilogram</t>
        </is>
      </c>
      <c r="E329" t="inlineStr">
        <is>
          <t>air::urban air close to ground</t>
        </is>
      </c>
      <c r="F329" t="inlineStr">
        <is>
          <t>biosphere</t>
        </is>
      </c>
      <c r="G329" t="inlineStr">
        <is>
          <t>Formaldehyde</t>
        </is>
      </c>
    </row>
    <row r="330">
      <c r="A330" t="inlineStr">
        <is>
          <t>Acetaldehyde</t>
        </is>
      </c>
      <c r="B330" s="7" t="n">
        <v>1.486746232036598e-07</v>
      </c>
      <c r="D330" t="inlineStr">
        <is>
          <t>kilogram</t>
        </is>
      </c>
      <c r="E330" t="inlineStr">
        <is>
          <t>air::urban air close to ground</t>
        </is>
      </c>
      <c r="F330" t="inlineStr">
        <is>
          <t>biosphere</t>
        </is>
      </c>
      <c r="G330" t="inlineStr">
        <is>
          <t>Acetaldehyde</t>
        </is>
      </c>
    </row>
    <row r="331">
      <c r="A331" t="inlineStr">
        <is>
          <t>Benzaldehyde</t>
        </is>
      </c>
      <c r="B331" s="7" t="n">
        <v>4.36112228064069e-08</v>
      </c>
      <c r="D331" t="inlineStr">
        <is>
          <t>kilogram</t>
        </is>
      </c>
      <c r="E331" t="inlineStr">
        <is>
          <t>air::urban air close to ground</t>
        </is>
      </c>
      <c r="F331" t="inlineStr">
        <is>
          <t>biosphere</t>
        </is>
      </c>
      <c r="G331" t="inlineStr">
        <is>
          <t>Benzaldehyde</t>
        </is>
      </c>
    </row>
    <row r="332">
      <c r="A332" t="inlineStr">
        <is>
          <t>Acetone</t>
        </is>
      </c>
      <c r="B332" s="7" t="n">
        <v>1.2092202687231e-07</v>
      </c>
      <c r="D332" t="inlineStr">
        <is>
          <t>kilogram</t>
        </is>
      </c>
      <c r="E332" t="inlineStr">
        <is>
          <t>air::urban air close to ground</t>
        </is>
      </c>
      <c r="F332" t="inlineStr">
        <is>
          <t>biosphere</t>
        </is>
      </c>
      <c r="G332" t="inlineStr">
        <is>
          <t>Acetone</t>
        </is>
      </c>
    </row>
    <row r="333">
      <c r="A333" t="inlineStr">
        <is>
          <t>Methyl ethyl ketone</t>
        </is>
      </c>
      <c r="B333" s="7" t="n">
        <v>0</v>
      </c>
      <c r="D333" t="inlineStr">
        <is>
          <t>kilogram</t>
        </is>
      </c>
      <c r="E333" t="inlineStr">
        <is>
          <t>air::urban air close to ground</t>
        </is>
      </c>
      <c r="F333" t="inlineStr">
        <is>
          <t>biosphere</t>
        </is>
      </c>
      <c r="G333" t="inlineStr">
        <is>
          <t>Methyl ethyl ketone</t>
        </is>
      </c>
    </row>
    <row r="334">
      <c r="A334" t="inlineStr">
        <is>
          <t>Acrolein</t>
        </is>
      </c>
      <c r="B334" s="7" t="n">
        <v>3.76642378782605e-08</v>
      </c>
      <c r="D334" t="inlineStr">
        <is>
          <t>kilogram</t>
        </is>
      </c>
      <c r="E334" t="inlineStr">
        <is>
          <t>air::urban air close to ground</t>
        </is>
      </c>
      <c r="F334" t="inlineStr">
        <is>
          <t>biosphere</t>
        </is>
      </c>
      <c r="G334" t="inlineStr">
        <is>
          <t>Acrolein</t>
        </is>
      </c>
    </row>
    <row r="335">
      <c r="A335" t="inlineStr">
        <is>
          <t>Styrene</t>
        </is>
      </c>
      <c r="B335" s="7" t="n">
        <v>2.002151592475953e-07</v>
      </c>
      <c r="D335" t="inlineStr">
        <is>
          <t>kilogram</t>
        </is>
      </c>
      <c r="E335" t="inlineStr">
        <is>
          <t>air::urban air close to ground</t>
        </is>
      </c>
      <c r="F335" t="inlineStr">
        <is>
          <t>biosphere</t>
        </is>
      </c>
      <c r="G335" t="inlineStr">
        <is>
          <t>Styrene</t>
        </is>
      </c>
    </row>
    <row r="336">
      <c r="A336" t="inlineStr">
        <is>
          <t>PAH, polycyclic aromatic hydrocarbons</t>
        </is>
      </c>
      <c r="B336" s="7" t="n">
        <v>1.194481659199295e-09</v>
      </c>
      <c r="D336" t="inlineStr">
        <is>
          <t>kilogram</t>
        </is>
      </c>
      <c r="E336" t="inlineStr">
        <is>
          <t>air::urban air close to ground</t>
        </is>
      </c>
      <c r="F336" t="inlineStr">
        <is>
          <t>biosphere</t>
        </is>
      </c>
      <c r="G336" t="inlineStr">
        <is>
          <t>PAHs</t>
        </is>
      </c>
    </row>
    <row r="337">
      <c r="A337" t="inlineStr">
        <is>
          <t>Arsenic</t>
        </is>
      </c>
      <c r="B337" s="7" t="n">
        <v>1.029725568275254e-11</v>
      </c>
      <c r="D337" t="inlineStr">
        <is>
          <t>kilogram</t>
        </is>
      </c>
      <c r="E337" t="inlineStr">
        <is>
          <t>air::urban air close to ground</t>
        </is>
      </c>
      <c r="F337" t="inlineStr">
        <is>
          <t>biosphere</t>
        </is>
      </c>
      <c r="G337" t="inlineStr">
        <is>
          <t>Arsenic</t>
        </is>
      </c>
    </row>
    <row r="338">
      <c r="A338" t="inlineStr">
        <is>
          <t>Selenium</t>
        </is>
      </c>
      <c r="B338" s="7" t="n">
        <v>6.864837121835027e-12</v>
      </c>
      <c r="D338" t="inlineStr">
        <is>
          <t>kilogram</t>
        </is>
      </c>
      <c r="E338" t="inlineStr">
        <is>
          <t>air::urban air close to ground</t>
        </is>
      </c>
      <c r="F338" t="inlineStr">
        <is>
          <t>biosphere</t>
        </is>
      </c>
      <c r="G338" t="inlineStr">
        <is>
          <t>Selenium</t>
        </is>
      </c>
    </row>
    <row r="339">
      <c r="A339" t="inlineStr">
        <is>
          <t>Zinc</t>
        </is>
      </c>
      <c r="B339" s="7" t="n">
        <v>7.414024091581829e-08</v>
      </c>
      <c r="D339" t="inlineStr">
        <is>
          <t>kilogram</t>
        </is>
      </c>
      <c r="E339" t="inlineStr">
        <is>
          <t>air::urban air close to ground</t>
        </is>
      </c>
      <c r="F339" t="inlineStr">
        <is>
          <t>biosphere</t>
        </is>
      </c>
      <c r="G339" t="inlineStr">
        <is>
          <t>Zinc</t>
        </is>
      </c>
    </row>
    <row r="340">
      <c r="A340" t="inlineStr">
        <is>
          <t>Copper</t>
        </is>
      </c>
      <c r="B340" s="7" t="n">
        <v>1.441615795585355e-09</v>
      </c>
      <c r="D340" t="inlineStr">
        <is>
          <t>kilogram</t>
        </is>
      </c>
      <c r="E340" t="inlineStr">
        <is>
          <t>air::urban air close to ground</t>
        </is>
      </c>
      <c r="F340" t="inlineStr">
        <is>
          <t>biosphere</t>
        </is>
      </c>
      <c r="G340" t="inlineStr">
        <is>
          <t>Copper</t>
        </is>
      </c>
    </row>
    <row r="341">
      <c r="A341" t="inlineStr">
        <is>
          <t>Nickel</t>
        </is>
      </c>
      <c r="B341" s="7" t="n">
        <v>4.462144129192768e-10</v>
      </c>
      <c r="D341" t="inlineStr">
        <is>
          <t>kilogram</t>
        </is>
      </c>
      <c r="E341" t="inlineStr">
        <is>
          <t>air::urban air close to ground</t>
        </is>
      </c>
      <c r="F341" t="inlineStr">
        <is>
          <t>biosphere</t>
        </is>
      </c>
      <c r="G341" t="inlineStr">
        <is>
          <t>Nickel</t>
        </is>
      </c>
    </row>
    <row r="342">
      <c r="A342" t="inlineStr">
        <is>
          <t>Chromium</t>
        </is>
      </c>
      <c r="B342" s="7" t="n">
        <v>5.491869697468022e-10</v>
      </c>
      <c r="D342" t="inlineStr">
        <is>
          <t>kilogram</t>
        </is>
      </c>
      <c r="E342" t="inlineStr">
        <is>
          <t>air::urban air close to ground</t>
        </is>
      </c>
      <c r="F342" t="inlineStr">
        <is>
          <t>biosphere</t>
        </is>
      </c>
      <c r="G342" t="inlineStr">
        <is>
          <t>Chromium</t>
        </is>
      </c>
    </row>
    <row r="343">
      <c r="A343" t="inlineStr">
        <is>
          <t>Chromium VI</t>
        </is>
      </c>
      <c r="B343" s="7" t="n">
        <v>1.098373939493604e-12</v>
      </c>
      <c r="D343" t="inlineStr">
        <is>
          <t>kilogram</t>
        </is>
      </c>
      <c r="E343" t="inlineStr">
        <is>
          <t>air::urban air close to ground</t>
        </is>
      </c>
      <c r="F343" t="inlineStr">
        <is>
          <t>biosphere</t>
        </is>
      </c>
      <c r="G343" t="inlineStr">
        <is>
          <t>Chromium VI</t>
        </is>
      </c>
    </row>
    <row r="344">
      <c r="A344" t="inlineStr">
        <is>
          <t>Mercury</t>
        </is>
      </c>
      <c r="B344" s="7" t="n">
        <v>2.986204147998237e-10</v>
      </c>
      <c r="D344" t="inlineStr">
        <is>
          <t>kilogram</t>
        </is>
      </c>
      <c r="E344" t="inlineStr">
        <is>
          <t>air::urban air close to ground</t>
        </is>
      </c>
      <c r="F344" t="inlineStr">
        <is>
          <t>biosphere</t>
        </is>
      </c>
      <c r="G344" t="inlineStr">
        <is>
          <t>Mercury</t>
        </is>
      </c>
    </row>
    <row r="345">
      <c r="A345" t="inlineStr">
        <is>
          <t>Cadmium</t>
        </is>
      </c>
      <c r="B345" s="7" t="n">
        <v>3.707012045790915e-10</v>
      </c>
      <c r="D345" t="inlineStr">
        <is>
          <t>kilogram</t>
        </is>
      </c>
      <c r="E345" t="inlineStr">
        <is>
          <t>air::urban air close to ground</t>
        </is>
      </c>
      <c r="F345" t="inlineStr">
        <is>
          <t>biosphere</t>
        </is>
      </c>
      <c r="G345" t="inlineStr">
        <is>
          <t>Cadmium</t>
        </is>
      </c>
    </row>
    <row r="346">
      <c r="A346" t="inlineStr">
        <is>
          <t>treatment of road wear emissions, passenger car</t>
        </is>
      </c>
      <c r="B346" s="7" t="n">
        <v>-8.544119168461913e-06</v>
      </c>
      <c r="C346" t="inlineStr">
        <is>
          <t>RER</t>
        </is>
      </c>
      <c r="D346" t="inlineStr">
        <is>
          <t>kilogram</t>
        </is>
      </c>
      <c r="F346" t="inlineStr">
        <is>
          <t>technosphere</t>
        </is>
      </c>
      <c r="G346" t="inlineStr">
        <is>
          <t>Road wear [kg/km]</t>
        </is>
      </c>
      <c r="H346" t="inlineStr">
        <is>
          <t>road wear emissions, passenger car</t>
        </is>
      </c>
    </row>
    <row r="347">
      <c r="A347" t="inlineStr">
        <is>
          <t>treatment of tyre wear emissions, passenger car</t>
        </is>
      </c>
      <c r="B347" s="7" t="n">
        <v>-5.669134894709975e-06</v>
      </c>
      <c r="C347" t="inlineStr">
        <is>
          <t>RER</t>
        </is>
      </c>
      <c r="D347" t="inlineStr">
        <is>
          <t>kilogram</t>
        </is>
      </c>
      <c r="F347" t="inlineStr">
        <is>
          <t>technosphere</t>
        </is>
      </c>
      <c r="G347" t="inlineStr">
        <is>
          <t>Tire wear [kg/km]</t>
        </is>
      </c>
      <c r="H347" t="inlineStr">
        <is>
          <t>tyre wear emissions, passenger car</t>
        </is>
      </c>
    </row>
    <row r="348">
      <c r="A348" t="inlineStr">
        <is>
          <t>treatment of brake wear emissions, passenger car</t>
        </is>
      </c>
      <c r="B348" s="7" t="n">
        <v>-3.146469321503305e-06</v>
      </c>
      <c r="C348" t="inlineStr">
        <is>
          <t>RER</t>
        </is>
      </c>
      <c r="D348" t="inlineStr">
        <is>
          <t>kilogram</t>
        </is>
      </c>
      <c r="F348" t="inlineStr">
        <is>
          <t>technosphere</t>
        </is>
      </c>
      <c r="G348" t="inlineStr">
        <is>
          <t>Brake wear [kg/km]</t>
        </is>
      </c>
      <c r="H348" t="inlineStr">
        <is>
          <t>brake wear emissions, passenger car</t>
        </is>
      </c>
    </row>
    <row r="349">
      <c r="B349" s="6" t="n"/>
    </row>
    <row r="350"/>
    <row r="351"/>
    <row r="352">
      <c r="B352" s="11" t="n"/>
    </row>
    <row r="353">
      <c r="B353" s="12" t="n"/>
    </row>
    <row r="354">
      <c r="B354" s="11" t="n"/>
    </row>
    <row r="355"/>
    <row r="356" ht="16" customHeight="1">
      <c r="A356" s="10" t="n"/>
      <c r="B356" s="8" t="n"/>
    </row>
    <row r="357"/>
    <row r="358"/>
    <row r="359"/>
    <row r="360"/>
    <row r="361"/>
    <row r="362"/>
    <row r="363"/>
    <row r="364"/>
    <row r="365"/>
    <row r="366"/>
    <row r="367"/>
    <row r="368"/>
    <row r="369"/>
    <row r="370"/>
    <row r="371"/>
    <row r="372"/>
    <row r="373"/>
    <row r="374"/>
    <row r="375"/>
    <row r="376"/>
    <row r="377"/>
    <row r="378"/>
    <row r="379">
      <c r="B379" s="6" t="n"/>
    </row>
    <row r="380"/>
    <row r="381" ht="16" customHeight="1">
      <c r="A381" s="10" t="n"/>
    </row>
    <row r="382"/>
    <row r="383"/>
    <row r="384"/>
    <row r="385">
      <c r="B385" s="11" t="n"/>
    </row>
    <row r="386">
      <c r="B386" s="12" t="n"/>
    </row>
    <row r="387">
      <c r="B387" s="11" t="n"/>
    </row>
    <row r="388"/>
    <row r="389" ht="16" customHeight="1">
      <c r="A389" s="10" t="n"/>
      <c r="B389" s="8" t="n"/>
    </row>
    <row r="390"/>
    <row r="391"/>
    <row r="392"/>
    <row r="393"/>
    <row r="394"/>
    <row r="395"/>
    <row r="396"/>
    <row r="397"/>
    <row r="398"/>
    <row r="399"/>
    <row r="400"/>
    <row r="401"/>
    <row r="402"/>
    <row r="403"/>
    <row r="404"/>
    <row r="405"/>
    <row r="406"/>
    <row r="407"/>
    <row r="408"/>
    <row r="409"/>
    <row r="410"/>
    <row r="411"/>
    <row r="412">
      <c r="B412" s="6" t="n"/>
    </row>
    <row r="413"/>
    <row r="414" ht="16" customHeight="1">
      <c r="A414" s="10" t="n"/>
    </row>
    <row r="415"/>
    <row r="416"/>
    <row r="417"/>
    <row r="418">
      <c r="B418" s="11" t="n"/>
    </row>
    <row r="419">
      <c r="B419" s="12" t="n"/>
    </row>
    <row r="420">
      <c r="B420" s="11" t="n"/>
    </row>
  </sheetData>
  <pageMargins left="0.7" right="0.7" top="0.75" bottom="0.75" header="0.3" footer="0.3"/>
  <pageSetup orientation="portrait" horizontalDpi="300" verticalDpi="300"/>
</worksheet>
</file>

<file path=xl/worksheets/sheet16.xml><?xml version="1.0" encoding="utf-8"?>
<worksheet xmlns="http://schemas.openxmlformats.org/spreadsheetml/2006/main">
  <sheetPr>
    <outlinePr summaryBelow="1" summaryRight="1"/>
    <pageSetUpPr/>
  </sheetPr>
  <dimension ref="A1:H419"/>
  <sheetViews>
    <sheetView topLeftCell="A272" workbookViewId="0">
      <selection activeCell="G297" sqref="G297"/>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Motorbike, gasoline, &gt;35kW, EURO-3</t>
        </is>
      </c>
    </row>
    <row r="2">
      <c r="A2" t="inlineStr">
        <is>
          <t>location</t>
        </is>
      </c>
      <c r="B2" t="inlineStr">
        <is>
          <t>CH</t>
        </is>
      </c>
    </row>
    <row r="3">
      <c r="A3" t="inlineStr">
        <is>
          <t>vehicle</t>
        </is>
      </c>
      <c r="B3" t="inlineStr">
        <is>
          <t>Motorbike, gasoline, &gt;35kW, EURO-3</t>
        </is>
      </c>
    </row>
    <row r="4">
      <c r="A4" t="inlineStr">
        <is>
          <t>size</t>
        </is>
      </c>
    </row>
    <row r="5">
      <c r="A5" t="inlineStr">
        <is>
          <t>year</t>
        </is>
      </c>
      <c r="B5" t="n">
        <v>2006</v>
      </c>
    </row>
    <row r="6">
      <c r="A6" t="inlineStr">
        <is>
          <t>full name</t>
        </is>
      </c>
      <c r="B6" t="inlineStr">
        <is>
          <t>Motorbike, gasoline, &gt;35kW, EURO-3 - 2006 - CH</t>
        </is>
      </c>
    </row>
    <row r="7">
      <c r="A7" t="inlineStr">
        <is>
          <t>reference product</t>
        </is>
      </c>
      <c r="B7" t="inlineStr">
        <is>
          <t>Motorbike, gasoline, &gt;35kW, EURO-3</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40500</v>
      </c>
    </row>
    <row r="12">
      <c r="A12" t="inlineStr">
        <is>
          <t>passengers</t>
        </is>
      </c>
      <c r="B12" t="n">
        <v>1.1</v>
      </c>
    </row>
    <row r="13">
      <c r="A13" t="inlineStr">
        <is>
          <t>service</t>
        </is>
      </c>
      <c r="B13" t="n">
        <v>1.62</v>
      </c>
    </row>
    <row r="14">
      <c r="A14" t="inlineStr">
        <is>
          <t>battery replacement</t>
        </is>
      </c>
      <c r="B14" t="n">
        <v>0</v>
      </c>
    </row>
    <row r="15">
      <c r="A15" t="inlineStr">
        <is>
          <t>annual kilometers</t>
        </is>
      </c>
      <c r="B15" t="n">
        <v>2896</v>
      </c>
    </row>
    <row r="16">
      <c r="A16" t="inlineStr">
        <is>
          <t>curb mass</t>
        </is>
      </c>
      <c r="B16" s="2" t="n">
        <v>262.075</v>
      </c>
    </row>
    <row r="17">
      <c r="A17" t="inlineStr">
        <is>
          <t>power</t>
        </is>
      </c>
      <c r="B17" t="n">
        <v>91</v>
      </c>
    </row>
    <row r="18">
      <c r="A18" t="inlineStr">
        <is>
          <t>battery mass</t>
        </is>
      </c>
    </row>
    <row r="19">
      <c r="A19" t="inlineStr">
        <is>
          <t>electricity, low voltage</t>
        </is>
      </c>
      <c r="B19" t="n">
        <v>0</v>
      </c>
    </row>
    <row r="20">
      <c r="A20" t="inlineStr">
        <is>
          <t>tank capacity</t>
        </is>
      </c>
      <c r="B20" s="2" t="n">
        <v>159.75</v>
      </c>
    </row>
    <row r="21">
      <c r="A21" t="inlineStr">
        <is>
          <t>fuel mass</t>
        </is>
      </c>
      <c r="B21" t="n">
        <v>13.5</v>
      </c>
    </row>
    <row r="22">
      <c r="A22" t="inlineStr">
        <is>
          <t>range</t>
        </is>
      </c>
      <c r="B22" s="2" t="n">
        <v>291.42030699683</v>
      </c>
    </row>
    <row r="23">
      <c r="A23" t="inlineStr">
        <is>
          <t>emission standard</t>
        </is>
      </c>
      <c r="B23" t="inlineStr">
        <is>
          <t>EURO-3</t>
        </is>
      </c>
    </row>
    <row r="24">
      <c r="A24" t="inlineStr">
        <is>
          <t>Glider lightweighting</t>
        </is>
      </c>
      <c r="B24" s="6" t="n">
        <v>-0.05</v>
      </c>
    </row>
    <row r="25">
      <c r="A25" t="inlineStr">
        <is>
          <t>origin</t>
        </is>
      </c>
      <c r="B25" s="6" t="inlineStr">
        <is>
          <t>China</t>
        </is>
      </c>
    </row>
    <row r="26">
      <c r="A26" t="inlineStr">
        <is>
          <t>distance by ship [km]</t>
        </is>
      </c>
      <c r="B26" s="2" t="n">
        <v>15900</v>
      </c>
    </row>
    <row r="27">
      <c r="A27" t="inlineStr">
        <is>
          <t>distance by truck [km]</t>
        </is>
      </c>
      <c r="B27" s="2" t="n">
        <v>1000</v>
      </c>
    </row>
    <row r="28">
      <c r="A28" t="inlineStr">
        <is>
          <t>comment</t>
        </is>
      </c>
      <c r="B28" t="inlineStr">
        <is>
          <t>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ht="16" customHeight="1">
      <c r="A29" s="10" t="inlineStr">
        <is>
          <t>Exchanges</t>
        </is>
      </c>
    </row>
    <row r="30">
      <c r="A30" t="inlineStr">
        <is>
          <t>name</t>
        </is>
      </c>
      <c r="B30" t="inlineStr">
        <is>
          <t>amount</t>
        </is>
      </c>
      <c r="C30" t="inlineStr">
        <is>
          <t>location</t>
        </is>
      </c>
      <c r="D30" t="inlineStr">
        <is>
          <t>unit</t>
        </is>
      </c>
      <c r="E30" t="inlineStr">
        <is>
          <t>categories</t>
        </is>
      </c>
      <c r="F30" t="inlineStr">
        <is>
          <t>type</t>
        </is>
      </c>
      <c r="G30" t="inlineStr">
        <is>
          <t>comment</t>
        </is>
      </c>
      <c r="H30" t="inlineStr">
        <is>
          <t>reference product</t>
        </is>
      </c>
    </row>
    <row r="31">
      <c r="A31" t="inlineStr">
        <is>
          <t>Motorbike, gasoline, &gt;35kW, EURO-3</t>
        </is>
      </c>
      <c r="B31" t="n">
        <v>1</v>
      </c>
      <c r="C31" t="inlineStr">
        <is>
          <t>CH</t>
        </is>
      </c>
      <c r="D31" t="inlineStr">
        <is>
          <t>unit</t>
        </is>
      </c>
      <c r="F31" t="inlineStr">
        <is>
          <t>production</t>
        </is>
      </c>
      <c r="H31" t="inlineStr">
        <is>
          <t>Motorbike, gasoline, &gt;35kW, EURO-3</t>
        </is>
      </c>
    </row>
    <row r="32">
      <c r="A32" t="inlineStr">
        <is>
          <t>motor scooter production</t>
        </is>
      </c>
      <c r="B32" s="6" t="n">
        <v>1.233333333333333</v>
      </c>
      <c r="C32" t="inlineStr">
        <is>
          <t>RER</t>
        </is>
      </c>
      <c r="D32" t="inlineStr">
        <is>
          <t>unit</t>
        </is>
      </c>
      <c r="F32" t="inlineStr">
        <is>
          <t>technosphere</t>
        </is>
      </c>
      <c r="G32" t="inlineStr">
        <is>
          <t>Glider base mass [kg]</t>
        </is>
      </c>
      <c r="H32" t="inlineStr">
        <is>
          <t>motor scooter, 50 cubic cm engine</t>
        </is>
      </c>
    </row>
    <row r="33">
      <c r="A33" t="inlineStr">
        <is>
          <t>motor scooter production</t>
        </is>
      </c>
      <c r="B33" s="6" t="n">
        <v>1.444444444444444</v>
      </c>
      <c r="C33" t="inlineStr">
        <is>
          <t>RER</t>
        </is>
      </c>
      <c r="D33" t="inlineStr">
        <is>
          <t>unit</t>
        </is>
      </c>
      <c r="F33" t="inlineStr">
        <is>
          <t>technosphere</t>
        </is>
      </c>
      <c r="G33" t="inlineStr">
        <is>
          <t>Mechanical powertrain mass [kg]</t>
        </is>
      </c>
      <c r="H33" t="inlineStr">
        <is>
          <t>motor scooter, 50 cubic cm engine</t>
        </is>
      </c>
    </row>
    <row r="34">
      <c r="A34" t="inlineStr">
        <is>
          <t>polyethylene production, high density, granulate</t>
        </is>
      </c>
      <c r="B34" s="6" t="n">
        <v>2.025</v>
      </c>
      <c r="C34" t="inlineStr">
        <is>
          <t>RER</t>
        </is>
      </c>
      <c r="D34" t="inlineStr">
        <is>
          <t>kilogram</t>
        </is>
      </c>
      <c r="F34" t="inlineStr">
        <is>
          <t>technosphere</t>
        </is>
      </c>
      <c r="G34" t="inlineStr">
        <is>
          <t>Fuel tank mass [kg]</t>
        </is>
      </c>
      <c r="H34" t="inlineStr">
        <is>
          <t>polyethylene, high density, granulate</t>
        </is>
      </c>
    </row>
    <row r="35">
      <c r="A35" t="inlineStr">
        <is>
          <t>injection moulding</t>
        </is>
      </c>
      <c r="B35" s="6" t="n">
        <v>2.037223340040241</v>
      </c>
      <c r="C35" t="inlineStr">
        <is>
          <t>RER</t>
        </is>
      </c>
      <c r="D35" t="inlineStr">
        <is>
          <t>kilogram</t>
        </is>
      </c>
      <c r="F35" t="inlineStr">
        <is>
          <t>technosphere</t>
        </is>
      </c>
      <c r="G35" t="inlineStr">
        <is>
          <t>Fuel tank shaping</t>
        </is>
      </c>
      <c r="H35" t="inlineStr">
        <is>
          <t>injection moulding</t>
        </is>
      </c>
    </row>
    <row r="36">
      <c r="A36" s="13" t="inlineStr">
        <is>
          <t>market for transport, freight, lorry, unspecified</t>
        </is>
      </c>
      <c r="B36" s="2" t="n">
        <v>262.075</v>
      </c>
      <c r="C36" t="inlineStr">
        <is>
          <t>RER</t>
        </is>
      </c>
      <c r="D36" t="inlineStr">
        <is>
          <t>ton kilometer</t>
        </is>
      </c>
      <c r="F36" t="inlineStr">
        <is>
          <t>technosphere</t>
        </is>
      </c>
      <c r="H36" s="13" t="inlineStr">
        <is>
          <t>transport, freight, lorry, unspecified</t>
        </is>
      </c>
    </row>
    <row r="37">
      <c r="A37" s="13" t="inlineStr">
        <is>
          <t>transport, freight, sea, container ship</t>
        </is>
      </c>
      <c r="B37" s="2" t="n">
        <v>4166.9925</v>
      </c>
      <c r="C37" t="inlineStr">
        <is>
          <t>GLO</t>
        </is>
      </c>
      <c r="D37" t="inlineStr">
        <is>
          <t>ton kilometer</t>
        </is>
      </c>
      <c r="F37" t="inlineStr">
        <is>
          <t>technosphere</t>
        </is>
      </c>
      <c r="H37" s="13" t="inlineStr">
        <is>
          <t>transport, freight, sea, container ship</t>
        </is>
      </c>
    </row>
    <row r="38">
      <c r="B38" s="11" t="n"/>
    </row>
    <row r="39" ht="16" customHeight="1">
      <c r="A39" s="10" t="inlineStr">
        <is>
          <t>Activity</t>
        </is>
      </c>
      <c r="B39" s="8" t="inlineStr">
        <is>
          <t>Motorbike, gasoline, &gt;35kW, EURO-4</t>
        </is>
      </c>
    </row>
    <row r="40">
      <c r="A40" t="inlineStr">
        <is>
          <t>location</t>
        </is>
      </c>
      <c r="B40" t="inlineStr">
        <is>
          <t>CH</t>
        </is>
      </c>
    </row>
    <row r="41">
      <c r="A41" t="inlineStr">
        <is>
          <t>vehicle</t>
        </is>
      </c>
      <c r="B41" t="inlineStr">
        <is>
          <t>Motorbike, gasoline, &gt;35kW, EURO-4</t>
        </is>
      </c>
    </row>
    <row r="42">
      <c r="A42" t="inlineStr">
        <is>
          <t>size</t>
        </is>
      </c>
    </row>
    <row r="43">
      <c r="A43" t="inlineStr">
        <is>
          <t>year</t>
        </is>
      </c>
      <c r="B43" t="n">
        <v>2016</v>
      </c>
    </row>
    <row r="44">
      <c r="A44" t="inlineStr">
        <is>
          <t>full name</t>
        </is>
      </c>
      <c r="B44" t="inlineStr">
        <is>
          <t>Motorbike, gasoline, &gt;35kW, EURO-4 - 2016 - CH</t>
        </is>
      </c>
    </row>
    <row r="45">
      <c r="A45" t="inlineStr">
        <is>
          <t>reference product</t>
        </is>
      </c>
      <c r="B45" t="inlineStr">
        <is>
          <t>Motorbike, gasoline, &gt;35kW, EURO-4</t>
        </is>
      </c>
    </row>
    <row r="46">
      <c r="A46" t="inlineStr">
        <is>
          <t>type</t>
        </is>
      </c>
      <c r="B46" t="inlineStr">
        <is>
          <t>process</t>
        </is>
      </c>
    </row>
    <row r="47">
      <c r="A47" t="inlineStr">
        <is>
          <t>unit</t>
        </is>
      </c>
      <c r="B47" t="inlineStr">
        <is>
          <t>unit</t>
        </is>
      </c>
    </row>
    <row r="48">
      <c r="A48" t="inlineStr">
        <is>
          <t>source</t>
        </is>
      </c>
      <c r="B48" t="inlineStr">
        <is>
          <t>Sacchi R., Bauer C. Life cycle inventories for on-road vehicles. Paul Scherrer Institut, 2021.</t>
        </is>
      </c>
    </row>
    <row r="49">
      <c r="A49" t="inlineStr">
        <is>
          <t>lifetime</t>
        </is>
      </c>
      <c r="B49" t="n">
        <v>40500</v>
      </c>
    </row>
    <row r="50">
      <c r="A50" t="inlineStr">
        <is>
          <t>passengers</t>
        </is>
      </c>
      <c r="B50" t="n">
        <v>1.1</v>
      </c>
    </row>
    <row r="51">
      <c r="A51" t="inlineStr">
        <is>
          <t>service</t>
        </is>
      </c>
      <c r="B51" t="n">
        <v>1.62</v>
      </c>
    </row>
    <row r="52">
      <c r="A52" t="inlineStr">
        <is>
          <t>battery replacement</t>
        </is>
      </c>
      <c r="B52" t="n">
        <v>0</v>
      </c>
    </row>
    <row r="53">
      <c r="A53" t="inlineStr">
        <is>
          <t>annual kilometers</t>
        </is>
      </c>
      <c r="B53" t="n">
        <v>2896</v>
      </c>
    </row>
    <row r="54">
      <c r="A54" t="inlineStr">
        <is>
          <t>curb mass</t>
        </is>
      </c>
      <c r="B54" s="2" t="n">
        <v>258.745</v>
      </c>
    </row>
    <row r="55">
      <c r="A55" t="inlineStr">
        <is>
          <t>power</t>
        </is>
      </c>
      <c r="B55" t="n">
        <v>91</v>
      </c>
    </row>
    <row r="56">
      <c r="A56" t="inlineStr">
        <is>
          <t>battery mass</t>
        </is>
      </c>
    </row>
    <row r="57">
      <c r="A57" t="inlineStr">
        <is>
          <t>electricity, low voltage</t>
        </is>
      </c>
      <c r="B57" t="n">
        <v>0</v>
      </c>
    </row>
    <row r="58">
      <c r="A58" t="inlineStr">
        <is>
          <t>tank capacity</t>
        </is>
      </c>
      <c r="B58" s="2" t="n">
        <v>159.75</v>
      </c>
    </row>
    <row r="59">
      <c r="A59" t="inlineStr">
        <is>
          <t>fuel mass</t>
        </is>
      </c>
      <c r="B59" t="n">
        <v>13.5</v>
      </c>
    </row>
    <row r="60">
      <c r="A60" t="inlineStr">
        <is>
          <t>range</t>
        </is>
      </c>
      <c r="B60" s="2" t="n">
        <v>294.3345100667983</v>
      </c>
    </row>
    <row r="61">
      <c r="A61" t="inlineStr">
        <is>
          <t>emission standard</t>
        </is>
      </c>
      <c r="B61" t="inlineStr">
        <is>
          <t>EURO-4</t>
        </is>
      </c>
    </row>
    <row r="62">
      <c r="A62" t="inlineStr">
        <is>
          <t>Glider lightweighting</t>
        </is>
      </c>
      <c r="B62" s="6" t="n">
        <v>-0.02</v>
      </c>
    </row>
    <row r="63">
      <c r="A63" t="inlineStr">
        <is>
          <t>origin</t>
        </is>
      </c>
      <c r="B63" s="6" t="inlineStr">
        <is>
          <t>China</t>
        </is>
      </c>
    </row>
    <row r="64">
      <c r="A64" t="inlineStr">
        <is>
          <t>distance by ship [km]</t>
        </is>
      </c>
      <c r="B64" s="2" t="n">
        <v>15900</v>
      </c>
    </row>
    <row r="65">
      <c r="A65" t="inlineStr">
        <is>
          <t>distance by truck [km]</t>
        </is>
      </c>
      <c r="B65" s="2" t="n">
        <v>1000</v>
      </c>
    </row>
    <row r="66">
      <c r="A66" t="inlineStr">
        <is>
          <t>comment</t>
        </is>
      </c>
      <c r="B66" t="inlineStr">
        <is>
          <t>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ht="16" customHeight="1">
      <c r="A67" s="10" t="inlineStr">
        <is>
          <t>Exchanges</t>
        </is>
      </c>
    </row>
    <row r="68">
      <c r="A68" t="inlineStr">
        <is>
          <t>name</t>
        </is>
      </c>
      <c r="B68" t="inlineStr">
        <is>
          <t>amount</t>
        </is>
      </c>
      <c r="C68" t="inlineStr">
        <is>
          <t>location</t>
        </is>
      </c>
      <c r="D68" t="inlineStr">
        <is>
          <t>unit</t>
        </is>
      </c>
      <c r="E68" t="inlineStr">
        <is>
          <t>categories</t>
        </is>
      </c>
      <c r="F68" t="inlineStr">
        <is>
          <t>type</t>
        </is>
      </c>
      <c r="G68" t="inlineStr">
        <is>
          <t>comment</t>
        </is>
      </c>
      <c r="H68" t="inlineStr">
        <is>
          <t>reference product</t>
        </is>
      </c>
    </row>
    <row r="69">
      <c r="A69" t="inlineStr">
        <is>
          <t>Motorbike, gasoline, &gt;35kW, EURO-4</t>
        </is>
      </c>
      <c r="B69" t="n">
        <v>1</v>
      </c>
      <c r="C69" t="inlineStr">
        <is>
          <t>CH</t>
        </is>
      </c>
      <c r="D69" t="inlineStr">
        <is>
          <t>unit</t>
        </is>
      </c>
      <c r="F69" t="inlineStr">
        <is>
          <t>production</t>
        </is>
      </c>
      <c r="H69" t="inlineStr">
        <is>
          <t>Motorbike, gasoline, &gt;35kW, EURO-4</t>
        </is>
      </c>
    </row>
    <row r="70">
      <c r="A70" t="inlineStr">
        <is>
          <t>motor scooter production</t>
        </is>
      </c>
      <c r="B70" s="6" t="n">
        <v>1.233333333333333</v>
      </c>
      <c r="C70" t="inlineStr">
        <is>
          <t>RER</t>
        </is>
      </c>
      <c r="D70" t="inlineStr">
        <is>
          <t>unit</t>
        </is>
      </c>
      <c r="F70" t="inlineStr">
        <is>
          <t>technosphere</t>
        </is>
      </c>
      <c r="G70" t="inlineStr">
        <is>
          <t>Glider base mass [kg]</t>
        </is>
      </c>
      <c r="H70" t="inlineStr">
        <is>
          <t>motor scooter, 50 cubic cm engine</t>
        </is>
      </c>
    </row>
    <row r="71">
      <c r="A71" t="inlineStr">
        <is>
          <t>motor scooter production</t>
        </is>
      </c>
      <c r="B71" s="6" t="n">
        <v>1.444444444444444</v>
      </c>
      <c r="C71" t="inlineStr">
        <is>
          <t>RER</t>
        </is>
      </c>
      <c r="D71" t="inlineStr">
        <is>
          <t>unit</t>
        </is>
      </c>
      <c r="F71" t="inlineStr">
        <is>
          <t>technosphere</t>
        </is>
      </c>
      <c r="G71" t="inlineStr">
        <is>
          <t>Mechanical powertrain mass [kg]</t>
        </is>
      </c>
      <c r="H71" t="inlineStr">
        <is>
          <t>motor scooter, 50 cubic cm engine</t>
        </is>
      </c>
    </row>
    <row r="72">
      <c r="A72" t="inlineStr">
        <is>
          <t>polyethylene production, high density, granulate</t>
        </is>
      </c>
      <c r="B72" s="6" t="n">
        <v>2.025</v>
      </c>
      <c r="C72" t="inlineStr">
        <is>
          <t>RER</t>
        </is>
      </c>
      <c r="D72" t="inlineStr">
        <is>
          <t>kilogram</t>
        </is>
      </c>
      <c r="F72" t="inlineStr">
        <is>
          <t>technosphere</t>
        </is>
      </c>
      <c r="G72" t="inlineStr">
        <is>
          <t>Fuel tank mass [kg]</t>
        </is>
      </c>
      <c r="H72" t="inlineStr">
        <is>
          <t>polyethylene, high density, granulate</t>
        </is>
      </c>
    </row>
    <row r="73">
      <c r="A73" t="inlineStr">
        <is>
          <t>injection moulding</t>
        </is>
      </c>
      <c r="B73" s="6" t="n">
        <v>2.037223340040241</v>
      </c>
      <c r="C73" t="inlineStr">
        <is>
          <t>RER</t>
        </is>
      </c>
      <c r="D73" t="inlineStr">
        <is>
          <t>kilogram</t>
        </is>
      </c>
      <c r="F73" t="inlineStr">
        <is>
          <t>technosphere</t>
        </is>
      </c>
      <c r="G73" t="inlineStr">
        <is>
          <t>Fuel tank shaping</t>
        </is>
      </c>
      <c r="H73" t="inlineStr">
        <is>
          <t>injection moulding</t>
        </is>
      </c>
    </row>
    <row r="74">
      <c r="A74" s="13" t="inlineStr">
        <is>
          <t>market for transport, freight, lorry, unspecified</t>
        </is>
      </c>
      <c r="B74" s="2" t="n">
        <v>258.745</v>
      </c>
      <c r="C74" t="inlineStr">
        <is>
          <t>RER</t>
        </is>
      </c>
      <c r="D74" t="inlineStr">
        <is>
          <t>ton kilometer</t>
        </is>
      </c>
      <c r="F74" t="inlineStr">
        <is>
          <t>technosphere</t>
        </is>
      </c>
      <c r="H74" s="13" t="inlineStr">
        <is>
          <t>transport, freight, lorry, unspecified</t>
        </is>
      </c>
    </row>
    <row r="75">
      <c r="A75" s="13" t="inlineStr">
        <is>
          <t>transport, freight, sea, container ship</t>
        </is>
      </c>
      <c r="B75" s="2" t="n">
        <v>4114.0455</v>
      </c>
      <c r="C75" t="inlineStr">
        <is>
          <t>GLO</t>
        </is>
      </c>
      <c r="D75" t="inlineStr">
        <is>
          <t>ton kilometer</t>
        </is>
      </c>
      <c r="F75" t="inlineStr">
        <is>
          <t>technosphere</t>
        </is>
      </c>
      <c r="H75" s="13" t="inlineStr">
        <is>
          <t>transport, freight, sea, container ship</t>
        </is>
      </c>
    </row>
    <row r="76"/>
    <row r="77" ht="16" customHeight="1">
      <c r="A77" s="10" t="inlineStr">
        <is>
          <t>Activity</t>
        </is>
      </c>
      <c r="B77" s="8" t="inlineStr">
        <is>
          <t>Motorbike, gasoline, &gt;35kW, EURO-5</t>
        </is>
      </c>
    </row>
    <row r="78">
      <c r="A78" t="inlineStr">
        <is>
          <t>location</t>
        </is>
      </c>
      <c r="B78" t="inlineStr">
        <is>
          <t>CH</t>
        </is>
      </c>
    </row>
    <row r="79">
      <c r="A79" t="inlineStr">
        <is>
          <t>vehicle</t>
        </is>
      </c>
      <c r="B79" t="inlineStr">
        <is>
          <t>Motorbike, gasoline, &gt;35kW, EURO-5</t>
        </is>
      </c>
    </row>
    <row r="80">
      <c r="A80" t="inlineStr">
        <is>
          <t>size</t>
        </is>
      </c>
    </row>
    <row r="81">
      <c r="A81" t="inlineStr">
        <is>
          <t>year</t>
        </is>
      </c>
      <c r="B81" t="n">
        <v>2020</v>
      </c>
    </row>
    <row r="82">
      <c r="A82" t="inlineStr">
        <is>
          <t>full name</t>
        </is>
      </c>
      <c r="B82" t="inlineStr">
        <is>
          <t>Motorbike, gasoline, &gt;35kW, EURO-5 - 2020 - CH</t>
        </is>
      </c>
    </row>
    <row r="83">
      <c r="A83" t="inlineStr">
        <is>
          <t>reference product</t>
        </is>
      </c>
      <c r="B83" t="inlineStr">
        <is>
          <t>Motorbike, gasoline, &gt;35kW, EURO-5</t>
        </is>
      </c>
    </row>
    <row r="84">
      <c r="A84" t="inlineStr">
        <is>
          <t>type</t>
        </is>
      </c>
      <c r="B84" t="inlineStr">
        <is>
          <t>process</t>
        </is>
      </c>
    </row>
    <row r="85">
      <c r="A85" t="inlineStr">
        <is>
          <t>unit</t>
        </is>
      </c>
      <c r="B85" t="inlineStr">
        <is>
          <t>unit</t>
        </is>
      </c>
    </row>
    <row r="86">
      <c r="A86" t="inlineStr">
        <is>
          <t>source</t>
        </is>
      </c>
      <c r="B86" t="inlineStr">
        <is>
          <t>Sacchi R., Bauer C. Life cycle inventories for on-road vehicles. Paul Scherrer Institut, 2021.</t>
        </is>
      </c>
    </row>
    <row r="87">
      <c r="A87" t="inlineStr">
        <is>
          <t>lifetime</t>
        </is>
      </c>
      <c r="B87" t="n">
        <v>40500</v>
      </c>
    </row>
    <row r="88">
      <c r="A88" t="inlineStr">
        <is>
          <t>passengers</t>
        </is>
      </c>
      <c r="B88" t="n">
        <v>1.1</v>
      </c>
    </row>
    <row r="89">
      <c r="A89" t="inlineStr">
        <is>
          <t>service</t>
        </is>
      </c>
      <c r="B89" t="n">
        <v>1.62</v>
      </c>
    </row>
    <row r="90">
      <c r="A90" t="inlineStr">
        <is>
          <t>battery replacement</t>
        </is>
      </c>
      <c r="B90" t="n">
        <v>0</v>
      </c>
    </row>
    <row r="91">
      <c r="A91" t="inlineStr">
        <is>
          <t>annual kilometers</t>
        </is>
      </c>
      <c r="B91" t="n">
        <v>2896</v>
      </c>
    </row>
    <row r="92">
      <c r="A92" t="inlineStr">
        <is>
          <t>curb mass</t>
        </is>
      </c>
      <c r="B92" s="2" t="n">
        <v>256.525</v>
      </c>
    </row>
    <row r="93">
      <c r="A93" t="inlineStr">
        <is>
          <t>power</t>
        </is>
      </c>
      <c r="B93" t="n">
        <v>91</v>
      </c>
    </row>
    <row r="94">
      <c r="A94" t="inlineStr">
        <is>
          <t>battery mass</t>
        </is>
      </c>
    </row>
    <row r="95">
      <c r="A95" t="inlineStr">
        <is>
          <t>electricity, low voltage</t>
        </is>
      </c>
      <c r="B95" t="n">
        <v>0</v>
      </c>
    </row>
    <row r="96">
      <c r="A96" t="inlineStr">
        <is>
          <t>tank capacity</t>
        </is>
      </c>
      <c r="B96" s="2" t="n">
        <v>159.75</v>
      </c>
    </row>
    <row r="97">
      <c r="A97" t="inlineStr">
        <is>
          <t>fuel mass</t>
        </is>
      </c>
      <c r="B97" t="n">
        <v>13.5</v>
      </c>
    </row>
    <row r="98">
      <c r="A98" t="inlineStr">
        <is>
          <t>range</t>
        </is>
      </c>
      <c r="B98" s="2" t="n">
        <v>297.3075859260589</v>
      </c>
    </row>
    <row r="99">
      <c r="A99" t="inlineStr">
        <is>
          <t>emission standard</t>
        </is>
      </c>
      <c r="B99" t="inlineStr">
        <is>
          <t>EURO-5</t>
        </is>
      </c>
    </row>
    <row r="100">
      <c r="A100" t="inlineStr">
        <is>
          <t>Glider lightweighting</t>
        </is>
      </c>
      <c r="B100" s="6" t="n">
        <v>0</v>
      </c>
    </row>
    <row r="101">
      <c r="A101" t="inlineStr">
        <is>
          <t>origin</t>
        </is>
      </c>
      <c r="B101" s="6" t="inlineStr">
        <is>
          <t>China</t>
        </is>
      </c>
    </row>
    <row r="102">
      <c r="A102" t="inlineStr">
        <is>
          <t>distance by ship [km]</t>
        </is>
      </c>
      <c r="B102" s="2" t="n">
        <v>15900</v>
      </c>
    </row>
    <row r="103">
      <c r="A103" t="inlineStr">
        <is>
          <t>distance by truck [km]</t>
        </is>
      </c>
      <c r="B103" s="2" t="n">
        <v>1000</v>
      </c>
    </row>
    <row r="104">
      <c r="A104" t="inlineStr">
        <is>
          <t>comment</t>
        </is>
      </c>
      <c r="B104" t="inlineStr">
        <is>
          <t>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ht="16" customHeight="1">
      <c r="A105" s="10" t="inlineStr">
        <is>
          <t>Exchanges</t>
        </is>
      </c>
    </row>
    <row r="106">
      <c r="A106" t="inlineStr">
        <is>
          <t>name</t>
        </is>
      </c>
      <c r="B106" t="inlineStr">
        <is>
          <t>amount</t>
        </is>
      </c>
      <c r="C106" t="inlineStr">
        <is>
          <t>location</t>
        </is>
      </c>
      <c r="D106" t="inlineStr">
        <is>
          <t>unit</t>
        </is>
      </c>
      <c r="E106" t="inlineStr">
        <is>
          <t>categories</t>
        </is>
      </c>
      <c r="F106" t="inlineStr">
        <is>
          <t>type</t>
        </is>
      </c>
      <c r="G106" t="inlineStr">
        <is>
          <t>comment</t>
        </is>
      </c>
      <c r="H106" t="inlineStr">
        <is>
          <t>reference product</t>
        </is>
      </c>
    </row>
    <row r="107">
      <c r="A107" t="inlineStr">
        <is>
          <t>Motorbike, gasoline, &gt;35kW, EURO-5</t>
        </is>
      </c>
      <c r="B107" t="n">
        <v>1</v>
      </c>
      <c r="C107" t="inlineStr">
        <is>
          <t>CH</t>
        </is>
      </c>
      <c r="D107" t="inlineStr">
        <is>
          <t>unit</t>
        </is>
      </c>
      <c r="F107" t="inlineStr">
        <is>
          <t>production</t>
        </is>
      </c>
      <c r="H107" t="inlineStr">
        <is>
          <t>Motorbike, gasoline, &gt;35kW, EURO-5</t>
        </is>
      </c>
    </row>
    <row r="108">
      <c r="A108" t="inlineStr">
        <is>
          <t>motor scooter production</t>
        </is>
      </c>
      <c r="B108" s="6" t="n">
        <v>1.233333333333333</v>
      </c>
      <c r="C108" t="inlineStr">
        <is>
          <t>RER</t>
        </is>
      </c>
      <c r="D108" t="inlineStr">
        <is>
          <t>unit</t>
        </is>
      </c>
      <c r="F108" t="inlineStr">
        <is>
          <t>technosphere</t>
        </is>
      </c>
      <c r="G108" t="inlineStr">
        <is>
          <t>Glider base mass [kg]</t>
        </is>
      </c>
      <c r="H108" t="inlineStr">
        <is>
          <t>motor scooter, 50 cubic cm engine</t>
        </is>
      </c>
    </row>
    <row r="109">
      <c r="A109" t="inlineStr">
        <is>
          <t>motor scooter production</t>
        </is>
      </c>
      <c r="B109" s="6" t="n">
        <v>1.444444444444444</v>
      </c>
      <c r="C109" t="inlineStr">
        <is>
          <t>RER</t>
        </is>
      </c>
      <c r="D109" t="inlineStr">
        <is>
          <t>unit</t>
        </is>
      </c>
      <c r="F109" t="inlineStr">
        <is>
          <t>technosphere</t>
        </is>
      </c>
      <c r="G109" t="inlineStr">
        <is>
          <t>Mechanical powertrain mass [kg]</t>
        </is>
      </c>
      <c r="H109" t="inlineStr">
        <is>
          <t>motor scooter, 50 cubic cm engine</t>
        </is>
      </c>
    </row>
    <row r="110">
      <c r="A110" t="inlineStr">
        <is>
          <t>polyethylene production, high density, granulate</t>
        </is>
      </c>
      <c r="B110" s="6" t="n">
        <v>2.025</v>
      </c>
      <c r="C110" t="inlineStr">
        <is>
          <t>RER</t>
        </is>
      </c>
      <c r="D110" t="inlineStr">
        <is>
          <t>kilogram</t>
        </is>
      </c>
      <c r="F110" t="inlineStr">
        <is>
          <t>technosphere</t>
        </is>
      </c>
      <c r="G110" t="inlineStr">
        <is>
          <t>Fuel tank mass [kg]</t>
        </is>
      </c>
      <c r="H110" t="inlineStr">
        <is>
          <t>polyethylene, high density, granulate</t>
        </is>
      </c>
    </row>
    <row r="111">
      <c r="A111" t="inlineStr">
        <is>
          <t>injection moulding</t>
        </is>
      </c>
      <c r="B111" s="6" t="n">
        <v>2.037223340040241</v>
      </c>
      <c r="C111" t="inlineStr">
        <is>
          <t>RER</t>
        </is>
      </c>
      <c r="D111" t="inlineStr">
        <is>
          <t>kilogram</t>
        </is>
      </c>
      <c r="F111" t="inlineStr">
        <is>
          <t>technosphere</t>
        </is>
      </c>
      <c r="G111" t="inlineStr">
        <is>
          <t>Fuel tank shaping</t>
        </is>
      </c>
      <c r="H111" t="inlineStr">
        <is>
          <t>injection moulding</t>
        </is>
      </c>
    </row>
    <row r="112">
      <c r="A112" s="13" t="inlineStr">
        <is>
          <t>market for transport, freight, lorry, unspecified</t>
        </is>
      </c>
      <c r="B112" s="2" t="n">
        <v>256.525</v>
      </c>
      <c r="C112" t="inlineStr">
        <is>
          <t>RER</t>
        </is>
      </c>
      <c r="D112" t="inlineStr">
        <is>
          <t>ton kilometer</t>
        </is>
      </c>
      <c r="F112" t="inlineStr">
        <is>
          <t>technosphere</t>
        </is>
      </c>
      <c r="H112" s="13" t="inlineStr">
        <is>
          <t>transport, freight, lorry, unspecified</t>
        </is>
      </c>
    </row>
    <row r="113">
      <c r="A113" s="13" t="inlineStr">
        <is>
          <t>transport, freight, sea, container ship</t>
        </is>
      </c>
      <c r="B113" s="2" t="n">
        <v>4078.7475</v>
      </c>
      <c r="C113" t="inlineStr">
        <is>
          <t>GLO</t>
        </is>
      </c>
      <c r="D113" t="inlineStr">
        <is>
          <t>ton kilometer</t>
        </is>
      </c>
      <c r="F113" t="inlineStr">
        <is>
          <t>technosphere</t>
        </is>
      </c>
      <c r="H113" s="13" t="inlineStr">
        <is>
          <t>transport, freight, sea, container ship</t>
        </is>
      </c>
    </row>
    <row r="114"/>
    <row r="115" ht="16" customHeight="1">
      <c r="A115" s="10" t="inlineStr">
        <is>
          <t>Activity</t>
        </is>
      </c>
      <c r="B115" s="8" t="inlineStr">
        <is>
          <t>transport, Motorbike, gasoline, &gt;35kW, EURO-3</t>
        </is>
      </c>
    </row>
    <row r="116">
      <c r="A116" t="inlineStr">
        <is>
          <t>location</t>
        </is>
      </c>
      <c r="B116" t="inlineStr">
        <is>
          <t>CH</t>
        </is>
      </c>
    </row>
    <row r="117">
      <c r="A117" t="inlineStr">
        <is>
          <t>vehicle</t>
        </is>
      </c>
      <c r="B117" t="inlineStr">
        <is>
          <t>Motorbike, gasoline, &gt;35kW, EURO-3</t>
        </is>
      </c>
    </row>
    <row r="118">
      <c r="A118" t="inlineStr">
        <is>
          <t>size</t>
        </is>
      </c>
    </row>
    <row r="119">
      <c r="A119" t="inlineStr">
        <is>
          <t>year</t>
        </is>
      </c>
      <c r="B119" t="n">
        <v>2006</v>
      </c>
    </row>
    <row r="120">
      <c r="A120" t="inlineStr">
        <is>
          <t>full name</t>
        </is>
      </c>
      <c r="B120" t="inlineStr">
        <is>
          <t>Motorbike, gasoline, &gt;35kW, EURO-3 - 2006 - CH</t>
        </is>
      </c>
    </row>
    <row r="121">
      <c r="A121" t="inlineStr">
        <is>
          <t>reference product</t>
        </is>
      </c>
      <c r="B121" t="inlineStr">
        <is>
          <t>transport, Motorbike, gasoline, &gt;35kW, EURO-3</t>
        </is>
      </c>
    </row>
    <row r="122">
      <c r="A122" t="inlineStr">
        <is>
          <t>type</t>
        </is>
      </c>
      <c r="B122" t="inlineStr">
        <is>
          <t>process</t>
        </is>
      </c>
    </row>
    <row r="123">
      <c r="A123" t="inlineStr">
        <is>
          <t>unit</t>
        </is>
      </c>
      <c r="B123" t="inlineStr">
        <is>
          <t>kilometer</t>
        </is>
      </c>
    </row>
    <row r="124">
      <c r="A124" t="inlineStr">
        <is>
          <t>source</t>
        </is>
      </c>
      <c r="B124" t="inlineStr">
        <is>
          <t>Sacchi R., Bauer C. Life cycle inventories for on-road vehicles. Paul Scherrer Institut, 2021.</t>
        </is>
      </c>
    </row>
    <row r="125">
      <c r="A125" t="inlineStr">
        <is>
          <t>lifetime</t>
        </is>
      </c>
      <c r="B125" t="n">
        <v>40500</v>
      </c>
    </row>
    <row r="126">
      <c r="A126" t="inlineStr">
        <is>
          <t>passengers</t>
        </is>
      </c>
      <c r="B126" t="n">
        <v>1.1</v>
      </c>
    </row>
    <row r="127">
      <c r="A127" t="inlineStr">
        <is>
          <t>service</t>
        </is>
      </c>
      <c r="B127" t="n">
        <v>1.62</v>
      </c>
    </row>
    <row r="128">
      <c r="A128" t="inlineStr">
        <is>
          <t>battery replacement</t>
        </is>
      </c>
      <c r="B128" t="n">
        <v>0</v>
      </c>
    </row>
    <row r="129">
      <c r="A129" t="inlineStr">
        <is>
          <t>annual kilometers</t>
        </is>
      </c>
      <c r="B129" t="n">
        <v>2896</v>
      </c>
    </row>
    <row r="130">
      <c r="A130" t="inlineStr">
        <is>
          <t>curb mass</t>
        </is>
      </c>
      <c r="B130" s="2" t="n">
        <v>262.075</v>
      </c>
    </row>
    <row r="131">
      <c r="A131" t="inlineStr">
        <is>
          <t>power</t>
        </is>
      </c>
      <c r="B131" t="n">
        <v>91</v>
      </c>
    </row>
    <row r="132">
      <c r="A132" t="inlineStr">
        <is>
          <t>battery mass</t>
        </is>
      </c>
    </row>
    <row r="133">
      <c r="A133" t="inlineStr">
        <is>
          <t>electricity, low voltage</t>
        </is>
      </c>
      <c r="B133" t="n">
        <v>0</v>
      </c>
    </row>
    <row r="134">
      <c r="A134" t="inlineStr">
        <is>
          <t>tank capacity</t>
        </is>
      </c>
      <c r="B134" s="2" t="n">
        <v>159.75</v>
      </c>
    </row>
    <row r="135">
      <c r="A135" t="inlineStr">
        <is>
          <t>fuel mass</t>
        </is>
      </c>
      <c r="B135" t="n">
        <v>13.5</v>
      </c>
    </row>
    <row r="136">
      <c r="A136" t="inlineStr">
        <is>
          <t>range</t>
        </is>
      </c>
      <c r="B136" s="2" t="n">
        <v>291.42030699683</v>
      </c>
    </row>
    <row r="137">
      <c r="A137" t="inlineStr">
        <is>
          <t>emission standard</t>
        </is>
      </c>
      <c r="B137" t="inlineStr">
        <is>
          <t>EURO-3</t>
        </is>
      </c>
    </row>
    <row r="138">
      <c r="A138" t="inlineStr">
        <is>
          <t>Glider lightweighting</t>
        </is>
      </c>
      <c r="B138" s="6" t="n">
        <v>-0.05</v>
      </c>
    </row>
    <row r="139">
      <c r="A139" t="inlineStr">
        <is>
          <t>comment</t>
        </is>
      </c>
      <c r="B139" t="inlineStr">
        <is>
          <t>Power: 91 kW. Lifetime: 40500 km. Annual kilometers: 2896 km. Number of passengers: 1.1. Curb mass: 262.1 kg. Lightweighting of glider: -5%. Emission standard: EURO-3. Service visits throughout lifetime: 1.6. Range: 291 km. Fuel tank capacity: 159.8 kWh. Fuel mass: 13.5 kg. Documentation: Life-cycle inventories for on-road vehicles, Sacchi R. (PSI), Bauer C. (PSI), 2021. Sacchi R., Bauer C. Life cycle inventories for on-road vehicles. Paul Scherrer Institut, 2021.</t>
        </is>
      </c>
    </row>
    <row r="140" ht="16" customHeight="1">
      <c r="A140" s="10" t="inlineStr">
        <is>
          <t>Exchanges</t>
        </is>
      </c>
    </row>
    <row r="141">
      <c r="A141" t="inlineStr">
        <is>
          <t>name</t>
        </is>
      </c>
      <c r="B141" t="inlineStr">
        <is>
          <t>amount</t>
        </is>
      </c>
      <c r="C141" t="inlineStr">
        <is>
          <t>location</t>
        </is>
      </c>
      <c r="D141" t="inlineStr">
        <is>
          <t>unit</t>
        </is>
      </c>
      <c r="E141" t="inlineStr">
        <is>
          <t>categories</t>
        </is>
      </c>
      <c r="F141" t="inlineStr">
        <is>
          <t>type</t>
        </is>
      </c>
      <c r="G141" t="inlineStr">
        <is>
          <t>comment</t>
        </is>
      </c>
      <c r="H141" t="inlineStr">
        <is>
          <t>reference product</t>
        </is>
      </c>
    </row>
    <row r="142">
      <c r="A142" t="inlineStr">
        <is>
          <t>transport, Motorbike, gasoline, &gt;35kW, EURO-3</t>
        </is>
      </c>
      <c r="B142" t="n">
        <v>1</v>
      </c>
      <c r="C142" t="inlineStr">
        <is>
          <t>CH</t>
        </is>
      </c>
      <c r="D142" t="inlineStr">
        <is>
          <t>kilometer</t>
        </is>
      </c>
      <c r="F142" t="inlineStr">
        <is>
          <t>production</t>
        </is>
      </c>
      <c r="H142" t="inlineStr">
        <is>
          <t>transport, Motorbike, gasoline, &gt;35kW, EURO-3</t>
        </is>
      </c>
    </row>
    <row r="143">
      <c r="A143" t="inlineStr">
        <is>
          <t>Motorbike, gasoline, &gt;35kW, EURO-3</t>
        </is>
      </c>
      <c r="B143" s="7" t="n">
        <v>2.469135802469136e-05</v>
      </c>
      <c r="C143" t="inlineStr">
        <is>
          <t>CH</t>
        </is>
      </c>
      <c r="D143" t="inlineStr">
        <is>
          <t>unit</t>
        </is>
      </c>
      <c r="F143" t="inlineStr">
        <is>
          <t>technosphere</t>
        </is>
      </c>
      <c r="H143" t="inlineStr">
        <is>
          <t>Motorbike, gasoline, &gt;35kW, EURO-3</t>
        </is>
      </c>
    </row>
    <row r="144">
      <c r="A144" t="inlineStr">
        <is>
          <t>road construction</t>
        </is>
      </c>
      <c r="B144" s="7" t="n">
        <v>0.000188258775</v>
      </c>
      <c r="C144" t="inlineStr">
        <is>
          <t>CH</t>
        </is>
      </c>
      <c r="D144" t="inlineStr">
        <is>
          <t>meter-year</t>
        </is>
      </c>
      <c r="F144" t="inlineStr">
        <is>
          <t>technosphere</t>
        </is>
      </c>
      <c r="G144" t="inlineStr">
        <is>
          <t>Road/track use [m*year/vkm or pkm]</t>
        </is>
      </c>
      <c r="H144" t="inlineStr">
        <is>
          <t>road</t>
        </is>
      </c>
    </row>
    <row r="145">
      <c r="A145" t="inlineStr">
        <is>
          <t>road maintenance</t>
        </is>
      </c>
      <c r="B145" s="7" t="n">
        <v>0.00129</v>
      </c>
      <c r="C145" t="inlineStr">
        <is>
          <t>CH</t>
        </is>
      </c>
      <c r="D145" t="inlineStr">
        <is>
          <t>meter-year</t>
        </is>
      </c>
      <c r="F145" t="inlineStr">
        <is>
          <t>technosphere</t>
        </is>
      </c>
      <c r="G145" t="inlineStr">
        <is>
          <t>Road maintenance [m*year/vkm]</t>
        </is>
      </c>
      <c r="H145" t="inlineStr">
        <is>
          <t>road maintenance</t>
        </is>
      </c>
    </row>
    <row r="146">
      <c r="A146" t="inlineStr">
        <is>
          <t>maintenance, motor scooter</t>
        </is>
      </c>
      <c r="B146" s="7" t="n">
        <v>4e-05</v>
      </c>
      <c r="C146" t="inlineStr">
        <is>
          <t>CH</t>
        </is>
      </c>
      <c r="D146" t="inlineStr">
        <is>
          <t>unit</t>
        </is>
      </c>
      <c r="F146" t="inlineStr">
        <is>
          <t>technosphere</t>
        </is>
      </c>
      <c r="G146" t="inlineStr">
        <is>
          <t>Servicing [unit]</t>
        </is>
      </c>
      <c r="H146" t="inlineStr">
        <is>
          <t>maintenance, motor scooter</t>
        </is>
      </c>
    </row>
    <row r="147">
      <c r="A147" t="inlineStr">
        <is>
          <t>fuel supply for gasoline vehicles</t>
        </is>
      </c>
      <c r="B147" s="7" t="n">
        <v>0.04632484310761106</v>
      </c>
      <c r="C147" t="inlineStr">
        <is>
          <t>CH</t>
        </is>
      </c>
      <c r="D147" t="inlineStr">
        <is>
          <t>kilogram</t>
        </is>
      </c>
      <c r="F147" t="inlineStr">
        <is>
          <t>technosphere</t>
        </is>
      </c>
      <c r="G147" t="inlineStr">
        <is>
          <t>Gasoline consumption [MJ/km]</t>
        </is>
      </c>
      <c r="H147" t="inlineStr">
        <is>
          <t>gasoline blend</t>
        </is>
      </c>
    </row>
    <row r="148">
      <c r="A148" t="inlineStr">
        <is>
          <t>Carbon dioxide, fossil</t>
        </is>
      </c>
      <c r="B148" s="11" t="n">
        <v>0.1437144872696039</v>
      </c>
      <c r="D148" t="inlineStr">
        <is>
          <t>kilogram</t>
        </is>
      </c>
      <c r="E148" t="inlineStr">
        <is>
          <t>air::urban air close to ground</t>
        </is>
      </c>
      <c r="F148" t="inlineStr">
        <is>
          <t>biosphere</t>
        </is>
      </c>
      <c r="G148" t="inlineStr">
        <is>
          <t>CO2</t>
        </is>
      </c>
    </row>
    <row r="149">
      <c r="A149" t="inlineStr">
        <is>
          <t>Carbon dioxide, from soil or biomass stock</t>
        </is>
      </c>
      <c r="B149" s="11" t="n">
        <v>0.001745520088294785</v>
      </c>
      <c r="D149" t="inlineStr">
        <is>
          <t>kilogram</t>
        </is>
      </c>
      <c r="E149" t="inlineStr">
        <is>
          <t>air::urban air close to ground</t>
        </is>
      </c>
      <c r="F149" t="inlineStr">
        <is>
          <t>biosphere</t>
        </is>
      </c>
      <c r="G149" t="inlineStr">
        <is>
          <t>CO2, bio</t>
        </is>
      </c>
    </row>
    <row r="150">
      <c r="A150" t="inlineStr">
        <is>
          <t>Sulfur dioxide</t>
        </is>
      </c>
      <c r="B150" s="7" t="n">
        <v>7.411974897217769e-07</v>
      </c>
      <c r="D150" t="inlineStr">
        <is>
          <t>kilogram</t>
        </is>
      </c>
      <c r="E150" t="inlineStr">
        <is>
          <t>air::urban air close to ground</t>
        </is>
      </c>
      <c r="F150" t="inlineStr">
        <is>
          <t>biosphere</t>
        </is>
      </c>
      <c r="G150" t="inlineStr">
        <is>
          <t>SO2</t>
        </is>
      </c>
    </row>
    <row r="151">
      <c r="A151" t="inlineStr">
        <is>
          <t>Benzene</t>
        </is>
      </c>
      <c r="B151" s="7" t="n">
        <v>7.237951507199054e-06</v>
      </c>
      <c r="D151" t="inlineStr">
        <is>
          <t>kilogram</t>
        </is>
      </c>
      <c r="E151" t="inlineStr">
        <is>
          <t>air::urban air close to ground</t>
        </is>
      </c>
      <c r="F151" t="inlineStr">
        <is>
          <t>biosphere</t>
        </is>
      </c>
      <c r="G151" t="inlineStr">
        <is>
          <t>Benzene</t>
        </is>
      </c>
    </row>
    <row r="152">
      <c r="A152" t="inlineStr">
        <is>
          <t>Methane, fossil</t>
        </is>
      </c>
      <c r="B152" s="7" t="n">
        <v>1.672038030083015e-05</v>
      </c>
      <c r="D152" t="inlineStr">
        <is>
          <t>kilogram</t>
        </is>
      </c>
      <c r="E152" t="inlineStr">
        <is>
          <t>air::urban air close to ground</t>
        </is>
      </c>
      <c r="F152" t="inlineStr">
        <is>
          <t>biosphere</t>
        </is>
      </c>
      <c r="G152" t="inlineStr">
        <is>
          <t>CH4</t>
        </is>
      </c>
    </row>
    <row r="153">
      <c r="A153" t="inlineStr">
        <is>
          <t>Carbon monoxide, fossil</t>
        </is>
      </c>
      <c r="B153" s="7" t="n">
        <v>0.0002937320429300242</v>
      </c>
      <c r="D153" t="inlineStr">
        <is>
          <t>kilogram</t>
        </is>
      </c>
      <c r="E153" t="inlineStr">
        <is>
          <t>air::urban air close to ground</t>
        </is>
      </c>
      <c r="F153" t="inlineStr">
        <is>
          <t>biosphere</t>
        </is>
      </c>
      <c r="G153" t="inlineStr">
        <is>
          <t>CO</t>
        </is>
      </c>
    </row>
    <row r="154">
      <c r="A154" t="inlineStr">
        <is>
          <t>Dinitrogen monoxide</t>
        </is>
      </c>
      <c r="B154" s="7" t="n">
        <v>8.800200158331659e-07</v>
      </c>
      <c r="D154" t="inlineStr">
        <is>
          <t>kilogram</t>
        </is>
      </c>
      <c r="E154" t="inlineStr">
        <is>
          <t>air::urban air close to ground</t>
        </is>
      </c>
      <c r="F154" t="inlineStr">
        <is>
          <t>biosphere</t>
        </is>
      </c>
      <c r="G154" t="inlineStr">
        <is>
          <t>N2O</t>
        </is>
      </c>
    </row>
    <row r="155">
      <c r="A155" t="inlineStr">
        <is>
          <t>Ammonia</t>
        </is>
      </c>
      <c r="B155" s="7" t="n">
        <v>8.800200158331659e-07</v>
      </c>
      <c r="D155" t="inlineStr">
        <is>
          <t>kilogram</t>
        </is>
      </c>
      <c r="E155" t="inlineStr">
        <is>
          <t>air::urban air close to ground</t>
        </is>
      </c>
      <c r="F155" t="inlineStr">
        <is>
          <t>biosphere</t>
        </is>
      </c>
      <c r="G155" t="inlineStr">
        <is>
          <t>NH3</t>
        </is>
      </c>
    </row>
    <row r="156">
      <c r="A156" t="inlineStr">
        <is>
          <t>Nitrogen oxides</t>
        </is>
      </c>
      <c r="B156" s="7" t="n">
        <v>3.112853066902229e-05</v>
      </c>
      <c r="D156" t="inlineStr">
        <is>
          <t>kilogram</t>
        </is>
      </c>
      <c r="E156" t="inlineStr">
        <is>
          <t>air::urban air close to ground</t>
        </is>
      </c>
      <c r="F156" t="inlineStr">
        <is>
          <t>biosphere</t>
        </is>
      </c>
      <c r="G156" t="inlineStr">
        <is>
          <t>NOx</t>
        </is>
      </c>
    </row>
    <row r="157">
      <c r="A157" t="inlineStr">
        <is>
          <t>Particulates, &lt; 2.5 um</t>
        </is>
      </c>
      <c r="B157" s="7" t="n">
        <v>2.200050039582915e-06</v>
      </c>
      <c r="D157" t="inlineStr">
        <is>
          <t>kilogram</t>
        </is>
      </c>
      <c r="E157" t="inlineStr">
        <is>
          <t>air::urban air close to ground</t>
        </is>
      </c>
      <c r="F157" t="inlineStr">
        <is>
          <t>biosphere</t>
        </is>
      </c>
      <c r="G157" t="inlineStr">
        <is>
          <t>PM2.5</t>
        </is>
      </c>
    </row>
    <row r="158">
      <c r="A158" t="inlineStr">
        <is>
          <t>NMVOC, non-methane volatile organic compounds, unspecified origin</t>
        </is>
      </c>
      <c r="B158" s="7" t="n">
        <v>5.836807953399023e-05</v>
      </c>
      <c r="D158" t="inlineStr">
        <is>
          <t>kilogram</t>
        </is>
      </c>
      <c r="E158" t="inlineStr">
        <is>
          <t>air::urban air close to ground</t>
        </is>
      </c>
      <c r="F158" t="inlineStr">
        <is>
          <t>biosphere</t>
        </is>
      </c>
      <c r="G158" t="inlineStr">
        <is>
          <t>NMVOC</t>
        </is>
      </c>
    </row>
    <row r="159">
      <c r="A159" t="inlineStr">
        <is>
          <t>Ethane</t>
        </is>
      </c>
      <c r="B159" s="7" t="n">
        <v>4.115697915858285e-06</v>
      </c>
      <c r="D159" t="inlineStr">
        <is>
          <t>kilogram</t>
        </is>
      </c>
      <c r="E159" t="inlineStr">
        <is>
          <t>air::urban air close to ground</t>
        </is>
      </c>
      <c r="F159" t="inlineStr">
        <is>
          <t>biosphere</t>
        </is>
      </c>
      <c r="G159" t="inlineStr">
        <is>
          <t>Ethane</t>
        </is>
      </c>
    </row>
    <row r="160">
      <c r="A160" t="inlineStr">
        <is>
          <t>Propane</t>
        </is>
      </c>
      <c r="B160" s="7" t="n">
        <v>8.386218323849171e-07</v>
      </c>
      <c r="D160" t="inlineStr">
        <is>
          <t>kilogram</t>
        </is>
      </c>
      <c r="E160" t="inlineStr">
        <is>
          <t>air::urban air close to ground</t>
        </is>
      </c>
      <c r="F160" t="inlineStr">
        <is>
          <t>biosphere</t>
        </is>
      </c>
      <c r="G160" t="inlineStr">
        <is>
          <t>Propane</t>
        </is>
      </c>
    </row>
    <row r="161">
      <c r="A161" t="inlineStr">
        <is>
          <t>Butane</t>
        </is>
      </c>
      <c r="B161" s="7" t="n">
        <v>6.76058215645687e-06</v>
      </c>
      <c r="D161" t="inlineStr">
        <is>
          <t>kilogram</t>
        </is>
      </c>
      <c r="E161" t="inlineStr">
        <is>
          <t>air::urban air close to ground</t>
        </is>
      </c>
      <c r="F161" t="inlineStr">
        <is>
          <t>biosphere</t>
        </is>
      </c>
      <c r="G161" t="inlineStr">
        <is>
          <t>Butane</t>
        </is>
      </c>
    </row>
    <row r="162">
      <c r="A162" t="inlineStr">
        <is>
          <t>Pentane</t>
        </is>
      </c>
      <c r="B162" s="7" t="n">
        <v>2.773902984042418e-06</v>
      </c>
      <c r="D162" t="inlineStr">
        <is>
          <t>kilogram</t>
        </is>
      </c>
      <c r="E162" t="inlineStr">
        <is>
          <t>air::urban air close to ground</t>
        </is>
      </c>
      <c r="F162" t="inlineStr">
        <is>
          <t>biosphere</t>
        </is>
      </c>
      <c r="G162" t="inlineStr">
        <is>
          <t>Pentane</t>
        </is>
      </c>
    </row>
    <row r="163">
      <c r="A163" t="inlineStr">
        <is>
          <t>Hexane</t>
        </is>
      </c>
      <c r="B163" s="7" t="n">
        <v>2.077201769445718e-06</v>
      </c>
      <c r="D163" t="inlineStr">
        <is>
          <t>kilogram</t>
        </is>
      </c>
      <c r="E163" t="inlineStr">
        <is>
          <t>air::urban air close to ground</t>
        </is>
      </c>
      <c r="F163" t="inlineStr">
        <is>
          <t>biosphere</t>
        </is>
      </c>
      <c r="G163" t="inlineStr">
        <is>
          <t>Hexane</t>
        </is>
      </c>
    </row>
    <row r="164">
      <c r="A164" t="inlineStr">
        <is>
          <t>Cyclohexane</t>
        </is>
      </c>
      <c r="B164" s="7" t="n">
        <v>1.470813675259701e-06</v>
      </c>
      <c r="D164" t="inlineStr">
        <is>
          <t>kilogram</t>
        </is>
      </c>
      <c r="E164" t="inlineStr">
        <is>
          <t>air::urban air close to ground</t>
        </is>
      </c>
      <c r="F164" t="inlineStr">
        <is>
          <t>biosphere</t>
        </is>
      </c>
      <c r="G164" t="inlineStr">
        <is>
          <t>Cyclohexane</t>
        </is>
      </c>
    </row>
    <row r="165">
      <c r="A165" t="inlineStr">
        <is>
          <t>Heptane</t>
        </is>
      </c>
      <c r="B165" s="7" t="n">
        <v>9.547387014843674e-07</v>
      </c>
      <c r="D165" t="inlineStr">
        <is>
          <t>kilogram</t>
        </is>
      </c>
      <c r="E165" t="inlineStr">
        <is>
          <t>air::urban air close to ground</t>
        </is>
      </c>
      <c r="F165" t="inlineStr">
        <is>
          <t>biosphere</t>
        </is>
      </c>
      <c r="G165" t="inlineStr">
        <is>
          <t>Heptane</t>
        </is>
      </c>
    </row>
    <row r="166">
      <c r="A166" t="inlineStr">
        <is>
          <t>Ethene</t>
        </is>
      </c>
      <c r="B166" s="7" t="n">
        <v>9.418368271399836e-06</v>
      </c>
      <c r="D166" t="inlineStr">
        <is>
          <t>kilogram</t>
        </is>
      </c>
      <c r="E166" t="inlineStr">
        <is>
          <t>air::urban air close to ground</t>
        </is>
      </c>
      <c r="F166" t="inlineStr">
        <is>
          <t>biosphere</t>
        </is>
      </c>
      <c r="G166" t="inlineStr">
        <is>
          <t>Ethene</t>
        </is>
      </c>
    </row>
    <row r="167">
      <c r="A167" t="inlineStr">
        <is>
          <t>Propene</t>
        </is>
      </c>
      <c r="B167" s="7" t="n">
        <v>4.928515999554436e-06</v>
      </c>
      <c r="D167" t="inlineStr">
        <is>
          <t>kilogram</t>
        </is>
      </c>
      <c r="E167" t="inlineStr">
        <is>
          <t>air::urban air close to ground</t>
        </is>
      </c>
      <c r="F167" t="inlineStr">
        <is>
          <t>biosphere</t>
        </is>
      </c>
      <c r="G167" t="inlineStr">
        <is>
          <t>Propene</t>
        </is>
      </c>
    </row>
    <row r="168">
      <c r="A168" t="inlineStr">
        <is>
          <t>1-Pentene</t>
        </is>
      </c>
      <c r="B168" s="7" t="n">
        <v>1.419206177882167e-07</v>
      </c>
      <c r="D168" t="inlineStr">
        <is>
          <t>kilogram</t>
        </is>
      </c>
      <c r="E168" t="inlineStr">
        <is>
          <t>air::urban air close to ground</t>
        </is>
      </c>
      <c r="F168" t="inlineStr">
        <is>
          <t>biosphere</t>
        </is>
      </c>
      <c r="G168" t="inlineStr">
        <is>
          <t>1-Pentene</t>
        </is>
      </c>
    </row>
    <row r="169">
      <c r="A169" t="inlineStr">
        <is>
          <t>Toluene</t>
        </is>
      </c>
      <c r="B169" s="7" t="n">
        <v>1.416625803013291e-05</v>
      </c>
      <c r="D169" t="inlineStr">
        <is>
          <t>kilogram</t>
        </is>
      </c>
      <c r="E169" t="inlineStr">
        <is>
          <t>air::urban air close to ground</t>
        </is>
      </c>
      <c r="F169" t="inlineStr">
        <is>
          <t>biosphere</t>
        </is>
      </c>
      <c r="G169" t="inlineStr">
        <is>
          <t>Toluene</t>
        </is>
      </c>
    </row>
    <row r="170">
      <c r="A170" t="inlineStr">
        <is>
          <t>m-Xylene</t>
        </is>
      </c>
      <c r="B170" s="7" t="n">
        <v>7.005717769000153e-06</v>
      </c>
      <c r="D170" t="inlineStr">
        <is>
          <t>kilogram</t>
        </is>
      </c>
      <c r="E170" t="inlineStr">
        <is>
          <t>air::urban air close to ground</t>
        </is>
      </c>
      <c r="F170" t="inlineStr">
        <is>
          <t>biosphere</t>
        </is>
      </c>
      <c r="G170" t="inlineStr">
        <is>
          <t>m-Xylene</t>
        </is>
      </c>
    </row>
    <row r="171">
      <c r="A171" t="inlineStr">
        <is>
          <t>o-Xylene</t>
        </is>
      </c>
      <c r="B171" s="7" t="n">
        <v>2.915823601830635e-06</v>
      </c>
      <c r="D171" t="inlineStr">
        <is>
          <t>kilogram</t>
        </is>
      </c>
      <c r="E171" t="inlineStr">
        <is>
          <t>air::urban air close to ground</t>
        </is>
      </c>
      <c r="F171" t="inlineStr">
        <is>
          <t>biosphere</t>
        </is>
      </c>
      <c r="G171" t="inlineStr">
        <is>
          <t>o-Xylene</t>
        </is>
      </c>
    </row>
    <row r="172">
      <c r="A172" t="inlineStr">
        <is>
          <t>Formaldehyde</t>
        </is>
      </c>
      <c r="B172" s="7" t="n">
        <v>2.193318638545168e-06</v>
      </c>
      <c r="D172" t="inlineStr">
        <is>
          <t>kilogram</t>
        </is>
      </c>
      <c r="E172" t="inlineStr">
        <is>
          <t>air::urban air close to ground</t>
        </is>
      </c>
      <c r="F172" t="inlineStr">
        <is>
          <t>biosphere</t>
        </is>
      </c>
      <c r="G172" t="inlineStr">
        <is>
          <t>Formaldehyde</t>
        </is>
      </c>
    </row>
    <row r="173">
      <c r="A173" t="inlineStr">
        <is>
          <t>Acetaldehyde</t>
        </is>
      </c>
      <c r="B173" s="7" t="n">
        <v>9.676405758287503e-07</v>
      </c>
      <c r="D173" t="inlineStr">
        <is>
          <t>kilogram</t>
        </is>
      </c>
      <c r="E173" t="inlineStr">
        <is>
          <t>air::urban air close to ground</t>
        </is>
      </c>
      <c r="F173" t="inlineStr">
        <is>
          <t>biosphere</t>
        </is>
      </c>
      <c r="G173" t="inlineStr">
        <is>
          <t>Acetaldehyde</t>
        </is>
      </c>
    </row>
    <row r="174">
      <c r="A174" t="inlineStr">
        <is>
          <t>Benzaldehyde</t>
        </is>
      </c>
      <c r="B174" s="7" t="n">
        <v>2.838412355764335e-07</v>
      </c>
      <c r="D174" t="inlineStr">
        <is>
          <t>kilogram</t>
        </is>
      </c>
      <c r="E174" t="inlineStr">
        <is>
          <t>air::urban air close to ground</t>
        </is>
      </c>
      <c r="F174" t="inlineStr">
        <is>
          <t>biosphere</t>
        </is>
      </c>
      <c r="G174" t="inlineStr">
        <is>
          <t>Benzaldehyde</t>
        </is>
      </c>
    </row>
    <row r="175">
      <c r="A175" t="inlineStr">
        <is>
          <t>Acetone</t>
        </is>
      </c>
      <c r="B175" s="7" t="n">
        <v>7.870143350073839e-07</v>
      </c>
      <c r="D175" t="inlineStr">
        <is>
          <t>kilogram</t>
        </is>
      </c>
      <c r="E175" t="inlineStr">
        <is>
          <t>air::urban air close to ground</t>
        </is>
      </c>
      <c r="F175" t="inlineStr">
        <is>
          <t>biosphere</t>
        </is>
      </c>
      <c r="G175" t="inlineStr">
        <is>
          <t>Acetone</t>
        </is>
      </c>
    </row>
    <row r="176">
      <c r="A176" t="inlineStr">
        <is>
          <t>Methyl ethyl ketone</t>
        </is>
      </c>
      <c r="B176" s="7" t="n">
        <v>6.45093717219167e-08</v>
      </c>
      <c r="D176" t="inlineStr">
        <is>
          <t>kilogram</t>
        </is>
      </c>
      <c r="E176" t="inlineStr">
        <is>
          <t>air::urban air close to ground</t>
        </is>
      </c>
      <c r="F176" t="inlineStr">
        <is>
          <t>biosphere</t>
        </is>
      </c>
      <c r="G176" t="inlineStr">
        <is>
          <t>Methyl ethyl ketone</t>
        </is>
      </c>
    </row>
    <row r="177">
      <c r="A177" t="inlineStr">
        <is>
          <t>Acrolein</t>
        </is>
      </c>
      <c r="B177" s="7" t="n">
        <v>2.451356125432834e-07</v>
      </c>
      <c r="D177" t="inlineStr">
        <is>
          <t>kilogram</t>
        </is>
      </c>
      <c r="E177" t="inlineStr">
        <is>
          <t>air::urban air close to ground</t>
        </is>
      </c>
      <c r="F177" t="inlineStr">
        <is>
          <t>biosphere</t>
        </is>
      </c>
      <c r="G177" t="inlineStr">
        <is>
          <t>Acrolein</t>
        </is>
      </c>
    </row>
    <row r="178">
      <c r="A178" t="inlineStr">
        <is>
          <t>Styrene</t>
        </is>
      </c>
      <c r="B178" s="7" t="n">
        <v>1.303089308782717e-06</v>
      </c>
      <c r="D178" t="inlineStr">
        <is>
          <t>kilogram</t>
        </is>
      </c>
      <c r="E178" t="inlineStr">
        <is>
          <t>air::urban air close to ground</t>
        </is>
      </c>
      <c r="F178" t="inlineStr">
        <is>
          <t>biosphere</t>
        </is>
      </c>
      <c r="G178" t="inlineStr">
        <is>
          <t>Styrene</t>
        </is>
      </c>
    </row>
    <row r="179">
      <c r="A179" t="inlineStr">
        <is>
          <t>PAH, polycyclic aromatic hydrocarbons</t>
        </is>
      </c>
      <c r="B179" s="7" t="n">
        <v>1.615897727298147e-09</v>
      </c>
      <c r="D179" t="inlineStr">
        <is>
          <t>kilogram</t>
        </is>
      </c>
      <c r="E179" t="inlineStr">
        <is>
          <t>air::urban air close to ground</t>
        </is>
      </c>
      <c r="F179" t="inlineStr">
        <is>
          <t>biosphere</t>
        </is>
      </c>
      <c r="G179" t="inlineStr">
        <is>
          <t>PAHs</t>
        </is>
      </c>
    </row>
    <row r="180">
      <c r="A180" t="inlineStr">
        <is>
          <t>Arsenic</t>
        </is>
      </c>
      <c r="B180" s="7" t="n">
        <v>1.393015282153575e-11</v>
      </c>
      <c r="D180" t="inlineStr">
        <is>
          <t>kilogram</t>
        </is>
      </c>
      <c r="E180" t="inlineStr">
        <is>
          <t>air::urban air close to ground</t>
        </is>
      </c>
      <c r="F180" t="inlineStr">
        <is>
          <t>biosphere</t>
        </is>
      </c>
      <c r="G180" t="inlineStr">
        <is>
          <t>Arsenic</t>
        </is>
      </c>
    </row>
    <row r="181">
      <c r="A181" t="inlineStr">
        <is>
          <t>Selenium</t>
        </is>
      </c>
      <c r="B181" s="7" t="n">
        <v>9.286768547690499e-12</v>
      </c>
      <c r="D181" t="inlineStr">
        <is>
          <t>kilogram</t>
        </is>
      </c>
      <c r="E181" t="inlineStr">
        <is>
          <t>air::urban air close to ground</t>
        </is>
      </c>
      <c r="F181" t="inlineStr">
        <is>
          <t>biosphere</t>
        </is>
      </c>
      <c r="G181" t="inlineStr">
        <is>
          <t>Selenium</t>
        </is>
      </c>
    </row>
    <row r="182">
      <c r="A182" t="inlineStr">
        <is>
          <t>Zinc</t>
        </is>
      </c>
      <c r="B182" s="7" t="n">
        <v>1.002971003150574e-07</v>
      </c>
      <c r="D182" t="inlineStr">
        <is>
          <t>kilogram</t>
        </is>
      </c>
      <c r="E182" t="inlineStr">
        <is>
          <t>air::urban air close to ground</t>
        </is>
      </c>
      <c r="F182" t="inlineStr">
        <is>
          <t>biosphere</t>
        </is>
      </c>
      <c r="G182" t="inlineStr">
        <is>
          <t>Zinc</t>
        </is>
      </c>
    </row>
    <row r="183">
      <c r="A183" t="inlineStr">
        <is>
          <t>Copper</t>
        </is>
      </c>
      <c r="B183" s="7" t="n">
        <v>1.950221395015005e-09</v>
      </c>
      <c r="D183" t="inlineStr">
        <is>
          <t>kilogram</t>
        </is>
      </c>
      <c r="E183" t="inlineStr">
        <is>
          <t>air::urban air close to ground</t>
        </is>
      </c>
      <c r="F183" t="inlineStr">
        <is>
          <t>biosphere</t>
        </is>
      </c>
      <c r="G183" t="inlineStr">
        <is>
          <t>Copper</t>
        </is>
      </c>
    </row>
    <row r="184">
      <c r="A184" t="inlineStr">
        <is>
          <t>Nickel</t>
        </is>
      </c>
      <c r="B184" s="7" t="n">
        <v>6.036399555998824e-10</v>
      </c>
      <c r="D184" t="inlineStr">
        <is>
          <t>kilogram</t>
        </is>
      </c>
      <c r="E184" t="inlineStr">
        <is>
          <t>air::urban air close to ground</t>
        </is>
      </c>
      <c r="F184" t="inlineStr">
        <is>
          <t>biosphere</t>
        </is>
      </c>
      <c r="G184" t="inlineStr">
        <is>
          <t>Nickel</t>
        </is>
      </c>
    </row>
    <row r="185">
      <c r="A185" t="inlineStr">
        <is>
          <t>Chromium</t>
        </is>
      </c>
      <c r="B185" s="7" t="n">
        <v>7.4294148381524e-10</v>
      </c>
      <c r="D185" t="inlineStr">
        <is>
          <t>kilogram</t>
        </is>
      </c>
      <c r="E185" t="inlineStr">
        <is>
          <t>air::urban air close to ground</t>
        </is>
      </c>
      <c r="F185" t="inlineStr">
        <is>
          <t>biosphere</t>
        </is>
      </c>
      <c r="G185" t="inlineStr">
        <is>
          <t>Chromium</t>
        </is>
      </c>
    </row>
    <row r="186">
      <c r="A186" t="inlineStr">
        <is>
          <t>Chromium VI</t>
        </is>
      </c>
      <c r="B186" s="7" t="n">
        <v>1.48588296763048e-12</v>
      </c>
      <c r="D186" t="inlineStr">
        <is>
          <t>kilogram</t>
        </is>
      </c>
      <c r="E186" t="inlineStr">
        <is>
          <t>air::urban air close to ground</t>
        </is>
      </c>
      <c r="F186" t="inlineStr">
        <is>
          <t>biosphere</t>
        </is>
      </c>
      <c r="G186" t="inlineStr">
        <is>
          <t>Chromium VI</t>
        </is>
      </c>
    </row>
    <row r="187">
      <c r="A187" t="inlineStr">
        <is>
          <t>Mercury</t>
        </is>
      </c>
      <c r="B187" s="7" t="n">
        <v>4.039744318245367e-10</v>
      </c>
      <c r="D187" t="inlineStr">
        <is>
          <t>kilogram</t>
        </is>
      </c>
      <c r="E187" t="inlineStr">
        <is>
          <t>air::urban air close to ground</t>
        </is>
      </c>
      <c r="F187" t="inlineStr">
        <is>
          <t>biosphere</t>
        </is>
      </c>
      <c r="G187" t="inlineStr">
        <is>
          <t>Mercury</t>
        </is>
      </c>
    </row>
    <row r="188">
      <c r="A188" t="inlineStr">
        <is>
          <t>Cadmium</t>
        </is>
      </c>
      <c r="B188" s="7" t="n">
        <v>5.014855015752871e-10</v>
      </c>
      <c r="D188" t="inlineStr">
        <is>
          <t>kilogram</t>
        </is>
      </c>
      <c r="E188" t="inlineStr">
        <is>
          <t>air::urban air close to ground</t>
        </is>
      </c>
      <c r="F188" t="inlineStr">
        <is>
          <t>biosphere</t>
        </is>
      </c>
      <c r="G188" t="inlineStr">
        <is>
          <t>Cadmium</t>
        </is>
      </c>
    </row>
    <row r="189">
      <c r="A189" t="inlineStr">
        <is>
          <t>treatment of road wear emissions, passenger car</t>
        </is>
      </c>
      <c r="B189" s="7" t="n">
        <v>-1.139555746898797e-05</v>
      </c>
      <c r="C189" t="inlineStr">
        <is>
          <t>RER</t>
        </is>
      </c>
      <c r="D189" t="inlineStr">
        <is>
          <t>kilogram</t>
        </is>
      </c>
      <c r="F189" t="inlineStr">
        <is>
          <t>technosphere</t>
        </is>
      </c>
      <c r="G189" t="inlineStr">
        <is>
          <t>Road wear [kg/km]</t>
        </is>
      </c>
      <c r="H189" t="inlineStr">
        <is>
          <t>road wear emissions, passenger car</t>
        </is>
      </c>
    </row>
    <row r="190">
      <c r="A190" t="inlineStr">
        <is>
          <t>treatment of tyre wear emissions, passenger car</t>
        </is>
      </c>
      <c r="B190" s="7" t="n">
        <v>-6.80462846727407e-06</v>
      </c>
      <c r="C190" t="inlineStr">
        <is>
          <t>RER</t>
        </is>
      </c>
      <c r="D190" t="inlineStr">
        <is>
          <t>kilogram</t>
        </is>
      </c>
      <c r="F190" t="inlineStr">
        <is>
          <t>technosphere</t>
        </is>
      </c>
      <c r="G190" t="inlineStr">
        <is>
          <t>Tire wear [kg/km]</t>
        </is>
      </c>
      <c r="H190" t="inlineStr">
        <is>
          <t>tyre wear emissions, passenger car</t>
        </is>
      </c>
    </row>
    <row r="191">
      <c r="A191" t="inlineStr">
        <is>
          <t>treatment of brake wear emissions, passenger car</t>
        </is>
      </c>
      <c r="B191" s="7" t="n">
        <v>-3.951847319854369e-06</v>
      </c>
      <c r="C191" t="inlineStr">
        <is>
          <t>RER</t>
        </is>
      </c>
      <c r="D191" t="inlineStr">
        <is>
          <t>kilogram</t>
        </is>
      </c>
      <c r="F191" t="inlineStr">
        <is>
          <t>technosphere</t>
        </is>
      </c>
      <c r="G191" t="inlineStr">
        <is>
          <t>Brake wear [kg/km]</t>
        </is>
      </c>
      <c r="H191" t="inlineStr">
        <is>
          <t>brake wear emissions, passenger car</t>
        </is>
      </c>
    </row>
    <row r="192"/>
    <row r="193" ht="16" customHeight="1">
      <c r="A193" s="10" t="inlineStr">
        <is>
          <t>Activity</t>
        </is>
      </c>
      <c r="B193" s="8" t="inlineStr">
        <is>
          <t>transport, Motorbike, gasoline, &gt;35kW, EURO-4</t>
        </is>
      </c>
    </row>
    <row r="194">
      <c r="A194" t="inlineStr">
        <is>
          <t>location</t>
        </is>
      </c>
      <c r="B194" t="inlineStr">
        <is>
          <t>CH</t>
        </is>
      </c>
    </row>
    <row r="195">
      <c r="A195" t="inlineStr">
        <is>
          <t>vehicle</t>
        </is>
      </c>
      <c r="B195" t="inlineStr">
        <is>
          <t>Motorbike, gasoline, &gt;35kW, EURO-4</t>
        </is>
      </c>
    </row>
    <row r="196">
      <c r="A196" t="inlineStr">
        <is>
          <t>size</t>
        </is>
      </c>
    </row>
    <row r="197">
      <c r="A197" t="inlineStr">
        <is>
          <t>year</t>
        </is>
      </c>
      <c r="B197" t="n">
        <v>2016</v>
      </c>
    </row>
    <row r="198">
      <c r="A198" t="inlineStr">
        <is>
          <t>full name</t>
        </is>
      </c>
      <c r="B198" t="inlineStr">
        <is>
          <t>Motorbike, gasoline, &gt;35kW, EURO-4 - 2016 - CH</t>
        </is>
      </c>
    </row>
    <row r="199">
      <c r="A199" t="inlineStr">
        <is>
          <t>reference product</t>
        </is>
      </c>
      <c r="B199" t="inlineStr">
        <is>
          <t>transport, Motorbike, gasoline, &gt;35kW, EURO-4</t>
        </is>
      </c>
    </row>
    <row r="200">
      <c r="A200" t="inlineStr">
        <is>
          <t>type</t>
        </is>
      </c>
      <c r="B200" t="inlineStr">
        <is>
          <t>process</t>
        </is>
      </c>
    </row>
    <row r="201">
      <c r="A201" t="inlineStr">
        <is>
          <t>unit</t>
        </is>
      </c>
      <c r="B201" t="inlineStr">
        <is>
          <t>kilometer</t>
        </is>
      </c>
    </row>
    <row r="202">
      <c r="A202" t="inlineStr">
        <is>
          <t>source</t>
        </is>
      </c>
      <c r="B202" t="inlineStr">
        <is>
          <t>Sacchi R., Bauer C. Life cycle inventories for on-road vehicles. Paul Scherrer Institut, 2021.</t>
        </is>
      </c>
    </row>
    <row r="203">
      <c r="A203" t="inlineStr">
        <is>
          <t>lifetime</t>
        </is>
      </c>
      <c r="B203" t="n">
        <v>40500</v>
      </c>
    </row>
    <row r="204">
      <c r="A204" t="inlineStr">
        <is>
          <t>passengers</t>
        </is>
      </c>
      <c r="B204" t="n">
        <v>1.1</v>
      </c>
    </row>
    <row r="205">
      <c r="A205" t="inlineStr">
        <is>
          <t>service</t>
        </is>
      </c>
      <c r="B205" t="n">
        <v>1.62</v>
      </c>
    </row>
    <row r="206">
      <c r="A206" t="inlineStr">
        <is>
          <t>battery replacement</t>
        </is>
      </c>
      <c r="B206" t="n">
        <v>0</v>
      </c>
    </row>
    <row r="207">
      <c r="A207" t="inlineStr">
        <is>
          <t>annual kilometers</t>
        </is>
      </c>
      <c r="B207" t="n">
        <v>2896</v>
      </c>
    </row>
    <row r="208">
      <c r="A208" t="inlineStr">
        <is>
          <t>curb mass</t>
        </is>
      </c>
      <c r="B208" s="2" t="n">
        <v>258.745</v>
      </c>
    </row>
    <row r="209">
      <c r="A209" t="inlineStr">
        <is>
          <t>power</t>
        </is>
      </c>
      <c r="B209" t="n">
        <v>91</v>
      </c>
    </row>
    <row r="210">
      <c r="A210" t="inlineStr">
        <is>
          <t>battery mass</t>
        </is>
      </c>
    </row>
    <row r="211">
      <c r="A211" t="inlineStr">
        <is>
          <t>electricity, low voltage</t>
        </is>
      </c>
      <c r="B211" t="n">
        <v>0</v>
      </c>
    </row>
    <row r="212">
      <c r="A212" t="inlineStr">
        <is>
          <t>tank capacity</t>
        </is>
      </c>
      <c r="B212" s="2" t="n">
        <v>159.75</v>
      </c>
    </row>
    <row r="213">
      <c r="A213" t="inlineStr">
        <is>
          <t>fuel mass</t>
        </is>
      </c>
      <c r="B213" t="n">
        <v>13.5</v>
      </c>
    </row>
    <row r="214">
      <c r="A214" t="inlineStr">
        <is>
          <t>range</t>
        </is>
      </c>
      <c r="B214" s="2" t="n">
        <v>294.3345100667983</v>
      </c>
    </row>
    <row r="215">
      <c r="A215" t="inlineStr">
        <is>
          <t>emission standard</t>
        </is>
      </c>
      <c r="B215" t="inlineStr">
        <is>
          <t>EURO-4</t>
        </is>
      </c>
    </row>
    <row r="216">
      <c r="A216" t="inlineStr">
        <is>
          <t>Glider lightweighting</t>
        </is>
      </c>
      <c r="B216" s="6" t="n">
        <v>-0.02</v>
      </c>
    </row>
    <row r="217">
      <c r="A217" t="inlineStr">
        <is>
          <t>comment</t>
        </is>
      </c>
      <c r="B217" t="inlineStr">
        <is>
          <t>Power: 91 kW. Lifetime: 40500 km. Annual kilometers: 2896 km. Number of passengers: 1.1. Curb mass: 258.7 kg. Lightweighting of glider: -2%. Emission standard: EURO-4. Service visits throughout lifetime: 1.6. Range: 294 km. Fuel tank capacity: 159.8 kWh. Fuel mass: 13.5 kg. Documentation: Life-cycle inventories for on-road vehicles, Sacchi R. (PSI), Bauer C. (PSI), 2021. Sacchi R., Bauer C. Life cycle inventories for on-road vehicles. Paul Scherrer Institut, 2021.</t>
        </is>
      </c>
    </row>
    <row r="218" ht="16" customHeight="1">
      <c r="A218" s="10" t="inlineStr">
        <is>
          <t>Exchanges</t>
        </is>
      </c>
    </row>
    <row r="219">
      <c r="A219" t="inlineStr">
        <is>
          <t>name</t>
        </is>
      </c>
      <c r="B219" t="inlineStr">
        <is>
          <t>amount</t>
        </is>
      </c>
      <c r="C219" t="inlineStr">
        <is>
          <t>location</t>
        </is>
      </c>
      <c r="D219" t="inlineStr">
        <is>
          <t>unit</t>
        </is>
      </c>
      <c r="E219" t="inlineStr">
        <is>
          <t>categories</t>
        </is>
      </c>
      <c r="F219" t="inlineStr">
        <is>
          <t>type</t>
        </is>
      </c>
      <c r="G219" t="inlineStr">
        <is>
          <t>comment</t>
        </is>
      </c>
      <c r="H219" t="inlineStr">
        <is>
          <t>reference product</t>
        </is>
      </c>
    </row>
    <row r="220">
      <c r="A220" t="inlineStr">
        <is>
          <t>transport, Motorbike, gasoline, &gt;35kW, EURO-4</t>
        </is>
      </c>
      <c r="B220" t="n">
        <v>1</v>
      </c>
      <c r="C220" t="inlineStr">
        <is>
          <t>CH</t>
        </is>
      </c>
      <c r="D220" t="inlineStr">
        <is>
          <t>kilometer</t>
        </is>
      </c>
      <c r="F220" t="inlineStr">
        <is>
          <t>production</t>
        </is>
      </c>
      <c r="H220" t="inlineStr">
        <is>
          <t>transport, Motorbike, gasoline, &gt;35kW, EURO-4</t>
        </is>
      </c>
    </row>
    <row r="221">
      <c r="A221" t="inlineStr">
        <is>
          <t>Motorbike, gasoline, &gt;35kW, EURO-4</t>
        </is>
      </c>
      <c r="B221" s="7" t="n">
        <v>2.469135802469136e-05</v>
      </c>
      <c r="C221" t="inlineStr">
        <is>
          <t>CH</t>
        </is>
      </c>
      <c r="D221" t="inlineStr">
        <is>
          <t>unit</t>
        </is>
      </c>
      <c r="F221" t="inlineStr">
        <is>
          <t>technosphere</t>
        </is>
      </c>
      <c r="H221" t="inlineStr">
        <is>
          <t>Motorbike, gasoline, &gt;35kW, EURO-4</t>
        </is>
      </c>
    </row>
    <row r="222">
      <c r="A222" t="inlineStr">
        <is>
          <t>road construction</t>
        </is>
      </c>
      <c r="B222" s="7" t="n">
        <v>0.000186470565</v>
      </c>
      <c r="C222" t="inlineStr">
        <is>
          <t>CH</t>
        </is>
      </c>
      <c r="D222" t="inlineStr">
        <is>
          <t>meter-year</t>
        </is>
      </c>
      <c r="F222" t="inlineStr">
        <is>
          <t>technosphere</t>
        </is>
      </c>
      <c r="G222" t="inlineStr">
        <is>
          <t>Road/track use [m*year/vkm or pkm]</t>
        </is>
      </c>
      <c r="H222" t="inlineStr">
        <is>
          <t>road</t>
        </is>
      </c>
    </row>
    <row r="223">
      <c r="A223" t="inlineStr">
        <is>
          <t>road maintenance</t>
        </is>
      </c>
      <c r="B223" s="7" t="n">
        <v>0.00129</v>
      </c>
      <c r="C223" t="inlineStr">
        <is>
          <t>CH</t>
        </is>
      </c>
      <c r="D223" t="inlineStr">
        <is>
          <t>meter-year</t>
        </is>
      </c>
      <c r="F223" t="inlineStr">
        <is>
          <t>technosphere</t>
        </is>
      </c>
      <c r="G223" t="inlineStr">
        <is>
          <t>Road maintenance [m*year/vkm]</t>
        </is>
      </c>
      <c r="H223" t="inlineStr">
        <is>
          <t>road maintenance</t>
        </is>
      </c>
    </row>
    <row r="224">
      <c r="A224" t="inlineStr">
        <is>
          <t>maintenance, motor scooter</t>
        </is>
      </c>
      <c r="B224" s="7" t="n">
        <v>4e-05</v>
      </c>
      <c r="C224" t="inlineStr">
        <is>
          <t>CH</t>
        </is>
      </c>
      <c r="D224" t="inlineStr">
        <is>
          <t>unit</t>
        </is>
      </c>
      <c r="F224" t="inlineStr">
        <is>
          <t>technosphere</t>
        </is>
      </c>
      <c r="G224" t="inlineStr">
        <is>
          <t>Servicing [unit]</t>
        </is>
      </c>
      <c r="H224" t="inlineStr">
        <is>
          <t>maintenance, motor scooter</t>
        </is>
      </c>
    </row>
    <row r="225">
      <c r="A225" t="inlineStr">
        <is>
          <t>fuel supply for gasoline vehicles</t>
        </is>
      </c>
      <c r="B225" s="7" t="n">
        <v>0.04586618129466441</v>
      </c>
      <c r="C225" t="inlineStr">
        <is>
          <t>CH</t>
        </is>
      </c>
      <c r="D225" t="inlineStr">
        <is>
          <t>kilogram</t>
        </is>
      </c>
      <c r="F225" t="inlineStr">
        <is>
          <t>technosphere</t>
        </is>
      </c>
      <c r="G225" t="inlineStr">
        <is>
          <t>Gasoline consumption [MJ/km]</t>
        </is>
      </c>
      <c r="H225" t="inlineStr">
        <is>
          <t>gasoline blend</t>
        </is>
      </c>
    </row>
    <row r="226">
      <c r="A226" t="inlineStr">
        <is>
          <t>Carbon dioxide, fossil</t>
        </is>
      </c>
      <c r="B226" s="11" t="n">
        <v>0.1422915715540633</v>
      </c>
      <c r="D226" t="inlineStr">
        <is>
          <t>kilogram</t>
        </is>
      </c>
      <c r="E226" t="inlineStr">
        <is>
          <t>air::urban air close to ground</t>
        </is>
      </c>
      <c r="F226" t="inlineStr">
        <is>
          <t>biosphere</t>
        </is>
      </c>
      <c r="G226" t="inlineStr">
        <is>
          <t>CO2</t>
        </is>
      </c>
    </row>
    <row r="227">
      <c r="A227" t="inlineStr">
        <is>
          <t>Carbon dioxide, from soil or biomass stock</t>
        </is>
      </c>
      <c r="B227" s="11" t="n">
        <v>0.001728237711182955</v>
      </c>
      <c r="D227" t="inlineStr">
        <is>
          <t>kilogram</t>
        </is>
      </c>
      <c r="E227" t="inlineStr">
        <is>
          <t>air::urban air close to ground</t>
        </is>
      </c>
      <c r="F227" t="inlineStr">
        <is>
          <t>biosphere</t>
        </is>
      </c>
      <c r="G227" t="inlineStr">
        <is>
          <t>CO2, bio</t>
        </is>
      </c>
    </row>
    <row r="228">
      <c r="A228" t="inlineStr">
        <is>
          <t>Sulfur dioxide</t>
        </is>
      </c>
      <c r="B228" s="7" t="n">
        <v>7.338589007146305e-07</v>
      </c>
      <c r="D228" t="inlineStr">
        <is>
          <t>kilogram</t>
        </is>
      </c>
      <c r="E228" t="inlineStr">
        <is>
          <t>air::urban air close to ground</t>
        </is>
      </c>
      <c r="F228" t="inlineStr">
        <is>
          <t>biosphere</t>
        </is>
      </c>
      <c r="G228" t="inlineStr">
        <is>
          <t>SO2</t>
        </is>
      </c>
    </row>
    <row r="229">
      <c r="A229" t="inlineStr">
        <is>
          <t>Benzene</t>
        </is>
      </c>
      <c r="B229" s="7" t="n">
        <v>2.528447465810793e-06</v>
      </c>
      <c r="D229" t="inlineStr">
        <is>
          <t>kilogram</t>
        </is>
      </c>
      <c r="E229" t="inlineStr">
        <is>
          <t>air::urban air close to ground</t>
        </is>
      </c>
      <c r="F229" t="inlineStr">
        <is>
          <t>biosphere</t>
        </is>
      </c>
      <c r="G229" t="inlineStr">
        <is>
          <t>Benzene</t>
        </is>
      </c>
    </row>
    <row r="230">
      <c r="A230" t="inlineStr">
        <is>
          <t>Methane, fossil</t>
        </is>
      </c>
      <c r="B230" s="7" t="n">
        <v>2.09869317095456e-05</v>
      </c>
      <c r="D230" t="inlineStr">
        <is>
          <t>kilogram</t>
        </is>
      </c>
      <c r="E230" t="inlineStr">
        <is>
          <t>air::urban air close to ground</t>
        </is>
      </c>
      <c r="F230" t="inlineStr">
        <is>
          <t>biosphere</t>
        </is>
      </c>
      <c r="G230" t="inlineStr">
        <is>
          <t>CH4</t>
        </is>
      </c>
    </row>
    <row r="231">
      <c r="A231" t="inlineStr">
        <is>
          <t>Carbon monoxide, fossil</t>
        </is>
      </c>
      <c r="B231" s="7" t="n">
        <v>0.0001859128033293116</v>
      </c>
      <c r="D231" t="inlineStr">
        <is>
          <t>kilogram</t>
        </is>
      </c>
      <c r="E231" t="inlineStr">
        <is>
          <t>air::urban air close to ground</t>
        </is>
      </c>
      <c r="F231" t="inlineStr">
        <is>
          <t>biosphere</t>
        </is>
      </c>
      <c r="G231" t="inlineStr">
        <is>
          <t>CO</t>
        </is>
      </c>
    </row>
    <row r="232">
      <c r="A232" t="inlineStr">
        <is>
          <t>Dinitrogen monoxide</t>
        </is>
      </c>
      <c r="B232" s="7" t="n">
        <v>1.104575353133979e-06</v>
      </c>
      <c r="D232" t="inlineStr">
        <is>
          <t>kilogram</t>
        </is>
      </c>
      <c r="E232" t="inlineStr">
        <is>
          <t>air::urban air close to ground</t>
        </is>
      </c>
      <c r="F232" t="inlineStr">
        <is>
          <t>biosphere</t>
        </is>
      </c>
      <c r="G232" t="inlineStr">
        <is>
          <t>N2O</t>
        </is>
      </c>
    </row>
    <row r="233">
      <c r="A233" t="inlineStr">
        <is>
          <t>Ammonia</t>
        </is>
      </c>
      <c r="B233" s="7" t="n">
        <v>1.104575353133979e-06</v>
      </c>
      <c r="D233" t="inlineStr">
        <is>
          <t>kilogram</t>
        </is>
      </c>
      <c r="E233" t="inlineStr">
        <is>
          <t>air::urban air close to ground</t>
        </is>
      </c>
      <c r="F233" t="inlineStr">
        <is>
          <t>biosphere</t>
        </is>
      </c>
      <c r="G233" t="inlineStr">
        <is>
          <t>NH3</t>
        </is>
      </c>
    </row>
    <row r="234">
      <c r="A234" t="inlineStr">
        <is>
          <t>Nitrogen oxides</t>
        </is>
      </c>
      <c r="B234" s="7" t="n">
        <v>1.377456637707317e-05</v>
      </c>
      <c r="D234" t="inlineStr">
        <is>
          <t>kilogram</t>
        </is>
      </c>
      <c r="E234" t="inlineStr">
        <is>
          <t>air::urban air close to ground</t>
        </is>
      </c>
      <c r="F234" t="inlineStr">
        <is>
          <t>biosphere</t>
        </is>
      </c>
      <c r="G234" t="inlineStr">
        <is>
          <t>NOx</t>
        </is>
      </c>
    </row>
    <row r="235">
      <c r="A235" t="inlineStr">
        <is>
          <t>Particulates, &lt; 2.5 um</t>
        </is>
      </c>
      <c r="B235" s="7" t="n">
        <v>2.761438382834948e-06</v>
      </c>
      <c r="D235" t="inlineStr">
        <is>
          <t>kilogram</t>
        </is>
      </c>
      <c r="E235" t="inlineStr">
        <is>
          <t>air::urban air close to ground</t>
        </is>
      </c>
      <c r="F235" t="inlineStr">
        <is>
          <t>biosphere</t>
        </is>
      </c>
      <c r="G235" t="inlineStr">
        <is>
          <t>PM2.5</t>
        </is>
      </c>
    </row>
    <row r="236">
      <c r="A236" t="inlineStr">
        <is>
          <t>NMVOC, non-methane volatile organic compounds, unspecified origin</t>
        </is>
      </c>
      <c r="B236" s="7" t="n">
        <v>2.038983303980041e-05</v>
      </c>
      <c r="D236" t="inlineStr">
        <is>
          <t>kilogram</t>
        </is>
      </c>
      <c r="E236" t="inlineStr">
        <is>
          <t>air::urban air close to ground</t>
        </is>
      </c>
      <c r="F236" t="inlineStr">
        <is>
          <t>biosphere</t>
        </is>
      </c>
      <c r="G236" t="inlineStr">
        <is>
          <t>NMVOC</t>
        </is>
      </c>
    </row>
    <row r="237">
      <c r="A237" t="inlineStr">
        <is>
          <t>Ethane</t>
        </is>
      </c>
      <c r="B237" s="7" t="n">
        <v>1.437744637421824e-06</v>
      </c>
      <c r="D237" t="inlineStr">
        <is>
          <t>kilogram</t>
        </is>
      </c>
      <c r="E237" t="inlineStr">
        <is>
          <t>air::urban air close to ground</t>
        </is>
      </c>
      <c r="F237" t="inlineStr">
        <is>
          <t>biosphere</t>
        </is>
      </c>
      <c r="G237" t="inlineStr">
        <is>
          <t>Ethane</t>
        </is>
      </c>
    </row>
    <row r="238">
      <c r="A238" t="inlineStr">
        <is>
          <t>Propane</t>
        </is>
      </c>
      <c r="B238" s="7" t="n">
        <v>2.929573712615001e-07</v>
      </c>
      <c r="D238" t="inlineStr">
        <is>
          <t>kilogram</t>
        </is>
      </c>
      <c r="E238" t="inlineStr">
        <is>
          <t>air::urban air close to ground</t>
        </is>
      </c>
      <c r="F238" t="inlineStr">
        <is>
          <t>biosphere</t>
        </is>
      </c>
      <c r="G238" t="inlineStr">
        <is>
          <t>Propane</t>
        </is>
      </c>
    </row>
    <row r="239">
      <c r="A239" t="inlineStr">
        <is>
          <t>Butane</t>
        </is>
      </c>
      <c r="B239" s="7" t="n">
        <v>2.361687116015786e-06</v>
      </c>
      <c r="D239" t="inlineStr">
        <is>
          <t>kilogram</t>
        </is>
      </c>
      <c r="E239" t="inlineStr">
        <is>
          <t>air::urban air close to ground</t>
        </is>
      </c>
      <c r="F239" t="inlineStr">
        <is>
          <t>biosphere</t>
        </is>
      </c>
      <c r="G239" t="inlineStr">
        <is>
          <t>Butane</t>
        </is>
      </c>
    </row>
    <row r="240">
      <c r="A240" t="inlineStr">
        <is>
          <t>Pentane</t>
        </is>
      </c>
      <c r="B240" s="7" t="n">
        <v>9.690128434034234e-07</v>
      </c>
      <c r="D240" t="inlineStr">
        <is>
          <t>kilogram</t>
        </is>
      </c>
      <c r="E240" t="inlineStr">
        <is>
          <t>air::urban air close to ground</t>
        </is>
      </c>
      <c r="F240" t="inlineStr">
        <is>
          <t>biosphere</t>
        </is>
      </c>
      <c r="G240" t="inlineStr">
        <is>
          <t>Pentane</t>
        </is>
      </c>
    </row>
    <row r="241">
      <c r="A241" t="inlineStr">
        <is>
          <t>Hexane</t>
        </is>
      </c>
      <c r="B241" s="7" t="n">
        <v>7.256328734323311e-07</v>
      </c>
      <c r="D241" t="inlineStr">
        <is>
          <t>kilogram</t>
        </is>
      </c>
      <c r="E241" t="inlineStr">
        <is>
          <t>air::urban air close to ground</t>
        </is>
      </c>
      <c r="F241" t="inlineStr">
        <is>
          <t>biosphere</t>
        </is>
      </c>
      <c r="G241" t="inlineStr">
        <is>
          <t>Hexane</t>
        </is>
      </c>
    </row>
    <row r="242">
      <c r="A242" t="inlineStr">
        <is>
          <t>Cyclohexane</t>
        </is>
      </c>
      <c r="B242" s="7" t="n">
        <v>5.138021588278618e-07</v>
      </c>
      <c r="D242" t="inlineStr">
        <is>
          <t>kilogram</t>
        </is>
      </c>
      <c r="E242" t="inlineStr">
        <is>
          <t>air::urban air close to ground</t>
        </is>
      </c>
      <c r="F242" t="inlineStr">
        <is>
          <t>biosphere</t>
        </is>
      </c>
      <c r="G242" t="inlineStr">
        <is>
          <t>Cyclohexane</t>
        </is>
      </c>
    </row>
    <row r="243">
      <c r="A243" t="inlineStr">
        <is>
          <t>Heptane</t>
        </is>
      </c>
      <c r="B243" s="7" t="n">
        <v>3.335206995900156e-07</v>
      </c>
      <c r="D243" t="inlineStr">
        <is>
          <t>kilogram</t>
        </is>
      </c>
      <c r="E243" t="inlineStr">
        <is>
          <t>air::urban air close to ground</t>
        </is>
      </c>
      <c r="F243" t="inlineStr">
        <is>
          <t>biosphere</t>
        </is>
      </c>
      <c r="G243" t="inlineStr">
        <is>
          <t>Heptane</t>
        </is>
      </c>
    </row>
    <row r="244">
      <c r="A244" t="inlineStr">
        <is>
          <t>Ethene</t>
        </is>
      </c>
      <c r="B244" s="7" t="n">
        <v>3.290136631090694e-06</v>
      </c>
      <c r="D244" t="inlineStr">
        <is>
          <t>kilogram</t>
        </is>
      </c>
      <c r="E244" t="inlineStr">
        <is>
          <t>air::urban air close to ground</t>
        </is>
      </c>
      <c r="F244" t="inlineStr">
        <is>
          <t>biosphere</t>
        </is>
      </c>
      <c r="G244" t="inlineStr">
        <is>
          <t>Ethene</t>
        </is>
      </c>
    </row>
    <row r="245">
      <c r="A245" t="inlineStr">
        <is>
          <t>Propene</t>
        </is>
      </c>
      <c r="B245" s="7" t="n">
        <v>1.721687935721432e-06</v>
      </c>
      <c r="D245" t="inlineStr">
        <is>
          <t>kilogram</t>
        </is>
      </c>
      <c r="E245" t="inlineStr">
        <is>
          <t>air::urban air close to ground</t>
        </is>
      </c>
      <c r="F245" t="inlineStr">
        <is>
          <t>biosphere</t>
        </is>
      </c>
      <c r="G245" t="inlineStr">
        <is>
          <t>Propene</t>
        </is>
      </c>
    </row>
    <row r="246">
      <c r="A246" t="inlineStr">
        <is>
          <t>1-Pentene</t>
        </is>
      </c>
      <c r="B246" s="7" t="n">
        <v>4.957740129040772e-08</v>
      </c>
      <c r="D246" t="inlineStr">
        <is>
          <t>kilogram</t>
        </is>
      </c>
      <c r="E246" t="inlineStr">
        <is>
          <t>air::urban air close to ground</t>
        </is>
      </c>
      <c r="F246" t="inlineStr">
        <is>
          <t>biosphere</t>
        </is>
      </c>
      <c r="G246" t="inlineStr">
        <is>
          <t>1-Pentene</t>
        </is>
      </c>
    </row>
    <row r="247">
      <c r="A247" t="inlineStr">
        <is>
          <t>Toluene</t>
        </is>
      </c>
      <c r="B247" s="7" t="n">
        <v>4.948726056078879e-06</v>
      </c>
      <c r="D247" t="inlineStr">
        <is>
          <t>kilogram</t>
        </is>
      </c>
      <c r="E247" t="inlineStr">
        <is>
          <t>air::urban air close to ground</t>
        </is>
      </c>
      <c r="F247" t="inlineStr">
        <is>
          <t>biosphere</t>
        </is>
      </c>
      <c r="G247" t="inlineStr">
        <is>
          <t>Toluene</t>
        </is>
      </c>
    </row>
    <row r="248">
      <c r="A248" t="inlineStr">
        <is>
          <t>m-Xylene</t>
        </is>
      </c>
      <c r="B248" s="7" t="n">
        <v>2.447320809153763e-06</v>
      </c>
      <c r="D248" t="inlineStr">
        <is>
          <t>kilogram</t>
        </is>
      </c>
      <c r="E248" t="inlineStr">
        <is>
          <t>air::urban air close to ground</t>
        </is>
      </c>
      <c r="F248" t="inlineStr">
        <is>
          <t>biosphere</t>
        </is>
      </c>
      <c r="G248" t="inlineStr">
        <is>
          <t>m-Xylene</t>
        </is>
      </c>
    </row>
    <row r="249">
      <c r="A249" t="inlineStr">
        <is>
          <t>o-Xylene</t>
        </is>
      </c>
      <c r="B249" s="7" t="n">
        <v>1.018590244693831e-06</v>
      </c>
      <c r="D249" t="inlineStr">
        <is>
          <t>kilogram</t>
        </is>
      </c>
      <c r="E249" t="inlineStr">
        <is>
          <t>air::urban air close to ground</t>
        </is>
      </c>
      <c r="F249" t="inlineStr">
        <is>
          <t>biosphere</t>
        </is>
      </c>
      <c r="G249" t="inlineStr">
        <is>
          <t>o-Xylene</t>
        </is>
      </c>
    </row>
    <row r="250">
      <c r="A250" t="inlineStr">
        <is>
          <t>Formaldehyde</t>
        </is>
      </c>
      <c r="B250" s="7" t="n">
        <v>7.661962017608466e-07</v>
      </c>
      <c r="D250" t="inlineStr">
        <is>
          <t>kilogram</t>
        </is>
      </c>
      <c r="E250" t="inlineStr">
        <is>
          <t>air::urban air close to ground</t>
        </is>
      </c>
      <c r="F250" t="inlineStr">
        <is>
          <t>biosphere</t>
        </is>
      </c>
      <c r="G250" t="inlineStr">
        <is>
          <t>Formaldehyde</t>
        </is>
      </c>
    </row>
    <row r="251">
      <c r="A251" t="inlineStr">
        <is>
          <t>Acetaldehyde</t>
        </is>
      </c>
      <c r="B251" s="7" t="n">
        <v>3.380277360709617e-07</v>
      </c>
      <c r="D251" t="inlineStr">
        <is>
          <t>kilogram</t>
        </is>
      </c>
      <c r="E251" t="inlineStr">
        <is>
          <t>air::urban air close to ground</t>
        </is>
      </c>
      <c r="F251" t="inlineStr">
        <is>
          <t>biosphere</t>
        </is>
      </c>
      <c r="G251" t="inlineStr">
        <is>
          <t>Acetaldehyde</t>
        </is>
      </c>
    </row>
    <row r="252">
      <c r="A252" t="inlineStr">
        <is>
          <t>Benzaldehyde</t>
        </is>
      </c>
      <c r="B252" s="7" t="n">
        <v>9.915480258081544e-08</v>
      </c>
      <c r="D252" t="inlineStr">
        <is>
          <t>kilogram</t>
        </is>
      </c>
      <c r="E252" t="inlineStr">
        <is>
          <t>air::urban air close to ground</t>
        </is>
      </c>
      <c r="F252" t="inlineStr">
        <is>
          <t>biosphere</t>
        </is>
      </c>
      <c r="G252" t="inlineStr">
        <is>
          <t>Benzaldehyde</t>
        </is>
      </c>
    </row>
    <row r="253">
      <c r="A253" t="inlineStr">
        <is>
          <t>Acetone</t>
        </is>
      </c>
      <c r="B253" s="7" t="n">
        <v>2.749292253377155e-07</v>
      </c>
      <c r="D253" t="inlineStr">
        <is>
          <t>kilogram</t>
        </is>
      </c>
      <c r="E253" t="inlineStr">
        <is>
          <t>air::urban air close to ground</t>
        </is>
      </c>
      <c r="F253" t="inlineStr">
        <is>
          <t>biosphere</t>
        </is>
      </c>
      <c r="G253" t="inlineStr">
        <is>
          <t>Acetone</t>
        </is>
      </c>
    </row>
    <row r="254">
      <c r="A254" t="inlineStr">
        <is>
          <t>Methyl ethyl ketone</t>
        </is>
      </c>
      <c r="B254" s="7" t="n">
        <v>0</v>
      </c>
      <c r="D254" t="inlineStr">
        <is>
          <t>kilogram</t>
        </is>
      </c>
      <c r="E254" t="inlineStr">
        <is>
          <t>air::urban air close to ground</t>
        </is>
      </c>
      <c r="F254" t="inlineStr">
        <is>
          <t>biosphere</t>
        </is>
      </c>
      <c r="G254" t="inlineStr">
        <is>
          <t>Methyl ethyl ketone</t>
        </is>
      </c>
    </row>
    <row r="255">
      <c r="A255" t="inlineStr">
        <is>
          <t>Acrolein</t>
        </is>
      </c>
      <c r="B255" s="7" t="n">
        <v>8.563369313797696e-08</v>
      </c>
      <c r="D255" t="inlineStr">
        <is>
          <t>kilogram</t>
        </is>
      </c>
      <c r="E255" t="inlineStr">
        <is>
          <t>air::urban air close to ground</t>
        </is>
      </c>
      <c r="F255" t="inlineStr">
        <is>
          <t>biosphere</t>
        </is>
      </c>
      <c r="G255" t="inlineStr">
        <is>
          <t>Acrolein</t>
        </is>
      </c>
    </row>
    <row r="256">
      <c r="A256" t="inlineStr">
        <is>
          <t>Styrene</t>
        </is>
      </c>
      <c r="B256" s="7" t="n">
        <v>4.552106845755618e-07</v>
      </c>
      <c r="D256" t="inlineStr">
        <is>
          <t>kilogram</t>
        </is>
      </c>
      <c r="E256" t="inlineStr">
        <is>
          <t>air::urban air close to ground</t>
        </is>
      </c>
      <c r="F256" t="inlineStr">
        <is>
          <t>biosphere</t>
        </is>
      </c>
      <c r="G256" t="inlineStr">
        <is>
          <t>Styrene</t>
        </is>
      </c>
    </row>
    <row r="257">
      <c r="A257" t="inlineStr">
        <is>
          <t>PAH, polycyclic aromatic hydrocarbons</t>
        </is>
      </c>
      <c r="B257" s="7" t="n">
        <v>1.599898739899155e-09</v>
      </c>
      <c r="D257" t="inlineStr">
        <is>
          <t>kilogram</t>
        </is>
      </c>
      <c r="E257" t="inlineStr">
        <is>
          <t>air::urban air close to ground</t>
        </is>
      </c>
      <c r="F257" t="inlineStr">
        <is>
          <t>biosphere</t>
        </is>
      </c>
      <c r="G257" t="inlineStr">
        <is>
          <t>PAHs</t>
        </is>
      </c>
    </row>
    <row r="258">
      <c r="A258" t="inlineStr">
        <is>
          <t>Arsenic</t>
        </is>
      </c>
      <c r="B258" s="7" t="n">
        <v>1.379223051637203e-11</v>
      </c>
      <c r="D258" t="inlineStr">
        <is>
          <t>kilogram</t>
        </is>
      </c>
      <c r="E258" t="inlineStr">
        <is>
          <t>air::urban air close to ground</t>
        </is>
      </c>
      <c r="F258" t="inlineStr">
        <is>
          <t>biosphere</t>
        </is>
      </c>
      <c r="G258" t="inlineStr">
        <is>
          <t>Arsenic</t>
        </is>
      </c>
    </row>
    <row r="259">
      <c r="A259" t="inlineStr">
        <is>
          <t>Selenium</t>
        </is>
      </c>
      <c r="B259" s="7" t="n">
        <v>9.194820344248019e-12</v>
      </c>
      <c r="D259" t="inlineStr">
        <is>
          <t>kilogram</t>
        </is>
      </c>
      <c r="E259" t="inlineStr">
        <is>
          <t>air::urban air close to ground</t>
        </is>
      </c>
      <c r="F259" t="inlineStr">
        <is>
          <t>biosphere</t>
        </is>
      </c>
      <c r="G259" t="inlineStr">
        <is>
          <t>Selenium</t>
        </is>
      </c>
    </row>
    <row r="260">
      <c r="A260" t="inlineStr">
        <is>
          <t>Zinc</t>
        </is>
      </c>
      <c r="B260" s="7" t="n">
        <v>9.930405971787861e-08</v>
      </c>
      <c r="D260" t="inlineStr">
        <is>
          <t>kilogram</t>
        </is>
      </c>
      <c r="E260" t="inlineStr">
        <is>
          <t>air::urban air close to ground</t>
        </is>
      </c>
      <c r="F260" t="inlineStr">
        <is>
          <t>biosphere</t>
        </is>
      </c>
      <c r="G260" t="inlineStr">
        <is>
          <t>Zinc</t>
        </is>
      </c>
    </row>
    <row r="261">
      <c r="A261" t="inlineStr">
        <is>
          <t>Copper</t>
        </is>
      </c>
      <c r="B261" s="7" t="n">
        <v>1.930912272292084e-09</v>
      </c>
      <c r="D261" t="inlineStr">
        <is>
          <t>kilogram</t>
        </is>
      </c>
      <c r="E261" t="inlineStr">
        <is>
          <t>air::urban air close to ground</t>
        </is>
      </c>
      <c r="F261" t="inlineStr">
        <is>
          <t>biosphere</t>
        </is>
      </c>
      <c r="G261" t="inlineStr">
        <is>
          <t>Copper</t>
        </is>
      </c>
    </row>
    <row r="262">
      <c r="A262" t="inlineStr">
        <is>
          <t>Nickel</t>
        </is>
      </c>
      <c r="B262" s="7" t="n">
        <v>5.976633223761213e-10</v>
      </c>
      <c r="D262" t="inlineStr">
        <is>
          <t>kilogram</t>
        </is>
      </c>
      <c r="E262" t="inlineStr">
        <is>
          <t>air::urban air close to ground</t>
        </is>
      </c>
      <c r="F262" t="inlineStr">
        <is>
          <t>biosphere</t>
        </is>
      </c>
      <c r="G262" t="inlineStr">
        <is>
          <t>Nickel</t>
        </is>
      </c>
    </row>
    <row r="263">
      <c r="A263" t="inlineStr">
        <is>
          <t>Chromium</t>
        </is>
      </c>
      <c r="B263" s="7" t="n">
        <v>7.355856275398416e-10</v>
      </c>
      <c r="D263" t="inlineStr">
        <is>
          <t>kilogram</t>
        </is>
      </c>
      <c r="E263" t="inlineStr">
        <is>
          <t>air::urban air close to ground</t>
        </is>
      </c>
      <c r="F263" t="inlineStr">
        <is>
          <t>biosphere</t>
        </is>
      </c>
      <c r="G263" t="inlineStr">
        <is>
          <t>Chromium</t>
        </is>
      </c>
    </row>
    <row r="264">
      <c r="A264" t="inlineStr">
        <is>
          <t>Chromium VI</t>
        </is>
      </c>
      <c r="B264" s="7" t="n">
        <v>1.471171255079683e-12</v>
      </c>
      <c r="D264" t="inlineStr">
        <is>
          <t>kilogram</t>
        </is>
      </c>
      <c r="E264" t="inlineStr">
        <is>
          <t>air::urban air close to ground</t>
        </is>
      </c>
      <c r="F264" t="inlineStr">
        <is>
          <t>biosphere</t>
        </is>
      </c>
      <c r="G264" t="inlineStr">
        <is>
          <t>Chromium VI</t>
        </is>
      </c>
    </row>
    <row r="265">
      <c r="A265" t="inlineStr">
        <is>
          <t>Mercury</t>
        </is>
      </c>
      <c r="B265" s="7" t="n">
        <v>3.999746849747888e-10</v>
      </c>
      <c r="D265" t="inlineStr">
        <is>
          <t>kilogram</t>
        </is>
      </c>
      <c r="E265" t="inlineStr">
        <is>
          <t>air::urban air close to ground</t>
        </is>
      </c>
      <c r="F265" t="inlineStr">
        <is>
          <t>biosphere</t>
        </is>
      </c>
      <c r="G265" t="inlineStr">
        <is>
          <t>Mercury</t>
        </is>
      </c>
    </row>
    <row r="266">
      <c r="A266" t="inlineStr">
        <is>
          <t>Cadmium</t>
        </is>
      </c>
      <c r="B266" s="7" t="n">
        <v>4.965202985893931e-10</v>
      </c>
      <c r="D266" t="inlineStr">
        <is>
          <t>kilogram</t>
        </is>
      </c>
      <c r="E266" t="inlineStr">
        <is>
          <t>air::urban air close to ground</t>
        </is>
      </c>
      <c r="F266" t="inlineStr">
        <is>
          <t>biosphere</t>
        </is>
      </c>
      <c r="G266" t="inlineStr">
        <is>
          <t>Cadmium</t>
        </is>
      </c>
    </row>
    <row r="267">
      <c r="A267" t="inlineStr">
        <is>
          <t>treatment of road wear emissions, passenger car</t>
        </is>
      </c>
      <c r="B267" s="7" t="n">
        <v>-1.130875801752068e-05</v>
      </c>
      <c r="C267" t="inlineStr">
        <is>
          <t>RER</t>
        </is>
      </c>
      <c r="D267" t="inlineStr">
        <is>
          <t>kilogram</t>
        </is>
      </c>
      <c r="F267" t="inlineStr">
        <is>
          <t>technosphere</t>
        </is>
      </c>
      <c r="G267" t="inlineStr">
        <is>
          <t>Road wear [kg/km]</t>
        </is>
      </c>
      <c r="H267" t="inlineStr">
        <is>
          <t>road wear emissions, passenger car</t>
        </is>
      </c>
    </row>
    <row r="268">
      <c r="A268" t="inlineStr">
        <is>
          <t>treatment of tyre wear emissions, passenger car</t>
        </is>
      </c>
      <c r="B268" s="7" t="n">
        <v>-6.772802367592552e-06</v>
      </c>
      <c r="C268" t="inlineStr">
        <is>
          <t>RER</t>
        </is>
      </c>
      <c r="D268" t="inlineStr">
        <is>
          <t>kilogram</t>
        </is>
      </c>
      <c r="F268" t="inlineStr">
        <is>
          <t>technosphere</t>
        </is>
      </c>
      <c r="G268" t="inlineStr">
        <is>
          <t>Tire wear [kg/km]</t>
        </is>
      </c>
      <c r="H268" t="inlineStr">
        <is>
          <t>tyre wear emissions, passenger car</t>
        </is>
      </c>
    </row>
    <row r="269">
      <c r="A269" t="inlineStr">
        <is>
          <t>treatment of brake wear emissions, passenger car</t>
        </is>
      </c>
      <c r="B269" s="7" t="n">
        <v>-3.928489508800545e-06</v>
      </c>
      <c r="C269" t="inlineStr">
        <is>
          <t>RER</t>
        </is>
      </c>
      <c r="D269" t="inlineStr">
        <is>
          <t>kilogram</t>
        </is>
      </c>
      <c r="F269" t="inlineStr">
        <is>
          <t>technosphere</t>
        </is>
      </c>
      <c r="G269" t="inlineStr">
        <is>
          <t>Brake wear [kg/km]</t>
        </is>
      </c>
      <c r="H269" t="inlineStr">
        <is>
          <t>brake wear emissions, passenger car</t>
        </is>
      </c>
    </row>
    <row r="270"/>
    <row r="271" ht="16" customHeight="1">
      <c r="A271" s="10" t="inlineStr">
        <is>
          <t>Activity</t>
        </is>
      </c>
      <c r="B271" s="8" t="inlineStr">
        <is>
          <t>transport, Motorbike, gasoline, &gt;35kW, EURO-5</t>
        </is>
      </c>
    </row>
    <row r="272">
      <c r="A272" t="inlineStr">
        <is>
          <t>location</t>
        </is>
      </c>
      <c r="B272" t="inlineStr">
        <is>
          <t>CH</t>
        </is>
      </c>
    </row>
    <row r="273">
      <c r="A273" t="inlineStr">
        <is>
          <t>vehicle</t>
        </is>
      </c>
      <c r="B273" t="inlineStr">
        <is>
          <t>Motorbike, gasoline, &gt;35kW, EURO-5</t>
        </is>
      </c>
    </row>
    <row r="274">
      <c r="A274" t="inlineStr">
        <is>
          <t>size</t>
        </is>
      </c>
    </row>
    <row r="275">
      <c r="A275" t="inlineStr">
        <is>
          <t>year</t>
        </is>
      </c>
      <c r="B275" t="n">
        <v>2020</v>
      </c>
    </row>
    <row r="276">
      <c r="A276" t="inlineStr">
        <is>
          <t>full name</t>
        </is>
      </c>
      <c r="B276" t="inlineStr">
        <is>
          <t>Motorbike, gasoline, &gt;35kW, EURO-5 - 2020 - CH</t>
        </is>
      </c>
    </row>
    <row r="277">
      <c r="A277" t="inlineStr">
        <is>
          <t>reference product</t>
        </is>
      </c>
      <c r="B277" t="inlineStr">
        <is>
          <t>transport, Motorbike, gasoline, &gt;35kW, EURO-5</t>
        </is>
      </c>
    </row>
    <row r="278">
      <c r="A278" t="inlineStr">
        <is>
          <t>type</t>
        </is>
      </c>
      <c r="B278" t="inlineStr">
        <is>
          <t>process</t>
        </is>
      </c>
    </row>
    <row r="279">
      <c r="A279" t="inlineStr">
        <is>
          <t>unit</t>
        </is>
      </c>
      <c r="B279" t="inlineStr">
        <is>
          <t>kilometer</t>
        </is>
      </c>
    </row>
    <row r="280">
      <c r="A280" t="inlineStr">
        <is>
          <t>source</t>
        </is>
      </c>
      <c r="B280" t="inlineStr">
        <is>
          <t>Sacchi R., Bauer C. Life cycle inventories for on-road vehicles. Paul Scherrer Institut, 2021.</t>
        </is>
      </c>
    </row>
    <row r="281">
      <c r="A281" t="inlineStr">
        <is>
          <t>lifetime</t>
        </is>
      </c>
      <c r="B281" t="n">
        <v>40500</v>
      </c>
    </row>
    <row r="282">
      <c r="A282" t="inlineStr">
        <is>
          <t>passengers</t>
        </is>
      </c>
      <c r="B282" t="n">
        <v>1.1</v>
      </c>
    </row>
    <row r="283">
      <c r="A283" t="inlineStr">
        <is>
          <t>service</t>
        </is>
      </c>
      <c r="B283" t="n">
        <v>1.62</v>
      </c>
    </row>
    <row r="284">
      <c r="A284" t="inlineStr">
        <is>
          <t>battery replacement</t>
        </is>
      </c>
      <c r="B284" t="n">
        <v>0</v>
      </c>
    </row>
    <row r="285">
      <c r="A285" t="inlineStr">
        <is>
          <t>annual kilometers</t>
        </is>
      </c>
      <c r="B285" t="n">
        <v>2896</v>
      </c>
    </row>
    <row r="286">
      <c r="A286" t="inlineStr">
        <is>
          <t>curb mass</t>
        </is>
      </c>
      <c r="B286" s="2" t="n">
        <v>256.525</v>
      </c>
    </row>
    <row r="287">
      <c r="A287" t="inlineStr">
        <is>
          <t>power</t>
        </is>
      </c>
      <c r="B287" t="n">
        <v>91</v>
      </c>
    </row>
    <row r="288">
      <c r="A288" t="inlineStr">
        <is>
          <t>battery mass</t>
        </is>
      </c>
    </row>
    <row r="289">
      <c r="A289" t="inlineStr">
        <is>
          <t>electricity, low voltage</t>
        </is>
      </c>
      <c r="B289" t="n">
        <v>0</v>
      </c>
    </row>
    <row r="290">
      <c r="A290" t="inlineStr">
        <is>
          <t>tank capacity</t>
        </is>
      </c>
      <c r="B290" s="2" t="n">
        <v>159.75</v>
      </c>
    </row>
    <row r="291">
      <c r="A291" t="inlineStr">
        <is>
          <t>fuel mass</t>
        </is>
      </c>
      <c r="B291" t="n">
        <v>13.5</v>
      </c>
    </row>
    <row r="292">
      <c r="A292" t="inlineStr">
        <is>
          <t>range</t>
        </is>
      </c>
      <c r="B292" s="2" t="n">
        <v>297.3075859260589</v>
      </c>
    </row>
    <row r="293">
      <c r="A293" t="inlineStr">
        <is>
          <t>emission standard</t>
        </is>
      </c>
      <c r="B293" t="inlineStr">
        <is>
          <t>EURO-5</t>
        </is>
      </c>
    </row>
    <row r="294">
      <c r="A294" t="inlineStr">
        <is>
          <t>Glider lightweighting</t>
        </is>
      </c>
      <c r="B294" s="6" t="n">
        <v>0</v>
      </c>
    </row>
    <row r="295">
      <c r="A295" t="inlineStr">
        <is>
          <t>comment</t>
        </is>
      </c>
      <c r="B295" t="inlineStr">
        <is>
          <t>Power: 91 kW. Lifetime: 40500 km. Annual kilometers: 2896 km. Number of passengers: 1.1. Curb mass: 256.5 kg. Lightweighting of glider: 0%. Emission standard: EURO-5. Service visits throughout lifetime: 1.6. Range: 297 km. Fuel tank capacity: 159.8 kWh. Fuel mass: 13.5 kg. Documentation: Life-cycle inventories for on-road vehicles, Sacchi R. (PSI), Bauer C. (PSI), 2021. Sacchi R., Bauer C. Life cycle inventories for on-road vehicles. Paul Scherrer Institut, 2021.</t>
        </is>
      </c>
    </row>
    <row r="296" ht="16" customHeight="1">
      <c r="A296" s="10" t="inlineStr">
        <is>
          <t>Exchanges</t>
        </is>
      </c>
    </row>
    <row r="297">
      <c r="A297" t="inlineStr">
        <is>
          <t>name</t>
        </is>
      </c>
      <c r="B297" t="inlineStr">
        <is>
          <t>amount</t>
        </is>
      </c>
      <c r="C297" t="inlineStr">
        <is>
          <t>location</t>
        </is>
      </c>
      <c r="D297" t="inlineStr">
        <is>
          <t>unit</t>
        </is>
      </c>
      <c r="E297" t="inlineStr">
        <is>
          <t>categories</t>
        </is>
      </c>
      <c r="F297" t="inlineStr">
        <is>
          <t>type</t>
        </is>
      </c>
      <c r="G297" t="inlineStr">
        <is>
          <t>comment</t>
        </is>
      </c>
      <c r="H297" t="inlineStr">
        <is>
          <t>reference product</t>
        </is>
      </c>
    </row>
    <row r="298">
      <c r="A298" t="inlineStr">
        <is>
          <t>transport, Motorbike, gasoline, &gt;35kW, EURO-5</t>
        </is>
      </c>
      <c r="B298" t="n">
        <v>1</v>
      </c>
      <c r="C298" t="inlineStr">
        <is>
          <t>CH</t>
        </is>
      </c>
      <c r="D298" t="inlineStr">
        <is>
          <t>kilometer</t>
        </is>
      </c>
      <c r="F298" t="inlineStr">
        <is>
          <t>production</t>
        </is>
      </c>
      <c r="H298" t="inlineStr">
        <is>
          <t>transport, Motorbike, gasoline, &gt;35kW, EURO-5</t>
        </is>
      </c>
    </row>
    <row r="299">
      <c r="A299" t="inlineStr">
        <is>
          <t>Motorbike, gasoline, &gt;35kW, EURO-5</t>
        </is>
      </c>
      <c r="B299" s="7" t="n">
        <v>2.469135802469136e-05</v>
      </c>
      <c r="C299" t="inlineStr">
        <is>
          <t>CH</t>
        </is>
      </c>
      <c r="D299" t="inlineStr">
        <is>
          <t>unit</t>
        </is>
      </c>
      <c r="F299" t="inlineStr">
        <is>
          <t>technosphere</t>
        </is>
      </c>
      <c r="H299" t="inlineStr">
        <is>
          <t>Motorbike, gasoline, &gt;35kW, EURO-5</t>
        </is>
      </c>
    </row>
    <row r="300">
      <c r="A300" t="inlineStr">
        <is>
          <t>road construction</t>
        </is>
      </c>
      <c r="B300" s="7" t="n">
        <v>0.000185278425</v>
      </c>
      <c r="C300" t="inlineStr">
        <is>
          <t>CH</t>
        </is>
      </c>
      <c r="D300" t="inlineStr">
        <is>
          <t>meter-year</t>
        </is>
      </c>
      <c r="F300" t="inlineStr">
        <is>
          <t>technosphere</t>
        </is>
      </c>
      <c r="G300" t="inlineStr">
        <is>
          <t>Road/track use [m*year/vkm or pkm]</t>
        </is>
      </c>
      <c r="H300" t="inlineStr">
        <is>
          <t>road</t>
        </is>
      </c>
    </row>
    <row r="301">
      <c r="A301" t="inlineStr">
        <is>
          <t>road maintenance</t>
        </is>
      </c>
      <c r="B301" s="7" t="n">
        <v>0.00129</v>
      </c>
      <c r="C301" t="inlineStr">
        <is>
          <t>CH</t>
        </is>
      </c>
      <c r="D301" t="inlineStr">
        <is>
          <t>meter-year</t>
        </is>
      </c>
      <c r="F301" t="inlineStr">
        <is>
          <t>technosphere</t>
        </is>
      </c>
      <c r="G301" t="inlineStr">
        <is>
          <t>Road maintenance [m*year/vkm]</t>
        </is>
      </c>
      <c r="H301" t="inlineStr">
        <is>
          <t>road maintenance</t>
        </is>
      </c>
    </row>
    <row r="302">
      <c r="A302" t="inlineStr">
        <is>
          <t>maintenance, motor scooter</t>
        </is>
      </c>
      <c r="B302" s="7" t="n">
        <v>4e-05</v>
      </c>
      <c r="C302" t="inlineStr">
        <is>
          <t>CH</t>
        </is>
      </c>
      <c r="D302" t="inlineStr">
        <is>
          <t>unit</t>
        </is>
      </c>
      <c r="F302" t="inlineStr">
        <is>
          <t>technosphere</t>
        </is>
      </c>
      <c r="G302" t="inlineStr">
        <is>
          <t>Servicing [unit]</t>
        </is>
      </c>
      <c r="H302" t="inlineStr">
        <is>
          <t>maintenance, motor scooter</t>
        </is>
      </c>
    </row>
    <row r="303">
      <c r="A303" t="inlineStr">
        <is>
          <t>fuel supply for gasoline vehicles</t>
        </is>
      </c>
      <c r="B303" s="7" t="n">
        <v>0.04540751948171776</v>
      </c>
      <c r="C303" t="inlineStr">
        <is>
          <t>CH</t>
        </is>
      </c>
      <c r="D303" t="inlineStr">
        <is>
          <t>kilogram</t>
        </is>
      </c>
      <c r="F303" t="inlineStr">
        <is>
          <t>technosphere</t>
        </is>
      </c>
      <c r="G303" t="inlineStr">
        <is>
          <t>Gasoline consumption [MJ/km]</t>
        </is>
      </c>
      <c r="H303" t="inlineStr">
        <is>
          <t>gasoline blend</t>
        </is>
      </c>
    </row>
    <row r="304">
      <c r="A304" t="inlineStr">
        <is>
          <t>Carbon dioxide, fossil</t>
        </is>
      </c>
      <c r="B304" s="7" t="n">
        <v>0.1408686558385227</v>
      </c>
      <c r="D304" t="inlineStr">
        <is>
          <t>kilogram</t>
        </is>
      </c>
      <c r="E304" t="inlineStr">
        <is>
          <t>air::urban air close to ground</t>
        </is>
      </c>
      <c r="F304" t="inlineStr">
        <is>
          <t>biosphere</t>
        </is>
      </c>
      <c r="G304" t="inlineStr">
        <is>
          <t>CO2</t>
        </is>
      </c>
    </row>
    <row r="305">
      <c r="A305" t="inlineStr">
        <is>
          <t>Carbon dioxide, from soil or biomass stock</t>
        </is>
      </c>
      <c r="B305" s="11" t="n">
        <v>0.001710955334071125</v>
      </c>
      <c r="D305" t="inlineStr">
        <is>
          <t>kilogram</t>
        </is>
      </c>
      <c r="E305" t="inlineStr">
        <is>
          <t>air::urban air close to ground</t>
        </is>
      </c>
      <c r="F305" t="inlineStr">
        <is>
          <t>biosphere</t>
        </is>
      </c>
      <c r="G305" t="inlineStr">
        <is>
          <t>CO2, bio</t>
        </is>
      </c>
    </row>
    <row r="306">
      <c r="A306" t="inlineStr">
        <is>
          <t>Sulfur dioxide</t>
        </is>
      </c>
      <c r="B306" s="7" t="n">
        <v>7.265203117074842e-07</v>
      </c>
      <c r="D306" t="inlineStr">
        <is>
          <t>kilogram</t>
        </is>
      </c>
      <c r="E306" t="inlineStr">
        <is>
          <t>air::urban air close to ground</t>
        </is>
      </c>
      <c r="F306" t="inlineStr">
        <is>
          <t>biosphere</t>
        </is>
      </c>
      <c r="G306" t="inlineStr">
        <is>
          <t>SO2</t>
        </is>
      </c>
    </row>
    <row r="307">
      <c r="A307" t="inlineStr">
        <is>
          <t>Benzene</t>
        </is>
      </c>
      <c r="B307" s="7" t="n">
        <v>1.47401383158188e-06</v>
      </c>
      <c r="D307" t="inlineStr">
        <is>
          <t>kilogram</t>
        </is>
      </c>
      <c r="E307" t="inlineStr">
        <is>
          <t>air::urban air close to ground</t>
        </is>
      </c>
      <c r="F307" t="inlineStr">
        <is>
          <t>biosphere</t>
        </is>
      </c>
      <c r="G307" t="inlineStr">
        <is>
          <t>Benzene</t>
        </is>
      </c>
    </row>
    <row r="308">
      <c r="A308" t="inlineStr">
        <is>
          <t>Methane, fossil</t>
        </is>
      </c>
      <c r="B308" s="7" t="n">
        <v>2.077706239245015e-05</v>
      </c>
      <c r="D308" t="inlineStr">
        <is>
          <t>kilogram</t>
        </is>
      </c>
      <c r="E308" t="inlineStr">
        <is>
          <t>air::urban air close to ground</t>
        </is>
      </c>
      <c r="F308" t="inlineStr">
        <is>
          <t>biosphere</t>
        </is>
      </c>
      <c r="G308" t="inlineStr">
        <is>
          <t>CH4</t>
        </is>
      </c>
    </row>
    <row r="309">
      <c r="A309" t="inlineStr">
        <is>
          <t>Carbon monoxide, fossil</t>
        </is>
      </c>
      <c r="B309" s="7" t="n">
        <v>0.0001614302999486508</v>
      </c>
      <c r="D309" t="inlineStr">
        <is>
          <t>kilogram</t>
        </is>
      </c>
      <c r="E309" t="inlineStr">
        <is>
          <t>air::urban air close to ground</t>
        </is>
      </c>
      <c r="F309" t="inlineStr">
        <is>
          <t>biosphere</t>
        </is>
      </c>
      <c r="G309" t="inlineStr">
        <is>
          <t>CO</t>
        </is>
      </c>
    </row>
    <row r="310">
      <c r="A310" t="inlineStr">
        <is>
          <t>Dinitrogen monoxide</t>
        </is>
      </c>
      <c r="B310" s="7" t="n">
        <v>1.093529599602639e-06</v>
      </c>
      <c r="D310" t="inlineStr">
        <is>
          <t>kilogram</t>
        </is>
      </c>
      <c r="E310" t="inlineStr">
        <is>
          <t>air::urban air close to ground</t>
        </is>
      </c>
      <c r="F310" t="inlineStr">
        <is>
          <t>biosphere</t>
        </is>
      </c>
      <c r="G310" t="inlineStr">
        <is>
          <t>N2O</t>
        </is>
      </c>
    </row>
    <row r="311">
      <c r="A311" t="inlineStr">
        <is>
          <t>Ammonia</t>
        </is>
      </c>
      <c r="B311" s="7" t="n">
        <v>1.093529599602639e-06</v>
      </c>
      <c r="D311" t="inlineStr">
        <is>
          <t>kilogram</t>
        </is>
      </c>
      <c r="E311" t="inlineStr">
        <is>
          <t>air::urban air close to ground</t>
        </is>
      </c>
      <c r="F311" t="inlineStr">
        <is>
          <t>biosphere</t>
        </is>
      </c>
      <c r="G311" t="inlineStr">
        <is>
          <t>NH3</t>
        </is>
      </c>
    </row>
    <row r="312">
      <c r="A312" t="inlineStr">
        <is>
          <t>Nitrogen oxides</t>
        </is>
      </c>
      <c r="B312" s="7" t="n">
        <v>9.20400800284587e-06</v>
      </c>
      <c r="D312" t="inlineStr">
        <is>
          <t>kilogram</t>
        </is>
      </c>
      <c r="E312" t="inlineStr">
        <is>
          <t>air::urban air close to ground</t>
        </is>
      </c>
      <c r="F312" t="inlineStr">
        <is>
          <t>biosphere</t>
        </is>
      </c>
      <c r="G312" t="inlineStr">
        <is>
          <t>NOx</t>
        </is>
      </c>
    </row>
    <row r="313">
      <c r="A313" t="inlineStr">
        <is>
          <t>Particulates, &lt; 2.5 um</t>
        </is>
      </c>
      <c r="B313" s="7" t="n">
        <v>2.733823999006598e-06</v>
      </c>
      <c r="D313" t="inlineStr">
        <is>
          <t>kilogram</t>
        </is>
      </c>
      <c r="E313" t="inlineStr">
        <is>
          <t>air::urban air close to ground</t>
        </is>
      </c>
      <c r="F313" t="inlineStr">
        <is>
          <t>biosphere</t>
        </is>
      </c>
      <c r="G313" t="inlineStr">
        <is>
          <t>PM2.5</t>
        </is>
      </c>
    </row>
    <row r="314">
      <c r="A314" t="inlineStr">
        <is>
          <t>NMVOC, non-methane volatile organic compounds, unspecified origin</t>
        </is>
      </c>
      <c r="B314" s="7" t="n">
        <v>1.18866997755373e-05</v>
      </c>
      <c r="D314" t="inlineStr">
        <is>
          <t>kilogram</t>
        </is>
      </c>
      <c r="E314" t="inlineStr">
        <is>
          <t>air::urban air close to ground</t>
        </is>
      </c>
      <c r="F314" t="inlineStr">
        <is>
          <t>biosphere</t>
        </is>
      </c>
      <c r="G314" t="inlineStr">
        <is>
          <t>NMVOC</t>
        </is>
      </c>
    </row>
    <row r="315">
      <c r="A315" t="inlineStr">
        <is>
          <t>Ethane</t>
        </is>
      </c>
      <c r="B315" s="7" t="n">
        <v>8.381647277622453e-07</v>
      </c>
      <c r="D315" t="inlineStr">
        <is>
          <t>kilogram</t>
        </is>
      </c>
      <c r="E315" t="inlineStr">
        <is>
          <t>air::urban air close to ground</t>
        </is>
      </c>
      <c r="F315" t="inlineStr">
        <is>
          <t>biosphere</t>
        </is>
      </c>
      <c r="G315" t="inlineStr">
        <is>
          <t>Ethane</t>
        </is>
      </c>
    </row>
    <row r="316">
      <c r="A316" t="inlineStr">
        <is>
          <t>Propane</t>
        </is>
      </c>
      <c r="B316" s="7" t="n">
        <v>1.707859163151911e-07</v>
      </c>
      <c r="D316" t="inlineStr">
        <is>
          <t>kilogram</t>
        </is>
      </c>
      <c r="E316" t="inlineStr">
        <is>
          <t>air::urban air close to ground</t>
        </is>
      </c>
      <c r="F316" t="inlineStr">
        <is>
          <t>biosphere</t>
        </is>
      </c>
      <c r="G316" t="inlineStr">
        <is>
          <t>Propane</t>
        </is>
      </c>
    </row>
    <row r="317">
      <c r="A317" t="inlineStr">
        <is>
          <t>Butane</t>
        </is>
      </c>
      <c r="B317" s="7" t="n">
        <v>1.376797233064002e-06</v>
      </c>
      <c r="D317" t="inlineStr">
        <is>
          <t>kilogram</t>
        </is>
      </c>
      <c r="E317" t="inlineStr">
        <is>
          <t>air::urban air close to ground</t>
        </is>
      </c>
      <c r="F317" t="inlineStr">
        <is>
          <t>biosphere</t>
        </is>
      </c>
      <c r="G317" t="inlineStr">
        <is>
          <t>Butane</t>
        </is>
      </c>
    </row>
    <row r="318">
      <c r="A318" t="inlineStr">
        <is>
          <t>Pentane</t>
        </is>
      </c>
      <c r="B318" s="7" t="n">
        <v>5.649072616579397e-07</v>
      </c>
      <c r="D318" t="inlineStr">
        <is>
          <t>kilogram</t>
        </is>
      </c>
      <c r="E318" t="inlineStr">
        <is>
          <t>air::urban air close to ground</t>
        </is>
      </c>
      <c r="F318" t="inlineStr">
        <is>
          <t>biosphere</t>
        </is>
      </c>
      <c r="G318" t="inlineStr">
        <is>
          <t>Pentane</t>
        </is>
      </c>
    </row>
    <row r="319">
      <c r="A319" t="inlineStr">
        <is>
          <t>Hexane</t>
        </is>
      </c>
      <c r="B319" s="7" t="n">
        <v>4.230235773345502e-07</v>
      </c>
      <c r="D319" t="inlineStr">
        <is>
          <t>kilogram</t>
        </is>
      </c>
      <c r="E319" t="inlineStr">
        <is>
          <t>air::urban air close to ground</t>
        </is>
      </c>
      <c r="F319" t="inlineStr">
        <is>
          <t>biosphere</t>
        </is>
      </c>
      <c r="G319" t="inlineStr">
        <is>
          <t>Hexane</t>
        </is>
      </c>
    </row>
    <row r="320">
      <c r="A320" t="inlineStr">
        <is>
          <t>Cyclohexane</t>
        </is>
      </c>
      <c r="B320" s="7" t="n">
        <v>2.99532222460489e-07</v>
      </c>
      <c r="D320" t="inlineStr">
        <is>
          <t>kilogram</t>
        </is>
      </c>
      <c r="E320" t="inlineStr">
        <is>
          <t>air::urban air close to ground</t>
        </is>
      </c>
      <c r="F320" t="inlineStr">
        <is>
          <t>biosphere</t>
        </is>
      </c>
      <c r="G320" t="inlineStr">
        <is>
          <t>Cyclohexane</t>
        </is>
      </c>
    </row>
    <row r="321">
      <c r="A321" t="inlineStr">
        <is>
          <t>Heptane</t>
        </is>
      </c>
      <c r="B321" s="7" t="n">
        <v>1.94433197035756e-07</v>
      </c>
      <c r="D321" t="inlineStr">
        <is>
          <t>kilogram</t>
        </is>
      </c>
      <c r="E321" t="inlineStr">
        <is>
          <t>air::urban air close to ground</t>
        </is>
      </c>
      <c r="F321" t="inlineStr">
        <is>
          <t>biosphere</t>
        </is>
      </c>
      <c r="G321" t="inlineStr">
        <is>
          <t>Heptane</t>
        </is>
      </c>
    </row>
    <row r="322">
      <c r="A322" t="inlineStr">
        <is>
          <t>Ethene</t>
        </is>
      </c>
      <c r="B322" s="7" t="n">
        <v>1.918057214001376e-06</v>
      </c>
      <c r="D322" t="inlineStr">
        <is>
          <t>kilogram</t>
        </is>
      </c>
      <c r="E322" t="inlineStr">
        <is>
          <t>air::urban air close to ground</t>
        </is>
      </c>
      <c r="F322" t="inlineStr">
        <is>
          <t>biosphere</t>
        </is>
      </c>
      <c r="G322" t="inlineStr">
        <is>
          <t>Ethene</t>
        </is>
      </c>
    </row>
    <row r="323">
      <c r="A323" t="inlineStr">
        <is>
          <t>Propene</t>
        </is>
      </c>
      <c r="B323" s="7" t="n">
        <v>1.0036956928062e-06</v>
      </c>
      <c r="D323" t="inlineStr">
        <is>
          <t>kilogram</t>
        </is>
      </c>
      <c r="E323" t="inlineStr">
        <is>
          <t>air::urban air close to ground</t>
        </is>
      </c>
      <c r="F323" t="inlineStr">
        <is>
          <t>biosphere</t>
        </is>
      </c>
      <c r="G323" t="inlineStr">
        <is>
          <t>Propene</t>
        </is>
      </c>
    </row>
    <row r="324">
      <c r="A324" t="inlineStr">
        <is>
          <t>1-Pentene</t>
        </is>
      </c>
      <c r="B324" s="7" t="n">
        <v>2.890223199180157e-08</v>
      </c>
      <c r="D324" t="inlineStr">
        <is>
          <t>kilogram</t>
        </is>
      </c>
      <c r="E324" t="inlineStr">
        <is>
          <t>air::urban air close to ground</t>
        </is>
      </c>
      <c r="F324" t="inlineStr">
        <is>
          <t>biosphere</t>
        </is>
      </c>
      <c r="G324" t="inlineStr">
        <is>
          <t>1-Pentene</t>
        </is>
      </c>
    </row>
    <row r="325">
      <c r="A325" t="inlineStr">
        <is>
          <t>Toluene</t>
        </is>
      </c>
      <c r="B325" s="7" t="n">
        <v>2.884968247908919e-06</v>
      </c>
      <c r="D325" t="inlineStr">
        <is>
          <t>kilogram</t>
        </is>
      </c>
      <c r="E325" t="inlineStr">
        <is>
          <t>air::urban air close to ground</t>
        </is>
      </c>
      <c r="F325" t="inlineStr">
        <is>
          <t>biosphere</t>
        </is>
      </c>
      <c r="G325" t="inlineStr">
        <is>
          <t>Toluene</t>
        </is>
      </c>
    </row>
    <row r="326">
      <c r="A326" t="inlineStr">
        <is>
          <t>m-Xylene</t>
        </is>
      </c>
      <c r="B326" s="7" t="n">
        <v>1.42671927014075e-06</v>
      </c>
      <c r="D326" t="inlineStr">
        <is>
          <t>kilogram</t>
        </is>
      </c>
      <c r="E326" t="inlineStr">
        <is>
          <t>air::urban air close to ground</t>
        </is>
      </c>
      <c r="F326" t="inlineStr">
        <is>
          <t>biosphere</t>
        </is>
      </c>
      <c r="G326" t="inlineStr">
        <is>
          <t>m-Xylene</t>
        </is>
      </c>
    </row>
    <row r="327">
      <c r="A327" t="inlineStr">
        <is>
          <t>o-Xylene</t>
        </is>
      </c>
      <c r="B327" s="7" t="n">
        <v>5.938094936497412e-07</v>
      </c>
      <c r="D327" t="inlineStr">
        <is>
          <t>kilogram</t>
        </is>
      </c>
      <c r="E327" t="inlineStr">
        <is>
          <t>air::urban air close to ground</t>
        </is>
      </c>
      <c r="F327" t="inlineStr">
        <is>
          <t>biosphere</t>
        </is>
      </c>
      <c r="G327" t="inlineStr">
        <is>
          <t>o-Xylene</t>
        </is>
      </c>
    </row>
    <row r="328">
      <c r="A328" t="inlineStr">
        <is>
          <t>Formaldehyde</t>
        </is>
      </c>
      <c r="B328" s="7" t="n">
        <v>4.466708580551151e-07</v>
      </c>
      <c r="D328" t="inlineStr">
        <is>
          <t>kilogram</t>
        </is>
      </c>
      <c r="E328" t="inlineStr">
        <is>
          <t>air::urban air close to ground</t>
        </is>
      </c>
      <c r="F328" t="inlineStr">
        <is>
          <t>biosphere</t>
        </is>
      </c>
      <c r="G328" t="inlineStr">
        <is>
          <t>Formaldehyde</t>
        </is>
      </c>
    </row>
    <row r="329">
      <c r="A329" t="inlineStr">
        <is>
          <t>Acetaldehyde</t>
        </is>
      </c>
      <c r="B329" s="7" t="n">
        <v>1.970606726713743e-07</v>
      </c>
      <c r="D329" t="inlineStr">
        <is>
          <t>kilogram</t>
        </is>
      </c>
      <c r="E329" t="inlineStr">
        <is>
          <t>air::urban air close to ground</t>
        </is>
      </c>
      <c r="F329" t="inlineStr">
        <is>
          <t>biosphere</t>
        </is>
      </c>
      <c r="G329" t="inlineStr">
        <is>
          <t>Acetaldehyde</t>
        </is>
      </c>
    </row>
    <row r="330">
      <c r="A330" t="inlineStr">
        <is>
          <t>Benzaldehyde</t>
        </is>
      </c>
      <c r="B330" s="7" t="n">
        <v>5.780446398360314e-08</v>
      </c>
      <c r="D330" t="inlineStr">
        <is>
          <t>kilogram</t>
        </is>
      </c>
      <c r="E330" t="inlineStr">
        <is>
          <t>air::urban air close to ground</t>
        </is>
      </c>
      <c r="F330" t="inlineStr">
        <is>
          <t>biosphere</t>
        </is>
      </c>
      <c r="G330" t="inlineStr">
        <is>
          <t>Benzaldehyde</t>
        </is>
      </c>
    </row>
    <row r="331">
      <c r="A331" t="inlineStr">
        <is>
          <t>Acetone</t>
        </is>
      </c>
      <c r="B331" s="7" t="n">
        <v>1.602760137727178e-07</v>
      </c>
      <c r="D331" t="inlineStr">
        <is>
          <t>kilogram</t>
        </is>
      </c>
      <c r="E331" t="inlineStr">
        <is>
          <t>air::urban air close to ground</t>
        </is>
      </c>
      <c r="F331" t="inlineStr">
        <is>
          <t>biosphere</t>
        </is>
      </c>
      <c r="G331" t="inlineStr">
        <is>
          <t>Acetone</t>
        </is>
      </c>
    </row>
    <row r="332">
      <c r="A332" t="inlineStr">
        <is>
          <t>Methyl ethyl ketone</t>
        </is>
      </c>
      <c r="B332" s="7" t="n">
        <v>0</v>
      </c>
      <c r="D332" t="inlineStr">
        <is>
          <t>kilogram</t>
        </is>
      </c>
      <c r="E332" t="inlineStr">
        <is>
          <t>air::urban air close to ground</t>
        </is>
      </c>
      <c r="F332" t="inlineStr">
        <is>
          <t>biosphere</t>
        </is>
      </c>
      <c r="G332" t="inlineStr">
        <is>
          <t>Methyl ethyl ketone</t>
        </is>
      </c>
    </row>
    <row r="333">
      <c r="A333" t="inlineStr">
        <is>
          <t>Acrolein</t>
        </is>
      </c>
      <c r="B333" s="7" t="n">
        <v>4.992203707674815e-08</v>
      </c>
      <c r="D333" t="inlineStr">
        <is>
          <t>kilogram</t>
        </is>
      </c>
      <c r="E333" t="inlineStr">
        <is>
          <t>air::urban air close to ground</t>
        </is>
      </c>
      <c r="F333" t="inlineStr">
        <is>
          <t>biosphere</t>
        </is>
      </c>
      <c r="G333" t="inlineStr">
        <is>
          <t>Acrolein</t>
        </is>
      </c>
    </row>
    <row r="334">
      <c r="A334" t="inlineStr">
        <is>
          <t>Styrene</t>
        </is>
      </c>
      <c r="B334" s="7" t="n">
        <v>2.653750391974508e-07</v>
      </c>
      <c r="D334" t="inlineStr">
        <is>
          <t>kilogram</t>
        </is>
      </c>
      <c r="E334" t="inlineStr">
        <is>
          <t>air::urban air close to ground</t>
        </is>
      </c>
      <c r="F334" t="inlineStr">
        <is>
          <t>biosphere</t>
        </is>
      </c>
      <c r="G334" t="inlineStr">
        <is>
          <t>Styrene</t>
        </is>
      </c>
    </row>
    <row r="335">
      <c r="A335" t="inlineStr">
        <is>
          <t>PAH, polycyclic aromatic hydrocarbons</t>
        </is>
      </c>
      <c r="B335" s="7" t="n">
        <v>1.583899752500164e-09</v>
      </c>
      <c r="D335" t="inlineStr">
        <is>
          <t>kilogram</t>
        </is>
      </c>
      <c r="E335" t="inlineStr">
        <is>
          <t>air::urban air close to ground</t>
        </is>
      </c>
      <c r="F335" t="inlineStr">
        <is>
          <t>biosphere</t>
        </is>
      </c>
      <c r="G335" t="inlineStr">
        <is>
          <t>PAHs</t>
        </is>
      </c>
    </row>
    <row r="336">
      <c r="A336" t="inlineStr">
        <is>
          <t>Arsenic</t>
        </is>
      </c>
      <c r="B336" s="7" t="n">
        <v>1.365430821120831e-11</v>
      </c>
      <c r="D336" t="inlineStr">
        <is>
          <t>kilogram</t>
        </is>
      </c>
      <c r="E336" t="inlineStr">
        <is>
          <t>air::urban air close to ground</t>
        </is>
      </c>
      <c r="F336" t="inlineStr">
        <is>
          <t>biosphere</t>
        </is>
      </c>
      <c r="G336" t="inlineStr">
        <is>
          <t>Arsenic</t>
        </is>
      </c>
    </row>
    <row r="337">
      <c r="A337" t="inlineStr">
        <is>
          <t>Selenium</t>
        </is>
      </c>
      <c r="B337" s="7" t="n">
        <v>9.102872140805539e-12</v>
      </c>
      <c r="D337" t="inlineStr">
        <is>
          <t>kilogram</t>
        </is>
      </c>
      <c r="E337" t="inlineStr">
        <is>
          <t>air::urban air close to ground</t>
        </is>
      </c>
      <c r="F337" t="inlineStr">
        <is>
          <t>biosphere</t>
        </is>
      </c>
      <c r="G337" t="inlineStr">
        <is>
          <t>Selenium</t>
        </is>
      </c>
    </row>
    <row r="338">
      <c r="A338" t="inlineStr">
        <is>
          <t>Zinc</t>
        </is>
      </c>
      <c r="B338" s="7" t="n">
        <v>9.831101912069983e-08</v>
      </c>
      <c r="D338" t="inlineStr">
        <is>
          <t>kilogram</t>
        </is>
      </c>
      <c r="E338" t="inlineStr">
        <is>
          <t>air::urban air close to ground</t>
        </is>
      </c>
      <c r="F338" t="inlineStr">
        <is>
          <t>biosphere</t>
        </is>
      </c>
      <c r="G338" t="inlineStr">
        <is>
          <t>Zinc</t>
        </is>
      </c>
    </row>
    <row r="339">
      <c r="A339" t="inlineStr">
        <is>
          <t>Copper</t>
        </is>
      </c>
      <c r="B339" s="7" t="n">
        <v>1.911603149569163e-09</v>
      </c>
      <c r="D339" t="inlineStr">
        <is>
          <t>kilogram</t>
        </is>
      </c>
      <c r="E339" t="inlineStr">
        <is>
          <t>air::urban air close to ground</t>
        </is>
      </c>
      <c r="F339" t="inlineStr">
        <is>
          <t>biosphere</t>
        </is>
      </c>
      <c r="G339" t="inlineStr">
        <is>
          <t>Copper</t>
        </is>
      </c>
    </row>
    <row r="340">
      <c r="A340" t="inlineStr">
        <is>
          <t>Nickel</t>
        </is>
      </c>
      <c r="B340" s="7" t="n">
        <v>5.9168668915236e-10</v>
      </c>
      <c r="D340" t="inlineStr">
        <is>
          <t>kilogram</t>
        </is>
      </c>
      <c r="E340" t="inlineStr">
        <is>
          <t>air::urban air close to ground</t>
        </is>
      </c>
      <c r="F340" t="inlineStr">
        <is>
          <t>biosphere</t>
        </is>
      </c>
      <c r="G340" t="inlineStr">
        <is>
          <t>Nickel</t>
        </is>
      </c>
    </row>
    <row r="341">
      <c r="A341" t="inlineStr">
        <is>
          <t>Chromium</t>
        </is>
      </c>
      <c r="B341" s="7" t="n">
        <v>7.282297712644432e-10</v>
      </c>
      <c r="D341" t="inlineStr">
        <is>
          <t>kilogram</t>
        </is>
      </c>
      <c r="E341" t="inlineStr">
        <is>
          <t>air::urban air close to ground</t>
        </is>
      </c>
      <c r="F341" t="inlineStr">
        <is>
          <t>biosphere</t>
        </is>
      </c>
      <c r="G341" t="inlineStr">
        <is>
          <t>Chromium</t>
        </is>
      </c>
    </row>
    <row r="342">
      <c r="A342" t="inlineStr">
        <is>
          <t>Chromium VI</t>
        </is>
      </c>
      <c r="B342" s="7" t="n">
        <v>1.456459542528886e-12</v>
      </c>
      <c r="D342" t="inlineStr">
        <is>
          <t>kilogram</t>
        </is>
      </c>
      <c r="E342" t="inlineStr">
        <is>
          <t>air::urban air close to ground</t>
        </is>
      </c>
      <c r="F342" t="inlineStr">
        <is>
          <t>biosphere</t>
        </is>
      </c>
      <c r="G342" t="inlineStr">
        <is>
          <t>Chromium VI</t>
        </is>
      </c>
    </row>
    <row r="343">
      <c r="A343" t="inlineStr">
        <is>
          <t>Mercury</t>
        </is>
      </c>
      <c r="B343" s="7" t="n">
        <v>3.959749381250409e-10</v>
      </c>
      <c r="D343" t="inlineStr">
        <is>
          <t>kilogram</t>
        </is>
      </c>
      <c r="E343" t="inlineStr">
        <is>
          <t>air::urban air close to ground</t>
        </is>
      </c>
      <c r="F343" t="inlineStr">
        <is>
          <t>biosphere</t>
        </is>
      </c>
      <c r="G343" t="inlineStr">
        <is>
          <t>Mercury</t>
        </is>
      </c>
    </row>
    <row r="344">
      <c r="A344" t="inlineStr">
        <is>
          <t>Cadmium</t>
        </is>
      </c>
      <c r="B344" s="7" t="n">
        <v>4.915550956034992e-10</v>
      </c>
      <c r="D344" t="inlineStr">
        <is>
          <t>kilogram</t>
        </is>
      </c>
      <c r="E344" t="inlineStr">
        <is>
          <t>air::urban air close to ground</t>
        </is>
      </c>
      <c r="F344" t="inlineStr">
        <is>
          <t>biosphere</t>
        </is>
      </c>
      <c r="G344" t="inlineStr">
        <is>
          <t>Cadmium</t>
        </is>
      </c>
    </row>
    <row r="345">
      <c r="A345" t="inlineStr">
        <is>
          <t>treatment of road wear emissions, passenger car</t>
        </is>
      </c>
      <c r="B345" s="7" t="n">
        <v>-1.125080814220631e-05</v>
      </c>
      <c r="C345" t="inlineStr">
        <is>
          <t>RER</t>
        </is>
      </c>
      <c r="D345" t="inlineStr">
        <is>
          <t>kilogram</t>
        </is>
      </c>
      <c r="F345" t="inlineStr">
        <is>
          <t>technosphere</t>
        </is>
      </c>
      <c r="G345" t="inlineStr">
        <is>
          <t>Road wear [kg/km]</t>
        </is>
      </c>
      <c r="H345" t="inlineStr">
        <is>
          <t>road wear emissions, passenger car</t>
        </is>
      </c>
    </row>
    <row r="346">
      <c r="A346" t="inlineStr">
        <is>
          <t>treatment of tyre wear emissions, passenger car</t>
        </is>
      </c>
      <c r="B346" s="7" t="n">
        <v>-6.75147414813019e-06</v>
      </c>
      <c r="C346" t="inlineStr">
        <is>
          <t>RER</t>
        </is>
      </c>
      <c r="D346" t="inlineStr">
        <is>
          <t>kilogram</t>
        </is>
      </c>
      <c r="F346" t="inlineStr">
        <is>
          <t>technosphere</t>
        </is>
      </c>
      <c r="G346" t="inlineStr">
        <is>
          <t>Tire wear [kg/km]</t>
        </is>
      </c>
      <c r="H346" t="inlineStr">
        <is>
          <t>tyre wear emissions, passenger car</t>
        </is>
      </c>
    </row>
    <row r="347">
      <c r="A347" t="inlineStr">
        <is>
          <t>treatment of brake wear emissions, passenger car</t>
        </is>
      </c>
      <c r="B347" s="7" t="n">
        <v>-3.912860275376578e-06</v>
      </c>
      <c r="C347" t="inlineStr">
        <is>
          <t>RER</t>
        </is>
      </c>
      <c r="D347" t="inlineStr">
        <is>
          <t>kilogram</t>
        </is>
      </c>
      <c r="F347" t="inlineStr">
        <is>
          <t>technosphere</t>
        </is>
      </c>
      <c r="G347" t="inlineStr">
        <is>
          <t>Brake wear [kg/km]</t>
        </is>
      </c>
      <c r="H347" t="inlineStr">
        <is>
          <t>brake wear emissions, passenger car</t>
        </is>
      </c>
    </row>
    <row r="348">
      <c r="B348" s="6" t="n"/>
    </row>
    <row r="349"/>
    <row r="350"/>
    <row r="351">
      <c r="B351" s="11" t="n"/>
    </row>
    <row r="352">
      <c r="B352" s="12" t="n"/>
    </row>
    <row r="353">
      <c r="B353" s="11" t="n"/>
    </row>
    <row r="354"/>
    <row r="355" ht="16" customHeight="1">
      <c r="A355" s="10" t="n"/>
      <c r="B355" s="8" t="n"/>
    </row>
    <row r="356"/>
    <row r="357"/>
    <row r="358"/>
    <row r="359"/>
    <row r="360"/>
    <row r="361"/>
    <row r="362"/>
    <row r="363"/>
    <row r="364"/>
    <row r="365"/>
    <row r="366"/>
    <row r="367"/>
    <row r="368"/>
    <row r="369"/>
    <row r="370"/>
    <row r="371"/>
    <row r="372"/>
    <row r="373"/>
    <row r="374"/>
    <row r="375"/>
    <row r="376"/>
    <row r="377"/>
    <row r="378">
      <c r="B378" s="6" t="n"/>
    </row>
    <row r="379"/>
    <row r="380" ht="16" customHeight="1">
      <c r="A380" s="10" t="n"/>
    </row>
    <row r="381"/>
    <row r="382"/>
    <row r="383"/>
    <row r="384">
      <c r="B384" s="11" t="n"/>
    </row>
    <row r="385">
      <c r="B385" s="12" t="n"/>
    </row>
    <row r="386">
      <c r="B386" s="11" t="n"/>
    </row>
    <row r="387"/>
    <row r="388" ht="16" customHeight="1">
      <c r="A388" s="10" t="n"/>
      <c r="B388" s="8" t="n"/>
    </row>
    <row r="389"/>
    <row r="390"/>
    <row r="391"/>
    <row r="392"/>
    <row r="393"/>
    <row r="394"/>
    <row r="395"/>
    <row r="396"/>
    <row r="397"/>
    <row r="398"/>
    <row r="399"/>
    <row r="400"/>
    <row r="401"/>
    <row r="402"/>
    <row r="403"/>
    <row r="404"/>
    <row r="405"/>
    <row r="406"/>
    <row r="407"/>
    <row r="408"/>
    <row r="409"/>
    <row r="410"/>
    <row r="411">
      <c r="B411" s="6" t="n"/>
    </row>
    <row r="412"/>
    <row r="413" ht="16" customHeight="1">
      <c r="A413" s="10" t="n"/>
    </row>
    <row r="414"/>
    <row r="415"/>
    <row r="416"/>
    <row r="417">
      <c r="B417" s="11" t="n"/>
    </row>
    <row r="418">
      <c r="B418" s="12" t="n"/>
    </row>
    <row r="419">
      <c r="B419" s="11" t="n"/>
    </row>
  </sheetData>
  <pageMargins left="0.7" right="0.7" top="0.75" bottom="0.75" header="0.3" footer="0.3"/>
  <pageSetup orientation="portrait" horizontalDpi="300" verticalDpi="300"/>
</worksheet>
</file>

<file path=xl/worksheets/sheet17.xml><?xml version="1.0" encoding="utf-8"?>
<worksheet xmlns="http://schemas.openxmlformats.org/spreadsheetml/2006/main">
  <sheetPr>
    <outlinePr summaryBelow="1" summaryRight="1"/>
    <pageSetUpPr/>
  </sheetPr>
  <dimension ref="A1:H420"/>
  <sheetViews>
    <sheetView topLeftCell="A273" workbookViewId="0">
      <selection activeCell="G298" sqref="G298"/>
    </sheetView>
  </sheetViews>
  <sheetFormatPr baseColWidth="10" defaultColWidth="8.6640625" defaultRowHeight="15"/>
  <cols>
    <col width="48.33203125" bestFit="1" customWidth="1" min="1" max="1"/>
    <col width="15.6640625" bestFit="1" customWidth="1" min="2" max="2"/>
    <col width="32" bestFit="1" customWidth="1" min="7" max="7"/>
  </cols>
  <sheetData>
    <row r="1" ht="16" customHeight="1">
      <c r="A1" s="10" t="inlineStr">
        <is>
          <t>Activity</t>
        </is>
      </c>
      <c r="B1" s="8" t="inlineStr">
        <is>
          <t>Scooter, gasoline, &lt;4kW, EURO-3</t>
        </is>
      </c>
    </row>
    <row r="2">
      <c r="A2" t="inlineStr">
        <is>
          <t>location</t>
        </is>
      </c>
      <c r="B2" t="inlineStr">
        <is>
          <t>CH</t>
        </is>
      </c>
    </row>
    <row r="3">
      <c r="A3" t="inlineStr">
        <is>
          <t>vehicle</t>
        </is>
      </c>
      <c r="B3" t="inlineStr">
        <is>
          <t>Scooter, gasoline, &lt;4kW, EURO-3</t>
        </is>
      </c>
    </row>
    <row r="4">
      <c r="A4" t="inlineStr">
        <is>
          <t>size</t>
        </is>
      </c>
    </row>
    <row r="5">
      <c r="A5" t="inlineStr">
        <is>
          <t>year</t>
        </is>
      </c>
      <c r="B5" t="n">
        <v>2006</v>
      </c>
    </row>
    <row r="6">
      <c r="A6" t="inlineStr">
        <is>
          <t>full name</t>
        </is>
      </c>
      <c r="B6" t="inlineStr">
        <is>
          <t>Scooter, gasoline, &lt;4kW, EURO-3 - 2006 - CH</t>
        </is>
      </c>
    </row>
    <row r="7">
      <c r="A7" t="inlineStr">
        <is>
          <t>reference product</t>
        </is>
      </c>
      <c r="B7" t="inlineStr">
        <is>
          <t>Scooter, gasoline, &lt;4kW, EURO-3</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25000</v>
      </c>
    </row>
    <row r="12">
      <c r="A12" t="inlineStr">
        <is>
          <t>passengers</t>
        </is>
      </c>
      <c r="B12" t="n">
        <v>1</v>
      </c>
    </row>
    <row r="13">
      <c r="A13" t="inlineStr">
        <is>
          <t>service</t>
        </is>
      </c>
      <c r="B13" t="n">
        <v>1</v>
      </c>
    </row>
    <row r="14">
      <c r="A14" t="inlineStr">
        <is>
          <t>battery replacement</t>
        </is>
      </c>
      <c r="B14" t="n">
        <v>0</v>
      </c>
    </row>
    <row r="15">
      <c r="A15" t="inlineStr">
        <is>
          <t>annual kilometers</t>
        </is>
      </c>
      <c r="B15" t="n">
        <v>1570</v>
      </c>
    </row>
    <row r="16">
      <c r="A16" t="inlineStr">
        <is>
          <t>curb mass</t>
        </is>
      </c>
      <c r="B16" s="2" t="n">
        <v>93.6875</v>
      </c>
    </row>
    <row r="17">
      <c r="A17" t="inlineStr">
        <is>
          <t>power</t>
        </is>
      </c>
      <c r="B17" t="n">
        <v>2.8</v>
      </c>
    </row>
    <row r="18">
      <c r="A18" t="inlineStr">
        <is>
          <t>battery mass</t>
        </is>
      </c>
    </row>
    <row r="19">
      <c r="A19" t="inlineStr">
        <is>
          <t>electricity, low voltage</t>
        </is>
      </c>
      <c r="B19" t="n">
        <v>0</v>
      </c>
    </row>
    <row r="20">
      <c r="A20" t="inlineStr">
        <is>
          <t>tank capacity</t>
        </is>
      </c>
      <c r="B20" s="2" t="n">
        <v>62.125</v>
      </c>
    </row>
    <row r="21">
      <c r="A21" t="inlineStr">
        <is>
          <t>fuel mass</t>
        </is>
      </c>
      <c r="B21" t="n">
        <v>5.25</v>
      </c>
    </row>
    <row r="22">
      <c r="A22" t="inlineStr">
        <is>
          <t>range</t>
        </is>
      </c>
      <c r="B22" s="2" t="n">
        <v>162.107934058469</v>
      </c>
    </row>
    <row r="23">
      <c r="A23" t="inlineStr">
        <is>
          <t>emission standard</t>
        </is>
      </c>
      <c r="B23" t="inlineStr">
        <is>
          <t>EURO-5</t>
        </is>
      </c>
    </row>
    <row r="24">
      <c r="A24" t="inlineStr">
        <is>
          <t>Glider lightweighting</t>
        </is>
      </c>
      <c r="B24" s="6" t="n">
        <v>-0.05</v>
      </c>
    </row>
    <row r="25">
      <c r="A25" t="inlineStr">
        <is>
          <t>origin</t>
        </is>
      </c>
      <c r="B25" s="6" t="inlineStr">
        <is>
          <t>China</t>
        </is>
      </c>
    </row>
    <row r="26">
      <c r="A26" t="inlineStr">
        <is>
          <t>distance by ship [km]</t>
        </is>
      </c>
      <c r="B26" s="2" t="n">
        <v>15900</v>
      </c>
    </row>
    <row r="27">
      <c r="A27" t="inlineStr">
        <is>
          <t>distance by truck [km]</t>
        </is>
      </c>
      <c r="B27" s="2" t="n">
        <v>1000</v>
      </c>
    </row>
    <row r="28">
      <c r="A28" t="inlineStr">
        <is>
          <t>comment</t>
        </is>
      </c>
      <c r="B28" t="inlineStr">
        <is>
          <t>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ht="16" customHeight="1">
      <c r="A29" s="10" t="inlineStr">
        <is>
          <t>Exchanges</t>
        </is>
      </c>
    </row>
    <row r="30">
      <c r="A30" t="inlineStr">
        <is>
          <t>name</t>
        </is>
      </c>
      <c r="B30" t="inlineStr">
        <is>
          <t>amount</t>
        </is>
      </c>
      <c r="C30" t="inlineStr">
        <is>
          <t>location</t>
        </is>
      </c>
      <c r="D30" t="inlineStr">
        <is>
          <t>unit</t>
        </is>
      </c>
      <c r="E30" t="inlineStr">
        <is>
          <t>categories</t>
        </is>
      </c>
      <c r="F30" t="inlineStr">
        <is>
          <t>type</t>
        </is>
      </c>
      <c r="G30" t="inlineStr">
        <is>
          <t>comment</t>
        </is>
      </c>
      <c r="H30" t="inlineStr">
        <is>
          <t>reference product</t>
        </is>
      </c>
    </row>
    <row r="31">
      <c r="A31" t="inlineStr">
        <is>
          <t>Scooter, gasoline, &lt;4kW, EURO-3</t>
        </is>
      </c>
      <c r="B31" t="n">
        <v>1</v>
      </c>
      <c r="C31" t="inlineStr">
        <is>
          <t>CH</t>
        </is>
      </c>
      <c r="D31" t="inlineStr">
        <is>
          <t>unit</t>
        </is>
      </c>
      <c r="F31" t="inlineStr">
        <is>
          <t>production</t>
        </is>
      </c>
      <c r="H31" t="inlineStr">
        <is>
          <t>Scooter, gasoline, &lt;4kW, EURO-3</t>
        </is>
      </c>
    </row>
    <row r="32">
      <c r="A32" t="inlineStr">
        <is>
          <t>motor scooter production</t>
        </is>
      </c>
      <c r="B32" s="11" t="n">
        <v>0.5888888888888889</v>
      </c>
      <c r="C32" t="inlineStr">
        <is>
          <t>RER</t>
        </is>
      </c>
      <c r="D32" t="inlineStr">
        <is>
          <t>unit</t>
        </is>
      </c>
      <c r="F32" t="inlineStr">
        <is>
          <t>technosphere</t>
        </is>
      </c>
      <c r="G32" t="inlineStr">
        <is>
          <t>Glider base mass [kg]</t>
        </is>
      </c>
      <c r="H32" t="inlineStr">
        <is>
          <t>motor scooter, 50 cubic cm engine</t>
        </is>
      </c>
    </row>
    <row r="33">
      <c r="A33" t="inlineStr">
        <is>
          <t>motor scooter production</t>
        </is>
      </c>
      <c r="B33" s="11" t="n">
        <v>0.3555555555555556</v>
      </c>
      <c r="C33" t="inlineStr">
        <is>
          <t>RER</t>
        </is>
      </c>
      <c r="D33" t="inlineStr">
        <is>
          <t>unit</t>
        </is>
      </c>
      <c r="F33" t="inlineStr">
        <is>
          <t>technosphere</t>
        </is>
      </c>
      <c r="G33" t="inlineStr">
        <is>
          <t>Mechanical powertrain mass [kg]</t>
        </is>
      </c>
      <c r="H33" t="inlineStr">
        <is>
          <t>motor scooter, 50 cubic cm engine</t>
        </is>
      </c>
    </row>
    <row r="34">
      <c r="A34" t="inlineStr">
        <is>
          <t>polyethylene production, high density, granulate</t>
        </is>
      </c>
      <c r="B34" s="11" t="n">
        <v>0.7875</v>
      </c>
      <c r="C34" t="inlineStr">
        <is>
          <t>RER</t>
        </is>
      </c>
      <c r="D34" t="inlineStr">
        <is>
          <t>kilogram</t>
        </is>
      </c>
      <c r="F34" t="inlineStr">
        <is>
          <t>technosphere</t>
        </is>
      </c>
      <c r="G34" t="inlineStr">
        <is>
          <t>Fuel tank mass [kg]</t>
        </is>
      </c>
      <c r="H34" t="inlineStr">
        <is>
          <t>polyethylene, high density, granulate</t>
        </is>
      </c>
    </row>
    <row r="35">
      <c r="A35" t="inlineStr">
        <is>
          <t>injection moulding</t>
        </is>
      </c>
      <c r="B35" s="11" t="n">
        <v>0.7922535211267605</v>
      </c>
      <c r="C35" t="inlineStr">
        <is>
          <t>RER</t>
        </is>
      </c>
      <c r="D35" t="inlineStr">
        <is>
          <t>kilogram</t>
        </is>
      </c>
      <c r="F35" t="inlineStr">
        <is>
          <t>technosphere</t>
        </is>
      </c>
      <c r="G35" t="inlineStr">
        <is>
          <t>Fuel tank shaping</t>
        </is>
      </c>
      <c r="H35" t="inlineStr">
        <is>
          <t>injection moulding</t>
        </is>
      </c>
    </row>
    <row r="36">
      <c r="A36" s="13" t="inlineStr">
        <is>
          <t>market for transport, freight, lorry, unspecified</t>
        </is>
      </c>
      <c r="B36" t="n">
        <v>93.6875</v>
      </c>
      <c r="C36" t="inlineStr">
        <is>
          <t>RER</t>
        </is>
      </c>
      <c r="D36" t="inlineStr">
        <is>
          <t>ton kilometer</t>
        </is>
      </c>
      <c r="F36" t="inlineStr">
        <is>
          <t>technosphere</t>
        </is>
      </c>
      <c r="H36" s="13" t="inlineStr">
        <is>
          <t>transport, freight, lorry, unspecified</t>
        </is>
      </c>
    </row>
    <row r="37">
      <c r="A37" s="13" t="inlineStr">
        <is>
          <t>transport, freight, sea, container ship</t>
        </is>
      </c>
      <c r="B37" s="2" t="n">
        <v>1489.63125</v>
      </c>
      <c r="C37" t="inlineStr">
        <is>
          <t>GLO</t>
        </is>
      </c>
      <c r="D37" t="inlineStr">
        <is>
          <t>ton kilometer</t>
        </is>
      </c>
      <c r="F37" t="inlineStr">
        <is>
          <t>technosphere</t>
        </is>
      </c>
      <c r="H37" s="13" t="inlineStr">
        <is>
          <t>transport, freight, sea, container ship</t>
        </is>
      </c>
    </row>
    <row r="38">
      <c r="B38" s="11" t="n"/>
    </row>
    <row r="39" ht="16" customHeight="1">
      <c r="A39" s="10" t="inlineStr">
        <is>
          <t>Activity</t>
        </is>
      </c>
      <c r="B39" s="8" t="inlineStr">
        <is>
          <t>Scooter, gasoline, &lt;4kW, EURO-4</t>
        </is>
      </c>
    </row>
    <row r="40">
      <c r="A40" t="inlineStr">
        <is>
          <t>location</t>
        </is>
      </c>
      <c r="B40" t="inlineStr">
        <is>
          <t>CH</t>
        </is>
      </c>
    </row>
    <row r="41">
      <c r="A41" t="inlineStr">
        <is>
          <t>vehicle</t>
        </is>
      </c>
      <c r="B41" t="inlineStr">
        <is>
          <t>Scooter, gasoline, &lt;4kW, EURO-4</t>
        </is>
      </c>
    </row>
    <row r="42">
      <c r="A42" t="inlineStr">
        <is>
          <t>size</t>
        </is>
      </c>
    </row>
    <row r="43">
      <c r="A43" t="inlineStr">
        <is>
          <t>year</t>
        </is>
      </c>
      <c r="B43" t="n">
        <v>2016</v>
      </c>
    </row>
    <row r="44">
      <c r="A44" t="inlineStr">
        <is>
          <t>full name</t>
        </is>
      </c>
      <c r="B44" t="inlineStr">
        <is>
          <t>Scooter, gasoline, &lt;4kW, EURO-4 - 2016 - CH</t>
        </is>
      </c>
    </row>
    <row r="45">
      <c r="A45" t="inlineStr">
        <is>
          <t>reference product</t>
        </is>
      </c>
      <c r="B45" t="inlineStr">
        <is>
          <t>Scooter, gasoline, &lt;4kW, EURO-4</t>
        </is>
      </c>
    </row>
    <row r="46">
      <c r="A46" t="inlineStr">
        <is>
          <t>type</t>
        </is>
      </c>
      <c r="B46" t="inlineStr">
        <is>
          <t>process</t>
        </is>
      </c>
    </row>
    <row r="47">
      <c r="A47" t="inlineStr">
        <is>
          <t>unit</t>
        </is>
      </c>
      <c r="B47" t="inlineStr">
        <is>
          <t>unit</t>
        </is>
      </c>
    </row>
    <row r="48">
      <c r="A48" t="inlineStr">
        <is>
          <t>source</t>
        </is>
      </c>
      <c r="B48" t="inlineStr">
        <is>
          <t>Sacchi R., Bauer C. Life cycle inventories for on-road vehicles. Paul Scherrer Institut, 2021.</t>
        </is>
      </c>
    </row>
    <row r="49">
      <c r="A49" t="inlineStr">
        <is>
          <t>lifetime</t>
        </is>
      </c>
      <c r="B49" t="n">
        <v>25000</v>
      </c>
    </row>
    <row r="50">
      <c r="A50" t="inlineStr">
        <is>
          <t>passengers</t>
        </is>
      </c>
      <c r="B50" t="n">
        <v>1</v>
      </c>
    </row>
    <row r="51">
      <c r="A51" t="inlineStr">
        <is>
          <t>service</t>
        </is>
      </c>
      <c r="B51" t="n">
        <v>1</v>
      </c>
    </row>
    <row r="52">
      <c r="A52" t="inlineStr">
        <is>
          <t>battery replacement</t>
        </is>
      </c>
      <c r="B52" t="n">
        <v>0</v>
      </c>
    </row>
    <row r="53">
      <c r="A53" t="inlineStr">
        <is>
          <t>annual kilometers</t>
        </is>
      </c>
      <c r="B53" t="n">
        <v>1570</v>
      </c>
    </row>
    <row r="54">
      <c r="A54" t="inlineStr">
        <is>
          <t>curb mass</t>
        </is>
      </c>
      <c r="B54" s="2" t="n">
        <v>92.0975</v>
      </c>
    </row>
    <row r="55">
      <c r="A55" t="inlineStr">
        <is>
          <t>power</t>
        </is>
      </c>
      <c r="B55" t="n">
        <v>2.8</v>
      </c>
    </row>
    <row r="56">
      <c r="A56" t="inlineStr">
        <is>
          <t>battery mass</t>
        </is>
      </c>
    </row>
    <row r="57">
      <c r="A57" t="inlineStr">
        <is>
          <t>electricity, low voltage</t>
        </is>
      </c>
      <c r="B57" t="n">
        <v>0</v>
      </c>
    </row>
    <row r="58">
      <c r="A58" t="inlineStr">
        <is>
          <t>tank capacity</t>
        </is>
      </c>
      <c r="B58" s="2" t="n">
        <v>62.125</v>
      </c>
    </row>
    <row r="59">
      <c r="A59" t="inlineStr">
        <is>
          <t>fuel mass</t>
        </is>
      </c>
      <c r="B59" t="n">
        <v>5.25</v>
      </c>
    </row>
    <row r="60">
      <c r="A60" t="inlineStr">
        <is>
          <t>range</t>
        </is>
      </c>
      <c r="B60" s="2" t="n">
        <v>171.8344101019772</v>
      </c>
    </row>
    <row r="61">
      <c r="A61" t="inlineStr">
        <is>
          <t>emission standard</t>
        </is>
      </c>
      <c r="B61" t="inlineStr">
        <is>
          <t>EURO-4</t>
        </is>
      </c>
    </row>
    <row r="62">
      <c r="A62" t="inlineStr">
        <is>
          <t>Glider lightweighting</t>
        </is>
      </c>
      <c r="B62" s="6" t="n">
        <v>-0.02</v>
      </c>
    </row>
    <row r="63">
      <c r="A63" t="inlineStr">
        <is>
          <t>origin</t>
        </is>
      </c>
      <c r="B63" s="6" t="inlineStr">
        <is>
          <t>China</t>
        </is>
      </c>
    </row>
    <row r="64">
      <c r="A64" t="inlineStr">
        <is>
          <t>distance by ship [km]</t>
        </is>
      </c>
      <c r="B64" s="2" t="n">
        <v>15900</v>
      </c>
    </row>
    <row r="65">
      <c r="A65" t="inlineStr">
        <is>
          <t>distance by truck [km]</t>
        </is>
      </c>
      <c r="B65" s="2" t="n">
        <v>1000</v>
      </c>
    </row>
    <row r="66">
      <c r="A66" t="inlineStr">
        <is>
          <t>comment</t>
        </is>
      </c>
      <c r="B66" t="inlineStr">
        <is>
          <t>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ht="16" customHeight="1">
      <c r="A67" s="10" t="inlineStr">
        <is>
          <t>Exchanges</t>
        </is>
      </c>
    </row>
    <row r="68">
      <c r="A68" t="inlineStr">
        <is>
          <t>name</t>
        </is>
      </c>
      <c r="B68" t="inlineStr">
        <is>
          <t>amount</t>
        </is>
      </c>
      <c r="C68" t="inlineStr">
        <is>
          <t>location</t>
        </is>
      </c>
      <c r="D68" t="inlineStr">
        <is>
          <t>unit</t>
        </is>
      </c>
      <c r="E68" t="inlineStr">
        <is>
          <t>categories</t>
        </is>
      </c>
      <c r="F68" t="inlineStr">
        <is>
          <t>type</t>
        </is>
      </c>
      <c r="G68" t="inlineStr">
        <is>
          <t>comment</t>
        </is>
      </c>
      <c r="H68" t="inlineStr">
        <is>
          <t>reference product</t>
        </is>
      </c>
    </row>
    <row r="69">
      <c r="A69" t="inlineStr">
        <is>
          <t>Scooter, gasoline, &lt;4kW, EURO-4</t>
        </is>
      </c>
      <c r="B69" t="n">
        <v>1</v>
      </c>
      <c r="C69" t="inlineStr">
        <is>
          <t>CH</t>
        </is>
      </c>
      <c r="D69" t="inlineStr">
        <is>
          <t>unit</t>
        </is>
      </c>
      <c r="F69" t="inlineStr">
        <is>
          <t>production</t>
        </is>
      </c>
      <c r="H69" t="inlineStr">
        <is>
          <t>Scooter, gasoline, &lt;4kW, EURO-4</t>
        </is>
      </c>
    </row>
    <row r="70">
      <c r="A70" t="inlineStr">
        <is>
          <t>motor scooter production</t>
        </is>
      </c>
      <c r="B70" s="11" t="n">
        <v>0.5888888888888889</v>
      </c>
      <c r="C70" t="inlineStr">
        <is>
          <t>RER</t>
        </is>
      </c>
      <c r="D70" t="inlineStr">
        <is>
          <t>unit</t>
        </is>
      </c>
      <c r="F70" t="inlineStr">
        <is>
          <t>technosphere</t>
        </is>
      </c>
      <c r="G70" t="inlineStr">
        <is>
          <t>Glider base mass [kg]</t>
        </is>
      </c>
      <c r="H70" t="inlineStr">
        <is>
          <t>motor scooter, 50 cubic cm engine</t>
        </is>
      </c>
    </row>
    <row r="71">
      <c r="A71" t="inlineStr">
        <is>
          <t>motor scooter production</t>
        </is>
      </c>
      <c r="B71" s="11" t="n">
        <v>0.3555555555555556</v>
      </c>
      <c r="C71" t="inlineStr">
        <is>
          <t>RER</t>
        </is>
      </c>
      <c r="D71" t="inlineStr">
        <is>
          <t>unit</t>
        </is>
      </c>
      <c r="F71" t="inlineStr">
        <is>
          <t>technosphere</t>
        </is>
      </c>
      <c r="G71" t="inlineStr">
        <is>
          <t>Mechanical powertrain mass [kg]</t>
        </is>
      </c>
      <c r="H71" t="inlineStr">
        <is>
          <t>motor scooter, 50 cubic cm engine</t>
        </is>
      </c>
    </row>
    <row r="72">
      <c r="A72" t="inlineStr">
        <is>
          <t>polyethylene production, high density, granulate</t>
        </is>
      </c>
      <c r="B72" s="11" t="n">
        <v>0.7875</v>
      </c>
      <c r="C72" t="inlineStr">
        <is>
          <t>RER</t>
        </is>
      </c>
      <c r="D72" t="inlineStr">
        <is>
          <t>kilogram</t>
        </is>
      </c>
      <c r="F72" t="inlineStr">
        <is>
          <t>technosphere</t>
        </is>
      </c>
      <c r="G72" t="inlineStr">
        <is>
          <t>Fuel tank mass [kg]</t>
        </is>
      </c>
      <c r="H72" t="inlineStr">
        <is>
          <t>polyethylene, high density, granulate</t>
        </is>
      </c>
    </row>
    <row r="73">
      <c r="A73" t="inlineStr">
        <is>
          <t>injection moulding</t>
        </is>
      </c>
      <c r="B73" s="11" t="n">
        <v>0.7922535211267605</v>
      </c>
      <c r="C73" t="inlineStr">
        <is>
          <t>RER</t>
        </is>
      </c>
      <c r="D73" t="inlineStr">
        <is>
          <t>kilogram</t>
        </is>
      </c>
      <c r="F73" t="inlineStr">
        <is>
          <t>technosphere</t>
        </is>
      </c>
      <c r="G73" t="inlineStr">
        <is>
          <t>Fuel tank shaping</t>
        </is>
      </c>
      <c r="H73" t="inlineStr">
        <is>
          <t>injection moulding</t>
        </is>
      </c>
    </row>
    <row r="74">
      <c r="A74" s="13" t="inlineStr">
        <is>
          <t>market for transport, freight, lorry, unspecified</t>
        </is>
      </c>
      <c r="B74" t="n">
        <v>92.0975</v>
      </c>
      <c r="C74" t="inlineStr">
        <is>
          <t>RER</t>
        </is>
      </c>
      <c r="D74" t="inlineStr">
        <is>
          <t>ton kilometer</t>
        </is>
      </c>
      <c r="F74" t="inlineStr">
        <is>
          <t>technosphere</t>
        </is>
      </c>
      <c r="H74" s="13" t="inlineStr">
        <is>
          <t>transport, freight, lorry, unspecified</t>
        </is>
      </c>
    </row>
    <row r="75">
      <c r="A75" s="13" t="inlineStr">
        <is>
          <t>transport, freight, sea, container ship</t>
        </is>
      </c>
      <c r="B75" s="2" t="n">
        <v>1464.35025</v>
      </c>
      <c r="C75" t="inlineStr">
        <is>
          <t>GLO</t>
        </is>
      </c>
      <c r="D75" t="inlineStr">
        <is>
          <t>ton kilometer</t>
        </is>
      </c>
      <c r="F75" t="inlineStr">
        <is>
          <t>technosphere</t>
        </is>
      </c>
      <c r="H75" s="13" t="inlineStr">
        <is>
          <t>transport, freight, sea, container ship</t>
        </is>
      </c>
    </row>
    <row r="76"/>
    <row r="77" ht="16" customHeight="1">
      <c r="A77" s="10" t="inlineStr">
        <is>
          <t>Activity</t>
        </is>
      </c>
      <c r="B77" s="8" t="inlineStr">
        <is>
          <t>Scooter, gasoline, &lt;4kW, EURO-5</t>
        </is>
      </c>
    </row>
    <row r="78">
      <c r="A78" t="inlineStr">
        <is>
          <t>location</t>
        </is>
      </c>
      <c r="B78" t="inlineStr">
        <is>
          <t>CH</t>
        </is>
      </c>
    </row>
    <row r="79">
      <c r="A79" t="inlineStr">
        <is>
          <t>vehicle</t>
        </is>
      </c>
      <c r="B79" t="inlineStr">
        <is>
          <t>Scooter, gasoline, &lt;4kW, EURO-5</t>
        </is>
      </c>
    </row>
    <row r="80">
      <c r="A80" t="inlineStr">
        <is>
          <t>size</t>
        </is>
      </c>
    </row>
    <row r="81">
      <c r="A81" t="inlineStr">
        <is>
          <t>year</t>
        </is>
      </c>
      <c r="B81" t="n">
        <v>2020</v>
      </c>
    </row>
    <row r="82">
      <c r="A82" t="inlineStr">
        <is>
          <t>full name</t>
        </is>
      </c>
      <c r="B82" t="inlineStr">
        <is>
          <t>Scooter, gasoline, &lt;4kW, EURO-5 - 2020 - CH</t>
        </is>
      </c>
    </row>
    <row r="83">
      <c r="A83" t="inlineStr">
        <is>
          <t>reference product</t>
        </is>
      </c>
      <c r="B83" t="inlineStr">
        <is>
          <t>Scooter, gasoline, &lt;4kW, EURO-5</t>
        </is>
      </c>
    </row>
    <row r="84">
      <c r="A84" t="inlineStr">
        <is>
          <t>type</t>
        </is>
      </c>
      <c r="B84" t="inlineStr">
        <is>
          <t>process</t>
        </is>
      </c>
    </row>
    <row r="85">
      <c r="A85" t="inlineStr">
        <is>
          <t>unit</t>
        </is>
      </c>
      <c r="B85" t="inlineStr">
        <is>
          <t>unit</t>
        </is>
      </c>
    </row>
    <row r="86">
      <c r="A86" t="inlineStr">
        <is>
          <t>source</t>
        </is>
      </c>
      <c r="B86" t="inlineStr">
        <is>
          <t>Sacchi R., Bauer C. Life cycle inventories for on-road vehicles. Paul Scherrer Institut, 2021.</t>
        </is>
      </c>
    </row>
    <row r="87">
      <c r="A87" t="inlineStr">
        <is>
          <t>lifetime</t>
        </is>
      </c>
      <c r="B87" t="n">
        <v>25000</v>
      </c>
    </row>
    <row r="88">
      <c r="A88" t="inlineStr">
        <is>
          <t>passengers</t>
        </is>
      </c>
      <c r="B88" t="n">
        <v>1</v>
      </c>
    </row>
    <row r="89">
      <c r="A89" t="inlineStr">
        <is>
          <t>service</t>
        </is>
      </c>
      <c r="B89" t="n">
        <v>1</v>
      </c>
    </row>
    <row r="90">
      <c r="A90" t="inlineStr">
        <is>
          <t>battery replacement</t>
        </is>
      </c>
      <c r="B90" t="n">
        <v>0</v>
      </c>
    </row>
    <row r="91">
      <c r="A91" t="inlineStr">
        <is>
          <t>annual kilometers</t>
        </is>
      </c>
      <c r="B91" t="n">
        <v>1570</v>
      </c>
    </row>
    <row r="92">
      <c r="A92" t="inlineStr">
        <is>
          <t>curb mass</t>
        </is>
      </c>
      <c r="B92" s="2" t="n">
        <v>91.03749999999999</v>
      </c>
    </row>
    <row r="93">
      <c r="A93" t="inlineStr">
        <is>
          <t>power</t>
        </is>
      </c>
      <c r="B93" t="n">
        <v>2.8</v>
      </c>
    </row>
    <row r="94">
      <c r="A94" t="inlineStr">
        <is>
          <t>battery mass</t>
        </is>
      </c>
    </row>
    <row r="95">
      <c r="A95" t="inlineStr">
        <is>
          <t>electricity, low voltage</t>
        </is>
      </c>
      <c r="B95" t="n">
        <v>0</v>
      </c>
    </row>
    <row r="96">
      <c r="A96" t="inlineStr">
        <is>
          <t>tank capacity</t>
        </is>
      </c>
      <c r="B96" s="2" t="n">
        <v>62.125</v>
      </c>
    </row>
    <row r="97">
      <c r="A97" t="inlineStr">
        <is>
          <t>fuel mass</t>
        </is>
      </c>
      <c r="B97" t="n">
        <v>5.25</v>
      </c>
    </row>
    <row r="98">
      <c r="A98" t="inlineStr">
        <is>
          <t>range</t>
        </is>
      </c>
      <c r="B98" s="2" t="n">
        <v>173.5701112141184</v>
      </c>
    </row>
    <row r="99">
      <c r="A99" t="inlineStr">
        <is>
          <t>emission standard</t>
        </is>
      </c>
      <c r="B99" t="inlineStr">
        <is>
          <t>EURO-5</t>
        </is>
      </c>
    </row>
    <row r="100">
      <c r="A100" t="inlineStr">
        <is>
          <t>Glider lightweighting</t>
        </is>
      </c>
      <c r="B100" s="6" t="n">
        <v>0</v>
      </c>
    </row>
    <row r="101">
      <c r="A101" t="inlineStr">
        <is>
          <t>origin</t>
        </is>
      </c>
      <c r="B101" s="6" t="inlineStr">
        <is>
          <t>China</t>
        </is>
      </c>
    </row>
    <row r="102">
      <c r="A102" t="inlineStr">
        <is>
          <t>distance by ship [km]</t>
        </is>
      </c>
      <c r="B102" s="2" t="n">
        <v>15900</v>
      </c>
    </row>
    <row r="103">
      <c r="A103" t="inlineStr">
        <is>
          <t>distance by truck [km]</t>
        </is>
      </c>
      <c r="B103" s="2" t="n">
        <v>1000</v>
      </c>
    </row>
    <row r="104">
      <c r="A104" t="inlineStr">
        <is>
          <t>comment</t>
        </is>
      </c>
      <c r="B104" t="inlineStr">
        <is>
          <t>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ht="16" customHeight="1">
      <c r="A105" s="10" t="inlineStr">
        <is>
          <t>Exchanges</t>
        </is>
      </c>
    </row>
    <row r="106">
      <c r="A106" t="inlineStr">
        <is>
          <t>name</t>
        </is>
      </c>
      <c r="B106" t="inlineStr">
        <is>
          <t>amount</t>
        </is>
      </c>
      <c r="C106" t="inlineStr">
        <is>
          <t>location</t>
        </is>
      </c>
      <c r="D106" t="inlineStr">
        <is>
          <t>unit</t>
        </is>
      </c>
      <c r="E106" t="inlineStr">
        <is>
          <t>categories</t>
        </is>
      </c>
      <c r="F106" t="inlineStr">
        <is>
          <t>type</t>
        </is>
      </c>
      <c r="G106" t="inlineStr">
        <is>
          <t>comment</t>
        </is>
      </c>
      <c r="H106" t="inlineStr">
        <is>
          <t>reference product</t>
        </is>
      </c>
    </row>
    <row r="107">
      <c r="A107" t="inlineStr">
        <is>
          <t>Scooter, gasoline, &lt;4kW, EURO-5</t>
        </is>
      </c>
      <c r="B107" t="n">
        <v>1</v>
      </c>
      <c r="C107" t="inlineStr">
        <is>
          <t>CH</t>
        </is>
      </c>
      <c r="D107" t="inlineStr">
        <is>
          <t>unit</t>
        </is>
      </c>
      <c r="F107" t="inlineStr">
        <is>
          <t>production</t>
        </is>
      </c>
      <c r="H107" t="inlineStr">
        <is>
          <t>Scooter, gasoline, &lt;4kW, EURO-5</t>
        </is>
      </c>
    </row>
    <row r="108">
      <c r="A108" t="inlineStr">
        <is>
          <t>motor scooter production</t>
        </is>
      </c>
      <c r="B108" s="11" t="n">
        <v>0.5888888888888889</v>
      </c>
      <c r="C108" t="inlineStr">
        <is>
          <t>RER</t>
        </is>
      </c>
      <c r="D108" t="inlineStr">
        <is>
          <t>unit</t>
        </is>
      </c>
      <c r="F108" t="inlineStr">
        <is>
          <t>technosphere</t>
        </is>
      </c>
      <c r="G108" t="inlineStr">
        <is>
          <t>Glider base mass [kg]</t>
        </is>
      </c>
      <c r="H108" t="inlineStr">
        <is>
          <t>motor scooter, 50 cubic cm engine</t>
        </is>
      </c>
    </row>
    <row r="109">
      <c r="A109" t="inlineStr">
        <is>
          <t>motor scooter production</t>
        </is>
      </c>
      <c r="B109" s="11" t="n">
        <v>0.3555555555555556</v>
      </c>
      <c r="C109" t="inlineStr">
        <is>
          <t>RER</t>
        </is>
      </c>
      <c r="D109" t="inlineStr">
        <is>
          <t>unit</t>
        </is>
      </c>
      <c r="F109" t="inlineStr">
        <is>
          <t>technosphere</t>
        </is>
      </c>
      <c r="G109" t="inlineStr">
        <is>
          <t>Mechanical powertrain mass [kg]</t>
        </is>
      </c>
      <c r="H109" t="inlineStr">
        <is>
          <t>motor scooter, 50 cubic cm engine</t>
        </is>
      </c>
    </row>
    <row r="110">
      <c r="A110" t="inlineStr">
        <is>
          <t>polyethylene production, high density, granulate</t>
        </is>
      </c>
      <c r="B110" s="11" t="n">
        <v>0.7875</v>
      </c>
      <c r="C110" t="inlineStr">
        <is>
          <t>RER</t>
        </is>
      </c>
      <c r="D110" t="inlineStr">
        <is>
          <t>kilogram</t>
        </is>
      </c>
      <c r="F110" t="inlineStr">
        <is>
          <t>technosphere</t>
        </is>
      </c>
      <c r="G110" t="inlineStr">
        <is>
          <t>Fuel tank mass [kg]</t>
        </is>
      </c>
      <c r="H110" t="inlineStr">
        <is>
          <t>polyethylene, high density, granulate</t>
        </is>
      </c>
    </row>
    <row r="111">
      <c r="A111" t="inlineStr">
        <is>
          <t>injection moulding</t>
        </is>
      </c>
      <c r="B111" s="11" t="n">
        <v>0.7922535211267605</v>
      </c>
      <c r="C111" t="inlineStr">
        <is>
          <t>RER</t>
        </is>
      </c>
      <c r="D111" t="inlineStr">
        <is>
          <t>kilogram</t>
        </is>
      </c>
      <c r="F111" t="inlineStr">
        <is>
          <t>technosphere</t>
        </is>
      </c>
      <c r="G111" t="inlineStr">
        <is>
          <t>Fuel tank shaping</t>
        </is>
      </c>
      <c r="H111" t="inlineStr">
        <is>
          <t>injection moulding</t>
        </is>
      </c>
    </row>
    <row r="112">
      <c r="A112" s="13" t="inlineStr">
        <is>
          <t>market for transport, freight, lorry, unspecified</t>
        </is>
      </c>
      <c r="B112" t="n">
        <v>91.03749999999999</v>
      </c>
      <c r="C112" t="inlineStr">
        <is>
          <t>RER</t>
        </is>
      </c>
      <c r="D112" t="inlineStr">
        <is>
          <t>ton kilometer</t>
        </is>
      </c>
      <c r="F112" t="inlineStr">
        <is>
          <t>technosphere</t>
        </is>
      </c>
      <c r="H112" s="13" t="inlineStr">
        <is>
          <t>transport, freight, lorry, unspecified</t>
        </is>
      </c>
    </row>
    <row r="113">
      <c r="A113" s="13" t="inlineStr">
        <is>
          <t>transport, freight, sea, container ship</t>
        </is>
      </c>
      <c r="B113" s="2" t="n">
        <v>1447.49625</v>
      </c>
      <c r="C113" t="inlineStr">
        <is>
          <t>GLO</t>
        </is>
      </c>
      <c r="D113" t="inlineStr">
        <is>
          <t>ton kilometer</t>
        </is>
      </c>
      <c r="F113" t="inlineStr">
        <is>
          <t>technosphere</t>
        </is>
      </c>
      <c r="H113" s="13" t="inlineStr">
        <is>
          <t>transport, freight, sea, container ship</t>
        </is>
      </c>
    </row>
    <row r="114"/>
    <row r="115"/>
    <row r="116" ht="16" customHeight="1">
      <c r="A116" s="10" t="inlineStr">
        <is>
          <t>Activity</t>
        </is>
      </c>
      <c r="B116" s="8" t="inlineStr">
        <is>
          <t>transport, Scooter, gasoline, &lt;4kW, EURO-3</t>
        </is>
      </c>
    </row>
    <row r="117">
      <c r="A117" t="inlineStr">
        <is>
          <t>location</t>
        </is>
      </c>
      <c r="B117" t="inlineStr">
        <is>
          <t>CH</t>
        </is>
      </c>
    </row>
    <row r="118">
      <c r="A118" t="inlineStr">
        <is>
          <t>vehicle</t>
        </is>
      </c>
      <c r="B118" t="inlineStr">
        <is>
          <t>Scooter, gasoline, &lt;4kW, EURO-3</t>
        </is>
      </c>
    </row>
    <row r="119">
      <c r="A119" t="inlineStr">
        <is>
          <t>size</t>
        </is>
      </c>
    </row>
    <row r="120">
      <c r="A120" t="inlineStr">
        <is>
          <t>year</t>
        </is>
      </c>
      <c r="B120" t="n">
        <v>2006</v>
      </c>
    </row>
    <row r="121">
      <c r="A121" t="inlineStr">
        <is>
          <t>full name</t>
        </is>
      </c>
      <c r="B121" t="inlineStr">
        <is>
          <t>Scooter, gasoline, &lt;4kW, EURO-3 - 2006 - CH</t>
        </is>
      </c>
    </row>
    <row r="122">
      <c r="A122" t="inlineStr">
        <is>
          <t>reference product</t>
        </is>
      </c>
      <c r="B122" t="inlineStr">
        <is>
          <t>transport, Scooter, gasoline, &lt;4kW, EURO-3</t>
        </is>
      </c>
    </row>
    <row r="123">
      <c r="A123" t="inlineStr">
        <is>
          <t>type</t>
        </is>
      </c>
      <c r="B123" t="inlineStr">
        <is>
          <t>process</t>
        </is>
      </c>
    </row>
    <row r="124">
      <c r="A124" t="inlineStr">
        <is>
          <t>unit</t>
        </is>
      </c>
      <c r="B124" t="inlineStr">
        <is>
          <t>kilometer</t>
        </is>
      </c>
    </row>
    <row r="125">
      <c r="A125" t="inlineStr">
        <is>
          <t>source</t>
        </is>
      </c>
      <c r="B125" t="inlineStr">
        <is>
          <t>Sacchi R., Bauer C. Life cycle inventories for on-road vehicles. Paul Scherrer Institut, 2021.</t>
        </is>
      </c>
    </row>
    <row r="126">
      <c r="A126" t="inlineStr">
        <is>
          <t>lifetime</t>
        </is>
      </c>
      <c r="B126" t="n">
        <v>25000</v>
      </c>
    </row>
    <row r="127">
      <c r="A127" t="inlineStr">
        <is>
          <t>passengers</t>
        </is>
      </c>
      <c r="B127" t="n">
        <v>1</v>
      </c>
    </row>
    <row r="128">
      <c r="A128" t="inlineStr">
        <is>
          <t>service</t>
        </is>
      </c>
      <c r="B128" t="n">
        <v>1</v>
      </c>
    </row>
    <row r="129">
      <c r="A129" t="inlineStr">
        <is>
          <t>battery replacement</t>
        </is>
      </c>
      <c r="B129" t="n">
        <v>0</v>
      </c>
    </row>
    <row r="130">
      <c r="A130" t="inlineStr">
        <is>
          <t>annual kilometers</t>
        </is>
      </c>
      <c r="B130" t="n">
        <v>1570</v>
      </c>
    </row>
    <row r="131">
      <c r="A131" t="inlineStr">
        <is>
          <t>curb mass</t>
        </is>
      </c>
      <c r="B131" s="2" t="n">
        <v>93.6875</v>
      </c>
    </row>
    <row r="132">
      <c r="A132" t="inlineStr">
        <is>
          <t>power</t>
        </is>
      </c>
      <c r="B132" t="n">
        <v>2.8</v>
      </c>
    </row>
    <row r="133">
      <c r="A133" t="inlineStr">
        <is>
          <t>battery mass</t>
        </is>
      </c>
    </row>
    <row r="134">
      <c r="A134" t="inlineStr">
        <is>
          <t>electricity, low voltage</t>
        </is>
      </c>
      <c r="B134" t="n">
        <v>0</v>
      </c>
    </row>
    <row r="135">
      <c r="A135" t="inlineStr">
        <is>
          <t>tank capacity</t>
        </is>
      </c>
      <c r="B135" s="2" t="n">
        <v>62.125</v>
      </c>
    </row>
    <row r="136">
      <c r="A136" t="inlineStr">
        <is>
          <t>fuel mass</t>
        </is>
      </c>
      <c r="B136" t="n">
        <v>5.25</v>
      </c>
    </row>
    <row r="137">
      <c r="A137" t="inlineStr">
        <is>
          <t>range</t>
        </is>
      </c>
      <c r="B137" s="2" t="n">
        <v>162.107934058469</v>
      </c>
    </row>
    <row r="138">
      <c r="A138" t="inlineStr">
        <is>
          <t>emission standard</t>
        </is>
      </c>
      <c r="B138" t="inlineStr">
        <is>
          <t>EURO-5</t>
        </is>
      </c>
    </row>
    <row r="139">
      <c r="A139" t="inlineStr">
        <is>
          <t>Glider lightweighting</t>
        </is>
      </c>
      <c r="B139" s="6" t="n">
        <v>-0.05</v>
      </c>
    </row>
    <row r="140">
      <c r="A140" t="inlineStr">
        <is>
          <t>comment</t>
        </is>
      </c>
      <c r="B140" t="inlineStr">
        <is>
          <t>Power: 2.8 kW. Lifetime: 25000 km. Annual kilometers: 1570 km. Number of passengers: 1. Curb mass: 93.7 kg. Lightweighting of glider: -5%. Emission standard: EURO-5. Service visits throughout lifetime: 1. Range: 162 km. Fuel tank capacity: 62.1 kWh. Fuel mass: 5.3 kg. Documentation: Life-cycle inventories for on-road vehicles, Sacchi R. (PSI), Bauer C. (PSI), 2021. Sacchi R., Bauer C. Life cycle inventories for on-road vehicles. Paul Scherrer Institut, 2021.</t>
        </is>
      </c>
    </row>
    <row r="141" ht="16" customHeight="1">
      <c r="A141" s="10" t="inlineStr">
        <is>
          <t>Exchanges</t>
        </is>
      </c>
    </row>
    <row r="142">
      <c r="A142" t="inlineStr">
        <is>
          <t>name</t>
        </is>
      </c>
      <c r="B142" t="inlineStr">
        <is>
          <t>amount</t>
        </is>
      </c>
      <c r="C142" t="inlineStr">
        <is>
          <t>location</t>
        </is>
      </c>
      <c r="D142" t="inlineStr">
        <is>
          <t>unit</t>
        </is>
      </c>
      <c r="E142" t="inlineStr">
        <is>
          <t>categories</t>
        </is>
      </c>
      <c r="F142" t="inlineStr">
        <is>
          <t>type</t>
        </is>
      </c>
      <c r="G142" t="inlineStr">
        <is>
          <t>comment</t>
        </is>
      </c>
      <c r="H142" t="inlineStr">
        <is>
          <t>reference product</t>
        </is>
      </c>
    </row>
    <row r="143">
      <c r="A143" t="inlineStr">
        <is>
          <t>transport, Scooter, gasoline, &lt;4kW, EURO-3</t>
        </is>
      </c>
      <c r="B143" t="n">
        <v>1</v>
      </c>
      <c r="C143" t="inlineStr">
        <is>
          <t>CH</t>
        </is>
      </c>
      <c r="D143" t="inlineStr">
        <is>
          <t>kilometer</t>
        </is>
      </c>
      <c r="F143" t="inlineStr">
        <is>
          <t>production</t>
        </is>
      </c>
      <c r="H143" t="inlineStr">
        <is>
          <t>transport, Scooter, gasoline, &lt;4kW, EURO-3</t>
        </is>
      </c>
    </row>
    <row r="144">
      <c r="A144" t="inlineStr">
        <is>
          <t>Scooter, gasoline, &lt;4kW, EURO-3</t>
        </is>
      </c>
      <c r="B144" s="7" t="n">
        <v>4e-05</v>
      </c>
      <c r="C144" t="inlineStr">
        <is>
          <t>CH</t>
        </is>
      </c>
      <c r="D144" t="inlineStr">
        <is>
          <t>unit</t>
        </is>
      </c>
      <c r="F144" t="inlineStr">
        <is>
          <t>technosphere</t>
        </is>
      </c>
      <c r="H144" t="inlineStr">
        <is>
          <t>Scooter, gasoline, &lt;4kW, EURO-3</t>
        </is>
      </c>
    </row>
    <row r="145">
      <c r="A145" t="inlineStr">
        <is>
          <t>road construction</t>
        </is>
      </c>
      <c r="B145" s="7" t="n">
        <v>9.27331875e-05</v>
      </c>
      <c r="C145" t="inlineStr">
        <is>
          <t>CH</t>
        </is>
      </c>
      <c r="D145" t="inlineStr">
        <is>
          <t>meter-year</t>
        </is>
      </c>
      <c r="F145" t="inlineStr">
        <is>
          <t>technosphere</t>
        </is>
      </c>
      <c r="G145" t="inlineStr">
        <is>
          <t>Road/track use [m*year/vkm or pkm]</t>
        </is>
      </c>
      <c r="H145" t="inlineStr">
        <is>
          <t>road</t>
        </is>
      </c>
    </row>
    <row r="146">
      <c r="A146" t="inlineStr">
        <is>
          <t>road maintenance</t>
        </is>
      </c>
      <c r="B146" s="7" t="n">
        <v>0.00129</v>
      </c>
      <c r="C146" t="inlineStr">
        <is>
          <t>CH</t>
        </is>
      </c>
      <c r="D146" t="inlineStr">
        <is>
          <t>meter-year</t>
        </is>
      </c>
      <c r="F146" t="inlineStr">
        <is>
          <t>technosphere</t>
        </is>
      </c>
      <c r="G146" t="inlineStr">
        <is>
          <t>Road maintenance [m*year/vkm]</t>
        </is>
      </c>
      <c r="H146" t="inlineStr">
        <is>
          <t>road maintenance</t>
        </is>
      </c>
    </row>
    <row r="147">
      <c r="A147" t="inlineStr">
        <is>
          <t>maintenance, motor scooter</t>
        </is>
      </c>
      <c r="B147" s="7" t="n">
        <v>4e-05</v>
      </c>
      <c r="C147" t="inlineStr">
        <is>
          <t>CH</t>
        </is>
      </c>
      <c r="D147" t="inlineStr">
        <is>
          <t>unit</t>
        </is>
      </c>
      <c r="F147" t="inlineStr">
        <is>
          <t>technosphere</t>
        </is>
      </c>
      <c r="G147" t="inlineStr">
        <is>
          <t>Servicing [unit]</t>
        </is>
      </c>
      <c r="H147" t="inlineStr">
        <is>
          <t>maintenance, motor scooter</t>
        </is>
      </c>
    </row>
    <row r="148">
      <c r="A148" t="inlineStr">
        <is>
          <t>petrol blending for two-stroke engines</t>
        </is>
      </c>
      <c r="B148" s="7" t="n">
        <v>0.03238583003658804</v>
      </c>
      <c r="C148" t="inlineStr">
        <is>
          <t>CH</t>
        </is>
      </c>
      <c r="D148" t="inlineStr">
        <is>
          <t>kilogram</t>
        </is>
      </c>
      <c r="F148" t="inlineStr">
        <is>
          <t>technosphere</t>
        </is>
      </c>
      <c r="G148" t="inlineStr">
        <is>
          <t>Gasoline consumption [MJ/km]</t>
        </is>
      </c>
      <c r="H148" t="inlineStr">
        <is>
          <t>petrol, two-stroke blend</t>
        </is>
      </c>
    </row>
    <row r="149">
      <c r="A149" t="inlineStr">
        <is>
          <t>Carbon dioxide, fossil</t>
        </is>
      </c>
      <c r="B149" s="11" t="n">
        <v>0.1016915063148865</v>
      </c>
      <c r="D149" t="inlineStr">
        <is>
          <t>kilogram</t>
        </is>
      </c>
      <c r="E149" t="inlineStr">
        <is>
          <t>air::urban air close to ground</t>
        </is>
      </c>
      <c r="F149" t="inlineStr">
        <is>
          <t>biosphere</t>
        </is>
      </c>
      <c r="G149" t="inlineStr">
        <is>
          <t>CO2</t>
        </is>
      </c>
    </row>
    <row r="150">
      <c r="A150" t="inlineStr">
        <is>
          <t>Carbon dioxide, from soil or biomass stock</t>
        </is>
      </c>
      <c r="B150" s="11" t="n">
        <v>0</v>
      </c>
      <c r="D150" t="inlineStr">
        <is>
          <t>kilogram</t>
        </is>
      </c>
      <c r="E150" t="inlineStr">
        <is>
          <t>air::urban air close to ground</t>
        </is>
      </c>
      <c r="F150" t="inlineStr">
        <is>
          <t>biosphere</t>
        </is>
      </c>
      <c r="G150" t="inlineStr">
        <is>
          <t>CO2, bio</t>
        </is>
      </c>
    </row>
    <row r="151">
      <c r="A151" t="inlineStr">
        <is>
          <t>Sulfur dioxide</t>
        </is>
      </c>
      <c r="B151" s="7" t="n">
        <v>5.181732805854086e-07</v>
      </c>
      <c r="D151" t="inlineStr">
        <is>
          <t>kilogram</t>
        </is>
      </c>
      <c r="E151" t="inlineStr">
        <is>
          <t>air::urban air close to ground</t>
        </is>
      </c>
      <c r="F151" t="inlineStr">
        <is>
          <t>biosphere</t>
        </is>
      </c>
      <c r="G151" t="inlineStr">
        <is>
          <t>SO2</t>
        </is>
      </c>
    </row>
    <row r="152">
      <c r="A152" t="inlineStr">
        <is>
          <t>Benzene</t>
        </is>
      </c>
      <c r="B152" s="7" t="n">
        <v>8.388489181393033e-05</v>
      </c>
      <c r="D152" t="inlineStr">
        <is>
          <t>kilogram</t>
        </is>
      </c>
      <c r="E152" t="inlineStr">
        <is>
          <t>air::urban air close to ground</t>
        </is>
      </c>
      <c r="F152" t="inlineStr">
        <is>
          <t>biosphere</t>
        </is>
      </c>
      <c r="G152" t="inlineStr">
        <is>
          <t>Benzene</t>
        </is>
      </c>
    </row>
    <row r="153">
      <c r="A153" t="inlineStr">
        <is>
          <t>Methane, fossil</t>
        </is>
      </c>
      <c r="B153" s="7" t="n">
        <v>3.803589789241274e-05</v>
      </c>
      <c r="D153" t="inlineStr">
        <is>
          <t>kilogram</t>
        </is>
      </c>
      <c r="E153" t="inlineStr">
        <is>
          <t>air::urban air close to ground</t>
        </is>
      </c>
      <c r="F153" t="inlineStr">
        <is>
          <t>biosphere</t>
        </is>
      </c>
      <c r="G153" t="inlineStr">
        <is>
          <t>CH4</t>
        </is>
      </c>
    </row>
    <row r="154">
      <c r="A154" t="inlineStr">
        <is>
          <t>Carbon monoxide, fossil</t>
        </is>
      </c>
      <c r="B154" s="7" t="n">
        <v>0.004021909636017109</v>
      </c>
      <c r="D154" t="inlineStr">
        <is>
          <t>kilogram</t>
        </is>
      </c>
      <c r="E154" t="inlineStr">
        <is>
          <t>air::urban air close to ground</t>
        </is>
      </c>
      <c r="F154" t="inlineStr">
        <is>
          <t>biosphere</t>
        </is>
      </c>
      <c r="G154" t="inlineStr">
        <is>
          <t>CO</t>
        </is>
      </c>
    </row>
    <row r="155">
      <c r="A155" t="inlineStr">
        <is>
          <t>Dinitrogen monoxide</t>
        </is>
      </c>
      <c r="B155" s="7" t="n">
        <v>1.929776656134589e-06</v>
      </c>
      <c r="D155" t="inlineStr">
        <is>
          <t>kilogram</t>
        </is>
      </c>
      <c r="E155" t="inlineStr">
        <is>
          <t>air::urban air close to ground</t>
        </is>
      </c>
      <c r="F155" t="inlineStr">
        <is>
          <t>biosphere</t>
        </is>
      </c>
      <c r="G155" t="inlineStr">
        <is>
          <t>N2O</t>
        </is>
      </c>
    </row>
    <row r="156">
      <c r="A156" t="inlineStr">
        <is>
          <t>Ammonia</t>
        </is>
      </c>
      <c r="B156" s="7" t="n">
        <v>1.929776656134589e-06</v>
      </c>
      <c r="D156" t="inlineStr">
        <is>
          <t>kilogram</t>
        </is>
      </c>
      <c r="E156" t="inlineStr">
        <is>
          <t>air::urban air close to ground</t>
        </is>
      </c>
      <c r="F156" t="inlineStr">
        <is>
          <t>biosphere</t>
        </is>
      </c>
      <c r="G156" t="inlineStr">
        <is>
          <t>NH3</t>
        </is>
      </c>
    </row>
    <row r="157">
      <c r="A157" t="inlineStr">
        <is>
          <t>Nitrogen oxides</t>
        </is>
      </c>
      <c r="B157" s="7" t="n">
        <v>0.0001447153193850133</v>
      </c>
      <c r="D157" t="inlineStr">
        <is>
          <t>kilogram</t>
        </is>
      </c>
      <c r="E157" t="inlineStr">
        <is>
          <t>air::urban air close to ground</t>
        </is>
      </c>
      <c r="F157" t="inlineStr">
        <is>
          <t>biosphere</t>
        </is>
      </c>
      <c r="G157" t="inlineStr">
        <is>
          <t>NOx</t>
        </is>
      </c>
    </row>
    <row r="158">
      <c r="A158" t="inlineStr">
        <is>
          <t>Particulates, &lt; 2.5 um</t>
        </is>
      </c>
      <c r="B158" s="7" t="n">
        <v>1.108270733618095e-05</v>
      </c>
      <c r="D158" t="inlineStr">
        <is>
          <t>kilogram</t>
        </is>
      </c>
      <c r="E158" t="inlineStr">
        <is>
          <t>air::urban air close to ground</t>
        </is>
      </c>
      <c r="F158" t="inlineStr">
        <is>
          <t>biosphere</t>
        </is>
      </c>
      <c r="G158" t="inlineStr">
        <is>
          <t>PM2.5</t>
        </is>
      </c>
    </row>
    <row r="159">
      <c r="A159" t="inlineStr">
        <is>
          <t>NMVOC, non-methane volatile organic compounds, unspecified origin</t>
        </is>
      </c>
      <c r="B159" s="7" t="n">
        <v>0.0006764621222214276</v>
      </c>
      <c r="D159" t="inlineStr">
        <is>
          <t>kilogram</t>
        </is>
      </c>
      <c r="E159" t="inlineStr">
        <is>
          <t>air::urban air close to ground</t>
        </is>
      </c>
      <c r="F159" t="inlineStr">
        <is>
          <t>biosphere</t>
        </is>
      </c>
      <c r="G159" t="inlineStr">
        <is>
          <t>NMVOC</t>
        </is>
      </c>
    </row>
    <row r="160">
      <c r="A160" t="inlineStr">
        <is>
          <t>Ethane</t>
        </is>
      </c>
      <c r="B160" s="7" t="n">
        <v>4.769925220792117e-05</v>
      </c>
      <c r="D160" t="inlineStr">
        <is>
          <t>kilogram</t>
        </is>
      </c>
      <c r="E160" t="inlineStr">
        <is>
          <t>air::urban air close to ground</t>
        </is>
      </c>
      <c r="F160" t="inlineStr">
        <is>
          <t>biosphere</t>
        </is>
      </c>
      <c r="G160" t="inlineStr">
        <is>
          <t>Ethane</t>
        </is>
      </c>
    </row>
    <row r="161">
      <c r="A161" t="inlineStr">
        <is>
          <t>Propane</t>
        </is>
      </c>
      <c r="B161" s="7" t="n">
        <v>9.719283365250396e-06</v>
      </c>
      <c r="D161" t="inlineStr">
        <is>
          <t>kilogram</t>
        </is>
      </c>
      <c r="E161" t="inlineStr">
        <is>
          <t>air::urban air close to ground</t>
        </is>
      </c>
      <c r="F161" t="inlineStr">
        <is>
          <t>biosphere</t>
        </is>
      </c>
      <c r="G161" t="inlineStr">
        <is>
          <t>Propane</t>
        </is>
      </c>
    </row>
    <row r="162">
      <c r="A162" t="inlineStr">
        <is>
          <t>Butane</t>
        </is>
      </c>
      <c r="B162" s="7" t="n">
        <v>7.835237666755705e-05</v>
      </c>
      <c r="D162" t="inlineStr">
        <is>
          <t>kilogram</t>
        </is>
      </c>
      <c r="E162" t="inlineStr">
        <is>
          <t>air::urban air close to ground</t>
        </is>
      </c>
      <c r="F162" t="inlineStr">
        <is>
          <t>biosphere</t>
        </is>
      </c>
      <c r="G162" t="inlineStr">
        <is>
          <t>Butane</t>
        </is>
      </c>
    </row>
    <row r="163">
      <c r="A163" t="inlineStr">
        <is>
          <t>Pentane</t>
        </is>
      </c>
      <c r="B163" s="7" t="n">
        <v>3.214839882352054e-05</v>
      </c>
      <c r="D163" t="inlineStr">
        <is>
          <t>kilogram</t>
        </is>
      </c>
      <c r="E163" t="inlineStr">
        <is>
          <t>air::urban air close to ground</t>
        </is>
      </c>
      <c r="F163" t="inlineStr">
        <is>
          <t>biosphere</t>
        </is>
      </c>
      <c r="G163" t="inlineStr">
        <is>
          <t>Pentane</t>
        </is>
      </c>
    </row>
    <row r="164">
      <c r="A164" t="inlineStr">
        <is>
          <t>Hexane</t>
        </is>
      </c>
      <c r="B164" s="7" t="n">
        <v>2.407391725854329e-05</v>
      </c>
      <c r="D164" t="inlineStr">
        <is>
          <t>kilogram</t>
        </is>
      </c>
      <c r="E164" t="inlineStr">
        <is>
          <t>air::urban air close to ground</t>
        </is>
      </c>
      <c r="F164" t="inlineStr">
        <is>
          <t>biosphere</t>
        </is>
      </c>
      <c r="G164" t="inlineStr">
        <is>
          <t>Hexane</t>
        </is>
      </c>
    </row>
    <row r="165">
      <c r="A165" t="inlineStr">
        <is>
          <t>Cyclohexane</t>
        </is>
      </c>
      <c r="B165" s="7" t="n">
        <v>1.704612774828531e-05</v>
      </c>
      <c r="D165" t="inlineStr">
        <is>
          <t>kilogram</t>
        </is>
      </c>
      <c r="E165" t="inlineStr">
        <is>
          <t>air::urban air close to ground</t>
        </is>
      </c>
      <c r="F165" t="inlineStr">
        <is>
          <t>biosphere</t>
        </is>
      </c>
      <c r="G165" t="inlineStr">
        <is>
          <t>Cyclohexane</t>
        </is>
      </c>
    </row>
    <row r="166">
      <c r="A166" t="inlineStr">
        <is>
          <t>Heptane</t>
        </is>
      </c>
      <c r="B166" s="7" t="n">
        <v>1.10650302927466e-05</v>
      </c>
      <c r="D166" t="inlineStr">
        <is>
          <t>kilogram</t>
        </is>
      </c>
      <c r="E166" t="inlineStr">
        <is>
          <t>air::urban air close to ground</t>
        </is>
      </c>
      <c r="F166" t="inlineStr">
        <is>
          <t>biosphere</t>
        </is>
      </c>
      <c r="G166" t="inlineStr">
        <is>
          <t>Heptane</t>
        </is>
      </c>
    </row>
    <row r="167">
      <c r="A167" t="inlineStr">
        <is>
          <t>Ethene</t>
        </is>
      </c>
      <c r="B167" s="7" t="n">
        <v>0.0001091550285635814</v>
      </c>
      <c r="D167" t="inlineStr">
        <is>
          <t>kilogram</t>
        </is>
      </c>
      <c r="E167" t="inlineStr">
        <is>
          <t>air::urban air close to ground</t>
        </is>
      </c>
      <c r="F167" t="inlineStr">
        <is>
          <t>biosphere</t>
        </is>
      </c>
      <c r="G167" t="inlineStr">
        <is>
          <t>Ethene</t>
        </is>
      </c>
    </row>
    <row r="168">
      <c r="A168" t="inlineStr">
        <is>
          <t>Propene</t>
        </is>
      </c>
      <c r="B168" s="7" t="n">
        <v>5.711948070039463e-05</v>
      </c>
      <c r="D168" t="inlineStr">
        <is>
          <t>kilogram</t>
        </is>
      </c>
      <c r="E168" t="inlineStr">
        <is>
          <t>air::urban air close to ground</t>
        </is>
      </c>
      <c r="F168" t="inlineStr">
        <is>
          <t>biosphere</t>
        </is>
      </c>
      <c r="G168" t="inlineStr">
        <is>
          <t>Propene</t>
        </is>
      </c>
    </row>
    <row r="169">
      <c r="A169" t="inlineStr">
        <is>
          <t>1-Pentene</t>
        </is>
      </c>
      <c r="B169" s="7" t="n">
        <v>1.644801800273144e-06</v>
      </c>
      <c r="D169" t="inlineStr">
        <is>
          <t>kilogram</t>
        </is>
      </c>
      <c r="E169" t="inlineStr">
        <is>
          <t>air::urban air close to ground</t>
        </is>
      </c>
      <c r="F169" t="inlineStr">
        <is>
          <t>biosphere</t>
        </is>
      </c>
      <c r="G169" t="inlineStr">
        <is>
          <t>1-Pentene</t>
        </is>
      </c>
    </row>
    <row r="170">
      <c r="A170" t="inlineStr">
        <is>
          <t>Toluene</t>
        </is>
      </c>
      <c r="B170" s="7" t="n">
        <v>0.0001641811251545375</v>
      </c>
      <c r="D170" t="inlineStr">
        <is>
          <t>kilogram</t>
        </is>
      </c>
      <c r="E170" t="inlineStr">
        <is>
          <t>air::urban air close to ground</t>
        </is>
      </c>
      <c r="F170" t="inlineStr">
        <is>
          <t>biosphere</t>
        </is>
      </c>
      <c r="G170" t="inlineStr">
        <is>
          <t>Toluene</t>
        </is>
      </c>
    </row>
    <row r="171">
      <c r="A171" t="inlineStr">
        <is>
          <t>m-Xylene</t>
        </is>
      </c>
      <c r="B171" s="7" t="n">
        <v>8.119339795893793e-05</v>
      </c>
      <c r="D171" t="inlineStr">
        <is>
          <t>kilogram</t>
        </is>
      </c>
      <c r="E171" t="inlineStr">
        <is>
          <t>air::urban air close to ground</t>
        </is>
      </c>
      <c r="F171" t="inlineStr">
        <is>
          <t>biosphere</t>
        </is>
      </c>
      <c r="G171" t="inlineStr">
        <is>
          <t>m-Xylene</t>
        </is>
      </c>
    </row>
    <row r="172">
      <c r="A172" t="inlineStr">
        <is>
          <t>o-Xylene</t>
        </is>
      </c>
      <c r="B172" s="7" t="n">
        <v>3.379320062379368e-05</v>
      </c>
      <c r="D172" t="inlineStr">
        <is>
          <t>kilogram</t>
        </is>
      </c>
      <c r="E172" t="inlineStr">
        <is>
          <t>air::urban air close to ground</t>
        </is>
      </c>
      <c r="F172" t="inlineStr">
        <is>
          <t>biosphere</t>
        </is>
      </c>
      <c r="G172" t="inlineStr">
        <is>
          <t>o-Xylene</t>
        </is>
      </c>
    </row>
    <row r="173">
      <c r="A173" t="inlineStr">
        <is>
          <t>Formaldehyde</t>
        </is>
      </c>
      <c r="B173" s="7" t="n">
        <v>2.54196641860395e-05</v>
      </c>
      <c r="D173" t="inlineStr">
        <is>
          <t>kilogram</t>
        </is>
      </c>
      <c r="E173" t="inlineStr">
        <is>
          <t>air::urban air close to ground</t>
        </is>
      </c>
      <c r="F173" t="inlineStr">
        <is>
          <t>biosphere</t>
        </is>
      </c>
      <c r="G173" t="inlineStr">
        <is>
          <t>Formaldehyde</t>
        </is>
      </c>
    </row>
    <row r="174">
      <c r="A174" t="inlineStr">
        <is>
          <t>Acetaldehyde</t>
        </is>
      </c>
      <c r="B174" s="7" t="n">
        <v>1.121455772913507e-05</v>
      </c>
      <c r="D174" t="inlineStr">
        <is>
          <t>kilogram</t>
        </is>
      </c>
      <c r="E174" t="inlineStr">
        <is>
          <t>air::urban air close to ground</t>
        </is>
      </c>
      <c r="F174" t="inlineStr">
        <is>
          <t>biosphere</t>
        </is>
      </c>
      <c r="G174" t="inlineStr">
        <is>
          <t>Acetaldehyde</t>
        </is>
      </c>
    </row>
    <row r="175">
      <c r="A175" t="inlineStr">
        <is>
          <t>Benzaldehyde</t>
        </is>
      </c>
      <c r="B175" s="7" t="n">
        <v>3.289603600546288e-06</v>
      </c>
      <c r="D175" t="inlineStr">
        <is>
          <t>kilogram</t>
        </is>
      </c>
      <c r="E175" t="inlineStr">
        <is>
          <t>air::urban air close to ground</t>
        </is>
      </c>
      <c r="F175" t="inlineStr">
        <is>
          <t>biosphere</t>
        </is>
      </c>
      <c r="G175" t="inlineStr">
        <is>
          <t>Benzaldehyde</t>
        </is>
      </c>
    </row>
    <row r="176">
      <c r="A176" t="inlineStr">
        <is>
          <t>Acetone</t>
        </is>
      </c>
      <c r="B176" s="7" t="n">
        <v>9.121173619696527e-06</v>
      </c>
      <c r="D176" t="inlineStr">
        <is>
          <t>kilogram</t>
        </is>
      </c>
      <c r="E176" t="inlineStr">
        <is>
          <t>air::urban air close to ground</t>
        </is>
      </c>
      <c r="F176" t="inlineStr">
        <is>
          <t>biosphere</t>
        </is>
      </c>
      <c r="G176" t="inlineStr">
        <is>
          <t>Acetone</t>
        </is>
      </c>
    </row>
    <row r="177">
      <c r="A177" t="inlineStr">
        <is>
          <t>Methyl ethyl ketone</t>
        </is>
      </c>
      <c r="B177" s="7" t="n">
        <v>0</v>
      </c>
      <c r="D177" t="inlineStr">
        <is>
          <t>kilogram</t>
        </is>
      </c>
      <c r="E177" t="inlineStr">
        <is>
          <t>air::urban air close to ground</t>
        </is>
      </c>
      <c r="F177" t="inlineStr">
        <is>
          <t>biosphere</t>
        </is>
      </c>
      <c r="G177" t="inlineStr">
        <is>
          <t>Methyl ethyl ketone</t>
        </is>
      </c>
    </row>
    <row r="178">
      <c r="A178" t="inlineStr">
        <is>
          <t>Acrolein</t>
        </is>
      </c>
      <c r="B178" s="7" t="n">
        <v>2.841021291380885e-06</v>
      </c>
      <c r="D178" t="inlineStr">
        <is>
          <t>kilogram</t>
        </is>
      </c>
      <c r="E178" t="inlineStr">
        <is>
          <t>air::urban air close to ground</t>
        </is>
      </c>
      <c r="F178" t="inlineStr">
        <is>
          <t>biosphere</t>
        </is>
      </c>
      <c r="G178" t="inlineStr">
        <is>
          <t>Acrolein</t>
        </is>
      </c>
    </row>
    <row r="179">
      <c r="A179" t="inlineStr">
        <is>
          <t>Styrene</t>
        </is>
      </c>
      <c r="B179" s="7" t="n">
        <v>1.510227107523523e-05</v>
      </c>
      <c r="D179" t="inlineStr">
        <is>
          <t>kilogram</t>
        </is>
      </c>
      <c r="E179" t="inlineStr">
        <is>
          <t>air::urban air close to ground</t>
        </is>
      </c>
      <c r="F179" t="inlineStr">
        <is>
          <t>biosphere</t>
        </is>
      </c>
      <c r="G179" t="inlineStr">
        <is>
          <t>Styrene</t>
        </is>
      </c>
    </row>
    <row r="180">
      <c r="A180" t="inlineStr">
        <is>
          <t>PAH, polycyclic aromatic hydrocarbons</t>
        </is>
      </c>
      <c r="B180" s="7" t="n">
        <v>1.129678713238613e-09</v>
      </c>
      <c r="D180" t="inlineStr">
        <is>
          <t>kilogram</t>
        </is>
      </c>
      <c r="E180" t="inlineStr">
        <is>
          <t>air::urban air close to ground</t>
        </is>
      </c>
      <c r="F180" t="inlineStr">
        <is>
          <t>biosphere</t>
        </is>
      </c>
      <c r="G180" t="inlineStr">
        <is>
          <t>PAHs</t>
        </is>
      </c>
    </row>
    <row r="181">
      <c r="A181" t="inlineStr">
        <is>
          <t>Arsenic</t>
        </is>
      </c>
      <c r="B181" s="7" t="n">
        <v>9.738609596884594e-12</v>
      </c>
      <c r="D181" t="inlineStr">
        <is>
          <t>kilogram</t>
        </is>
      </c>
      <c r="E181" t="inlineStr">
        <is>
          <t>air::urban air close to ground</t>
        </is>
      </c>
      <c r="F181" t="inlineStr">
        <is>
          <t>biosphere</t>
        </is>
      </c>
      <c r="G181" t="inlineStr">
        <is>
          <t>Arsenic</t>
        </is>
      </c>
    </row>
    <row r="182">
      <c r="A182" t="inlineStr">
        <is>
          <t>Selenium</t>
        </is>
      </c>
      <c r="B182" s="7" t="n">
        <v>6.492406397923062e-12</v>
      </c>
      <c r="D182" t="inlineStr">
        <is>
          <t>kilogram</t>
        </is>
      </c>
      <c r="E182" t="inlineStr">
        <is>
          <t>air::urban air close to ground</t>
        </is>
      </c>
      <c r="F182" t="inlineStr">
        <is>
          <t>biosphere</t>
        </is>
      </c>
      <c r="G182" t="inlineStr">
        <is>
          <t>Selenium</t>
        </is>
      </c>
    </row>
    <row r="183">
      <c r="A183" t="inlineStr">
        <is>
          <t>Zinc</t>
        </is>
      </c>
      <c r="B183" s="7" t="n">
        <v>7.011798909756908e-08</v>
      </c>
      <c r="D183" t="inlineStr">
        <is>
          <t>kilogram</t>
        </is>
      </c>
      <c r="E183" t="inlineStr">
        <is>
          <t>air::urban air close to ground</t>
        </is>
      </c>
      <c r="F183" t="inlineStr">
        <is>
          <t>biosphere</t>
        </is>
      </c>
      <c r="G183" t="inlineStr">
        <is>
          <t>Zinc</t>
        </is>
      </c>
    </row>
    <row r="184">
      <c r="A184" t="inlineStr">
        <is>
          <t>Copper</t>
        </is>
      </c>
      <c r="B184" s="7" t="n">
        <v>1.363405343563843e-09</v>
      </c>
      <c r="D184" t="inlineStr">
        <is>
          <t>kilogram</t>
        </is>
      </c>
      <c r="E184" t="inlineStr">
        <is>
          <t>air::urban air close to ground</t>
        </is>
      </c>
      <c r="F184" t="inlineStr">
        <is>
          <t>biosphere</t>
        </is>
      </c>
      <c r="G184" t="inlineStr">
        <is>
          <t>Copper</t>
        </is>
      </c>
    </row>
    <row r="185">
      <c r="A185" t="inlineStr">
        <is>
          <t>Nickel</t>
        </is>
      </c>
      <c r="B185" s="7" t="n">
        <v>4.220064158649991e-10</v>
      </c>
      <c r="D185" t="inlineStr">
        <is>
          <t>kilogram</t>
        </is>
      </c>
      <c r="E185" t="inlineStr">
        <is>
          <t>air::urban air close to ground</t>
        </is>
      </c>
      <c r="F185" t="inlineStr">
        <is>
          <t>biosphere</t>
        </is>
      </c>
      <c r="G185" t="inlineStr">
        <is>
          <t>Nickel</t>
        </is>
      </c>
    </row>
    <row r="186">
      <c r="A186" t="inlineStr">
        <is>
          <t>Chromium</t>
        </is>
      </c>
      <c r="B186" s="7" t="n">
        <v>5.193925118338451e-10</v>
      </c>
      <c r="D186" t="inlineStr">
        <is>
          <t>kilogram</t>
        </is>
      </c>
      <c r="E186" t="inlineStr">
        <is>
          <t>air::urban air close to ground</t>
        </is>
      </c>
      <c r="F186" t="inlineStr">
        <is>
          <t>biosphere</t>
        </is>
      </c>
      <c r="G186" t="inlineStr">
        <is>
          <t>Chromium</t>
        </is>
      </c>
    </row>
    <row r="187">
      <c r="A187" t="inlineStr">
        <is>
          <t>Chromium VI</t>
        </is>
      </c>
      <c r="B187" s="7" t="n">
        <v>1.03878502366769e-12</v>
      </c>
      <c r="D187" t="inlineStr">
        <is>
          <t>kilogram</t>
        </is>
      </c>
      <c r="E187" t="inlineStr">
        <is>
          <t>air::urban air close to ground</t>
        </is>
      </c>
      <c r="F187" t="inlineStr">
        <is>
          <t>biosphere</t>
        </is>
      </c>
      <c r="G187" t="inlineStr">
        <is>
          <t>Chromium VI</t>
        </is>
      </c>
    </row>
    <row r="188">
      <c r="A188" t="inlineStr">
        <is>
          <t>Mercury</t>
        </is>
      </c>
      <c r="B188" s="7" t="n">
        <v>2.824196783096532e-10</v>
      </c>
      <c r="D188" t="inlineStr">
        <is>
          <t>kilogram</t>
        </is>
      </c>
      <c r="E188" t="inlineStr">
        <is>
          <t>air::urban air close to ground</t>
        </is>
      </c>
      <c r="F188" t="inlineStr">
        <is>
          <t>biosphere</t>
        </is>
      </c>
      <c r="G188" t="inlineStr">
        <is>
          <t>Mercury</t>
        </is>
      </c>
    </row>
    <row r="189">
      <c r="A189" t="inlineStr">
        <is>
          <t>Cadmium</t>
        </is>
      </c>
      <c r="B189" s="7" t="n">
        <v>3.505899454878455e-10</v>
      </c>
      <c r="D189" t="inlineStr">
        <is>
          <t>kilogram</t>
        </is>
      </c>
      <c r="E189" t="inlineStr">
        <is>
          <t>air::urban air close to ground</t>
        </is>
      </c>
      <c r="F189" t="inlineStr">
        <is>
          <t>biosphere</t>
        </is>
      </c>
      <c r="G189" t="inlineStr">
        <is>
          <t>Cadmium</t>
        </is>
      </c>
    </row>
    <row r="190">
      <c r="A190" t="inlineStr">
        <is>
          <t>treatment of road wear emissions, passenger car</t>
        </is>
      </c>
      <c r="B190" s="7" t="n">
        <v>-6.485404610104689e-06</v>
      </c>
      <c r="C190" t="inlineStr">
        <is>
          <t>RER</t>
        </is>
      </c>
      <c r="D190" t="inlineStr">
        <is>
          <t>kilogram</t>
        </is>
      </c>
      <c r="F190" t="inlineStr">
        <is>
          <t>technosphere</t>
        </is>
      </c>
      <c r="G190" t="inlineStr">
        <is>
          <t>Road wear [kg/km]</t>
        </is>
      </c>
      <c r="H190" t="inlineStr">
        <is>
          <t>road wear emissions, passenger car</t>
        </is>
      </c>
    </row>
    <row r="191">
      <c r="A191" t="inlineStr">
        <is>
          <t>treatment of tyre wear emissions, passenger car</t>
        </is>
      </c>
      <c r="B191" s="7" t="n">
        <v>-5.241262005245985e-06</v>
      </c>
      <c r="C191" t="inlineStr">
        <is>
          <t>RER</t>
        </is>
      </c>
      <c r="D191" t="inlineStr">
        <is>
          <t>kilogram</t>
        </is>
      </c>
      <c r="F191" t="inlineStr">
        <is>
          <t>technosphere</t>
        </is>
      </c>
      <c r="G191" t="inlineStr">
        <is>
          <t>Tire wear [kg/km]</t>
        </is>
      </c>
      <c r="H191" t="inlineStr">
        <is>
          <t>tyre wear emissions, passenger car</t>
        </is>
      </c>
    </row>
    <row r="192">
      <c r="A192" t="inlineStr">
        <is>
          <t>treatment of brake wear emissions, passenger car</t>
        </is>
      </c>
      <c r="B192" s="7" t="n">
        <v>-3.669665279446151e-06</v>
      </c>
      <c r="C192" t="inlineStr">
        <is>
          <t>RER</t>
        </is>
      </c>
      <c r="D192" t="inlineStr">
        <is>
          <t>kilogram</t>
        </is>
      </c>
      <c r="F192" t="inlineStr">
        <is>
          <t>technosphere</t>
        </is>
      </c>
      <c r="G192" t="inlineStr">
        <is>
          <t>Brake wear [kg/km]</t>
        </is>
      </c>
      <c r="H192" t="inlineStr">
        <is>
          <t>brake wear emissions, passenger car</t>
        </is>
      </c>
    </row>
    <row r="193"/>
    <row r="194" ht="16" customHeight="1">
      <c r="A194" s="10" t="inlineStr">
        <is>
          <t>Activity</t>
        </is>
      </c>
      <c r="B194" s="8" t="inlineStr">
        <is>
          <t>transport, Scooter, gasoline, &lt;4kW, EURO-4</t>
        </is>
      </c>
    </row>
    <row r="195">
      <c r="A195" t="inlineStr">
        <is>
          <t>location</t>
        </is>
      </c>
      <c r="B195" t="inlineStr">
        <is>
          <t>CH</t>
        </is>
      </c>
    </row>
    <row r="196">
      <c r="A196" t="inlineStr">
        <is>
          <t>vehicle</t>
        </is>
      </c>
      <c r="B196" t="inlineStr">
        <is>
          <t>Scooter, gasoline, &lt;4kW, EURO-4</t>
        </is>
      </c>
    </row>
    <row r="197">
      <c r="A197" t="inlineStr">
        <is>
          <t>size</t>
        </is>
      </c>
    </row>
    <row r="198">
      <c r="A198" t="inlineStr">
        <is>
          <t>year</t>
        </is>
      </c>
      <c r="B198" t="n">
        <v>2016</v>
      </c>
    </row>
    <row r="199">
      <c r="A199" t="inlineStr">
        <is>
          <t>full name</t>
        </is>
      </c>
      <c r="B199" t="inlineStr">
        <is>
          <t>Scooter, gasoline, &lt;4kW, EURO-4 - 2016 - CH</t>
        </is>
      </c>
    </row>
    <row r="200">
      <c r="A200" t="inlineStr">
        <is>
          <t>reference product</t>
        </is>
      </c>
      <c r="B200" t="inlineStr">
        <is>
          <t>transport, Scooter, gasoline, &lt;4kW, EURO-4</t>
        </is>
      </c>
    </row>
    <row r="201">
      <c r="A201" t="inlineStr">
        <is>
          <t>type</t>
        </is>
      </c>
      <c r="B201" t="inlineStr">
        <is>
          <t>process</t>
        </is>
      </c>
    </row>
    <row r="202">
      <c r="A202" t="inlineStr">
        <is>
          <t>unit</t>
        </is>
      </c>
      <c r="B202" t="inlineStr">
        <is>
          <t>kilometer</t>
        </is>
      </c>
    </row>
    <row r="203">
      <c r="A203" t="inlineStr">
        <is>
          <t>source</t>
        </is>
      </c>
      <c r="B203" t="inlineStr">
        <is>
          <t>Sacchi R., Bauer C. Life cycle inventories for on-road vehicles. Paul Scherrer Institut, 2021.</t>
        </is>
      </c>
    </row>
    <row r="204">
      <c r="A204" t="inlineStr">
        <is>
          <t>lifetime</t>
        </is>
      </c>
      <c r="B204" t="n">
        <v>25000</v>
      </c>
    </row>
    <row r="205">
      <c r="A205" t="inlineStr">
        <is>
          <t>passengers</t>
        </is>
      </c>
      <c r="B205" t="n">
        <v>1</v>
      </c>
    </row>
    <row r="206">
      <c r="A206" t="inlineStr">
        <is>
          <t>service</t>
        </is>
      </c>
      <c r="B206" t="n">
        <v>1</v>
      </c>
    </row>
    <row r="207">
      <c r="A207" t="inlineStr">
        <is>
          <t>battery replacement</t>
        </is>
      </c>
      <c r="B207" t="n">
        <v>0</v>
      </c>
    </row>
    <row r="208">
      <c r="A208" t="inlineStr">
        <is>
          <t>annual kilometers</t>
        </is>
      </c>
      <c r="B208" t="n">
        <v>1570</v>
      </c>
    </row>
    <row r="209">
      <c r="A209" t="inlineStr">
        <is>
          <t>curb mass</t>
        </is>
      </c>
      <c r="B209" s="2" t="n">
        <v>92.0975</v>
      </c>
    </row>
    <row r="210">
      <c r="A210" t="inlineStr">
        <is>
          <t>power</t>
        </is>
      </c>
      <c r="B210" t="n">
        <v>2.8</v>
      </c>
    </row>
    <row r="211">
      <c r="A211" t="inlineStr">
        <is>
          <t>battery mass</t>
        </is>
      </c>
    </row>
    <row r="212">
      <c r="A212" t="inlineStr">
        <is>
          <t>electricity, low voltage</t>
        </is>
      </c>
      <c r="B212" t="n">
        <v>0</v>
      </c>
    </row>
    <row r="213">
      <c r="A213" t="inlineStr">
        <is>
          <t>tank capacity</t>
        </is>
      </c>
      <c r="B213" s="2" t="n">
        <v>62.125</v>
      </c>
    </row>
    <row r="214">
      <c r="A214" t="inlineStr">
        <is>
          <t>fuel mass</t>
        </is>
      </c>
      <c r="B214" t="n">
        <v>5.25</v>
      </c>
    </row>
    <row r="215">
      <c r="A215" t="inlineStr">
        <is>
          <t>range</t>
        </is>
      </c>
      <c r="B215" s="2" t="n">
        <v>171.8344101019772</v>
      </c>
    </row>
    <row r="216">
      <c r="A216" t="inlineStr">
        <is>
          <t>emission standard</t>
        </is>
      </c>
      <c r="B216" t="inlineStr">
        <is>
          <t>EURO-4</t>
        </is>
      </c>
    </row>
    <row r="217">
      <c r="A217" t="inlineStr">
        <is>
          <t>Glider lightweighting</t>
        </is>
      </c>
      <c r="B217" s="6" t="n">
        <v>-0.02</v>
      </c>
    </row>
    <row r="218">
      <c r="A218" t="inlineStr">
        <is>
          <t>comment</t>
        </is>
      </c>
      <c r="B218" t="inlineStr">
        <is>
          <t>Power: 2.8 kW. Lifetime: 25000 km. Annual kilometers: 1570 km. Number of passengers: 1. Curb mass: 92.1 kg. Lightweighting of glider: -2%. Emission standard: EURO-4. Service visits throughout lifetime: 1. Range: 172 km. Fuel tank capacity: 62.1 kWh. Fuel mass: 5.3 kg. Documentation: Life-cycle inventories for on-road vehicles, Sacchi R. (PSI), Bauer C. (PSI), 2021. Sacchi R., Bauer C. Life cycle inventories for on-road vehicles. Paul Scherrer Institut, 2021.</t>
        </is>
      </c>
    </row>
    <row r="219" ht="16" customHeight="1">
      <c r="A219" s="10" t="inlineStr">
        <is>
          <t>Exchanges</t>
        </is>
      </c>
    </row>
    <row r="220">
      <c r="A220" t="inlineStr">
        <is>
          <t>name</t>
        </is>
      </c>
      <c r="B220" t="inlineStr">
        <is>
          <t>amount</t>
        </is>
      </c>
      <c r="C220" t="inlineStr">
        <is>
          <t>location</t>
        </is>
      </c>
      <c r="D220" t="inlineStr">
        <is>
          <t>unit</t>
        </is>
      </c>
      <c r="E220" t="inlineStr">
        <is>
          <t>categories</t>
        </is>
      </c>
      <c r="F220" t="inlineStr">
        <is>
          <t>type</t>
        </is>
      </c>
      <c r="G220" t="inlineStr">
        <is>
          <t>comment</t>
        </is>
      </c>
      <c r="H220" t="inlineStr">
        <is>
          <t>reference product</t>
        </is>
      </c>
    </row>
    <row r="221">
      <c r="A221" t="inlineStr">
        <is>
          <t>transport, Scooter, gasoline, &lt;4kW, EURO-4</t>
        </is>
      </c>
      <c r="B221" t="n">
        <v>1</v>
      </c>
      <c r="C221" t="inlineStr">
        <is>
          <t>CH</t>
        </is>
      </c>
      <c r="D221" t="inlineStr">
        <is>
          <t>kilometer</t>
        </is>
      </c>
      <c r="F221" t="inlineStr">
        <is>
          <t>production</t>
        </is>
      </c>
      <c r="H221" t="inlineStr">
        <is>
          <t>transport, Scooter, gasoline, &lt;4kW, EURO-4</t>
        </is>
      </c>
    </row>
    <row r="222">
      <c r="A222" t="inlineStr">
        <is>
          <t>Scooter, gasoline, &lt;4kW, EURO-4</t>
        </is>
      </c>
      <c r="B222" s="7" t="n">
        <v>4e-05</v>
      </c>
      <c r="C222" t="inlineStr">
        <is>
          <t>CH</t>
        </is>
      </c>
      <c r="D222" t="inlineStr">
        <is>
          <t>unit</t>
        </is>
      </c>
      <c r="F222" t="inlineStr">
        <is>
          <t>technosphere</t>
        </is>
      </c>
      <c r="H222" t="inlineStr">
        <is>
          <t>Scooter, gasoline, &lt;4kW, EURO-4</t>
        </is>
      </c>
    </row>
    <row r="223">
      <c r="A223" t="inlineStr">
        <is>
          <t>road construction</t>
        </is>
      </c>
      <c r="B223" s="7" t="n">
        <v>9.18793575e-05</v>
      </c>
      <c r="C223" t="inlineStr">
        <is>
          <t>CH</t>
        </is>
      </c>
      <c r="D223" t="inlineStr">
        <is>
          <t>meter-year</t>
        </is>
      </c>
      <c r="F223" t="inlineStr">
        <is>
          <t>technosphere</t>
        </is>
      </c>
      <c r="G223" t="inlineStr">
        <is>
          <t>Road/track use [m*year/vkm or pkm]</t>
        </is>
      </c>
      <c r="H223" t="inlineStr">
        <is>
          <t>road</t>
        </is>
      </c>
    </row>
    <row r="224">
      <c r="A224" t="inlineStr">
        <is>
          <t>road maintenance</t>
        </is>
      </c>
      <c r="B224" s="7" t="n">
        <v>0.00129</v>
      </c>
      <c r="C224" t="inlineStr">
        <is>
          <t>CH</t>
        </is>
      </c>
      <c r="D224" t="inlineStr">
        <is>
          <t>meter-year</t>
        </is>
      </c>
      <c r="F224" t="inlineStr">
        <is>
          <t>technosphere</t>
        </is>
      </c>
      <c r="G224" t="inlineStr">
        <is>
          <t>Road maintenance [m*year/vkm]</t>
        </is>
      </c>
      <c r="H224" t="inlineStr">
        <is>
          <t>road maintenance</t>
        </is>
      </c>
    </row>
    <row r="225">
      <c r="A225" t="inlineStr">
        <is>
          <t>maintenance, motor scooter</t>
        </is>
      </c>
      <c r="B225" s="7" t="n">
        <v>4e-05</v>
      </c>
      <c r="C225" t="inlineStr">
        <is>
          <t>CH</t>
        </is>
      </c>
      <c r="D225" t="inlineStr">
        <is>
          <t>unit</t>
        </is>
      </c>
      <c r="F225" t="inlineStr">
        <is>
          <t>technosphere</t>
        </is>
      </c>
      <c r="G225" t="inlineStr">
        <is>
          <t>Servicing [unit]</t>
        </is>
      </c>
      <c r="H225" t="inlineStr">
        <is>
          <t>maintenance, motor scooter</t>
        </is>
      </c>
    </row>
    <row r="226">
      <c r="A226" t="inlineStr">
        <is>
          <t>petrol blending for two-stroke engines</t>
        </is>
      </c>
      <c r="B226" s="7" t="n">
        <v>0.03055266984583778</v>
      </c>
      <c r="C226" t="inlineStr">
        <is>
          <t>CH</t>
        </is>
      </c>
      <c r="D226" t="inlineStr">
        <is>
          <t>kilogram</t>
        </is>
      </c>
      <c r="F226" t="inlineStr">
        <is>
          <t>technosphere</t>
        </is>
      </c>
      <c r="G226" t="inlineStr">
        <is>
          <t>Gasoline consumption [MJ/km]</t>
        </is>
      </c>
      <c r="H226" t="inlineStr">
        <is>
          <t>petrol, two-stroke blend</t>
        </is>
      </c>
    </row>
    <row r="227">
      <c r="A227" t="inlineStr">
        <is>
          <t>Carbon dioxide, fossil</t>
        </is>
      </c>
      <c r="B227" s="11" t="n">
        <v>0.09593538331593061</v>
      </c>
      <c r="D227" t="inlineStr">
        <is>
          <t>kilogram</t>
        </is>
      </c>
      <c r="E227" t="inlineStr">
        <is>
          <t>air::urban air close to ground</t>
        </is>
      </c>
      <c r="F227" t="inlineStr">
        <is>
          <t>biosphere</t>
        </is>
      </c>
      <c r="G227" t="inlineStr">
        <is>
          <t>CO2</t>
        </is>
      </c>
    </row>
    <row r="228">
      <c r="A228" t="inlineStr">
        <is>
          <t>Carbon dioxide, from soil or biomass stock</t>
        </is>
      </c>
      <c r="B228" s="11" t="n">
        <v>0</v>
      </c>
      <c r="D228" t="inlineStr">
        <is>
          <t>kilogram</t>
        </is>
      </c>
      <c r="E228" t="inlineStr">
        <is>
          <t>air::urban air close to ground</t>
        </is>
      </c>
      <c r="F228" t="inlineStr">
        <is>
          <t>biosphere</t>
        </is>
      </c>
      <c r="G228" t="inlineStr">
        <is>
          <t>CO2, bio</t>
        </is>
      </c>
    </row>
    <row r="229">
      <c r="A229" t="inlineStr">
        <is>
          <t>Sulfur dioxide</t>
        </is>
      </c>
      <c r="B229" s="7" t="n">
        <v>4.888427175334044e-07</v>
      </c>
      <c r="D229" t="inlineStr">
        <is>
          <t>kilogram</t>
        </is>
      </c>
      <c r="E229" t="inlineStr">
        <is>
          <t>air::urban air close to ground</t>
        </is>
      </c>
      <c r="F229" t="inlineStr">
        <is>
          <t>biosphere</t>
        </is>
      </c>
      <c r="G229" t="inlineStr">
        <is>
          <t>SO2</t>
        </is>
      </c>
    </row>
    <row r="230">
      <c r="A230" t="inlineStr">
        <is>
          <t>Benzene</t>
        </is>
      </c>
      <c r="B230" s="7" t="n">
        <v>7.913669039050031e-05</v>
      </c>
      <c r="D230" t="inlineStr">
        <is>
          <t>kilogram</t>
        </is>
      </c>
      <c r="E230" t="inlineStr">
        <is>
          <t>air::urban air close to ground</t>
        </is>
      </c>
      <c r="F230" t="inlineStr">
        <is>
          <t>biosphere</t>
        </is>
      </c>
      <c r="G230" t="inlineStr">
        <is>
          <t>Benzene</t>
        </is>
      </c>
    </row>
    <row r="231">
      <c r="A231" t="inlineStr">
        <is>
          <t>Methane, fossil</t>
        </is>
      </c>
      <c r="B231" s="7" t="n">
        <v>3.588292254001202e-05</v>
      </c>
      <c r="D231" t="inlineStr">
        <is>
          <t>kilogram</t>
        </is>
      </c>
      <c r="E231" t="inlineStr">
        <is>
          <t>air::urban air close to ground</t>
        </is>
      </c>
      <c r="F231" t="inlineStr">
        <is>
          <t>biosphere</t>
        </is>
      </c>
      <c r="G231" t="inlineStr">
        <is>
          <t>CH4</t>
        </is>
      </c>
    </row>
    <row r="232">
      <c r="A232" t="inlineStr">
        <is>
          <t>Carbon monoxide, fossil</t>
        </is>
      </c>
      <c r="B232" s="7" t="n">
        <v>0.003794254373601047</v>
      </c>
      <c r="D232" t="inlineStr">
        <is>
          <t>kilogram</t>
        </is>
      </c>
      <c r="E232" t="inlineStr">
        <is>
          <t>air::urban air close to ground</t>
        </is>
      </c>
      <c r="F232" t="inlineStr">
        <is>
          <t>biosphere</t>
        </is>
      </c>
      <c r="G232" t="inlineStr">
        <is>
          <t>CO</t>
        </is>
      </c>
    </row>
    <row r="233">
      <c r="A233" t="inlineStr">
        <is>
          <t>Dinitrogen monoxide</t>
        </is>
      </c>
      <c r="B233" s="7" t="n">
        <v>1.820544015221311e-06</v>
      </c>
      <c r="D233" t="inlineStr">
        <is>
          <t>kilogram</t>
        </is>
      </c>
      <c r="E233" t="inlineStr">
        <is>
          <t>air::urban air close to ground</t>
        </is>
      </c>
      <c r="F233" t="inlineStr">
        <is>
          <t>biosphere</t>
        </is>
      </c>
      <c r="G233" t="inlineStr">
        <is>
          <t>N2O</t>
        </is>
      </c>
    </row>
    <row r="234">
      <c r="A234" t="inlineStr">
        <is>
          <t>Ammonia</t>
        </is>
      </c>
      <c r="B234" s="7" t="n">
        <v>1.820544015221311e-06</v>
      </c>
      <c r="D234" t="inlineStr">
        <is>
          <t>kilogram</t>
        </is>
      </c>
      <c r="E234" t="inlineStr">
        <is>
          <t>air::urban air close to ground</t>
        </is>
      </c>
      <c r="F234" t="inlineStr">
        <is>
          <t>biosphere</t>
        </is>
      </c>
      <c r="G234" t="inlineStr">
        <is>
          <t>NH3</t>
        </is>
      </c>
    </row>
    <row r="235">
      <c r="A235" t="inlineStr">
        <is>
          <t>Nitrogen oxides</t>
        </is>
      </c>
      <c r="B235" s="7" t="n">
        <v>0.0001365238862122767</v>
      </c>
      <c r="D235" t="inlineStr">
        <is>
          <t>kilogram</t>
        </is>
      </c>
      <c r="E235" t="inlineStr">
        <is>
          <t>air::urban air close to ground</t>
        </is>
      </c>
      <c r="F235" t="inlineStr">
        <is>
          <t>biosphere</t>
        </is>
      </c>
      <c r="G235" t="inlineStr">
        <is>
          <t>NOx</t>
        </is>
      </c>
    </row>
    <row r="236">
      <c r="A236" t="inlineStr">
        <is>
          <t>Particulates, &lt; 2.5 um</t>
        </is>
      </c>
      <c r="B236" s="7" t="n">
        <v>1.045538427941598e-05</v>
      </c>
      <c r="D236" t="inlineStr">
        <is>
          <t>kilogram</t>
        </is>
      </c>
      <c r="E236" t="inlineStr">
        <is>
          <t>air::urban air close to ground</t>
        </is>
      </c>
      <c r="F236" t="inlineStr">
        <is>
          <t>biosphere</t>
        </is>
      </c>
      <c r="G236" t="inlineStr">
        <is>
          <t>PM2.5</t>
        </is>
      </c>
    </row>
    <row r="237">
      <c r="A237" t="inlineStr">
        <is>
          <t>NMVOC, non-methane volatile organic compounds, unspecified origin</t>
        </is>
      </c>
      <c r="B237" s="7" t="n">
        <v>0.0006381718134164411</v>
      </c>
      <c r="D237" t="inlineStr">
        <is>
          <t>kilogram</t>
        </is>
      </c>
      <c r="E237" t="inlineStr">
        <is>
          <t>air::urban air close to ground</t>
        </is>
      </c>
      <c r="F237" t="inlineStr">
        <is>
          <t>biosphere</t>
        </is>
      </c>
      <c r="G237" t="inlineStr">
        <is>
          <t>NMVOC</t>
        </is>
      </c>
    </row>
    <row r="238">
      <c r="A238" t="inlineStr">
        <is>
          <t>Ethane</t>
        </is>
      </c>
      <c r="B238" s="7" t="n">
        <v>4.499929453577469e-05</v>
      </c>
      <c r="D238" t="inlineStr">
        <is>
          <t>kilogram</t>
        </is>
      </c>
      <c r="E238" t="inlineStr">
        <is>
          <t>air::urban air close to ground</t>
        </is>
      </c>
      <c r="F238" t="inlineStr">
        <is>
          <t>biosphere</t>
        </is>
      </c>
      <c r="G238" t="inlineStr">
        <is>
          <t>Ethane</t>
        </is>
      </c>
    </row>
    <row r="239">
      <c r="A239" t="inlineStr">
        <is>
          <t>Propane</t>
        </is>
      </c>
      <c r="B239" s="7" t="n">
        <v>9.169135250236222e-06</v>
      </c>
      <c r="D239" t="inlineStr">
        <is>
          <t>kilogram</t>
        </is>
      </c>
      <c r="E239" t="inlineStr">
        <is>
          <t>air::urban air close to ground</t>
        </is>
      </c>
      <c r="F239" t="inlineStr">
        <is>
          <t>biosphere</t>
        </is>
      </c>
      <c r="G239" t="inlineStr">
        <is>
          <t>Propane</t>
        </is>
      </c>
    </row>
    <row r="240">
      <c r="A240" t="inlineStr">
        <is>
          <t>Butane</t>
        </is>
      </c>
      <c r="B240" s="7" t="n">
        <v>7.391733647882739e-05</v>
      </c>
      <c r="D240" t="inlineStr">
        <is>
          <t>kilogram</t>
        </is>
      </c>
      <c r="E240" t="inlineStr">
        <is>
          <t>air::urban air close to ground</t>
        </is>
      </c>
      <c r="F240" t="inlineStr">
        <is>
          <t>biosphere</t>
        </is>
      </c>
      <c r="G240" t="inlineStr">
        <is>
          <t>Butane</t>
        </is>
      </c>
    </row>
    <row r="241">
      <c r="A241" t="inlineStr">
        <is>
          <t>Pentane</t>
        </is>
      </c>
      <c r="B241" s="7" t="n">
        <v>3.032867813539673e-05</v>
      </c>
      <c r="D241" t="inlineStr">
        <is>
          <t>kilogram</t>
        </is>
      </c>
      <c r="E241" t="inlineStr">
        <is>
          <t>air::urban air close to ground</t>
        </is>
      </c>
      <c r="F241" t="inlineStr">
        <is>
          <t>biosphere</t>
        </is>
      </c>
      <c r="G241" t="inlineStr">
        <is>
          <t>Pentane</t>
        </is>
      </c>
    </row>
    <row r="242">
      <c r="A242" t="inlineStr">
        <is>
          <t>Hexane</t>
        </is>
      </c>
      <c r="B242" s="7" t="n">
        <v>2.271124269673895e-05</v>
      </c>
      <c r="D242" t="inlineStr">
        <is>
          <t>kilogram</t>
        </is>
      </c>
      <c r="E242" t="inlineStr">
        <is>
          <t>air::urban air close to ground</t>
        </is>
      </c>
      <c r="F242" t="inlineStr">
        <is>
          <t>biosphere</t>
        </is>
      </c>
      <c r="G242" t="inlineStr">
        <is>
          <t>Hexane</t>
        </is>
      </c>
    </row>
    <row r="243">
      <c r="A243" t="inlineStr">
        <is>
          <t>Cyclohexane</t>
        </is>
      </c>
      <c r="B243" s="7" t="n">
        <v>1.608125259272199e-05</v>
      </c>
      <c r="D243" t="inlineStr">
        <is>
          <t>kilogram</t>
        </is>
      </c>
      <c r="E243" t="inlineStr">
        <is>
          <t>air::urban air close to ground</t>
        </is>
      </c>
      <c r="F243" t="inlineStr">
        <is>
          <t>biosphere</t>
        </is>
      </c>
      <c r="G243" t="inlineStr">
        <is>
          <t>Cyclohexane</t>
        </is>
      </c>
    </row>
    <row r="244">
      <c r="A244" t="inlineStr">
        <is>
          <t>Heptane</t>
        </is>
      </c>
      <c r="B244" s="7" t="n">
        <v>1.043870782334585e-05</v>
      </c>
      <c r="D244" t="inlineStr">
        <is>
          <t>kilogram</t>
        </is>
      </c>
      <c r="E244" t="inlineStr">
        <is>
          <t>air::urban air close to ground</t>
        </is>
      </c>
      <c r="F244" t="inlineStr">
        <is>
          <t>biosphere</t>
        </is>
      </c>
      <c r="G244" t="inlineStr">
        <is>
          <t>Heptane</t>
        </is>
      </c>
    </row>
    <row r="245">
      <c r="A245" t="inlineStr">
        <is>
          <t>Ethene</t>
        </is>
      </c>
      <c r="B245" s="7" t="n">
        <v>0.0001029764420411145</v>
      </c>
      <c r="D245" t="inlineStr">
        <is>
          <t>kilogram</t>
        </is>
      </c>
      <c r="E245" t="inlineStr">
        <is>
          <t>air::urban air close to ground</t>
        </is>
      </c>
      <c r="F245" t="inlineStr">
        <is>
          <t>biosphere</t>
        </is>
      </c>
      <c r="G245" t="inlineStr">
        <is>
          <t>Ethene</t>
        </is>
      </c>
    </row>
    <row r="246">
      <c r="A246" t="inlineStr">
        <is>
          <t>Propene</t>
        </is>
      </c>
      <c r="B246" s="7" t="n">
        <v>5.38863025475421e-05</v>
      </c>
      <c r="D246" t="inlineStr">
        <is>
          <t>kilogram</t>
        </is>
      </c>
      <c r="E246" t="inlineStr">
        <is>
          <t>air::urban air close to ground</t>
        </is>
      </c>
      <c r="F246" t="inlineStr">
        <is>
          <t>biosphere</t>
        </is>
      </c>
      <c r="G246" t="inlineStr">
        <is>
          <t>Propene</t>
        </is>
      </c>
    </row>
    <row r="247">
      <c r="A247" t="inlineStr">
        <is>
          <t>1-Pentene</t>
        </is>
      </c>
      <c r="B247" s="7" t="n">
        <v>1.551699811578438e-06</v>
      </c>
      <c r="D247" t="inlineStr">
        <is>
          <t>kilogram</t>
        </is>
      </c>
      <c r="E247" t="inlineStr">
        <is>
          <t>air::urban air close to ground</t>
        </is>
      </c>
      <c r="F247" t="inlineStr">
        <is>
          <t>biosphere</t>
        </is>
      </c>
      <c r="G247" t="inlineStr">
        <is>
          <t>1-Pentene</t>
        </is>
      </c>
    </row>
    <row r="248">
      <c r="A248" t="inlineStr">
        <is>
          <t>Toluene</t>
        </is>
      </c>
      <c r="B248" s="7" t="n">
        <v>0.0001548878539193749</v>
      </c>
      <c r="D248" t="inlineStr">
        <is>
          <t>kilogram</t>
        </is>
      </c>
      <c r="E248" t="inlineStr">
        <is>
          <t>air::urban air close to ground</t>
        </is>
      </c>
      <c r="F248" t="inlineStr">
        <is>
          <t>biosphere</t>
        </is>
      </c>
      <c r="G248" t="inlineStr">
        <is>
          <t>Toluene</t>
        </is>
      </c>
    </row>
    <row r="249">
      <c r="A249" t="inlineStr">
        <is>
          <t>m-Xylene</t>
        </is>
      </c>
      <c r="B249" s="7" t="n">
        <v>7.659754524428107e-05</v>
      </c>
      <c r="D249" t="inlineStr">
        <is>
          <t>kilogram</t>
        </is>
      </c>
      <c r="E249" t="inlineStr">
        <is>
          <t>air::urban air close to ground</t>
        </is>
      </c>
      <c r="F249" t="inlineStr">
        <is>
          <t>biosphere</t>
        </is>
      </c>
      <c r="G249" t="inlineStr">
        <is>
          <t>m-Xylene</t>
        </is>
      </c>
    </row>
    <row r="250">
      <c r="A250" t="inlineStr">
        <is>
          <t>o-Xylene</t>
        </is>
      </c>
      <c r="B250" s="7" t="n">
        <v>3.188037794697517e-05</v>
      </c>
      <c r="D250" t="inlineStr">
        <is>
          <t>kilogram</t>
        </is>
      </c>
      <c r="E250" t="inlineStr">
        <is>
          <t>air::urban air close to ground</t>
        </is>
      </c>
      <c r="F250" t="inlineStr">
        <is>
          <t>biosphere</t>
        </is>
      </c>
      <c r="G250" t="inlineStr">
        <is>
          <t>o-Xylene</t>
        </is>
      </c>
    </row>
    <row r="251">
      <c r="A251" t="inlineStr">
        <is>
          <t>Formaldehyde</t>
        </is>
      </c>
      <c r="B251" s="7" t="n">
        <v>2.398081526984858e-05</v>
      </c>
      <c r="D251" t="inlineStr">
        <is>
          <t>kilogram</t>
        </is>
      </c>
      <c r="E251" t="inlineStr">
        <is>
          <t>air::urban air close to ground</t>
        </is>
      </c>
      <c r="F251" t="inlineStr">
        <is>
          <t>biosphere</t>
        </is>
      </c>
      <c r="G251" t="inlineStr">
        <is>
          <t>Formaldehyde</t>
        </is>
      </c>
    </row>
    <row r="252">
      <c r="A252" t="inlineStr">
        <is>
          <t>Acetaldehyde</t>
        </is>
      </c>
      <c r="B252" s="7" t="n">
        <v>1.057977144258026e-05</v>
      </c>
      <c r="D252" t="inlineStr">
        <is>
          <t>kilogram</t>
        </is>
      </c>
      <c r="E252" t="inlineStr">
        <is>
          <t>air::urban air close to ground</t>
        </is>
      </c>
      <c r="F252" t="inlineStr">
        <is>
          <t>biosphere</t>
        </is>
      </c>
      <c r="G252" t="inlineStr">
        <is>
          <t>Acetaldehyde</t>
        </is>
      </c>
    </row>
    <row r="253">
      <c r="A253" t="inlineStr">
        <is>
          <t>Benzaldehyde</t>
        </is>
      </c>
      <c r="B253" s="7" t="n">
        <v>3.103399623156875e-06</v>
      </c>
      <c r="D253" t="inlineStr">
        <is>
          <t>kilogram</t>
        </is>
      </c>
      <c r="E253" t="inlineStr">
        <is>
          <t>air::urban air close to ground</t>
        </is>
      </c>
      <c r="F253" t="inlineStr">
        <is>
          <t>biosphere</t>
        </is>
      </c>
      <c r="G253" t="inlineStr">
        <is>
          <t>Benzaldehyde</t>
        </is>
      </c>
    </row>
    <row r="254">
      <c r="A254" t="inlineStr">
        <is>
          <t>Acetone</t>
        </is>
      </c>
      <c r="B254" s="7" t="n">
        <v>8.60488077329861e-06</v>
      </c>
      <c r="D254" t="inlineStr">
        <is>
          <t>kilogram</t>
        </is>
      </c>
      <c r="E254" t="inlineStr">
        <is>
          <t>air::urban air close to ground</t>
        </is>
      </c>
      <c r="F254" t="inlineStr">
        <is>
          <t>biosphere</t>
        </is>
      </c>
      <c r="G254" t="inlineStr">
        <is>
          <t>Acetone</t>
        </is>
      </c>
    </row>
    <row r="255">
      <c r="A255" t="inlineStr">
        <is>
          <t>Methyl ethyl ketone</t>
        </is>
      </c>
      <c r="B255" s="7" t="n">
        <v>0</v>
      </c>
      <c r="D255" t="inlineStr">
        <is>
          <t>kilogram</t>
        </is>
      </c>
      <c r="E255" t="inlineStr">
        <is>
          <t>air::urban air close to ground</t>
        </is>
      </c>
      <c r="F255" t="inlineStr">
        <is>
          <t>biosphere</t>
        </is>
      </c>
      <c r="G255" t="inlineStr">
        <is>
          <t>Methyl ethyl ketone</t>
        </is>
      </c>
    </row>
    <row r="256">
      <c r="A256" t="inlineStr">
        <is>
          <t>Acrolein</t>
        </is>
      </c>
      <c r="B256" s="7" t="n">
        <v>2.680208765453665e-06</v>
      </c>
      <c r="D256" t="inlineStr">
        <is>
          <t>kilogram</t>
        </is>
      </c>
      <c r="E256" t="inlineStr">
        <is>
          <t>air::urban air close to ground</t>
        </is>
      </c>
      <c r="F256" t="inlineStr">
        <is>
          <t>biosphere</t>
        </is>
      </c>
      <c r="G256" t="inlineStr">
        <is>
          <t>Acrolein</t>
        </is>
      </c>
    </row>
    <row r="257">
      <c r="A257" t="inlineStr">
        <is>
          <t>Styrene</t>
        </is>
      </c>
      <c r="B257" s="7" t="n">
        <v>1.424742554267474e-05</v>
      </c>
      <c r="D257" t="inlineStr">
        <is>
          <t>kilogram</t>
        </is>
      </c>
      <c r="E257" t="inlineStr">
        <is>
          <t>air::urban air close to ground</t>
        </is>
      </c>
      <c r="F257" t="inlineStr">
        <is>
          <t>biosphere</t>
        </is>
      </c>
      <c r="G257" t="inlineStr">
        <is>
          <t>Styrene</t>
        </is>
      </c>
    </row>
    <row r="258">
      <c r="A258" t="inlineStr">
        <is>
          <t>PAH, polycyclic aromatic hydrocarbons</t>
        </is>
      </c>
      <c r="B258" s="7" t="n">
        <v>1.065734635130767e-09</v>
      </c>
      <c r="D258" t="inlineStr">
        <is>
          <t>kilogram</t>
        </is>
      </c>
      <c r="E258" t="inlineStr">
        <is>
          <t>air::urban air close to ground</t>
        </is>
      </c>
      <c r="F258" t="inlineStr">
        <is>
          <t>biosphere</t>
        </is>
      </c>
      <c r="G258" t="inlineStr">
        <is>
          <t>PAHs</t>
        </is>
      </c>
    </row>
    <row r="259">
      <c r="A259" t="inlineStr">
        <is>
          <t>Arsenic</t>
        </is>
      </c>
      <c r="B259" s="7" t="n">
        <v>9.187367544230748e-12</v>
      </c>
      <c r="D259" t="inlineStr">
        <is>
          <t>kilogram</t>
        </is>
      </c>
      <c r="E259" t="inlineStr">
        <is>
          <t>air::urban air close to ground</t>
        </is>
      </c>
      <c r="F259" t="inlineStr">
        <is>
          <t>biosphere</t>
        </is>
      </c>
      <c r="G259" t="inlineStr">
        <is>
          <t>Arsenic</t>
        </is>
      </c>
    </row>
    <row r="260">
      <c r="A260" t="inlineStr">
        <is>
          <t>Selenium</t>
        </is>
      </c>
      <c r="B260" s="7" t="n">
        <v>6.124911696153832e-12</v>
      </c>
      <c r="D260" t="inlineStr">
        <is>
          <t>kilogram</t>
        </is>
      </c>
      <c r="E260" t="inlineStr">
        <is>
          <t>air::urban air close to ground</t>
        </is>
      </c>
      <c r="F260" t="inlineStr">
        <is>
          <t>biosphere</t>
        </is>
      </c>
      <c r="G260" t="inlineStr">
        <is>
          <t>Selenium</t>
        </is>
      </c>
    </row>
    <row r="261">
      <c r="A261" t="inlineStr">
        <is>
          <t>Zinc</t>
        </is>
      </c>
      <c r="B261" s="7" t="n">
        <v>6.614904631846139e-08</v>
      </c>
      <c r="D261" t="inlineStr">
        <is>
          <t>kilogram</t>
        </is>
      </c>
      <c r="E261" t="inlineStr">
        <is>
          <t>air::urban air close to ground</t>
        </is>
      </c>
      <c r="F261" t="inlineStr">
        <is>
          <t>biosphere</t>
        </is>
      </c>
      <c r="G261" t="inlineStr">
        <is>
          <t>Zinc</t>
        </is>
      </c>
    </row>
    <row r="262">
      <c r="A262" t="inlineStr">
        <is>
          <t>Copper</t>
        </is>
      </c>
      <c r="B262" s="7" t="n">
        <v>1.286231456192305e-09</v>
      </c>
      <c r="D262" t="inlineStr">
        <is>
          <t>kilogram</t>
        </is>
      </c>
      <c r="E262" t="inlineStr">
        <is>
          <t>air::urban air close to ground</t>
        </is>
      </c>
      <c r="F262" t="inlineStr">
        <is>
          <t>biosphere</t>
        </is>
      </c>
      <c r="G262" t="inlineStr">
        <is>
          <t>Copper</t>
        </is>
      </c>
    </row>
    <row r="263">
      <c r="A263" t="inlineStr">
        <is>
          <t>Nickel</t>
        </is>
      </c>
      <c r="B263" s="7" t="n">
        <v>3.981192602499991e-10</v>
      </c>
      <c r="D263" t="inlineStr">
        <is>
          <t>kilogram</t>
        </is>
      </c>
      <c r="E263" t="inlineStr">
        <is>
          <t>air::urban air close to ground</t>
        </is>
      </c>
      <c r="F263" t="inlineStr">
        <is>
          <t>biosphere</t>
        </is>
      </c>
      <c r="G263" t="inlineStr">
        <is>
          <t>Nickel</t>
        </is>
      </c>
    </row>
    <row r="264">
      <c r="A264" t="inlineStr">
        <is>
          <t>Chromium</t>
        </is>
      </c>
      <c r="B264" s="7" t="n">
        <v>4.899929356923066e-10</v>
      </c>
      <c r="D264" t="inlineStr">
        <is>
          <t>kilogram</t>
        </is>
      </c>
      <c r="E264" t="inlineStr">
        <is>
          <t>air::urban air close to ground</t>
        </is>
      </c>
      <c r="F264" t="inlineStr">
        <is>
          <t>biosphere</t>
        </is>
      </c>
      <c r="G264" t="inlineStr">
        <is>
          <t>Chromium</t>
        </is>
      </c>
    </row>
    <row r="265">
      <c r="A265" t="inlineStr">
        <is>
          <t>Chromium VI</t>
        </is>
      </c>
      <c r="B265" s="7" t="n">
        <v>9.79985871384613e-13</v>
      </c>
      <c r="D265" t="inlineStr">
        <is>
          <t>kilogram</t>
        </is>
      </c>
      <c r="E265" t="inlineStr">
        <is>
          <t>air::urban air close to ground</t>
        </is>
      </c>
      <c r="F265" t="inlineStr">
        <is>
          <t>biosphere</t>
        </is>
      </c>
      <c r="G265" t="inlineStr">
        <is>
          <t>Chromium VI</t>
        </is>
      </c>
    </row>
    <row r="266">
      <c r="A266" t="inlineStr">
        <is>
          <t>Mercury</t>
        </is>
      </c>
      <c r="B266" s="7" t="n">
        <v>2.664336587826917e-10</v>
      </c>
      <c r="D266" t="inlineStr">
        <is>
          <t>kilogram</t>
        </is>
      </c>
      <c r="E266" t="inlineStr">
        <is>
          <t>air::urban air close to ground</t>
        </is>
      </c>
      <c r="F266" t="inlineStr">
        <is>
          <t>biosphere</t>
        </is>
      </c>
      <c r="G266" t="inlineStr">
        <is>
          <t>Mercury</t>
        </is>
      </c>
    </row>
    <row r="267">
      <c r="A267" t="inlineStr">
        <is>
          <t>Cadmium</t>
        </is>
      </c>
      <c r="B267" s="7" t="n">
        <v>3.30745231592307e-10</v>
      </c>
      <c r="D267" t="inlineStr">
        <is>
          <t>kilogram</t>
        </is>
      </c>
      <c r="E267" t="inlineStr">
        <is>
          <t>air::urban air close to ground</t>
        </is>
      </c>
      <c r="F267" t="inlineStr">
        <is>
          <t>biosphere</t>
        </is>
      </c>
      <c r="G267" t="inlineStr">
        <is>
          <t>Cadmium</t>
        </is>
      </c>
    </row>
    <row r="268">
      <c r="A268" t="inlineStr">
        <is>
          <t>treatment of road wear emissions, passenger car</t>
        </is>
      </c>
      <c r="B268" s="7" t="n">
        <v>-6.43813816279788e-06</v>
      </c>
      <c r="C268" t="inlineStr">
        <is>
          <t>RER</t>
        </is>
      </c>
      <c r="D268" t="inlineStr">
        <is>
          <t>kilogram</t>
        </is>
      </c>
      <c r="F268" t="inlineStr">
        <is>
          <t>technosphere</t>
        </is>
      </c>
      <c r="G268" t="inlineStr">
        <is>
          <t>Road wear [kg/km]</t>
        </is>
      </c>
      <c r="H268" t="inlineStr">
        <is>
          <t>road wear emissions, passenger car</t>
        </is>
      </c>
    </row>
    <row r="269">
      <c r="A269" t="inlineStr">
        <is>
          <t>treatment of tyre wear emissions, passenger car</t>
        </is>
      </c>
      <c r="B269" s="7" t="n">
        <v>-5.213969204833297e-06</v>
      </c>
      <c r="C269" t="inlineStr">
        <is>
          <t>RER</t>
        </is>
      </c>
      <c r="D269" t="inlineStr">
        <is>
          <t>kilogram</t>
        </is>
      </c>
      <c r="F269" t="inlineStr">
        <is>
          <t>technosphere</t>
        </is>
      </c>
      <c r="G269" t="inlineStr">
        <is>
          <t>Tire wear [kg/km]</t>
        </is>
      </c>
      <c r="H269" t="inlineStr">
        <is>
          <t>tyre wear emissions, passenger car</t>
        </is>
      </c>
    </row>
    <row r="270">
      <c r="A270" t="inlineStr">
        <is>
          <t>treatment of brake wear emissions, passenger car</t>
        </is>
      </c>
      <c r="B270" s="7" t="n">
        <v>-3.647254109728702e-06</v>
      </c>
      <c r="C270" t="inlineStr">
        <is>
          <t>RER</t>
        </is>
      </c>
      <c r="D270" t="inlineStr">
        <is>
          <t>kilogram</t>
        </is>
      </c>
      <c r="F270" t="inlineStr">
        <is>
          <t>technosphere</t>
        </is>
      </c>
      <c r="G270" t="inlineStr">
        <is>
          <t>Brake wear [kg/km]</t>
        </is>
      </c>
      <c r="H270" t="inlineStr">
        <is>
          <t>brake wear emissions, passenger car</t>
        </is>
      </c>
    </row>
    <row r="271"/>
    <row r="272" ht="16" customHeight="1">
      <c r="A272" s="10" t="inlineStr">
        <is>
          <t>Activity</t>
        </is>
      </c>
      <c r="B272" s="8" t="inlineStr">
        <is>
          <t>transport, Scooter, gasoline, &lt;4kW, EURO-5</t>
        </is>
      </c>
    </row>
    <row r="273">
      <c r="A273" t="inlineStr">
        <is>
          <t>location</t>
        </is>
      </c>
      <c r="B273" t="inlineStr">
        <is>
          <t>CH</t>
        </is>
      </c>
    </row>
    <row r="274">
      <c r="A274" t="inlineStr">
        <is>
          <t>vehicle</t>
        </is>
      </c>
      <c r="B274" t="inlineStr">
        <is>
          <t>Scooter, gasoline, &lt;4kW, EURO-5</t>
        </is>
      </c>
    </row>
    <row r="275">
      <c r="A275" t="inlineStr">
        <is>
          <t>size</t>
        </is>
      </c>
    </row>
    <row r="276">
      <c r="A276" t="inlineStr">
        <is>
          <t>year</t>
        </is>
      </c>
      <c r="B276" t="n">
        <v>2020</v>
      </c>
    </row>
    <row r="277">
      <c r="A277" t="inlineStr">
        <is>
          <t>full name</t>
        </is>
      </c>
      <c r="B277" t="inlineStr">
        <is>
          <t>Scooter, gasoline, &lt;4kW, EURO-5 - 2020 - CH</t>
        </is>
      </c>
    </row>
    <row r="278">
      <c r="A278" t="inlineStr">
        <is>
          <t>reference product</t>
        </is>
      </c>
      <c r="B278" t="inlineStr">
        <is>
          <t>transport, Scooter, gasoline, &lt;4kW, EURO-5</t>
        </is>
      </c>
    </row>
    <row r="279">
      <c r="A279" t="inlineStr">
        <is>
          <t>type</t>
        </is>
      </c>
      <c r="B279" t="inlineStr">
        <is>
          <t>process</t>
        </is>
      </c>
    </row>
    <row r="280">
      <c r="A280" t="inlineStr">
        <is>
          <t>unit</t>
        </is>
      </c>
      <c r="B280" t="inlineStr">
        <is>
          <t>kilometer</t>
        </is>
      </c>
    </row>
    <row r="281">
      <c r="A281" t="inlineStr">
        <is>
          <t>source</t>
        </is>
      </c>
      <c r="B281" t="inlineStr">
        <is>
          <t>Sacchi R., Bauer C. Life cycle inventories for on-road vehicles. Paul Scherrer Institut, 2021.</t>
        </is>
      </c>
    </row>
    <row r="282">
      <c r="A282" t="inlineStr">
        <is>
          <t>lifetime</t>
        </is>
      </c>
      <c r="B282" t="n">
        <v>25000</v>
      </c>
    </row>
    <row r="283">
      <c r="A283" t="inlineStr">
        <is>
          <t>passengers</t>
        </is>
      </c>
      <c r="B283" t="n">
        <v>1</v>
      </c>
    </row>
    <row r="284">
      <c r="A284" t="inlineStr">
        <is>
          <t>service</t>
        </is>
      </c>
      <c r="B284" t="n">
        <v>1</v>
      </c>
    </row>
    <row r="285">
      <c r="A285" t="inlineStr">
        <is>
          <t>battery replacement</t>
        </is>
      </c>
      <c r="B285" t="n">
        <v>0</v>
      </c>
    </row>
    <row r="286">
      <c r="A286" t="inlineStr">
        <is>
          <t>annual kilometers</t>
        </is>
      </c>
      <c r="B286" t="n">
        <v>1570</v>
      </c>
    </row>
    <row r="287">
      <c r="A287" t="inlineStr">
        <is>
          <t>curb mass</t>
        </is>
      </c>
      <c r="B287" s="2" t="n">
        <v>91.03749999999999</v>
      </c>
    </row>
    <row r="288">
      <c r="A288" t="inlineStr">
        <is>
          <t>power</t>
        </is>
      </c>
      <c r="B288" t="n">
        <v>2.8</v>
      </c>
    </row>
    <row r="289">
      <c r="A289" t="inlineStr">
        <is>
          <t>battery mass</t>
        </is>
      </c>
    </row>
    <row r="290">
      <c r="A290" t="inlineStr">
        <is>
          <t>electricity, low voltage</t>
        </is>
      </c>
      <c r="B290" t="n">
        <v>0</v>
      </c>
    </row>
    <row r="291">
      <c r="A291" t="inlineStr">
        <is>
          <t>tank capacity</t>
        </is>
      </c>
      <c r="B291" s="2" t="n">
        <v>62.125</v>
      </c>
    </row>
    <row r="292">
      <c r="A292" t="inlineStr">
        <is>
          <t>fuel mass</t>
        </is>
      </c>
      <c r="B292" t="n">
        <v>5.25</v>
      </c>
    </row>
    <row r="293">
      <c r="A293" t="inlineStr">
        <is>
          <t>range</t>
        </is>
      </c>
      <c r="B293" s="2" t="n">
        <v>173.5701112141184</v>
      </c>
    </row>
    <row r="294">
      <c r="A294" t="inlineStr">
        <is>
          <t>emission standard</t>
        </is>
      </c>
      <c r="B294" t="inlineStr">
        <is>
          <t>EURO-5</t>
        </is>
      </c>
    </row>
    <row r="295">
      <c r="A295" t="inlineStr">
        <is>
          <t>Glider lightweighting</t>
        </is>
      </c>
      <c r="B295" s="6" t="n">
        <v>0</v>
      </c>
    </row>
    <row r="296">
      <c r="A296" t="inlineStr">
        <is>
          <t>comment</t>
        </is>
      </c>
      <c r="B296" t="inlineStr">
        <is>
          <t>Power: 2.8 kW. Lifetime: 25000 km. Annual kilometers: 1570 km. Number of passengers: 1. Curb mass: 91 kg. Lightweighting of glider: 0%. Emission standard: EURO-5. Service visits throughout lifetime: 1. Range: 174 km. Fuel tank capacity: 62.1 kWh. Fuel mass: 5.3 kg. Documentation: Life-cycle inventories for on-road vehicles, Sacchi R. (PSI), Bauer C. (PSI), 2021. Sacchi R., Bauer C. Life cycle inventories for on-road vehicles. Paul Scherrer Institut, 2021.</t>
        </is>
      </c>
    </row>
    <row r="297" ht="16" customHeight="1">
      <c r="A297" s="10" t="inlineStr">
        <is>
          <t>Exchanges</t>
        </is>
      </c>
    </row>
    <row r="298">
      <c r="A298" t="inlineStr">
        <is>
          <t>name</t>
        </is>
      </c>
      <c r="B298" t="inlineStr">
        <is>
          <t>amount</t>
        </is>
      </c>
      <c r="C298" t="inlineStr">
        <is>
          <t>location</t>
        </is>
      </c>
      <c r="D298" t="inlineStr">
        <is>
          <t>unit</t>
        </is>
      </c>
      <c r="E298" t="inlineStr">
        <is>
          <t>categories</t>
        </is>
      </c>
      <c r="F298" t="inlineStr">
        <is>
          <t>type</t>
        </is>
      </c>
      <c r="G298" t="inlineStr">
        <is>
          <t>comment</t>
        </is>
      </c>
      <c r="H298" t="inlineStr">
        <is>
          <t>reference product</t>
        </is>
      </c>
    </row>
    <row r="299">
      <c r="A299" t="inlineStr">
        <is>
          <t>transport, Scooter, gasoline, &lt;4kW, EURO-5</t>
        </is>
      </c>
      <c r="B299" t="n">
        <v>1</v>
      </c>
      <c r="C299" t="inlineStr">
        <is>
          <t>CH</t>
        </is>
      </c>
      <c r="D299" t="inlineStr">
        <is>
          <t>kilometer</t>
        </is>
      </c>
      <c r="F299" t="inlineStr">
        <is>
          <t>production</t>
        </is>
      </c>
      <c r="H299" t="inlineStr">
        <is>
          <t>transport, Scooter, gasoline, &lt;4kW, EURO-5</t>
        </is>
      </c>
    </row>
    <row r="300">
      <c r="A300" t="inlineStr">
        <is>
          <t>Scooter, gasoline, &lt;4kW, EURO-5</t>
        </is>
      </c>
      <c r="B300" s="7" t="n">
        <v>4e-05</v>
      </c>
      <c r="C300" t="inlineStr">
        <is>
          <t>CH</t>
        </is>
      </c>
      <c r="D300" t="inlineStr">
        <is>
          <t>unit</t>
        </is>
      </c>
      <c r="F300" t="inlineStr">
        <is>
          <t>technosphere</t>
        </is>
      </c>
      <c r="H300" t="inlineStr">
        <is>
          <t>Scooter, gasoline, &lt;4kW, EURO-5</t>
        </is>
      </c>
    </row>
    <row r="301">
      <c r="A301" t="inlineStr">
        <is>
          <t>road construction</t>
        </is>
      </c>
      <c r="B301" s="7" t="n">
        <v>9.13101375e-05</v>
      </c>
      <c r="C301" t="inlineStr">
        <is>
          <t>CH</t>
        </is>
      </c>
      <c r="D301" t="inlineStr">
        <is>
          <t>meter-year</t>
        </is>
      </c>
      <c r="F301" t="inlineStr">
        <is>
          <t>technosphere</t>
        </is>
      </c>
      <c r="G301" t="inlineStr">
        <is>
          <t>Road/track use [m*year/vkm or pkm]</t>
        </is>
      </c>
      <c r="H301" t="inlineStr">
        <is>
          <t>road</t>
        </is>
      </c>
    </row>
    <row r="302">
      <c r="A302" t="inlineStr">
        <is>
          <t>road maintenance</t>
        </is>
      </c>
      <c r="B302" s="7" t="n">
        <v>0.00129</v>
      </c>
      <c r="C302" t="inlineStr">
        <is>
          <t>CH</t>
        </is>
      </c>
      <c r="D302" t="inlineStr">
        <is>
          <t>meter-year</t>
        </is>
      </c>
      <c r="F302" t="inlineStr">
        <is>
          <t>technosphere</t>
        </is>
      </c>
      <c r="G302" t="inlineStr">
        <is>
          <t>Road maintenance [m*year/vkm]</t>
        </is>
      </c>
      <c r="H302" t="inlineStr">
        <is>
          <t>road maintenance</t>
        </is>
      </c>
    </row>
    <row r="303">
      <c r="A303" t="inlineStr">
        <is>
          <t>maintenance, motor scooter</t>
        </is>
      </c>
      <c r="B303" s="7" t="n">
        <v>4e-05</v>
      </c>
      <c r="C303" t="inlineStr">
        <is>
          <t>CH</t>
        </is>
      </c>
      <c r="D303" t="inlineStr">
        <is>
          <t>unit</t>
        </is>
      </c>
      <c r="F303" t="inlineStr">
        <is>
          <t>technosphere</t>
        </is>
      </c>
      <c r="G303" t="inlineStr">
        <is>
          <t>Servicing [unit]</t>
        </is>
      </c>
      <c r="H303" t="inlineStr">
        <is>
          <t>maintenance, motor scooter</t>
        </is>
      </c>
    </row>
    <row r="304">
      <c r="A304" t="inlineStr">
        <is>
          <t>petrol blending for two-stroke engines</t>
        </is>
      </c>
      <c r="B304" s="7" t="n">
        <v>0.0302471431473794</v>
      </c>
      <c r="C304" t="inlineStr">
        <is>
          <t>CH</t>
        </is>
      </c>
      <c r="D304" t="inlineStr">
        <is>
          <t>kilogram</t>
        </is>
      </c>
      <c r="F304" t="inlineStr">
        <is>
          <t>technosphere</t>
        </is>
      </c>
      <c r="G304" t="inlineStr">
        <is>
          <t>Gasoline consumption [MJ/km]</t>
        </is>
      </c>
      <c r="H304" t="inlineStr">
        <is>
          <t>petrol, two-stroke blend</t>
        </is>
      </c>
    </row>
    <row r="305">
      <c r="A305" t="inlineStr">
        <is>
          <t>Carbon dioxide, fossil</t>
        </is>
      </c>
      <c r="B305" s="11" t="n">
        <v>0.09497602948277131</v>
      </c>
      <c r="D305" t="inlineStr">
        <is>
          <t>kilogram</t>
        </is>
      </c>
      <c r="E305" t="inlineStr">
        <is>
          <t>air::urban air close to ground</t>
        </is>
      </c>
      <c r="F305" t="inlineStr">
        <is>
          <t>biosphere</t>
        </is>
      </c>
      <c r="G305" t="inlineStr">
        <is>
          <t>CO2</t>
        </is>
      </c>
    </row>
    <row r="306">
      <c r="A306" t="inlineStr">
        <is>
          <t>Carbon dioxide, from soil or biomass stock</t>
        </is>
      </c>
      <c r="B306" s="11" t="n">
        <v>0</v>
      </c>
      <c r="D306" t="inlineStr">
        <is>
          <t>kilogram</t>
        </is>
      </c>
      <c r="E306" t="inlineStr">
        <is>
          <t>air::urban air close to ground</t>
        </is>
      </c>
      <c r="F306" t="inlineStr">
        <is>
          <t>biosphere</t>
        </is>
      </c>
      <c r="G306" t="inlineStr">
        <is>
          <t>CO2, bio</t>
        </is>
      </c>
    </row>
    <row r="307">
      <c r="A307" t="inlineStr">
        <is>
          <t>Sulfur dioxide</t>
        </is>
      </c>
      <c r="B307" s="7" t="n">
        <v>4.839542903580703e-07</v>
      </c>
      <c r="D307" t="inlineStr">
        <is>
          <t>kilogram</t>
        </is>
      </c>
      <c r="E307" t="inlineStr">
        <is>
          <t>air::urban air close to ground</t>
        </is>
      </c>
      <c r="F307" t="inlineStr">
        <is>
          <t>biosphere</t>
        </is>
      </c>
      <c r="G307" t="inlineStr">
        <is>
          <t>SO2</t>
        </is>
      </c>
    </row>
    <row r="308">
      <c r="A308" t="inlineStr">
        <is>
          <t>Benzene</t>
        </is>
      </c>
      <c r="B308" s="7" t="n">
        <v>7.834532348659529e-05</v>
      </c>
      <c r="D308" t="inlineStr">
        <is>
          <t>kilogram</t>
        </is>
      </c>
      <c r="E308" t="inlineStr">
        <is>
          <t>air::urban air close to ground</t>
        </is>
      </c>
      <c r="F308" t="inlineStr">
        <is>
          <t>biosphere</t>
        </is>
      </c>
      <c r="G308" t="inlineStr">
        <is>
          <t>Benzene</t>
        </is>
      </c>
    </row>
    <row r="309">
      <c r="A309" t="inlineStr">
        <is>
          <t>Methane, fossil</t>
        </is>
      </c>
      <c r="B309" s="7" t="n">
        <v>3.55240933146119e-05</v>
      </c>
      <c r="D309" t="inlineStr">
        <is>
          <t>kilogram</t>
        </is>
      </c>
      <c r="E309" t="inlineStr">
        <is>
          <t>air::urban air close to ground</t>
        </is>
      </c>
      <c r="F309" t="inlineStr">
        <is>
          <t>biosphere</t>
        </is>
      </c>
      <c r="G309" t="inlineStr">
        <is>
          <t>CH4</t>
        </is>
      </c>
    </row>
    <row r="310">
      <c r="A310" t="inlineStr">
        <is>
          <t>Carbon monoxide, fossil</t>
        </is>
      </c>
      <c r="B310" s="7" t="n">
        <v>0.003756311829865036</v>
      </c>
      <c r="D310" t="inlineStr">
        <is>
          <t>kilogram</t>
        </is>
      </c>
      <c r="E310" t="inlineStr">
        <is>
          <t>air::urban air close to ground</t>
        </is>
      </c>
      <c r="F310" t="inlineStr">
        <is>
          <t>biosphere</t>
        </is>
      </c>
      <c r="G310" t="inlineStr">
        <is>
          <t>CO</t>
        </is>
      </c>
    </row>
    <row r="311">
      <c r="A311" t="inlineStr">
        <is>
          <t>Dinitrogen monoxide</t>
        </is>
      </c>
      <c r="B311" s="7" t="n">
        <v>1.802338575069097e-06</v>
      </c>
      <c r="D311" t="inlineStr">
        <is>
          <t>kilogram</t>
        </is>
      </c>
      <c r="E311" t="inlineStr">
        <is>
          <t>air::urban air close to ground</t>
        </is>
      </c>
      <c r="F311" t="inlineStr">
        <is>
          <t>biosphere</t>
        </is>
      </c>
      <c r="G311" t="inlineStr">
        <is>
          <t>N2O</t>
        </is>
      </c>
    </row>
    <row r="312">
      <c r="A312" t="inlineStr">
        <is>
          <t>Ammonia</t>
        </is>
      </c>
      <c r="B312" s="7" t="n">
        <v>1.802338575069097e-06</v>
      </c>
      <c r="D312" t="inlineStr">
        <is>
          <t>kilogram</t>
        </is>
      </c>
      <c r="E312" t="inlineStr">
        <is>
          <t>air::urban air close to ground</t>
        </is>
      </c>
      <c r="F312" t="inlineStr">
        <is>
          <t>biosphere</t>
        </is>
      </c>
      <c r="G312" t="inlineStr">
        <is>
          <t>NH3</t>
        </is>
      </c>
    </row>
    <row r="313">
      <c r="A313" t="inlineStr">
        <is>
          <t>Nitrogen oxides</t>
        </is>
      </c>
      <c r="B313" s="7" t="n">
        <v>0.0001351586473501539</v>
      </c>
      <c r="D313" t="inlineStr">
        <is>
          <t>kilogram</t>
        </is>
      </c>
      <c r="E313" t="inlineStr">
        <is>
          <t>air::urban air close to ground</t>
        </is>
      </c>
      <c r="F313" t="inlineStr">
        <is>
          <t>biosphere</t>
        </is>
      </c>
      <c r="G313" t="inlineStr">
        <is>
          <t>NOx</t>
        </is>
      </c>
    </row>
    <row r="314">
      <c r="A314" t="inlineStr">
        <is>
          <t>Particulates, &lt; 2.5 um</t>
        </is>
      </c>
      <c r="B314" s="7" t="n">
        <v>1.035083043662182e-05</v>
      </c>
      <c r="D314" t="inlineStr">
        <is>
          <t>kilogram</t>
        </is>
      </c>
      <c r="E314" t="inlineStr">
        <is>
          <t>air::urban air close to ground</t>
        </is>
      </c>
      <c r="F314" t="inlineStr">
        <is>
          <t>biosphere</t>
        </is>
      </c>
      <c r="G314" t="inlineStr">
        <is>
          <t>PM2.5</t>
        </is>
      </c>
    </row>
    <row r="315">
      <c r="A315" t="inlineStr">
        <is>
          <t>NMVOC, non-methane volatile organic compounds, unspecified origin</t>
        </is>
      </c>
      <c r="B315" s="7" t="n">
        <v>0.0006317900952822767</v>
      </c>
      <c r="D315" t="inlineStr">
        <is>
          <t>kilogram</t>
        </is>
      </c>
      <c r="E315" t="inlineStr">
        <is>
          <t>air::urban air close to ground</t>
        </is>
      </c>
      <c r="F315" t="inlineStr">
        <is>
          <t>biosphere</t>
        </is>
      </c>
      <c r="G315" t="inlineStr">
        <is>
          <t>NMVOC</t>
        </is>
      </c>
    </row>
    <row r="316">
      <c r="A316" t="inlineStr">
        <is>
          <t>Ethane</t>
        </is>
      </c>
      <c r="B316" s="7" t="n">
        <v>4.454930159041694e-05</v>
      </c>
      <c r="D316" t="inlineStr">
        <is>
          <t>kilogram</t>
        </is>
      </c>
      <c r="E316" t="inlineStr">
        <is>
          <t>air::urban air close to ground</t>
        </is>
      </c>
      <c r="F316" t="inlineStr">
        <is>
          <t>biosphere</t>
        </is>
      </c>
      <c r="G316" t="inlineStr">
        <is>
          <t>Ethane</t>
        </is>
      </c>
    </row>
    <row r="317">
      <c r="A317" t="inlineStr">
        <is>
          <t>Propane</t>
        </is>
      </c>
      <c r="B317" s="7" t="n">
        <v>9.077443897733859e-06</v>
      </c>
      <c r="D317" t="inlineStr">
        <is>
          <t>kilogram</t>
        </is>
      </c>
      <c r="E317" t="inlineStr">
        <is>
          <t>air::urban air close to ground</t>
        </is>
      </c>
      <c r="F317" t="inlineStr">
        <is>
          <t>biosphere</t>
        </is>
      </c>
      <c r="G317" t="inlineStr">
        <is>
          <t>Propane</t>
        </is>
      </c>
    </row>
    <row r="318">
      <c r="A318" t="inlineStr">
        <is>
          <t>Butane</t>
        </is>
      </c>
      <c r="B318" s="7" t="n">
        <v>7.317816311403912e-05</v>
      </c>
      <c r="D318" t="inlineStr">
        <is>
          <t>kilogram</t>
        </is>
      </c>
      <c r="E318" t="inlineStr">
        <is>
          <t>air::urban air close to ground</t>
        </is>
      </c>
      <c r="F318" t="inlineStr">
        <is>
          <t>biosphere</t>
        </is>
      </c>
      <c r="G318" t="inlineStr">
        <is>
          <t>Butane</t>
        </is>
      </c>
    </row>
    <row r="319">
      <c r="A319" t="inlineStr">
        <is>
          <t>Pentane</t>
        </is>
      </c>
      <c r="B319" s="7" t="n">
        <v>3.002539135404276e-05</v>
      </c>
      <c r="D319" t="inlineStr">
        <is>
          <t>kilogram</t>
        </is>
      </c>
      <c r="E319" t="inlineStr">
        <is>
          <t>air::urban air close to ground</t>
        </is>
      </c>
      <c r="F319" t="inlineStr">
        <is>
          <t>biosphere</t>
        </is>
      </c>
      <c r="G319" t="inlineStr">
        <is>
          <t>Pentane</t>
        </is>
      </c>
    </row>
    <row r="320">
      <c r="A320" t="inlineStr">
        <is>
          <t>Hexane</t>
        </is>
      </c>
      <c r="B320" s="7" t="n">
        <v>2.248413026977156e-05</v>
      </c>
      <c r="D320" t="inlineStr">
        <is>
          <t>kilogram</t>
        </is>
      </c>
      <c r="E320" t="inlineStr">
        <is>
          <t>air::urban air close to ground</t>
        </is>
      </c>
      <c r="F320" t="inlineStr">
        <is>
          <t>biosphere</t>
        </is>
      </c>
      <c r="G320" t="inlineStr">
        <is>
          <t>Hexane</t>
        </is>
      </c>
    </row>
    <row r="321">
      <c r="A321" t="inlineStr">
        <is>
          <t>Cyclohexane</t>
        </is>
      </c>
      <c r="B321" s="7" t="n">
        <v>1.592044006679477e-05</v>
      </c>
      <c r="D321" t="inlineStr">
        <is>
          <t>kilogram</t>
        </is>
      </c>
      <c r="E321" t="inlineStr">
        <is>
          <t>air::urban air close to ground</t>
        </is>
      </c>
      <c r="F321" t="inlineStr">
        <is>
          <t>biosphere</t>
        </is>
      </c>
      <c r="G321" t="inlineStr">
        <is>
          <t>Cyclohexane</t>
        </is>
      </c>
    </row>
    <row r="322">
      <c r="A322" t="inlineStr">
        <is>
          <t>Heptane</t>
        </is>
      </c>
      <c r="B322" s="7" t="n">
        <v>1.033432074511239e-05</v>
      </c>
      <c r="D322" t="inlineStr">
        <is>
          <t>kilogram</t>
        </is>
      </c>
      <c r="E322" t="inlineStr">
        <is>
          <t>air::urban air close to ground</t>
        </is>
      </c>
      <c r="F322" t="inlineStr">
        <is>
          <t>biosphere</t>
        </is>
      </c>
      <c r="G322" t="inlineStr">
        <is>
          <t>Heptane</t>
        </is>
      </c>
    </row>
    <row r="323">
      <c r="A323" t="inlineStr">
        <is>
          <t>Ethene</t>
        </is>
      </c>
      <c r="B323" s="7" t="n">
        <v>0.0001019466776207033</v>
      </c>
      <c r="D323" t="inlineStr">
        <is>
          <t>kilogram</t>
        </is>
      </c>
      <c r="E323" t="inlineStr">
        <is>
          <t>air::urban air close to ground</t>
        </is>
      </c>
      <c r="F323" t="inlineStr">
        <is>
          <t>biosphere</t>
        </is>
      </c>
      <c r="G323" t="inlineStr">
        <is>
          <t>Ethene</t>
        </is>
      </c>
    </row>
    <row r="324">
      <c r="A324" t="inlineStr">
        <is>
          <t>Propene</t>
        </is>
      </c>
      <c r="B324" s="7" t="n">
        <v>5.334743952206667e-05</v>
      </c>
      <c r="D324" t="inlineStr">
        <is>
          <t>kilogram</t>
        </is>
      </c>
      <c r="E324" t="inlineStr">
        <is>
          <t>air::urban air close to ground</t>
        </is>
      </c>
      <c r="F324" t="inlineStr">
        <is>
          <t>biosphere</t>
        </is>
      </c>
      <c r="G324" t="inlineStr">
        <is>
          <t>Propene</t>
        </is>
      </c>
    </row>
    <row r="325">
      <c r="A325" t="inlineStr">
        <is>
          <t>1-Pentene</t>
        </is>
      </c>
      <c r="B325" s="7" t="n">
        <v>1.536182813462653e-06</v>
      </c>
      <c r="D325" t="inlineStr">
        <is>
          <t>kilogram</t>
        </is>
      </c>
      <c r="E325" t="inlineStr">
        <is>
          <t>air::urban air close to ground</t>
        </is>
      </c>
      <c r="F325" t="inlineStr">
        <is>
          <t>biosphere</t>
        </is>
      </c>
      <c r="G325" t="inlineStr">
        <is>
          <t>1-Pentene</t>
        </is>
      </c>
    </row>
    <row r="326">
      <c r="A326" t="inlineStr">
        <is>
          <t>Toluene</t>
        </is>
      </c>
      <c r="B326" s="7" t="n">
        <v>0.0001533389753801812</v>
      </c>
      <c r="D326" t="inlineStr">
        <is>
          <t>kilogram</t>
        </is>
      </c>
      <c r="E326" t="inlineStr">
        <is>
          <t>air::urban air close to ground</t>
        </is>
      </c>
      <c r="F326" t="inlineStr">
        <is>
          <t>biosphere</t>
        </is>
      </c>
      <c r="G326" t="inlineStr">
        <is>
          <t>Toluene</t>
        </is>
      </c>
    </row>
    <row r="327">
      <c r="A327" t="inlineStr">
        <is>
          <t>m-Xylene</t>
        </is>
      </c>
      <c r="B327" s="7" t="n">
        <v>7.583156979183825e-05</v>
      </c>
      <c r="D327" t="inlineStr">
        <is>
          <t>kilogram</t>
        </is>
      </c>
      <c r="E327" t="inlineStr">
        <is>
          <t>air::urban air close to ground</t>
        </is>
      </c>
      <c r="F327" t="inlineStr">
        <is>
          <t>biosphere</t>
        </is>
      </c>
      <c r="G327" t="inlineStr">
        <is>
          <t>m-Xylene</t>
        </is>
      </c>
    </row>
    <row r="328">
      <c r="A328" t="inlineStr">
        <is>
          <t>o-Xylene</t>
        </is>
      </c>
      <c r="B328" s="7" t="n">
        <v>3.156157416750542e-05</v>
      </c>
      <c r="D328" t="inlineStr">
        <is>
          <t>kilogram</t>
        </is>
      </c>
      <c r="E328" t="inlineStr">
        <is>
          <t>air::urban air close to ground</t>
        </is>
      </c>
      <c r="F328" t="inlineStr">
        <is>
          <t>biosphere</t>
        </is>
      </c>
      <c r="G328" t="inlineStr">
        <is>
          <t>o-Xylene</t>
        </is>
      </c>
    </row>
    <row r="329">
      <c r="A329" t="inlineStr">
        <is>
          <t>Formaldehyde</t>
        </is>
      </c>
      <c r="B329" s="7" t="n">
        <v>2.37410071171501e-05</v>
      </c>
      <c r="D329" t="inlineStr">
        <is>
          <t>kilogram</t>
        </is>
      </c>
      <c r="E329" t="inlineStr">
        <is>
          <t>air::urban air close to ground</t>
        </is>
      </c>
      <c r="F329" t="inlineStr">
        <is>
          <t>biosphere</t>
        </is>
      </c>
      <c r="G329" t="inlineStr">
        <is>
          <t>Formaldehyde</t>
        </is>
      </c>
    </row>
    <row r="330">
      <c r="A330" t="inlineStr">
        <is>
          <t>Acetaldehyde</t>
        </is>
      </c>
      <c r="B330" s="7" t="n">
        <v>1.047397372815445e-05</v>
      </c>
      <c r="D330" t="inlineStr">
        <is>
          <t>kilogram</t>
        </is>
      </c>
      <c r="E330" t="inlineStr">
        <is>
          <t>air::urban air close to ground</t>
        </is>
      </c>
      <c r="F330" t="inlineStr">
        <is>
          <t>biosphere</t>
        </is>
      </c>
      <c r="G330" t="inlineStr">
        <is>
          <t>Acetaldehyde</t>
        </is>
      </c>
    </row>
    <row r="331">
      <c r="A331" t="inlineStr">
        <is>
          <t>Benzaldehyde</t>
        </is>
      </c>
      <c r="B331" s="7" t="n">
        <v>3.072365626925306e-06</v>
      </c>
      <c r="D331" t="inlineStr">
        <is>
          <t>kilogram</t>
        </is>
      </c>
      <c r="E331" t="inlineStr">
        <is>
          <t>air::urban air close to ground</t>
        </is>
      </c>
      <c r="F331" t="inlineStr">
        <is>
          <t>biosphere</t>
        </is>
      </c>
      <c r="G331" t="inlineStr">
        <is>
          <t>Benzaldehyde</t>
        </is>
      </c>
    </row>
    <row r="332">
      <c r="A332" t="inlineStr">
        <is>
          <t>Acetone</t>
        </is>
      </c>
      <c r="B332" s="7" t="n">
        <v>8.518831965565623e-06</v>
      </c>
      <c r="D332" t="inlineStr">
        <is>
          <t>kilogram</t>
        </is>
      </c>
      <c r="E332" t="inlineStr">
        <is>
          <t>air::urban air close to ground</t>
        </is>
      </c>
      <c r="F332" t="inlineStr">
        <is>
          <t>biosphere</t>
        </is>
      </c>
      <c r="G332" t="inlineStr">
        <is>
          <t>Acetone</t>
        </is>
      </c>
    </row>
    <row r="333">
      <c r="A333" t="inlineStr">
        <is>
          <t>Methyl ethyl ketone</t>
        </is>
      </c>
      <c r="B333" s="7" t="n">
        <v>0</v>
      </c>
      <c r="D333" t="inlineStr">
        <is>
          <t>kilogram</t>
        </is>
      </c>
      <c r="E333" t="inlineStr">
        <is>
          <t>air::urban air close to ground</t>
        </is>
      </c>
      <c r="F333" t="inlineStr">
        <is>
          <t>biosphere</t>
        </is>
      </c>
      <c r="G333" t="inlineStr">
        <is>
          <t>Methyl ethyl ketone</t>
        </is>
      </c>
    </row>
    <row r="334">
      <c r="A334" t="inlineStr">
        <is>
          <t>Acrolein</t>
        </is>
      </c>
      <c r="B334" s="7" t="n">
        <v>2.653406677799128e-06</v>
      </c>
      <c r="D334" t="inlineStr">
        <is>
          <t>kilogram</t>
        </is>
      </c>
      <c r="E334" t="inlineStr">
        <is>
          <t>air::urban air close to ground</t>
        </is>
      </c>
      <c r="F334" t="inlineStr">
        <is>
          <t>biosphere</t>
        </is>
      </c>
      <c r="G334" t="inlineStr">
        <is>
          <t>Acrolein</t>
        </is>
      </c>
    </row>
    <row r="335">
      <c r="A335" t="inlineStr">
        <is>
          <t>Styrene</t>
        </is>
      </c>
      <c r="B335" s="7" t="n">
        <v>1.4104951287248e-05</v>
      </c>
      <c r="D335" t="inlineStr">
        <is>
          <t>kilogram</t>
        </is>
      </c>
      <c r="E335" t="inlineStr">
        <is>
          <t>air::urban air close to ground</t>
        </is>
      </c>
      <c r="F335" t="inlineStr">
        <is>
          <t>biosphere</t>
        </is>
      </c>
      <c r="G335" t="inlineStr">
        <is>
          <t>Styrene</t>
        </is>
      </c>
    </row>
    <row r="336">
      <c r="A336" t="inlineStr">
        <is>
          <t>PAH, polycyclic aromatic hydrocarbons</t>
        </is>
      </c>
      <c r="B336" s="7" t="n">
        <v>1.055077288779459e-09</v>
      </c>
      <c r="D336" t="inlineStr">
        <is>
          <t>kilogram</t>
        </is>
      </c>
      <c r="E336" t="inlineStr">
        <is>
          <t>air::urban air close to ground</t>
        </is>
      </c>
      <c r="F336" t="inlineStr">
        <is>
          <t>biosphere</t>
        </is>
      </c>
      <c r="G336" t="inlineStr">
        <is>
          <t>PAHs</t>
        </is>
      </c>
    </row>
    <row r="337">
      <c r="A337" t="inlineStr">
        <is>
          <t>Arsenic</t>
        </is>
      </c>
      <c r="B337" s="7" t="n">
        <v>9.095493868788441e-12</v>
      </c>
      <c r="D337" t="inlineStr">
        <is>
          <t>kilogram</t>
        </is>
      </c>
      <c r="E337" t="inlineStr">
        <is>
          <t>air::urban air close to ground</t>
        </is>
      </c>
      <c r="F337" t="inlineStr">
        <is>
          <t>biosphere</t>
        </is>
      </c>
      <c r="G337" t="inlineStr">
        <is>
          <t>Arsenic</t>
        </is>
      </c>
    </row>
    <row r="338">
      <c r="A338" t="inlineStr">
        <is>
          <t>Selenium</t>
        </is>
      </c>
      <c r="B338" s="7" t="n">
        <v>6.063662579192293e-12</v>
      </c>
      <c r="D338" t="inlineStr">
        <is>
          <t>kilogram</t>
        </is>
      </c>
      <c r="E338" t="inlineStr">
        <is>
          <t>air::urban air close to ground</t>
        </is>
      </c>
      <c r="F338" t="inlineStr">
        <is>
          <t>biosphere</t>
        </is>
      </c>
      <c r="G338" t="inlineStr">
        <is>
          <t>Selenium</t>
        </is>
      </c>
    </row>
    <row r="339">
      <c r="A339" t="inlineStr">
        <is>
          <t>Zinc</t>
        </is>
      </c>
      <c r="B339" s="7" t="n">
        <v>6.548755585527677e-08</v>
      </c>
      <c r="D339" t="inlineStr">
        <is>
          <t>kilogram</t>
        </is>
      </c>
      <c r="E339" t="inlineStr">
        <is>
          <t>air::urban air close to ground</t>
        </is>
      </c>
      <c r="F339" t="inlineStr">
        <is>
          <t>biosphere</t>
        </is>
      </c>
      <c r="G339" t="inlineStr">
        <is>
          <t>Zinc</t>
        </is>
      </c>
    </row>
    <row r="340">
      <c r="A340" t="inlineStr">
        <is>
          <t>Copper</t>
        </is>
      </c>
      <c r="B340" s="7" t="n">
        <v>1.273369141630381e-09</v>
      </c>
      <c r="D340" t="inlineStr">
        <is>
          <t>kilogram</t>
        </is>
      </c>
      <c r="E340" t="inlineStr">
        <is>
          <t>air::urban air close to ground</t>
        </is>
      </c>
      <c r="F340" t="inlineStr">
        <is>
          <t>biosphere</t>
        </is>
      </c>
      <c r="G340" t="inlineStr">
        <is>
          <t>Copper</t>
        </is>
      </c>
    </row>
    <row r="341">
      <c r="A341" t="inlineStr">
        <is>
          <t>Nickel</t>
        </is>
      </c>
      <c r="B341" s="7" t="n">
        <v>3.941380676474991e-10</v>
      </c>
      <c r="D341" t="inlineStr">
        <is>
          <t>kilogram</t>
        </is>
      </c>
      <c r="E341" t="inlineStr">
        <is>
          <t>air::urban air close to ground</t>
        </is>
      </c>
      <c r="F341" t="inlineStr">
        <is>
          <t>biosphere</t>
        </is>
      </c>
      <c r="G341" t="inlineStr">
        <is>
          <t>Nickel</t>
        </is>
      </c>
    </row>
    <row r="342">
      <c r="A342" t="inlineStr">
        <is>
          <t>Chromium</t>
        </is>
      </c>
      <c r="B342" s="7" t="n">
        <v>4.850930063353835e-10</v>
      </c>
      <c r="D342" t="inlineStr">
        <is>
          <t>kilogram</t>
        </is>
      </c>
      <c r="E342" t="inlineStr">
        <is>
          <t>air::urban air close to ground</t>
        </is>
      </c>
      <c r="F342" t="inlineStr">
        <is>
          <t>biosphere</t>
        </is>
      </c>
      <c r="G342" t="inlineStr">
        <is>
          <t>Chromium</t>
        </is>
      </c>
    </row>
    <row r="343">
      <c r="A343" t="inlineStr">
        <is>
          <t>Chromium VI</t>
        </is>
      </c>
      <c r="B343" s="7" t="n">
        <v>9.701860126707668e-13</v>
      </c>
      <c r="D343" t="inlineStr">
        <is>
          <t>kilogram</t>
        </is>
      </c>
      <c r="E343" t="inlineStr">
        <is>
          <t>air::urban air close to ground</t>
        </is>
      </c>
      <c r="F343" t="inlineStr">
        <is>
          <t>biosphere</t>
        </is>
      </c>
      <c r="G343" t="inlineStr">
        <is>
          <t>Chromium VI</t>
        </is>
      </c>
    </row>
    <row r="344">
      <c r="A344" t="inlineStr">
        <is>
          <t>Mercury</t>
        </is>
      </c>
      <c r="B344" s="7" t="n">
        <v>2.637693221948648e-10</v>
      </c>
      <c r="D344" t="inlineStr">
        <is>
          <t>kilogram</t>
        </is>
      </c>
      <c r="E344" t="inlineStr">
        <is>
          <t>air::urban air close to ground</t>
        </is>
      </c>
      <c r="F344" t="inlineStr">
        <is>
          <t>biosphere</t>
        </is>
      </c>
      <c r="G344" t="inlineStr">
        <is>
          <t>Mercury</t>
        </is>
      </c>
    </row>
    <row r="345">
      <c r="A345" t="inlineStr">
        <is>
          <t>Cadmium</t>
        </is>
      </c>
      <c r="B345" s="7" t="n">
        <v>3.274377792763839e-10</v>
      </c>
      <c r="D345" t="inlineStr">
        <is>
          <t>kilogram</t>
        </is>
      </c>
      <c r="E345" t="inlineStr">
        <is>
          <t>air::urban air close to ground</t>
        </is>
      </c>
      <c r="F345" t="inlineStr">
        <is>
          <t>biosphere</t>
        </is>
      </c>
      <c r="G345" t="inlineStr">
        <is>
          <t>Cadmium</t>
        </is>
      </c>
    </row>
    <row r="346">
      <c r="A346" t="inlineStr">
        <is>
          <t>treatment of road wear emissions, passenger car</t>
        </is>
      </c>
      <c r="B346" s="7" t="n">
        <v>-6.406580679150494e-06</v>
      </c>
      <c r="C346" t="inlineStr">
        <is>
          <t>RER</t>
        </is>
      </c>
      <c r="D346" t="inlineStr">
        <is>
          <t>kilogram</t>
        </is>
      </c>
      <c r="F346" t="inlineStr">
        <is>
          <t>technosphere</t>
        </is>
      </c>
      <c r="G346" t="inlineStr">
        <is>
          <t>Road wear [kg/km]</t>
        </is>
      </c>
      <c r="H346" t="inlineStr">
        <is>
          <t>road wear emissions, passenger car</t>
        </is>
      </c>
    </row>
    <row r="347">
      <c r="A347" t="inlineStr">
        <is>
          <t>treatment of tyre wear emissions, passenger car</t>
        </is>
      </c>
      <c r="B347" s="7" t="n">
        <v>-5.195660038773799e-06</v>
      </c>
      <c r="C347" t="inlineStr">
        <is>
          <t>RER</t>
        </is>
      </c>
      <c r="D347" t="inlineStr">
        <is>
          <t>kilogram</t>
        </is>
      </c>
      <c r="F347" t="inlineStr">
        <is>
          <t>technosphere</t>
        </is>
      </c>
      <c r="G347" t="inlineStr">
        <is>
          <t>Tire wear [kg/km]</t>
        </is>
      </c>
      <c r="H347" t="inlineStr">
        <is>
          <t>tyre wear emissions, passenger car</t>
        </is>
      </c>
    </row>
    <row r="348">
      <c r="A348" t="inlineStr">
        <is>
          <t>treatment of brake wear emissions, passenger car</t>
        </is>
      </c>
      <c r="B348" s="7" t="n">
        <v>-3.632248632002054e-06</v>
      </c>
      <c r="C348" t="inlineStr">
        <is>
          <t>RER</t>
        </is>
      </c>
      <c r="D348" t="inlineStr">
        <is>
          <t>kilogram</t>
        </is>
      </c>
      <c r="F348" t="inlineStr">
        <is>
          <t>technosphere</t>
        </is>
      </c>
      <c r="G348" t="inlineStr">
        <is>
          <t>Brake wear [kg/km]</t>
        </is>
      </c>
      <c r="H348" t="inlineStr">
        <is>
          <t>brake wear emissions, passenger car</t>
        </is>
      </c>
    </row>
    <row r="349">
      <c r="B349" s="6" t="n"/>
    </row>
    <row r="350"/>
    <row r="351"/>
    <row r="352">
      <c r="B352" s="11" t="n"/>
    </row>
    <row r="353">
      <c r="B353" s="12" t="n"/>
    </row>
    <row r="354">
      <c r="B354" s="11" t="n"/>
    </row>
    <row r="355"/>
    <row r="356" ht="16" customHeight="1">
      <c r="A356" s="10" t="n"/>
      <c r="B356" s="8" t="n"/>
    </row>
    <row r="357"/>
    <row r="358"/>
    <row r="359"/>
    <row r="360"/>
    <row r="361"/>
    <row r="362"/>
    <row r="363"/>
    <row r="364"/>
    <row r="365"/>
    <row r="366"/>
    <row r="367"/>
    <row r="368"/>
    <row r="369"/>
    <row r="370"/>
    <row r="371"/>
    <row r="372"/>
    <row r="373"/>
    <row r="374"/>
    <row r="375"/>
    <row r="376"/>
    <row r="377"/>
    <row r="378"/>
    <row r="379">
      <c r="B379" s="6" t="n"/>
    </row>
    <row r="380"/>
    <row r="381" ht="16" customHeight="1">
      <c r="A381" s="10" t="n"/>
    </row>
    <row r="382"/>
    <row r="383"/>
    <row r="384"/>
    <row r="385">
      <c r="B385" s="11" t="n"/>
    </row>
    <row r="386">
      <c r="B386" s="12" t="n"/>
    </row>
    <row r="387">
      <c r="B387" s="11" t="n"/>
    </row>
    <row r="388"/>
    <row r="389" ht="16" customHeight="1">
      <c r="A389" s="10" t="n"/>
      <c r="B389" s="8" t="n"/>
    </row>
    <row r="390"/>
    <row r="391"/>
    <row r="392"/>
    <row r="393"/>
    <row r="394"/>
    <row r="395"/>
    <row r="396"/>
    <row r="397"/>
    <row r="398"/>
    <row r="399"/>
    <row r="400"/>
    <row r="401"/>
    <row r="402"/>
    <row r="403"/>
    <row r="404"/>
    <row r="405"/>
    <row r="406"/>
    <row r="407"/>
    <row r="408"/>
    <row r="409"/>
    <row r="410"/>
    <row r="411"/>
    <row r="412">
      <c r="B412" s="6" t="n"/>
    </row>
    <row r="413"/>
    <row r="414" ht="16" customHeight="1">
      <c r="A414" s="10" t="n"/>
    </row>
    <row r="415"/>
    <row r="416"/>
    <row r="417"/>
    <row r="418">
      <c r="B418" s="11" t="n"/>
    </row>
    <row r="419">
      <c r="B419" s="12" t="n"/>
    </row>
    <row r="420">
      <c r="B420" s="11" t="n"/>
    </row>
  </sheetData>
  <pageMargins left="0.7" right="0.7" top="0.75" bottom="0.75" header="0.3" footer="0.3"/>
  <pageSetup orientation="portrait" horizontalDpi="300" verticalDpi="300"/>
</worksheet>
</file>

<file path=xl/worksheets/sheet18.xml><?xml version="1.0" encoding="utf-8"?>
<worksheet xmlns="http://schemas.openxmlformats.org/spreadsheetml/2006/main">
  <sheetPr>
    <outlinePr summaryBelow="1" summaryRight="1"/>
    <pageSetUpPr/>
  </sheetPr>
  <dimension ref="A1:H419"/>
  <sheetViews>
    <sheetView topLeftCell="A272" workbookViewId="0">
      <selection activeCell="G297" sqref="G297"/>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Scooter, gasoline, 4-11kW, EURO-3</t>
        </is>
      </c>
    </row>
    <row r="2">
      <c r="A2" t="inlineStr">
        <is>
          <t>location</t>
        </is>
      </c>
      <c r="B2" t="inlineStr">
        <is>
          <t>CH</t>
        </is>
      </c>
    </row>
    <row r="3">
      <c r="A3" t="inlineStr">
        <is>
          <t>vehicle</t>
        </is>
      </c>
      <c r="B3" t="inlineStr">
        <is>
          <t>Scooter, gasoline, 4-11kW, EURO-3</t>
        </is>
      </c>
    </row>
    <row r="4">
      <c r="A4" t="inlineStr">
        <is>
          <t>size</t>
        </is>
      </c>
    </row>
    <row r="5">
      <c r="A5" t="inlineStr">
        <is>
          <t>year</t>
        </is>
      </c>
      <c r="B5" t="n">
        <v>2006</v>
      </c>
    </row>
    <row r="6">
      <c r="A6" t="inlineStr">
        <is>
          <t>full name</t>
        </is>
      </c>
      <c r="B6" t="inlineStr">
        <is>
          <t>Scooter, gasoline, 4-11kW, EURO-3 - 2006 - CH</t>
        </is>
      </c>
    </row>
    <row r="7">
      <c r="A7" t="inlineStr">
        <is>
          <t>reference product</t>
        </is>
      </c>
      <c r="B7" t="inlineStr">
        <is>
          <t>Scooter, gasoline, 4-11kW, EURO-3</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30000</v>
      </c>
    </row>
    <row r="12">
      <c r="A12" t="inlineStr">
        <is>
          <t>passengers</t>
        </is>
      </c>
      <c r="B12" t="n">
        <v>1</v>
      </c>
    </row>
    <row r="13">
      <c r="A13" t="inlineStr">
        <is>
          <t>service</t>
        </is>
      </c>
      <c r="B13" t="n">
        <v>1.2</v>
      </c>
    </row>
    <row r="14">
      <c r="A14" t="inlineStr">
        <is>
          <t>battery replacement</t>
        </is>
      </c>
      <c r="B14" t="n">
        <v>0</v>
      </c>
    </row>
    <row r="15">
      <c r="A15" t="inlineStr">
        <is>
          <t>annual kilometers</t>
        </is>
      </c>
      <c r="B15" t="n">
        <v>1870</v>
      </c>
    </row>
    <row r="16">
      <c r="A16" t="inlineStr">
        <is>
          <t>curb mass</t>
        </is>
      </c>
      <c r="B16" s="2" t="n">
        <v>133.2625</v>
      </c>
    </row>
    <row r="17">
      <c r="A17" t="inlineStr">
        <is>
          <t>power</t>
        </is>
      </c>
      <c r="B17" t="n">
        <v>8.800000000000001</v>
      </c>
    </row>
    <row r="18">
      <c r="A18" t="inlineStr">
        <is>
          <t>battery mass</t>
        </is>
      </c>
    </row>
    <row r="19">
      <c r="A19" t="inlineStr">
        <is>
          <t>electricity, low voltage</t>
        </is>
      </c>
      <c r="B19" t="n">
        <v>0</v>
      </c>
    </row>
    <row r="20">
      <c r="A20" t="inlineStr">
        <is>
          <t>tank capacity</t>
        </is>
      </c>
      <c r="B20" s="2" t="n">
        <v>79.875</v>
      </c>
    </row>
    <row r="21">
      <c r="A21" t="inlineStr">
        <is>
          <t>fuel mass</t>
        </is>
      </c>
      <c r="B21" t="n">
        <v>6.75</v>
      </c>
    </row>
    <row r="22">
      <c r="A22" t="inlineStr">
        <is>
          <t>range</t>
        </is>
      </c>
      <c r="B22" s="2" t="n">
        <v>271.7451869178301</v>
      </c>
    </row>
    <row r="23">
      <c r="A23" t="inlineStr">
        <is>
          <t>emission standard</t>
        </is>
      </c>
      <c r="B23" t="inlineStr">
        <is>
          <t>EURO-5</t>
        </is>
      </c>
    </row>
    <row r="24">
      <c r="A24" t="inlineStr">
        <is>
          <t>Glider lightweighting</t>
        </is>
      </c>
      <c r="B24" s="6" t="n">
        <v>-0.05</v>
      </c>
    </row>
    <row r="25">
      <c r="A25" t="inlineStr">
        <is>
          <t>origin</t>
        </is>
      </c>
      <c r="B25" s="6" t="inlineStr">
        <is>
          <t>China</t>
        </is>
      </c>
    </row>
    <row r="26">
      <c r="A26" t="inlineStr">
        <is>
          <t>distance by ship [km]</t>
        </is>
      </c>
      <c r="B26" s="2" t="n">
        <v>15900</v>
      </c>
    </row>
    <row r="27">
      <c r="A27" t="inlineStr">
        <is>
          <t>distance by truck [km]</t>
        </is>
      </c>
      <c r="B27" s="2" t="n">
        <v>1000</v>
      </c>
    </row>
    <row r="28">
      <c r="A28" t="inlineStr">
        <is>
          <t>comment</t>
        </is>
      </c>
      <c r="B28" t="inlineStr">
        <is>
          <t>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ht="16" customHeight="1">
      <c r="A29" s="10" t="inlineStr">
        <is>
          <t>Exchanges</t>
        </is>
      </c>
    </row>
    <row r="30">
      <c r="A30" t="inlineStr">
        <is>
          <t>name</t>
        </is>
      </c>
      <c r="B30" t="inlineStr">
        <is>
          <t>amount</t>
        </is>
      </c>
      <c r="C30" t="inlineStr">
        <is>
          <t>location</t>
        </is>
      </c>
      <c r="D30" t="inlineStr">
        <is>
          <t>unit</t>
        </is>
      </c>
      <c r="E30" t="inlineStr">
        <is>
          <t>categories</t>
        </is>
      </c>
      <c r="F30" t="inlineStr">
        <is>
          <t>type</t>
        </is>
      </c>
      <c r="G30" t="inlineStr">
        <is>
          <t>comment</t>
        </is>
      </c>
      <c r="H30" t="inlineStr">
        <is>
          <t>reference product</t>
        </is>
      </c>
    </row>
    <row r="31">
      <c r="A31" t="inlineStr">
        <is>
          <t>Scooter, gasoline, 4-11kW, EURO-3</t>
        </is>
      </c>
      <c r="B31" t="n">
        <v>1</v>
      </c>
      <c r="C31" t="inlineStr">
        <is>
          <t>CH</t>
        </is>
      </c>
      <c r="D31" t="inlineStr">
        <is>
          <t>unit</t>
        </is>
      </c>
      <c r="F31" t="inlineStr">
        <is>
          <t>production</t>
        </is>
      </c>
      <c r="H31" t="inlineStr">
        <is>
          <t>Scooter, gasoline, 4-11kW, EURO-3</t>
        </is>
      </c>
    </row>
    <row r="32">
      <c r="A32" t="inlineStr">
        <is>
          <t>motor scooter production</t>
        </is>
      </c>
      <c r="B32" s="11" t="n">
        <v>0.7777777777777778</v>
      </c>
      <c r="C32" t="inlineStr">
        <is>
          <t>RER</t>
        </is>
      </c>
      <c r="D32" t="inlineStr">
        <is>
          <t>unit</t>
        </is>
      </c>
      <c r="F32" t="inlineStr">
        <is>
          <t>technosphere</t>
        </is>
      </c>
      <c r="G32" t="inlineStr">
        <is>
          <t>Glider base mass [kg]</t>
        </is>
      </c>
      <c r="H32" t="inlineStr">
        <is>
          <t>motor scooter, 50 cubic cm engine</t>
        </is>
      </c>
    </row>
    <row r="33">
      <c r="A33" t="inlineStr">
        <is>
          <t>motor scooter production</t>
        </is>
      </c>
      <c r="B33" s="11" t="n">
        <v>0.5777777777777778</v>
      </c>
      <c r="C33" t="inlineStr">
        <is>
          <t>RER</t>
        </is>
      </c>
      <c r="D33" t="inlineStr">
        <is>
          <t>unit</t>
        </is>
      </c>
      <c r="F33" t="inlineStr">
        <is>
          <t>technosphere</t>
        </is>
      </c>
      <c r="G33" t="inlineStr">
        <is>
          <t>Mechanical powertrain mass [kg]</t>
        </is>
      </c>
      <c r="H33" t="inlineStr">
        <is>
          <t>motor scooter, 50 cubic cm engine</t>
        </is>
      </c>
    </row>
    <row r="34">
      <c r="A34" t="inlineStr">
        <is>
          <t>polyethylene production, high density, granulate</t>
        </is>
      </c>
      <c r="B34" s="11" t="n">
        <v>1.0125</v>
      </c>
      <c r="C34" t="inlineStr">
        <is>
          <t>RER</t>
        </is>
      </c>
      <c r="D34" t="inlineStr">
        <is>
          <t>kilogram</t>
        </is>
      </c>
      <c r="F34" t="inlineStr">
        <is>
          <t>technosphere</t>
        </is>
      </c>
      <c r="G34" t="inlineStr">
        <is>
          <t>Fuel tank mass [kg]</t>
        </is>
      </c>
      <c r="H34" t="inlineStr">
        <is>
          <t>polyethylene, high density, granulate</t>
        </is>
      </c>
    </row>
    <row r="35">
      <c r="A35" t="inlineStr">
        <is>
          <t>injection moulding</t>
        </is>
      </c>
      <c r="B35" s="11" t="n">
        <v>1.018611670020121</v>
      </c>
      <c r="C35" t="inlineStr">
        <is>
          <t>RER</t>
        </is>
      </c>
      <c r="D35" t="inlineStr">
        <is>
          <t>kilogram</t>
        </is>
      </c>
      <c r="F35" t="inlineStr">
        <is>
          <t>technosphere</t>
        </is>
      </c>
      <c r="G35" t="inlineStr">
        <is>
          <t>Fuel tank shaping</t>
        </is>
      </c>
      <c r="H35" t="inlineStr">
        <is>
          <t>injection moulding</t>
        </is>
      </c>
    </row>
    <row r="36">
      <c r="A36" s="13" t="inlineStr">
        <is>
          <t>market for transport, freight, lorry, unspecified</t>
        </is>
      </c>
      <c r="B36" t="n">
        <v>133.2625</v>
      </c>
      <c r="C36" t="inlineStr">
        <is>
          <t>RER</t>
        </is>
      </c>
      <c r="D36" t="inlineStr">
        <is>
          <t>ton kilometer</t>
        </is>
      </c>
      <c r="F36" t="inlineStr">
        <is>
          <t>technosphere</t>
        </is>
      </c>
      <c r="H36" s="13" t="inlineStr">
        <is>
          <t>transport, freight, lorry, unspecified</t>
        </is>
      </c>
    </row>
    <row r="37">
      <c r="A37" s="13" t="inlineStr">
        <is>
          <t>transport, freight, sea, container ship</t>
        </is>
      </c>
      <c r="B37" s="2" t="n">
        <v>2118.87375</v>
      </c>
      <c r="C37" t="inlineStr">
        <is>
          <t>GLO</t>
        </is>
      </c>
      <c r="D37" t="inlineStr">
        <is>
          <t>ton kilometer</t>
        </is>
      </c>
      <c r="F37" t="inlineStr">
        <is>
          <t>technosphere</t>
        </is>
      </c>
      <c r="H37" s="13" t="inlineStr">
        <is>
          <t>transport, freight, sea, container ship</t>
        </is>
      </c>
    </row>
    <row r="38">
      <c r="B38" s="11" t="n"/>
    </row>
    <row r="39" ht="16" customHeight="1">
      <c r="A39" s="10" t="inlineStr">
        <is>
          <t>Activity</t>
        </is>
      </c>
      <c r="B39" s="8" t="inlineStr">
        <is>
          <t>Scooter, gasoline, 4-11kW, EURO-4</t>
        </is>
      </c>
    </row>
    <row r="40">
      <c r="A40" t="inlineStr">
        <is>
          <t>location</t>
        </is>
      </c>
      <c r="B40" t="inlineStr">
        <is>
          <t>CH</t>
        </is>
      </c>
    </row>
    <row r="41">
      <c r="A41" t="inlineStr">
        <is>
          <t>vehicle</t>
        </is>
      </c>
      <c r="B41" t="inlineStr">
        <is>
          <t>Scooter, gasoline, 4-11kW, EURO-4</t>
        </is>
      </c>
    </row>
    <row r="42">
      <c r="A42" t="inlineStr">
        <is>
          <t>size</t>
        </is>
      </c>
    </row>
    <row r="43">
      <c r="A43" t="inlineStr">
        <is>
          <t>year</t>
        </is>
      </c>
      <c r="B43" t="n">
        <v>2016</v>
      </c>
    </row>
    <row r="44">
      <c r="A44" t="inlineStr">
        <is>
          <t>full name</t>
        </is>
      </c>
      <c r="B44" t="inlineStr">
        <is>
          <t>Scooter, gasoline, 4-11kW, EURO-4 - 2016 - CH</t>
        </is>
      </c>
    </row>
    <row r="45">
      <c r="A45" t="inlineStr">
        <is>
          <t>reference product</t>
        </is>
      </c>
      <c r="B45" t="inlineStr">
        <is>
          <t>Scooter, gasoline, 4-11kW, EURO-4</t>
        </is>
      </c>
    </row>
    <row r="46">
      <c r="A46" t="inlineStr">
        <is>
          <t>type</t>
        </is>
      </c>
      <c r="B46" t="inlineStr">
        <is>
          <t>process</t>
        </is>
      </c>
    </row>
    <row r="47">
      <c r="A47" t="inlineStr">
        <is>
          <t>unit</t>
        </is>
      </c>
      <c r="B47" t="inlineStr">
        <is>
          <t>unit</t>
        </is>
      </c>
    </row>
    <row r="48">
      <c r="A48" t="inlineStr">
        <is>
          <t>source</t>
        </is>
      </c>
      <c r="B48" t="inlineStr">
        <is>
          <t>Sacchi R., Bauer C. Life cycle inventories for on-road vehicles. Paul Scherrer Institut, 2021.</t>
        </is>
      </c>
    </row>
    <row r="49">
      <c r="A49" t="inlineStr">
        <is>
          <t>lifetime</t>
        </is>
      </c>
      <c r="B49" t="n">
        <v>30000</v>
      </c>
    </row>
    <row r="50">
      <c r="A50" t="inlineStr">
        <is>
          <t>passengers</t>
        </is>
      </c>
      <c r="B50" t="n">
        <v>1</v>
      </c>
    </row>
    <row r="51">
      <c r="A51" t="inlineStr">
        <is>
          <t>service</t>
        </is>
      </c>
      <c r="B51" t="n">
        <v>1.2</v>
      </c>
    </row>
    <row r="52">
      <c r="A52" t="inlineStr">
        <is>
          <t>battery replacement</t>
        </is>
      </c>
      <c r="B52" t="n">
        <v>0</v>
      </c>
    </row>
    <row r="53">
      <c r="A53" t="inlineStr">
        <is>
          <t>annual kilometers</t>
        </is>
      </c>
      <c r="B53" t="n">
        <v>1870</v>
      </c>
    </row>
    <row r="54">
      <c r="A54" t="inlineStr">
        <is>
          <t>curb mass</t>
        </is>
      </c>
      <c r="B54" s="2" t="n">
        <v>131.1625</v>
      </c>
    </row>
    <row r="55">
      <c r="A55" t="inlineStr">
        <is>
          <t>power</t>
        </is>
      </c>
      <c r="B55" t="n">
        <v>8.800000000000001</v>
      </c>
    </row>
    <row r="56">
      <c r="A56" t="inlineStr">
        <is>
          <t>battery mass</t>
        </is>
      </c>
    </row>
    <row r="57">
      <c r="A57" t="inlineStr">
        <is>
          <t>electricity, low voltage</t>
        </is>
      </c>
      <c r="B57" t="n">
        <v>0</v>
      </c>
    </row>
    <row r="58">
      <c r="A58" t="inlineStr">
        <is>
          <t>tank capacity</t>
        </is>
      </c>
      <c r="B58" s="2" t="n">
        <v>79.875</v>
      </c>
    </row>
    <row r="59">
      <c r="A59" t="inlineStr">
        <is>
          <t>fuel mass</t>
        </is>
      </c>
      <c r="B59" t="n">
        <v>6.75</v>
      </c>
    </row>
    <row r="60">
      <c r="A60" t="inlineStr">
        <is>
          <t>range</t>
        </is>
      </c>
      <c r="B60" s="2" t="n">
        <v>274.4626387870084</v>
      </c>
    </row>
    <row r="61">
      <c r="A61" t="inlineStr">
        <is>
          <t>emission standard</t>
        </is>
      </c>
      <c r="B61" t="inlineStr">
        <is>
          <t>EURO-4</t>
        </is>
      </c>
    </row>
    <row r="62">
      <c r="A62" t="inlineStr">
        <is>
          <t>Glider lightweighting</t>
        </is>
      </c>
      <c r="B62" s="6" t="n">
        <v>-0.02</v>
      </c>
    </row>
    <row r="63">
      <c r="A63" t="inlineStr">
        <is>
          <t>origin</t>
        </is>
      </c>
      <c r="B63" s="6" t="inlineStr">
        <is>
          <t>China</t>
        </is>
      </c>
    </row>
    <row r="64">
      <c r="A64" t="inlineStr">
        <is>
          <t>distance by ship [km]</t>
        </is>
      </c>
      <c r="B64" s="2" t="n">
        <v>15900</v>
      </c>
    </row>
    <row r="65">
      <c r="A65" t="inlineStr">
        <is>
          <t>distance by truck [km]</t>
        </is>
      </c>
      <c r="B65" s="2" t="n">
        <v>1000</v>
      </c>
    </row>
    <row r="66">
      <c r="A66" t="inlineStr">
        <is>
          <t>comment</t>
        </is>
      </c>
      <c r="B66" t="inlineStr">
        <is>
          <t>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ht="16" customHeight="1">
      <c r="A67" s="10" t="inlineStr">
        <is>
          <t>Exchanges</t>
        </is>
      </c>
    </row>
    <row r="68">
      <c r="A68" t="inlineStr">
        <is>
          <t>name</t>
        </is>
      </c>
      <c r="B68" t="inlineStr">
        <is>
          <t>amount</t>
        </is>
      </c>
      <c r="C68" t="inlineStr">
        <is>
          <t>location</t>
        </is>
      </c>
      <c r="D68" t="inlineStr">
        <is>
          <t>unit</t>
        </is>
      </c>
      <c r="E68" t="inlineStr">
        <is>
          <t>categories</t>
        </is>
      </c>
      <c r="F68" t="inlineStr">
        <is>
          <t>type</t>
        </is>
      </c>
      <c r="G68" t="inlineStr">
        <is>
          <t>comment</t>
        </is>
      </c>
      <c r="H68" t="inlineStr">
        <is>
          <t>reference product</t>
        </is>
      </c>
    </row>
    <row r="69">
      <c r="A69" t="inlineStr">
        <is>
          <t>Scooter, gasoline, 4-11kW, EURO-4</t>
        </is>
      </c>
      <c r="B69" t="n">
        <v>1</v>
      </c>
      <c r="C69" t="inlineStr">
        <is>
          <t>CH</t>
        </is>
      </c>
      <c r="D69" t="inlineStr">
        <is>
          <t>unit</t>
        </is>
      </c>
      <c r="F69" t="inlineStr">
        <is>
          <t>production</t>
        </is>
      </c>
      <c r="H69" t="inlineStr">
        <is>
          <t>Scooter, gasoline, 4-11kW, EURO-4</t>
        </is>
      </c>
    </row>
    <row r="70">
      <c r="A70" t="inlineStr">
        <is>
          <t>motor scooter production</t>
        </is>
      </c>
      <c r="B70" s="11" t="n">
        <v>0.7777777777777778</v>
      </c>
      <c r="C70" t="inlineStr">
        <is>
          <t>RER</t>
        </is>
      </c>
      <c r="D70" t="inlineStr">
        <is>
          <t>unit</t>
        </is>
      </c>
      <c r="F70" t="inlineStr">
        <is>
          <t>technosphere</t>
        </is>
      </c>
      <c r="G70" t="inlineStr">
        <is>
          <t>Glider base mass [kg]</t>
        </is>
      </c>
      <c r="H70" t="inlineStr">
        <is>
          <t>motor scooter, 50 cubic cm engine</t>
        </is>
      </c>
    </row>
    <row r="71">
      <c r="A71" t="inlineStr">
        <is>
          <t>motor scooter production</t>
        </is>
      </c>
      <c r="B71" s="11" t="n">
        <v>0.5777777777777778</v>
      </c>
      <c r="C71" t="inlineStr">
        <is>
          <t>RER</t>
        </is>
      </c>
      <c r="D71" t="inlineStr">
        <is>
          <t>unit</t>
        </is>
      </c>
      <c r="F71" t="inlineStr">
        <is>
          <t>technosphere</t>
        </is>
      </c>
      <c r="G71" t="inlineStr">
        <is>
          <t>Mechanical powertrain mass [kg]</t>
        </is>
      </c>
      <c r="H71" t="inlineStr">
        <is>
          <t>motor scooter, 50 cubic cm engine</t>
        </is>
      </c>
    </row>
    <row r="72">
      <c r="A72" t="inlineStr">
        <is>
          <t>polyethylene production, high density, granulate</t>
        </is>
      </c>
      <c r="B72" s="11" t="n">
        <v>1.0125</v>
      </c>
      <c r="C72" t="inlineStr">
        <is>
          <t>RER</t>
        </is>
      </c>
      <c r="D72" t="inlineStr">
        <is>
          <t>kilogram</t>
        </is>
      </c>
      <c r="F72" t="inlineStr">
        <is>
          <t>technosphere</t>
        </is>
      </c>
      <c r="G72" t="inlineStr">
        <is>
          <t>Fuel tank mass [kg]</t>
        </is>
      </c>
      <c r="H72" t="inlineStr">
        <is>
          <t>polyethylene, high density, granulate</t>
        </is>
      </c>
    </row>
    <row r="73">
      <c r="A73" t="inlineStr">
        <is>
          <t>injection moulding</t>
        </is>
      </c>
      <c r="B73" s="11" t="n">
        <v>1.018611670020121</v>
      </c>
      <c r="C73" t="inlineStr">
        <is>
          <t>RER</t>
        </is>
      </c>
      <c r="D73" t="inlineStr">
        <is>
          <t>kilogram</t>
        </is>
      </c>
      <c r="F73" t="inlineStr">
        <is>
          <t>technosphere</t>
        </is>
      </c>
      <c r="G73" t="inlineStr">
        <is>
          <t>Fuel tank shaping</t>
        </is>
      </c>
      <c r="H73" t="inlineStr">
        <is>
          <t>injection moulding</t>
        </is>
      </c>
    </row>
    <row r="74">
      <c r="A74" s="13" t="inlineStr">
        <is>
          <t>market for transport, freight, lorry, unspecified</t>
        </is>
      </c>
      <c r="B74" t="n">
        <v>131.1625</v>
      </c>
      <c r="C74" t="inlineStr">
        <is>
          <t>RER</t>
        </is>
      </c>
      <c r="D74" t="inlineStr">
        <is>
          <t>ton kilometer</t>
        </is>
      </c>
      <c r="F74" t="inlineStr">
        <is>
          <t>technosphere</t>
        </is>
      </c>
      <c r="H74" s="13" t="inlineStr">
        <is>
          <t>transport, freight, lorry, unspecified</t>
        </is>
      </c>
    </row>
    <row r="75">
      <c r="A75" s="13" t="inlineStr">
        <is>
          <t>transport, freight, sea, container ship</t>
        </is>
      </c>
      <c r="B75" s="2" t="n">
        <v>2085.48375</v>
      </c>
      <c r="C75" t="inlineStr">
        <is>
          <t>GLO</t>
        </is>
      </c>
      <c r="D75" t="inlineStr">
        <is>
          <t>ton kilometer</t>
        </is>
      </c>
      <c r="F75" t="inlineStr">
        <is>
          <t>technosphere</t>
        </is>
      </c>
      <c r="H75" s="13" t="inlineStr">
        <is>
          <t>transport, freight, sea, container ship</t>
        </is>
      </c>
    </row>
    <row r="76"/>
    <row r="77" ht="16" customHeight="1">
      <c r="A77" s="10" t="inlineStr">
        <is>
          <t>Activity</t>
        </is>
      </c>
      <c r="B77" s="8" t="inlineStr">
        <is>
          <t>Scooter, gasoline, 4-11kW, EURO-5</t>
        </is>
      </c>
    </row>
    <row r="78">
      <c r="A78" t="inlineStr">
        <is>
          <t>location</t>
        </is>
      </c>
      <c r="B78" t="inlineStr">
        <is>
          <t>CH</t>
        </is>
      </c>
    </row>
    <row r="79">
      <c r="A79" t="inlineStr">
        <is>
          <t>vehicle</t>
        </is>
      </c>
      <c r="B79" t="inlineStr">
        <is>
          <t>Scooter, gasoline, 4-11kW, EURO-5</t>
        </is>
      </c>
    </row>
    <row r="80">
      <c r="A80" t="inlineStr">
        <is>
          <t>size</t>
        </is>
      </c>
    </row>
    <row r="81">
      <c r="A81" t="inlineStr">
        <is>
          <t>year</t>
        </is>
      </c>
      <c r="B81" t="n">
        <v>2020</v>
      </c>
    </row>
    <row r="82">
      <c r="A82" t="inlineStr">
        <is>
          <t>full name</t>
        </is>
      </c>
      <c r="B82" t="inlineStr">
        <is>
          <t>Scooter, gasoline, 4-11kW, EURO-5 - 2020 - CH</t>
        </is>
      </c>
    </row>
    <row r="83">
      <c r="A83" t="inlineStr">
        <is>
          <t>reference product</t>
        </is>
      </c>
      <c r="B83" t="inlineStr">
        <is>
          <t>Scooter, gasoline, 4-11kW, EURO-5</t>
        </is>
      </c>
    </row>
    <row r="84">
      <c r="A84" t="inlineStr">
        <is>
          <t>type</t>
        </is>
      </c>
      <c r="B84" t="inlineStr">
        <is>
          <t>process</t>
        </is>
      </c>
    </row>
    <row r="85">
      <c r="A85" t="inlineStr">
        <is>
          <t>unit</t>
        </is>
      </c>
      <c r="B85" t="inlineStr">
        <is>
          <t>unit</t>
        </is>
      </c>
    </row>
    <row r="86">
      <c r="A86" t="inlineStr">
        <is>
          <t>source</t>
        </is>
      </c>
      <c r="B86" t="inlineStr">
        <is>
          <t>Sacchi R., Bauer C. Life cycle inventories for on-road vehicles. Paul Scherrer Institut, 2021.</t>
        </is>
      </c>
    </row>
    <row r="87">
      <c r="A87" t="inlineStr">
        <is>
          <t>lifetime</t>
        </is>
      </c>
      <c r="B87" t="n">
        <v>30000</v>
      </c>
    </row>
    <row r="88">
      <c r="A88" t="inlineStr">
        <is>
          <t>passengers</t>
        </is>
      </c>
      <c r="B88" t="n">
        <v>1</v>
      </c>
    </row>
    <row r="89">
      <c r="A89" t="inlineStr">
        <is>
          <t>service</t>
        </is>
      </c>
      <c r="B89" t="n">
        <v>1.2</v>
      </c>
    </row>
    <row r="90">
      <c r="A90" t="inlineStr">
        <is>
          <t>battery replacement</t>
        </is>
      </c>
      <c r="B90" t="n">
        <v>0</v>
      </c>
    </row>
    <row r="91">
      <c r="A91" t="inlineStr">
        <is>
          <t>annual kilometers</t>
        </is>
      </c>
      <c r="B91" t="n">
        <v>1870</v>
      </c>
    </row>
    <row r="92">
      <c r="A92" t="inlineStr">
        <is>
          <t>curb mass</t>
        </is>
      </c>
      <c r="B92" s="2" t="n">
        <v>129.7625</v>
      </c>
    </row>
    <row r="93">
      <c r="A93" t="inlineStr">
        <is>
          <t>power</t>
        </is>
      </c>
      <c r="B93" t="n">
        <v>8.800000000000001</v>
      </c>
    </row>
    <row r="94">
      <c r="A94" t="inlineStr">
        <is>
          <t>battery mass</t>
        </is>
      </c>
    </row>
    <row r="95">
      <c r="A95" t="inlineStr">
        <is>
          <t>electricity, low voltage</t>
        </is>
      </c>
      <c r="B95" t="n">
        <v>0</v>
      </c>
    </row>
    <row r="96">
      <c r="A96" t="inlineStr">
        <is>
          <t>tank capacity</t>
        </is>
      </c>
      <c r="B96" s="2" t="n">
        <v>79.875</v>
      </c>
    </row>
    <row r="97">
      <c r="A97" t="inlineStr">
        <is>
          <t>fuel mass</t>
        </is>
      </c>
      <c r="B97" t="n">
        <v>6.75</v>
      </c>
    </row>
    <row r="98">
      <c r="A98" t="inlineStr">
        <is>
          <t>range</t>
        </is>
      </c>
      <c r="B98" s="2" t="n">
        <v>277.2349886737459</v>
      </c>
    </row>
    <row r="99">
      <c r="A99" t="inlineStr">
        <is>
          <t>emission standard</t>
        </is>
      </c>
      <c r="B99" t="inlineStr">
        <is>
          <t>EURO-5</t>
        </is>
      </c>
    </row>
    <row r="100">
      <c r="A100" t="inlineStr">
        <is>
          <t>Glider lightweighting</t>
        </is>
      </c>
      <c r="B100" s="6" t="n">
        <v>0</v>
      </c>
    </row>
    <row r="101">
      <c r="A101" t="inlineStr">
        <is>
          <t>origin</t>
        </is>
      </c>
      <c r="B101" s="6" t="inlineStr">
        <is>
          <t>China</t>
        </is>
      </c>
    </row>
    <row r="102">
      <c r="A102" t="inlineStr">
        <is>
          <t>distance by ship [km]</t>
        </is>
      </c>
      <c r="B102" s="2" t="n">
        <v>15900</v>
      </c>
    </row>
    <row r="103">
      <c r="A103" t="inlineStr">
        <is>
          <t>distance by truck [km]</t>
        </is>
      </c>
      <c r="B103" s="2" t="n">
        <v>1000</v>
      </c>
    </row>
    <row r="104">
      <c r="A104" t="inlineStr">
        <is>
          <t>comment</t>
        </is>
      </c>
      <c r="B104" t="inlineStr">
        <is>
          <t>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ht="16" customHeight="1">
      <c r="A105" s="10" t="inlineStr">
        <is>
          <t>Exchanges</t>
        </is>
      </c>
    </row>
    <row r="106">
      <c r="A106" t="inlineStr">
        <is>
          <t>name</t>
        </is>
      </c>
      <c r="B106" t="inlineStr">
        <is>
          <t>amount</t>
        </is>
      </c>
      <c r="C106" t="inlineStr">
        <is>
          <t>location</t>
        </is>
      </c>
      <c r="D106" t="inlineStr">
        <is>
          <t>unit</t>
        </is>
      </c>
      <c r="E106" t="inlineStr">
        <is>
          <t>categories</t>
        </is>
      </c>
      <c r="F106" t="inlineStr">
        <is>
          <t>type</t>
        </is>
      </c>
      <c r="G106" t="inlineStr">
        <is>
          <t>comment</t>
        </is>
      </c>
      <c r="H106" t="inlineStr">
        <is>
          <t>reference product</t>
        </is>
      </c>
    </row>
    <row r="107">
      <c r="A107" t="inlineStr">
        <is>
          <t>Scooter, gasoline, 4-11kW, EURO-5</t>
        </is>
      </c>
      <c r="B107" t="n">
        <v>1</v>
      </c>
      <c r="C107" t="inlineStr">
        <is>
          <t>CH</t>
        </is>
      </c>
      <c r="D107" t="inlineStr">
        <is>
          <t>unit</t>
        </is>
      </c>
      <c r="F107" t="inlineStr">
        <is>
          <t>production</t>
        </is>
      </c>
      <c r="H107" t="inlineStr">
        <is>
          <t>Scooter, gasoline, 4-11kW, EURO-5</t>
        </is>
      </c>
    </row>
    <row r="108">
      <c r="A108" t="inlineStr">
        <is>
          <t>motor scooter production</t>
        </is>
      </c>
      <c r="B108" s="11" t="n">
        <v>0.7777777777777778</v>
      </c>
      <c r="C108" t="inlineStr">
        <is>
          <t>RER</t>
        </is>
      </c>
      <c r="D108" t="inlineStr">
        <is>
          <t>unit</t>
        </is>
      </c>
      <c r="F108" t="inlineStr">
        <is>
          <t>technosphere</t>
        </is>
      </c>
      <c r="G108" t="inlineStr">
        <is>
          <t>Glider base mass [kg]</t>
        </is>
      </c>
      <c r="H108" t="inlineStr">
        <is>
          <t>motor scooter, 50 cubic cm engine</t>
        </is>
      </c>
    </row>
    <row r="109">
      <c r="A109" t="inlineStr">
        <is>
          <t>motor scooter production</t>
        </is>
      </c>
      <c r="B109" s="11" t="n">
        <v>0.5777777777777778</v>
      </c>
      <c r="C109" t="inlineStr">
        <is>
          <t>RER</t>
        </is>
      </c>
      <c r="D109" t="inlineStr">
        <is>
          <t>unit</t>
        </is>
      </c>
      <c r="F109" t="inlineStr">
        <is>
          <t>technosphere</t>
        </is>
      </c>
      <c r="G109" t="inlineStr">
        <is>
          <t>Mechanical powertrain mass [kg]</t>
        </is>
      </c>
      <c r="H109" t="inlineStr">
        <is>
          <t>motor scooter, 50 cubic cm engine</t>
        </is>
      </c>
    </row>
    <row r="110">
      <c r="A110" t="inlineStr">
        <is>
          <t>polyethylene production, high density, granulate</t>
        </is>
      </c>
      <c r="B110" s="11" t="n">
        <v>1.0125</v>
      </c>
      <c r="C110" t="inlineStr">
        <is>
          <t>RER</t>
        </is>
      </c>
      <c r="D110" t="inlineStr">
        <is>
          <t>kilogram</t>
        </is>
      </c>
      <c r="F110" t="inlineStr">
        <is>
          <t>technosphere</t>
        </is>
      </c>
      <c r="G110" t="inlineStr">
        <is>
          <t>Fuel tank mass [kg]</t>
        </is>
      </c>
      <c r="H110" t="inlineStr">
        <is>
          <t>polyethylene, high density, granulate</t>
        </is>
      </c>
    </row>
    <row r="111">
      <c r="A111" t="inlineStr">
        <is>
          <t>injection moulding</t>
        </is>
      </c>
      <c r="B111" s="11" t="n">
        <v>1.018611670020121</v>
      </c>
      <c r="C111" t="inlineStr">
        <is>
          <t>RER</t>
        </is>
      </c>
      <c r="D111" t="inlineStr">
        <is>
          <t>kilogram</t>
        </is>
      </c>
      <c r="F111" t="inlineStr">
        <is>
          <t>technosphere</t>
        </is>
      </c>
      <c r="G111" t="inlineStr">
        <is>
          <t>Fuel tank shaping</t>
        </is>
      </c>
      <c r="H111" t="inlineStr">
        <is>
          <t>injection moulding</t>
        </is>
      </c>
    </row>
    <row r="112">
      <c r="A112" s="13" t="inlineStr">
        <is>
          <t>market for transport, freight, lorry, unspecified</t>
        </is>
      </c>
      <c r="B112" t="n">
        <v>129.7625</v>
      </c>
      <c r="C112" t="inlineStr">
        <is>
          <t>RER</t>
        </is>
      </c>
      <c r="D112" t="inlineStr">
        <is>
          <t>ton kilometer</t>
        </is>
      </c>
      <c r="F112" t="inlineStr">
        <is>
          <t>technosphere</t>
        </is>
      </c>
      <c r="H112" s="13" t="inlineStr">
        <is>
          <t>transport, freight, lorry, unspecified</t>
        </is>
      </c>
    </row>
    <row r="113">
      <c r="A113" s="13" t="inlineStr">
        <is>
          <t>transport, freight, sea, container ship</t>
        </is>
      </c>
      <c r="B113" s="2" t="n">
        <v>2063.22375</v>
      </c>
      <c r="C113" t="inlineStr">
        <is>
          <t>GLO</t>
        </is>
      </c>
      <c r="D113" t="inlineStr">
        <is>
          <t>ton kilometer</t>
        </is>
      </c>
      <c r="F113" t="inlineStr">
        <is>
          <t>technosphere</t>
        </is>
      </c>
      <c r="H113" s="13" t="inlineStr">
        <is>
          <t>transport, freight, sea, container ship</t>
        </is>
      </c>
    </row>
    <row r="114"/>
    <row r="115" ht="16" customHeight="1">
      <c r="A115" s="10" t="inlineStr">
        <is>
          <t>Activity</t>
        </is>
      </c>
      <c r="B115" s="8" t="inlineStr">
        <is>
          <t>transport, Scooter, gasoline, 4-11kW, EURO-3</t>
        </is>
      </c>
    </row>
    <row r="116">
      <c r="A116" t="inlineStr">
        <is>
          <t>location</t>
        </is>
      </c>
      <c r="B116" t="inlineStr">
        <is>
          <t>CH</t>
        </is>
      </c>
    </row>
    <row r="117">
      <c r="A117" t="inlineStr">
        <is>
          <t>vehicle</t>
        </is>
      </c>
      <c r="B117" t="inlineStr">
        <is>
          <t>Scooter, gasoline, 4-11kW, EURO-3</t>
        </is>
      </c>
    </row>
    <row r="118">
      <c r="A118" t="inlineStr">
        <is>
          <t>size</t>
        </is>
      </c>
    </row>
    <row r="119">
      <c r="A119" t="inlineStr">
        <is>
          <t>year</t>
        </is>
      </c>
      <c r="B119" t="n">
        <v>2006</v>
      </c>
    </row>
    <row r="120">
      <c r="A120" t="inlineStr">
        <is>
          <t>full name</t>
        </is>
      </c>
      <c r="B120" t="inlineStr">
        <is>
          <t>Scooter, gasoline, 4-11kW, EURO-3 - 2006 - CH</t>
        </is>
      </c>
    </row>
    <row r="121">
      <c r="A121" t="inlineStr">
        <is>
          <t>reference product</t>
        </is>
      </c>
      <c r="B121" t="inlineStr">
        <is>
          <t>transport, Scooter, gasoline, 4-11kW, EURO-3</t>
        </is>
      </c>
    </row>
    <row r="122">
      <c r="A122" t="inlineStr">
        <is>
          <t>type</t>
        </is>
      </c>
      <c r="B122" t="inlineStr">
        <is>
          <t>process</t>
        </is>
      </c>
    </row>
    <row r="123">
      <c r="A123" t="inlineStr">
        <is>
          <t>unit</t>
        </is>
      </c>
      <c r="B123" t="inlineStr">
        <is>
          <t>kilometer</t>
        </is>
      </c>
    </row>
    <row r="124">
      <c r="A124" t="inlineStr">
        <is>
          <t>source</t>
        </is>
      </c>
      <c r="B124" t="inlineStr">
        <is>
          <t>Sacchi R., Bauer C. Life cycle inventories for on-road vehicles. Paul Scherrer Institut, 2021.</t>
        </is>
      </c>
    </row>
    <row r="125">
      <c r="A125" t="inlineStr">
        <is>
          <t>lifetime</t>
        </is>
      </c>
      <c r="B125" t="n">
        <v>30000</v>
      </c>
    </row>
    <row r="126">
      <c r="A126" t="inlineStr">
        <is>
          <t>passengers</t>
        </is>
      </c>
      <c r="B126" t="n">
        <v>1</v>
      </c>
    </row>
    <row r="127">
      <c r="A127" t="inlineStr">
        <is>
          <t>service</t>
        </is>
      </c>
      <c r="B127" t="n">
        <v>1.2</v>
      </c>
    </row>
    <row r="128">
      <c r="A128" t="inlineStr">
        <is>
          <t>battery replacement</t>
        </is>
      </c>
      <c r="B128" t="n">
        <v>0</v>
      </c>
    </row>
    <row r="129">
      <c r="A129" t="inlineStr">
        <is>
          <t>annual kilometers</t>
        </is>
      </c>
      <c r="B129" t="n">
        <v>1870</v>
      </c>
    </row>
    <row r="130">
      <c r="A130" t="inlineStr">
        <is>
          <t>curb mass</t>
        </is>
      </c>
      <c r="B130" s="2" t="n">
        <v>133.2625</v>
      </c>
    </row>
    <row r="131">
      <c r="A131" t="inlineStr">
        <is>
          <t>power</t>
        </is>
      </c>
      <c r="B131" t="n">
        <v>8.800000000000001</v>
      </c>
    </row>
    <row r="132">
      <c r="A132" t="inlineStr">
        <is>
          <t>battery mass</t>
        </is>
      </c>
    </row>
    <row r="133">
      <c r="A133" t="inlineStr">
        <is>
          <t>electricity, low voltage</t>
        </is>
      </c>
      <c r="B133" t="n">
        <v>0</v>
      </c>
    </row>
    <row r="134">
      <c r="A134" t="inlineStr">
        <is>
          <t>tank capacity</t>
        </is>
      </c>
      <c r="B134" s="2" t="n">
        <v>79.875</v>
      </c>
    </row>
    <row r="135">
      <c r="A135" t="inlineStr">
        <is>
          <t>fuel mass</t>
        </is>
      </c>
      <c r="B135" t="n">
        <v>6.75</v>
      </c>
    </row>
    <row r="136">
      <c r="A136" t="inlineStr">
        <is>
          <t>range</t>
        </is>
      </c>
      <c r="B136" s="2" t="n">
        <v>271.7451869178301</v>
      </c>
    </row>
    <row r="137">
      <c r="A137" t="inlineStr">
        <is>
          <t>emission standard</t>
        </is>
      </c>
      <c r="B137" t="inlineStr">
        <is>
          <t>EURO-5</t>
        </is>
      </c>
    </row>
    <row r="138">
      <c r="A138" t="inlineStr">
        <is>
          <t>Glider lightweighting</t>
        </is>
      </c>
      <c r="B138" s="6" t="n">
        <v>-0.05</v>
      </c>
    </row>
    <row r="139">
      <c r="A139" t="inlineStr">
        <is>
          <t>comment</t>
        </is>
      </c>
      <c r="B139" t="inlineStr">
        <is>
          <t>Power: 8.8 kW. Lifetime: 30000 km. Annual kilometers: 1870 km. Number of passengers: 1. Curb mass: 133.3 kg. Lightweighting of glider: -5%. Emission standard: EURO-5. Service visits throughout lifetime: 1.2. Range: 272 km. Fuel tank capacity: 79.9 kWh. Fuel mass: 6.8 kg. Documentation: Life-cycle inventories for on-road vehicles, Sacchi R. (PSI), Bauer C. (PSI), 2021. Sacchi R., Bauer C. Life cycle inventories for on-road vehicles. Paul Scherrer Institut, 2021.</t>
        </is>
      </c>
    </row>
    <row r="140" ht="16" customHeight="1">
      <c r="A140" s="10" t="inlineStr">
        <is>
          <t>Exchanges</t>
        </is>
      </c>
    </row>
    <row r="141">
      <c r="A141" t="inlineStr">
        <is>
          <t>name</t>
        </is>
      </c>
      <c r="B141" t="inlineStr">
        <is>
          <t>amount</t>
        </is>
      </c>
      <c r="C141" t="inlineStr">
        <is>
          <t>location</t>
        </is>
      </c>
      <c r="D141" t="inlineStr">
        <is>
          <t>unit</t>
        </is>
      </c>
      <c r="E141" t="inlineStr">
        <is>
          <t>categories</t>
        </is>
      </c>
      <c r="F141" t="inlineStr">
        <is>
          <t>type</t>
        </is>
      </c>
      <c r="G141" t="inlineStr">
        <is>
          <t>comment</t>
        </is>
      </c>
      <c r="H141" t="inlineStr">
        <is>
          <t>reference product</t>
        </is>
      </c>
    </row>
    <row r="142">
      <c r="A142" t="inlineStr">
        <is>
          <t>transport, Scooter, gasoline, 4-11kW, EURO-3</t>
        </is>
      </c>
      <c r="B142" t="n">
        <v>1</v>
      </c>
      <c r="C142" t="inlineStr">
        <is>
          <t>CH</t>
        </is>
      </c>
      <c r="D142" t="inlineStr">
        <is>
          <t>kilometer</t>
        </is>
      </c>
      <c r="F142" t="inlineStr">
        <is>
          <t>production</t>
        </is>
      </c>
      <c r="H142" t="inlineStr">
        <is>
          <t>transport, Scooter, gasoline, 4-11kW, EURO-3</t>
        </is>
      </c>
    </row>
    <row r="143">
      <c r="A143" t="inlineStr">
        <is>
          <t>Scooter, gasoline, 4-11kW, EURO-3</t>
        </is>
      </c>
      <c r="B143" s="7" t="n">
        <v>3.333333333333333e-05</v>
      </c>
      <c r="C143" t="inlineStr">
        <is>
          <t>CH</t>
        </is>
      </c>
      <c r="D143" t="inlineStr">
        <is>
          <t>unit</t>
        </is>
      </c>
      <c r="F143" t="inlineStr">
        <is>
          <t>technosphere</t>
        </is>
      </c>
      <c r="H143" t="inlineStr">
        <is>
          <t>Scooter, gasoline, 4-11kW, EURO-3</t>
        </is>
      </c>
    </row>
    <row r="144">
      <c r="A144" t="inlineStr">
        <is>
          <t>road construction</t>
        </is>
      </c>
      <c r="B144" s="7" t="n">
        <v>0.0001139849625</v>
      </c>
      <c r="C144" t="inlineStr">
        <is>
          <t>CH</t>
        </is>
      </c>
      <c r="D144" t="inlineStr">
        <is>
          <t>meter-year</t>
        </is>
      </c>
      <c r="F144" t="inlineStr">
        <is>
          <t>technosphere</t>
        </is>
      </c>
      <c r="G144" t="inlineStr">
        <is>
          <t>Road/track use [m*year/vkm or pkm]</t>
        </is>
      </c>
      <c r="H144" t="inlineStr">
        <is>
          <t>road</t>
        </is>
      </c>
    </row>
    <row r="145">
      <c r="A145" t="inlineStr">
        <is>
          <t>road maintenance</t>
        </is>
      </c>
      <c r="B145" s="7" t="n">
        <v>0.00129</v>
      </c>
      <c r="C145" t="inlineStr">
        <is>
          <t>CH</t>
        </is>
      </c>
      <c r="D145" t="inlineStr">
        <is>
          <t>meter-year</t>
        </is>
      </c>
      <c r="F145" t="inlineStr">
        <is>
          <t>technosphere</t>
        </is>
      </c>
      <c r="G145" t="inlineStr">
        <is>
          <t>Road maintenance [m*year/vkm]</t>
        </is>
      </c>
      <c r="H145" t="inlineStr">
        <is>
          <t>road maintenance</t>
        </is>
      </c>
    </row>
    <row r="146">
      <c r="A146" t="inlineStr">
        <is>
          <t>maintenance, motor scooter</t>
        </is>
      </c>
      <c r="B146" s="7" t="n">
        <v>4e-05</v>
      </c>
      <c r="C146" t="inlineStr">
        <is>
          <t>CH</t>
        </is>
      </c>
      <c r="D146" t="inlineStr">
        <is>
          <t>unit</t>
        </is>
      </c>
      <c r="F146" t="inlineStr">
        <is>
          <t>technosphere</t>
        </is>
      </c>
      <c r="G146" t="inlineStr">
        <is>
          <t>Servicing [unit]</t>
        </is>
      </c>
      <c r="H146" t="inlineStr">
        <is>
          <t>maintenance, motor scooter</t>
        </is>
      </c>
    </row>
    <row r="147">
      <c r="A147" t="inlineStr">
        <is>
          <t>fuel supply for gasoline vehicles</t>
        </is>
      </c>
      <c r="B147" s="7" t="n">
        <v>0.02483944638195581</v>
      </c>
      <c r="C147" t="inlineStr">
        <is>
          <t>CH</t>
        </is>
      </c>
      <c r="D147" t="inlineStr">
        <is>
          <t>kilogram</t>
        </is>
      </c>
      <c r="F147" t="inlineStr">
        <is>
          <t>technosphere</t>
        </is>
      </c>
      <c r="G147" t="inlineStr">
        <is>
          <t>Gasoline consumption [MJ/km]</t>
        </is>
      </c>
      <c r="H147" t="inlineStr">
        <is>
          <t>gasoline blend</t>
        </is>
      </c>
    </row>
    <row r="148">
      <c r="A148" t="inlineStr">
        <is>
          <t>Carbon dioxide, fossil</t>
        </is>
      </c>
      <c r="B148" s="11" t="n">
        <v>0.07705991129966915</v>
      </c>
      <c r="D148" t="inlineStr">
        <is>
          <t>kilogram</t>
        </is>
      </c>
      <c r="E148" t="inlineStr">
        <is>
          <t>air::urban air close to ground</t>
        </is>
      </c>
      <c r="F148" t="inlineStr">
        <is>
          <t>biosphere</t>
        </is>
      </c>
      <c r="G148" t="inlineStr">
        <is>
          <t>CO2</t>
        </is>
      </c>
    </row>
    <row r="149">
      <c r="A149" t="inlineStr">
        <is>
          <t>Carbon dioxide, from soil or biomass stock</t>
        </is>
      </c>
      <c r="B149" s="11" t="n">
        <v>0.000935950339672095</v>
      </c>
      <c r="D149" t="inlineStr">
        <is>
          <t>kilogram</t>
        </is>
      </c>
      <c r="E149" t="inlineStr">
        <is>
          <t>air::urban air close to ground</t>
        </is>
      </c>
      <c r="F149" t="inlineStr">
        <is>
          <t>biosphere</t>
        </is>
      </c>
      <c r="G149" t="inlineStr">
        <is>
          <t>CO2, bio</t>
        </is>
      </c>
    </row>
    <row r="150">
      <c r="A150" t="inlineStr">
        <is>
          <t>Sulfur dioxide</t>
        </is>
      </c>
      <c r="B150" s="7" t="n">
        <v>3.97431142111293e-07</v>
      </c>
      <c r="D150" t="inlineStr">
        <is>
          <t>kilogram</t>
        </is>
      </c>
      <c r="E150" t="inlineStr">
        <is>
          <t>air::urban air close to ground</t>
        </is>
      </c>
      <c r="F150" t="inlineStr">
        <is>
          <t>biosphere</t>
        </is>
      </c>
      <c r="G150" t="inlineStr">
        <is>
          <t>SO2</t>
        </is>
      </c>
    </row>
    <row r="151">
      <c r="A151" t="inlineStr">
        <is>
          <t>Benzene</t>
        </is>
      </c>
      <c r="B151" s="7" t="n">
        <v>3.818269514219747e-05</v>
      </c>
      <c r="D151" t="inlineStr">
        <is>
          <t>kilogram</t>
        </is>
      </c>
      <c r="E151" t="inlineStr">
        <is>
          <t>air::urban air close to ground</t>
        </is>
      </c>
      <c r="F151" t="inlineStr">
        <is>
          <t>biosphere</t>
        </is>
      </c>
      <c r="G151" t="inlineStr">
        <is>
          <t>Benzene</t>
        </is>
      </c>
    </row>
    <row r="152">
      <c r="A152" t="inlineStr">
        <is>
          <t>Methane, fossil</t>
        </is>
      </c>
      <c r="B152" s="7" t="n">
        <v>2.917296376905426e-05</v>
      </c>
      <c r="D152" t="inlineStr">
        <is>
          <t>kilogram</t>
        </is>
      </c>
      <c r="E152" t="inlineStr">
        <is>
          <t>air::urban air close to ground</t>
        </is>
      </c>
      <c r="F152" t="inlineStr">
        <is>
          <t>biosphere</t>
        </is>
      </c>
      <c r="G152" t="inlineStr">
        <is>
          <t>CH4</t>
        </is>
      </c>
    </row>
    <row r="153">
      <c r="A153" t="inlineStr">
        <is>
          <t>Carbon monoxide, fossil</t>
        </is>
      </c>
      <c r="B153" s="7" t="n">
        <v>0.003417769128726671</v>
      </c>
      <c r="D153" t="inlineStr">
        <is>
          <t>kilogram</t>
        </is>
      </c>
      <c r="E153" t="inlineStr">
        <is>
          <t>air::urban air close to ground</t>
        </is>
      </c>
      <c r="F153" t="inlineStr">
        <is>
          <t>biosphere</t>
        </is>
      </c>
      <c r="G153" t="inlineStr">
        <is>
          <t>CO</t>
        </is>
      </c>
    </row>
    <row r="154">
      <c r="A154" t="inlineStr">
        <is>
          <t>Dinitrogen monoxide</t>
        </is>
      </c>
      <c r="B154" s="7" t="n">
        <v>1.480109780266579e-06</v>
      </c>
      <c r="D154" t="inlineStr">
        <is>
          <t>kilogram</t>
        </is>
      </c>
      <c r="E154" t="inlineStr">
        <is>
          <t>air::urban air close to ground</t>
        </is>
      </c>
      <c r="F154" t="inlineStr">
        <is>
          <t>biosphere</t>
        </is>
      </c>
      <c r="G154" t="inlineStr">
        <is>
          <t>N2O</t>
        </is>
      </c>
    </row>
    <row r="155">
      <c r="A155" t="inlineStr">
        <is>
          <t>Ammonia</t>
        </is>
      </c>
      <c r="B155" s="7" t="n">
        <v>1.480109780266579e-06</v>
      </c>
      <c r="D155" t="inlineStr">
        <is>
          <t>kilogram</t>
        </is>
      </c>
      <c r="E155" t="inlineStr">
        <is>
          <t>air::urban air close to ground</t>
        </is>
      </c>
      <c r="F155" t="inlineStr">
        <is>
          <t>biosphere</t>
        </is>
      </c>
      <c r="G155" t="inlineStr">
        <is>
          <t>NH3</t>
        </is>
      </c>
    </row>
    <row r="156">
      <c r="A156" t="inlineStr">
        <is>
          <t>Nitrogen oxides</t>
        </is>
      </c>
      <c r="B156" s="7" t="n">
        <v>0.0001109944816128096</v>
      </c>
      <c r="D156" t="inlineStr">
        <is>
          <t>kilogram</t>
        </is>
      </c>
      <c r="E156" t="inlineStr">
        <is>
          <t>air::urban air close to ground</t>
        </is>
      </c>
      <c r="F156" t="inlineStr">
        <is>
          <t>biosphere</t>
        </is>
      </c>
      <c r="G156" t="inlineStr">
        <is>
          <t>NOx</t>
        </is>
      </c>
    </row>
    <row r="157">
      <c r="A157" t="inlineStr">
        <is>
          <t>Particulates, &lt; 2.5 um</t>
        </is>
      </c>
      <c r="B157" s="7" t="n">
        <v>3.319886237137937e-06</v>
      </c>
      <c r="D157" t="inlineStr">
        <is>
          <t>kilogram</t>
        </is>
      </c>
      <c r="E157" t="inlineStr">
        <is>
          <t>air::urban air close to ground</t>
        </is>
      </c>
      <c r="F157" t="inlineStr">
        <is>
          <t>biosphere</t>
        </is>
      </c>
      <c r="G157" t="inlineStr">
        <is>
          <t>PM2.5</t>
        </is>
      </c>
    </row>
    <row r="158">
      <c r="A158" t="inlineStr">
        <is>
          <t>NMVOC, non-methane volatile organic compounds, unspecified origin</t>
        </is>
      </c>
      <c r="B158" s="7" t="n">
        <v>0.0003079117875638172</v>
      </c>
      <c r="D158" t="inlineStr">
        <is>
          <t>kilogram</t>
        </is>
      </c>
      <c r="E158" t="inlineStr">
        <is>
          <t>air::urban air close to ground</t>
        </is>
      </c>
      <c r="F158" t="inlineStr">
        <is>
          <t>biosphere</t>
        </is>
      </c>
      <c r="G158" t="inlineStr">
        <is>
          <t>NMVOC</t>
        </is>
      </c>
    </row>
    <row r="159">
      <c r="A159" t="inlineStr">
        <is>
          <t>Ethane</t>
        </is>
      </c>
      <c r="B159" s="7" t="n">
        <v>2.171172861026915e-05</v>
      </c>
      <c r="D159" t="inlineStr">
        <is>
          <t>kilogram</t>
        </is>
      </c>
      <c r="E159" t="inlineStr">
        <is>
          <t>air::urban air close to ground</t>
        </is>
      </c>
      <c r="F159" t="inlineStr">
        <is>
          <t>biosphere</t>
        </is>
      </c>
      <c r="G159" t="inlineStr">
        <is>
          <t>Ethane</t>
        </is>
      </c>
    </row>
    <row r="160">
      <c r="A160" t="inlineStr">
        <is>
          <t>Propane</t>
        </is>
      </c>
      <c r="B160" s="7" t="n">
        <v>4.424019936261741e-06</v>
      </c>
      <c r="D160" t="inlineStr">
        <is>
          <t>kilogram</t>
        </is>
      </c>
      <c r="E160" t="inlineStr">
        <is>
          <t>air::urban air close to ground</t>
        </is>
      </c>
      <c r="F160" t="inlineStr">
        <is>
          <t>biosphere</t>
        </is>
      </c>
      <c r="G160" t="inlineStr">
        <is>
          <t>Propane</t>
        </is>
      </c>
    </row>
    <row r="161">
      <c r="A161" t="inlineStr">
        <is>
          <t>Butane</t>
        </is>
      </c>
      <c r="B161" s="7" t="n">
        <v>3.566440687078695e-05</v>
      </c>
      <c r="D161" t="inlineStr">
        <is>
          <t>kilogram</t>
        </is>
      </c>
      <c r="E161" t="inlineStr">
        <is>
          <t>air::urban air close to ground</t>
        </is>
      </c>
      <c r="F161" t="inlineStr">
        <is>
          <t>biosphere</t>
        </is>
      </c>
      <c r="G161" t="inlineStr">
        <is>
          <t>Butane</t>
        </is>
      </c>
    </row>
    <row r="162">
      <c r="A162" t="inlineStr">
        <is>
          <t>Pentane</t>
        </is>
      </c>
      <c r="B162" s="7" t="n">
        <v>1.463329671225037e-05</v>
      </c>
      <c r="D162" t="inlineStr">
        <is>
          <t>kilogram</t>
        </is>
      </c>
      <c r="E162" t="inlineStr">
        <is>
          <t>air::urban air close to ground</t>
        </is>
      </c>
      <c r="F162" t="inlineStr">
        <is>
          <t>biosphere</t>
        </is>
      </c>
      <c r="G162" t="inlineStr">
        <is>
          <t>Pentane</t>
        </is>
      </c>
    </row>
    <row r="163">
      <c r="A163" t="inlineStr">
        <is>
          <t>Hexane</t>
        </is>
      </c>
      <c r="B163" s="7" t="n">
        <v>1.095795707289446e-05</v>
      </c>
      <c r="D163" t="inlineStr">
        <is>
          <t>kilogram</t>
        </is>
      </c>
      <c r="E163" t="inlineStr">
        <is>
          <t>air::urban air close to ground</t>
        </is>
      </c>
      <c r="F163" t="inlineStr">
        <is>
          <t>biosphere</t>
        </is>
      </c>
      <c r="G163" t="inlineStr">
        <is>
          <t>Hexane</t>
        </is>
      </c>
    </row>
    <row r="164">
      <c r="A164" t="inlineStr">
        <is>
          <t>Cyclohexane</t>
        </is>
      </c>
      <c r="B164" s="7" t="n">
        <v>7.759050349751361e-06</v>
      </c>
      <c r="D164" t="inlineStr">
        <is>
          <t>kilogram</t>
        </is>
      </c>
      <c r="E164" t="inlineStr">
        <is>
          <t>air::urban air close to ground</t>
        </is>
      </c>
      <c r="F164" t="inlineStr">
        <is>
          <t>biosphere</t>
        </is>
      </c>
      <c r="G164" t="inlineStr">
        <is>
          <t>Cyclohexane</t>
        </is>
      </c>
    </row>
    <row r="165">
      <c r="A165" t="inlineStr">
        <is>
          <t>Heptane</t>
        </is>
      </c>
      <c r="B165" s="7" t="n">
        <v>5.036576542821059e-06</v>
      </c>
      <c r="D165" t="inlineStr">
        <is>
          <t>kilogram</t>
        </is>
      </c>
      <c r="E165" t="inlineStr">
        <is>
          <t>air::urban air close to ground</t>
        </is>
      </c>
      <c r="F165" t="inlineStr">
        <is>
          <t>biosphere</t>
        </is>
      </c>
      <c r="G165" t="inlineStr">
        <is>
          <t>Heptane</t>
        </is>
      </c>
    </row>
    <row r="166">
      <c r="A166" t="inlineStr">
        <is>
          <t>Ethene</t>
        </is>
      </c>
      <c r="B166" s="7" t="n">
        <v>4.9685146976478e-05</v>
      </c>
      <c r="D166" t="inlineStr">
        <is>
          <t>kilogram</t>
        </is>
      </c>
      <c r="E166" t="inlineStr">
        <is>
          <t>air::urban air close to ground</t>
        </is>
      </c>
      <c r="F166" t="inlineStr">
        <is>
          <t>biosphere</t>
        </is>
      </c>
      <c r="G166" t="inlineStr">
        <is>
          <t>Ethene</t>
        </is>
      </c>
    </row>
    <row r="167">
      <c r="A167" t="inlineStr">
        <is>
          <t>Propene</t>
        </is>
      </c>
      <c r="B167" s="7" t="n">
        <v>2.599962485618438e-05</v>
      </c>
      <c r="D167" t="inlineStr">
        <is>
          <t>kilogram</t>
        </is>
      </c>
      <c r="E167" t="inlineStr">
        <is>
          <t>air::urban air close to ground</t>
        </is>
      </c>
      <c r="F167" t="inlineStr">
        <is>
          <t>biosphere</t>
        </is>
      </c>
      <c r="G167" t="inlineStr">
        <is>
          <t>Propene</t>
        </is>
      </c>
    </row>
    <row r="168">
      <c r="A168" t="inlineStr">
        <is>
          <t>1-Pentene</t>
        </is>
      </c>
      <c r="B168" s="7" t="n">
        <v>7.486802969058329e-07</v>
      </c>
      <c r="D168" t="inlineStr">
        <is>
          <t>kilogram</t>
        </is>
      </c>
      <c r="E168" t="inlineStr">
        <is>
          <t>air::urban air close to ground</t>
        </is>
      </c>
      <c r="F168" t="inlineStr">
        <is>
          <t>biosphere</t>
        </is>
      </c>
      <c r="G168" t="inlineStr">
        <is>
          <t>1-Pentene</t>
        </is>
      </c>
    </row>
    <row r="169">
      <c r="A169" t="inlineStr">
        <is>
          <t>Toluene</t>
        </is>
      </c>
      <c r="B169" s="7" t="n">
        <v>7.473190600023677e-05</v>
      </c>
      <c r="D169" t="inlineStr">
        <is>
          <t>kilogram</t>
        </is>
      </c>
      <c r="E169" t="inlineStr">
        <is>
          <t>air::urban air close to ground</t>
        </is>
      </c>
      <c r="F169" t="inlineStr">
        <is>
          <t>biosphere</t>
        </is>
      </c>
      <c r="G169" t="inlineStr">
        <is>
          <t>Toluene</t>
        </is>
      </c>
    </row>
    <row r="170">
      <c r="A170" t="inlineStr">
        <is>
          <t>m-Xylene</t>
        </is>
      </c>
      <c r="B170" s="7" t="n">
        <v>3.695758192907885e-05</v>
      </c>
      <c r="D170" t="inlineStr">
        <is>
          <t>kilogram</t>
        </is>
      </c>
      <c r="E170" t="inlineStr">
        <is>
          <t>air::urban air close to ground</t>
        </is>
      </c>
      <c r="F170" t="inlineStr">
        <is>
          <t>biosphere</t>
        </is>
      </c>
      <c r="G170" t="inlineStr">
        <is>
          <t>m-Xylene</t>
        </is>
      </c>
    </row>
    <row r="171">
      <c r="A171" t="inlineStr">
        <is>
          <t>o-Xylene</t>
        </is>
      </c>
      <c r="B171" s="7" t="n">
        <v>1.538197700915621e-05</v>
      </c>
      <c r="D171" t="inlineStr">
        <is>
          <t>kilogram</t>
        </is>
      </c>
      <c r="E171" t="inlineStr">
        <is>
          <t>air::urban air close to ground</t>
        </is>
      </c>
      <c r="F171" t="inlineStr">
        <is>
          <t>biosphere</t>
        </is>
      </c>
      <c r="G171" t="inlineStr">
        <is>
          <t>o-Xylene</t>
        </is>
      </c>
    </row>
    <row r="172">
      <c r="A172" t="inlineStr">
        <is>
          <t>Formaldehyde</t>
        </is>
      </c>
      <c r="B172" s="7" t="n">
        <v>1.157051367945378e-05</v>
      </c>
      <c r="D172" t="inlineStr">
        <is>
          <t>kilogram</t>
        </is>
      </c>
      <c r="E172" t="inlineStr">
        <is>
          <t>air::urban air close to ground</t>
        </is>
      </c>
      <c r="F172" t="inlineStr">
        <is>
          <t>biosphere</t>
        </is>
      </c>
      <c r="G172" t="inlineStr">
        <is>
          <t>Formaldehyde</t>
        </is>
      </c>
    </row>
    <row r="173">
      <c r="A173" t="inlineStr">
        <is>
          <t>Acetaldehyde</t>
        </is>
      </c>
      <c r="B173" s="7" t="n">
        <v>5.104638387994316e-06</v>
      </c>
      <c r="D173" t="inlineStr">
        <is>
          <t>kilogram</t>
        </is>
      </c>
      <c r="E173" t="inlineStr">
        <is>
          <t>air::urban air close to ground</t>
        </is>
      </c>
      <c r="F173" t="inlineStr">
        <is>
          <t>biosphere</t>
        </is>
      </c>
      <c r="G173" t="inlineStr">
        <is>
          <t>Acetaldehyde</t>
        </is>
      </c>
    </row>
    <row r="174">
      <c r="A174" t="inlineStr">
        <is>
          <t>Benzaldehyde</t>
        </is>
      </c>
      <c r="B174" s="7" t="n">
        <v>1.497360593811666e-06</v>
      </c>
      <c r="D174" t="inlineStr">
        <is>
          <t>kilogram</t>
        </is>
      </c>
      <c r="E174" t="inlineStr">
        <is>
          <t>air::urban air close to ground</t>
        </is>
      </c>
      <c r="F174" t="inlineStr">
        <is>
          <t>biosphere</t>
        </is>
      </c>
      <c r="G174" t="inlineStr">
        <is>
          <t>Benzaldehyde</t>
        </is>
      </c>
    </row>
    <row r="175">
      <c r="A175" t="inlineStr">
        <is>
          <t>Acetone</t>
        </is>
      </c>
      <c r="B175" s="7" t="n">
        <v>4.15177255556871e-06</v>
      </c>
      <c r="D175" t="inlineStr">
        <is>
          <t>kilogram</t>
        </is>
      </c>
      <c r="E175" t="inlineStr">
        <is>
          <t>air::urban air close to ground</t>
        </is>
      </c>
      <c r="F175" t="inlineStr">
        <is>
          <t>biosphere</t>
        </is>
      </c>
      <c r="G175" t="inlineStr">
        <is>
          <t>Acetone</t>
        </is>
      </c>
    </row>
    <row r="176">
      <c r="A176" t="inlineStr">
        <is>
          <t>Methyl ethyl ketone</t>
        </is>
      </c>
      <c r="B176" s="7" t="n">
        <v>0</v>
      </c>
      <c r="D176" t="inlineStr">
        <is>
          <t>kilogram</t>
        </is>
      </c>
      <c r="E176" t="inlineStr">
        <is>
          <t>air::urban air close to ground</t>
        </is>
      </c>
      <c r="F176" t="inlineStr">
        <is>
          <t>biosphere</t>
        </is>
      </c>
      <c r="G176" t="inlineStr">
        <is>
          <t>Methyl ethyl ketone</t>
        </is>
      </c>
    </row>
    <row r="177">
      <c r="A177" t="inlineStr">
        <is>
          <t>Acrolein</t>
        </is>
      </c>
      <c r="B177" s="7" t="n">
        <v>1.293175058291893e-06</v>
      </c>
      <c r="D177" t="inlineStr">
        <is>
          <t>kilogram</t>
        </is>
      </c>
      <c r="E177" t="inlineStr">
        <is>
          <t>air::urban air close to ground</t>
        </is>
      </c>
      <c r="F177" t="inlineStr">
        <is>
          <t>biosphere</t>
        </is>
      </c>
      <c r="G177" t="inlineStr">
        <is>
          <t>Acrolein</t>
        </is>
      </c>
    </row>
    <row r="178">
      <c r="A178" t="inlineStr">
        <is>
          <t>Styrene</t>
        </is>
      </c>
      <c r="B178" s="7" t="n">
        <v>6.874246362499012e-06</v>
      </c>
      <c r="D178" t="inlineStr">
        <is>
          <t>kilogram</t>
        </is>
      </c>
      <c r="E178" t="inlineStr">
        <is>
          <t>air::urban air close to ground</t>
        </is>
      </c>
      <c r="F178" t="inlineStr">
        <is>
          <t>biosphere</t>
        </is>
      </c>
      <c r="G178" t="inlineStr">
        <is>
          <t>Styrene</t>
        </is>
      </c>
    </row>
    <row r="179">
      <c r="A179" t="inlineStr">
        <is>
          <t>PAH, polycyclic aromatic hydrocarbons</t>
        </is>
      </c>
      <c r="B179" s="7" t="n">
        <v>8.66446646407573e-10</v>
      </c>
      <c r="D179" t="inlineStr">
        <is>
          <t>kilogram</t>
        </is>
      </c>
      <c r="E179" t="inlineStr">
        <is>
          <t>air::urban air close to ground</t>
        </is>
      </c>
      <c r="F179" t="inlineStr">
        <is>
          <t>biosphere</t>
        </is>
      </c>
      <c r="G179" t="inlineStr">
        <is>
          <t>PAHs</t>
        </is>
      </c>
    </row>
    <row r="180">
      <c r="A180" t="inlineStr">
        <is>
          <t>Arsenic</t>
        </is>
      </c>
      <c r="B180" s="7" t="n">
        <v>7.469367641444595e-12</v>
      </c>
      <c r="D180" t="inlineStr">
        <is>
          <t>kilogram</t>
        </is>
      </c>
      <c r="E180" t="inlineStr">
        <is>
          <t>air::urban air close to ground</t>
        </is>
      </c>
      <c r="F180" t="inlineStr">
        <is>
          <t>biosphere</t>
        </is>
      </c>
      <c r="G180" t="inlineStr">
        <is>
          <t>Arsenic</t>
        </is>
      </c>
    </row>
    <row r="181">
      <c r="A181" t="inlineStr">
        <is>
          <t>Selenium</t>
        </is>
      </c>
      <c r="B181" s="7" t="n">
        <v>4.97957842762973e-12</v>
      </c>
      <c r="D181" t="inlineStr">
        <is>
          <t>kilogram</t>
        </is>
      </c>
      <c r="E181" t="inlineStr">
        <is>
          <t>air::urban air close to ground</t>
        </is>
      </c>
      <c r="F181" t="inlineStr">
        <is>
          <t>biosphere</t>
        </is>
      </c>
      <c r="G181" t="inlineStr">
        <is>
          <t>Selenium</t>
        </is>
      </c>
    </row>
    <row r="182">
      <c r="A182" t="inlineStr">
        <is>
          <t>Zinc</t>
        </is>
      </c>
      <c r="B182" s="7" t="n">
        <v>5.377944701840108e-08</v>
      </c>
      <c r="D182" t="inlineStr">
        <is>
          <t>kilogram</t>
        </is>
      </c>
      <c r="E182" t="inlineStr">
        <is>
          <t>air::urban air close to ground</t>
        </is>
      </c>
      <c r="F182" t="inlineStr">
        <is>
          <t>biosphere</t>
        </is>
      </c>
      <c r="G182" t="inlineStr">
        <is>
          <t>Zinc</t>
        </is>
      </c>
    </row>
    <row r="183">
      <c r="A183" t="inlineStr">
        <is>
          <t>Copper</t>
        </is>
      </c>
      <c r="B183" s="7" t="n">
        <v>1.045711469802243e-09</v>
      </c>
      <c r="D183" s="7" t="inlineStr">
        <is>
          <t>kilogram</t>
        </is>
      </c>
      <c r="E183" t="inlineStr">
        <is>
          <t>air::urban air close to ground</t>
        </is>
      </c>
      <c r="F183" t="inlineStr">
        <is>
          <t>biosphere</t>
        </is>
      </c>
      <c r="G183" t="inlineStr">
        <is>
          <t>Copper</t>
        </is>
      </c>
    </row>
    <row r="184">
      <c r="A184" t="inlineStr">
        <is>
          <t>Nickel</t>
        </is>
      </c>
      <c r="B184" s="7" t="n">
        <v>3.236725977959325e-10</v>
      </c>
      <c r="D184" t="inlineStr">
        <is>
          <t>kilogram</t>
        </is>
      </c>
      <c r="E184" t="inlineStr">
        <is>
          <t>air::urban air close to ground</t>
        </is>
      </c>
      <c r="F184" t="inlineStr">
        <is>
          <t>biosphere</t>
        </is>
      </c>
      <c r="G184" t="inlineStr">
        <is>
          <t>Nickel</t>
        </is>
      </c>
    </row>
    <row r="185">
      <c r="A185" t="inlineStr">
        <is>
          <t>Chromium</t>
        </is>
      </c>
      <c r="B185" s="7" t="n">
        <v>3.983662742103784e-10</v>
      </c>
      <c r="D185" t="inlineStr">
        <is>
          <t>kilogram</t>
        </is>
      </c>
      <c r="E185" t="inlineStr">
        <is>
          <t>air::urban air close to ground</t>
        </is>
      </c>
      <c r="F185" t="inlineStr">
        <is>
          <t>biosphere</t>
        </is>
      </c>
      <c r="G185" t="inlineStr">
        <is>
          <t>Chromium</t>
        </is>
      </c>
    </row>
    <row r="186">
      <c r="A186" t="inlineStr">
        <is>
          <t>Chromium VI</t>
        </is>
      </c>
      <c r="B186" s="7" t="n">
        <v>7.967325484207567e-13</v>
      </c>
      <c r="D186" t="inlineStr">
        <is>
          <t>kilogram</t>
        </is>
      </c>
      <c r="E186" t="inlineStr">
        <is>
          <t>air::urban air close to ground</t>
        </is>
      </c>
      <c r="F186" t="inlineStr">
        <is>
          <t>biosphere</t>
        </is>
      </c>
      <c r="G186" t="inlineStr">
        <is>
          <t>Chromium VI</t>
        </is>
      </c>
    </row>
    <row r="187">
      <c r="A187" t="inlineStr">
        <is>
          <t>Mercury</t>
        </is>
      </c>
      <c r="B187" s="7" t="n">
        <v>2.166116616018933e-10</v>
      </c>
      <c r="D187" t="inlineStr">
        <is>
          <t>kilogram</t>
        </is>
      </c>
      <c r="E187" t="inlineStr">
        <is>
          <t>air::urban air close to ground</t>
        </is>
      </c>
      <c r="F187" t="inlineStr">
        <is>
          <t>biosphere</t>
        </is>
      </c>
      <c r="G187" t="inlineStr">
        <is>
          <t>Mercury</t>
        </is>
      </c>
    </row>
    <row r="188">
      <c r="A188" t="inlineStr">
        <is>
          <t>Cadmium</t>
        </is>
      </c>
      <c r="B188" s="7" t="n">
        <v>2.688972350920055e-10</v>
      </c>
      <c r="D188" t="inlineStr">
        <is>
          <t>kilogram</t>
        </is>
      </c>
      <c r="E188" t="inlineStr">
        <is>
          <t>air::urban air close to ground</t>
        </is>
      </c>
      <c r="F188" t="inlineStr">
        <is>
          <t>biosphere</t>
        </is>
      </c>
      <c r="G188" t="inlineStr">
        <is>
          <t>Cadmium</t>
        </is>
      </c>
    </row>
    <row r="189">
      <c r="A189" t="inlineStr">
        <is>
          <t>treatment of road wear emissions, passenger car</t>
        </is>
      </c>
      <c r="B189" s="7" t="n">
        <v>-7.637359357664084e-06</v>
      </c>
      <c r="C189" t="inlineStr">
        <is>
          <t>RER</t>
        </is>
      </c>
      <c r="D189" t="inlineStr">
        <is>
          <t>kilogram</t>
        </is>
      </c>
      <c r="F189" t="inlineStr">
        <is>
          <t>technosphere</t>
        </is>
      </c>
      <c r="G189" t="inlineStr">
        <is>
          <t>Road wear [kg/km]</t>
        </is>
      </c>
      <c r="H189" t="inlineStr">
        <is>
          <t>road wear emissions, passenger car</t>
        </is>
      </c>
    </row>
    <row r="190">
      <c r="A190" t="inlineStr">
        <is>
          <t>treatment of tyre wear emissions, passenger car</t>
        </is>
      </c>
      <c r="B190" s="7" t="n">
        <v>-5.86509697346804e-06</v>
      </c>
      <c r="C190" t="inlineStr">
        <is>
          <t>RER</t>
        </is>
      </c>
      <c r="D190" t="inlineStr">
        <is>
          <t>kilogram</t>
        </is>
      </c>
      <c r="F190" t="inlineStr">
        <is>
          <t>technosphere</t>
        </is>
      </c>
      <c r="G190" t="inlineStr">
        <is>
          <t>Tire wear [kg/km]</t>
        </is>
      </c>
      <c r="H190" t="inlineStr">
        <is>
          <t>tyre wear emissions, passenger car</t>
        </is>
      </c>
    </row>
    <row r="191">
      <c r="A191" t="inlineStr">
        <is>
          <t>treatment of brake wear emissions, passenger car</t>
        </is>
      </c>
      <c r="B191" s="7" t="n">
        <v>-4.195128786890176e-06</v>
      </c>
      <c r="C191" t="inlineStr">
        <is>
          <t>RER</t>
        </is>
      </c>
      <c r="D191" t="inlineStr">
        <is>
          <t>kilogram</t>
        </is>
      </c>
      <c r="F191" t="inlineStr">
        <is>
          <t>technosphere</t>
        </is>
      </c>
      <c r="G191" t="inlineStr">
        <is>
          <t>Brake wear [kg/km]</t>
        </is>
      </c>
      <c r="H191" t="inlineStr">
        <is>
          <t>brake wear emissions, passenger car</t>
        </is>
      </c>
    </row>
    <row r="192"/>
    <row r="193" ht="16" customHeight="1">
      <c r="A193" s="10" t="inlineStr">
        <is>
          <t>Activity</t>
        </is>
      </c>
      <c r="B193" s="8" t="inlineStr">
        <is>
          <t>transport, Scooter, gasoline, 4-11kW, EURO-4</t>
        </is>
      </c>
    </row>
    <row r="194">
      <c r="A194" t="inlineStr">
        <is>
          <t>location</t>
        </is>
      </c>
      <c r="B194" t="inlineStr">
        <is>
          <t>CH</t>
        </is>
      </c>
    </row>
    <row r="195">
      <c r="A195" t="inlineStr">
        <is>
          <t>vehicle</t>
        </is>
      </c>
      <c r="B195" t="inlineStr">
        <is>
          <t>Scooter, gasoline, 4-11kW, EURO-4</t>
        </is>
      </c>
    </row>
    <row r="196">
      <c r="A196" t="inlineStr">
        <is>
          <t>size</t>
        </is>
      </c>
    </row>
    <row r="197">
      <c r="A197" t="inlineStr">
        <is>
          <t>year</t>
        </is>
      </c>
      <c r="B197" t="n">
        <v>2016</v>
      </c>
    </row>
    <row r="198">
      <c r="A198" t="inlineStr">
        <is>
          <t>full name</t>
        </is>
      </c>
      <c r="B198" t="inlineStr">
        <is>
          <t>Scooter, gasoline, 4-11kW, EURO-4 - 2016 - CH</t>
        </is>
      </c>
    </row>
    <row r="199">
      <c r="A199" t="inlineStr">
        <is>
          <t>reference product</t>
        </is>
      </c>
      <c r="B199" t="inlineStr">
        <is>
          <t>transport, Scooter, gasoline, 4-11kW, EURO-4</t>
        </is>
      </c>
    </row>
    <row r="200">
      <c r="A200" t="inlineStr">
        <is>
          <t>type</t>
        </is>
      </c>
      <c r="B200" t="inlineStr">
        <is>
          <t>process</t>
        </is>
      </c>
    </row>
    <row r="201">
      <c r="A201" t="inlineStr">
        <is>
          <t>unit</t>
        </is>
      </c>
      <c r="B201" t="inlineStr">
        <is>
          <t>kilometer</t>
        </is>
      </c>
    </row>
    <row r="202">
      <c r="A202" t="inlineStr">
        <is>
          <t>source</t>
        </is>
      </c>
      <c r="B202" t="inlineStr">
        <is>
          <t>Sacchi R., Bauer C. Life cycle inventories for on-road vehicles. Paul Scherrer Institut, 2021.</t>
        </is>
      </c>
    </row>
    <row r="203">
      <c r="A203" t="inlineStr">
        <is>
          <t>lifetime</t>
        </is>
      </c>
      <c r="B203" t="n">
        <v>30000</v>
      </c>
    </row>
    <row r="204">
      <c r="A204" t="inlineStr">
        <is>
          <t>passengers</t>
        </is>
      </c>
      <c r="B204" t="n">
        <v>1</v>
      </c>
    </row>
    <row r="205">
      <c r="A205" t="inlineStr">
        <is>
          <t>service</t>
        </is>
      </c>
      <c r="B205" t="n">
        <v>1.2</v>
      </c>
    </row>
    <row r="206">
      <c r="A206" t="inlineStr">
        <is>
          <t>battery replacement</t>
        </is>
      </c>
      <c r="B206" t="n">
        <v>0</v>
      </c>
    </row>
    <row r="207">
      <c r="A207" t="inlineStr">
        <is>
          <t>annual kilometers</t>
        </is>
      </c>
      <c r="B207" t="n">
        <v>1870</v>
      </c>
    </row>
    <row r="208">
      <c r="A208" t="inlineStr">
        <is>
          <t>curb mass</t>
        </is>
      </c>
      <c r="B208" s="2" t="n">
        <v>131.1625</v>
      </c>
    </row>
    <row r="209">
      <c r="A209" t="inlineStr">
        <is>
          <t>power</t>
        </is>
      </c>
      <c r="B209" t="n">
        <v>8.800000000000001</v>
      </c>
    </row>
    <row r="210">
      <c r="A210" t="inlineStr">
        <is>
          <t>battery mass</t>
        </is>
      </c>
    </row>
    <row r="211">
      <c r="A211" t="inlineStr">
        <is>
          <t>electricity, low voltage</t>
        </is>
      </c>
      <c r="B211" t="n">
        <v>0</v>
      </c>
    </row>
    <row r="212">
      <c r="A212" t="inlineStr">
        <is>
          <t>tank capacity</t>
        </is>
      </c>
      <c r="B212" s="2" t="n">
        <v>79.875</v>
      </c>
    </row>
    <row r="213">
      <c r="A213" t="inlineStr">
        <is>
          <t>fuel mass</t>
        </is>
      </c>
      <c r="B213" t="n">
        <v>6.75</v>
      </c>
    </row>
    <row r="214">
      <c r="A214" t="inlineStr">
        <is>
          <t>range</t>
        </is>
      </c>
      <c r="B214" s="2" t="n">
        <v>274.4626387870084</v>
      </c>
    </row>
    <row r="215">
      <c r="A215" t="inlineStr">
        <is>
          <t>emission standard</t>
        </is>
      </c>
      <c r="B215" t="inlineStr">
        <is>
          <t>EURO-4</t>
        </is>
      </c>
    </row>
    <row r="216">
      <c r="A216" t="inlineStr">
        <is>
          <t>Glider lightweighting</t>
        </is>
      </c>
      <c r="B216" s="6" t="n">
        <v>-0.02</v>
      </c>
    </row>
    <row r="217">
      <c r="A217" t="inlineStr">
        <is>
          <t>comment</t>
        </is>
      </c>
      <c r="B217" t="inlineStr">
        <is>
          <t>Power: 8.8 kW. Lifetime: 30000 km. Annual kilometers: 1870 km. Number of passengers: 1. Curb mass: 131.2 kg. Lightweighting of glider: -2%. Emission standard: EURO-4. Service visits throughout lifetime: 1.2. Range: 274 km. Fuel tank capacity: 79.9 kWh. Fuel mass: 6.8 kg. Documentation: Life-cycle inventories for on-road vehicles, Sacchi R. (PSI), Bauer C. (PSI), 2021. Sacchi R., Bauer C. Life cycle inventories for on-road vehicles. Paul Scherrer Institut, 2021.</t>
        </is>
      </c>
    </row>
    <row r="218" ht="16" customHeight="1">
      <c r="A218" s="10" t="inlineStr">
        <is>
          <t>Exchanges</t>
        </is>
      </c>
    </row>
    <row r="219">
      <c r="A219" t="inlineStr">
        <is>
          <t>name</t>
        </is>
      </c>
      <c r="B219" t="inlineStr">
        <is>
          <t>amount</t>
        </is>
      </c>
      <c r="C219" t="inlineStr">
        <is>
          <t>location</t>
        </is>
      </c>
      <c r="D219" t="inlineStr">
        <is>
          <t>unit</t>
        </is>
      </c>
      <c r="E219" t="inlineStr">
        <is>
          <t>categories</t>
        </is>
      </c>
      <c r="F219" t="inlineStr">
        <is>
          <t>type</t>
        </is>
      </c>
      <c r="G219" t="inlineStr">
        <is>
          <t>comment</t>
        </is>
      </c>
      <c r="H219" t="inlineStr">
        <is>
          <t>reference product</t>
        </is>
      </c>
    </row>
    <row r="220">
      <c r="A220" t="inlineStr">
        <is>
          <t>transport, Scooter, gasoline, 4-11kW, EURO-4</t>
        </is>
      </c>
      <c r="B220" t="n">
        <v>1</v>
      </c>
      <c r="C220" t="inlineStr">
        <is>
          <t>CH</t>
        </is>
      </c>
      <c r="D220" t="inlineStr">
        <is>
          <t>kilometer</t>
        </is>
      </c>
      <c r="F220" t="inlineStr">
        <is>
          <t>production</t>
        </is>
      </c>
      <c r="H220" t="inlineStr">
        <is>
          <t>transport, Scooter, gasoline, 4-11kW, EURO-4</t>
        </is>
      </c>
    </row>
    <row r="221">
      <c r="A221" t="inlineStr">
        <is>
          <t>Scooter, gasoline, 4-11kW, EURO-4</t>
        </is>
      </c>
      <c r="B221" s="7" t="n">
        <v>3.333333333333333e-05</v>
      </c>
      <c r="C221" t="inlineStr">
        <is>
          <t>CH</t>
        </is>
      </c>
      <c r="D221" t="inlineStr">
        <is>
          <t>unit</t>
        </is>
      </c>
      <c r="F221" t="inlineStr">
        <is>
          <t>technosphere</t>
        </is>
      </c>
      <c r="H221" t="inlineStr">
        <is>
          <t>Scooter, gasoline, 4-11kW, EURO-4</t>
        </is>
      </c>
    </row>
    <row r="222">
      <c r="A222" t="inlineStr">
        <is>
          <t>road construction</t>
        </is>
      </c>
      <c r="B222" s="7" t="n">
        <v>0.0001128572625</v>
      </c>
      <c r="C222" t="inlineStr">
        <is>
          <t>CH</t>
        </is>
      </c>
      <c r="D222" t="inlineStr">
        <is>
          <t>meter-year</t>
        </is>
      </c>
      <c r="F222" t="inlineStr">
        <is>
          <t>technosphere</t>
        </is>
      </c>
      <c r="G222" t="inlineStr">
        <is>
          <t>Road/track use [m*year/vkm or pkm]</t>
        </is>
      </c>
      <c r="H222" t="inlineStr">
        <is>
          <t>road</t>
        </is>
      </c>
    </row>
    <row r="223">
      <c r="A223" t="inlineStr">
        <is>
          <t>road maintenance</t>
        </is>
      </c>
      <c r="B223" s="7" t="n">
        <v>0.00129</v>
      </c>
      <c r="C223" t="inlineStr">
        <is>
          <t>CH</t>
        </is>
      </c>
      <c r="D223" t="inlineStr">
        <is>
          <t>meter-year</t>
        </is>
      </c>
      <c r="F223" t="inlineStr">
        <is>
          <t>technosphere</t>
        </is>
      </c>
      <c r="G223" t="inlineStr">
        <is>
          <t>Road maintenance [m*year/vkm]</t>
        </is>
      </c>
      <c r="H223" t="inlineStr">
        <is>
          <t>road maintenance</t>
        </is>
      </c>
    </row>
    <row r="224">
      <c r="A224" t="inlineStr">
        <is>
          <t>maintenance, motor scooter</t>
        </is>
      </c>
      <c r="B224" s="7" t="n">
        <v>4e-05</v>
      </c>
      <c r="C224" t="inlineStr">
        <is>
          <t>CH</t>
        </is>
      </c>
      <c r="D224" t="inlineStr">
        <is>
          <t>unit</t>
        </is>
      </c>
      <c r="F224" t="inlineStr">
        <is>
          <t>technosphere</t>
        </is>
      </c>
      <c r="G224" t="inlineStr">
        <is>
          <t>Servicing [unit]</t>
        </is>
      </c>
      <c r="H224" t="inlineStr">
        <is>
          <t>maintenance, motor scooter</t>
        </is>
      </c>
    </row>
    <row r="225">
      <c r="A225" t="inlineStr">
        <is>
          <t>fuel supply for gasoline vehicles</t>
        </is>
      </c>
      <c r="B225" s="7" t="n">
        <v>0.02459351126926318</v>
      </c>
      <c r="C225" t="inlineStr">
        <is>
          <t>CH</t>
        </is>
      </c>
      <c r="D225" t="inlineStr">
        <is>
          <t>kilogram</t>
        </is>
      </c>
      <c r="F225" t="inlineStr">
        <is>
          <t>technosphere</t>
        </is>
      </c>
      <c r="G225" t="inlineStr">
        <is>
          <t>Gasoline consumption [MJ/km]</t>
        </is>
      </c>
      <c r="H225" t="inlineStr">
        <is>
          <t>gasoline blend</t>
        </is>
      </c>
    </row>
    <row r="226">
      <c r="A226" t="inlineStr">
        <is>
          <t>Carbon dioxide, fossil</t>
        </is>
      </c>
      <c r="B226" s="11" t="n">
        <v>0.07629694188086054</v>
      </c>
      <c r="D226" t="inlineStr">
        <is>
          <t>kilogram</t>
        </is>
      </c>
      <c r="E226" t="inlineStr">
        <is>
          <t>air::urban air close to ground</t>
        </is>
      </c>
      <c r="F226" t="inlineStr">
        <is>
          <t>biosphere</t>
        </is>
      </c>
      <c r="G226" t="inlineStr">
        <is>
          <t>CO2</t>
        </is>
      </c>
    </row>
    <row r="227">
      <c r="A227" t="inlineStr">
        <is>
          <t>Carbon dioxide, from soil or biomass stock</t>
        </is>
      </c>
      <c r="B227" s="11" t="n">
        <v>0.0009266835046258366</v>
      </c>
      <c r="D227" t="inlineStr">
        <is>
          <t>kilogram</t>
        </is>
      </c>
      <c r="E227" t="inlineStr">
        <is>
          <t>air::urban air close to ground</t>
        </is>
      </c>
      <c r="F227" t="inlineStr">
        <is>
          <t>biosphere</t>
        </is>
      </c>
      <c r="G227" t="inlineStr">
        <is>
          <t>CO2, bio</t>
        </is>
      </c>
    </row>
    <row r="228">
      <c r="A228" t="inlineStr">
        <is>
          <t>Sulfur dioxide</t>
        </is>
      </c>
      <c r="B228" s="7" t="n">
        <v>3.934961803082109e-07</v>
      </c>
      <c r="D228" t="inlineStr">
        <is>
          <t>kilogram</t>
        </is>
      </c>
      <c r="E228" t="inlineStr">
        <is>
          <t>air::urban air close to ground</t>
        </is>
      </c>
      <c r="F228" t="inlineStr">
        <is>
          <t>biosphere</t>
        </is>
      </c>
      <c r="G228" t="inlineStr">
        <is>
          <t>SO2</t>
        </is>
      </c>
    </row>
    <row r="229">
      <c r="A229" t="inlineStr">
        <is>
          <t>Benzene</t>
        </is>
      </c>
      <c r="B229" s="7" t="n">
        <v>3.780464865564107e-05</v>
      </c>
      <c r="D229" t="inlineStr">
        <is>
          <t>kilogram</t>
        </is>
      </c>
      <c r="E229" t="inlineStr">
        <is>
          <t>air::urban air close to ground</t>
        </is>
      </c>
      <c r="F229" t="inlineStr">
        <is>
          <t>biosphere</t>
        </is>
      </c>
      <c r="G229" t="inlineStr">
        <is>
          <t>Benzene</t>
        </is>
      </c>
    </row>
    <row r="230">
      <c r="A230" t="inlineStr">
        <is>
          <t>Methane, fossil</t>
        </is>
      </c>
      <c r="B230" s="7" t="n">
        <v>2.888412254361808e-05</v>
      </c>
      <c r="D230" t="inlineStr">
        <is>
          <t>kilogram</t>
        </is>
      </c>
      <c r="E230" t="inlineStr">
        <is>
          <t>air::urban air close to ground</t>
        </is>
      </c>
      <c r="F230" t="inlineStr">
        <is>
          <t>biosphere</t>
        </is>
      </c>
      <c r="G230" t="inlineStr">
        <is>
          <t>CH4</t>
        </is>
      </c>
    </row>
    <row r="231">
      <c r="A231" t="inlineStr">
        <is>
          <t>Carbon monoxide, fossil</t>
        </is>
      </c>
      <c r="B231" s="7" t="n">
        <v>0.003383929830422446</v>
      </c>
      <c r="D231" t="inlineStr">
        <is>
          <t>kilogram</t>
        </is>
      </c>
      <c r="E231" t="inlineStr">
        <is>
          <t>air::urban air close to ground</t>
        </is>
      </c>
      <c r="F231" t="inlineStr">
        <is>
          <t>biosphere</t>
        </is>
      </c>
      <c r="G231" t="inlineStr">
        <is>
          <t>CO</t>
        </is>
      </c>
    </row>
    <row r="232">
      <c r="A232" t="inlineStr">
        <is>
          <t>Dinitrogen monoxide</t>
        </is>
      </c>
      <c r="B232" s="7" t="n">
        <v>1.465455227986712e-06</v>
      </c>
      <c r="D232" t="inlineStr">
        <is>
          <t>kilogram</t>
        </is>
      </c>
      <c r="E232" t="inlineStr">
        <is>
          <t>air::urban air close to ground</t>
        </is>
      </c>
      <c r="F232" t="inlineStr">
        <is>
          <t>biosphere</t>
        </is>
      </c>
      <c r="G232" t="inlineStr">
        <is>
          <t>N2O</t>
        </is>
      </c>
    </row>
    <row r="233">
      <c r="A233" t="inlineStr">
        <is>
          <t>Ammonia</t>
        </is>
      </c>
      <c r="B233" s="7" t="n">
        <v>1.465455227986712e-06</v>
      </c>
      <c r="D233" t="inlineStr">
        <is>
          <t>kilogram</t>
        </is>
      </c>
      <c r="E233" t="inlineStr">
        <is>
          <t>air::urban air close to ground</t>
        </is>
      </c>
      <c r="F233" t="inlineStr">
        <is>
          <t>biosphere</t>
        </is>
      </c>
      <c r="G233" t="inlineStr">
        <is>
          <t>NH3</t>
        </is>
      </c>
    </row>
    <row r="234">
      <c r="A234" t="inlineStr">
        <is>
          <t>Nitrogen oxides</t>
        </is>
      </c>
      <c r="B234" s="7" t="n">
        <v>0.0001098955263493165</v>
      </c>
      <c r="D234" t="inlineStr">
        <is>
          <t>kilogram</t>
        </is>
      </c>
      <c r="E234" t="inlineStr">
        <is>
          <t>air::urban air close to ground</t>
        </is>
      </c>
      <c r="F234" t="inlineStr">
        <is>
          <t>biosphere</t>
        </is>
      </c>
      <c r="G234" t="inlineStr">
        <is>
          <t>NOx</t>
        </is>
      </c>
    </row>
    <row r="235">
      <c r="A235" t="inlineStr">
        <is>
          <t>Particulates, &lt; 2.5 um</t>
        </is>
      </c>
      <c r="B235" s="7" t="n">
        <v>3.287016076374195e-06</v>
      </c>
      <c r="D235" t="inlineStr">
        <is>
          <t>kilogram</t>
        </is>
      </c>
      <c r="E235" t="inlineStr">
        <is>
          <t>air::urban air close to ground</t>
        </is>
      </c>
      <c r="F235" t="inlineStr">
        <is>
          <t>biosphere</t>
        </is>
      </c>
      <c r="G235" t="inlineStr">
        <is>
          <t>PM2.5</t>
        </is>
      </c>
    </row>
    <row r="236">
      <c r="A236" t="inlineStr">
        <is>
          <t>NMVOC, non-methane volatile organic compounds, unspecified origin</t>
        </is>
      </c>
      <c r="B236" s="7" t="n">
        <v>0.0003048631560037794</v>
      </c>
      <c r="D236" t="inlineStr">
        <is>
          <t>kilogram</t>
        </is>
      </c>
      <c r="E236" t="inlineStr">
        <is>
          <t>air::urban air close to ground</t>
        </is>
      </c>
      <c r="F236" t="inlineStr">
        <is>
          <t>biosphere</t>
        </is>
      </c>
      <c r="G236" t="inlineStr">
        <is>
          <t>NMVOC</t>
        </is>
      </c>
    </row>
    <row r="237">
      <c r="A237" t="inlineStr">
        <is>
          <t>Ethane</t>
        </is>
      </c>
      <c r="B237" s="7" t="n">
        <v>2.149676100026649e-05</v>
      </c>
      <c r="D237" t="inlineStr">
        <is>
          <t>kilogram</t>
        </is>
      </c>
      <c r="E237" t="inlineStr">
        <is>
          <t>air::urban air close to ground</t>
        </is>
      </c>
      <c r="F237" t="inlineStr">
        <is>
          <t>biosphere</t>
        </is>
      </c>
      <c r="G237" t="inlineStr">
        <is>
          <t>Ethane</t>
        </is>
      </c>
    </row>
    <row r="238">
      <c r="A238" t="inlineStr">
        <is>
          <t>Propane</t>
        </is>
      </c>
      <c r="B238" s="7" t="n">
        <v>4.380217758674991e-06</v>
      </c>
      <c r="D238" t="inlineStr">
        <is>
          <t>kilogram</t>
        </is>
      </c>
      <c r="E238" t="inlineStr">
        <is>
          <t>air::urban air close to ground</t>
        </is>
      </c>
      <c r="F238" t="inlineStr">
        <is>
          <t>biosphere</t>
        </is>
      </c>
      <c r="G238" t="inlineStr">
        <is>
          <t>Propane</t>
        </is>
      </c>
    </row>
    <row r="239">
      <c r="A239" t="inlineStr">
        <is>
          <t>Butane</t>
        </is>
      </c>
      <c r="B239" s="7" t="n">
        <v>3.531129393147223e-05</v>
      </c>
      <c r="D239" t="inlineStr">
        <is>
          <t>kilogram</t>
        </is>
      </c>
      <c r="E239" t="inlineStr">
        <is>
          <t>air::urban air close to ground</t>
        </is>
      </c>
      <c r="F239" t="inlineStr">
        <is>
          <t>biosphere</t>
        </is>
      </c>
      <c r="G239" t="inlineStr">
        <is>
          <t>Butane</t>
        </is>
      </c>
    </row>
    <row r="240">
      <c r="A240" t="inlineStr">
        <is>
          <t>Pentane</t>
        </is>
      </c>
      <c r="B240" s="7" t="n">
        <v>1.44884125863865e-05</v>
      </c>
      <c r="D240" t="inlineStr">
        <is>
          <t>kilogram</t>
        </is>
      </c>
      <c r="E240" t="inlineStr">
        <is>
          <t>air::urban air close to ground</t>
        </is>
      </c>
      <c r="F240" t="inlineStr">
        <is>
          <t>biosphere</t>
        </is>
      </c>
      <c r="G240" t="inlineStr">
        <is>
          <t>Pentane</t>
        </is>
      </c>
    </row>
    <row r="241">
      <c r="A241" t="inlineStr">
        <is>
          <t>Hexane</t>
        </is>
      </c>
      <c r="B241" s="7" t="n">
        <v>1.084946244841036e-05</v>
      </c>
      <c r="D241" t="inlineStr">
        <is>
          <t>kilogram</t>
        </is>
      </c>
      <c r="E241" t="inlineStr">
        <is>
          <t>air::urban air close to ground</t>
        </is>
      </c>
      <c r="F241" t="inlineStr">
        <is>
          <t>biosphere</t>
        </is>
      </c>
      <c r="G241" t="inlineStr">
        <is>
          <t>Hexane</t>
        </is>
      </c>
    </row>
    <row r="242">
      <c r="A242" t="inlineStr">
        <is>
          <t>Cyclohexane</t>
        </is>
      </c>
      <c r="B242" s="7" t="n">
        <v>7.682228069060753e-06</v>
      </c>
      <c r="D242" t="inlineStr">
        <is>
          <t>kilogram</t>
        </is>
      </c>
      <c r="E242" t="inlineStr">
        <is>
          <t>air::urban air close to ground</t>
        </is>
      </c>
      <c r="F242" t="inlineStr">
        <is>
          <t>biosphere</t>
        </is>
      </c>
      <c r="G242" t="inlineStr">
        <is>
          <t>Cyclohexane</t>
        </is>
      </c>
    </row>
    <row r="243">
      <c r="A243" t="inlineStr">
        <is>
          <t>Heptane</t>
        </is>
      </c>
      <c r="B243" s="7" t="n">
        <v>4.986709448337682e-06</v>
      </c>
      <c r="D243" t="inlineStr">
        <is>
          <t>kilogram</t>
        </is>
      </c>
      <c r="E243" t="inlineStr">
        <is>
          <t>air::urban air close to ground</t>
        </is>
      </c>
      <c r="F243" t="inlineStr">
        <is>
          <t>biosphere</t>
        </is>
      </c>
      <c r="G243" t="inlineStr">
        <is>
          <t>Heptane</t>
        </is>
      </c>
    </row>
    <row r="244">
      <c r="A244" t="inlineStr">
        <is>
          <t>Ethene</t>
        </is>
      </c>
      <c r="B244" s="7" t="n">
        <v>4.919321482819605e-05</v>
      </c>
      <c r="D244" t="inlineStr">
        <is>
          <t>kilogram</t>
        </is>
      </c>
      <c r="E244" t="inlineStr">
        <is>
          <t>air::urban air close to ground</t>
        </is>
      </c>
      <c r="F244" t="inlineStr">
        <is>
          <t>biosphere</t>
        </is>
      </c>
      <c r="G244" t="inlineStr">
        <is>
          <t>Ethene</t>
        </is>
      </c>
    </row>
    <row r="245">
      <c r="A245" t="inlineStr">
        <is>
          <t>Propene</t>
        </is>
      </c>
      <c r="B245" s="7" t="n">
        <v>2.574220282790532e-05</v>
      </c>
      <c r="D245" t="inlineStr">
        <is>
          <t>kilogram</t>
        </is>
      </c>
      <c r="E245" t="inlineStr">
        <is>
          <t>air::urban air close to ground</t>
        </is>
      </c>
      <c r="F245" t="inlineStr">
        <is>
          <t>biosphere</t>
        </is>
      </c>
      <c r="G245" t="inlineStr">
        <is>
          <t>Propene</t>
        </is>
      </c>
    </row>
    <row r="246">
      <c r="A246" t="inlineStr">
        <is>
          <t>1-Pentene</t>
        </is>
      </c>
      <c r="B246" s="7" t="n">
        <v>7.412676206988445e-07</v>
      </c>
      <c r="D246" t="inlineStr">
        <is>
          <t>kilogram</t>
        </is>
      </c>
      <c r="E246" t="inlineStr">
        <is>
          <t>air::urban air close to ground</t>
        </is>
      </c>
      <c r="F246" t="inlineStr">
        <is>
          <t>biosphere</t>
        </is>
      </c>
      <c r="G246" t="inlineStr">
        <is>
          <t>1-Pentene</t>
        </is>
      </c>
    </row>
    <row r="247">
      <c r="A247" t="inlineStr">
        <is>
          <t>Toluene</t>
        </is>
      </c>
      <c r="B247" s="7" t="n">
        <v>7.399198613884829e-05</v>
      </c>
      <c r="D247" t="inlineStr">
        <is>
          <t>kilogram</t>
        </is>
      </c>
      <c r="E247" t="inlineStr">
        <is>
          <t>air::urban air close to ground</t>
        </is>
      </c>
      <c r="F247" t="inlineStr">
        <is>
          <t>biosphere</t>
        </is>
      </c>
      <c r="G247" t="inlineStr">
        <is>
          <t>Toluene</t>
        </is>
      </c>
    </row>
    <row r="248">
      <c r="A248" t="inlineStr">
        <is>
          <t>m-Xylene</t>
        </is>
      </c>
      <c r="B248" s="7" t="n">
        <v>3.659166527631569e-05</v>
      </c>
      <c r="D248" t="inlineStr">
        <is>
          <t>kilogram</t>
        </is>
      </c>
      <c r="E248" t="inlineStr">
        <is>
          <t>air::urban air close to ground</t>
        </is>
      </c>
      <c r="F248" t="inlineStr">
        <is>
          <t>biosphere</t>
        </is>
      </c>
      <c r="G248" t="inlineStr">
        <is>
          <t>m-Xylene</t>
        </is>
      </c>
    </row>
    <row r="249">
      <c r="A249" t="inlineStr">
        <is>
          <t>o-Xylene</t>
        </is>
      </c>
      <c r="B249" s="7" t="n">
        <v>1.522968020708535e-05</v>
      </c>
      <c r="D249" t="inlineStr">
        <is>
          <t>kilogram</t>
        </is>
      </c>
      <c r="E249" t="inlineStr">
        <is>
          <t>air::urban air close to ground</t>
        </is>
      </c>
      <c r="F249" t="inlineStr">
        <is>
          <t>biosphere</t>
        </is>
      </c>
      <c r="G249" t="inlineStr">
        <is>
          <t>o-Xylene</t>
        </is>
      </c>
    </row>
    <row r="250">
      <c r="A250" t="inlineStr">
        <is>
          <t>Formaldehyde</t>
        </is>
      </c>
      <c r="B250" s="7" t="n">
        <v>1.145595413807305e-05</v>
      </c>
      <c r="D250" t="inlineStr">
        <is>
          <t>kilogram</t>
        </is>
      </c>
      <c r="E250" t="inlineStr">
        <is>
          <t>air::urban air close to ground</t>
        </is>
      </c>
      <c r="F250" t="inlineStr">
        <is>
          <t>biosphere</t>
        </is>
      </c>
      <c r="G250" t="inlineStr">
        <is>
          <t>Formaldehyde</t>
        </is>
      </c>
    </row>
    <row r="251">
      <c r="A251" t="inlineStr">
        <is>
          <t>Acetaldehyde</t>
        </is>
      </c>
      <c r="B251" s="7" t="n">
        <v>5.054097413855758e-06</v>
      </c>
      <c r="D251" t="inlineStr">
        <is>
          <t>kilogram</t>
        </is>
      </c>
      <c r="E251" t="inlineStr">
        <is>
          <t>air::urban air close to ground</t>
        </is>
      </c>
      <c r="F251" t="inlineStr">
        <is>
          <t>biosphere</t>
        </is>
      </c>
      <c r="G251" t="inlineStr">
        <is>
          <t>Acetaldehyde</t>
        </is>
      </c>
    </row>
    <row r="252">
      <c r="A252" t="inlineStr">
        <is>
          <t>Benzaldehyde</t>
        </is>
      </c>
      <c r="B252" s="7" t="n">
        <v>1.482535241397689e-06</v>
      </c>
      <c r="D252" t="inlineStr">
        <is>
          <t>kilogram</t>
        </is>
      </c>
      <c r="E252" t="inlineStr">
        <is>
          <t>air::urban air close to ground</t>
        </is>
      </c>
      <c r="F252" t="inlineStr">
        <is>
          <t>biosphere</t>
        </is>
      </c>
      <c r="G252" t="inlineStr">
        <is>
          <t>Benzaldehyde</t>
        </is>
      </c>
    </row>
    <row r="253">
      <c r="A253" t="inlineStr">
        <is>
          <t>Acetone</t>
        </is>
      </c>
      <c r="B253" s="7" t="n">
        <v>4.110665896602684e-06</v>
      </c>
      <c r="D253" t="inlineStr">
        <is>
          <t>kilogram</t>
        </is>
      </c>
      <c r="E253" t="inlineStr">
        <is>
          <t>air::urban air close to ground</t>
        </is>
      </c>
      <c r="F253" t="inlineStr">
        <is>
          <t>biosphere</t>
        </is>
      </c>
      <c r="G253" t="inlineStr">
        <is>
          <t>Acetone</t>
        </is>
      </c>
    </row>
    <row r="254">
      <c r="A254" t="inlineStr">
        <is>
          <t>Methyl ethyl ketone</t>
        </is>
      </c>
      <c r="B254" s="7" t="n">
        <v>0</v>
      </c>
      <c r="D254" t="inlineStr">
        <is>
          <t>kilogram</t>
        </is>
      </c>
      <c r="E254" t="inlineStr">
        <is>
          <t>air::urban air close to ground</t>
        </is>
      </c>
      <c r="F254" t="inlineStr">
        <is>
          <t>biosphere</t>
        </is>
      </c>
      <c r="G254" t="inlineStr">
        <is>
          <t>Methyl ethyl ketone</t>
        </is>
      </c>
    </row>
    <row r="255">
      <c r="A255" t="inlineStr">
        <is>
          <t>Acrolein</t>
        </is>
      </c>
      <c r="B255" s="7" t="n">
        <v>1.280371344843459e-06</v>
      </c>
      <c r="D255" t="inlineStr">
        <is>
          <t>kilogram</t>
        </is>
      </c>
      <c r="E255" t="inlineStr">
        <is>
          <t>air::urban air close to ground</t>
        </is>
      </c>
      <c r="F255" t="inlineStr">
        <is>
          <t>biosphere</t>
        </is>
      </c>
      <c r="G255" t="inlineStr">
        <is>
          <t>Acrolein</t>
        </is>
      </c>
    </row>
    <row r="256">
      <c r="A256" t="inlineStr">
        <is>
          <t>Styrene</t>
        </is>
      </c>
      <c r="B256" s="7" t="n">
        <v>6.806184517325754e-06</v>
      </c>
      <c r="D256" t="inlineStr">
        <is>
          <t>kilogram</t>
        </is>
      </c>
      <c r="E256" t="inlineStr">
        <is>
          <t>air::urban air close to ground</t>
        </is>
      </c>
      <c r="F256" t="inlineStr">
        <is>
          <t>biosphere</t>
        </is>
      </c>
      <c r="G256" t="inlineStr">
        <is>
          <t>Styrene</t>
        </is>
      </c>
    </row>
    <row r="257">
      <c r="A257" t="inlineStr">
        <is>
          <t>PAH, polycyclic aromatic hydrocarbons</t>
        </is>
      </c>
      <c r="B257" s="7" t="n">
        <v>8.578679667401713e-10</v>
      </c>
      <c r="D257" t="inlineStr">
        <is>
          <t>kilogram</t>
        </is>
      </c>
      <c r="E257" t="inlineStr">
        <is>
          <t>air::urban air close to ground</t>
        </is>
      </c>
      <c r="F257" t="inlineStr">
        <is>
          <t>biosphere</t>
        </is>
      </c>
      <c r="G257" t="inlineStr">
        <is>
          <t>PAHs</t>
        </is>
      </c>
    </row>
    <row r="258">
      <c r="A258" t="inlineStr">
        <is>
          <t>Arsenic</t>
        </is>
      </c>
      <c r="B258" s="7" t="n">
        <v>7.395413506380788e-12</v>
      </c>
      <c r="D258" t="inlineStr">
        <is>
          <t>kilogram</t>
        </is>
      </c>
      <c r="E258" t="inlineStr">
        <is>
          <t>air::urban air close to ground</t>
        </is>
      </c>
      <c r="F258" t="inlineStr">
        <is>
          <t>biosphere</t>
        </is>
      </c>
      <c r="G258" t="inlineStr">
        <is>
          <t>Arsenic</t>
        </is>
      </c>
    </row>
    <row r="259">
      <c r="A259" t="inlineStr">
        <is>
          <t>Selenium</t>
        </is>
      </c>
      <c r="B259" s="7" t="n">
        <v>4.930275670920525e-12</v>
      </c>
      <c r="D259" t="inlineStr">
        <is>
          <t>kilogram</t>
        </is>
      </c>
      <c r="E259" t="inlineStr">
        <is>
          <t>air::urban air close to ground</t>
        </is>
      </c>
      <c r="F259" t="inlineStr">
        <is>
          <t>biosphere</t>
        </is>
      </c>
      <c r="G259" t="inlineStr">
        <is>
          <t>Selenium</t>
        </is>
      </c>
    </row>
    <row r="260">
      <c r="A260" t="inlineStr">
        <is>
          <t>Zinc</t>
        </is>
      </c>
      <c r="B260" s="7" t="n">
        <v>5.324697724594167e-08</v>
      </c>
      <c r="D260" t="inlineStr">
        <is>
          <t>kilogram</t>
        </is>
      </c>
      <c r="E260" t="inlineStr">
        <is>
          <t>air::urban air close to ground</t>
        </is>
      </c>
      <c r="F260" t="inlineStr">
        <is>
          <t>biosphere</t>
        </is>
      </c>
      <c r="G260" t="inlineStr">
        <is>
          <t>Zinc</t>
        </is>
      </c>
    </row>
    <row r="261">
      <c r="A261" t="inlineStr">
        <is>
          <t>Copper</t>
        </is>
      </c>
      <c r="B261" s="7" t="n">
        <v>1.03535789089331e-09</v>
      </c>
      <c r="D261" t="inlineStr">
        <is>
          <t>kilogram</t>
        </is>
      </c>
      <c r="E261" t="inlineStr">
        <is>
          <t>air::urban air close to ground</t>
        </is>
      </c>
      <c r="F261" t="inlineStr">
        <is>
          <t>biosphere</t>
        </is>
      </c>
      <c r="G261" t="inlineStr">
        <is>
          <t>Copper</t>
        </is>
      </c>
    </row>
    <row r="262">
      <c r="A262" t="inlineStr">
        <is>
          <t>Nickel</t>
        </is>
      </c>
      <c r="B262" s="7" t="n">
        <v>3.204679186098341e-10</v>
      </c>
      <c r="D262" t="inlineStr">
        <is>
          <t>kilogram</t>
        </is>
      </c>
      <c r="E262" t="inlineStr">
        <is>
          <t>air::urban air close to ground</t>
        </is>
      </c>
      <c r="F262" t="inlineStr">
        <is>
          <t>biosphere</t>
        </is>
      </c>
      <c r="G262" t="inlineStr">
        <is>
          <t>Nickel</t>
        </is>
      </c>
    </row>
    <row r="263">
      <c r="A263" t="inlineStr">
        <is>
          <t>Chromium</t>
        </is>
      </c>
      <c r="B263" s="7" t="n">
        <v>3.94422053673642e-10</v>
      </c>
      <c r="D263" t="inlineStr">
        <is>
          <t>kilogram</t>
        </is>
      </c>
      <c r="E263" t="inlineStr">
        <is>
          <t>air::urban air close to ground</t>
        </is>
      </c>
      <c r="F263" t="inlineStr">
        <is>
          <t>biosphere</t>
        </is>
      </c>
      <c r="G263" t="inlineStr">
        <is>
          <t>Chromium</t>
        </is>
      </c>
    </row>
    <row r="264">
      <c r="A264" t="inlineStr">
        <is>
          <t>Chromium VI</t>
        </is>
      </c>
      <c r="B264" s="7" t="n">
        <v>7.888441073472839e-13</v>
      </c>
      <c r="D264" t="inlineStr">
        <is>
          <t>kilogram</t>
        </is>
      </c>
      <c r="E264" t="inlineStr">
        <is>
          <t>air::urban air close to ground</t>
        </is>
      </c>
      <c r="F264" t="inlineStr">
        <is>
          <t>biosphere</t>
        </is>
      </c>
      <c r="G264" t="inlineStr">
        <is>
          <t>Chromium VI</t>
        </is>
      </c>
    </row>
    <row r="265">
      <c r="A265" t="inlineStr">
        <is>
          <t>Mercury</t>
        </is>
      </c>
      <c r="B265" s="7" t="n">
        <v>2.144669916850428e-10</v>
      </c>
      <c r="D265" t="inlineStr">
        <is>
          <t>kilogram</t>
        </is>
      </c>
      <c r="E265" t="inlineStr">
        <is>
          <t>air::urban air close to ground</t>
        </is>
      </c>
      <c r="F265" t="inlineStr">
        <is>
          <t>biosphere</t>
        </is>
      </c>
      <c r="G265" t="inlineStr">
        <is>
          <t>Mercury</t>
        </is>
      </c>
    </row>
    <row r="266">
      <c r="A266" t="inlineStr">
        <is>
          <t>Cadmium</t>
        </is>
      </c>
      <c r="B266" s="7" t="n">
        <v>2.662348862297084e-10</v>
      </c>
      <c r="D266" t="inlineStr">
        <is>
          <t>kilogram</t>
        </is>
      </c>
      <c r="E266" t="inlineStr">
        <is>
          <t>air::urban air close to ground</t>
        </is>
      </c>
      <c r="F266" t="inlineStr">
        <is>
          <t>biosphere</t>
        </is>
      </c>
      <c r="G266" t="inlineStr">
        <is>
          <t>Cadmium</t>
        </is>
      </c>
    </row>
    <row r="267">
      <c r="A267" t="inlineStr">
        <is>
          <t>treatment of road wear emissions, passenger car</t>
        </is>
      </c>
      <c r="B267" s="7" t="n">
        <v>-7.577318006372966e-06</v>
      </c>
      <c r="C267" t="inlineStr">
        <is>
          <t>RER</t>
        </is>
      </c>
      <c r="D267" t="inlineStr">
        <is>
          <t>kilogram</t>
        </is>
      </c>
      <c r="F267" t="inlineStr">
        <is>
          <t>technosphere</t>
        </is>
      </c>
      <c r="G267" t="inlineStr">
        <is>
          <t>Road wear [kg/km]</t>
        </is>
      </c>
      <c r="H267" t="inlineStr">
        <is>
          <t>road wear emissions, passenger car</t>
        </is>
      </c>
    </row>
    <row r="268">
      <c r="A268" t="inlineStr">
        <is>
          <t>treatment of tyre wear emissions, passenger car</t>
        </is>
      </c>
      <c r="B268" s="7" t="n">
        <v>-5.834289985896653e-06</v>
      </c>
      <c r="C268" t="inlineStr">
        <is>
          <t>RER</t>
        </is>
      </c>
      <c r="D268" t="inlineStr">
        <is>
          <t>kilogram</t>
        </is>
      </c>
      <c r="F268" t="inlineStr">
        <is>
          <t>technosphere</t>
        </is>
      </c>
      <c r="G268" t="inlineStr">
        <is>
          <t>Tire wear [kg/km]</t>
        </is>
      </c>
      <c r="H268" t="inlineStr">
        <is>
          <t>tyre wear emissions, passenger car</t>
        </is>
      </c>
    </row>
    <row r="269">
      <c r="A269" t="inlineStr">
        <is>
          <t>treatment of brake wear emissions, passenger car</t>
        </is>
      </c>
      <c r="B269" s="7" t="n">
        <v>-4.168616733424639e-06</v>
      </c>
      <c r="C269" t="inlineStr">
        <is>
          <t>RER</t>
        </is>
      </c>
      <c r="D269" t="inlineStr">
        <is>
          <t>kilogram</t>
        </is>
      </c>
      <c r="F269" t="inlineStr">
        <is>
          <t>technosphere</t>
        </is>
      </c>
      <c r="G269" t="inlineStr">
        <is>
          <t>Brake wear [kg/km]</t>
        </is>
      </c>
      <c r="H269" t="inlineStr">
        <is>
          <t>brake wear emissions, passenger car</t>
        </is>
      </c>
    </row>
    <row r="270"/>
    <row r="271" ht="16" customHeight="1">
      <c r="A271" s="10" t="inlineStr">
        <is>
          <t>Activity</t>
        </is>
      </c>
      <c r="B271" s="8" t="inlineStr">
        <is>
          <t>transport, Scooter, gasoline, 4-11kW, EURO-5</t>
        </is>
      </c>
    </row>
    <row r="272">
      <c r="A272" t="inlineStr">
        <is>
          <t>location</t>
        </is>
      </c>
      <c r="B272" t="inlineStr">
        <is>
          <t>CH</t>
        </is>
      </c>
    </row>
    <row r="273">
      <c r="A273" t="inlineStr">
        <is>
          <t>vehicle</t>
        </is>
      </c>
      <c r="B273" t="inlineStr">
        <is>
          <t>Scooter, gasoline, 4-11kW, EURO-5</t>
        </is>
      </c>
    </row>
    <row r="274">
      <c r="A274" t="inlineStr">
        <is>
          <t>size</t>
        </is>
      </c>
    </row>
    <row r="275">
      <c r="A275" t="inlineStr">
        <is>
          <t>year</t>
        </is>
      </c>
      <c r="B275" t="n">
        <v>2020</v>
      </c>
    </row>
    <row r="276">
      <c r="A276" t="inlineStr">
        <is>
          <t>full name</t>
        </is>
      </c>
      <c r="B276" t="inlineStr">
        <is>
          <t>Scooter, gasoline, 4-11kW, EURO-5 - 2020 - CH</t>
        </is>
      </c>
    </row>
    <row r="277">
      <c r="A277" t="inlineStr">
        <is>
          <t>reference product</t>
        </is>
      </c>
      <c r="B277" t="inlineStr">
        <is>
          <t>transport, Scooter, gasoline, 4-11kW, EURO-5</t>
        </is>
      </c>
    </row>
    <row r="278">
      <c r="A278" t="inlineStr">
        <is>
          <t>type</t>
        </is>
      </c>
      <c r="B278" t="inlineStr">
        <is>
          <t>process</t>
        </is>
      </c>
    </row>
    <row r="279">
      <c r="A279" t="inlineStr">
        <is>
          <t>unit</t>
        </is>
      </c>
      <c r="B279" t="inlineStr">
        <is>
          <t>kilometer</t>
        </is>
      </c>
    </row>
    <row r="280">
      <c r="A280" t="inlineStr">
        <is>
          <t>source</t>
        </is>
      </c>
      <c r="B280" t="inlineStr">
        <is>
          <t>Sacchi R., Bauer C. Life cycle inventories for on-road vehicles. Paul Scherrer Institut, 2021.</t>
        </is>
      </c>
    </row>
    <row r="281">
      <c r="A281" t="inlineStr">
        <is>
          <t>lifetime</t>
        </is>
      </c>
      <c r="B281" t="n">
        <v>30000</v>
      </c>
    </row>
    <row r="282">
      <c r="A282" t="inlineStr">
        <is>
          <t>passengers</t>
        </is>
      </c>
      <c r="B282" t="n">
        <v>1</v>
      </c>
    </row>
    <row r="283">
      <c r="A283" t="inlineStr">
        <is>
          <t>service</t>
        </is>
      </c>
      <c r="B283" t="n">
        <v>1.2</v>
      </c>
    </row>
    <row r="284">
      <c r="A284" t="inlineStr">
        <is>
          <t>battery replacement</t>
        </is>
      </c>
      <c r="B284" t="n">
        <v>0</v>
      </c>
    </row>
    <row r="285">
      <c r="A285" t="inlineStr">
        <is>
          <t>annual kilometers</t>
        </is>
      </c>
      <c r="B285" t="n">
        <v>1870</v>
      </c>
    </row>
    <row r="286">
      <c r="A286" t="inlineStr">
        <is>
          <t>curb mass</t>
        </is>
      </c>
      <c r="B286" s="2" t="n">
        <v>129.7625</v>
      </c>
    </row>
    <row r="287">
      <c r="A287" t="inlineStr">
        <is>
          <t>power</t>
        </is>
      </c>
      <c r="B287" t="n">
        <v>8.800000000000001</v>
      </c>
    </row>
    <row r="288">
      <c r="A288" t="inlineStr">
        <is>
          <t>battery mass</t>
        </is>
      </c>
    </row>
    <row r="289">
      <c r="A289" t="inlineStr">
        <is>
          <t>electricity, low voltage</t>
        </is>
      </c>
      <c r="B289" t="n">
        <v>0</v>
      </c>
    </row>
    <row r="290">
      <c r="A290" t="inlineStr">
        <is>
          <t>tank capacity</t>
        </is>
      </c>
      <c r="B290" s="2" t="n">
        <v>79.875</v>
      </c>
    </row>
    <row r="291">
      <c r="A291" t="inlineStr">
        <is>
          <t>fuel mass</t>
        </is>
      </c>
      <c r="B291" t="n">
        <v>6.75</v>
      </c>
    </row>
    <row r="292">
      <c r="A292" t="inlineStr">
        <is>
          <t>range</t>
        </is>
      </c>
      <c r="B292" s="2" t="n">
        <v>277.2349886737459</v>
      </c>
    </row>
    <row r="293">
      <c r="A293" t="inlineStr">
        <is>
          <t>emission standard</t>
        </is>
      </c>
      <c r="B293" t="inlineStr">
        <is>
          <t>EURO-5</t>
        </is>
      </c>
    </row>
    <row r="294">
      <c r="A294" t="inlineStr">
        <is>
          <t>Glider lightweighting</t>
        </is>
      </c>
      <c r="B294" s="6" t="n">
        <v>0</v>
      </c>
    </row>
    <row r="295">
      <c r="A295" t="inlineStr">
        <is>
          <t>comment</t>
        </is>
      </c>
      <c r="B295" t="inlineStr">
        <is>
          <t>Power: 8.8 kW. Lifetime: 30000 km. Annual kilometers: 1870 km. Number of passengers: 1. Curb mass: 129.8 kg. Lightweighting of glider: 0%. Emission standard: EURO-5. Service visits throughout lifetime: 1.2. Range: 277 km. Fuel tank capacity: 79.9 kWh. Fuel mass: 6.8 kg. Documentation: Life-cycle inventories for on-road vehicles, Sacchi R. (PSI), Bauer C. (PSI), 2021. Sacchi R., Bauer C. Life cycle inventories for on-road vehicles. Paul Scherrer Institut, 2021.</t>
        </is>
      </c>
    </row>
    <row r="296" ht="16" customHeight="1">
      <c r="A296" s="10" t="inlineStr">
        <is>
          <t>Exchanges</t>
        </is>
      </c>
    </row>
    <row r="297">
      <c r="A297" t="inlineStr">
        <is>
          <t>name</t>
        </is>
      </c>
      <c r="B297" t="inlineStr">
        <is>
          <t>amount</t>
        </is>
      </c>
      <c r="C297" t="inlineStr">
        <is>
          <t>location</t>
        </is>
      </c>
      <c r="D297" t="inlineStr">
        <is>
          <t>unit</t>
        </is>
      </c>
      <c r="E297" t="inlineStr">
        <is>
          <t>categories</t>
        </is>
      </c>
      <c r="F297" t="inlineStr">
        <is>
          <t>type</t>
        </is>
      </c>
      <c r="G297" t="inlineStr">
        <is>
          <t>comment</t>
        </is>
      </c>
      <c r="H297" t="inlineStr">
        <is>
          <t>reference product</t>
        </is>
      </c>
    </row>
    <row r="298">
      <c r="A298" t="inlineStr">
        <is>
          <t>transport, Scooter, gasoline, 4-11kW, EURO-5</t>
        </is>
      </c>
      <c r="B298" t="n">
        <v>1</v>
      </c>
      <c r="C298" t="inlineStr">
        <is>
          <t>CH</t>
        </is>
      </c>
      <c r="D298" t="inlineStr">
        <is>
          <t>kilometer</t>
        </is>
      </c>
      <c r="F298" t="inlineStr">
        <is>
          <t>production</t>
        </is>
      </c>
      <c r="H298" t="inlineStr">
        <is>
          <t>transport, Scooter, gasoline, 4-11kW, EURO-5</t>
        </is>
      </c>
    </row>
    <row r="299">
      <c r="A299" t="inlineStr">
        <is>
          <t>Scooter, gasoline, 4-11kW, EURO-5</t>
        </is>
      </c>
      <c r="B299" s="7" t="n">
        <v>3.333333333333333e-05</v>
      </c>
      <c r="C299" t="inlineStr">
        <is>
          <t>CH</t>
        </is>
      </c>
      <c r="D299" t="inlineStr">
        <is>
          <t>unit</t>
        </is>
      </c>
      <c r="F299" t="inlineStr">
        <is>
          <t>technosphere</t>
        </is>
      </c>
      <c r="H299" t="inlineStr">
        <is>
          <t>Scooter, gasoline, 4-11kW, EURO-5</t>
        </is>
      </c>
    </row>
    <row r="300">
      <c r="A300" t="inlineStr">
        <is>
          <t>road construction</t>
        </is>
      </c>
      <c r="B300" s="7" t="n">
        <v>0.0001121054625</v>
      </c>
      <c r="C300" t="inlineStr">
        <is>
          <t>CH</t>
        </is>
      </c>
      <c r="D300" t="inlineStr">
        <is>
          <t>meter-year</t>
        </is>
      </c>
      <c r="F300" t="inlineStr">
        <is>
          <t>technosphere</t>
        </is>
      </c>
      <c r="G300" t="inlineStr">
        <is>
          <t>Road/track use [m*year/vkm or pkm]</t>
        </is>
      </c>
      <c r="H300" t="inlineStr">
        <is>
          <t>road</t>
        </is>
      </c>
    </row>
    <row r="301">
      <c r="A301" t="inlineStr">
        <is>
          <t>road maintenance</t>
        </is>
      </c>
      <c r="B301" s="7" t="n">
        <v>0.00129</v>
      </c>
      <c r="C301" t="inlineStr">
        <is>
          <t>CH</t>
        </is>
      </c>
      <c r="D301" t="inlineStr">
        <is>
          <t>meter-year</t>
        </is>
      </c>
      <c r="F301" t="inlineStr">
        <is>
          <t>technosphere</t>
        </is>
      </c>
      <c r="G301" t="inlineStr">
        <is>
          <t>Road maintenance [m*year/vkm]</t>
        </is>
      </c>
      <c r="H301" t="inlineStr">
        <is>
          <t>road maintenance</t>
        </is>
      </c>
    </row>
    <row r="302">
      <c r="A302" t="inlineStr">
        <is>
          <t>maintenance, motor scooter</t>
        </is>
      </c>
      <c r="B302" s="7" t="n">
        <v>4e-05</v>
      </c>
      <c r="C302" t="inlineStr">
        <is>
          <t>CH</t>
        </is>
      </c>
      <c r="D302" t="inlineStr">
        <is>
          <t>unit</t>
        </is>
      </c>
      <c r="F302" t="inlineStr">
        <is>
          <t>technosphere</t>
        </is>
      </c>
      <c r="G302" t="inlineStr">
        <is>
          <t>Servicing [unit]</t>
        </is>
      </c>
      <c r="H302" t="inlineStr">
        <is>
          <t>maintenance, motor scooter</t>
        </is>
      </c>
    </row>
    <row r="303">
      <c r="A303" t="inlineStr">
        <is>
          <t>fuel supply for gasoline vehicles</t>
        </is>
      </c>
      <c r="B303" s="7" t="n">
        <v>0.02434757615657055</v>
      </c>
      <c r="C303" t="inlineStr">
        <is>
          <t>CH</t>
        </is>
      </c>
      <c r="D303" t="inlineStr">
        <is>
          <t>kilogram</t>
        </is>
      </c>
      <c r="F303" t="inlineStr">
        <is>
          <t>technosphere</t>
        </is>
      </c>
      <c r="G303" t="inlineStr">
        <is>
          <t>Gasoline consumption [MJ/km]</t>
        </is>
      </c>
      <c r="H303" t="inlineStr">
        <is>
          <t>gasoline blend</t>
        </is>
      </c>
    </row>
    <row r="304">
      <c r="A304" t="inlineStr">
        <is>
          <t>Carbon dioxide, fossil</t>
        </is>
      </c>
      <c r="B304" s="11" t="n">
        <v>0.07553397246205194</v>
      </c>
      <c r="D304" t="inlineStr">
        <is>
          <t>kilogram</t>
        </is>
      </c>
      <c r="E304" t="inlineStr">
        <is>
          <t>air::urban air close to ground</t>
        </is>
      </c>
      <c r="F304" t="inlineStr">
        <is>
          <t>biosphere</t>
        </is>
      </c>
      <c r="G304" t="inlineStr">
        <is>
          <t>CO2</t>
        </is>
      </c>
    </row>
    <row r="305">
      <c r="A305" t="inlineStr">
        <is>
          <t>Carbon dioxide, from soil or biomass stock</t>
        </is>
      </c>
      <c r="B305" s="11" t="n">
        <v>0.0009174166695795783</v>
      </c>
      <c r="D305" t="inlineStr">
        <is>
          <t>kilogram</t>
        </is>
      </c>
      <c r="E305" t="inlineStr">
        <is>
          <t>air::urban air close to ground</t>
        </is>
      </c>
      <c r="F305" t="inlineStr">
        <is>
          <t>biosphere</t>
        </is>
      </c>
      <c r="G305" t="inlineStr">
        <is>
          <t>CO2, bio</t>
        </is>
      </c>
    </row>
    <row r="306">
      <c r="A306" t="inlineStr">
        <is>
          <t>Sulfur dioxide</t>
        </is>
      </c>
      <c r="B306" s="7" t="n">
        <v>3.895612185051288e-07</v>
      </c>
      <c r="D306" t="inlineStr">
        <is>
          <t>kilogram</t>
        </is>
      </c>
      <c r="E306" t="inlineStr">
        <is>
          <t>air::urban air close to ground</t>
        </is>
      </c>
      <c r="F306" t="inlineStr">
        <is>
          <t>biosphere</t>
        </is>
      </c>
      <c r="G306" t="inlineStr">
        <is>
          <t>SO2</t>
        </is>
      </c>
    </row>
    <row r="307">
      <c r="A307" t="inlineStr">
        <is>
          <t>Benzene</t>
        </is>
      </c>
      <c r="B307" s="7" t="n">
        <v>3.742660216908465e-05</v>
      </c>
      <c r="D307" t="inlineStr">
        <is>
          <t>kilogram</t>
        </is>
      </c>
      <c r="E307" t="inlineStr">
        <is>
          <t>air::urban air close to ground</t>
        </is>
      </c>
      <c r="F307" t="inlineStr">
        <is>
          <t>biosphere</t>
        </is>
      </c>
      <c r="G307" t="inlineStr">
        <is>
          <t>Benzene</t>
        </is>
      </c>
    </row>
    <row r="308">
      <c r="A308" t="inlineStr">
        <is>
          <t>Methane, fossil</t>
        </is>
      </c>
      <c r="B308" s="7" t="n">
        <v>2.85952813181819e-05</v>
      </c>
      <c r="D308" t="inlineStr">
        <is>
          <t>kilogram</t>
        </is>
      </c>
      <c r="E308" t="inlineStr">
        <is>
          <t>air::urban air close to ground</t>
        </is>
      </c>
      <c r="F308" t="inlineStr">
        <is>
          <t>biosphere</t>
        </is>
      </c>
      <c r="G308" t="inlineStr">
        <is>
          <t>CH4</t>
        </is>
      </c>
    </row>
    <row r="309">
      <c r="A309" t="inlineStr">
        <is>
          <t>Carbon monoxide, fossil</t>
        </is>
      </c>
      <c r="B309" s="7" t="n">
        <v>0.003350090532118221</v>
      </c>
      <c r="D309" t="inlineStr">
        <is>
          <t>kilogram</t>
        </is>
      </c>
      <c r="E309" t="inlineStr">
        <is>
          <t>air::urban air close to ground</t>
        </is>
      </c>
      <c r="F309" t="inlineStr">
        <is>
          <t>biosphere</t>
        </is>
      </c>
      <c r="G309" t="inlineStr">
        <is>
          <t>CO</t>
        </is>
      </c>
    </row>
    <row r="310">
      <c r="A310" t="inlineStr">
        <is>
          <t>Dinitrogen monoxide</t>
        </is>
      </c>
      <c r="B310" s="7" t="n">
        <v>1.450800675706845e-06</v>
      </c>
      <c r="D310" t="inlineStr">
        <is>
          <t>kilogram</t>
        </is>
      </c>
      <c r="E310" t="inlineStr">
        <is>
          <t>air::urban air close to ground</t>
        </is>
      </c>
      <c r="F310" t="inlineStr">
        <is>
          <t>biosphere</t>
        </is>
      </c>
      <c r="G310" t="inlineStr">
        <is>
          <t>N2O</t>
        </is>
      </c>
    </row>
    <row r="311">
      <c r="A311" t="inlineStr">
        <is>
          <t>Ammonia</t>
        </is>
      </c>
      <c r="B311" s="7" t="n">
        <v>1.450800675706845e-06</v>
      </c>
      <c r="D311" t="inlineStr">
        <is>
          <t>kilogram</t>
        </is>
      </c>
      <c r="E311" t="inlineStr">
        <is>
          <t>air::urban air close to ground</t>
        </is>
      </c>
      <c r="F311" t="inlineStr">
        <is>
          <t>biosphere</t>
        </is>
      </c>
      <c r="G311" t="inlineStr">
        <is>
          <t>NH3</t>
        </is>
      </c>
    </row>
    <row r="312">
      <c r="A312" t="inlineStr">
        <is>
          <t>Nitrogen oxides</t>
        </is>
      </c>
      <c r="B312" s="7" t="n">
        <v>0.0001087965710858233</v>
      </c>
      <c r="D312" t="inlineStr">
        <is>
          <t>kilogram</t>
        </is>
      </c>
      <c r="E312" t="inlineStr">
        <is>
          <t>air::urban air close to ground</t>
        </is>
      </c>
      <c r="F312" t="inlineStr">
        <is>
          <t>biosphere</t>
        </is>
      </c>
      <c r="G312" t="inlineStr">
        <is>
          <t>NOx</t>
        </is>
      </c>
    </row>
    <row r="313">
      <c r="A313" t="inlineStr">
        <is>
          <t>Particulates, &lt; 2.5 um</t>
        </is>
      </c>
      <c r="B313" s="7" t="n">
        <v>3.254145915610453e-06</v>
      </c>
      <c r="D313" t="inlineStr">
        <is>
          <t>kilogram</t>
        </is>
      </c>
      <c r="E313" t="inlineStr">
        <is>
          <t>air::urban air close to ground</t>
        </is>
      </c>
      <c r="F313" t="inlineStr">
        <is>
          <t>biosphere</t>
        </is>
      </c>
      <c r="G313" t="inlineStr">
        <is>
          <t>PM2.5</t>
        </is>
      </c>
    </row>
    <row r="314">
      <c r="A314" t="inlineStr">
        <is>
          <t>NMVOC, non-methane volatile organic compounds, unspecified origin</t>
        </is>
      </c>
      <c r="B314" s="7" t="n">
        <v>0.0003018145244437416</v>
      </c>
      <c r="D314" t="inlineStr">
        <is>
          <t>kilogram</t>
        </is>
      </c>
      <c r="E314" t="inlineStr">
        <is>
          <t>air::urban air close to ground</t>
        </is>
      </c>
      <c r="F314" t="inlineStr">
        <is>
          <t>biosphere</t>
        </is>
      </c>
      <c r="G314" t="inlineStr">
        <is>
          <t>NMVOC</t>
        </is>
      </c>
    </row>
    <row r="315">
      <c r="A315" t="inlineStr">
        <is>
          <t>Ethane</t>
        </is>
      </c>
      <c r="B315" s="7" t="n">
        <v>2.128179339026382e-05</v>
      </c>
      <c r="D315" t="inlineStr">
        <is>
          <t>kilogram</t>
        </is>
      </c>
      <c r="E315" t="inlineStr">
        <is>
          <t>air::urban air close to ground</t>
        </is>
      </c>
      <c r="F315" t="inlineStr">
        <is>
          <t>biosphere</t>
        </is>
      </c>
      <c r="G315" t="inlineStr">
        <is>
          <t>Ethane</t>
        </is>
      </c>
    </row>
    <row r="316">
      <c r="A316" t="inlineStr">
        <is>
          <t>Propane</t>
        </is>
      </c>
      <c r="B316" s="7" t="n">
        <v>4.336415581088241e-06</v>
      </c>
      <c r="D316" t="inlineStr">
        <is>
          <t>kilogram</t>
        </is>
      </c>
      <c r="E316" t="inlineStr">
        <is>
          <t>air::urban air close to ground</t>
        </is>
      </c>
      <c r="F316" t="inlineStr">
        <is>
          <t>biosphere</t>
        </is>
      </c>
      <c r="G316" t="inlineStr">
        <is>
          <t>Propane</t>
        </is>
      </c>
    </row>
    <row r="317">
      <c r="A317" t="inlineStr">
        <is>
          <t>Butane</t>
        </is>
      </c>
      <c r="B317" s="7" t="n">
        <v>3.495818099215751e-05</v>
      </c>
      <c r="D317" t="inlineStr">
        <is>
          <t>kilogram</t>
        </is>
      </c>
      <c r="E317" t="inlineStr">
        <is>
          <t>air::urban air close to ground</t>
        </is>
      </c>
      <c r="F317" t="inlineStr">
        <is>
          <t>biosphere</t>
        </is>
      </c>
      <c r="G317" t="inlineStr">
        <is>
          <t>Butane</t>
        </is>
      </c>
    </row>
    <row r="318">
      <c r="A318" t="inlineStr">
        <is>
          <t>Pentane</t>
        </is>
      </c>
      <c r="B318" s="7" t="n">
        <v>1.434352846052264e-05</v>
      </c>
      <c r="D318" t="inlineStr">
        <is>
          <t>kilogram</t>
        </is>
      </c>
      <c r="E318" t="inlineStr">
        <is>
          <t>air::urban air close to ground</t>
        </is>
      </c>
      <c r="F318" t="inlineStr">
        <is>
          <t>biosphere</t>
        </is>
      </c>
      <c r="G318" t="inlineStr">
        <is>
          <t>Pentane</t>
        </is>
      </c>
    </row>
    <row r="319">
      <c r="A319" t="inlineStr">
        <is>
          <t>Hexane</t>
        </is>
      </c>
      <c r="B319" s="7" t="n">
        <v>1.074096782392626e-05</v>
      </c>
      <c r="D319" t="inlineStr">
        <is>
          <t>kilogram</t>
        </is>
      </c>
      <c r="E319" t="inlineStr">
        <is>
          <t>air::urban air close to ground</t>
        </is>
      </c>
      <c r="F319" t="inlineStr">
        <is>
          <t>biosphere</t>
        </is>
      </c>
      <c r="G319" t="inlineStr">
        <is>
          <t>Hexane</t>
        </is>
      </c>
    </row>
    <row r="320">
      <c r="A320" t="inlineStr">
        <is>
          <t>Cyclohexane</t>
        </is>
      </c>
      <c r="B320" s="7" t="n">
        <v>7.605405788370145e-06</v>
      </c>
      <c r="D320" t="inlineStr">
        <is>
          <t>kilogram</t>
        </is>
      </c>
      <c r="E320" t="inlineStr">
        <is>
          <t>air::urban air close to ground</t>
        </is>
      </c>
      <c r="F320" t="inlineStr">
        <is>
          <t>biosphere</t>
        </is>
      </c>
      <c r="G320" t="inlineStr">
        <is>
          <t>Cyclohexane</t>
        </is>
      </c>
    </row>
    <row r="321">
      <c r="A321" t="inlineStr">
        <is>
          <t>Heptane</t>
        </is>
      </c>
      <c r="B321" s="7" t="n">
        <v>4.936842353854305e-06</v>
      </c>
      <c r="D321" t="inlineStr">
        <is>
          <t>kilogram</t>
        </is>
      </c>
      <c r="E321" t="inlineStr">
        <is>
          <t>air::urban air close to ground</t>
        </is>
      </c>
      <c r="F321" t="inlineStr">
        <is>
          <t>biosphere</t>
        </is>
      </c>
      <c r="G321" t="inlineStr">
        <is>
          <t>Heptane</t>
        </is>
      </c>
    </row>
    <row r="322">
      <c r="A322" t="inlineStr">
        <is>
          <t>Ethene</t>
        </is>
      </c>
      <c r="B322" s="7" t="n">
        <v>4.870128267991408e-05</v>
      </c>
      <c r="D322" t="inlineStr">
        <is>
          <t>kilogram</t>
        </is>
      </c>
      <c r="E322" t="inlineStr">
        <is>
          <t>air::urban air close to ground</t>
        </is>
      </c>
      <c r="F322" t="inlineStr">
        <is>
          <t>biosphere</t>
        </is>
      </c>
      <c r="G322" t="inlineStr">
        <is>
          <t>Ethene</t>
        </is>
      </c>
    </row>
    <row r="323">
      <c r="A323" t="inlineStr">
        <is>
          <t>Propene</t>
        </is>
      </c>
      <c r="B323" s="7" t="n">
        <v>2.548478079962627e-05</v>
      </c>
      <c r="D323" t="inlineStr">
        <is>
          <t>kilogram</t>
        </is>
      </c>
      <c r="E323" t="inlineStr">
        <is>
          <t>air::urban air close to ground</t>
        </is>
      </c>
      <c r="F323" t="inlineStr">
        <is>
          <t>biosphere</t>
        </is>
      </c>
      <c r="G323" t="inlineStr">
        <is>
          <t>Propene</t>
        </is>
      </c>
    </row>
    <row r="324">
      <c r="A324" t="inlineStr">
        <is>
          <t>1-Pentene</t>
        </is>
      </c>
      <c r="B324" s="7" t="n">
        <v>7.338549444918561e-07</v>
      </c>
      <c r="D324" t="inlineStr">
        <is>
          <t>kilogram</t>
        </is>
      </c>
      <c r="E324" t="inlineStr">
        <is>
          <t>air::urban air close to ground</t>
        </is>
      </c>
      <c r="F324" t="inlineStr">
        <is>
          <t>biosphere</t>
        </is>
      </c>
      <c r="G324" t="inlineStr">
        <is>
          <t>1-Pentene</t>
        </is>
      </c>
    </row>
    <row r="325">
      <c r="A325" t="inlineStr">
        <is>
          <t>Toluene</t>
        </is>
      </c>
      <c r="B325" s="7" t="n">
        <v>7.325206627745981e-05</v>
      </c>
      <c r="D325" t="inlineStr">
        <is>
          <t>kilogram</t>
        </is>
      </c>
      <c r="E325" t="inlineStr">
        <is>
          <t>air::urban air close to ground</t>
        </is>
      </c>
      <c r="F325" t="inlineStr">
        <is>
          <t>biosphere</t>
        </is>
      </c>
      <c r="G325" t="inlineStr">
        <is>
          <t>Toluene</t>
        </is>
      </c>
    </row>
    <row r="326">
      <c r="A326" t="inlineStr">
        <is>
          <t>m-Xylene</t>
        </is>
      </c>
      <c r="B326" s="7" t="n">
        <v>3.622574862355253e-05</v>
      </c>
      <c r="D326" t="inlineStr">
        <is>
          <t>kilogram</t>
        </is>
      </c>
      <c r="E326" t="inlineStr">
        <is>
          <t>air::urban air close to ground</t>
        </is>
      </c>
      <c r="F326" t="inlineStr">
        <is>
          <t>biosphere</t>
        </is>
      </c>
      <c r="G326" t="inlineStr">
        <is>
          <t>m-Xylene</t>
        </is>
      </c>
    </row>
    <row r="327">
      <c r="A327" t="inlineStr">
        <is>
          <t>o-Xylene</t>
        </is>
      </c>
      <c r="B327" s="7" t="n">
        <v>1.50773834050145e-05</v>
      </c>
      <c r="D327" t="inlineStr">
        <is>
          <t>kilogram</t>
        </is>
      </c>
      <c r="E327" t="inlineStr">
        <is>
          <t>air::urban air close to ground</t>
        </is>
      </c>
      <c r="F327" t="inlineStr">
        <is>
          <t>biosphere</t>
        </is>
      </c>
      <c r="G327" t="inlineStr">
        <is>
          <t>o-Xylene</t>
        </is>
      </c>
    </row>
    <row r="328">
      <c r="A328" t="inlineStr">
        <is>
          <t>Formaldehyde</t>
        </is>
      </c>
      <c r="B328" s="7" t="n">
        <v>1.134139459669232e-05</v>
      </c>
      <c r="D328" t="inlineStr">
        <is>
          <t>kilogram</t>
        </is>
      </c>
      <c r="E328" t="inlineStr">
        <is>
          <t>air::urban air close to ground</t>
        </is>
      </c>
      <c r="F328" t="inlineStr">
        <is>
          <t>biosphere</t>
        </is>
      </c>
      <c r="G328" t="inlineStr">
        <is>
          <t>Formaldehyde</t>
        </is>
      </c>
    </row>
    <row r="329">
      <c r="A329" t="inlineStr">
        <is>
          <t>Acetaldehyde</t>
        </is>
      </c>
      <c r="B329" s="7" t="n">
        <v>5.0035564397172e-06</v>
      </c>
      <c r="D329" t="inlineStr">
        <is>
          <t>kilogram</t>
        </is>
      </c>
      <c r="E329" t="inlineStr">
        <is>
          <t>air::urban air close to ground</t>
        </is>
      </c>
      <c r="F329" t="inlineStr">
        <is>
          <t>biosphere</t>
        </is>
      </c>
      <c r="G329" t="inlineStr">
        <is>
          <t>Acetaldehyde</t>
        </is>
      </c>
    </row>
    <row r="330">
      <c r="A330" t="inlineStr">
        <is>
          <t>Benzaldehyde</t>
        </is>
      </c>
      <c r="B330" s="7" t="n">
        <v>1.467709888983712e-06</v>
      </c>
      <c r="D330" t="inlineStr">
        <is>
          <t>kilogram</t>
        </is>
      </c>
      <c r="E330" t="inlineStr">
        <is>
          <t>air::urban air close to ground</t>
        </is>
      </c>
      <c r="F330" t="inlineStr">
        <is>
          <t>biosphere</t>
        </is>
      </c>
      <c r="G330" t="inlineStr">
        <is>
          <t>Benzaldehyde</t>
        </is>
      </c>
    </row>
    <row r="331">
      <c r="A331" t="inlineStr">
        <is>
          <t>Acetone</t>
        </is>
      </c>
      <c r="B331" s="7" t="n">
        <v>4.069559237636656e-06</v>
      </c>
      <c r="D331" t="inlineStr">
        <is>
          <t>kilogram</t>
        </is>
      </c>
      <c r="E331" t="inlineStr">
        <is>
          <t>air::urban air close to ground</t>
        </is>
      </c>
      <c r="F331" t="inlineStr">
        <is>
          <t>biosphere</t>
        </is>
      </c>
      <c r="G331" t="inlineStr">
        <is>
          <t>Acetone</t>
        </is>
      </c>
    </row>
    <row r="332">
      <c r="A332" t="inlineStr">
        <is>
          <t>Methyl ethyl ketone</t>
        </is>
      </c>
      <c r="B332" s="7" t="n">
        <v>0</v>
      </c>
      <c r="D332" t="inlineStr">
        <is>
          <t>kilogram</t>
        </is>
      </c>
      <c r="E332" t="inlineStr">
        <is>
          <t>air::urban air close to ground</t>
        </is>
      </c>
      <c r="F332" t="inlineStr">
        <is>
          <t>biosphere</t>
        </is>
      </c>
      <c r="G332" t="inlineStr">
        <is>
          <t>Methyl ethyl ketone</t>
        </is>
      </c>
    </row>
    <row r="333">
      <c r="A333" t="inlineStr">
        <is>
          <t>Acrolein</t>
        </is>
      </c>
      <c r="B333" s="7" t="n">
        <v>1.267567631395024e-06</v>
      </c>
      <c r="D333" t="inlineStr">
        <is>
          <t>kilogram</t>
        </is>
      </c>
      <c r="E333" t="inlineStr">
        <is>
          <t>air::urban air close to ground</t>
        </is>
      </c>
      <c r="F333" t="inlineStr">
        <is>
          <t>biosphere</t>
        </is>
      </c>
      <c r="G333" t="inlineStr">
        <is>
          <t>Acrolein</t>
        </is>
      </c>
    </row>
    <row r="334">
      <c r="A334" t="inlineStr">
        <is>
          <t>Styrene</t>
        </is>
      </c>
      <c r="B334" s="7" t="n">
        <v>6.738122672152497e-06</v>
      </c>
      <c r="D334" t="inlineStr">
        <is>
          <t>kilogram</t>
        </is>
      </c>
      <c r="E334" t="inlineStr">
        <is>
          <t>air::urban air close to ground</t>
        </is>
      </c>
      <c r="F334" t="inlineStr">
        <is>
          <t>biosphere</t>
        </is>
      </c>
      <c r="G334" t="inlineStr">
        <is>
          <t>Styrene</t>
        </is>
      </c>
    </row>
    <row r="335">
      <c r="A335" t="inlineStr">
        <is>
          <t>PAH, polycyclic aromatic hydrocarbons</t>
        </is>
      </c>
      <c r="B335" s="7" t="n">
        <v>8.492892870727696e-10</v>
      </c>
      <c r="D335" t="inlineStr">
        <is>
          <t>kilogram</t>
        </is>
      </c>
      <c r="E335" t="inlineStr">
        <is>
          <t>air::urban air close to ground</t>
        </is>
      </c>
      <c r="F335" t="inlineStr">
        <is>
          <t>biosphere</t>
        </is>
      </c>
      <c r="G335" t="inlineStr">
        <is>
          <t>PAHs</t>
        </is>
      </c>
    </row>
    <row r="336">
      <c r="A336" t="inlineStr">
        <is>
          <t>Arsenic</t>
        </is>
      </c>
      <c r="B336" s="7" t="n">
        <v>7.321459371316979e-12</v>
      </c>
      <c r="D336" t="inlineStr">
        <is>
          <t>kilogram</t>
        </is>
      </c>
      <c r="E336" t="inlineStr">
        <is>
          <t>air::urban air close to ground</t>
        </is>
      </c>
      <c r="F336" t="inlineStr">
        <is>
          <t>biosphere</t>
        </is>
      </c>
      <c r="G336" t="inlineStr">
        <is>
          <t>Arsenic</t>
        </is>
      </c>
    </row>
    <row r="337">
      <c r="A337" t="inlineStr">
        <is>
          <t>Selenium</t>
        </is>
      </c>
      <c r="B337" s="7" t="n">
        <v>4.88097291421132e-12</v>
      </c>
      <c r="D337" t="inlineStr">
        <is>
          <t>kilogram</t>
        </is>
      </c>
      <c r="E337" t="inlineStr">
        <is>
          <t>air::urban air close to ground</t>
        </is>
      </c>
      <c r="F337" t="inlineStr">
        <is>
          <t>biosphere</t>
        </is>
      </c>
      <c r="G337" t="inlineStr">
        <is>
          <t>Selenium</t>
        </is>
      </c>
    </row>
    <row r="338">
      <c r="A338" t="inlineStr">
        <is>
          <t>Zinc</t>
        </is>
      </c>
      <c r="B338" s="7" t="n">
        <v>5.271450747348225e-08</v>
      </c>
      <c r="D338" t="inlineStr">
        <is>
          <t>kilogram</t>
        </is>
      </c>
      <c r="E338" t="inlineStr">
        <is>
          <t>air::urban air close to ground</t>
        </is>
      </c>
      <c r="F338" t="inlineStr">
        <is>
          <t>biosphere</t>
        </is>
      </c>
      <c r="G338" t="inlineStr">
        <is>
          <t>Zinc</t>
        </is>
      </c>
    </row>
    <row r="339">
      <c r="A339" t="inlineStr">
        <is>
          <t>Copper</t>
        </is>
      </c>
      <c r="B339" s="7" t="n">
        <v>1.025004311984377e-09</v>
      </c>
      <c r="D339" t="inlineStr">
        <is>
          <t>kilogram</t>
        </is>
      </c>
      <c r="E339" t="inlineStr">
        <is>
          <t>air::urban air close to ground</t>
        </is>
      </c>
      <c r="F339" t="inlineStr">
        <is>
          <t>biosphere</t>
        </is>
      </c>
      <c r="G339" t="inlineStr">
        <is>
          <t>Copper</t>
        </is>
      </c>
    </row>
    <row r="340">
      <c r="A340" t="inlineStr">
        <is>
          <t>Nickel</t>
        </is>
      </c>
      <c r="B340" s="7" t="n">
        <v>3.172632394237357e-10</v>
      </c>
      <c r="D340" t="inlineStr">
        <is>
          <t>kilogram</t>
        </is>
      </c>
      <c r="E340" t="inlineStr">
        <is>
          <t>air::urban air close to ground</t>
        </is>
      </c>
      <c r="F340" t="inlineStr">
        <is>
          <t>biosphere</t>
        </is>
      </c>
      <c r="G340" t="inlineStr">
        <is>
          <t>Nickel</t>
        </is>
      </c>
    </row>
    <row r="341">
      <c r="A341" t="inlineStr">
        <is>
          <t>Chromium</t>
        </is>
      </c>
      <c r="B341" s="7" t="n">
        <v>3.904778331369056e-10</v>
      </c>
      <c r="D341" t="inlineStr">
        <is>
          <t>kilogram</t>
        </is>
      </c>
      <c r="E341" t="inlineStr">
        <is>
          <t>air::urban air close to ground</t>
        </is>
      </c>
      <c r="F341" t="inlineStr">
        <is>
          <t>biosphere</t>
        </is>
      </c>
      <c r="G341" t="inlineStr">
        <is>
          <t>Chromium</t>
        </is>
      </c>
    </row>
    <row r="342">
      <c r="A342" t="inlineStr">
        <is>
          <t>Chromium VI</t>
        </is>
      </c>
      <c r="B342" s="7" t="n">
        <v>7.809556662738111e-13</v>
      </c>
      <c r="D342" t="inlineStr">
        <is>
          <t>kilogram</t>
        </is>
      </c>
      <c r="E342" t="inlineStr">
        <is>
          <t>air::urban air close to ground</t>
        </is>
      </c>
      <c r="F342" t="inlineStr">
        <is>
          <t>biosphere</t>
        </is>
      </c>
      <c r="G342" t="inlineStr">
        <is>
          <t>Chromium VI</t>
        </is>
      </c>
    </row>
    <row r="343">
      <c r="A343" t="inlineStr">
        <is>
          <t>Mercury</t>
        </is>
      </c>
      <c r="B343" s="7" t="n">
        <v>2.123223217681924e-10</v>
      </c>
      <c r="D343" t="inlineStr">
        <is>
          <t>kilogram</t>
        </is>
      </c>
      <c r="E343" t="inlineStr">
        <is>
          <t>air::urban air close to ground</t>
        </is>
      </c>
      <c r="F343" t="inlineStr">
        <is>
          <t>biosphere</t>
        </is>
      </c>
      <c r="G343" t="inlineStr">
        <is>
          <t>Mercury</t>
        </is>
      </c>
    </row>
    <row r="344">
      <c r="A344" t="inlineStr">
        <is>
          <t>Cadmium</t>
        </is>
      </c>
      <c r="B344" s="7" t="n">
        <v>2.635725373674113e-10</v>
      </c>
      <c r="D344" t="inlineStr">
        <is>
          <t>kilogram</t>
        </is>
      </c>
      <c r="E344" t="inlineStr">
        <is>
          <t>air::urban air close to ground</t>
        </is>
      </c>
      <c r="F344" t="inlineStr">
        <is>
          <t>biosphere</t>
        </is>
      </c>
      <c r="G344" t="inlineStr">
        <is>
          <t>Cadmium</t>
        </is>
      </c>
    </row>
    <row r="345">
      <c r="A345" t="inlineStr">
        <is>
          <t>treatment of road wear emissions, passenger car</t>
        </is>
      </c>
      <c r="B345" s="7" t="n">
        <v>-7.537227873795021e-06</v>
      </c>
      <c r="C345" t="inlineStr">
        <is>
          <t>RER</t>
        </is>
      </c>
      <c r="D345" t="inlineStr">
        <is>
          <t>kilogram</t>
        </is>
      </c>
      <c r="F345" t="inlineStr">
        <is>
          <t>technosphere</t>
        </is>
      </c>
      <c r="G345" t="inlineStr">
        <is>
          <t>Road wear [kg/km]</t>
        </is>
      </c>
      <c r="H345" t="inlineStr">
        <is>
          <t>road wear emissions, passenger car</t>
        </is>
      </c>
    </row>
    <row r="346">
      <c r="A346" t="inlineStr">
        <is>
          <t>treatment of tyre wear emissions, passenger car</t>
        </is>
      </c>
      <c r="B346" s="7" t="n">
        <v>-5.813627257967023e-06</v>
      </c>
      <c r="C346" t="inlineStr">
        <is>
          <t>RER</t>
        </is>
      </c>
      <c r="D346" t="inlineStr">
        <is>
          <t>kilogram</t>
        </is>
      </c>
      <c r="F346" t="inlineStr">
        <is>
          <t>technosphere</t>
        </is>
      </c>
      <c r="G346" t="inlineStr">
        <is>
          <t>Tire wear [kg/km]</t>
        </is>
      </c>
      <c r="H346" t="inlineStr">
        <is>
          <t>tyre wear emissions, passenger car</t>
        </is>
      </c>
    </row>
    <row r="347">
      <c r="A347" t="inlineStr">
        <is>
          <t>treatment of brake wear emissions, passenger car</t>
        </is>
      </c>
      <c r="B347" s="7" t="n">
        <v>-4.150865962361262e-06</v>
      </c>
      <c r="C347" t="inlineStr">
        <is>
          <t>RER</t>
        </is>
      </c>
      <c r="D347" t="inlineStr">
        <is>
          <t>kilogram</t>
        </is>
      </c>
      <c r="F347" t="inlineStr">
        <is>
          <t>technosphere</t>
        </is>
      </c>
      <c r="G347" t="inlineStr">
        <is>
          <t>Brake wear [kg/km]</t>
        </is>
      </c>
      <c r="H347" t="inlineStr">
        <is>
          <t>brake wear emissions, passenger car</t>
        </is>
      </c>
    </row>
    <row r="348">
      <c r="B348" s="6" t="n"/>
    </row>
    <row r="349"/>
    <row r="350"/>
    <row r="351">
      <c r="B351" s="11" t="n"/>
    </row>
    <row r="352">
      <c r="B352" s="12" t="n"/>
    </row>
    <row r="353">
      <c r="B353" s="11" t="n"/>
    </row>
    <row r="354"/>
    <row r="355" ht="16" customHeight="1">
      <c r="A355" s="10" t="n"/>
      <c r="B355" s="8" t="n"/>
    </row>
    <row r="356"/>
    <row r="357"/>
    <row r="358"/>
    <row r="359"/>
    <row r="360"/>
    <row r="361"/>
    <row r="362"/>
    <row r="363"/>
    <row r="364"/>
    <row r="365"/>
    <row r="366"/>
    <row r="367"/>
    <row r="368"/>
    <row r="369"/>
    <row r="370"/>
    <row r="371"/>
    <row r="372"/>
    <row r="373"/>
    <row r="374"/>
    <row r="375"/>
    <row r="376"/>
    <row r="377"/>
    <row r="378">
      <c r="B378" s="6" t="n"/>
    </row>
    <row r="379"/>
    <row r="380" ht="16" customHeight="1">
      <c r="A380" s="10" t="n"/>
    </row>
    <row r="381"/>
    <row r="382"/>
    <row r="383"/>
    <row r="384">
      <c r="B384" s="11" t="n"/>
    </row>
    <row r="385">
      <c r="B385" s="12" t="n"/>
    </row>
    <row r="386">
      <c r="B386" s="11" t="n"/>
    </row>
    <row r="387"/>
    <row r="388" ht="16" customHeight="1">
      <c r="A388" s="10" t="n"/>
      <c r="B388" s="8" t="n"/>
    </row>
    <row r="389"/>
    <row r="390"/>
    <row r="391"/>
    <row r="392"/>
    <row r="393"/>
    <row r="394"/>
    <row r="395"/>
    <row r="396"/>
    <row r="397"/>
    <row r="398"/>
    <row r="399"/>
    <row r="400"/>
    <row r="401"/>
    <row r="402"/>
    <row r="403"/>
    <row r="404"/>
    <row r="405"/>
    <row r="406"/>
    <row r="407"/>
    <row r="408"/>
    <row r="409"/>
    <row r="410"/>
    <row r="411">
      <c r="B411" s="6" t="n"/>
    </row>
    <row r="412"/>
    <row r="413" ht="16" customHeight="1">
      <c r="A413" s="10" t="n"/>
    </row>
    <row r="414"/>
    <row r="415"/>
    <row r="416"/>
    <row r="417">
      <c r="B417" s="11" t="n"/>
    </row>
    <row r="418">
      <c r="B418" s="12" t="n"/>
    </row>
    <row r="419">
      <c r="B419" s="11" t="n"/>
    </row>
  </sheetData>
  <pageMargins left="0.7" right="0.7" top="0.75" bottom="0.75" header="0.3" footer="0.3"/>
  <pageSetup orientation="portrait" horizontalDpi="300" verticalDpi="300"/>
</worksheet>
</file>

<file path=xl/worksheets/sheet19.xml><?xml version="1.0" encoding="utf-8"?>
<worksheet xmlns="http://schemas.openxmlformats.org/spreadsheetml/2006/main">
  <sheetPr>
    <outlinePr summaryBelow="1" summaryRight="1"/>
    <pageSetUpPr/>
  </sheetPr>
  <dimension ref="A1:H83"/>
  <sheetViews>
    <sheetView topLeftCell="A10" zoomScale="85" zoomScaleNormal="85" workbookViewId="0">
      <selection activeCell="A36" sqref="A36"/>
    </sheetView>
  </sheetViews>
  <sheetFormatPr baseColWidth="10" defaultColWidth="8.6640625" defaultRowHeight="15"/>
  <cols>
    <col width="48.33203125" bestFit="1" customWidth="1" min="1" max="1"/>
    <col width="15.6640625" bestFit="1" customWidth="1" min="2" max="2"/>
    <col width="9.6640625" bestFit="1" customWidth="1" min="5" max="5"/>
    <col width="12.5" bestFit="1" customWidth="1" min="6" max="6"/>
    <col width="32" bestFit="1" customWidth="1" min="7" max="7"/>
  </cols>
  <sheetData>
    <row r="1" ht="16" customHeight="1">
      <c r="A1" s="10" t="inlineStr">
        <is>
          <t>Activity</t>
        </is>
      </c>
      <c r="B1" s="8" t="inlineStr">
        <is>
          <t>Scooter, battery electric, &lt;4kW</t>
        </is>
      </c>
    </row>
    <row r="2">
      <c r="A2" t="inlineStr">
        <is>
          <t>location</t>
        </is>
      </c>
      <c r="B2" t="inlineStr">
        <is>
          <t>CH</t>
        </is>
      </c>
    </row>
    <row r="3">
      <c r="A3" t="inlineStr">
        <is>
          <t>vehicle</t>
        </is>
      </c>
      <c r="B3" t="inlineStr">
        <is>
          <t>Scooter, battery electric, &lt;4kW</t>
        </is>
      </c>
    </row>
    <row r="4">
      <c r="A4" t="inlineStr">
        <is>
          <t>size</t>
        </is>
      </c>
    </row>
    <row r="5">
      <c r="A5" t="inlineStr">
        <is>
          <t>year</t>
        </is>
      </c>
      <c r="B5" t="n">
        <v>2020</v>
      </c>
    </row>
    <row r="6">
      <c r="A6" t="inlineStr">
        <is>
          <t>full name</t>
        </is>
      </c>
      <c r="B6" t="inlineStr">
        <is>
          <t>Scooter, battery electric, &lt;4kW - 2020 - NMC - CH</t>
        </is>
      </c>
    </row>
    <row r="7">
      <c r="A7" t="inlineStr">
        <is>
          <t>reference product</t>
        </is>
      </c>
      <c r="B7" t="inlineStr">
        <is>
          <t>Scooter, battery electric, &lt;4kW</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25000</v>
      </c>
    </row>
    <row r="12">
      <c r="A12" t="inlineStr">
        <is>
          <t>passengers</t>
        </is>
      </c>
      <c r="B12" t="n">
        <v>1</v>
      </c>
    </row>
    <row r="13">
      <c r="A13" t="inlineStr">
        <is>
          <t>service</t>
        </is>
      </c>
      <c r="B13" t="n">
        <v>1</v>
      </c>
    </row>
    <row r="14">
      <c r="A14" t="inlineStr">
        <is>
          <t>battery replacement</t>
        </is>
      </c>
      <c r="B14" t="n">
        <v>1</v>
      </c>
    </row>
    <row r="15">
      <c r="A15" t="inlineStr">
        <is>
          <t>annual kilometers</t>
        </is>
      </c>
      <c r="B15" t="n">
        <v>1570</v>
      </c>
    </row>
    <row r="16">
      <c r="A16" t="inlineStr">
        <is>
          <t>curb mass</t>
        </is>
      </c>
      <c r="B16" s="2" t="n">
        <v>100.95</v>
      </c>
    </row>
    <row r="17">
      <c r="A17" t="inlineStr">
        <is>
          <t>power</t>
        </is>
      </c>
      <c r="B17" t="n">
        <v>2.6</v>
      </c>
    </row>
    <row r="18">
      <c r="A18" t="inlineStr">
        <is>
          <t>battery type</t>
        </is>
      </c>
      <c r="B18" s="19" t="inlineStr">
        <is>
          <t>NMC</t>
        </is>
      </c>
    </row>
    <row r="19">
      <c r="A19" t="inlineStr">
        <is>
          <t>battery mass</t>
        </is>
      </c>
      <c r="B19" t="n">
        <v>14.95</v>
      </c>
    </row>
    <row r="20">
      <c r="A20" t="inlineStr">
        <is>
          <t>electricity, low voltage</t>
        </is>
      </c>
      <c r="B20" t="n">
        <v>2.3</v>
      </c>
    </row>
    <row r="21">
      <c r="A21" t="inlineStr">
        <is>
          <t>battery capacity available</t>
        </is>
      </c>
      <c r="B21" t="n">
        <v>1.84</v>
      </c>
    </row>
    <row r="22">
      <c r="A22" t="inlineStr">
        <is>
          <t>tank capacity</t>
        </is>
      </c>
      <c r="B22" s="2" t="n">
        <v>0</v>
      </c>
    </row>
    <row r="23">
      <c r="A23" t="inlineStr">
        <is>
          <t>fuel mass</t>
        </is>
      </c>
      <c r="B23" t="n">
        <v>0</v>
      </c>
    </row>
    <row r="24">
      <c r="A24" t="inlineStr">
        <is>
          <t>range</t>
        </is>
      </c>
      <c r="B24" s="2" t="n">
        <v>49.64173598553344</v>
      </c>
    </row>
    <row r="25">
      <c r="A25" t="inlineStr">
        <is>
          <t>emission standard</t>
        </is>
      </c>
      <c r="B25" t="inlineStr">
        <is>
          <t>None</t>
        </is>
      </c>
    </row>
    <row r="26">
      <c r="A26" t="inlineStr">
        <is>
          <t>Glider lightweighting</t>
        </is>
      </c>
      <c r="B26" s="6" t="n">
        <v>0</v>
      </c>
    </row>
    <row r="27">
      <c r="A27" t="inlineStr">
        <is>
          <t>origin</t>
        </is>
      </c>
      <c r="B27" s="6" t="inlineStr">
        <is>
          <t>China</t>
        </is>
      </c>
    </row>
    <row r="28">
      <c r="A28" t="inlineStr">
        <is>
          <t>distance by ship [km]</t>
        </is>
      </c>
      <c r="B28" s="2" t="n">
        <v>15900</v>
      </c>
    </row>
    <row r="29">
      <c r="A29" t="inlineStr">
        <is>
          <t>distance by truck [km]</t>
        </is>
      </c>
      <c r="B29" s="2" t="n">
        <v>1000</v>
      </c>
    </row>
    <row r="30">
      <c r="A30" t="inlineStr">
        <is>
          <t>comment</t>
        </is>
      </c>
      <c r="B30" t="inlineStr">
        <is>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ht="16" customHeight="1">
      <c r="A31" s="10" t="inlineStr">
        <is>
          <t>Exchanges</t>
        </is>
      </c>
    </row>
    <row r="32">
      <c r="A32" t="inlineStr">
        <is>
          <t>name</t>
        </is>
      </c>
      <c r="B32" t="inlineStr">
        <is>
          <t>amount</t>
        </is>
      </c>
      <c r="C32" t="inlineStr">
        <is>
          <t>location</t>
        </is>
      </c>
      <c r="D32" t="inlineStr">
        <is>
          <t>unit</t>
        </is>
      </c>
      <c r="E32" t="inlineStr">
        <is>
          <t>categories</t>
        </is>
      </c>
      <c r="F32" t="inlineStr">
        <is>
          <t>type</t>
        </is>
      </c>
      <c r="G32" t="inlineStr">
        <is>
          <t>comment</t>
        </is>
      </c>
      <c r="H32" t="inlineStr">
        <is>
          <t>reference product</t>
        </is>
      </c>
    </row>
    <row r="33">
      <c r="A33" t="inlineStr">
        <is>
          <t>Scooter, battery electric, &lt;4kW</t>
        </is>
      </c>
      <c r="B33" t="n">
        <v>1</v>
      </c>
      <c r="C33" t="inlineStr">
        <is>
          <t>CH</t>
        </is>
      </c>
      <c r="D33" t="inlineStr">
        <is>
          <t>unit</t>
        </is>
      </c>
      <c r="F33" t="inlineStr">
        <is>
          <t>production</t>
        </is>
      </c>
      <c r="H33" t="inlineStr">
        <is>
          <t>Scooter, battery electric, &lt;4kW</t>
        </is>
      </c>
    </row>
    <row r="34">
      <c r="A34" t="inlineStr">
        <is>
          <t>market for glider, for electric scooter</t>
        </is>
      </c>
      <c r="B34" s="3" t="n">
        <v>73</v>
      </c>
      <c r="C34" t="inlineStr">
        <is>
          <t>GLO</t>
        </is>
      </c>
      <c r="D34" t="inlineStr">
        <is>
          <t>kilogram</t>
        </is>
      </c>
      <c r="F34" t="inlineStr">
        <is>
          <t>technosphere</t>
        </is>
      </c>
      <c r="G34" t="inlineStr">
        <is>
          <t>Glider base mass [kg]</t>
        </is>
      </c>
      <c r="H34" t="inlineStr">
        <is>
          <t>glider, for electric scooter</t>
        </is>
      </c>
    </row>
    <row r="35">
      <c r="A35" t="inlineStr">
        <is>
          <t>market for glider, for electric scooter</t>
        </is>
      </c>
      <c r="B35" s="3" t="n">
        <v>5</v>
      </c>
      <c r="C35" t="inlineStr">
        <is>
          <t>GLO</t>
        </is>
      </c>
      <c r="D35" t="inlineStr">
        <is>
          <t>kilogram</t>
        </is>
      </c>
      <c r="F35" t="inlineStr">
        <is>
          <t>technosphere</t>
        </is>
      </c>
      <c r="G35" t="inlineStr">
        <is>
          <t>Mechanical powertrain mass [kg]</t>
        </is>
      </c>
      <c r="H35" t="inlineStr">
        <is>
          <t>glider, for electric scooter</t>
        </is>
      </c>
    </row>
    <row r="36">
      <c r="A36" t="inlineStr">
        <is>
          <t>market for electric powertrain, for electric scooter</t>
        </is>
      </c>
      <c r="B36" s="3" t="n">
        <v>8</v>
      </c>
      <c r="C36" t="inlineStr">
        <is>
          <t>GLO</t>
        </is>
      </c>
      <c r="D36" t="inlineStr">
        <is>
          <t>kilogram</t>
        </is>
      </c>
      <c r="F36" t="inlineStr">
        <is>
          <t>technosphere</t>
        </is>
      </c>
      <c r="G36" t="inlineStr">
        <is>
          <t>Electric powertrain mass [kg]</t>
        </is>
      </c>
      <c r="H36" t="inlineStr">
        <is>
          <t>powertrain, for electric scooter</t>
        </is>
      </c>
    </row>
    <row r="37">
      <c r="A37" t="inlineStr">
        <is>
          <t>market for battery capacity (MIX scenario)</t>
        </is>
      </c>
      <c r="B37" s="3" t="n">
        <v>2.3</v>
      </c>
      <c r="C37" t="inlineStr">
        <is>
          <t>GLO</t>
        </is>
      </c>
      <c r="D37" t="inlineStr">
        <is>
          <t>kilowatt hour</t>
        </is>
      </c>
      <c r="F37" t="inlineStr">
        <is>
          <t>technosphere</t>
        </is>
      </c>
      <c r="H37" t="inlineStr">
        <is>
          <t>electricity storage capacity</t>
        </is>
      </c>
    </row>
    <row r="38">
      <c r="A38" t="inlineStr">
        <is>
          <t>charging station, 3kW</t>
        </is>
      </c>
      <c r="B38" s="3" t="n">
        <v>1</v>
      </c>
      <c r="C38" t="inlineStr">
        <is>
          <t>GLO</t>
        </is>
      </c>
      <c r="D38" t="inlineStr">
        <is>
          <t>unit</t>
        </is>
      </c>
      <c r="F38" t="inlineStr">
        <is>
          <t>technosphere</t>
        </is>
      </c>
      <c r="G38" t="inlineStr">
        <is>
          <t>Charging station per vehicle [unit]</t>
        </is>
      </c>
      <c r="H38" t="inlineStr">
        <is>
          <t>charging station, 3kW</t>
        </is>
      </c>
    </row>
    <row r="39">
      <c r="A39" t="inlineStr">
        <is>
          <t>manual dismantling of used electric scooter</t>
        </is>
      </c>
      <c r="B39" s="3" t="n">
        <v>73</v>
      </c>
      <c r="C39" t="inlineStr">
        <is>
          <t>GLO</t>
        </is>
      </c>
      <c r="D39" t="inlineStr">
        <is>
          <t>unit</t>
        </is>
      </c>
      <c r="F39" t="inlineStr">
        <is>
          <t>technosphere</t>
        </is>
      </c>
      <c r="G39" t="inlineStr">
        <is>
          <t>Discarding glider [kg]</t>
        </is>
      </c>
      <c r="H39" t="inlineStr">
        <is>
          <t>manual dismantling of electric scooter</t>
        </is>
      </c>
    </row>
    <row r="40">
      <c r="A40" t="inlineStr">
        <is>
          <t>manual dismantling of used electric scooter</t>
        </is>
      </c>
      <c r="B40" s="3" t="n">
        <v>13</v>
      </c>
      <c r="C40" t="inlineStr">
        <is>
          <t>GLO</t>
        </is>
      </c>
      <c r="D40" t="inlineStr">
        <is>
          <t>unit</t>
        </is>
      </c>
      <c r="F40" t="inlineStr">
        <is>
          <t>technosphere</t>
        </is>
      </c>
      <c r="G40" t="inlineStr">
        <is>
          <t>Discarding powertrain [kg]</t>
        </is>
      </c>
      <c r="H40" t="inlineStr">
        <is>
          <t>manual dismantling of electric scooter</t>
        </is>
      </c>
    </row>
    <row r="41">
      <c r="A41" s="13" t="inlineStr">
        <is>
          <t>market for transport, freight, lorry, unspecified</t>
        </is>
      </c>
      <c r="B41" t="n">
        <v>100.95</v>
      </c>
      <c r="C41" t="inlineStr">
        <is>
          <t>RER</t>
        </is>
      </c>
      <c r="D41" t="inlineStr">
        <is>
          <t>ton kilometer</t>
        </is>
      </c>
      <c r="F41" t="inlineStr">
        <is>
          <t>technosphere</t>
        </is>
      </c>
      <c r="H41" s="13" t="inlineStr">
        <is>
          <t>transport, freight, lorry, unspecified</t>
        </is>
      </c>
    </row>
    <row r="42">
      <c r="A42" s="13" t="inlineStr">
        <is>
          <t>transport, freight, sea, container ship</t>
        </is>
      </c>
      <c r="B42" s="2" t="n">
        <v>1605.105</v>
      </c>
      <c r="C42" t="inlineStr">
        <is>
          <t>GLO</t>
        </is>
      </c>
      <c r="D42" t="inlineStr">
        <is>
          <t>ton kilometer</t>
        </is>
      </c>
      <c r="F42" t="inlineStr">
        <is>
          <t>technosphere</t>
        </is>
      </c>
      <c r="H42" s="13" t="inlineStr">
        <is>
          <t>transport, freight, sea, container ship</t>
        </is>
      </c>
    </row>
    <row r="43">
      <c r="B43" s="11" t="n"/>
    </row>
    <row r="44">
      <c r="B44" s="2" t="n"/>
    </row>
    <row r="45" ht="16" customHeight="1">
      <c r="A45" s="10" t="inlineStr">
        <is>
          <t>Activity</t>
        </is>
      </c>
      <c r="B45" s="8" t="inlineStr">
        <is>
          <t>transport, Scooter, battery electric, &lt;4kW</t>
        </is>
      </c>
    </row>
    <row r="46">
      <c r="A46" t="inlineStr">
        <is>
          <t>location</t>
        </is>
      </c>
      <c r="B46" t="inlineStr">
        <is>
          <t>CH</t>
        </is>
      </c>
    </row>
    <row r="47">
      <c r="A47" t="inlineStr">
        <is>
          <t>vehicle</t>
        </is>
      </c>
      <c r="B47" t="inlineStr">
        <is>
          <t>Scooter, battery electric, &lt;4kW</t>
        </is>
      </c>
    </row>
    <row r="48">
      <c r="A48" t="inlineStr">
        <is>
          <t>size</t>
        </is>
      </c>
    </row>
    <row r="49">
      <c r="A49" t="inlineStr">
        <is>
          <t>year</t>
        </is>
      </c>
      <c r="B49" t="n">
        <v>2020</v>
      </c>
    </row>
    <row r="50">
      <c r="A50" t="inlineStr">
        <is>
          <t>full name</t>
        </is>
      </c>
      <c r="B50" t="inlineStr">
        <is>
          <t>Scooter, battery electric, &lt;4kW - 2020 - NMC - CH</t>
        </is>
      </c>
    </row>
    <row r="51">
      <c r="A51" t="inlineStr">
        <is>
          <t>reference product</t>
        </is>
      </c>
      <c r="B51" t="inlineStr">
        <is>
          <t>transport, Scooter, battery electric, &lt;4kW</t>
        </is>
      </c>
    </row>
    <row r="52">
      <c r="A52" t="inlineStr">
        <is>
          <t>type</t>
        </is>
      </c>
      <c r="B52" t="inlineStr">
        <is>
          <t>process</t>
        </is>
      </c>
    </row>
    <row r="53">
      <c r="A53" t="inlineStr">
        <is>
          <t>unit</t>
        </is>
      </c>
      <c r="B53" t="inlineStr">
        <is>
          <t>kilometer</t>
        </is>
      </c>
    </row>
    <row r="54">
      <c r="A54" t="inlineStr">
        <is>
          <t>source</t>
        </is>
      </c>
      <c r="B54" t="inlineStr">
        <is>
          <t>Sacchi R., Bauer C. Life cycle inventories for on-road vehicles. Paul Scherrer Institut, 2021.</t>
        </is>
      </c>
    </row>
    <row r="55">
      <c r="A55" t="inlineStr">
        <is>
          <t>lifetime</t>
        </is>
      </c>
      <c r="B55" t="n">
        <v>25000</v>
      </c>
    </row>
    <row r="56">
      <c r="A56" t="inlineStr">
        <is>
          <t>passengers</t>
        </is>
      </c>
      <c r="B56" t="n">
        <v>1</v>
      </c>
    </row>
    <row r="57">
      <c r="A57" t="inlineStr">
        <is>
          <t>service</t>
        </is>
      </c>
      <c r="B57" t="n">
        <v>1</v>
      </c>
    </row>
    <row r="58">
      <c r="A58" t="inlineStr">
        <is>
          <t>battery replacement</t>
        </is>
      </c>
      <c r="B58" t="n">
        <v>1</v>
      </c>
    </row>
    <row r="59">
      <c r="A59" t="inlineStr">
        <is>
          <t>annual kilometers</t>
        </is>
      </c>
      <c r="B59" t="n">
        <v>1570</v>
      </c>
    </row>
    <row r="60">
      <c r="A60" t="inlineStr">
        <is>
          <t>curb mass</t>
        </is>
      </c>
      <c r="B60" s="2" t="n">
        <v>100.95</v>
      </c>
    </row>
    <row r="61">
      <c r="A61" t="inlineStr">
        <is>
          <t>power</t>
        </is>
      </c>
      <c r="B61" t="n">
        <v>2.6</v>
      </c>
    </row>
    <row r="62">
      <c r="A62" t="inlineStr">
        <is>
          <t>battery type</t>
        </is>
      </c>
      <c r="B62" s="19" t="inlineStr">
        <is>
          <t>NMC</t>
        </is>
      </c>
    </row>
    <row r="63">
      <c r="A63" t="inlineStr">
        <is>
          <t>battery mass</t>
        </is>
      </c>
      <c r="B63" t="n">
        <v>14.95</v>
      </c>
    </row>
    <row r="64">
      <c r="A64" t="inlineStr">
        <is>
          <t>electricity, low voltage</t>
        </is>
      </c>
      <c r="B64" t="n">
        <v>2.3</v>
      </c>
    </row>
    <row r="65">
      <c r="A65" t="inlineStr">
        <is>
          <t>battery capacity available</t>
        </is>
      </c>
      <c r="B65" t="n">
        <v>1.84</v>
      </c>
    </row>
    <row r="66">
      <c r="A66" t="inlineStr">
        <is>
          <t>tank capacity</t>
        </is>
      </c>
      <c r="B66" s="2" t="n">
        <v>0</v>
      </c>
    </row>
    <row r="67">
      <c r="A67" t="inlineStr">
        <is>
          <t>fuel mass</t>
        </is>
      </c>
      <c r="B67" t="n">
        <v>0</v>
      </c>
    </row>
    <row r="68">
      <c r="A68" t="inlineStr">
        <is>
          <t>range</t>
        </is>
      </c>
      <c r="B68" s="2" t="n">
        <v>49.64173598553344</v>
      </c>
    </row>
    <row r="69">
      <c r="A69" t="inlineStr">
        <is>
          <t>emission standard</t>
        </is>
      </c>
      <c r="B69" t="inlineStr">
        <is>
          <t>None</t>
        </is>
      </c>
    </row>
    <row r="70">
      <c r="A70" t="inlineStr">
        <is>
          <t>Glider lightweighting</t>
        </is>
      </c>
      <c r="B70" s="6" t="n">
        <v>0</v>
      </c>
    </row>
    <row r="71">
      <c r="A71" t="inlineStr">
        <is>
          <t>comment</t>
        </is>
      </c>
      <c r="B71" t="inlineStr">
        <is>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ht="16" customHeight="1">
      <c r="A72" s="10" t="inlineStr">
        <is>
          <t>Exchanges</t>
        </is>
      </c>
    </row>
    <row r="73">
      <c r="A73" t="inlineStr">
        <is>
          <t>name</t>
        </is>
      </c>
      <c r="B73" t="inlineStr">
        <is>
          <t>amount</t>
        </is>
      </c>
      <c r="C73" t="inlineStr">
        <is>
          <t>location</t>
        </is>
      </c>
      <c r="D73" t="inlineStr">
        <is>
          <t>unit</t>
        </is>
      </c>
      <c r="E73" t="inlineStr">
        <is>
          <t>categories</t>
        </is>
      </c>
      <c r="F73" t="inlineStr">
        <is>
          <t>type</t>
        </is>
      </c>
      <c r="G73" t="inlineStr">
        <is>
          <t>comment</t>
        </is>
      </c>
      <c r="H73" t="inlineStr">
        <is>
          <t>reference product</t>
        </is>
      </c>
    </row>
    <row r="74">
      <c r="A74" t="inlineStr">
        <is>
          <t>transport, Scooter, battery electric, &lt;4kW</t>
        </is>
      </c>
      <c r="B74" t="n">
        <v>1</v>
      </c>
      <c r="C74" t="inlineStr">
        <is>
          <t>CH</t>
        </is>
      </c>
      <c r="D74" t="inlineStr">
        <is>
          <t>kilometer</t>
        </is>
      </c>
      <c r="F74" t="inlineStr">
        <is>
          <t>production</t>
        </is>
      </c>
      <c r="H74" t="inlineStr">
        <is>
          <t>transport, Scooter, battery electric, &lt;4kW</t>
        </is>
      </c>
    </row>
    <row r="75">
      <c r="A75" t="inlineStr">
        <is>
          <t>Scooter, battery electric, &lt;4kW</t>
        </is>
      </c>
      <c r="B75" s="7" t="n">
        <v>4e-05</v>
      </c>
      <c r="C75" t="inlineStr">
        <is>
          <t>CH</t>
        </is>
      </c>
      <c r="D75" t="inlineStr">
        <is>
          <t>unit</t>
        </is>
      </c>
      <c r="F75" t="inlineStr">
        <is>
          <t>technosphere</t>
        </is>
      </c>
      <c r="H75" t="inlineStr">
        <is>
          <t>Scooter, battery electric, &lt;4kW</t>
        </is>
      </c>
    </row>
    <row r="76">
      <c r="A76" t="inlineStr">
        <is>
          <t>road construction</t>
        </is>
      </c>
      <c r="B76" s="7" t="n">
        <v>9.663314999999999e-05</v>
      </c>
      <c r="C76" t="inlineStr">
        <is>
          <t>CH</t>
        </is>
      </c>
      <c r="D76" t="inlineStr">
        <is>
          <t>meter-year</t>
        </is>
      </c>
      <c r="F76" t="inlineStr">
        <is>
          <t>technosphere</t>
        </is>
      </c>
      <c r="G76" t="inlineStr">
        <is>
          <t>Road/track use [m*year/vkm or pkm]</t>
        </is>
      </c>
      <c r="H76" t="inlineStr">
        <is>
          <t>road</t>
        </is>
      </c>
    </row>
    <row r="77">
      <c r="A77" t="inlineStr">
        <is>
          <t>road maintenance</t>
        </is>
      </c>
      <c r="B77" s="7" t="n">
        <v>0.00129</v>
      </c>
      <c r="C77" t="inlineStr">
        <is>
          <t>CH</t>
        </is>
      </c>
      <c r="D77" t="inlineStr">
        <is>
          <t>meter-year</t>
        </is>
      </c>
      <c r="F77" t="inlineStr">
        <is>
          <t>technosphere</t>
        </is>
      </c>
      <c r="G77" t="inlineStr">
        <is>
          <t>Road maintenance [m*year/vkm]</t>
        </is>
      </c>
      <c r="H77" t="inlineStr">
        <is>
          <t>road maintenance</t>
        </is>
      </c>
    </row>
    <row r="78">
      <c r="A78" t="inlineStr">
        <is>
          <t>market for electricity, low voltage</t>
        </is>
      </c>
      <c r="B78" s="7" t="n">
        <v>0.0407721438386005</v>
      </c>
      <c r="C78" t="inlineStr">
        <is>
          <t>CH</t>
        </is>
      </c>
      <c r="D78" t="inlineStr">
        <is>
          <t>kilowatt hour</t>
        </is>
      </c>
      <c r="F78" t="inlineStr">
        <is>
          <t>technosphere</t>
        </is>
      </c>
      <c r="G78" t="inlineStr">
        <is>
          <t>Electricity consumption [MJ/km]</t>
        </is>
      </c>
      <c r="H78" t="inlineStr">
        <is>
          <t>electricity, low voltage</t>
        </is>
      </c>
    </row>
    <row r="79">
      <c r="A79" t="inlineStr">
        <is>
          <t>market for maintenance, electric scooter, without battery</t>
        </is>
      </c>
      <c r="B79" s="7" t="n">
        <v>4e-05</v>
      </c>
      <c r="C79" t="inlineStr">
        <is>
          <t>GLO</t>
        </is>
      </c>
      <c r="D79" t="inlineStr">
        <is>
          <t>unit</t>
        </is>
      </c>
      <c r="F79" t="inlineStr">
        <is>
          <t>technosphere</t>
        </is>
      </c>
      <c r="G79" t="inlineStr">
        <is>
          <t>Servicing [unit]</t>
        </is>
      </c>
      <c r="H79" t="inlineStr">
        <is>
          <t>maintenance, electric scooter, without battery</t>
        </is>
      </c>
    </row>
    <row r="80">
      <c r="A80" t="inlineStr">
        <is>
          <t>treatment of road wear emissions, passenger car</t>
        </is>
      </c>
      <c r="B80" s="7" t="n">
        <v>-6.700259872495768e-06</v>
      </c>
      <c r="C80" t="inlineStr">
        <is>
          <t>RER</t>
        </is>
      </c>
      <c r="D80" t="inlineStr">
        <is>
          <t>kilogram</t>
        </is>
      </c>
      <c r="F80" t="inlineStr">
        <is>
          <t>technosphere</t>
        </is>
      </c>
      <c r="G80" t="inlineStr">
        <is>
          <t>Road wear [kg/km]</t>
        </is>
      </c>
      <c r="H80" t="inlineStr">
        <is>
          <t>road wear emissions, passenger car</t>
        </is>
      </c>
    </row>
    <row r="81">
      <c r="A81" t="inlineStr">
        <is>
          <t>treatment of tyre wear emissions, passenger car</t>
        </is>
      </c>
      <c r="B81" s="7" t="n">
        <v>-5.363432834513244e-06</v>
      </c>
      <c r="C81" t="inlineStr">
        <is>
          <t>RER</t>
        </is>
      </c>
      <c r="D81" t="inlineStr">
        <is>
          <t>kilogram</t>
        </is>
      </c>
      <c r="F81" t="inlineStr">
        <is>
          <t>technosphere</t>
        </is>
      </c>
      <c r="G81" t="inlineStr">
        <is>
          <t>Tire wear [kg/km]</t>
        </is>
      </c>
      <c r="H81" t="inlineStr">
        <is>
          <t>tyre wear emissions, passenger car</t>
        </is>
      </c>
    </row>
    <row r="82">
      <c r="A82" t="inlineStr">
        <is>
          <t>treatment of brake wear emissions, passenger car</t>
        </is>
      </c>
      <c r="B82" s="7" t="n">
        <v>-3.770605690498223e-06</v>
      </c>
      <c r="C82" t="inlineStr">
        <is>
          <t>RER</t>
        </is>
      </c>
      <c r="D82" t="inlineStr">
        <is>
          <t>kilogram</t>
        </is>
      </c>
      <c r="F82" t="inlineStr">
        <is>
          <t>technosphere</t>
        </is>
      </c>
      <c r="G82" t="inlineStr">
        <is>
          <t>Brake wear [kg/km]</t>
        </is>
      </c>
      <c r="H82" t="inlineStr">
        <is>
          <t>brake wear emissions, passenger car</t>
        </is>
      </c>
    </row>
    <row r="83">
      <c r="B83" s="6" t="n"/>
    </row>
  </sheetData>
  <pageMargins left="0.7" right="0.7" top="0.75" bottom="0.75" header="0.3" footer="0.3"/>
  <pageSetup orientation="portrait" horizontalDpi="300" verticalDpi="300"/>
</worksheet>
</file>

<file path=xl/worksheets/sheet20.xml><?xml version="1.0" encoding="utf-8"?>
<worksheet xmlns="http://schemas.openxmlformats.org/spreadsheetml/2006/main">
  <sheetPr>
    <outlinePr summaryBelow="1" summaryRight="1"/>
    <pageSetUpPr/>
  </sheetPr>
  <dimension ref="A1:H83"/>
  <sheetViews>
    <sheetView topLeftCell="A10" zoomScale="85" zoomScaleNormal="85" workbookViewId="0">
      <selection activeCell="A36" sqref="A36"/>
    </sheetView>
  </sheetViews>
  <sheetFormatPr baseColWidth="10" defaultColWidth="8.83203125" defaultRowHeight="15"/>
  <cols>
    <col width="48.33203125" bestFit="1" customWidth="1" min="1" max="1"/>
    <col width="15.6640625" bestFit="1" customWidth="1" min="2" max="2"/>
    <col width="9.6640625" bestFit="1" customWidth="1" min="5" max="5"/>
    <col width="12.5" bestFit="1" customWidth="1" min="6" max="6"/>
    <col width="32" bestFit="1" customWidth="1" min="7" max="7"/>
  </cols>
  <sheetData>
    <row r="1" ht="16" customHeight="1">
      <c r="A1" s="10" t="inlineStr">
        <is>
          <t>Activity</t>
        </is>
      </c>
      <c r="B1" s="8" t="inlineStr">
        <is>
          <t>Scooter, battery electric, 4-11kW</t>
        </is>
      </c>
    </row>
    <row r="2">
      <c r="A2" t="inlineStr">
        <is>
          <t>location</t>
        </is>
      </c>
      <c r="B2" t="inlineStr">
        <is>
          <t>CH</t>
        </is>
      </c>
    </row>
    <row r="3">
      <c r="A3" t="inlineStr">
        <is>
          <t>vehicle</t>
        </is>
      </c>
      <c r="B3" t="inlineStr">
        <is>
          <t>Scooter, battery electric, 4-11kW</t>
        </is>
      </c>
    </row>
    <row r="4">
      <c r="A4" t="inlineStr">
        <is>
          <t>size</t>
        </is>
      </c>
    </row>
    <row r="5">
      <c r="A5" t="inlineStr">
        <is>
          <t>year</t>
        </is>
      </c>
      <c r="B5" t="n">
        <v>2020</v>
      </c>
    </row>
    <row r="6">
      <c r="A6" t="inlineStr">
        <is>
          <t>full name</t>
        </is>
      </c>
      <c r="B6" t="inlineStr">
        <is>
          <t>Scooter, battery electric, 4-11kW - 2020 - NMC - CH</t>
        </is>
      </c>
    </row>
    <row r="7">
      <c r="A7" t="inlineStr">
        <is>
          <t>reference product</t>
        </is>
      </c>
      <c r="B7" t="inlineStr">
        <is>
          <t>Scooter, battery electric, 4-11kW</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25000</v>
      </c>
    </row>
    <row r="12">
      <c r="A12" t="inlineStr">
        <is>
          <t>passengers</t>
        </is>
      </c>
      <c r="B12" t="n">
        <v>1</v>
      </c>
    </row>
    <row r="13">
      <c r="A13" t="inlineStr">
        <is>
          <t>service</t>
        </is>
      </c>
      <c r="B13" t="n">
        <v>1</v>
      </c>
    </row>
    <row r="14">
      <c r="A14" t="inlineStr">
        <is>
          <t>battery replacement</t>
        </is>
      </c>
      <c r="B14" t="n">
        <v>1</v>
      </c>
    </row>
    <row r="15">
      <c r="A15" t="inlineStr">
        <is>
          <t>annual kilometers</t>
        </is>
      </c>
      <c r="B15" t="n">
        <v>1570</v>
      </c>
    </row>
    <row r="16">
      <c r="A16" t="inlineStr">
        <is>
          <t>curb mass</t>
        </is>
      </c>
      <c r="B16" s="2" t="n">
        <v>131.45</v>
      </c>
    </row>
    <row r="17">
      <c r="A17" t="inlineStr">
        <is>
          <t>power</t>
        </is>
      </c>
      <c r="B17" t="n">
        <v>6.1</v>
      </c>
    </row>
    <row r="18">
      <c r="A18" t="inlineStr">
        <is>
          <t>battery type</t>
        </is>
      </c>
      <c r="B18" s="19" t="inlineStr">
        <is>
          <t>NMC</t>
        </is>
      </c>
    </row>
    <row r="19">
      <c r="A19" t="inlineStr">
        <is>
          <t>battery mass</t>
        </is>
      </c>
      <c r="B19" t="n">
        <v>21.45</v>
      </c>
    </row>
    <row r="20">
      <c r="A20" t="inlineStr">
        <is>
          <t>electricity, low voltage</t>
        </is>
      </c>
      <c r="B20" t="n">
        <v>3.3</v>
      </c>
    </row>
    <row r="21">
      <c r="A21" t="inlineStr">
        <is>
          <t>battery capacity available</t>
        </is>
      </c>
      <c r="B21" t="n">
        <v>2.64</v>
      </c>
    </row>
    <row r="22">
      <c r="A22" t="inlineStr">
        <is>
          <t>tank capacity</t>
        </is>
      </c>
      <c r="B22" s="2" t="n">
        <v>0</v>
      </c>
    </row>
    <row r="23">
      <c r="A23" t="inlineStr">
        <is>
          <t>fuel mass</t>
        </is>
      </c>
      <c r="B23" t="n">
        <v>0</v>
      </c>
    </row>
    <row r="24">
      <c r="A24" t="inlineStr">
        <is>
          <t>range</t>
        </is>
      </c>
      <c r="B24" s="2" t="n">
        <v>50.17555066341406</v>
      </c>
    </row>
    <row r="25">
      <c r="A25" t="inlineStr">
        <is>
          <t>emission standard</t>
        </is>
      </c>
      <c r="B25" t="inlineStr">
        <is>
          <t>None</t>
        </is>
      </c>
    </row>
    <row r="26">
      <c r="A26" t="inlineStr">
        <is>
          <t>Glider lightweighting</t>
        </is>
      </c>
      <c r="B26" s="6" t="n">
        <v>0</v>
      </c>
    </row>
    <row r="27">
      <c r="A27" t="inlineStr">
        <is>
          <t>origin</t>
        </is>
      </c>
      <c r="B27" s="6" t="inlineStr">
        <is>
          <t>China</t>
        </is>
      </c>
    </row>
    <row r="28">
      <c r="A28" t="inlineStr">
        <is>
          <t>distance by ship [km]</t>
        </is>
      </c>
      <c r="B28" s="2" t="n">
        <v>15900</v>
      </c>
    </row>
    <row r="29">
      <c r="A29" t="inlineStr">
        <is>
          <t>distance by truck [km]</t>
        </is>
      </c>
      <c r="B29" s="2" t="n">
        <v>1000</v>
      </c>
    </row>
    <row r="30">
      <c r="A30" t="inlineStr">
        <is>
          <t>comment</t>
        </is>
      </c>
      <c r="B30" t="inlineStr">
        <is>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ht="16" customHeight="1">
      <c r="A31" s="10" t="inlineStr">
        <is>
          <t>Exchanges</t>
        </is>
      </c>
    </row>
    <row r="32">
      <c r="A32" t="inlineStr">
        <is>
          <t>name</t>
        </is>
      </c>
      <c r="B32" t="inlineStr">
        <is>
          <t>amount</t>
        </is>
      </c>
      <c r="C32" t="inlineStr">
        <is>
          <t>location</t>
        </is>
      </c>
      <c r="D32" t="inlineStr">
        <is>
          <t>unit</t>
        </is>
      </c>
      <c r="E32" t="inlineStr">
        <is>
          <t>categories</t>
        </is>
      </c>
      <c r="F32" t="inlineStr">
        <is>
          <t>type</t>
        </is>
      </c>
      <c r="G32" t="inlineStr">
        <is>
          <t>comment</t>
        </is>
      </c>
      <c r="H32" t="inlineStr">
        <is>
          <t>reference product</t>
        </is>
      </c>
    </row>
    <row r="33">
      <c r="A33" t="inlineStr">
        <is>
          <t>Scooter, battery electric, 4-11kW</t>
        </is>
      </c>
      <c r="B33" t="n">
        <v>1</v>
      </c>
      <c r="C33" t="inlineStr">
        <is>
          <t>CH</t>
        </is>
      </c>
      <c r="D33" t="inlineStr">
        <is>
          <t>unit</t>
        </is>
      </c>
      <c r="F33" t="inlineStr">
        <is>
          <t>production</t>
        </is>
      </c>
      <c r="H33" t="inlineStr">
        <is>
          <t>Scooter, battery electric, 4-11kW</t>
        </is>
      </c>
    </row>
    <row r="34">
      <c r="A34" t="inlineStr">
        <is>
          <t>market for glider, for electric scooter</t>
        </is>
      </c>
      <c r="B34" s="3" t="n">
        <v>84</v>
      </c>
      <c r="C34" t="inlineStr">
        <is>
          <t>GLO</t>
        </is>
      </c>
      <c r="D34" t="inlineStr">
        <is>
          <t>kilogram</t>
        </is>
      </c>
      <c r="F34" t="inlineStr">
        <is>
          <t>technosphere</t>
        </is>
      </c>
      <c r="G34" t="inlineStr">
        <is>
          <t>Glider base mass [kg]</t>
        </is>
      </c>
      <c r="H34" t="inlineStr">
        <is>
          <t>glider, for electric scooter</t>
        </is>
      </c>
    </row>
    <row r="35">
      <c r="A35" t="inlineStr">
        <is>
          <t>market for glider, for electric scooter</t>
        </is>
      </c>
      <c r="B35" s="3" t="n">
        <v>10</v>
      </c>
      <c r="C35" t="inlineStr">
        <is>
          <t>GLO</t>
        </is>
      </c>
      <c r="D35" t="inlineStr">
        <is>
          <t>kilogram</t>
        </is>
      </c>
      <c r="F35" t="inlineStr">
        <is>
          <t>technosphere</t>
        </is>
      </c>
      <c r="G35" t="inlineStr">
        <is>
          <t>Mechanical powertrain mass [kg]</t>
        </is>
      </c>
      <c r="H35" t="inlineStr">
        <is>
          <t>glider, for electric scooter</t>
        </is>
      </c>
    </row>
    <row r="36">
      <c r="A36" t="inlineStr">
        <is>
          <t>market for electric powertrain, for electric scooter</t>
        </is>
      </c>
      <c r="B36" s="3" t="n">
        <v>16</v>
      </c>
      <c r="C36" t="inlineStr">
        <is>
          <t>GLO</t>
        </is>
      </c>
      <c r="D36" t="inlineStr">
        <is>
          <t>kilogram</t>
        </is>
      </c>
      <c r="F36" t="inlineStr">
        <is>
          <t>technosphere</t>
        </is>
      </c>
      <c r="G36" t="inlineStr">
        <is>
          <t>Electric powertrain mass [kg]</t>
        </is>
      </c>
      <c r="H36" t="inlineStr">
        <is>
          <t>powertrain, for electric scooter</t>
        </is>
      </c>
    </row>
    <row r="37">
      <c r="A37" t="inlineStr">
        <is>
          <t>market for battery capacity (MIX scenario)</t>
        </is>
      </c>
      <c r="B37" s="3" t="n">
        <v>3.3</v>
      </c>
      <c r="C37" t="inlineStr">
        <is>
          <t>GLO</t>
        </is>
      </c>
      <c r="D37" t="inlineStr">
        <is>
          <t>kilowatt hour</t>
        </is>
      </c>
      <c r="F37" t="inlineStr">
        <is>
          <t>technosphere</t>
        </is>
      </c>
      <c r="H37" t="inlineStr">
        <is>
          <t>electricity storage capacity</t>
        </is>
      </c>
    </row>
    <row r="38">
      <c r="A38" t="inlineStr">
        <is>
          <t>charging station, 3kW</t>
        </is>
      </c>
      <c r="B38" s="3" t="n">
        <v>1</v>
      </c>
      <c r="C38" t="inlineStr">
        <is>
          <t>GLO</t>
        </is>
      </c>
      <c r="D38" t="inlineStr">
        <is>
          <t>unit</t>
        </is>
      </c>
      <c r="F38" t="inlineStr">
        <is>
          <t>technosphere</t>
        </is>
      </c>
      <c r="G38" t="inlineStr">
        <is>
          <t>Charging station per vehicle [unit]</t>
        </is>
      </c>
      <c r="H38" t="inlineStr">
        <is>
          <t>charging station, 3kW</t>
        </is>
      </c>
    </row>
    <row r="39">
      <c r="A39" t="inlineStr">
        <is>
          <t>manual dismantling of used electric scooter</t>
        </is>
      </c>
      <c r="B39" s="3" t="n">
        <v>84</v>
      </c>
      <c r="C39" t="inlineStr">
        <is>
          <t>GLO</t>
        </is>
      </c>
      <c r="D39" t="inlineStr">
        <is>
          <t>unit</t>
        </is>
      </c>
      <c r="F39" t="inlineStr">
        <is>
          <t>technosphere</t>
        </is>
      </c>
      <c r="G39" t="inlineStr">
        <is>
          <t>Discarding glider [kg]</t>
        </is>
      </c>
      <c r="H39" t="inlineStr">
        <is>
          <t>manual dismantling of electric scooter</t>
        </is>
      </c>
    </row>
    <row r="40">
      <c r="A40" t="inlineStr">
        <is>
          <t>manual dismantling of used electric scooter</t>
        </is>
      </c>
      <c r="B40" s="3" t="n">
        <v>26</v>
      </c>
      <c r="C40" t="inlineStr">
        <is>
          <t>GLO</t>
        </is>
      </c>
      <c r="D40" t="inlineStr">
        <is>
          <t>unit</t>
        </is>
      </c>
      <c r="F40" t="inlineStr">
        <is>
          <t>technosphere</t>
        </is>
      </c>
      <c r="G40" t="inlineStr">
        <is>
          <t>Discarding powertrain [kg]</t>
        </is>
      </c>
      <c r="H40" t="inlineStr">
        <is>
          <t>manual dismantling of electric scooter</t>
        </is>
      </c>
    </row>
    <row r="41">
      <c r="A41" s="13" t="inlineStr">
        <is>
          <t>market for transport, freight, lorry, unspecified</t>
        </is>
      </c>
      <c r="B41" t="n">
        <v>131.45</v>
      </c>
      <c r="C41" t="inlineStr">
        <is>
          <t>RER</t>
        </is>
      </c>
      <c r="D41" t="inlineStr">
        <is>
          <t>ton kilometer</t>
        </is>
      </c>
      <c r="F41" t="inlineStr">
        <is>
          <t>technosphere</t>
        </is>
      </c>
      <c r="H41" s="13" t="inlineStr">
        <is>
          <t>transport, freight, lorry, unspecified</t>
        </is>
      </c>
    </row>
    <row r="42">
      <c r="A42" s="13" t="inlineStr">
        <is>
          <t>transport, freight, sea, container ship</t>
        </is>
      </c>
      <c r="B42" s="2" t="n">
        <v>2090.055</v>
      </c>
      <c r="C42" t="inlineStr">
        <is>
          <t>GLO</t>
        </is>
      </c>
      <c r="D42" t="inlineStr">
        <is>
          <t>ton kilometer</t>
        </is>
      </c>
      <c r="F42" t="inlineStr">
        <is>
          <t>technosphere</t>
        </is>
      </c>
      <c r="H42" s="13" t="inlineStr">
        <is>
          <t>transport, freight, sea, container ship</t>
        </is>
      </c>
    </row>
    <row r="43">
      <c r="B43" s="11" t="n"/>
    </row>
    <row r="44">
      <c r="B44" s="2" t="n"/>
    </row>
    <row r="45" ht="16" customHeight="1">
      <c r="A45" s="10" t="inlineStr">
        <is>
          <t>Activity</t>
        </is>
      </c>
      <c r="B45" s="8" t="inlineStr">
        <is>
          <t>transport, Scooter, battery electric, 4-11kW</t>
        </is>
      </c>
    </row>
    <row r="46">
      <c r="A46" t="inlineStr">
        <is>
          <t>location</t>
        </is>
      </c>
      <c r="B46" t="inlineStr">
        <is>
          <t>CH</t>
        </is>
      </c>
    </row>
    <row r="47">
      <c r="A47" t="inlineStr">
        <is>
          <t>vehicle</t>
        </is>
      </c>
      <c r="B47" t="inlineStr">
        <is>
          <t>Scooter, battery electric, 4-11kW</t>
        </is>
      </c>
    </row>
    <row r="48">
      <c r="A48" t="inlineStr">
        <is>
          <t>size</t>
        </is>
      </c>
    </row>
    <row r="49">
      <c r="A49" t="inlineStr">
        <is>
          <t>year</t>
        </is>
      </c>
      <c r="B49" t="n">
        <v>2020</v>
      </c>
    </row>
    <row r="50">
      <c r="A50" t="inlineStr">
        <is>
          <t>full name</t>
        </is>
      </c>
      <c r="B50" t="inlineStr">
        <is>
          <t>Scooter, battery electric, 4-11kW - 2020 - NMC - CH</t>
        </is>
      </c>
    </row>
    <row r="51">
      <c r="A51" t="inlineStr">
        <is>
          <t>reference product</t>
        </is>
      </c>
      <c r="B51" t="inlineStr">
        <is>
          <t>transport, Scooter, battery electric, 4-11kW</t>
        </is>
      </c>
    </row>
    <row r="52">
      <c r="A52" t="inlineStr">
        <is>
          <t>type</t>
        </is>
      </c>
      <c r="B52" t="inlineStr">
        <is>
          <t>process</t>
        </is>
      </c>
    </row>
    <row r="53">
      <c r="A53" t="inlineStr">
        <is>
          <t>unit</t>
        </is>
      </c>
      <c r="B53" t="inlineStr">
        <is>
          <t>kilometer</t>
        </is>
      </c>
    </row>
    <row r="54">
      <c r="A54" t="inlineStr">
        <is>
          <t>source</t>
        </is>
      </c>
      <c r="B54" t="inlineStr">
        <is>
          <t>Sacchi R., Bauer C. Life cycle inventories for on-road vehicles. Paul Scherrer Institut, 2021.</t>
        </is>
      </c>
    </row>
    <row r="55">
      <c r="A55" t="inlineStr">
        <is>
          <t>lifetime</t>
        </is>
      </c>
      <c r="B55" t="n">
        <v>25000</v>
      </c>
    </row>
    <row r="56">
      <c r="A56" t="inlineStr">
        <is>
          <t>passengers</t>
        </is>
      </c>
      <c r="B56" t="n">
        <v>1</v>
      </c>
    </row>
    <row r="57">
      <c r="A57" t="inlineStr">
        <is>
          <t>service</t>
        </is>
      </c>
      <c r="B57" t="n">
        <v>1</v>
      </c>
    </row>
    <row r="58">
      <c r="A58" t="inlineStr">
        <is>
          <t>battery replacement</t>
        </is>
      </c>
      <c r="B58" t="n">
        <v>1</v>
      </c>
    </row>
    <row r="59">
      <c r="A59" t="inlineStr">
        <is>
          <t>annual kilometers</t>
        </is>
      </c>
      <c r="B59" t="n">
        <v>1570</v>
      </c>
    </row>
    <row r="60">
      <c r="A60" t="inlineStr">
        <is>
          <t>curb mass</t>
        </is>
      </c>
      <c r="B60" s="2" t="n">
        <v>131.45</v>
      </c>
    </row>
    <row r="61">
      <c r="A61" t="inlineStr">
        <is>
          <t>power</t>
        </is>
      </c>
      <c r="B61" t="n">
        <v>6.1</v>
      </c>
    </row>
    <row r="62">
      <c r="A62" t="inlineStr">
        <is>
          <t>battery type</t>
        </is>
      </c>
      <c r="B62" s="19" t="inlineStr">
        <is>
          <t>NMC</t>
        </is>
      </c>
    </row>
    <row r="63">
      <c r="A63" t="inlineStr">
        <is>
          <t>battery mass</t>
        </is>
      </c>
      <c r="B63" t="n">
        <v>21.45</v>
      </c>
    </row>
    <row r="64">
      <c r="A64" t="inlineStr">
        <is>
          <t>electricity, low voltage</t>
        </is>
      </c>
      <c r="B64" t="n">
        <v>3.3</v>
      </c>
    </row>
    <row r="65">
      <c r="A65" t="inlineStr">
        <is>
          <t>battery capacity available</t>
        </is>
      </c>
      <c r="B65" t="n">
        <v>2.64</v>
      </c>
    </row>
    <row r="66">
      <c r="A66" t="inlineStr">
        <is>
          <t>tank capacity</t>
        </is>
      </c>
      <c r="B66" s="2" t="n">
        <v>0</v>
      </c>
    </row>
    <row r="67">
      <c r="A67" t="inlineStr">
        <is>
          <t>fuel mass</t>
        </is>
      </c>
      <c r="B67" t="n">
        <v>0</v>
      </c>
    </row>
    <row r="68">
      <c r="A68" t="inlineStr">
        <is>
          <t>range</t>
        </is>
      </c>
      <c r="B68" s="2" t="n">
        <v>50.17555066341406</v>
      </c>
    </row>
    <row r="69">
      <c r="A69" t="inlineStr">
        <is>
          <t>emission standard</t>
        </is>
      </c>
      <c r="B69" t="inlineStr">
        <is>
          <t>None</t>
        </is>
      </c>
    </row>
    <row r="70">
      <c r="A70" t="inlineStr">
        <is>
          <t>Glider lightweighting</t>
        </is>
      </c>
      <c r="B70" s="6" t="n">
        <v>0</v>
      </c>
    </row>
    <row r="71">
      <c r="A71" t="inlineStr">
        <is>
          <t>comment</t>
        </is>
      </c>
      <c r="B71" t="inlineStr">
        <is>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ht="16" customHeight="1">
      <c r="A72" s="10" t="inlineStr">
        <is>
          <t>Exchanges</t>
        </is>
      </c>
    </row>
    <row r="73">
      <c r="A73" t="inlineStr">
        <is>
          <t>name</t>
        </is>
      </c>
      <c r="B73" t="inlineStr">
        <is>
          <t>amount</t>
        </is>
      </c>
      <c r="C73" t="inlineStr">
        <is>
          <t>location</t>
        </is>
      </c>
      <c r="D73" t="inlineStr">
        <is>
          <t>unit</t>
        </is>
      </c>
      <c r="E73" t="inlineStr">
        <is>
          <t>categories</t>
        </is>
      </c>
      <c r="F73" t="inlineStr">
        <is>
          <t>type</t>
        </is>
      </c>
      <c r="G73" t="inlineStr">
        <is>
          <t>comment</t>
        </is>
      </c>
      <c r="H73" t="inlineStr">
        <is>
          <t>reference product</t>
        </is>
      </c>
    </row>
    <row r="74">
      <c r="A74" t="inlineStr">
        <is>
          <t>transport, Scooter, battery electric, 4-11kW</t>
        </is>
      </c>
      <c r="B74" t="n">
        <v>1</v>
      </c>
      <c r="C74" t="inlineStr">
        <is>
          <t>CH</t>
        </is>
      </c>
      <c r="D74" t="inlineStr">
        <is>
          <t>kilometer</t>
        </is>
      </c>
      <c r="F74" t="inlineStr">
        <is>
          <t>production</t>
        </is>
      </c>
      <c r="H74" t="inlineStr">
        <is>
          <t>transport, Scooter, battery electric, 4-11kW</t>
        </is>
      </c>
    </row>
    <row r="75">
      <c r="A75" t="inlineStr">
        <is>
          <t>Scooter, battery electric, 4-11kW</t>
        </is>
      </c>
      <c r="B75" s="7" t="n">
        <v>4e-05</v>
      </c>
      <c r="C75" t="inlineStr">
        <is>
          <t>CH</t>
        </is>
      </c>
      <c r="D75" t="inlineStr">
        <is>
          <t>unit</t>
        </is>
      </c>
      <c r="F75" t="inlineStr">
        <is>
          <t>technosphere</t>
        </is>
      </c>
      <c r="H75" t="inlineStr">
        <is>
          <t>Scooter, battery electric, 4-11kW</t>
        </is>
      </c>
    </row>
    <row r="76">
      <c r="A76" t="inlineStr">
        <is>
          <t>road construction</t>
        </is>
      </c>
      <c r="B76" s="7" t="n">
        <v>0.00011301165</v>
      </c>
      <c r="C76" t="inlineStr">
        <is>
          <t>CH</t>
        </is>
      </c>
      <c r="D76" t="inlineStr">
        <is>
          <t>meter-year</t>
        </is>
      </c>
      <c r="F76" t="inlineStr">
        <is>
          <t>technosphere</t>
        </is>
      </c>
      <c r="G76" t="inlineStr">
        <is>
          <t>Road/track use [m*year/vkm or pkm]</t>
        </is>
      </c>
      <c r="H76" t="inlineStr">
        <is>
          <t>road</t>
        </is>
      </c>
    </row>
    <row r="77">
      <c r="A77" t="inlineStr">
        <is>
          <t>road maintenance</t>
        </is>
      </c>
      <c r="B77" s="7" t="n">
        <v>0.00129</v>
      </c>
      <c r="C77" t="inlineStr">
        <is>
          <t>CH</t>
        </is>
      </c>
      <c r="D77" t="inlineStr">
        <is>
          <t>meter-year</t>
        </is>
      </c>
      <c r="F77" t="inlineStr">
        <is>
          <t>technosphere</t>
        </is>
      </c>
      <c r="G77" t="inlineStr">
        <is>
          <t>Road maintenance [m*year/vkm]</t>
        </is>
      </c>
      <c r="H77" t="inlineStr">
        <is>
          <t>road maintenance</t>
        </is>
      </c>
    </row>
    <row r="78">
      <c r="A78" t="inlineStr">
        <is>
          <t>market for electricity, low voltage</t>
        </is>
      </c>
      <c r="B78" s="7" t="n">
        <v>0.05787679380901099</v>
      </c>
      <c r="C78" t="inlineStr">
        <is>
          <t>CH</t>
        </is>
      </c>
      <c r="D78" t="inlineStr">
        <is>
          <t>kilowatt hour</t>
        </is>
      </c>
      <c r="F78" t="inlineStr">
        <is>
          <t>technosphere</t>
        </is>
      </c>
      <c r="G78" t="inlineStr">
        <is>
          <t>Electricity consumption [MJ/km]</t>
        </is>
      </c>
      <c r="H78" t="inlineStr">
        <is>
          <t>electricity, low voltage</t>
        </is>
      </c>
    </row>
    <row r="79">
      <c r="A79" t="inlineStr">
        <is>
          <t>market for maintenance, electric scooter, without battery</t>
        </is>
      </c>
      <c r="B79" s="7" t="n">
        <v>4e-05</v>
      </c>
      <c r="C79" t="inlineStr">
        <is>
          <t>GLO</t>
        </is>
      </c>
      <c r="D79" t="inlineStr">
        <is>
          <t>unit</t>
        </is>
      </c>
      <c r="F79" t="inlineStr">
        <is>
          <t>technosphere</t>
        </is>
      </c>
      <c r="G79" t="inlineStr">
        <is>
          <t>Servicing [unit]</t>
        </is>
      </c>
      <c r="H79" t="inlineStr">
        <is>
          <t>maintenance, electric scooter, without battery</t>
        </is>
      </c>
    </row>
    <row r="80">
      <c r="A80" t="inlineStr">
        <is>
          <t>treatment of road wear emissions, passenger car</t>
        </is>
      </c>
      <c r="B80" s="7" t="n">
        <v>-7.585544584336399e-06</v>
      </c>
      <c r="C80" t="inlineStr">
        <is>
          <t>RER</t>
        </is>
      </c>
      <c r="D80" t="inlineStr">
        <is>
          <t>kilogram</t>
        </is>
      </c>
      <c r="F80" t="inlineStr">
        <is>
          <t>technosphere</t>
        </is>
      </c>
      <c r="G80" t="inlineStr">
        <is>
          <t>Road wear [kg/km]</t>
        </is>
      </c>
      <c r="H80" t="inlineStr">
        <is>
          <t>road wear emissions, passenger car</t>
        </is>
      </c>
    </row>
    <row r="81">
      <c r="A81" t="inlineStr">
        <is>
          <t>treatment of tyre wear emissions, passenger car</t>
        </is>
      </c>
      <c r="B81" s="7" t="n">
        <v>-5.838520798971945e-06</v>
      </c>
      <c r="C81" t="inlineStr">
        <is>
          <t>RER</t>
        </is>
      </c>
      <c r="D81" t="inlineStr">
        <is>
          <t>kilogram</t>
        </is>
      </c>
      <c r="F81" t="inlineStr">
        <is>
          <t>technosphere</t>
        </is>
      </c>
      <c r="G81" t="inlineStr">
        <is>
          <t>Tire wear [kg/km]</t>
        </is>
      </c>
      <c r="H81" t="inlineStr">
        <is>
          <t>tyre wear emissions, passenger car</t>
        </is>
      </c>
    </row>
    <row r="82">
      <c r="A82" t="inlineStr">
        <is>
          <t>treatment of brake wear emissions, passenger car</t>
        </is>
      </c>
      <c r="B82" s="7" t="n">
        <v>-4.172254410088632e-06</v>
      </c>
      <c r="C82" t="inlineStr">
        <is>
          <t>RER</t>
        </is>
      </c>
      <c r="D82" t="inlineStr">
        <is>
          <t>kilogram</t>
        </is>
      </c>
      <c r="F82" t="inlineStr">
        <is>
          <t>technosphere</t>
        </is>
      </c>
      <c r="G82" t="inlineStr">
        <is>
          <t>Brake wear [kg/km]</t>
        </is>
      </c>
      <c r="H82" t="inlineStr">
        <is>
          <t>brake wear emissions, passenger car</t>
        </is>
      </c>
    </row>
    <row r="83">
      <c r="B83" s="6" t="n"/>
    </row>
  </sheetData>
  <pageMargins left="0.7" right="0.7" top="0.75" bottom="0.75" header="0.3" footer="0.3"/>
  <pageSetup orientation="portrait" horizontalDpi="300" verticalDpi="300"/>
</worksheet>
</file>

<file path=xl/worksheets/sheet21.xml><?xml version="1.0" encoding="utf-8"?>
<worksheet xmlns="http://schemas.openxmlformats.org/spreadsheetml/2006/main">
  <sheetPr>
    <outlinePr summaryBelow="1" summaryRight="1"/>
    <pageSetUpPr/>
  </sheetPr>
  <dimension ref="A1:H415"/>
  <sheetViews>
    <sheetView topLeftCell="A269" workbookViewId="0">
      <selection activeCell="G294" sqref="G294"/>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Moped, gasoline, &lt;4kW, EURO-3</t>
        </is>
      </c>
    </row>
    <row r="2">
      <c r="A2" t="inlineStr">
        <is>
          <t>location</t>
        </is>
      </c>
      <c r="B2" t="inlineStr">
        <is>
          <t>CH</t>
        </is>
      </c>
    </row>
    <row r="3">
      <c r="A3" t="inlineStr">
        <is>
          <t>vehicle</t>
        </is>
      </c>
      <c r="B3" t="inlineStr">
        <is>
          <t>Moped, gasoline, &lt;4kW, EURO-3</t>
        </is>
      </c>
    </row>
    <row r="4">
      <c r="A4" t="inlineStr">
        <is>
          <t>size</t>
        </is>
      </c>
    </row>
    <row r="5">
      <c r="A5" t="inlineStr">
        <is>
          <t>year</t>
        </is>
      </c>
      <c r="B5" t="n">
        <v>2006</v>
      </c>
    </row>
    <row r="6">
      <c r="A6" t="inlineStr">
        <is>
          <t>full name</t>
        </is>
      </c>
      <c r="B6" t="inlineStr">
        <is>
          <t>Moped, gasoline, &lt;4kW, EURO-3 - 2006 - CH</t>
        </is>
      </c>
    </row>
    <row r="7">
      <c r="A7" t="inlineStr">
        <is>
          <t>reference product</t>
        </is>
      </c>
      <c r="B7" t="inlineStr">
        <is>
          <t>Moped, gasoline, &lt;4kW, EURO-3</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25000</v>
      </c>
    </row>
    <row r="12">
      <c r="A12" t="inlineStr">
        <is>
          <t>passengers</t>
        </is>
      </c>
      <c r="B12" t="n">
        <v>1</v>
      </c>
    </row>
    <row r="13">
      <c r="A13" t="inlineStr">
        <is>
          <t>service</t>
        </is>
      </c>
      <c r="B13" t="n">
        <v>1</v>
      </c>
    </row>
    <row r="14">
      <c r="A14" t="inlineStr">
        <is>
          <t>battery replacement</t>
        </is>
      </c>
      <c r="B14" t="n">
        <v>0</v>
      </c>
    </row>
    <row r="15">
      <c r="A15" t="inlineStr">
        <is>
          <t>annual kilometers</t>
        </is>
      </c>
      <c r="B15" t="n">
        <v>1570</v>
      </c>
    </row>
    <row r="16">
      <c r="A16" t="inlineStr">
        <is>
          <t>curb mass</t>
        </is>
      </c>
      <c r="B16" s="2" t="n">
        <v>65.098125</v>
      </c>
    </row>
    <row r="17">
      <c r="A17" t="inlineStr">
        <is>
          <t>power</t>
        </is>
      </c>
      <c r="B17" t="n">
        <v>2.5</v>
      </c>
    </row>
    <row r="18">
      <c r="A18" t="inlineStr">
        <is>
          <t>battery mass</t>
        </is>
      </c>
    </row>
    <row r="19">
      <c r="A19" t="inlineStr">
        <is>
          <t>electricity, low voltage</t>
        </is>
      </c>
      <c r="B19" t="n">
        <v>0</v>
      </c>
    </row>
    <row r="20">
      <c r="A20" t="inlineStr">
        <is>
          <t>tank capacity</t>
        </is>
      </c>
      <c r="B20" s="2" t="n">
        <v>62.125</v>
      </c>
    </row>
    <row r="21">
      <c r="A21" t="inlineStr">
        <is>
          <t>fuel mass</t>
        </is>
      </c>
      <c r="B21" t="n">
        <v>5.25</v>
      </c>
    </row>
    <row r="22">
      <c r="A22" t="inlineStr">
        <is>
          <t>range</t>
        </is>
      </c>
      <c r="B22" s="2" t="n">
        <v>266.4078995516374</v>
      </c>
    </row>
    <row r="23">
      <c r="A23" t="inlineStr">
        <is>
          <t>emission standard</t>
        </is>
      </c>
      <c r="B23" t="inlineStr">
        <is>
          <t>EURO-3</t>
        </is>
      </c>
    </row>
    <row r="24">
      <c r="A24" t="inlineStr">
        <is>
          <t>Glider lightweighting</t>
        </is>
      </c>
      <c r="B24" s="6" t="n">
        <v>-0.05</v>
      </c>
    </row>
    <row r="25">
      <c r="A25" t="inlineStr">
        <is>
          <t>origin</t>
        </is>
      </c>
      <c r="B25" s="6" t="inlineStr">
        <is>
          <t>China</t>
        </is>
      </c>
    </row>
    <row r="26">
      <c r="A26" t="inlineStr">
        <is>
          <t>distance by ship [km]</t>
        </is>
      </c>
      <c r="B26" s="2" t="n">
        <v>15900</v>
      </c>
    </row>
    <row r="27">
      <c r="A27" t="inlineStr">
        <is>
          <t>distance by truck [km]</t>
        </is>
      </c>
      <c r="B27" s="2" t="n">
        <v>1000</v>
      </c>
    </row>
    <row r="28">
      <c r="A28" t="inlineStr">
        <is>
          <t>comment</t>
        </is>
      </c>
      <c r="B28" t="inlineStr">
        <is>
          <t>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ht="16" customHeight="1">
      <c r="A29" s="10" t="inlineStr">
        <is>
          <t>Exchanges</t>
        </is>
      </c>
    </row>
    <row r="30">
      <c r="A30" t="inlineStr">
        <is>
          <t>name</t>
        </is>
      </c>
      <c r="B30" t="inlineStr">
        <is>
          <t>amount</t>
        </is>
      </c>
      <c r="C30" t="inlineStr">
        <is>
          <t>location</t>
        </is>
      </c>
      <c r="D30" t="inlineStr">
        <is>
          <t>unit</t>
        </is>
      </c>
      <c r="E30" t="inlineStr">
        <is>
          <t>categories</t>
        </is>
      </c>
      <c r="F30" t="inlineStr">
        <is>
          <t>type</t>
        </is>
      </c>
      <c r="G30" t="inlineStr">
        <is>
          <t>comment</t>
        </is>
      </c>
      <c r="H30" t="inlineStr">
        <is>
          <t>reference product</t>
        </is>
      </c>
    </row>
    <row r="31">
      <c r="A31" t="inlineStr">
        <is>
          <t>Moped, gasoline, &lt;4kW, EURO-3</t>
        </is>
      </c>
      <c r="B31" t="n">
        <v>1</v>
      </c>
      <c r="C31" t="inlineStr">
        <is>
          <t>CH</t>
        </is>
      </c>
      <c r="D31" t="inlineStr">
        <is>
          <t>unit</t>
        </is>
      </c>
      <c r="F31" t="inlineStr">
        <is>
          <t>production</t>
        </is>
      </c>
      <c r="H31" t="inlineStr">
        <is>
          <t>Moped, gasoline, &lt;4kW, EURO-3</t>
        </is>
      </c>
    </row>
    <row r="32">
      <c r="A32" t="inlineStr">
        <is>
          <t>motor scooter production</t>
        </is>
      </c>
      <c r="B32" s="11" t="n">
        <v>0.46625</v>
      </c>
      <c r="C32" t="inlineStr">
        <is>
          <t>RER</t>
        </is>
      </c>
      <c r="D32" t="inlineStr">
        <is>
          <t>unit</t>
        </is>
      </c>
      <c r="F32" t="inlineStr">
        <is>
          <t>technosphere</t>
        </is>
      </c>
      <c r="G32" t="inlineStr">
        <is>
          <t>Glider base mass [kg]</t>
        </is>
      </c>
      <c r="H32" t="inlineStr">
        <is>
          <t>motor scooter, 50 cubic cm engine</t>
        </is>
      </c>
    </row>
    <row r="33">
      <c r="A33" t="inlineStr">
        <is>
          <t>motor scooter production</t>
        </is>
      </c>
      <c r="B33" s="11" t="n">
        <v>0.1666666666666667</v>
      </c>
      <c r="C33" t="inlineStr">
        <is>
          <t>RER</t>
        </is>
      </c>
      <c r="D33" t="inlineStr">
        <is>
          <t>unit</t>
        </is>
      </c>
      <c r="F33" t="inlineStr">
        <is>
          <t>technosphere</t>
        </is>
      </c>
      <c r="G33" t="inlineStr">
        <is>
          <t>Mechanical powertrain mass [kg]</t>
        </is>
      </c>
      <c r="H33" t="inlineStr">
        <is>
          <t>motor scooter, 50 cubic cm engine</t>
        </is>
      </c>
    </row>
    <row r="34">
      <c r="A34" t="inlineStr">
        <is>
          <t>polyethylene production, high density, granulate</t>
        </is>
      </c>
      <c r="B34" s="11" t="n">
        <v>0.7875</v>
      </c>
      <c r="C34" t="inlineStr">
        <is>
          <t>RER</t>
        </is>
      </c>
      <c r="D34" t="inlineStr">
        <is>
          <t>kilogram</t>
        </is>
      </c>
      <c r="F34" t="inlineStr">
        <is>
          <t>technosphere</t>
        </is>
      </c>
      <c r="G34" t="inlineStr">
        <is>
          <t>Fuel tank mass [kg]</t>
        </is>
      </c>
      <c r="H34" t="inlineStr">
        <is>
          <t>polyethylene, high density, granulate</t>
        </is>
      </c>
    </row>
    <row r="35">
      <c r="A35" s="13" t="inlineStr">
        <is>
          <t>market for transport, freight, lorry, unspecified</t>
        </is>
      </c>
      <c r="B35" t="n">
        <v>65.098125</v>
      </c>
      <c r="C35" t="inlineStr">
        <is>
          <t>RER</t>
        </is>
      </c>
      <c r="D35" t="inlineStr">
        <is>
          <t>ton kilometer</t>
        </is>
      </c>
      <c r="F35" t="inlineStr">
        <is>
          <t>technosphere</t>
        </is>
      </c>
      <c r="H35" s="13" t="inlineStr">
        <is>
          <t>transport, freight, lorry, unspecified</t>
        </is>
      </c>
    </row>
    <row r="36">
      <c r="A36" s="13" t="inlineStr">
        <is>
          <t>transport, freight, sea, container ship</t>
        </is>
      </c>
      <c r="B36" s="2" t="n">
        <v>1035.0601875</v>
      </c>
      <c r="C36" t="inlineStr">
        <is>
          <t>GLO</t>
        </is>
      </c>
      <c r="D36" t="inlineStr">
        <is>
          <t>ton kilometer</t>
        </is>
      </c>
      <c r="F36" t="inlineStr">
        <is>
          <t>technosphere</t>
        </is>
      </c>
      <c r="H36" s="13" t="inlineStr">
        <is>
          <t>transport, freight, sea, container ship</t>
        </is>
      </c>
    </row>
    <row r="37">
      <c r="B37" s="11" t="n"/>
    </row>
    <row r="38" ht="16" customHeight="1">
      <c r="A38" s="10" t="inlineStr">
        <is>
          <t>Activity</t>
        </is>
      </c>
      <c r="B38" s="8" t="inlineStr">
        <is>
          <t>Moped, gasoline, &lt;4kW, EURO-4</t>
        </is>
      </c>
    </row>
    <row r="39">
      <c r="A39" t="inlineStr">
        <is>
          <t>location</t>
        </is>
      </c>
      <c r="B39" t="inlineStr">
        <is>
          <t>CH</t>
        </is>
      </c>
    </row>
    <row r="40">
      <c r="A40" t="inlineStr">
        <is>
          <t>vehicle</t>
        </is>
      </c>
      <c r="B40" t="inlineStr">
        <is>
          <t>Moped, gasoline, &lt;4kW, EURO-4</t>
        </is>
      </c>
    </row>
    <row r="41">
      <c r="A41" t="inlineStr">
        <is>
          <t>size</t>
        </is>
      </c>
    </row>
    <row r="42">
      <c r="A42" t="inlineStr">
        <is>
          <t>year</t>
        </is>
      </c>
      <c r="B42" t="n">
        <v>2016</v>
      </c>
    </row>
    <row r="43">
      <c r="A43" t="inlineStr">
        <is>
          <t>full name</t>
        </is>
      </c>
      <c r="B43" t="inlineStr">
        <is>
          <t>Moped, gasoline, &lt;4kW, EURO-4 - 2016 - CH</t>
        </is>
      </c>
    </row>
    <row r="44">
      <c r="A44" t="inlineStr">
        <is>
          <t>reference product</t>
        </is>
      </c>
      <c r="B44" t="inlineStr">
        <is>
          <t>Moped, gasoline, &lt;4kW, EURO-4</t>
        </is>
      </c>
    </row>
    <row r="45">
      <c r="A45" t="inlineStr">
        <is>
          <t>type</t>
        </is>
      </c>
      <c r="B45" t="inlineStr">
        <is>
          <t>process</t>
        </is>
      </c>
    </row>
    <row r="46">
      <c r="A46" t="inlineStr">
        <is>
          <t>unit</t>
        </is>
      </c>
      <c r="B46" t="inlineStr">
        <is>
          <t>unit</t>
        </is>
      </c>
    </row>
    <row r="47">
      <c r="A47" t="inlineStr">
        <is>
          <t>source</t>
        </is>
      </c>
      <c r="B47" t="inlineStr">
        <is>
          <t>Sacchi R., Bauer C. Life cycle inventories for on-road vehicles. Paul Scherrer Institut, 2021.</t>
        </is>
      </c>
    </row>
    <row r="48">
      <c r="A48" t="inlineStr">
        <is>
          <t>lifetime</t>
        </is>
      </c>
      <c r="B48" t="n">
        <v>25000</v>
      </c>
    </row>
    <row r="49">
      <c r="A49" t="inlineStr">
        <is>
          <t>passengers</t>
        </is>
      </c>
      <c r="B49" t="n">
        <v>1</v>
      </c>
    </row>
    <row r="50">
      <c r="A50" t="inlineStr">
        <is>
          <t>service</t>
        </is>
      </c>
      <c r="B50" t="n">
        <v>1</v>
      </c>
    </row>
    <row r="51">
      <c r="A51" t="inlineStr">
        <is>
          <t>battery replacement</t>
        </is>
      </c>
      <c r="B51" t="n">
        <v>0</v>
      </c>
    </row>
    <row r="52">
      <c r="A52" t="inlineStr">
        <is>
          <t>annual kilometers</t>
        </is>
      </c>
      <c r="B52" t="n">
        <v>1570</v>
      </c>
    </row>
    <row r="53">
      <c r="A53" t="inlineStr">
        <is>
          <t>curb mass</t>
        </is>
      </c>
      <c r="B53" s="2" t="n">
        <v>63.83925</v>
      </c>
    </row>
    <row r="54">
      <c r="A54" t="inlineStr">
        <is>
          <t>power</t>
        </is>
      </c>
      <c r="B54" t="n">
        <v>2.5</v>
      </c>
    </row>
    <row r="55">
      <c r="A55" t="inlineStr">
        <is>
          <t>battery mass</t>
        </is>
      </c>
    </row>
    <row r="56">
      <c r="A56" t="inlineStr">
        <is>
          <t>electricity, low voltage</t>
        </is>
      </c>
      <c r="B56" t="n">
        <v>0</v>
      </c>
    </row>
    <row r="57">
      <c r="A57" t="inlineStr">
        <is>
          <t>tank capacity</t>
        </is>
      </c>
      <c r="B57" s="2" t="n">
        <v>62.125</v>
      </c>
    </row>
    <row r="58">
      <c r="A58" t="inlineStr">
        <is>
          <t>fuel mass</t>
        </is>
      </c>
      <c r="B58" t="n">
        <v>5.25</v>
      </c>
    </row>
    <row r="59">
      <c r="A59" t="inlineStr">
        <is>
          <t>range</t>
        </is>
      </c>
      <c r="B59" s="2" t="n">
        <v>269.0719785471538</v>
      </c>
    </row>
    <row r="60">
      <c r="A60" t="inlineStr">
        <is>
          <t>emission standard</t>
        </is>
      </c>
      <c r="B60" t="inlineStr">
        <is>
          <t>EURO-4</t>
        </is>
      </c>
    </row>
    <row r="61">
      <c r="A61" t="inlineStr">
        <is>
          <t>Glider lightweighting</t>
        </is>
      </c>
      <c r="B61" s="6" t="n">
        <v>-0.02</v>
      </c>
    </row>
    <row r="62">
      <c r="A62" t="inlineStr">
        <is>
          <t>origin</t>
        </is>
      </c>
      <c r="B62" s="6" t="inlineStr">
        <is>
          <t>China</t>
        </is>
      </c>
    </row>
    <row r="63">
      <c r="A63" t="inlineStr">
        <is>
          <t>distance by ship [km]</t>
        </is>
      </c>
      <c r="B63" s="2" t="n">
        <v>15900</v>
      </c>
    </row>
    <row r="64">
      <c r="A64" t="inlineStr">
        <is>
          <t>distance by truck [km]</t>
        </is>
      </c>
      <c r="B64" s="2" t="n">
        <v>1000</v>
      </c>
    </row>
    <row r="65">
      <c r="A65" t="inlineStr">
        <is>
          <t>comment</t>
        </is>
      </c>
      <c r="B65" t="inlineStr">
        <is>
          <t>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6" ht="16" customHeight="1">
      <c r="A66" s="10" t="inlineStr">
        <is>
          <t>Exchanges</t>
        </is>
      </c>
    </row>
    <row r="67">
      <c r="A67" t="inlineStr">
        <is>
          <t>name</t>
        </is>
      </c>
      <c r="B67" t="inlineStr">
        <is>
          <t>amount</t>
        </is>
      </c>
      <c r="C67" t="inlineStr">
        <is>
          <t>location</t>
        </is>
      </c>
      <c r="D67" t="inlineStr">
        <is>
          <t>unit</t>
        </is>
      </c>
      <c r="E67" t="inlineStr">
        <is>
          <t>categories</t>
        </is>
      </c>
      <c r="F67" t="inlineStr">
        <is>
          <t>type</t>
        </is>
      </c>
      <c r="G67" t="inlineStr">
        <is>
          <t>comment</t>
        </is>
      </c>
      <c r="H67" t="inlineStr">
        <is>
          <t>reference product</t>
        </is>
      </c>
    </row>
    <row r="68">
      <c r="A68" t="inlineStr">
        <is>
          <t>Moped, gasoline, &lt;4kW, EURO-4</t>
        </is>
      </c>
      <c r="B68" t="n">
        <v>1</v>
      </c>
      <c r="C68" t="inlineStr">
        <is>
          <t>CH</t>
        </is>
      </c>
      <c r="D68" t="inlineStr">
        <is>
          <t>unit</t>
        </is>
      </c>
      <c r="F68" t="inlineStr">
        <is>
          <t>production</t>
        </is>
      </c>
      <c r="H68" t="inlineStr">
        <is>
          <t>Moped, gasoline, &lt;4kW, EURO-4</t>
        </is>
      </c>
    </row>
    <row r="69">
      <c r="A69" t="inlineStr">
        <is>
          <t>motor scooter production</t>
        </is>
      </c>
      <c r="B69" s="11" t="n">
        <v>0.46625</v>
      </c>
      <c r="C69" t="inlineStr">
        <is>
          <t>RER</t>
        </is>
      </c>
      <c r="D69" t="inlineStr">
        <is>
          <t>unit</t>
        </is>
      </c>
      <c r="F69" t="inlineStr">
        <is>
          <t>technosphere</t>
        </is>
      </c>
      <c r="G69" t="inlineStr">
        <is>
          <t>Glider base mass [kg]</t>
        </is>
      </c>
      <c r="H69" t="inlineStr">
        <is>
          <t>motor scooter, 50 cubic cm engine</t>
        </is>
      </c>
    </row>
    <row r="70">
      <c r="A70" t="inlineStr">
        <is>
          <t>motor scooter production</t>
        </is>
      </c>
      <c r="B70" s="11" t="n">
        <v>0.1666666666666667</v>
      </c>
      <c r="C70" t="inlineStr">
        <is>
          <t>RER</t>
        </is>
      </c>
      <c r="D70" t="inlineStr">
        <is>
          <t>unit</t>
        </is>
      </c>
      <c r="F70" t="inlineStr">
        <is>
          <t>technosphere</t>
        </is>
      </c>
      <c r="G70" t="inlineStr">
        <is>
          <t>Mechanical powertrain mass [kg]</t>
        </is>
      </c>
      <c r="H70" t="inlineStr">
        <is>
          <t>motor scooter, 50 cubic cm engine</t>
        </is>
      </c>
    </row>
    <row r="71">
      <c r="A71" t="inlineStr">
        <is>
          <t>polyethylene production, high density, granulate</t>
        </is>
      </c>
      <c r="B71" s="11" t="n">
        <v>0.7875</v>
      </c>
      <c r="C71" t="inlineStr">
        <is>
          <t>RER</t>
        </is>
      </c>
      <c r="D71" t="inlineStr">
        <is>
          <t>kilogram</t>
        </is>
      </c>
      <c r="F71" t="inlineStr">
        <is>
          <t>technosphere</t>
        </is>
      </c>
      <c r="G71" t="inlineStr">
        <is>
          <t>Fuel tank mass [kg]</t>
        </is>
      </c>
      <c r="H71" t="inlineStr">
        <is>
          <t>polyethylene, high density, granulate</t>
        </is>
      </c>
    </row>
    <row r="72">
      <c r="A72" s="13" t="inlineStr">
        <is>
          <t>market for transport, freight, lorry, unspecified</t>
        </is>
      </c>
      <c r="B72" t="n">
        <v>63.83925</v>
      </c>
      <c r="C72" t="inlineStr">
        <is>
          <t>RER</t>
        </is>
      </c>
      <c r="D72" t="inlineStr">
        <is>
          <t>ton kilometer</t>
        </is>
      </c>
      <c r="F72" t="inlineStr">
        <is>
          <t>technosphere</t>
        </is>
      </c>
      <c r="H72" s="13" t="inlineStr">
        <is>
          <t>transport, freight, lorry, unspecified</t>
        </is>
      </c>
    </row>
    <row r="73">
      <c r="A73" s="13" t="inlineStr">
        <is>
          <t>transport, freight, sea, container ship</t>
        </is>
      </c>
      <c r="B73" s="2" t="n">
        <v>1015.044075</v>
      </c>
      <c r="C73" t="inlineStr">
        <is>
          <t>GLO</t>
        </is>
      </c>
      <c r="D73" t="inlineStr">
        <is>
          <t>ton kilometer</t>
        </is>
      </c>
      <c r="F73" t="inlineStr">
        <is>
          <t>technosphere</t>
        </is>
      </c>
      <c r="H73" s="13" t="inlineStr">
        <is>
          <t>transport, freight, sea, container ship</t>
        </is>
      </c>
    </row>
    <row r="74"/>
    <row r="75" ht="16" customHeight="1">
      <c r="A75" s="10" t="inlineStr">
        <is>
          <t>Activity</t>
        </is>
      </c>
      <c r="B75" s="8" t="inlineStr">
        <is>
          <t>Moped, gasoline, &lt;4kW, EURO-5</t>
        </is>
      </c>
    </row>
    <row r="76">
      <c r="A76" t="inlineStr">
        <is>
          <t>location</t>
        </is>
      </c>
      <c r="B76" t="inlineStr">
        <is>
          <t>CH</t>
        </is>
      </c>
    </row>
    <row r="77">
      <c r="A77" t="inlineStr">
        <is>
          <t>vehicle</t>
        </is>
      </c>
      <c r="B77" t="inlineStr">
        <is>
          <t>Moped, gasoline, &lt;4kW, EURO-5</t>
        </is>
      </c>
    </row>
    <row r="78">
      <c r="A78" t="inlineStr">
        <is>
          <t>size</t>
        </is>
      </c>
    </row>
    <row r="79">
      <c r="A79" t="inlineStr">
        <is>
          <t>year</t>
        </is>
      </c>
      <c r="B79" t="n">
        <v>2020</v>
      </c>
    </row>
    <row r="80">
      <c r="A80" t="inlineStr">
        <is>
          <t>full name</t>
        </is>
      </c>
      <c r="B80" t="inlineStr">
        <is>
          <t>Moped, gasoline, &lt;4kW, EURO-5 - 2020 - CH</t>
        </is>
      </c>
    </row>
    <row r="81">
      <c r="A81" t="inlineStr">
        <is>
          <t>reference product</t>
        </is>
      </c>
      <c r="B81" t="inlineStr">
        <is>
          <t>Moped, gasoline, &lt;4kW, EURO-5</t>
        </is>
      </c>
    </row>
    <row r="82">
      <c r="A82" t="inlineStr">
        <is>
          <t>type</t>
        </is>
      </c>
      <c r="B82" t="inlineStr">
        <is>
          <t>process</t>
        </is>
      </c>
    </row>
    <row r="83">
      <c r="A83" t="inlineStr">
        <is>
          <t>unit</t>
        </is>
      </c>
      <c r="B83" t="inlineStr">
        <is>
          <t>unit</t>
        </is>
      </c>
    </row>
    <row r="84">
      <c r="A84" t="inlineStr">
        <is>
          <t>source</t>
        </is>
      </c>
      <c r="B84" t="inlineStr">
        <is>
          <t>Sacchi R., Bauer C. Life cycle inventories for on-road vehicles. Paul Scherrer Institut, 2021.</t>
        </is>
      </c>
    </row>
    <row r="85">
      <c r="A85" t="inlineStr">
        <is>
          <t>lifetime</t>
        </is>
      </c>
      <c r="B85" t="n">
        <v>25000</v>
      </c>
    </row>
    <row r="86">
      <c r="A86" t="inlineStr">
        <is>
          <t>passengers</t>
        </is>
      </c>
      <c r="B86" t="n">
        <v>1</v>
      </c>
    </row>
    <row r="87">
      <c r="A87" t="inlineStr">
        <is>
          <t>service</t>
        </is>
      </c>
      <c r="B87" t="n">
        <v>1</v>
      </c>
    </row>
    <row r="88">
      <c r="A88" t="inlineStr">
        <is>
          <t>battery replacement</t>
        </is>
      </c>
      <c r="B88" t="n">
        <v>0</v>
      </c>
    </row>
    <row r="89">
      <c r="A89" t="inlineStr">
        <is>
          <t>annual kilometers</t>
        </is>
      </c>
      <c r="B89" t="n">
        <v>1570</v>
      </c>
    </row>
    <row r="90">
      <c r="A90" t="inlineStr">
        <is>
          <t>curb mass</t>
        </is>
      </c>
      <c r="B90" s="2" t="n">
        <v>63</v>
      </c>
    </row>
    <row r="91">
      <c r="A91" t="inlineStr">
        <is>
          <t>power</t>
        </is>
      </c>
      <c r="B91" t="n">
        <v>2.5</v>
      </c>
    </row>
    <row r="92">
      <c r="A92" t="inlineStr">
        <is>
          <t>battery mass</t>
        </is>
      </c>
    </row>
    <row r="93">
      <c r="A93" t="inlineStr">
        <is>
          <t>electricity, low voltage</t>
        </is>
      </c>
      <c r="B93" t="n">
        <v>0</v>
      </c>
    </row>
    <row r="94">
      <c r="A94" t="inlineStr">
        <is>
          <t>tank capacity</t>
        </is>
      </c>
      <c r="B94" s="2" t="n">
        <v>62.125</v>
      </c>
    </row>
    <row r="95">
      <c r="A95" t="inlineStr">
        <is>
          <t>fuel mass</t>
        </is>
      </c>
      <c r="B95" t="n">
        <v>5.25</v>
      </c>
    </row>
    <row r="96">
      <c r="A96" t="inlineStr">
        <is>
          <t>range</t>
        </is>
      </c>
      <c r="B96" s="2" t="n">
        <v>271.7898773203574</v>
      </c>
    </row>
    <row r="97">
      <c r="A97" t="inlineStr">
        <is>
          <t>emission standard</t>
        </is>
      </c>
      <c r="B97" t="inlineStr">
        <is>
          <t>EURO-5</t>
        </is>
      </c>
    </row>
    <row r="98">
      <c r="A98" t="inlineStr">
        <is>
          <t>Glider lightweighting</t>
        </is>
      </c>
      <c r="B98" s="6" t="n">
        <v>0</v>
      </c>
    </row>
    <row r="99">
      <c r="A99" t="inlineStr">
        <is>
          <t>origin</t>
        </is>
      </c>
      <c r="B99" s="6" t="inlineStr">
        <is>
          <t>China</t>
        </is>
      </c>
    </row>
    <row r="100">
      <c r="A100" t="inlineStr">
        <is>
          <t>distance by ship [km]</t>
        </is>
      </c>
      <c r="B100" s="2" t="n">
        <v>15900</v>
      </c>
    </row>
    <row r="101">
      <c r="A101" t="inlineStr">
        <is>
          <t>distance by truck [km]</t>
        </is>
      </c>
      <c r="B101" s="2" t="n">
        <v>1000</v>
      </c>
    </row>
    <row r="102">
      <c r="A102" t="inlineStr">
        <is>
          <t>comment</t>
        </is>
      </c>
      <c r="B102" t="inlineStr">
        <is>
          <t>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3" ht="16" customHeight="1">
      <c r="A103" s="10" t="inlineStr">
        <is>
          <t>Exchanges</t>
        </is>
      </c>
    </row>
    <row r="104">
      <c r="A104" t="inlineStr">
        <is>
          <t>name</t>
        </is>
      </c>
      <c r="B104" t="inlineStr">
        <is>
          <t>amount</t>
        </is>
      </c>
      <c r="C104" t="inlineStr">
        <is>
          <t>location</t>
        </is>
      </c>
      <c r="D104" t="inlineStr">
        <is>
          <t>unit</t>
        </is>
      </c>
      <c r="E104" t="inlineStr">
        <is>
          <t>categories</t>
        </is>
      </c>
      <c r="F104" t="inlineStr">
        <is>
          <t>type</t>
        </is>
      </c>
      <c r="G104" t="inlineStr">
        <is>
          <t>comment</t>
        </is>
      </c>
      <c r="H104" t="inlineStr">
        <is>
          <t>reference product</t>
        </is>
      </c>
    </row>
    <row r="105">
      <c r="A105" t="inlineStr">
        <is>
          <t>Moped, gasoline, &lt;4kW, EURO-5</t>
        </is>
      </c>
      <c r="B105" t="n">
        <v>1</v>
      </c>
      <c r="C105" t="inlineStr">
        <is>
          <t>CH</t>
        </is>
      </c>
      <c r="D105" t="inlineStr">
        <is>
          <t>unit</t>
        </is>
      </c>
      <c r="F105" t="inlineStr">
        <is>
          <t>production</t>
        </is>
      </c>
      <c r="H105" t="inlineStr">
        <is>
          <t>Moped, gasoline, &lt;4kW, EURO-5</t>
        </is>
      </c>
    </row>
    <row r="106">
      <c r="A106" t="inlineStr">
        <is>
          <t>motor scooter production</t>
        </is>
      </c>
      <c r="B106" s="11" t="n">
        <v>0.46625</v>
      </c>
      <c r="C106" t="inlineStr">
        <is>
          <t>RER</t>
        </is>
      </c>
      <c r="D106" t="inlineStr">
        <is>
          <t>unit</t>
        </is>
      </c>
      <c r="F106" t="inlineStr">
        <is>
          <t>technosphere</t>
        </is>
      </c>
      <c r="G106" t="inlineStr">
        <is>
          <t>Glider base mass [kg]</t>
        </is>
      </c>
      <c r="H106" t="inlineStr">
        <is>
          <t>motor scooter, 50 cubic cm engine</t>
        </is>
      </c>
    </row>
    <row r="107">
      <c r="A107" t="inlineStr">
        <is>
          <t>motor scooter production</t>
        </is>
      </c>
      <c r="B107" s="11" t="n">
        <v>0.1666666666666667</v>
      </c>
      <c r="C107" t="inlineStr">
        <is>
          <t>RER</t>
        </is>
      </c>
      <c r="D107" t="inlineStr">
        <is>
          <t>unit</t>
        </is>
      </c>
      <c r="F107" t="inlineStr">
        <is>
          <t>technosphere</t>
        </is>
      </c>
      <c r="G107" t="inlineStr">
        <is>
          <t>Mechanical powertrain mass [kg]</t>
        </is>
      </c>
      <c r="H107" t="inlineStr">
        <is>
          <t>motor scooter, 50 cubic cm engine</t>
        </is>
      </c>
    </row>
    <row r="108">
      <c r="A108" t="inlineStr">
        <is>
          <t>Glider lightweighting</t>
        </is>
      </c>
      <c r="B108" s="11" t="n">
        <v>0</v>
      </c>
      <c r="C108" t="inlineStr">
        <is>
          <t>GLO</t>
        </is>
      </c>
      <c r="D108" t="inlineStr">
        <is>
          <t>kilogram</t>
        </is>
      </c>
      <c r="F108" t="inlineStr">
        <is>
          <t>technosphere</t>
        </is>
      </c>
      <c r="G108" t="inlineStr">
        <is>
          <t>Lightweighting rate [%]</t>
        </is>
      </c>
      <c r="H108" t="inlineStr">
        <is>
          <t>Glider lightweighting</t>
        </is>
      </c>
    </row>
    <row r="109">
      <c r="A109" t="inlineStr">
        <is>
          <t>polyethylene production, high density, granulate</t>
        </is>
      </c>
      <c r="B109" s="11" t="n">
        <v>0.7875</v>
      </c>
      <c r="C109" t="inlineStr">
        <is>
          <t>RER</t>
        </is>
      </c>
      <c r="D109" t="inlineStr">
        <is>
          <t>kilogram</t>
        </is>
      </c>
      <c r="F109" t="inlineStr">
        <is>
          <t>technosphere</t>
        </is>
      </c>
      <c r="G109" t="inlineStr">
        <is>
          <t>Fuel tank mass [kg]</t>
        </is>
      </c>
      <c r="H109" t="inlineStr">
        <is>
          <t>polyethylene, high density, granulate</t>
        </is>
      </c>
    </row>
    <row r="110">
      <c r="A110" s="13" t="inlineStr">
        <is>
          <t>market for transport, freight, lorry, unspecified</t>
        </is>
      </c>
      <c r="B110" t="n">
        <v>63</v>
      </c>
      <c r="C110" t="inlineStr">
        <is>
          <t>RER</t>
        </is>
      </c>
      <c r="D110" t="inlineStr">
        <is>
          <t>ton kilometer</t>
        </is>
      </c>
      <c r="F110" t="inlineStr">
        <is>
          <t>technosphere</t>
        </is>
      </c>
      <c r="H110" s="13" t="inlineStr">
        <is>
          <t>transport, freight, lorry, unspecified</t>
        </is>
      </c>
    </row>
    <row r="111">
      <c r="A111" s="13" t="inlineStr">
        <is>
          <t>transport, freight, sea, container ship</t>
        </is>
      </c>
      <c r="B111" s="2" t="n">
        <v>1001.7</v>
      </c>
      <c r="C111" t="inlineStr">
        <is>
          <t>GLO</t>
        </is>
      </c>
      <c r="D111" t="inlineStr">
        <is>
          <t>ton kilometer</t>
        </is>
      </c>
      <c r="F111" t="inlineStr">
        <is>
          <t>technosphere</t>
        </is>
      </c>
      <c r="H111" s="13" t="inlineStr">
        <is>
          <t>transport, freight, sea, container ship</t>
        </is>
      </c>
    </row>
    <row r="112"/>
    <row r="113"/>
    <row r="114" ht="16" customHeight="1">
      <c r="A114" s="10" t="inlineStr">
        <is>
          <t>Activity</t>
        </is>
      </c>
      <c r="B114" s="8" t="inlineStr">
        <is>
          <t>transport, Moped, gasoline, &lt;4kW, EURO-3</t>
        </is>
      </c>
    </row>
    <row r="115">
      <c r="A115" t="inlineStr">
        <is>
          <t>location</t>
        </is>
      </c>
      <c r="B115" t="inlineStr">
        <is>
          <t>CH</t>
        </is>
      </c>
    </row>
    <row r="116">
      <c r="A116" t="inlineStr">
        <is>
          <t>vehicle</t>
        </is>
      </c>
      <c r="B116" t="inlineStr">
        <is>
          <t>Moped, gasoline, &lt;4kW, EURO-3</t>
        </is>
      </c>
    </row>
    <row r="117">
      <c r="A117" t="inlineStr">
        <is>
          <t>size</t>
        </is>
      </c>
    </row>
    <row r="118">
      <c r="A118" t="inlineStr">
        <is>
          <t>year</t>
        </is>
      </c>
      <c r="B118" t="n">
        <v>2006</v>
      </c>
    </row>
    <row r="119">
      <c r="A119" t="inlineStr">
        <is>
          <t>full name</t>
        </is>
      </c>
      <c r="B119" t="inlineStr">
        <is>
          <t>Moped, gasoline, &lt;4kW, EURO-3 - 2006 - CH</t>
        </is>
      </c>
    </row>
    <row r="120">
      <c r="A120" t="inlineStr">
        <is>
          <t>reference product</t>
        </is>
      </c>
      <c r="B120" t="inlineStr">
        <is>
          <t>transport, Moped, gasoline, &lt;4kW, EURO-3</t>
        </is>
      </c>
    </row>
    <row r="121">
      <c r="A121" t="inlineStr">
        <is>
          <t>type</t>
        </is>
      </c>
      <c r="B121" t="inlineStr">
        <is>
          <t>process</t>
        </is>
      </c>
    </row>
    <row r="122">
      <c r="A122" t="inlineStr">
        <is>
          <t>unit</t>
        </is>
      </c>
      <c r="B122" t="inlineStr">
        <is>
          <t>kilometer</t>
        </is>
      </c>
    </row>
    <row r="123">
      <c r="A123" t="inlineStr">
        <is>
          <t>source</t>
        </is>
      </c>
      <c r="B123" t="inlineStr">
        <is>
          <t>Sacchi R., Bauer C. Life cycle inventories for on-road vehicles. Paul Scherrer Institut, 2021.</t>
        </is>
      </c>
    </row>
    <row r="124">
      <c r="A124" t="inlineStr">
        <is>
          <t>lifetime</t>
        </is>
      </c>
      <c r="B124" t="n">
        <v>25000</v>
      </c>
    </row>
    <row r="125">
      <c r="A125" t="inlineStr">
        <is>
          <t>passengers</t>
        </is>
      </c>
      <c r="B125" t="n">
        <v>1</v>
      </c>
    </row>
    <row r="126">
      <c r="A126" t="inlineStr">
        <is>
          <t>service</t>
        </is>
      </c>
      <c r="B126" t="n">
        <v>1</v>
      </c>
    </row>
    <row r="127">
      <c r="A127" t="inlineStr">
        <is>
          <t>battery replacement</t>
        </is>
      </c>
      <c r="B127" t="n">
        <v>0</v>
      </c>
    </row>
    <row r="128">
      <c r="A128" t="inlineStr">
        <is>
          <t>annual kilometers</t>
        </is>
      </c>
      <c r="B128" t="n">
        <v>1570</v>
      </c>
    </row>
    <row r="129">
      <c r="A129" t="inlineStr">
        <is>
          <t>curb mass</t>
        </is>
      </c>
      <c r="B129" s="2" t="n">
        <v>65.098125</v>
      </c>
    </row>
    <row r="130">
      <c r="A130" t="inlineStr">
        <is>
          <t>power</t>
        </is>
      </c>
      <c r="B130" t="n">
        <v>2.5</v>
      </c>
    </row>
    <row r="131">
      <c r="A131" t="inlineStr">
        <is>
          <t>battery mass</t>
        </is>
      </c>
    </row>
    <row r="132">
      <c r="A132" t="inlineStr">
        <is>
          <t>electricity, low voltage</t>
        </is>
      </c>
      <c r="B132" t="n">
        <v>0</v>
      </c>
    </row>
    <row r="133">
      <c r="A133" t="inlineStr">
        <is>
          <t>tank capacity</t>
        </is>
      </c>
      <c r="B133" s="2" t="n">
        <v>62.125</v>
      </c>
    </row>
    <row r="134">
      <c r="A134" t="inlineStr">
        <is>
          <t>fuel mass</t>
        </is>
      </c>
      <c r="B134" t="n">
        <v>5.25</v>
      </c>
    </row>
    <row r="135">
      <c r="A135" t="inlineStr">
        <is>
          <t>range</t>
        </is>
      </c>
      <c r="B135" s="2" t="n">
        <v>266.4078995516374</v>
      </c>
    </row>
    <row r="136">
      <c r="A136" t="inlineStr">
        <is>
          <t>emission standard</t>
        </is>
      </c>
      <c r="B136" t="inlineStr">
        <is>
          <t>EURO-3</t>
        </is>
      </c>
    </row>
    <row r="137">
      <c r="A137" t="inlineStr">
        <is>
          <t>Glider lightweighting</t>
        </is>
      </c>
      <c r="B137" s="6" t="n">
        <v>-0.05</v>
      </c>
    </row>
    <row r="138">
      <c r="A138" t="inlineStr">
        <is>
          <t>comment</t>
        </is>
      </c>
      <c r="B138" t="inlineStr">
        <is>
          <t>Power: 2.5 kW. Lifetime: 25000 km. Annual kilometers: 1570 km. Number of passengers: 1. Curb mass: 65.1 kg. Lightweighting of glider: -5%. Emission standard: EURO-3. Service visits throughout lifetime: 1. Range: 266 km.  Fuel tank capacity: 62.1 kWh. Fuel mass: 5.3 kg. Documentation: Life-cycle inventories for on-road vehicles, Sacchi R. (PSI), Bauer C. (PSI), 2021. Sacchi R., Bauer C. Life cycle inventories for on-road vehicles. Paul Scherrer Institut, 2021.</t>
        </is>
      </c>
    </row>
    <row r="139" ht="16" customHeight="1">
      <c r="A139" s="10" t="inlineStr">
        <is>
          <t>Exchanges</t>
        </is>
      </c>
    </row>
    <row r="140">
      <c r="A140" t="inlineStr">
        <is>
          <t>name</t>
        </is>
      </c>
      <c r="B140" t="inlineStr">
        <is>
          <t>amount</t>
        </is>
      </c>
      <c r="C140" t="inlineStr">
        <is>
          <t>location</t>
        </is>
      </c>
      <c r="D140" t="inlineStr">
        <is>
          <t>unit</t>
        </is>
      </c>
      <c r="E140" t="inlineStr">
        <is>
          <t>categories</t>
        </is>
      </c>
      <c r="F140" t="inlineStr">
        <is>
          <t>type</t>
        </is>
      </c>
      <c r="G140" t="inlineStr">
        <is>
          <t>comment</t>
        </is>
      </c>
      <c r="H140" t="inlineStr">
        <is>
          <t>reference product</t>
        </is>
      </c>
    </row>
    <row r="141">
      <c r="A141" t="inlineStr">
        <is>
          <t>transport, Moped, gasoline, &lt;4kW, EURO-3</t>
        </is>
      </c>
      <c r="B141" t="n">
        <v>1</v>
      </c>
      <c r="C141" t="inlineStr">
        <is>
          <t>CH</t>
        </is>
      </c>
      <c r="D141" t="inlineStr">
        <is>
          <t>kilometer</t>
        </is>
      </c>
      <c r="F141" t="inlineStr">
        <is>
          <t>production</t>
        </is>
      </c>
      <c r="H141" t="inlineStr">
        <is>
          <t>transport, Moped, gasoline, &lt;4kW, EURO-3</t>
        </is>
      </c>
    </row>
    <row r="142">
      <c r="A142" t="inlineStr">
        <is>
          <t>Moped, gasoline, &lt;4kW, EURO-3</t>
        </is>
      </c>
      <c r="B142" s="7" t="n">
        <v>4e-05</v>
      </c>
      <c r="C142" t="inlineStr">
        <is>
          <t>CH</t>
        </is>
      </c>
      <c r="D142" t="inlineStr">
        <is>
          <t>unit</t>
        </is>
      </c>
      <c r="F142" t="inlineStr">
        <is>
          <t>technosphere</t>
        </is>
      </c>
      <c r="H142" t="inlineStr">
        <is>
          <t>Moped, gasoline, &lt;4kW, EURO-3</t>
        </is>
      </c>
    </row>
    <row r="143">
      <c r="A143" t="inlineStr">
        <is>
          <t>road construction</t>
        </is>
      </c>
      <c r="B143" s="7" t="n">
        <v>7.630669312499999e-05</v>
      </c>
      <c r="C143" t="inlineStr">
        <is>
          <t>CH</t>
        </is>
      </c>
      <c r="D143" t="inlineStr">
        <is>
          <t>meter-year</t>
        </is>
      </c>
      <c r="F143" t="inlineStr">
        <is>
          <t>technosphere</t>
        </is>
      </c>
      <c r="G143" t="inlineStr">
        <is>
          <t>Road/track use [m*year/vkm or pkm]</t>
        </is>
      </c>
      <c r="H143" t="inlineStr">
        <is>
          <t>road</t>
        </is>
      </c>
    </row>
    <row r="144">
      <c r="A144" t="inlineStr">
        <is>
          <t>road maintenance</t>
        </is>
      </c>
      <c r="B144" s="7" t="n">
        <v>0.00129</v>
      </c>
      <c r="C144" t="inlineStr">
        <is>
          <t>CH</t>
        </is>
      </c>
      <c r="D144" t="inlineStr">
        <is>
          <t>meter-year</t>
        </is>
      </c>
      <c r="F144" t="inlineStr">
        <is>
          <t>technosphere</t>
        </is>
      </c>
      <c r="G144" t="inlineStr">
        <is>
          <t>Road maintenance [m*year/vkm]</t>
        </is>
      </c>
      <c r="H144" t="inlineStr">
        <is>
          <t>road maintenance</t>
        </is>
      </c>
    </row>
    <row r="145">
      <c r="A145" t="inlineStr">
        <is>
          <t>maintenance, motor scooter</t>
        </is>
      </c>
      <c r="B145" s="7" t="n">
        <v>4e-05</v>
      </c>
      <c r="C145" t="inlineStr">
        <is>
          <t>CH</t>
        </is>
      </c>
      <c r="D145" t="inlineStr">
        <is>
          <t>unit</t>
        </is>
      </c>
      <c r="F145" t="inlineStr">
        <is>
          <t>technosphere</t>
        </is>
      </c>
      <c r="G145" t="inlineStr">
        <is>
          <t>Servicing [unit]</t>
        </is>
      </c>
      <c r="H145" t="inlineStr">
        <is>
          <t>maintenance, motor scooter</t>
        </is>
      </c>
    </row>
    <row r="146">
      <c r="A146" t="inlineStr">
        <is>
          <t>petrol blending for two-stroke engines</t>
        </is>
      </c>
      <c r="B146" s="7" t="n">
        <v>0.01970662284727935</v>
      </c>
      <c r="C146" t="inlineStr">
        <is>
          <t>CH</t>
        </is>
      </c>
      <c r="D146" t="inlineStr">
        <is>
          <t>kilogram</t>
        </is>
      </c>
      <c r="F146" t="inlineStr">
        <is>
          <t>technosphere</t>
        </is>
      </c>
      <c r="G146" t="inlineStr">
        <is>
          <t>Gasoline consumption [MJ/km]</t>
        </is>
      </c>
      <c r="H146" t="inlineStr">
        <is>
          <t>petrol, two-stroke blend</t>
        </is>
      </c>
    </row>
    <row r="147">
      <c r="A147" t="inlineStr">
        <is>
          <t>Carbon dioxide, fossil</t>
        </is>
      </c>
      <c r="B147" s="7" t="n">
        <v>0.06187879574045715</v>
      </c>
      <c r="D147" t="inlineStr">
        <is>
          <t>kilogram</t>
        </is>
      </c>
      <c r="E147" t="inlineStr">
        <is>
          <t>air::urban air close to ground</t>
        </is>
      </c>
      <c r="F147" t="inlineStr">
        <is>
          <t>biosphere</t>
        </is>
      </c>
      <c r="G147" t="inlineStr">
        <is>
          <t>CO2</t>
        </is>
      </c>
    </row>
    <row r="148">
      <c r="A148" t="inlineStr">
        <is>
          <t>Sulfur dioxide</t>
        </is>
      </c>
      <c r="B148" s="7" t="n">
        <v>3.153059655564695e-07</v>
      </c>
      <c r="D148" t="inlineStr">
        <is>
          <t>kilogram</t>
        </is>
      </c>
      <c r="E148" t="inlineStr">
        <is>
          <t>air::urban air close to ground</t>
        </is>
      </c>
      <c r="F148" t="inlineStr">
        <is>
          <t>biosphere</t>
        </is>
      </c>
      <c r="G148" t="inlineStr">
        <is>
          <t>SO2</t>
        </is>
      </c>
    </row>
    <row r="149">
      <c r="A149" t="inlineStr">
        <is>
          <t>Benzene</t>
        </is>
      </c>
      <c r="B149" s="7" t="n">
        <v>0.0001031004066612032</v>
      </c>
      <c r="D149" t="inlineStr">
        <is>
          <t>kilogram</t>
        </is>
      </c>
      <c r="E149" t="inlineStr">
        <is>
          <t>air::urban air close to ground</t>
        </is>
      </c>
      <c r="F149" t="inlineStr">
        <is>
          <t>biosphere</t>
        </is>
      </c>
      <c r="G149" t="inlineStr">
        <is>
          <t>Benzene</t>
        </is>
      </c>
    </row>
    <row r="150">
      <c r="A150" t="inlineStr">
        <is>
          <t>Methane, fossil</t>
        </is>
      </c>
      <c r="B150" s="7" t="n">
        <v>2.233884379819547e-05</v>
      </c>
      <c r="D150" t="inlineStr">
        <is>
          <t>kilogram</t>
        </is>
      </c>
      <c r="E150" t="inlineStr">
        <is>
          <t>air::urban air close to ground</t>
        </is>
      </c>
      <c r="F150" t="inlineStr">
        <is>
          <t>biosphere</t>
        </is>
      </c>
      <c r="G150" t="inlineStr">
        <is>
          <t>CH4</t>
        </is>
      </c>
    </row>
    <row r="151">
      <c r="A151" t="inlineStr">
        <is>
          <t>Carbon monoxide, fossil</t>
        </is>
      </c>
      <c r="B151" s="7" t="n">
        <v>0.003277971259693117</v>
      </c>
      <c r="D151" t="inlineStr">
        <is>
          <t>kilogram</t>
        </is>
      </c>
      <c r="E151" t="inlineStr">
        <is>
          <t>air::urban air close to ground</t>
        </is>
      </c>
      <c r="F151" t="inlineStr">
        <is>
          <t>biosphere</t>
        </is>
      </c>
      <c r="G151" t="inlineStr">
        <is>
          <t>CO</t>
        </is>
      </c>
    </row>
    <row r="152">
      <c r="A152" t="inlineStr">
        <is>
          <t>Dinitrogen monoxide</t>
        </is>
      </c>
      <c r="B152" s="7" t="n">
        <v>1.133376143997741e-06</v>
      </c>
      <c r="D152" t="inlineStr">
        <is>
          <t>kilogram</t>
        </is>
      </c>
      <c r="E152" t="inlineStr">
        <is>
          <t>air::urban air close to ground</t>
        </is>
      </c>
      <c r="F152" t="inlineStr">
        <is>
          <t>biosphere</t>
        </is>
      </c>
      <c r="G152" t="inlineStr">
        <is>
          <t>N2O</t>
        </is>
      </c>
    </row>
    <row r="153">
      <c r="A153" t="inlineStr">
        <is>
          <t>Ammonia</t>
        </is>
      </c>
      <c r="B153" s="7" t="n">
        <v>1.133376143997741e-06</v>
      </c>
      <c r="D153" t="inlineStr">
        <is>
          <t>kilogram</t>
        </is>
      </c>
      <c r="E153" t="inlineStr">
        <is>
          <t>air::urban air close to ground</t>
        </is>
      </c>
      <c r="F153" t="inlineStr">
        <is>
          <t>biosphere</t>
        </is>
      </c>
      <c r="G153" t="inlineStr">
        <is>
          <t>NH3</t>
        </is>
      </c>
    </row>
    <row r="154">
      <c r="A154" t="inlineStr">
        <is>
          <t>Nitrogen oxides</t>
        </is>
      </c>
      <c r="B154" s="7" t="n">
        <v>0.0003739368775579656</v>
      </c>
      <c r="D154" t="inlineStr">
        <is>
          <t>kilogram</t>
        </is>
      </c>
      <c r="E154" t="inlineStr">
        <is>
          <t>air::urban air close to ground</t>
        </is>
      </c>
      <c r="F154" t="inlineStr">
        <is>
          <t>biosphere</t>
        </is>
      </c>
      <c r="G154" t="inlineStr">
        <is>
          <t>NOx</t>
        </is>
      </c>
    </row>
    <row r="155">
      <c r="A155" t="inlineStr">
        <is>
          <t>Particulates, &lt; 2.5 um</t>
        </is>
      </c>
      <c r="B155" s="7" t="n">
        <v>1.171374555458559e-05</v>
      </c>
      <c r="D155" t="inlineStr">
        <is>
          <t>kilogram</t>
        </is>
      </c>
      <c r="E155" t="inlineStr">
        <is>
          <t>air::urban air close to ground</t>
        </is>
      </c>
      <c r="F155" t="inlineStr">
        <is>
          <t>biosphere</t>
        </is>
      </c>
      <c r="G155" t="inlineStr">
        <is>
          <t>PM2.5</t>
        </is>
      </c>
    </row>
    <row r="156">
      <c r="A156" t="inlineStr">
        <is>
          <t>NMVOC, non-methane volatile organic compounds, unspecified origin</t>
        </is>
      </c>
      <c r="B156" s="7" t="n">
        <v>0.0008314193221662802</v>
      </c>
      <c r="D156" t="inlineStr">
        <is>
          <t>kilogram</t>
        </is>
      </c>
      <c r="E156" t="inlineStr">
        <is>
          <t>air::urban air close to ground</t>
        </is>
      </c>
      <c r="F156" t="inlineStr">
        <is>
          <t>biosphere</t>
        </is>
      </c>
      <c r="G156" t="inlineStr">
        <is>
          <t>NMVOC</t>
        </is>
      </c>
    </row>
    <row r="157">
      <c r="A157" t="inlineStr">
        <is>
          <t>Ethane</t>
        </is>
      </c>
      <c r="B157" s="7" t="n">
        <v>5.862572143480181e-05</v>
      </c>
      <c r="D157" t="inlineStr">
        <is>
          <t>kilogram</t>
        </is>
      </c>
      <c r="E157" t="inlineStr">
        <is>
          <t>air::urban air close to ground</t>
        </is>
      </c>
      <c r="F157" t="inlineStr">
        <is>
          <t>biosphere</t>
        </is>
      </c>
      <c r="G157" t="inlineStr">
        <is>
          <t>Ethane</t>
        </is>
      </c>
    </row>
    <row r="158">
      <c r="A158" t="inlineStr">
        <is>
          <t>Propane</t>
        </is>
      </c>
      <c r="B158" s="7" t="n">
        <v>1.194567991618219e-05</v>
      </c>
      <c r="D158" t="inlineStr">
        <is>
          <t>kilogram</t>
        </is>
      </c>
      <c r="E158" t="inlineStr">
        <is>
          <t>air::urban air close to ground</t>
        </is>
      </c>
      <c r="F158" t="inlineStr">
        <is>
          <t>biosphere</t>
        </is>
      </c>
      <c r="G158" t="inlineStr">
        <is>
          <t>Propane</t>
        </is>
      </c>
    </row>
    <row r="159">
      <c r="A159" t="inlineStr">
        <is>
          <t>Butane</t>
        </is>
      </c>
      <c r="B159" s="7" t="n">
        <v>9.630055809353025e-05</v>
      </c>
      <c r="D159" t="inlineStr">
        <is>
          <t>kilogram</t>
        </is>
      </c>
      <c r="E159" t="inlineStr">
        <is>
          <t>air::urban air close to ground</t>
        </is>
      </c>
      <c r="F159" t="inlineStr">
        <is>
          <t>biosphere</t>
        </is>
      </c>
      <c r="G159" t="inlineStr">
        <is>
          <t>Butane</t>
        </is>
      </c>
    </row>
    <row r="160">
      <c r="A160" t="inlineStr">
        <is>
          <t>Pentane</t>
        </is>
      </c>
      <c r="B160" s="7" t="n">
        <v>3.951263356891031e-05</v>
      </c>
      <c r="D160" t="inlineStr">
        <is>
          <t>kilogram</t>
        </is>
      </c>
      <c r="E160" t="inlineStr">
        <is>
          <t>air::urban air close to ground</t>
        </is>
      </c>
      <c r="F160" t="inlineStr">
        <is>
          <t>biosphere</t>
        </is>
      </c>
      <c r="G160" t="inlineStr">
        <is>
          <t>Pentane</t>
        </is>
      </c>
    </row>
    <row r="161">
      <c r="A161" t="inlineStr">
        <is>
          <t>Hexane</t>
        </is>
      </c>
      <c r="B161" s="7" t="n">
        <v>2.958853025392819e-05</v>
      </c>
      <c r="D161" t="inlineStr">
        <is>
          <t>kilogram</t>
        </is>
      </c>
      <c r="E161" t="inlineStr">
        <is>
          <t>air::urban air close to ground</t>
        </is>
      </c>
      <c r="F161" t="inlineStr">
        <is>
          <t>biosphere</t>
        </is>
      </c>
      <c r="G161" t="inlineStr">
        <is>
          <t>Hexane</t>
        </is>
      </c>
    </row>
    <row r="162">
      <c r="A162" t="inlineStr">
        <is>
          <t>Cyclohexane</t>
        </is>
      </c>
      <c r="B162" s="7" t="n">
        <v>2.095088477607337e-05</v>
      </c>
      <c r="D162" t="inlineStr">
        <is>
          <t>kilogram</t>
        </is>
      </c>
      <c r="E162" t="inlineStr">
        <is>
          <t>air::urban air close to ground</t>
        </is>
      </c>
      <c r="F162" t="inlineStr">
        <is>
          <t>biosphere</t>
        </is>
      </c>
      <c r="G162" t="inlineStr">
        <is>
          <t>Cyclohexane</t>
        </is>
      </c>
    </row>
    <row r="163">
      <c r="A163" t="inlineStr">
        <is>
          <t>Heptane</t>
        </is>
      </c>
      <c r="B163" s="7" t="n">
        <v>1.359969713534587e-05</v>
      </c>
      <c r="D163" t="inlineStr">
        <is>
          <t>kilogram</t>
        </is>
      </c>
      <c r="E163" t="inlineStr">
        <is>
          <t>air::urban air close to ground</t>
        </is>
      </c>
      <c r="F163" t="inlineStr">
        <is>
          <t>biosphere</t>
        </is>
      </c>
      <c r="G163" t="inlineStr">
        <is>
          <t>Heptane</t>
        </is>
      </c>
    </row>
    <row r="164">
      <c r="A164" t="inlineStr">
        <is>
          <t>Ethene</t>
        </is>
      </c>
      <c r="B164" s="7" t="n">
        <v>0.0001341591744432769</v>
      </c>
      <c r="D164" t="inlineStr">
        <is>
          <t>kilogram</t>
        </is>
      </c>
      <c r="E164" t="inlineStr">
        <is>
          <t>air::urban air close to ground</t>
        </is>
      </c>
      <c r="F164" t="inlineStr">
        <is>
          <t>biosphere</t>
        </is>
      </c>
      <c r="G164" t="inlineStr">
        <is>
          <t>Ethene</t>
        </is>
      </c>
    </row>
    <row r="165">
      <c r="A165" t="inlineStr">
        <is>
          <t>Propene</t>
        </is>
      </c>
      <c r="B165" s="7" t="n">
        <v>7.020384196894762e-05</v>
      </c>
      <c r="D165" t="inlineStr">
        <is>
          <t>kilogram</t>
        </is>
      </c>
      <c r="E165" t="inlineStr">
        <is>
          <t>air::urban air close to ground</t>
        </is>
      </c>
      <c r="F165" t="inlineStr">
        <is>
          <t>biosphere</t>
        </is>
      </c>
      <c r="G165" t="inlineStr">
        <is>
          <t>Propene</t>
        </is>
      </c>
    </row>
    <row r="166">
      <c r="A166" t="inlineStr">
        <is>
          <t>1-Pentene</t>
        </is>
      </c>
      <c r="B166" s="7" t="n">
        <v>2.021576601200062e-06</v>
      </c>
      <c r="D166" t="inlineStr">
        <is>
          <t>kilogram</t>
        </is>
      </c>
      <c r="E166" t="inlineStr">
        <is>
          <t>air::urban air close to ground</t>
        </is>
      </c>
      <c r="F166" t="inlineStr">
        <is>
          <t>biosphere</t>
        </is>
      </c>
      <c r="G166" t="inlineStr">
        <is>
          <t>1-Pentene</t>
        </is>
      </c>
    </row>
    <row r="167">
      <c r="A167" t="inlineStr">
        <is>
          <t>Toluene</t>
        </is>
      </c>
      <c r="B167" s="7" t="n">
        <v>0.0002017901007379699</v>
      </c>
      <c r="D167" t="inlineStr">
        <is>
          <t>kilogram</t>
        </is>
      </c>
      <c r="E167" t="inlineStr">
        <is>
          <t>air::urban air close to ground</t>
        </is>
      </c>
      <c r="F167" t="inlineStr">
        <is>
          <t>biosphere</t>
        </is>
      </c>
      <c r="G167" t="inlineStr">
        <is>
          <t>Toluene</t>
        </is>
      </c>
    </row>
    <row r="168">
      <c r="A168" t="inlineStr">
        <is>
          <t>m-Xylene</t>
        </is>
      </c>
      <c r="B168" s="7" t="n">
        <v>9.979237222287582e-05</v>
      </c>
      <c r="D168" t="inlineStr">
        <is>
          <t>kilogram</t>
        </is>
      </c>
      <c r="E168" t="inlineStr">
        <is>
          <t>air::urban air close to ground</t>
        </is>
      </c>
      <c r="F168" t="inlineStr">
        <is>
          <t>biosphere</t>
        </is>
      </c>
      <c r="G168" t="inlineStr">
        <is>
          <t>m-Xylene</t>
        </is>
      </c>
    </row>
    <row r="169">
      <c r="A169" t="inlineStr">
        <is>
          <t>o-Xylene</t>
        </is>
      </c>
      <c r="B169" s="7" t="n">
        <v>4.153421017011037e-05</v>
      </c>
      <c r="D169" t="inlineStr">
        <is>
          <t>kilogram</t>
        </is>
      </c>
      <c r="E169" t="inlineStr">
        <is>
          <t>air::urban air close to ground</t>
        </is>
      </c>
      <c r="F169" t="inlineStr">
        <is>
          <t>biosphere</t>
        </is>
      </c>
      <c r="G169" t="inlineStr">
        <is>
          <t>o-Xylene</t>
        </is>
      </c>
    </row>
    <row r="170">
      <c r="A170" t="inlineStr">
        <is>
          <t>Formaldehyde</t>
        </is>
      </c>
      <c r="B170" s="7" t="n">
        <v>3.124254747309188e-05</v>
      </c>
      <c r="D170" t="inlineStr">
        <is>
          <t>kilogram</t>
        </is>
      </c>
      <c r="E170" t="inlineStr">
        <is>
          <t>air::urban air close to ground</t>
        </is>
      </c>
      <c r="F170" t="inlineStr">
        <is>
          <t>biosphere</t>
        </is>
      </c>
      <c r="G170" t="inlineStr">
        <is>
          <t>Formaldehyde</t>
        </is>
      </c>
    </row>
    <row r="171">
      <c r="A171" t="inlineStr">
        <is>
          <t>Acetaldehyde</t>
        </is>
      </c>
      <c r="B171" s="7" t="n">
        <v>1.378347682636406e-05</v>
      </c>
      <c r="D171" t="inlineStr">
        <is>
          <t>kilogram</t>
        </is>
      </c>
      <c r="E171" t="inlineStr">
        <is>
          <t>air::urban air close to ground</t>
        </is>
      </c>
      <c r="F171" t="inlineStr">
        <is>
          <t>biosphere</t>
        </is>
      </c>
      <c r="G171" t="inlineStr">
        <is>
          <t>Acetaldehyde</t>
        </is>
      </c>
    </row>
    <row r="172">
      <c r="A172" t="inlineStr">
        <is>
          <t>Benzaldehyde</t>
        </is>
      </c>
      <c r="B172" s="7" t="n">
        <v>4.043153202400125e-06</v>
      </c>
      <c r="D172" t="inlineStr">
        <is>
          <t>kilogram</t>
        </is>
      </c>
      <c r="E172" t="inlineStr">
        <is>
          <t>air::urban air close to ground</t>
        </is>
      </c>
      <c r="F172" t="inlineStr">
        <is>
          <t>biosphere</t>
        </is>
      </c>
      <c r="G172" t="inlineStr">
        <is>
          <t>Benzaldehyde</t>
        </is>
      </c>
    </row>
    <row r="173">
      <c r="A173" t="inlineStr">
        <is>
          <t>Acetone</t>
        </is>
      </c>
      <c r="B173" s="7" t="n">
        <v>1.121056115210944e-05</v>
      </c>
      <c r="D173" t="inlineStr">
        <is>
          <t>kilogram</t>
        </is>
      </c>
      <c r="E173" t="inlineStr">
        <is>
          <t>air::urban air close to ground</t>
        </is>
      </c>
      <c r="F173" t="inlineStr">
        <is>
          <t>biosphere</t>
        </is>
      </c>
      <c r="G173" t="inlineStr">
        <is>
          <t>Acetone</t>
        </is>
      </c>
    </row>
    <row r="174">
      <c r="A174" t="inlineStr">
        <is>
          <t>Methyl ethyl ketone</t>
        </is>
      </c>
      <c r="B174" s="7" t="n">
        <v>9.188984550909376e-07</v>
      </c>
      <c r="D174" t="inlineStr">
        <is>
          <t>kilogram</t>
        </is>
      </c>
      <c r="E174" t="inlineStr">
        <is>
          <t>air::urban air close to ground</t>
        </is>
      </c>
      <c r="F174" t="inlineStr">
        <is>
          <t>biosphere</t>
        </is>
      </c>
      <c r="G174" t="inlineStr">
        <is>
          <t>Methyl ethyl ketone</t>
        </is>
      </c>
    </row>
    <row r="175">
      <c r="A175" t="inlineStr">
        <is>
          <t>Acrolein</t>
        </is>
      </c>
      <c r="B175" s="7" t="n">
        <v>3.491814129345562e-06</v>
      </c>
      <c r="D175" t="inlineStr">
        <is>
          <t>kilogram</t>
        </is>
      </c>
      <c r="E175" t="inlineStr">
        <is>
          <t>air::urban air close to ground</t>
        </is>
      </c>
      <c r="F175" t="inlineStr">
        <is>
          <t>biosphere</t>
        </is>
      </c>
      <c r="G175" t="inlineStr">
        <is>
          <t>Acrolein</t>
        </is>
      </c>
    </row>
    <row r="176">
      <c r="A176" t="inlineStr">
        <is>
          <t>Styrene</t>
        </is>
      </c>
      <c r="B176" s="7" t="n">
        <v>1.856174879283694e-05</v>
      </c>
      <c r="D176" t="inlineStr">
        <is>
          <t>kilogram</t>
        </is>
      </c>
      <c r="E176" t="inlineStr">
        <is>
          <t>air::urban air close to ground</t>
        </is>
      </c>
      <c r="F176" t="inlineStr">
        <is>
          <t>biosphere</t>
        </is>
      </c>
      <c r="G176" t="inlineStr">
        <is>
          <t>Styrene</t>
        </is>
      </c>
    </row>
    <row r="177">
      <c r="A177" t="inlineStr">
        <is>
          <t>PAH, polycyclic aromatic hydrocarbons</t>
        </is>
      </c>
      <c r="B177" s="7" t="n">
        <v>6.87404099732581e-10</v>
      </c>
      <c r="D177" t="inlineStr">
        <is>
          <t>kilogram</t>
        </is>
      </c>
      <c r="E177" t="inlineStr">
        <is>
          <t>air::urban air close to ground</t>
        </is>
      </c>
      <c r="F177" t="inlineStr">
        <is>
          <t>biosphere</t>
        </is>
      </c>
      <c r="G177" t="inlineStr">
        <is>
          <t>PAHs</t>
        </is>
      </c>
    </row>
    <row r="178">
      <c r="A178" t="inlineStr">
        <is>
          <t>Arsenic</t>
        </is>
      </c>
      <c r="B178" s="7" t="n">
        <v>5.925897411487767e-12</v>
      </c>
      <c r="D178" t="inlineStr">
        <is>
          <t>kilogram</t>
        </is>
      </c>
      <c r="E178" t="inlineStr">
        <is>
          <t>air::urban air close to ground</t>
        </is>
      </c>
      <c r="F178" t="inlineStr">
        <is>
          <t>biosphere</t>
        </is>
      </c>
      <c r="G178" t="inlineStr">
        <is>
          <t>Arsenic</t>
        </is>
      </c>
    </row>
    <row r="179">
      <c r="A179" t="inlineStr">
        <is>
          <t>Selenium</t>
        </is>
      </c>
      <c r="B179" s="7" t="n">
        <v>3.950598274325178e-12</v>
      </c>
      <c r="D179" t="inlineStr">
        <is>
          <t>kilogram</t>
        </is>
      </c>
      <c r="E179" t="inlineStr">
        <is>
          <t>air::urban air close to ground</t>
        </is>
      </c>
      <c r="F179" t="inlineStr">
        <is>
          <t>biosphere</t>
        </is>
      </c>
      <c r="G179" t="inlineStr">
        <is>
          <t>Selenium</t>
        </is>
      </c>
    </row>
    <row r="180">
      <c r="A180" t="inlineStr">
        <is>
          <t>Zinc</t>
        </is>
      </c>
      <c r="B180" s="7" t="n">
        <v>4.266646136271193e-08</v>
      </c>
      <c r="D180" t="inlineStr">
        <is>
          <t>kilogram</t>
        </is>
      </c>
      <c r="E180" t="inlineStr">
        <is>
          <t>air::urban air close to ground</t>
        </is>
      </c>
      <c r="F180" t="inlineStr">
        <is>
          <t>biosphere</t>
        </is>
      </c>
      <c r="G180" t="inlineStr">
        <is>
          <t>Zinc</t>
        </is>
      </c>
    </row>
    <row r="181">
      <c r="A181" t="inlineStr">
        <is>
          <t>Copper</t>
        </is>
      </c>
      <c r="B181" s="7" t="n">
        <v>8.296256376082873e-10</v>
      </c>
      <c r="D181" t="inlineStr">
        <is>
          <t>kilogram</t>
        </is>
      </c>
      <c r="E181" t="inlineStr">
        <is>
          <t>air::urban air close to ground</t>
        </is>
      </c>
      <c r="F181" t="inlineStr">
        <is>
          <t>biosphere</t>
        </is>
      </c>
      <c r="G181" t="inlineStr">
        <is>
          <t>Copper</t>
        </is>
      </c>
    </row>
    <row r="182">
      <c r="A182" t="inlineStr">
        <is>
          <t>Nickel</t>
        </is>
      </c>
      <c r="B182" s="7" t="n">
        <v>2.567888878311366e-10</v>
      </c>
      <c r="D182" t="inlineStr">
        <is>
          <t>kilogram</t>
        </is>
      </c>
      <c r="E182" t="inlineStr">
        <is>
          <t>air::urban air close to ground</t>
        </is>
      </c>
      <c r="F182" t="inlineStr">
        <is>
          <t>biosphere</t>
        </is>
      </c>
      <c r="G182" t="inlineStr">
        <is>
          <t>Nickel</t>
        </is>
      </c>
    </row>
    <row r="183">
      <c r="A183" t="inlineStr">
        <is>
          <t>Chromium</t>
        </is>
      </c>
      <c r="B183" s="7" t="n">
        <v>3.160478619460142e-10</v>
      </c>
      <c r="D183" t="inlineStr">
        <is>
          <t>kilogram</t>
        </is>
      </c>
      <c r="E183" t="inlineStr">
        <is>
          <t>air::urban air close to ground</t>
        </is>
      </c>
      <c r="F183" t="inlineStr">
        <is>
          <t>biosphere</t>
        </is>
      </c>
      <c r="G183" t="inlineStr">
        <is>
          <t>Chromium</t>
        </is>
      </c>
    </row>
    <row r="184">
      <c r="A184" t="inlineStr">
        <is>
          <t>Chromium VI</t>
        </is>
      </c>
      <c r="B184" s="7" t="n">
        <v>6.320957238920284e-13</v>
      </c>
      <c r="D184" t="inlineStr">
        <is>
          <t>kilogram</t>
        </is>
      </c>
      <c r="E184" t="inlineStr">
        <is>
          <t>air::urban air close to ground</t>
        </is>
      </c>
      <c r="F184" t="inlineStr">
        <is>
          <t>biosphere</t>
        </is>
      </c>
      <c r="G184" t="inlineStr">
        <is>
          <t>Chromium VI</t>
        </is>
      </c>
    </row>
    <row r="185">
      <c r="A185" t="inlineStr">
        <is>
          <t>Mercury</t>
        </is>
      </c>
      <c r="B185" s="7" t="n">
        <v>1.718510249331452e-10</v>
      </c>
      <c r="D185" t="inlineStr">
        <is>
          <t>kilogram</t>
        </is>
      </c>
      <c r="E185" t="inlineStr">
        <is>
          <t>air::urban air close to ground</t>
        </is>
      </c>
      <c r="F185" t="inlineStr">
        <is>
          <t>biosphere</t>
        </is>
      </c>
      <c r="G185" t="inlineStr">
        <is>
          <t>Mercury</t>
        </is>
      </c>
    </row>
    <row r="186">
      <c r="A186" t="inlineStr">
        <is>
          <t>Cadmium</t>
        </is>
      </c>
      <c r="B186" s="7" t="n">
        <v>2.133323068135597e-10</v>
      </c>
      <c r="D186" t="inlineStr">
        <is>
          <t>kilogram</t>
        </is>
      </c>
      <c r="E186" t="inlineStr">
        <is>
          <t>air::urban air close to ground</t>
        </is>
      </c>
      <c r="F186" t="inlineStr">
        <is>
          <t>biosphere</t>
        </is>
      </c>
      <c r="G186" t="inlineStr">
        <is>
          <t>Cadmium</t>
        </is>
      </c>
    </row>
    <row r="187">
      <c r="A187" t="inlineStr">
        <is>
          <t>treatment of road wear emissions, passenger car</t>
        </is>
      </c>
      <c r="B187" s="7" t="n">
        <v>-5.560252691310999e-06</v>
      </c>
      <c r="C187" t="inlineStr">
        <is>
          <t>RER</t>
        </is>
      </c>
      <c r="D187" t="inlineStr">
        <is>
          <t>kilogram</t>
        </is>
      </c>
      <c r="F187" t="inlineStr">
        <is>
          <t>technosphere</t>
        </is>
      </c>
      <c r="G187" t="inlineStr">
        <is>
          <t>Road wear [kg/km]</t>
        </is>
      </c>
      <c r="H187" t="inlineStr">
        <is>
          <t>road wear emissions, passenger car</t>
        </is>
      </c>
    </row>
    <row r="188">
      <c r="A188" t="inlineStr">
        <is>
          <t>treatment of tyre wear emissions, passenger car</t>
        </is>
      </c>
      <c r="B188" s="7" t="n">
        <v>-4.695482454352151e-06</v>
      </c>
      <c r="C188" t="inlineStr">
        <is>
          <t>RER</t>
        </is>
      </c>
      <c r="D188" t="inlineStr">
        <is>
          <t>kilogram</t>
        </is>
      </c>
      <c r="F188" t="inlineStr">
        <is>
          <t>technosphere</t>
        </is>
      </c>
      <c r="G188" t="inlineStr">
        <is>
          <t>Tire wear [kg/km]</t>
        </is>
      </c>
      <c r="H188" t="inlineStr">
        <is>
          <t>tyre wear emissions, passenger car</t>
        </is>
      </c>
    </row>
    <row r="189">
      <c r="A189" t="inlineStr">
        <is>
          <t>treatment of brake wear emissions, passenger car</t>
        </is>
      </c>
      <c r="B189" s="7" t="n">
        <v>-3.226469714231489e-06</v>
      </c>
      <c r="C189" t="inlineStr">
        <is>
          <t>RER</t>
        </is>
      </c>
      <c r="D189" t="inlineStr">
        <is>
          <t>kilogram</t>
        </is>
      </c>
      <c r="F189" t="inlineStr">
        <is>
          <t>technosphere</t>
        </is>
      </c>
      <c r="G189" t="inlineStr">
        <is>
          <t>Brake wear [kg/km]</t>
        </is>
      </c>
      <c r="H189" t="inlineStr">
        <is>
          <t>brake wear emissions, passenger car</t>
        </is>
      </c>
    </row>
    <row r="190"/>
    <row r="191" ht="16" customHeight="1">
      <c r="A191" s="10" t="inlineStr">
        <is>
          <t>Activity</t>
        </is>
      </c>
      <c r="B191" s="8" t="inlineStr">
        <is>
          <t>transport, Moped, gasoline, &lt;4kW, EURO-4</t>
        </is>
      </c>
    </row>
    <row r="192">
      <c r="A192" t="inlineStr">
        <is>
          <t>location</t>
        </is>
      </c>
      <c r="B192" t="inlineStr">
        <is>
          <t>CH</t>
        </is>
      </c>
    </row>
    <row r="193">
      <c r="A193" t="inlineStr">
        <is>
          <t>vehicle</t>
        </is>
      </c>
      <c r="B193" t="inlineStr">
        <is>
          <t>Moped, gasoline, &lt;4kW, EURO-4</t>
        </is>
      </c>
    </row>
    <row r="194">
      <c r="A194" t="inlineStr">
        <is>
          <t>size</t>
        </is>
      </c>
    </row>
    <row r="195">
      <c r="A195" t="inlineStr">
        <is>
          <t>year</t>
        </is>
      </c>
      <c r="B195" t="n">
        <v>2016</v>
      </c>
    </row>
    <row r="196">
      <c r="A196" t="inlineStr">
        <is>
          <t>full name</t>
        </is>
      </c>
      <c r="B196" t="inlineStr">
        <is>
          <t>Moped, gasoline, &lt;4kW, EURO-4 - 2016 - CH</t>
        </is>
      </c>
    </row>
    <row r="197">
      <c r="A197" t="inlineStr">
        <is>
          <t>reference product</t>
        </is>
      </c>
      <c r="B197" t="inlineStr">
        <is>
          <t>transport, Moped, gasoline, &lt;4kW, EURO-4</t>
        </is>
      </c>
    </row>
    <row r="198">
      <c r="A198" t="inlineStr">
        <is>
          <t>type</t>
        </is>
      </c>
      <c r="B198" t="inlineStr">
        <is>
          <t>process</t>
        </is>
      </c>
    </row>
    <row r="199">
      <c r="A199" t="inlineStr">
        <is>
          <t>unit</t>
        </is>
      </c>
      <c r="B199" t="inlineStr">
        <is>
          <t>kilometer</t>
        </is>
      </c>
    </row>
    <row r="200">
      <c r="A200" t="inlineStr">
        <is>
          <t>source</t>
        </is>
      </c>
      <c r="B200" t="inlineStr">
        <is>
          <t>Sacchi R., Bauer C. Life cycle inventories for on-road vehicles. Paul Scherrer Institut, 2021.</t>
        </is>
      </c>
    </row>
    <row r="201">
      <c r="A201" t="inlineStr">
        <is>
          <t>lifetime</t>
        </is>
      </c>
      <c r="B201" t="n">
        <v>25000</v>
      </c>
    </row>
    <row r="202">
      <c r="A202" t="inlineStr">
        <is>
          <t>passengers</t>
        </is>
      </c>
      <c r="B202" t="n">
        <v>1</v>
      </c>
    </row>
    <row r="203">
      <c r="A203" t="inlineStr">
        <is>
          <t>service</t>
        </is>
      </c>
      <c r="B203" t="n">
        <v>1</v>
      </c>
    </row>
    <row r="204">
      <c r="A204" t="inlineStr">
        <is>
          <t>battery replacement</t>
        </is>
      </c>
      <c r="B204" t="n">
        <v>0</v>
      </c>
    </row>
    <row r="205">
      <c r="A205" t="inlineStr">
        <is>
          <t>annual kilometers</t>
        </is>
      </c>
      <c r="B205" t="n">
        <v>1570</v>
      </c>
    </row>
    <row r="206">
      <c r="A206" t="inlineStr">
        <is>
          <t>curb mass</t>
        </is>
      </c>
      <c r="B206" s="2" t="n">
        <v>63.83925</v>
      </c>
    </row>
    <row r="207">
      <c r="A207" t="inlineStr">
        <is>
          <t>power</t>
        </is>
      </c>
      <c r="B207" t="n">
        <v>2.5</v>
      </c>
    </row>
    <row r="208">
      <c r="A208" t="inlineStr">
        <is>
          <t>battery mass</t>
        </is>
      </c>
    </row>
    <row r="209">
      <c r="A209" t="inlineStr">
        <is>
          <t>electricity, low voltage</t>
        </is>
      </c>
      <c r="B209" t="n">
        <v>0</v>
      </c>
    </row>
    <row r="210">
      <c r="A210" t="inlineStr">
        <is>
          <t>tank capacity</t>
        </is>
      </c>
      <c r="B210" s="2" t="n">
        <v>62.125</v>
      </c>
    </row>
    <row r="211">
      <c r="A211" t="inlineStr">
        <is>
          <t>fuel mass</t>
        </is>
      </c>
      <c r="B211" t="n">
        <v>5.25</v>
      </c>
    </row>
    <row r="212">
      <c r="A212" t="inlineStr">
        <is>
          <t>range</t>
        </is>
      </c>
      <c r="B212" s="2" t="n">
        <v>269.0719785471538</v>
      </c>
    </row>
    <row r="213">
      <c r="A213" t="inlineStr">
        <is>
          <t>emission standard</t>
        </is>
      </c>
      <c r="B213" t="inlineStr">
        <is>
          <t>EURO-4</t>
        </is>
      </c>
    </row>
    <row r="214">
      <c r="A214" t="inlineStr">
        <is>
          <t>Glider lightweighting</t>
        </is>
      </c>
      <c r="B214" s="6" t="n">
        <v>-0.02</v>
      </c>
    </row>
    <row r="215">
      <c r="A215" t="inlineStr">
        <is>
          <t>comment</t>
        </is>
      </c>
      <c r="B215" t="inlineStr">
        <is>
          <t>Power: 2.5 kW. Lifetime: 25000 km. Annual kilometers: 1570 km. Number of passengers: 1. Curb mass: 63.8 kg. Lightweighting of glider: -2%. Emission standard: EURO-4. Service visits throughout lifetime: 1. Range: 269 km.  Fuel tank capacity: 62.1 kWh. Fuel mass: 5.3 kg. Documentation: Life-cycle inventories for on-road vehicles, Sacchi R. (PSI), Bauer C. (PSI), 2021. Sacchi R., Bauer C. Life cycle inventories for on-road vehicles. Paul Scherrer Institut, 2021.</t>
        </is>
      </c>
    </row>
    <row r="216" ht="16" customHeight="1">
      <c r="A216" s="10" t="inlineStr">
        <is>
          <t>Exchanges</t>
        </is>
      </c>
    </row>
    <row r="217">
      <c r="A217" t="inlineStr">
        <is>
          <t>name</t>
        </is>
      </c>
      <c r="B217" t="inlineStr">
        <is>
          <t>amount</t>
        </is>
      </c>
      <c r="C217" t="inlineStr">
        <is>
          <t>location</t>
        </is>
      </c>
      <c r="D217" t="inlineStr">
        <is>
          <t>unit</t>
        </is>
      </c>
      <c r="E217" t="inlineStr">
        <is>
          <t>categories</t>
        </is>
      </c>
      <c r="F217" t="inlineStr">
        <is>
          <t>type</t>
        </is>
      </c>
      <c r="G217" t="inlineStr">
        <is>
          <t>comment</t>
        </is>
      </c>
      <c r="H217" t="inlineStr">
        <is>
          <t>reference product</t>
        </is>
      </c>
    </row>
    <row r="218">
      <c r="A218" t="inlineStr">
        <is>
          <t>transport, Moped, gasoline, &lt;4kW, EURO-4</t>
        </is>
      </c>
      <c r="B218" t="n">
        <v>1</v>
      </c>
      <c r="C218" t="inlineStr">
        <is>
          <t>CH</t>
        </is>
      </c>
      <c r="D218" t="inlineStr">
        <is>
          <t>kilometer</t>
        </is>
      </c>
      <c r="F218" t="inlineStr">
        <is>
          <t>production</t>
        </is>
      </c>
      <c r="H218" t="inlineStr">
        <is>
          <t>transport, Moped, gasoline, &lt;4kW, EURO-4</t>
        </is>
      </c>
    </row>
    <row r="219">
      <c r="A219" t="inlineStr">
        <is>
          <t>Moped, gasoline, &lt;4kW, EURO-4</t>
        </is>
      </c>
      <c r="B219" s="7" t="n">
        <v>4e-05</v>
      </c>
      <c r="C219" t="inlineStr">
        <is>
          <t>CH</t>
        </is>
      </c>
      <c r="D219" t="inlineStr">
        <is>
          <t>unit</t>
        </is>
      </c>
      <c r="F219" t="inlineStr">
        <is>
          <t>technosphere</t>
        </is>
      </c>
      <c r="H219" t="inlineStr">
        <is>
          <t>Moped, gasoline, &lt;4kW, EURO-4</t>
        </is>
      </c>
    </row>
    <row r="220">
      <c r="A220" t="inlineStr">
        <is>
          <t>road construction</t>
        </is>
      </c>
      <c r="B220" s="7" t="n">
        <v>7.563067725e-05</v>
      </c>
      <c r="C220" t="inlineStr">
        <is>
          <t>CH</t>
        </is>
      </c>
      <c r="D220" t="inlineStr">
        <is>
          <t>meter-year</t>
        </is>
      </c>
      <c r="F220" t="inlineStr">
        <is>
          <t>technosphere</t>
        </is>
      </c>
      <c r="G220" t="inlineStr">
        <is>
          <t>Road/track use [m*year/vkm or pkm]</t>
        </is>
      </c>
      <c r="H220" t="inlineStr">
        <is>
          <t>road</t>
        </is>
      </c>
    </row>
    <row r="221">
      <c r="A221" t="inlineStr">
        <is>
          <t>road maintenance</t>
        </is>
      </c>
      <c r="B221" s="7" t="n">
        <v>0.00129</v>
      </c>
      <c r="C221" t="inlineStr">
        <is>
          <t>CH</t>
        </is>
      </c>
      <c r="D221" t="inlineStr">
        <is>
          <t>meter-year</t>
        </is>
      </c>
      <c r="F221" t="inlineStr">
        <is>
          <t>technosphere</t>
        </is>
      </c>
      <c r="G221" t="inlineStr">
        <is>
          <t>Road maintenance [m*year/vkm]</t>
        </is>
      </c>
      <c r="H221" t="inlineStr">
        <is>
          <t>road maintenance</t>
        </is>
      </c>
    </row>
    <row r="222">
      <c r="A222" t="inlineStr">
        <is>
          <t>maintenance, motor scooter</t>
        </is>
      </c>
      <c r="B222" s="7" t="n">
        <v>4e-05</v>
      </c>
      <c r="C222" t="inlineStr">
        <is>
          <t>CH</t>
        </is>
      </c>
      <c r="D222" t="inlineStr">
        <is>
          <t>unit</t>
        </is>
      </c>
      <c r="F222" t="inlineStr">
        <is>
          <t>technosphere</t>
        </is>
      </c>
      <c r="G222" t="inlineStr">
        <is>
          <t>Servicing [unit]</t>
        </is>
      </c>
      <c r="H222" t="inlineStr">
        <is>
          <t>maintenance, motor scooter</t>
        </is>
      </c>
    </row>
    <row r="223">
      <c r="A223" t="inlineStr">
        <is>
          <t>petrol blending for two-stroke engines</t>
        </is>
      </c>
      <c r="B223" s="7" t="n">
        <v>0.01951150776958351</v>
      </c>
      <c r="C223" t="inlineStr">
        <is>
          <t>CH</t>
        </is>
      </c>
      <c r="D223" t="inlineStr">
        <is>
          <t>kilogram</t>
        </is>
      </c>
      <c r="F223" t="inlineStr">
        <is>
          <t>technosphere</t>
        </is>
      </c>
      <c r="G223" t="inlineStr">
        <is>
          <t>Gasoline consumption [MJ/km]</t>
        </is>
      </c>
      <c r="H223" t="inlineStr">
        <is>
          <t>petrol, two-stroke blend</t>
        </is>
      </c>
    </row>
    <row r="224">
      <c r="A224" t="inlineStr">
        <is>
          <t>Carbon dioxide, fossil</t>
        </is>
      </c>
      <c r="B224" s="7" t="n">
        <v>0.06126613439649223</v>
      </c>
      <c r="D224" t="inlineStr">
        <is>
          <t>kilogram</t>
        </is>
      </c>
      <c r="E224" t="inlineStr">
        <is>
          <t>air::urban air close to ground</t>
        </is>
      </c>
      <c r="F224" t="inlineStr">
        <is>
          <t>biosphere</t>
        </is>
      </c>
      <c r="G224" t="inlineStr">
        <is>
          <t>CO2</t>
        </is>
      </c>
    </row>
    <row r="225">
      <c r="A225" t="inlineStr">
        <is>
          <t>Sulfur dioxide</t>
        </is>
      </c>
      <c r="B225" s="7" t="n">
        <v>3.121841243133362e-07</v>
      </c>
      <c r="D225" t="inlineStr">
        <is>
          <t>kilogram</t>
        </is>
      </c>
      <c r="E225" t="inlineStr">
        <is>
          <t>air::urban air close to ground</t>
        </is>
      </c>
      <c r="F225" t="inlineStr">
        <is>
          <t>biosphere</t>
        </is>
      </c>
      <c r="G225" t="inlineStr">
        <is>
          <t>SO2</t>
        </is>
      </c>
    </row>
    <row r="226">
      <c r="A226" t="inlineStr">
        <is>
          <t>Benzene</t>
        </is>
      </c>
      <c r="B226" s="7" t="n">
        <v>5.053817414990078e-05</v>
      </c>
      <c r="D226" t="inlineStr">
        <is>
          <t>kilogram</t>
        </is>
      </c>
      <c r="E226" t="inlineStr">
        <is>
          <t>air::urban air close to ground</t>
        </is>
      </c>
      <c r="F226" t="inlineStr">
        <is>
          <t>biosphere</t>
        </is>
      </c>
      <c r="G226" t="inlineStr">
        <is>
          <t>Benzene</t>
        </is>
      </c>
    </row>
    <row r="227">
      <c r="A227" t="inlineStr">
        <is>
          <t>Methane, fossil</t>
        </is>
      </c>
      <c r="B227" s="7" t="n">
        <v>2.291550707245924e-05</v>
      </c>
      <c r="D227" t="inlineStr">
        <is>
          <t>kilogram</t>
        </is>
      </c>
      <c r="E227" t="inlineStr">
        <is>
          <t>air::urban air close to ground</t>
        </is>
      </c>
      <c r="F227" t="inlineStr">
        <is>
          <t>biosphere</t>
        </is>
      </c>
      <c r="G227" t="inlineStr">
        <is>
          <t>CH4</t>
        </is>
      </c>
    </row>
    <row r="228">
      <c r="A228" t="inlineStr">
        <is>
          <t>Carbon monoxide, fossil</t>
        </is>
      </c>
      <c r="B228" s="7" t="n">
        <v>0.00242308197823106</v>
      </c>
      <c r="D228" t="inlineStr">
        <is>
          <t>kilogram</t>
        </is>
      </c>
      <c r="E228" t="inlineStr">
        <is>
          <t>air::urban air close to ground</t>
        </is>
      </c>
      <c r="F228" t="inlineStr">
        <is>
          <t>biosphere</t>
        </is>
      </c>
      <c r="G228" t="inlineStr">
        <is>
          <t>CO</t>
        </is>
      </c>
    </row>
    <row r="229">
      <c r="A229" t="inlineStr">
        <is>
          <t>Dinitrogen monoxide</t>
        </is>
      </c>
      <c r="B229" s="7" t="n">
        <v>1.162633539952271e-06</v>
      </c>
      <c r="D229" t="inlineStr">
        <is>
          <t>kilogram</t>
        </is>
      </c>
      <c r="E229" t="inlineStr">
        <is>
          <t>air::urban air close to ground</t>
        </is>
      </c>
      <c r="F229" t="inlineStr">
        <is>
          <t>biosphere</t>
        </is>
      </c>
      <c r="G229" t="inlineStr">
        <is>
          <t>N2O</t>
        </is>
      </c>
    </row>
    <row r="230">
      <c r="A230" t="inlineStr">
        <is>
          <t>Ammonia</t>
        </is>
      </c>
      <c r="B230" s="7" t="n">
        <v>1.162633539952271e-06</v>
      </c>
      <c r="D230" t="inlineStr">
        <is>
          <t>kilogram</t>
        </is>
      </c>
      <c r="E230" t="inlineStr">
        <is>
          <t>air::urban air close to ground</t>
        </is>
      </c>
      <c r="F230" t="inlineStr">
        <is>
          <t>biosphere</t>
        </is>
      </c>
      <c r="G230" t="inlineStr">
        <is>
          <t>NH3</t>
        </is>
      </c>
    </row>
    <row r="231">
      <c r="A231" t="inlineStr">
        <is>
          <t>Nitrogen oxides</t>
        </is>
      </c>
      <c r="B231" s="7" t="n">
        <v>8.718671330543191e-05</v>
      </c>
      <c r="D231" t="inlineStr">
        <is>
          <t>kilogram</t>
        </is>
      </c>
      <c r="E231" t="inlineStr">
        <is>
          <t>air::urban air close to ground</t>
        </is>
      </c>
      <c r="F231" t="inlineStr">
        <is>
          <t>biosphere</t>
        </is>
      </c>
      <c r="G231" t="inlineStr">
        <is>
          <t>NOx</t>
        </is>
      </c>
    </row>
    <row r="232">
      <c r="A232" t="inlineStr">
        <is>
          <t>Particulates, &lt; 2.5 um</t>
        </is>
      </c>
      <c r="B232" s="7" t="n">
        <v>6.677004419945889e-06</v>
      </c>
      <c r="D232" t="inlineStr">
        <is>
          <t>kilogram</t>
        </is>
      </c>
      <c r="E232" t="inlineStr">
        <is>
          <t>air::urban air close to ground</t>
        </is>
      </c>
      <c r="F232" t="inlineStr">
        <is>
          <t>biosphere</t>
        </is>
      </c>
      <c r="G232" t="inlineStr">
        <is>
          <t>PM2.5</t>
        </is>
      </c>
    </row>
    <row r="233">
      <c r="A233" t="inlineStr">
        <is>
          <t>NMVOC, non-methane volatile organic compounds, unspecified origin</t>
        </is>
      </c>
      <c r="B233" s="7" t="n">
        <v>0.0004075484845885048</v>
      </c>
      <c r="D233" t="inlineStr">
        <is>
          <t>kilogram</t>
        </is>
      </c>
      <c r="E233" t="inlineStr">
        <is>
          <t>air::urban air close to ground</t>
        </is>
      </c>
      <c r="F233" t="inlineStr">
        <is>
          <t>biosphere</t>
        </is>
      </c>
      <c r="G233" t="inlineStr">
        <is>
          <t>NMVOC</t>
        </is>
      </c>
    </row>
    <row r="234">
      <c r="A234" t="inlineStr">
        <is>
          <t>Ethane</t>
        </is>
      </c>
      <c r="B234" s="7" t="n">
        <v>2.873739314406123e-05</v>
      </c>
      <c r="D234" t="inlineStr">
        <is>
          <t>kilogram</t>
        </is>
      </c>
      <c r="E234" t="inlineStr">
        <is>
          <t>air::urban air close to ground</t>
        </is>
      </c>
      <c r="F234" t="inlineStr">
        <is>
          <t>biosphere</t>
        </is>
      </c>
      <c r="G234" t="inlineStr">
        <is>
          <t>Ethane</t>
        </is>
      </c>
    </row>
    <row r="235">
      <c r="A235" t="inlineStr">
        <is>
          <t>Propane</t>
        </is>
      </c>
      <c r="B235" s="7" t="n">
        <v>5.855581675122195e-06</v>
      </c>
      <c r="D235" t="inlineStr">
        <is>
          <t>kilogram</t>
        </is>
      </c>
      <c r="E235" t="inlineStr">
        <is>
          <t>air::urban air close to ground</t>
        </is>
      </c>
      <c r="F235" t="inlineStr">
        <is>
          <t>biosphere</t>
        </is>
      </c>
      <c r="G235" t="inlineStr">
        <is>
          <t>Propane</t>
        </is>
      </c>
    </row>
    <row r="236">
      <c r="A236" t="inlineStr">
        <is>
          <t>Butane</t>
        </is>
      </c>
      <c r="B236" s="7" t="n">
        <v>4.720499688867739e-05</v>
      </c>
      <c r="D236" t="inlineStr">
        <is>
          <t>kilogram</t>
        </is>
      </c>
      <c r="E236" t="inlineStr">
        <is>
          <t>air::urban air close to ground</t>
        </is>
      </c>
      <c r="F236" t="inlineStr">
        <is>
          <t>biosphere</t>
        </is>
      </c>
      <c r="G236" t="inlineStr">
        <is>
          <t>Butane</t>
        </is>
      </c>
    </row>
    <row r="237">
      <c r="A237" t="inlineStr">
        <is>
          <t>Pentane</t>
        </is>
      </c>
      <c r="B237" s="7" t="n">
        <v>1.936846246386572e-05</v>
      </c>
      <c r="D237" t="inlineStr">
        <is>
          <t>kilogram</t>
        </is>
      </c>
      <c r="E237" t="inlineStr">
        <is>
          <t>air::urban air close to ground</t>
        </is>
      </c>
      <c r="F237" t="inlineStr">
        <is>
          <t>biosphere</t>
        </is>
      </c>
      <c r="G237" t="inlineStr">
        <is>
          <t>Pentane</t>
        </is>
      </c>
    </row>
    <row r="238">
      <c r="A238" t="inlineStr">
        <is>
          <t>Hexane</t>
        </is>
      </c>
      <c r="B238" s="7" t="n">
        <v>1.450382537991805e-05</v>
      </c>
      <c r="D238" t="inlineStr">
        <is>
          <t>kilogram</t>
        </is>
      </c>
      <c r="E238" t="inlineStr">
        <is>
          <t>air::urban air close to ground</t>
        </is>
      </c>
      <c r="F238" t="inlineStr">
        <is>
          <t>biosphere</t>
        </is>
      </c>
      <c r="G238" t="inlineStr">
        <is>
          <t>Hexane</t>
        </is>
      </c>
    </row>
    <row r="239">
      <c r="A239" t="inlineStr">
        <is>
          <t>Cyclohexane</t>
        </is>
      </c>
      <c r="B239" s="7" t="n">
        <v>1.026978939944508e-05</v>
      </c>
      <c r="D239" t="inlineStr">
        <is>
          <t>kilogram</t>
        </is>
      </c>
      <c r="E239" t="inlineStr">
        <is>
          <t>air::urban air close to ground</t>
        </is>
      </c>
      <c r="F239" t="inlineStr">
        <is>
          <t>biosphere</t>
        </is>
      </c>
      <c r="G239" t="inlineStr">
        <is>
          <t>Cyclohexane</t>
        </is>
      </c>
    </row>
    <row r="240">
      <c r="A240" t="inlineStr">
        <is>
          <t>Heptane</t>
        </is>
      </c>
      <c r="B240" s="7" t="n">
        <v>6.666354522446806e-06</v>
      </c>
      <c r="D240" t="inlineStr">
        <is>
          <t>kilogram</t>
        </is>
      </c>
      <c r="E240" t="inlineStr">
        <is>
          <t>air::urban air close to ground</t>
        </is>
      </c>
      <c r="F240" t="inlineStr">
        <is>
          <t>biosphere</t>
        </is>
      </c>
      <c r="G240" t="inlineStr">
        <is>
          <t>Heptane</t>
        </is>
      </c>
    </row>
    <row r="241">
      <c r="A241" t="inlineStr">
        <is>
          <t>Ethene</t>
        </is>
      </c>
      <c r="B241" s="7" t="n">
        <v>6.576268650521849e-05</v>
      </c>
      <c r="D241" t="inlineStr">
        <is>
          <t>kilogram</t>
        </is>
      </c>
      <c r="E241" t="inlineStr">
        <is>
          <t>air::urban air close to ground</t>
        </is>
      </c>
      <c r="F241" t="inlineStr">
        <is>
          <t>biosphere</t>
        </is>
      </c>
      <c r="G241" t="inlineStr">
        <is>
          <t>Ethene</t>
        </is>
      </c>
    </row>
    <row r="242">
      <c r="A242" t="inlineStr">
        <is>
          <t>Propene</t>
        </is>
      </c>
      <c r="B242" s="7" t="n">
        <v>3.441280307533351e-05</v>
      </c>
      <c r="D242" t="inlineStr">
        <is>
          <t>kilogram</t>
        </is>
      </c>
      <c r="E242" t="inlineStr">
        <is>
          <t>air::urban air close to ground</t>
        </is>
      </c>
      <c r="F242" t="inlineStr">
        <is>
          <t>biosphere</t>
        </is>
      </c>
      <c r="G242" t="inlineStr">
        <is>
          <t>Propene</t>
        </is>
      </c>
    </row>
    <row r="243">
      <c r="A243" t="inlineStr">
        <is>
          <t>1-Pentene</t>
        </is>
      </c>
      <c r="B243" s="7" t="n">
        <v>9.909445911745252e-07</v>
      </c>
      <c r="D243" t="inlineStr">
        <is>
          <t>kilogram</t>
        </is>
      </c>
      <c r="E243" t="inlineStr">
        <is>
          <t>air::urban air close to ground</t>
        </is>
      </c>
      <c r="F243" t="inlineStr">
        <is>
          <t>biosphere</t>
        </is>
      </c>
      <c r="G243" t="inlineStr">
        <is>
          <t>1-Pentene</t>
        </is>
      </c>
    </row>
    <row r="244">
      <c r="A244" t="inlineStr">
        <is>
          <t>Toluene</t>
        </is>
      </c>
      <c r="B244" s="7" t="n">
        <v>9.891428737360261e-05</v>
      </c>
      <c r="D244" t="inlineStr">
        <is>
          <t>kilogram</t>
        </is>
      </c>
      <c r="E244" t="inlineStr">
        <is>
          <t>air::urban air close to ground</t>
        </is>
      </c>
      <c r="F244" t="inlineStr">
        <is>
          <t>biosphere</t>
        </is>
      </c>
      <c r="G244" t="inlineStr">
        <is>
          <t>Toluene</t>
        </is>
      </c>
    </row>
    <row r="245">
      <c r="A245" t="inlineStr">
        <is>
          <t>m-Xylene</t>
        </is>
      </c>
      <c r="B245" s="7" t="n">
        <v>4.891662845525157e-05</v>
      </c>
      <c r="D245" t="inlineStr">
        <is>
          <t>kilogram</t>
        </is>
      </c>
      <c r="E245" t="inlineStr">
        <is>
          <t>air::urban air close to ground</t>
        </is>
      </c>
      <c r="F245" t="inlineStr">
        <is>
          <t>biosphere</t>
        </is>
      </c>
      <c r="G245" t="inlineStr">
        <is>
          <t>m-Xylene</t>
        </is>
      </c>
    </row>
    <row r="246">
      <c r="A246" t="inlineStr">
        <is>
          <t>o-Xylene</t>
        </is>
      </c>
      <c r="B246" s="7" t="n">
        <v>2.035940705504024e-05</v>
      </c>
      <c r="D246" t="inlineStr">
        <is>
          <t>kilogram</t>
        </is>
      </c>
      <c r="E246" t="inlineStr">
        <is>
          <t>air::urban air close to ground</t>
        </is>
      </c>
      <c r="F246" t="inlineStr">
        <is>
          <t>biosphere</t>
        </is>
      </c>
      <c r="G246" t="inlineStr">
        <is>
          <t>o-Xylene</t>
        </is>
      </c>
    </row>
    <row r="247">
      <c r="A247" t="inlineStr">
        <is>
          <t>Formaldehyde</t>
        </is>
      </c>
      <c r="B247" s="7" t="n">
        <v>1.531459822724267e-05</v>
      </c>
      <c r="D247" t="inlineStr">
        <is>
          <t>kilogram</t>
        </is>
      </c>
      <c r="E247" t="inlineStr">
        <is>
          <t>air::urban air close to ground</t>
        </is>
      </c>
      <c r="F247" t="inlineStr">
        <is>
          <t>biosphere</t>
        </is>
      </c>
      <c r="G247" t="inlineStr">
        <is>
          <t>Formaldehyde</t>
        </is>
      </c>
    </row>
    <row r="248">
      <c r="A248" t="inlineStr">
        <is>
          <t>Acetaldehyde</t>
        </is>
      </c>
      <c r="B248" s="7" t="n">
        <v>6.756440394371762e-06</v>
      </c>
      <c r="D248" t="inlineStr">
        <is>
          <t>kilogram</t>
        </is>
      </c>
      <c r="E248" t="inlineStr">
        <is>
          <t>air::urban air close to ground</t>
        </is>
      </c>
      <c r="F248" t="inlineStr">
        <is>
          <t>biosphere</t>
        </is>
      </c>
      <c r="G248" t="inlineStr">
        <is>
          <t>Acetaldehyde</t>
        </is>
      </c>
    </row>
    <row r="249">
      <c r="A249" t="inlineStr">
        <is>
          <t>Benzaldehyde</t>
        </is>
      </c>
      <c r="B249" s="7" t="n">
        <v>1.98188918234905e-06</v>
      </c>
      <c r="D249" t="inlineStr">
        <is>
          <t>kilogram</t>
        </is>
      </c>
      <c r="E249" t="inlineStr">
        <is>
          <t>air::urban air close to ground</t>
        </is>
      </c>
      <c r="F249" t="inlineStr">
        <is>
          <t>biosphere</t>
        </is>
      </c>
      <c r="G249" t="inlineStr">
        <is>
          <t>Benzaldehyde</t>
        </is>
      </c>
    </row>
    <row r="250">
      <c r="A250" t="inlineStr">
        <is>
          <t>Acetone</t>
        </is>
      </c>
      <c r="B250" s="7" t="n">
        <v>5.495238187422368e-06</v>
      </c>
      <c r="D250" t="inlineStr">
        <is>
          <t>kilogram</t>
        </is>
      </c>
      <c r="E250" t="inlineStr">
        <is>
          <t>air::urban air close to ground</t>
        </is>
      </c>
      <c r="F250" t="inlineStr">
        <is>
          <t>biosphere</t>
        </is>
      </c>
      <c r="G250" t="inlineStr">
        <is>
          <t>Acetone</t>
        </is>
      </c>
    </row>
    <row r="251">
      <c r="A251" t="inlineStr">
        <is>
          <t>Methyl ethyl ketone</t>
        </is>
      </c>
      <c r="B251" s="7" t="n">
        <v>0</v>
      </c>
      <c r="D251" t="inlineStr">
        <is>
          <t>kilogram</t>
        </is>
      </c>
      <c r="E251" t="inlineStr">
        <is>
          <t>air::urban air close to ground</t>
        </is>
      </c>
      <c r="F251" t="inlineStr">
        <is>
          <t>biosphere</t>
        </is>
      </c>
      <c r="G251" t="inlineStr">
        <is>
          <t>Methyl ethyl ketone</t>
        </is>
      </c>
    </row>
    <row r="252">
      <c r="A252" t="inlineStr">
        <is>
          <t>Acrolein</t>
        </is>
      </c>
      <c r="B252" s="7" t="n">
        <v>1.71163156657418e-06</v>
      </c>
      <c r="D252" t="inlineStr">
        <is>
          <t>kilogram</t>
        </is>
      </c>
      <c r="E252" t="inlineStr">
        <is>
          <t>air::urban air close to ground</t>
        </is>
      </c>
      <c r="F252" t="inlineStr">
        <is>
          <t>biosphere</t>
        </is>
      </c>
      <c r="G252" t="inlineStr">
        <is>
          <t>Acrolein</t>
        </is>
      </c>
    </row>
    <row r="253">
      <c r="A253" t="inlineStr">
        <is>
          <t>Styrene</t>
        </is>
      </c>
      <c r="B253" s="7" t="n">
        <v>9.098673064420639e-06</v>
      </c>
      <c r="D253" t="inlineStr">
        <is>
          <t>kilogram</t>
        </is>
      </c>
      <c r="E253" t="inlineStr">
        <is>
          <t>air::urban air close to ground</t>
        </is>
      </c>
      <c r="F253" t="inlineStr">
        <is>
          <t>biosphere</t>
        </is>
      </c>
      <c r="G253" t="inlineStr">
        <is>
          <t>Styrene</t>
        </is>
      </c>
    </row>
    <row r="254">
      <c r="A254" t="inlineStr">
        <is>
          <t>PAH, polycyclic aromatic hydrocarbons</t>
        </is>
      </c>
      <c r="B254" s="7" t="n">
        <v>6.805981185471099e-10</v>
      </c>
      <c r="D254" t="inlineStr">
        <is>
          <t>kilogram</t>
        </is>
      </c>
      <c r="E254" t="inlineStr">
        <is>
          <t>air::urban air close to ground</t>
        </is>
      </c>
      <c r="F254" t="inlineStr">
        <is>
          <t>biosphere</t>
        </is>
      </c>
      <c r="G254" t="inlineStr">
        <is>
          <t>PAHs</t>
        </is>
      </c>
    </row>
    <row r="255">
      <c r="A255" t="inlineStr">
        <is>
          <t>Arsenic</t>
        </is>
      </c>
      <c r="B255" s="7" t="n">
        <v>5.867225159888878e-12</v>
      </c>
      <c r="D255" t="inlineStr">
        <is>
          <t>kilogram</t>
        </is>
      </c>
      <c r="E255" t="inlineStr">
        <is>
          <t>air::urban air close to ground</t>
        </is>
      </c>
      <c r="F255" t="inlineStr">
        <is>
          <t>biosphere</t>
        </is>
      </c>
      <c r="G255" t="inlineStr">
        <is>
          <t>Arsenic</t>
        </is>
      </c>
    </row>
    <row r="256">
      <c r="A256" t="inlineStr">
        <is>
          <t>Selenium</t>
        </is>
      </c>
      <c r="B256" s="7" t="n">
        <v>3.911483439925919e-12</v>
      </c>
      <c r="D256" t="inlineStr">
        <is>
          <t>kilogram</t>
        </is>
      </c>
      <c r="E256" t="inlineStr">
        <is>
          <t>air::urban air close to ground</t>
        </is>
      </c>
      <c r="F256" t="inlineStr">
        <is>
          <t>biosphere</t>
        </is>
      </c>
      <c r="G256" t="inlineStr">
        <is>
          <t>Selenium</t>
        </is>
      </c>
    </row>
    <row r="257">
      <c r="A257" t="inlineStr">
        <is>
          <t>Zinc</t>
        </is>
      </c>
      <c r="B257" s="7" t="n">
        <v>4.224402115119992e-08</v>
      </c>
      <c r="D257" t="inlineStr">
        <is>
          <t>kilogram</t>
        </is>
      </c>
      <c r="E257" t="inlineStr">
        <is>
          <t>air::urban air close to ground</t>
        </is>
      </c>
      <c r="F257" t="inlineStr">
        <is>
          <t>biosphere</t>
        </is>
      </c>
      <c r="G257" t="inlineStr">
        <is>
          <t>Zinc</t>
        </is>
      </c>
    </row>
    <row r="258">
      <c r="A258" t="inlineStr">
        <is>
          <t>Copper</t>
        </is>
      </c>
      <c r="B258" s="7" t="n">
        <v>8.214115223844428e-10</v>
      </c>
      <c r="D258" t="inlineStr">
        <is>
          <t>kilogram</t>
        </is>
      </c>
      <c r="E258" t="inlineStr">
        <is>
          <t>air::urban air close to ground</t>
        </is>
      </c>
      <c r="F258" t="inlineStr">
        <is>
          <t>biosphere</t>
        </is>
      </c>
      <c r="G258" t="inlineStr">
        <is>
          <t>Copper</t>
        </is>
      </c>
    </row>
    <row r="259">
      <c r="A259" t="inlineStr">
        <is>
          <t>Nickel</t>
        </is>
      </c>
      <c r="B259" s="7" t="n">
        <v>2.542464235951847e-10</v>
      </c>
      <c r="D259" t="inlineStr">
        <is>
          <t>kilogram</t>
        </is>
      </c>
      <c r="E259" t="inlineStr">
        <is>
          <t>air::urban air close to ground</t>
        </is>
      </c>
      <c r="F259" t="inlineStr">
        <is>
          <t>biosphere</t>
        </is>
      </c>
      <c r="G259" t="inlineStr">
        <is>
          <t>Nickel</t>
        </is>
      </c>
    </row>
    <row r="260">
      <c r="A260" t="inlineStr">
        <is>
          <t>Chromium</t>
        </is>
      </c>
      <c r="B260" s="7" t="n">
        <v>3.129186751940735e-10</v>
      </c>
      <c r="D260" t="inlineStr">
        <is>
          <t>kilogram</t>
        </is>
      </c>
      <c r="E260" t="inlineStr">
        <is>
          <t>air::urban air close to ground</t>
        </is>
      </c>
      <c r="F260" t="inlineStr">
        <is>
          <t>biosphere</t>
        </is>
      </c>
      <c r="G260" t="inlineStr">
        <is>
          <t>Chromium</t>
        </is>
      </c>
    </row>
    <row r="261">
      <c r="A261" t="inlineStr">
        <is>
          <t>Chromium VI</t>
        </is>
      </c>
      <c r="B261" s="7" t="n">
        <v>6.258373503881469e-13</v>
      </c>
      <c r="D261" t="inlineStr">
        <is>
          <t>kilogram</t>
        </is>
      </c>
      <c r="E261" t="inlineStr">
        <is>
          <t>air::urban air close to ground</t>
        </is>
      </c>
      <c r="F261" t="inlineStr">
        <is>
          <t>biosphere</t>
        </is>
      </c>
      <c r="G261" t="inlineStr">
        <is>
          <t>Chromium VI</t>
        </is>
      </c>
    </row>
    <row r="262">
      <c r="A262" t="inlineStr">
        <is>
          <t>Mercury</t>
        </is>
      </c>
      <c r="B262" s="7" t="n">
        <v>1.701495296367775e-10</v>
      </c>
      <c r="D262" t="inlineStr">
        <is>
          <t>kilogram</t>
        </is>
      </c>
      <c r="E262" t="inlineStr">
        <is>
          <t>air::urban air close to ground</t>
        </is>
      </c>
      <c r="F262" t="inlineStr">
        <is>
          <t>biosphere</t>
        </is>
      </c>
      <c r="G262" t="inlineStr">
        <is>
          <t>Mercury</t>
        </is>
      </c>
    </row>
    <row r="263">
      <c r="A263" t="inlineStr">
        <is>
          <t>Cadmium</t>
        </is>
      </c>
      <c r="B263" s="7" t="n">
        <v>2.112201057559997e-10</v>
      </c>
      <c r="D263" t="inlineStr">
        <is>
          <t>kilogram</t>
        </is>
      </c>
      <c r="E263" t="inlineStr">
        <is>
          <t>air::urban air close to ground</t>
        </is>
      </c>
      <c r="F263" t="inlineStr">
        <is>
          <t>biosphere</t>
        </is>
      </c>
      <c r="G263" t="inlineStr">
        <is>
          <t>Cadmium</t>
        </is>
      </c>
    </row>
    <row r="264">
      <c r="A264" t="inlineStr">
        <is>
          <t>treatment of road wear emissions, passenger car</t>
        </is>
      </c>
      <c r="B264" s="7" t="n">
        <v>-5.521403340618625e-06</v>
      </c>
      <c r="C264" t="inlineStr">
        <is>
          <t>RER</t>
        </is>
      </c>
      <c r="D264" t="inlineStr">
        <is>
          <t>kilogram</t>
        </is>
      </c>
      <c r="F264" t="inlineStr">
        <is>
          <t>technosphere</t>
        </is>
      </c>
      <c r="G264" t="inlineStr">
        <is>
          <t>Road wear [kg/km]</t>
        </is>
      </c>
      <c r="H264" t="inlineStr">
        <is>
          <t>road wear emissions, passenger car</t>
        </is>
      </c>
    </row>
    <row r="265">
      <c r="A265" t="inlineStr">
        <is>
          <t>treatment of tyre wear emissions, passenger car</t>
        </is>
      </c>
      <c r="B265" s="7" t="n">
        <v>-4.670138995475131e-06</v>
      </c>
      <c r="C265" t="inlineStr">
        <is>
          <t>RER</t>
        </is>
      </c>
      <c r="D265" t="inlineStr">
        <is>
          <t>kilogram</t>
        </is>
      </c>
      <c r="F265" t="inlineStr">
        <is>
          <t>technosphere</t>
        </is>
      </c>
      <c r="G265" t="inlineStr">
        <is>
          <t>Tire wear [kg/km]</t>
        </is>
      </c>
      <c r="H265" t="inlineStr">
        <is>
          <t>tyre wear emissions, passenger car</t>
        </is>
      </c>
    </row>
    <row r="266">
      <c r="A266" t="inlineStr">
        <is>
          <t>treatment of brake wear emissions, passenger car</t>
        </is>
      </c>
      <c r="B266" s="7" t="n">
        <v>-3.206660819959009e-06</v>
      </c>
      <c r="C266" t="inlineStr">
        <is>
          <t>RER</t>
        </is>
      </c>
      <c r="D266" t="inlineStr">
        <is>
          <t>kilogram</t>
        </is>
      </c>
      <c r="F266" t="inlineStr">
        <is>
          <t>technosphere</t>
        </is>
      </c>
      <c r="G266" t="inlineStr">
        <is>
          <t>Brake wear [kg/km]</t>
        </is>
      </c>
      <c r="H266" t="inlineStr">
        <is>
          <t>brake wear emissions, passenger car</t>
        </is>
      </c>
    </row>
    <row r="267"/>
    <row r="268" ht="16" customHeight="1">
      <c r="A268" s="10" t="inlineStr">
        <is>
          <t>Activity</t>
        </is>
      </c>
      <c r="B268" s="8" t="inlineStr">
        <is>
          <t>transport, Moped, gasoline, &lt;4kW, EURO-5</t>
        </is>
      </c>
    </row>
    <row r="269">
      <c r="A269" t="inlineStr">
        <is>
          <t>location</t>
        </is>
      </c>
      <c r="B269" t="inlineStr">
        <is>
          <t>CH</t>
        </is>
      </c>
    </row>
    <row r="270">
      <c r="A270" t="inlineStr">
        <is>
          <t>vehicle</t>
        </is>
      </c>
      <c r="B270" t="inlineStr">
        <is>
          <t>Moped, gasoline, &lt;4kW, EURO-5</t>
        </is>
      </c>
    </row>
    <row r="271">
      <c r="A271" t="inlineStr">
        <is>
          <t>size</t>
        </is>
      </c>
    </row>
    <row r="272">
      <c r="A272" t="inlineStr">
        <is>
          <t>year</t>
        </is>
      </c>
      <c r="B272" t="n">
        <v>2020</v>
      </c>
    </row>
    <row r="273">
      <c r="A273" t="inlineStr">
        <is>
          <t>full name</t>
        </is>
      </c>
      <c r="B273" t="inlineStr">
        <is>
          <t>Moped, gasoline, &lt;4kW, EURO-5 - 2020 - CH</t>
        </is>
      </c>
    </row>
    <row r="274">
      <c r="A274" t="inlineStr">
        <is>
          <t>reference product</t>
        </is>
      </c>
      <c r="B274" t="inlineStr">
        <is>
          <t>transport, Moped, gasoline, &lt;4kW, EURO-5</t>
        </is>
      </c>
    </row>
    <row r="275">
      <c r="A275" t="inlineStr">
        <is>
          <t>type</t>
        </is>
      </c>
      <c r="B275" t="inlineStr">
        <is>
          <t>process</t>
        </is>
      </c>
    </row>
    <row r="276">
      <c r="A276" t="inlineStr">
        <is>
          <t>unit</t>
        </is>
      </c>
      <c r="B276" t="inlineStr">
        <is>
          <t>kilometer</t>
        </is>
      </c>
    </row>
    <row r="277">
      <c r="A277" t="inlineStr">
        <is>
          <t>source</t>
        </is>
      </c>
      <c r="B277" t="inlineStr">
        <is>
          <t>Sacchi R., Bauer C. Life cycle inventories for on-road vehicles. Paul Scherrer Institut, 2021.</t>
        </is>
      </c>
    </row>
    <row r="278">
      <c r="A278" t="inlineStr">
        <is>
          <t>lifetime</t>
        </is>
      </c>
      <c r="B278" t="n">
        <v>25000</v>
      </c>
    </row>
    <row r="279">
      <c r="A279" t="inlineStr">
        <is>
          <t>passengers</t>
        </is>
      </c>
      <c r="B279" t="n">
        <v>1</v>
      </c>
    </row>
    <row r="280">
      <c r="A280" t="inlineStr">
        <is>
          <t>service</t>
        </is>
      </c>
      <c r="B280" t="n">
        <v>1</v>
      </c>
    </row>
    <row r="281">
      <c r="A281" t="inlineStr">
        <is>
          <t>battery replacement</t>
        </is>
      </c>
      <c r="B281" t="n">
        <v>0</v>
      </c>
    </row>
    <row r="282">
      <c r="A282" t="inlineStr">
        <is>
          <t>annual kilometers</t>
        </is>
      </c>
      <c r="B282" t="n">
        <v>1570</v>
      </c>
    </row>
    <row r="283">
      <c r="A283" t="inlineStr">
        <is>
          <t>curb mass</t>
        </is>
      </c>
      <c r="B283" s="2" t="n">
        <v>63</v>
      </c>
    </row>
    <row r="284">
      <c r="A284" t="inlineStr">
        <is>
          <t>power</t>
        </is>
      </c>
      <c r="B284" t="n">
        <v>2.5</v>
      </c>
    </row>
    <row r="285">
      <c r="A285" t="inlineStr">
        <is>
          <t>battery mass</t>
        </is>
      </c>
    </row>
    <row r="286">
      <c r="A286" t="inlineStr">
        <is>
          <t>electricity, low voltage</t>
        </is>
      </c>
      <c r="B286" t="n">
        <v>0</v>
      </c>
    </row>
    <row r="287">
      <c r="A287" t="inlineStr">
        <is>
          <t>tank capacity</t>
        </is>
      </c>
      <c r="B287" s="2" t="n">
        <v>62.125</v>
      </c>
    </row>
    <row r="288">
      <c r="A288" t="inlineStr">
        <is>
          <t>fuel mass</t>
        </is>
      </c>
      <c r="B288" t="n">
        <v>5.25</v>
      </c>
    </row>
    <row r="289">
      <c r="A289" t="inlineStr">
        <is>
          <t>range</t>
        </is>
      </c>
      <c r="B289" s="2" t="n">
        <v>271.7898773203574</v>
      </c>
    </row>
    <row r="290">
      <c r="A290" t="inlineStr">
        <is>
          <t>emission standard</t>
        </is>
      </c>
      <c r="B290" t="inlineStr">
        <is>
          <t>EURO-5</t>
        </is>
      </c>
    </row>
    <row r="291">
      <c r="A291" t="inlineStr">
        <is>
          <t>Glider lightweighting</t>
        </is>
      </c>
      <c r="B291" s="6" t="n">
        <v>0</v>
      </c>
    </row>
    <row r="292">
      <c r="A292" t="inlineStr">
        <is>
          <t>comment</t>
        </is>
      </c>
      <c r="B292" t="inlineStr">
        <is>
          <t>Power: 2.5 kW. Lifetime: 25000 km. Annual kilometers: 1570 km. Number of passengers: 1. Curb mass: 63 kg. Lightweighting of glider: 0%. Emission standard: EURO-5. Service visits throughout lifetime: 1. Range: 272 km.  Fuel tank capacity: 62.1 kWh. Fuel mass: 5.3 kg. Documentation: Life-cycle inventories for on-road vehicles, Sacchi R. (PSI), Bauer C. (PSI), 2021. Sacchi R., Bauer C. Life cycle inventories for on-road vehicles. Paul Scherrer Institut, 2021.</t>
        </is>
      </c>
    </row>
    <row r="293" ht="16" customHeight="1">
      <c r="A293" s="10" t="inlineStr">
        <is>
          <t>Exchanges</t>
        </is>
      </c>
    </row>
    <row r="294">
      <c r="A294" t="inlineStr">
        <is>
          <t>name</t>
        </is>
      </c>
      <c r="B294" t="inlineStr">
        <is>
          <t>amount</t>
        </is>
      </c>
      <c r="C294" t="inlineStr">
        <is>
          <t>location</t>
        </is>
      </c>
      <c r="D294" t="inlineStr">
        <is>
          <t>unit</t>
        </is>
      </c>
      <c r="E294" t="inlineStr">
        <is>
          <t>categories</t>
        </is>
      </c>
      <c r="F294" t="inlineStr">
        <is>
          <t>type</t>
        </is>
      </c>
      <c r="G294" t="inlineStr">
        <is>
          <t>comment</t>
        </is>
      </c>
      <c r="H294" t="inlineStr">
        <is>
          <t>reference product</t>
        </is>
      </c>
    </row>
    <row r="295">
      <c r="A295" t="inlineStr">
        <is>
          <t>transport, Moped, gasoline, &lt;4kW, EURO-5</t>
        </is>
      </c>
      <c r="B295" t="n">
        <v>1</v>
      </c>
      <c r="C295" t="inlineStr">
        <is>
          <t>CH</t>
        </is>
      </c>
      <c r="D295" t="inlineStr">
        <is>
          <t>kilometer</t>
        </is>
      </c>
      <c r="F295" t="inlineStr">
        <is>
          <t>production</t>
        </is>
      </c>
      <c r="H295" t="inlineStr">
        <is>
          <t>transport, Moped, gasoline, &lt;4kW, EURO-5</t>
        </is>
      </c>
    </row>
    <row r="296">
      <c r="A296" t="inlineStr">
        <is>
          <t>Moped, gasoline, &lt;4kW, EURO-5</t>
        </is>
      </c>
      <c r="B296" s="7" t="n">
        <v>4e-05</v>
      </c>
      <c r="C296" t="inlineStr">
        <is>
          <t>CH</t>
        </is>
      </c>
      <c r="D296" t="inlineStr">
        <is>
          <t>unit</t>
        </is>
      </c>
      <c r="F296" t="inlineStr">
        <is>
          <t>technosphere</t>
        </is>
      </c>
      <c r="H296" t="inlineStr">
        <is>
          <t>Moped, gasoline, &lt;4kW, EURO-5</t>
        </is>
      </c>
    </row>
    <row r="297">
      <c r="A297" t="inlineStr">
        <is>
          <t>road construction</t>
        </is>
      </c>
      <c r="B297" s="7" t="n">
        <v>7.518e-05</v>
      </c>
      <c r="C297" t="inlineStr">
        <is>
          <t>CH</t>
        </is>
      </c>
      <c r="D297" t="inlineStr">
        <is>
          <t>meter-year</t>
        </is>
      </c>
      <c r="F297" t="inlineStr">
        <is>
          <t>technosphere</t>
        </is>
      </c>
      <c r="G297" t="inlineStr">
        <is>
          <t>Road/track use [m*year/vkm or pkm]</t>
        </is>
      </c>
      <c r="H297" t="inlineStr">
        <is>
          <t>road</t>
        </is>
      </c>
    </row>
    <row r="298">
      <c r="A298" t="inlineStr">
        <is>
          <t>road maintenance</t>
        </is>
      </c>
      <c r="B298" s="7" t="n">
        <v>0.00129</v>
      </c>
      <c r="C298" t="inlineStr">
        <is>
          <t>CH</t>
        </is>
      </c>
      <c r="D298" t="inlineStr">
        <is>
          <t>meter-year</t>
        </is>
      </c>
      <c r="F298" t="inlineStr">
        <is>
          <t>technosphere</t>
        </is>
      </c>
      <c r="G298" t="inlineStr">
        <is>
          <t>Road maintenance [m*year/vkm]</t>
        </is>
      </c>
      <c r="H298" t="inlineStr">
        <is>
          <t>road maintenance</t>
        </is>
      </c>
    </row>
    <row r="299">
      <c r="A299" t="inlineStr">
        <is>
          <t>maintenance, motor scooter</t>
        </is>
      </c>
      <c r="B299" s="7" t="n">
        <v>4e-05</v>
      </c>
      <c r="C299" t="inlineStr">
        <is>
          <t>CH</t>
        </is>
      </c>
      <c r="D299" t="inlineStr">
        <is>
          <t>unit</t>
        </is>
      </c>
      <c r="F299" t="inlineStr">
        <is>
          <t>technosphere</t>
        </is>
      </c>
      <c r="G299" t="inlineStr">
        <is>
          <t>Servicing [unit]</t>
        </is>
      </c>
      <c r="H299" t="inlineStr">
        <is>
          <t>maintenance, motor scooter</t>
        </is>
      </c>
    </row>
    <row r="300">
      <c r="A300" t="inlineStr">
        <is>
          <t>petrol blending for two-stroke engines</t>
        </is>
      </c>
      <c r="B300" s="7" t="n">
        <v>0.01931639269188768</v>
      </c>
      <c r="C300" t="inlineStr">
        <is>
          <t>CH</t>
        </is>
      </c>
      <c r="D300" t="inlineStr">
        <is>
          <t>kilogram</t>
        </is>
      </c>
      <c r="F300" t="inlineStr">
        <is>
          <t>technosphere</t>
        </is>
      </c>
      <c r="G300" t="inlineStr">
        <is>
          <t>Gasoline consumption [MJ/km]</t>
        </is>
      </c>
      <c r="H300" t="inlineStr">
        <is>
          <t>petrol, two-stroke blend</t>
        </is>
      </c>
    </row>
    <row r="301">
      <c r="A301" t="inlineStr">
        <is>
          <t>Carbon dioxide, fossil</t>
        </is>
      </c>
      <c r="B301" s="7" t="n">
        <v>0.06065347305252731</v>
      </c>
      <c r="D301" t="inlineStr">
        <is>
          <t>kilogram</t>
        </is>
      </c>
      <c r="E301" t="inlineStr">
        <is>
          <t>air::urban air close to ground</t>
        </is>
      </c>
      <c r="F301" t="inlineStr">
        <is>
          <t>biosphere</t>
        </is>
      </c>
      <c r="G301" t="inlineStr">
        <is>
          <t>CO2</t>
        </is>
      </c>
    </row>
    <row r="302">
      <c r="A302" t="inlineStr">
        <is>
          <t>Sulfur dioxide</t>
        </is>
      </c>
      <c r="B302" s="7" t="n">
        <v>3.090622830702028e-07</v>
      </c>
      <c r="D302" t="inlineStr">
        <is>
          <t>kilogram</t>
        </is>
      </c>
      <c r="E302" t="inlineStr">
        <is>
          <t>air::urban air close to ground</t>
        </is>
      </c>
      <c r="F302" t="inlineStr">
        <is>
          <t>biosphere</t>
        </is>
      </c>
      <c r="G302" t="inlineStr">
        <is>
          <t>SO2</t>
        </is>
      </c>
    </row>
    <row r="303">
      <c r="A303" t="inlineStr">
        <is>
          <t>Benzene</t>
        </is>
      </c>
      <c r="B303" s="7" t="n">
        <v>5.003279240840177e-05</v>
      </c>
      <c r="D303" t="inlineStr">
        <is>
          <t>kilogram</t>
        </is>
      </c>
      <c r="E303" t="inlineStr">
        <is>
          <t>air::urban air close to ground</t>
        </is>
      </c>
      <c r="F303" t="inlineStr">
        <is>
          <t>biosphere</t>
        </is>
      </c>
      <c r="G303" t="inlineStr">
        <is>
          <t>Benzene</t>
        </is>
      </c>
    </row>
    <row r="304">
      <c r="A304" t="inlineStr">
        <is>
          <t>Methane, fossil</t>
        </is>
      </c>
      <c r="B304" s="7" t="n">
        <v>2.268635200173465e-05</v>
      </c>
      <c r="D304" t="inlineStr">
        <is>
          <t>kilogram</t>
        </is>
      </c>
      <c r="E304" t="inlineStr">
        <is>
          <t>air::urban air close to ground</t>
        </is>
      </c>
      <c r="F304" t="inlineStr">
        <is>
          <t>biosphere</t>
        </is>
      </c>
      <c r="G304" t="inlineStr">
        <is>
          <t>CH4</t>
        </is>
      </c>
    </row>
    <row r="305">
      <c r="A305" t="inlineStr">
        <is>
          <t>Carbon monoxide, fossil</t>
        </is>
      </c>
      <c r="B305" s="7" t="n">
        <v>0.002398851158448749</v>
      </c>
      <c r="D305" t="inlineStr">
        <is>
          <t>kilogram</t>
        </is>
      </c>
      <c r="E305" t="inlineStr">
        <is>
          <t>air::urban air close to ground</t>
        </is>
      </c>
      <c r="F305" t="inlineStr">
        <is>
          <t>biosphere</t>
        </is>
      </c>
      <c r="G305" t="inlineStr">
        <is>
          <t>CO</t>
        </is>
      </c>
    </row>
    <row r="306">
      <c r="A306" t="inlineStr">
        <is>
          <t>Dinitrogen monoxide</t>
        </is>
      </c>
      <c r="B306" s="7" t="n">
        <v>1.151007204552748e-06</v>
      </c>
      <c r="D306" t="inlineStr">
        <is>
          <t>kilogram</t>
        </is>
      </c>
      <c r="E306" t="inlineStr">
        <is>
          <t>air::urban air close to ground</t>
        </is>
      </c>
      <c r="F306" t="inlineStr">
        <is>
          <t>biosphere</t>
        </is>
      </c>
      <c r="G306" t="inlineStr">
        <is>
          <t>N2O</t>
        </is>
      </c>
    </row>
    <row r="307">
      <c r="A307" t="inlineStr">
        <is>
          <t>Ammonia</t>
        </is>
      </c>
      <c r="B307" s="7" t="n">
        <v>1.151007204552748e-06</v>
      </c>
      <c r="D307" t="inlineStr">
        <is>
          <t>kilogram</t>
        </is>
      </c>
      <c r="E307" t="inlineStr">
        <is>
          <t>air::urban air close to ground</t>
        </is>
      </c>
      <c r="F307" t="inlineStr">
        <is>
          <t>biosphere</t>
        </is>
      </c>
      <c r="G307" t="inlineStr">
        <is>
          <t>NH3</t>
        </is>
      </c>
    </row>
    <row r="308">
      <c r="A308" t="inlineStr">
        <is>
          <t>Nitrogen oxides</t>
        </is>
      </c>
      <c r="B308" s="7" t="n">
        <v>8.63148461723776e-05</v>
      </c>
      <c r="D308" t="inlineStr">
        <is>
          <t>kilogram</t>
        </is>
      </c>
      <c r="E308" t="inlineStr">
        <is>
          <t>air::urban air close to ground</t>
        </is>
      </c>
      <c r="F308" t="inlineStr">
        <is>
          <t>biosphere</t>
        </is>
      </c>
      <c r="G308" t="inlineStr">
        <is>
          <t>NOx</t>
        </is>
      </c>
    </row>
    <row r="309">
      <c r="A309" t="inlineStr">
        <is>
          <t>Particulates, &lt; 2.5 um</t>
        </is>
      </c>
      <c r="B309" s="7" t="n">
        <v>6.61023437574643e-06</v>
      </c>
      <c r="D309" t="inlineStr">
        <is>
          <t>kilogram</t>
        </is>
      </c>
      <c r="E309" t="inlineStr">
        <is>
          <t>air::urban air close to ground</t>
        </is>
      </c>
      <c r="F309" t="inlineStr">
        <is>
          <t>biosphere</t>
        </is>
      </c>
      <c r="G309" t="inlineStr">
        <is>
          <t>PM2.5</t>
        </is>
      </c>
    </row>
    <row r="310">
      <c r="A310" t="inlineStr">
        <is>
          <t>NMVOC, non-methane volatile organic compounds, unspecified origin</t>
        </is>
      </c>
      <c r="B310" s="7" t="n">
        <v>0.0004034729997426197</v>
      </c>
      <c r="D310" t="inlineStr">
        <is>
          <t>kilogram</t>
        </is>
      </c>
      <c r="E310" t="inlineStr">
        <is>
          <t>air::urban air close to ground</t>
        </is>
      </c>
      <c r="F310" t="inlineStr">
        <is>
          <t>biosphere</t>
        </is>
      </c>
      <c r="G310" t="inlineStr">
        <is>
          <t>NMVOC</t>
        </is>
      </c>
    </row>
    <row r="311">
      <c r="A311" t="inlineStr">
        <is>
          <t>Ethane</t>
        </is>
      </c>
      <c r="B311" s="7" t="n">
        <v>2.845001921262062e-05</v>
      </c>
      <c r="D311" t="inlineStr">
        <is>
          <t>kilogram</t>
        </is>
      </c>
      <c r="E311" t="inlineStr">
        <is>
          <t>air::urban air close to ground</t>
        </is>
      </c>
      <c r="F311" t="inlineStr">
        <is>
          <t>biosphere</t>
        </is>
      </c>
      <c r="G311" t="inlineStr">
        <is>
          <t>Ethane</t>
        </is>
      </c>
    </row>
    <row r="312">
      <c r="A312" t="inlineStr">
        <is>
          <t>Propane</t>
        </is>
      </c>
      <c r="B312" s="7" t="n">
        <v>5.797025858370973e-06</v>
      </c>
      <c r="D312" t="inlineStr">
        <is>
          <t>kilogram</t>
        </is>
      </c>
      <c r="E312" t="inlineStr">
        <is>
          <t>air::urban air close to ground</t>
        </is>
      </c>
      <c r="F312" t="inlineStr">
        <is>
          <t>biosphere</t>
        </is>
      </c>
      <c r="G312" t="inlineStr">
        <is>
          <t>Propane</t>
        </is>
      </c>
    </row>
    <row r="313">
      <c r="A313" t="inlineStr">
        <is>
          <t>Butane</t>
        </is>
      </c>
      <c r="B313" s="7" t="n">
        <v>4.673294691979061e-05</v>
      </c>
      <c r="D313" t="inlineStr">
        <is>
          <t>kilogram</t>
        </is>
      </c>
      <c r="E313" t="inlineStr">
        <is>
          <t>air::urban air close to ground</t>
        </is>
      </c>
      <c r="F313" t="inlineStr">
        <is>
          <t>biosphere</t>
        </is>
      </c>
      <c r="G313" t="inlineStr">
        <is>
          <t>Butane</t>
        </is>
      </c>
    </row>
    <row r="314">
      <c r="A314" t="inlineStr">
        <is>
          <t>Pentane</t>
        </is>
      </c>
      <c r="B314" s="7" t="n">
        <v>1.917477783922706e-05</v>
      </c>
      <c r="D314" t="inlineStr">
        <is>
          <t>kilogram</t>
        </is>
      </c>
      <c r="E314" t="inlineStr">
        <is>
          <t>air::urban air close to ground</t>
        </is>
      </c>
      <c r="F314" t="inlineStr">
        <is>
          <t>biosphere</t>
        </is>
      </c>
      <c r="G314" t="inlineStr">
        <is>
          <t>Pentane</t>
        </is>
      </c>
    </row>
    <row r="315">
      <c r="A315" t="inlineStr">
        <is>
          <t>Hexane</t>
        </is>
      </c>
      <c r="B315" s="7" t="n">
        <v>1.435878712611887e-05</v>
      </c>
      <c r="D315" t="inlineStr">
        <is>
          <t>kilogram</t>
        </is>
      </c>
      <c r="E315" t="inlineStr">
        <is>
          <t>air::urban air close to ground</t>
        </is>
      </c>
      <c r="F315" t="inlineStr">
        <is>
          <t>biosphere</t>
        </is>
      </c>
      <c r="G315" t="inlineStr">
        <is>
          <t>Hexane</t>
        </is>
      </c>
    </row>
    <row r="316">
      <c r="A316" t="inlineStr">
        <is>
          <t>Cyclohexane</t>
        </is>
      </c>
      <c r="B316" s="7" t="n">
        <v>1.016709150545063e-05</v>
      </c>
      <c r="D316" t="inlineStr">
        <is>
          <t>kilogram</t>
        </is>
      </c>
      <c r="E316" t="inlineStr">
        <is>
          <t>air::urban air close to ground</t>
        </is>
      </c>
      <c r="F316" t="inlineStr">
        <is>
          <t>biosphere</t>
        </is>
      </c>
      <c r="G316" t="inlineStr">
        <is>
          <t>Cyclohexane</t>
        </is>
      </c>
    </row>
    <row r="317">
      <c r="A317" t="inlineStr">
        <is>
          <t>Heptane</t>
        </is>
      </c>
      <c r="B317" s="7" t="n">
        <v>6.599690977222338e-06</v>
      </c>
      <c r="D317" t="inlineStr">
        <is>
          <t>kilogram</t>
        </is>
      </c>
      <c r="E317" t="inlineStr">
        <is>
          <t>air::urban air close to ground</t>
        </is>
      </c>
      <c r="F317" t="inlineStr">
        <is>
          <t>biosphere</t>
        </is>
      </c>
      <c r="G317" t="inlineStr">
        <is>
          <t>Heptane</t>
        </is>
      </c>
    </row>
    <row r="318">
      <c r="A318" t="inlineStr">
        <is>
          <t>Ethene</t>
        </is>
      </c>
      <c r="B318" s="7" t="n">
        <v>6.510505964016631e-05</v>
      </c>
      <c r="D318" t="inlineStr">
        <is>
          <t>kilogram</t>
        </is>
      </c>
      <c r="E318" t="inlineStr">
        <is>
          <t>air::urban air close to ground</t>
        </is>
      </c>
      <c r="F318" t="inlineStr">
        <is>
          <t>biosphere</t>
        </is>
      </c>
      <c r="G318" t="inlineStr">
        <is>
          <t>Ethene</t>
        </is>
      </c>
    </row>
    <row r="319">
      <c r="A319" t="inlineStr">
        <is>
          <t>Propene</t>
        </is>
      </c>
      <c r="B319" s="7" t="n">
        <v>3.406867504458017e-05</v>
      </c>
      <c r="D319" t="inlineStr">
        <is>
          <t>kilogram</t>
        </is>
      </c>
      <c r="E319" t="inlineStr">
        <is>
          <t>air::urban air close to ground</t>
        </is>
      </c>
      <c r="F319" t="inlineStr">
        <is>
          <t>biosphere</t>
        </is>
      </c>
      <c r="G319" t="inlineStr">
        <is>
          <t>Propene</t>
        </is>
      </c>
    </row>
    <row r="320">
      <c r="A320" t="inlineStr">
        <is>
          <t>1-Pentene</t>
        </is>
      </c>
      <c r="B320" s="7" t="n">
        <v>9.8103514526278e-07</v>
      </c>
      <c r="D320" t="inlineStr">
        <is>
          <t>kilogram</t>
        </is>
      </c>
      <c r="E320" t="inlineStr">
        <is>
          <t>air::urban air close to ground</t>
        </is>
      </c>
      <c r="F320" t="inlineStr">
        <is>
          <t>biosphere</t>
        </is>
      </c>
      <c r="G320" t="inlineStr">
        <is>
          <t>1-Pentene</t>
        </is>
      </c>
    </row>
    <row r="321">
      <c r="A321" t="inlineStr">
        <is>
          <t>Toluene</t>
        </is>
      </c>
      <c r="B321" s="7" t="n">
        <v>9.792514449986658e-05</v>
      </c>
      <c r="D321" t="inlineStr">
        <is>
          <t>kilogram</t>
        </is>
      </c>
      <c r="E321" t="inlineStr">
        <is>
          <t>air::urban air close to ground</t>
        </is>
      </c>
      <c r="F321" t="inlineStr">
        <is>
          <t>biosphere</t>
        </is>
      </c>
      <c r="G321" t="inlineStr">
        <is>
          <t>Toluene</t>
        </is>
      </c>
    </row>
    <row r="322">
      <c r="A322" t="inlineStr">
        <is>
          <t>m-Xylene</t>
        </is>
      </c>
      <c r="B322" s="7" t="n">
        <v>4.842746217069905e-05</v>
      </c>
      <c r="D322" t="inlineStr">
        <is>
          <t>kilogram</t>
        </is>
      </c>
      <c r="E322" t="inlineStr">
        <is>
          <t>air::urban air close to ground</t>
        </is>
      </c>
      <c r="F322" t="inlineStr">
        <is>
          <t>biosphere</t>
        </is>
      </c>
      <c r="G322" t="inlineStr">
        <is>
          <t>m-Xylene</t>
        </is>
      </c>
    </row>
    <row r="323">
      <c r="A323" t="inlineStr">
        <is>
          <t>o-Xylene</t>
        </is>
      </c>
      <c r="B323" s="7" t="n">
        <v>2.015581298448984e-05</v>
      </c>
      <c r="D323" t="inlineStr">
        <is>
          <t>kilogram</t>
        </is>
      </c>
      <c r="E323" t="inlineStr">
        <is>
          <t>air::urban air close to ground</t>
        </is>
      </c>
      <c r="F323" t="inlineStr">
        <is>
          <t>biosphere</t>
        </is>
      </c>
      <c r="G323" t="inlineStr">
        <is>
          <t>o-Xylene</t>
        </is>
      </c>
    </row>
    <row r="324">
      <c r="A324" t="inlineStr">
        <is>
          <t>Formaldehyde</t>
        </is>
      </c>
      <c r="B324" s="7" t="n">
        <v>1.516145224497024e-05</v>
      </c>
      <c r="D324" t="inlineStr">
        <is>
          <t>kilogram</t>
        </is>
      </c>
      <c r="E324" t="inlineStr">
        <is>
          <t>air::urban air close to ground</t>
        </is>
      </c>
      <c r="F324" t="inlineStr">
        <is>
          <t>biosphere</t>
        </is>
      </c>
      <c r="G324" t="inlineStr">
        <is>
          <t>Formaldehyde</t>
        </is>
      </c>
    </row>
    <row r="325">
      <c r="A325" t="inlineStr">
        <is>
          <t>Acetaldehyde</t>
        </is>
      </c>
      <c r="B325" s="7" t="n">
        <v>6.688875990428045e-06</v>
      </c>
      <c r="D325" t="inlineStr">
        <is>
          <t>kilogram</t>
        </is>
      </c>
      <c r="E325" t="inlineStr">
        <is>
          <t>air::urban air close to ground</t>
        </is>
      </c>
      <c r="F325" t="inlineStr">
        <is>
          <t>biosphere</t>
        </is>
      </c>
      <c r="G325" t="inlineStr">
        <is>
          <t>Acetaldehyde</t>
        </is>
      </c>
    </row>
    <row r="326">
      <c r="A326" t="inlineStr">
        <is>
          <t>Benzaldehyde</t>
        </is>
      </c>
      <c r="B326" s="7" t="n">
        <v>1.96207029052556e-06</v>
      </c>
      <c r="D326" t="inlineStr">
        <is>
          <t>kilogram</t>
        </is>
      </c>
      <c r="E326" t="inlineStr">
        <is>
          <t>air::urban air close to ground</t>
        </is>
      </c>
      <c r="F326" t="inlineStr">
        <is>
          <t>biosphere</t>
        </is>
      </c>
      <c r="G326" t="inlineStr">
        <is>
          <t>Benzaldehyde</t>
        </is>
      </c>
    </row>
    <row r="327">
      <c r="A327" t="inlineStr">
        <is>
          <t>Acetone</t>
        </is>
      </c>
      <c r="B327" s="7" t="n">
        <v>5.440285805548144e-06</v>
      </c>
      <c r="D327" t="inlineStr">
        <is>
          <t>kilogram</t>
        </is>
      </c>
      <c r="E327" t="inlineStr">
        <is>
          <t>air::urban air close to ground</t>
        </is>
      </c>
      <c r="F327" t="inlineStr">
        <is>
          <t>biosphere</t>
        </is>
      </c>
      <c r="G327" t="inlineStr">
        <is>
          <t>Acetone</t>
        </is>
      </c>
    </row>
    <row r="328">
      <c r="A328" t="inlineStr">
        <is>
          <t>Methyl ethyl ketone</t>
        </is>
      </c>
      <c r="B328" s="7" t="n">
        <v>0</v>
      </c>
      <c r="D328" t="inlineStr">
        <is>
          <t>kilogram</t>
        </is>
      </c>
      <c r="E328" t="inlineStr">
        <is>
          <t>air::urban air close to ground</t>
        </is>
      </c>
      <c r="F328" t="inlineStr">
        <is>
          <t>biosphere</t>
        </is>
      </c>
      <c r="G328" t="inlineStr">
        <is>
          <t>Methyl ethyl ketone</t>
        </is>
      </c>
    </row>
    <row r="329">
      <c r="A329" t="inlineStr">
        <is>
          <t>Acrolein</t>
        </is>
      </c>
      <c r="B329" s="7" t="n">
        <v>1.694515250908438e-06</v>
      </c>
      <c r="D329" t="inlineStr">
        <is>
          <t>kilogram</t>
        </is>
      </c>
      <c r="E329" t="inlineStr">
        <is>
          <t>air::urban air close to ground</t>
        </is>
      </c>
      <c r="F329" t="inlineStr">
        <is>
          <t>biosphere</t>
        </is>
      </c>
      <c r="G329" t="inlineStr">
        <is>
          <t>Acrolein</t>
        </is>
      </c>
    </row>
    <row r="330">
      <c r="A330" t="inlineStr">
        <is>
          <t>Styrene</t>
        </is>
      </c>
      <c r="B330" s="7" t="n">
        <v>9.007686333776433e-06</v>
      </c>
      <c r="D330" t="inlineStr">
        <is>
          <t>kilogram</t>
        </is>
      </c>
      <c r="E330" t="inlineStr">
        <is>
          <t>air::urban air close to ground</t>
        </is>
      </c>
      <c r="F330" t="inlineStr">
        <is>
          <t>biosphere</t>
        </is>
      </c>
      <c r="G330" t="inlineStr">
        <is>
          <t>Styrene</t>
        </is>
      </c>
    </row>
    <row r="331">
      <c r="A331" t="inlineStr">
        <is>
          <t>PAH, polycyclic aromatic hydrocarbons</t>
        </is>
      </c>
      <c r="B331" s="7" t="n">
        <v>6.737921373616388e-10</v>
      </c>
      <c r="D331" t="inlineStr">
        <is>
          <t>kilogram</t>
        </is>
      </c>
      <c r="E331" t="inlineStr">
        <is>
          <t>air::urban air close to ground</t>
        </is>
      </c>
      <c r="F331" t="inlineStr">
        <is>
          <t>biosphere</t>
        </is>
      </c>
      <c r="G331" t="inlineStr">
        <is>
          <t>PAHs</t>
        </is>
      </c>
    </row>
    <row r="332">
      <c r="A332" t="inlineStr">
        <is>
          <t>Arsenic</t>
        </is>
      </c>
      <c r="B332" s="7" t="n">
        <v>5.808552908289989e-12</v>
      </c>
      <c r="D332" t="inlineStr">
        <is>
          <t>kilogram</t>
        </is>
      </c>
      <c r="E332" t="inlineStr">
        <is>
          <t>air::urban air close to ground</t>
        </is>
      </c>
      <c r="F332" t="inlineStr">
        <is>
          <t>biosphere</t>
        </is>
      </c>
      <c r="G332" t="inlineStr">
        <is>
          <t>Arsenic</t>
        </is>
      </c>
    </row>
    <row r="333">
      <c r="A333" t="inlineStr">
        <is>
          <t>Selenium</t>
        </is>
      </c>
      <c r="B333" s="7" t="n">
        <v>3.872368605526659e-12</v>
      </c>
      <c r="D333" t="inlineStr">
        <is>
          <t>kilogram</t>
        </is>
      </c>
      <c r="E333" t="inlineStr">
        <is>
          <t>air::urban air close to ground</t>
        </is>
      </c>
      <c r="F333" t="inlineStr">
        <is>
          <t>biosphere</t>
        </is>
      </c>
      <c r="G333" t="inlineStr">
        <is>
          <t>Selenium</t>
        </is>
      </c>
    </row>
    <row r="334">
      <c r="A334" t="inlineStr">
        <is>
          <t>Zinc</t>
        </is>
      </c>
      <c r="B334" s="7" t="n">
        <v>4.182158093968792e-08</v>
      </c>
      <c r="D334" t="inlineStr">
        <is>
          <t>kilogram</t>
        </is>
      </c>
      <c r="E334" t="inlineStr">
        <is>
          <t>air::urban air close to ground</t>
        </is>
      </c>
      <c r="F334" t="inlineStr">
        <is>
          <t>biosphere</t>
        </is>
      </c>
      <c r="G334" t="inlineStr">
        <is>
          <t>Zinc</t>
        </is>
      </c>
    </row>
    <row r="335">
      <c r="A335" t="inlineStr">
        <is>
          <t>Copper</t>
        </is>
      </c>
      <c r="B335" s="7" t="n">
        <v>8.131974071605984e-10</v>
      </c>
      <c r="D335" t="inlineStr">
        <is>
          <t>kilogram</t>
        </is>
      </c>
      <c r="E335" t="inlineStr">
        <is>
          <t>air::urban air close to ground</t>
        </is>
      </c>
      <c r="F335" t="inlineStr">
        <is>
          <t>biosphere</t>
        </is>
      </c>
      <c r="G335" t="inlineStr">
        <is>
          <t>Copper</t>
        </is>
      </c>
    </row>
    <row r="336">
      <c r="A336" t="inlineStr">
        <is>
          <t>Nickel</t>
        </is>
      </c>
      <c r="B336" s="7" t="n">
        <v>2.517039593592329e-10</v>
      </c>
      <c r="D336" t="inlineStr">
        <is>
          <t>kilogram</t>
        </is>
      </c>
      <c r="E336" t="inlineStr">
        <is>
          <t>air::urban air close to ground</t>
        </is>
      </c>
      <c r="F336" t="inlineStr">
        <is>
          <t>biosphere</t>
        </is>
      </c>
      <c r="G336" t="inlineStr">
        <is>
          <t>Nickel</t>
        </is>
      </c>
    </row>
    <row r="337">
      <c r="A337" t="inlineStr">
        <is>
          <t>Chromium</t>
        </is>
      </c>
      <c r="B337" s="7" t="n">
        <v>3.097894884421328e-10</v>
      </c>
      <c r="D337" t="inlineStr">
        <is>
          <t>kilogram</t>
        </is>
      </c>
      <c r="E337" t="inlineStr">
        <is>
          <t>air::urban air close to ground</t>
        </is>
      </c>
      <c r="F337" t="inlineStr">
        <is>
          <t>biosphere</t>
        </is>
      </c>
      <c r="G337" t="inlineStr">
        <is>
          <t>Chromium</t>
        </is>
      </c>
    </row>
    <row r="338">
      <c r="A338" t="inlineStr">
        <is>
          <t>Chromium VI</t>
        </is>
      </c>
      <c r="B338" s="7" t="n">
        <v>6.195789768842654e-13</v>
      </c>
      <c r="D338" t="inlineStr">
        <is>
          <t>kilogram</t>
        </is>
      </c>
      <c r="E338" t="inlineStr">
        <is>
          <t>air::urban air close to ground</t>
        </is>
      </c>
      <c r="F338" t="inlineStr">
        <is>
          <t>biosphere</t>
        </is>
      </c>
      <c r="G338" t="inlineStr">
        <is>
          <t>Chromium VI</t>
        </is>
      </c>
    </row>
    <row r="339">
      <c r="A339" t="inlineStr">
        <is>
          <t>Mercury</t>
        </is>
      </c>
      <c r="B339" s="7" t="n">
        <v>1.684480343404097e-10</v>
      </c>
      <c r="D339" t="inlineStr">
        <is>
          <t>kilogram</t>
        </is>
      </c>
      <c r="E339" t="inlineStr">
        <is>
          <t>air::urban air close to ground</t>
        </is>
      </c>
      <c r="F339" t="inlineStr">
        <is>
          <t>biosphere</t>
        </is>
      </c>
      <c r="G339" t="inlineStr">
        <is>
          <t>Mercury</t>
        </is>
      </c>
    </row>
    <row r="340">
      <c r="A340" t="inlineStr">
        <is>
          <t>Cadmium</t>
        </is>
      </c>
      <c r="B340" s="7" t="n">
        <v>2.091079046984397e-10</v>
      </c>
      <c r="D340" t="inlineStr">
        <is>
          <t>kilogram</t>
        </is>
      </c>
      <c r="E340" t="inlineStr">
        <is>
          <t>air::urban air close to ground</t>
        </is>
      </c>
      <c r="F340" t="inlineStr">
        <is>
          <t>biosphere</t>
        </is>
      </c>
      <c r="G340" t="inlineStr">
        <is>
          <t>Cadmium</t>
        </is>
      </c>
    </row>
    <row r="341">
      <c r="A341" t="inlineStr">
        <is>
          <t>treatment of road wear emissions, passenger car</t>
        </is>
      </c>
      <c r="B341" s="7" t="n">
        <v>-5.495466460222843e-06</v>
      </c>
      <c r="C341" t="inlineStr">
        <is>
          <t>RER</t>
        </is>
      </c>
      <c r="D341" t="inlineStr">
        <is>
          <t>kilogram</t>
        </is>
      </c>
      <c r="F341" t="inlineStr">
        <is>
          <t>technosphere</t>
        </is>
      </c>
      <c r="G341" t="inlineStr">
        <is>
          <t>Road wear [kg/km]</t>
        </is>
      </c>
      <c r="H341" t="inlineStr">
        <is>
          <t>road wear emissions, passenger car</t>
        </is>
      </c>
    </row>
    <row r="342">
      <c r="A342" t="inlineStr">
        <is>
          <t>treatment of tyre wear emissions, passenger car</t>
        </is>
      </c>
      <c r="B342" s="7" t="n">
        <v>-4.653127067963281e-06</v>
      </c>
      <c r="C342" t="inlineStr">
        <is>
          <t>RER</t>
        </is>
      </c>
      <c r="D342" t="inlineStr">
        <is>
          <t>kilogram</t>
        </is>
      </c>
      <c r="F342" t="inlineStr">
        <is>
          <t>technosphere</t>
        </is>
      </c>
      <c r="G342" t="inlineStr">
        <is>
          <t>Tire wear [kg/km]</t>
        </is>
      </c>
      <c r="H342" t="inlineStr">
        <is>
          <t>tyre wear emissions, passenger car</t>
        </is>
      </c>
    </row>
    <row r="343">
      <c r="A343" t="inlineStr">
        <is>
          <t>treatment of brake wear emissions, passenger car</t>
        </is>
      </c>
      <c r="B343" s="7" t="n">
        <v>-3.19339385055706e-06</v>
      </c>
      <c r="C343" t="inlineStr">
        <is>
          <t>RER</t>
        </is>
      </c>
      <c r="D343" t="inlineStr">
        <is>
          <t>kilogram</t>
        </is>
      </c>
      <c r="F343" t="inlineStr">
        <is>
          <t>technosphere</t>
        </is>
      </c>
      <c r="G343" t="inlineStr">
        <is>
          <t>Brake wear [kg/km]</t>
        </is>
      </c>
      <c r="H343" t="inlineStr">
        <is>
          <t>brake wear emissions, passenger car</t>
        </is>
      </c>
    </row>
    <row r="344">
      <c r="B344" s="6" t="n"/>
    </row>
    <row r="345"/>
    <row r="346"/>
    <row r="347">
      <c r="B347" s="11" t="n"/>
    </row>
    <row r="348">
      <c r="B348" s="12" t="n"/>
    </row>
    <row r="349">
      <c r="B349" s="11" t="n"/>
    </row>
    <row r="350"/>
    <row r="351" ht="16" customHeight="1">
      <c r="A351" s="10" t="n"/>
      <c r="B351" s="8" t="n"/>
    </row>
    <row r="352"/>
    <row r="353"/>
    <row r="354"/>
    <row r="355"/>
    <row r="356"/>
    <row r="357"/>
    <row r="358"/>
    <row r="359"/>
    <row r="360"/>
    <row r="361"/>
    <row r="362"/>
    <row r="363"/>
    <row r="364"/>
    <row r="365"/>
    <row r="366"/>
    <row r="367"/>
    <row r="368"/>
    <row r="369"/>
    <row r="370"/>
    <row r="371"/>
    <row r="372"/>
    <row r="373"/>
    <row r="374">
      <c r="B374" s="6" t="n"/>
    </row>
    <row r="375"/>
    <row r="376" ht="16" customHeight="1">
      <c r="A376" s="10" t="n"/>
    </row>
    <row r="377"/>
    <row r="378"/>
    <row r="379"/>
    <row r="380">
      <c r="B380" s="11" t="n"/>
    </row>
    <row r="381">
      <c r="B381" s="12" t="n"/>
    </row>
    <row r="382">
      <c r="B382" s="11" t="n"/>
    </row>
    <row r="383"/>
    <row r="384" ht="16" customHeight="1">
      <c r="A384" s="10" t="n"/>
      <c r="B384" s="8" t="n"/>
    </row>
    <row r="385"/>
    <row r="386"/>
    <row r="387"/>
    <row r="388"/>
    <row r="389"/>
    <row r="390"/>
    <row r="391"/>
    <row r="392"/>
    <row r="393"/>
    <row r="394"/>
    <row r="395"/>
    <row r="396"/>
    <row r="397"/>
    <row r="398"/>
    <row r="399"/>
    <row r="400"/>
    <row r="401"/>
    <row r="402"/>
    <row r="403"/>
    <row r="404"/>
    <row r="405"/>
    <row r="406"/>
    <row r="407">
      <c r="B407" s="6" t="n"/>
    </row>
    <row r="408"/>
    <row r="409" ht="16" customHeight="1">
      <c r="A409" s="10" t="n"/>
    </row>
    <row r="410"/>
    <row r="411"/>
    <row r="412"/>
    <row r="413">
      <c r="B413" s="11" t="n"/>
    </row>
    <row r="414">
      <c r="B414" s="12" t="n"/>
    </row>
    <row r="415">
      <c r="B415" s="11"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H71"/>
  <sheetViews>
    <sheetView topLeftCell="A39" workbookViewId="0">
      <selection activeCell="G64" sqref="G64"/>
    </sheetView>
  </sheetViews>
  <sheetFormatPr baseColWidth="10" defaultColWidth="8.83203125" defaultRowHeight="15"/>
  <cols>
    <col width="44.5" customWidth="1" min="1" max="1"/>
    <col width="15.6640625" bestFit="1" customWidth="1" min="2" max="2"/>
    <col width="14" bestFit="1" customWidth="1" min="7" max="7"/>
  </cols>
  <sheetData>
    <row r="1" ht="16" customHeight="1">
      <c r="A1" s="10" t="inlineStr">
        <is>
          <t>Activity</t>
        </is>
      </c>
      <c r="B1" s="8" t="inlineStr">
        <is>
          <t>Bicycle, conventional, urban</t>
        </is>
      </c>
    </row>
    <row r="2">
      <c r="A2" t="inlineStr">
        <is>
          <t>location</t>
        </is>
      </c>
      <c r="B2" t="inlineStr">
        <is>
          <t>CH</t>
        </is>
      </c>
    </row>
    <row r="3">
      <c r="A3" t="inlineStr">
        <is>
          <t>vehicle</t>
        </is>
      </c>
      <c r="B3" t="inlineStr">
        <is>
          <t>Bicycle, conventional, urban</t>
        </is>
      </c>
    </row>
    <row r="4">
      <c r="A4" t="inlineStr">
        <is>
          <t>size</t>
        </is>
      </c>
    </row>
    <row r="5">
      <c r="A5" t="inlineStr">
        <is>
          <t>year</t>
        </is>
      </c>
      <c r="B5" t="n">
        <v>2020</v>
      </c>
    </row>
    <row r="6">
      <c r="A6" t="inlineStr">
        <is>
          <t>full name</t>
        </is>
      </c>
      <c r="B6" t="inlineStr">
        <is>
          <t>Bicycle, conventional, urban - 2020 - CH</t>
        </is>
      </c>
    </row>
    <row r="7">
      <c r="A7" t="inlineStr">
        <is>
          <t>reference product</t>
        </is>
      </c>
      <c r="B7" t="inlineStr">
        <is>
          <t>Bicycle, conventional, urban</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15000</v>
      </c>
    </row>
    <row r="12">
      <c r="A12" t="inlineStr">
        <is>
          <t>passengers</t>
        </is>
      </c>
      <c r="B12" t="n">
        <v>1</v>
      </c>
    </row>
    <row r="13">
      <c r="A13" t="inlineStr">
        <is>
          <t>service</t>
        </is>
      </c>
      <c r="B13" t="n">
        <v>1</v>
      </c>
    </row>
    <row r="14">
      <c r="A14" t="inlineStr">
        <is>
          <t>battery replacement</t>
        </is>
      </c>
      <c r="B14" t="n">
        <v>0</v>
      </c>
    </row>
    <row r="15">
      <c r="A15" t="inlineStr">
        <is>
          <t>annual kilometers</t>
        </is>
      </c>
      <c r="B15" t="n">
        <v>1000</v>
      </c>
    </row>
    <row r="16">
      <c r="A16" t="inlineStr">
        <is>
          <t>curb mass</t>
        </is>
      </c>
      <c r="B16" t="n">
        <v>12</v>
      </c>
    </row>
    <row r="17">
      <c r="A17" t="inlineStr">
        <is>
          <t>power</t>
        </is>
      </c>
      <c r="B17" t="n">
        <v>0</v>
      </c>
    </row>
    <row r="18">
      <c r="A18" t="inlineStr">
        <is>
          <t>battery mass</t>
        </is>
      </c>
    </row>
    <row r="19">
      <c r="A19" t="inlineStr">
        <is>
          <t>electricity, low voltage</t>
        </is>
      </c>
      <c r="B19" t="n">
        <v>0</v>
      </c>
    </row>
    <row r="20">
      <c r="A20" t="inlineStr">
        <is>
          <t>tank capacity</t>
        </is>
      </c>
      <c r="B20" t="n">
        <v>0</v>
      </c>
    </row>
    <row r="21">
      <c r="A21" t="inlineStr">
        <is>
          <t>fuel mass</t>
        </is>
      </c>
      <c r="B21" t="n">
        <v>0</v>
      </c>
    </row>
    <row r="22">
      <c r="A22" t="inlineStr">
        <is>
          <t>range</t>
        </is>
      </c>
      <c r="B22" t="n">
        <v>0</v>
      </c>
    </row>
    <row r="23">
      <c r="A23" t="inlineStr">
        <is>
          <t>emission standard</t>
        </is>
      </c>
      <c r="B23" t="inlineStr">
        <is>
          <t>None</t>
        </is>
      </c>
    </row>
    <row r="24">
      <c r="A24" t="inlineStr">
        <is>
          <t>Glider lightweighting</t>
        </is>
      </c>
      <c r="B24" s="6" t="n">
        <v>0</v>
      </c>
    </row>
    <row r="25">
      <c r="A25" t="inlineStr">
        <is>
          <t>origin</t>
        </is>
      </c>
      <c r="B25" s="6" t="inlineStr">
        <is>
          <t>China</t>
        </is>
      </c>
    </row>
    <row r="26">
      <c r="A26" t="inlineStr">
        <is>
          <t>distance by ship [km]</t>
        </is>
      </c>
      <c r="B26" s="2" t="n">
        <v>15900</v>
      </c>
    </row>
    <row r="27">
      <c r="A27" t="inlineStr">
        <is>
          <t>distance by truck [km]</t>
        </is>
      </c>
      <c r="B27" s="2" t="n">
        <v>1000</v>
      </c>
    </row>
    <row r="28">
      <c r="A28" t="inlineStr">
        <is>
          <t>comment</t>
        </is>
      </c>
      <c r="B28" t="inlineStr">
        <is>
          <t>Power: 0 kW. Lifetime: 15000 km. Annual kilometers: 1000 km. Number of passengers: 1. Curb mass: 12 kg. Lightweighting of glider: 0%. Emission standard: None. Service visits throughout lifetime: 1. Range: 0 km.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ht="16" customHeight="1">
      <c r="A29" s="10" t="inlineStr">
        <is>
          <t>Exchanges</t>
        </is>
      </c>
    </row>
    <row r="30">
      <c r="A30" t="inlineStr">
        <is>
          <t>name</t>
        </is>
      </c>
      <c r="B30" t="inlineStr">
        <is>
          <t>amount</t>
        </is>
      </c>
      <c r="C30" t="inlineStr">
        <is>
          <t>location</t>
        </is>
      </c>
      <c r="D30" t="inlineStr">
        <is>
          <t>unit</t>
        </is>
      </c>
      <c r="E30" t="inlineStr">
        <is>
          <t>categories</t>
        </is>
      </c>
      <c r="F30" t="inlineStr">
        <is>
          <t>type</t>
        </is>
      </c>
      <c r="G30" t="inlineStr">
        <is>
          <t>comment</t>
        </is>
      </c>
      <c r="H30" t="inlineStr">
        <is>
          <t>reference product</t>
        </is>
      </c>
    </row>
    <row r="31">
      <c r="A31" t="inlineStr">
        <is>
          <t>Bicycle, conventional, urban</t>
        </is>
      </c>
      <c r="B31" t="n">
        <v>1</v>
      </c>
      <c r="C31" t="inlineStr">
        <is>
          <t>CH</t>
        </is>
      </c>
      <c r="D31" t="inlineStr">
        <is>
          <t>unit</t>
        </is>
      </c>
      <c r="F31" t="inlineStr">
        <is>
          <t>production</t>
        </is>
      </c>
      <c r="H31" t="inlineStr">
        <is>
          <t>Bicycle, conventional, urban</t>
        </is>
      </c>
    </row>
    <row r="32">
      <c r="A32" t="inlineStr">
        <is>
          <t>bicycle production</t>
        </is>
      </c>
      <c r="B32" s="4" t="n">
        <v>0.7058823529411764</v>
      </c>
      <c r="C32" t="inlineStr">
        <is>
          <t>RER</t>
        </is>
      </c>
      <c r="D32" t="inlineStr">
        <is>
          <t>unit</t>
        </is>
      </c>
      <c r="F32" t="inlineStr">
        <is>
          <t>technosphere</t>
        </is>
      </c>
      <c r="G32" t="inlineStr">
        <is>
          <t>Glider base mass [kg]</t>
        </is>
      </c>
      <c r="H32" t="inlineStr">
        <is>
          <t>bicycle</t>
        </is>
      </c>
    </row>
    <row r="33">
      <c r="A33" t="inlineStr">
        <is>
          <t>Glider lightweighting</t>
        </is>
      </c>
      <c r="B33" s="11" t="n">
        <v>0</v>
      </c>
      <c r="C33" t="inlineStr">
        <is>
          <t>GLO</t>
        </is>
      </c>
      <c r="D33" t="inlineStr">
        <is>
          <t>kilogram</t>
        </is>
      </c>
      <c r="F33" t="inlineStr">
        <is>
          <t>technosphere</t>
        </is>
      </c>
      <c r="G33" t="inlineStr">
        <is>
          <t>Lightweighting rate [%]</t>
        </is>
      </c>
      <c r="H33" t="inlineStr">
        <is>
          <t>Glider lightweighting</t>
        </is>
      </c>
    </row>
    <row r="34">
      <c r="A34" s="13" t="inlineStr">
        <is>
          <t>market for transport, freight, lorry, unspecified</t>
        </is>
      </c>
      <c r="B34" t="n">
        <v>12</v>
      </c>
      <c r="C34" t="inlineStr">
        <is>
          <t>RER</t>
        </is>
      </c>
      <c r="D34" t="inlineStr">
        <is>
          <t>ton kilometer</t>
        </is>
      </c>
      <c r="F34" t="inlineStr">
        <is>
          <t>technosphere</t>
        </is>
      </c>
      <c r="H34" s="13" t="inlineStr">
        <is>
          <t>transport, freight, lorry, unspecified</t>
        </is>
      </c>
    </row>
    <row r="35">
      <c r="A35" s="13" t="inlineStr">
        <is>
          <t>transport, freight, sea, container ship</t>
        </is>
      </c>
      <c r="B35" s="2" t="n">
        <v>190.8</v>
      </c>
      <c r="C35" t="inlineStr">
        <is>
          <t>GLO</t>
        </is>
      </c>
      <c r="D35" t="inlineStr">
        <is>
          <t>ton kilometer</t>
        </is>
      </c>
      <c r="F35" t="inlineStr">
        <is>
          <t>technosphere</t>
        </is>
      </c>
      <c r="H35" s="13" t="inlineStr">
        <is>
          <t>transport, freight, sea, container ship</t>
        </is>
      </c>
    </row>
    <row r="36"/>
    <row r="37"/>
    <row r="38" ht="16" customHeight="1">
      <c r="A38" s="10" t="inlineStr">
        <is>
          <t>Activity</t>
        </is>
      </c>
      <c r="B38" s="8" t="inlineStr">
        <is>
          <t>transport, Bicycle, conventional, urban</t>
        </is>
      </c>
    </row>
    <row r="39">
      <c r="A39" t="inlineStr">
        <is>
          <t>location</t>
        </is>
      </c>
      <c r="B39" t="inlineStr">
        <is>
          <t>CH</t>
        </is>
      </c>
    </row>
    <row r="40">
      <c r="A40" t="inlineStr">
        <is>
          <t>vehicle</t>
        </is>
      </c>
      <c r="B40" t="inlineStr">
        <is>
          <t>Bicycle, conventional, urban</t>
        </is>
      </c>
    </row>
    <row r="41">
      <c r="A41" t="inlineStr">
        <is>
          <t>size</t>
        </is>
      </c>
    </row>
    <row r="42">
      <c r="A42" t="inlineStr">
        <is>
          <t>year</t>
        </is>
      </c>
      <c r="B42" t="n">
        <v>2020</v>
      </c>
    </row>
    <row r="43">
      <c r="A43" t="inlineStr">
        <is>
          <t>full name</t>
        </is>
      </c>
      <c r="B43" t="inlineStr">
        <is>
          <t>Bicycle, conventional, urban - 2020 - CH</t>
        </is>
      </c>
    </row>
    <row r="44">
      <c r="A44" t="inlineStr">
        <is>
          <t>reference product</t>
        </is>
      </c>
      <c r="B44" t="inlineStr">
        <is>
          <t>transport, Bicycle, conventional, urban</t>
        </is>
      </c>
    </row>
    <row r="45">
      <c r="A45" t="inlineStr">
        <is>
          <t>type</t>
        </is>
      </c>
      <c r="B45" t="inlineStr">
        <is>
          <t>process</t>
        </is>
      </c>
    </row>
    <row r="46">
      <c r="A46" t="inlineStr">
        <is>
          <t>unit</t>
        </is>
      </c>
      <c r="B46" t="inlineStr">
        <is>
          <t>kilometer</t>
        </is>
      </c>
    </row>
    <row r="47">
      <c r="A47" t="inlineStr">
        <is>
          <t>source</t>
        </is>
      </c>
      <c r="B47" t="inlineStr">
        <is>
          <t>Sacchi R., Bauer C. Life cycle inventories for on-road vehicles. Paul Scherrer Institut, 2021.</t>
        </is>
      </c>
    </row>
    <row r="48">
      <c r="A48" t="inlineStr">
        <is>
          <t>lifetime</t>
        </is>
      </c>
      <c r="B48" t="n">
        <v>15000</v>
      </c>
    </row>
    <row r="49">
      <c r="A49" t="inlineStr">
        <is>
          <t>passengers</t>
        </is>
      </c>
      <c r="B49" t="n">
        <v>1</v>
      </c>
    </row>
    <row r="50">
      <c r="A50" t="inlineStr">
        <is>
          <t>service</t>
        </is>
      </c>
      <c r="B50" t="n">
        <v>1</v>
      </c>
    </row>
    <row r="51">
      <c r="A51" t="inlineStr">
        <is>
          <t>battery replacement</t>
        </is>
      </c>
      <c r="B51" t="n">
        <v>0</v>
      </c>
    </row>
    <row r="52">
      <c r="A52" t="inlineStr">
        <is>
          <t>annual kilometers</t>
        </is>
      </c>
      <c r="B52" t="n">
        <v>1000</v>
      </c>
    </row>
    <row r="53">
      <c r="A53" t="inlineStr">
        <is>
          <t>curb mass</t>
        </is>
      </c>
      <c r="B53" t="n">
        <v>12</v>
      </c>
    </row>
    <row r="54">
      <c r="A54" t="inlineStr">
        <is>
          <t>power</t>
        </is>
      </c>
      <c r="B54" t="n">
        <v>0</v>
      </c>
    </row>
    <row r="55">
      <c r="A55" t="inlineStr">
        <is>
          <t>battery mass</t>
        </is>
      </c>
    </row>
    <row r="56">
      <c r="A56" t="inlineStr">
        <is>
          <t>electricity, low voltage</t>
        </is>
      </c>
      <c r="B56" t="n">
        <v>0</v>
      </c>
    </row>
    <row r="57">
      <c r="A57" t="inlineStr">
        <is>
          <t>tank capacity</t>
        </is>
      </c>
      <c r="B57" t="n">
        <v>0</v>
      </c>
    </row>
    <row r="58">
      <c r="A58" t="inlineStr">
        <is>
          <t>fuel mass</t>
        </is>
      </c>
      <c r="B58" t="n">
        <v>0</v>
      </c>
    </row>
    <row r="59">
      <c r="A59" t="inlineStr">
        <is>
          <t>range</t>
        </is>
      </c>
      <c r="B59" t="n">
        <v>0</v>
      </c>
    </row>
    <row r="60">
      <c r="A60" t="inlineStr">
        <is>
          <t>emission standard</t>
        </is>
      </c>
      <c r="B60" t="inlineStr">
        <is>
          <t>None</t>
        </is>
      </c>
    </row>
    <row r="61">
      <c r="A61" t="inlineStr">
        <is>
          <t>Glider lightweighting</t>
        </is>
      </c>
      <c r="B61" s="6" t="n">
        <v>0</v>
      </c>
    </row>
    <row r="62">
      <c r="A62" t="inlineStr">
        <is>
          <t>comment</t>
        </is>
      </c>
      <c r="B62" t="inlineStr">
        <is>
          <t>Power: 0 kW. Lifetime: 15000 km. Annual kilometers: 1000 km. Number of passengers: 1. Curb mass: 12 kg. Lightweighting of glider: 0%. Emission standard: None. Service visits throughout lifetime: 1. Range: 0 km. Fuel tank capacity: 0 kWh. Fuel mass: 0 kg. Documentation: Life-cycle inventories for on-road vehicles, Sacchi R. (PSI), Bauer C. (PSI), 2021. Sacchi R., Bauer C. Life cycle inventories for on-road vehicles. Paul Scherrer Institut, 2021.</t>
        </is>
      </c>
    </row>
    <row r="63" ht="16" customHeight="1">
      <c r="A63" s="10" t="inlineStr">
        <is>
          <t>Exchanges</t>
        </is>
      </c>
    </row>
    <row r="64">
      <c r="A64" t="inlineStr">
        <is>
          <t>name</t>
        </is>
      </c>
      <c r="B64" t="inlineStr">
        <is>
          <t>amount</t>
        </is>
      </c>
      <c r="C64" t="inlineStr">
        <is>
          <t>location</t>
        </is>
      </c>
      <c r="D64" t="inlineStr">
        <is>
          <t>unit</t>
        </is>
      </c>
      <c r="E64" t="inlineStr">
        <is>
          <t>categories</t>
        </is>
      </c>
      <c r="F64" t="inlineStr">
        <is>
          <t>type</t>
        </is>
      </c>
      <c r="G64" t="inlineStr">
        <is>
          <t>comment</t>
        </is>
      </c>
      <c r="H64" t="inlineStr">
        <is>
          <t>reference product</t>
        </is>
      </c>
    </row>
    <row r="65">
      <c r="A65" t="inlineStr">
        <is>
          <t>transport, Bicycle, conventional, urban</t>
        </is>
      </c>
      <c r="B65" t="n">
        <v>1</v>
      </c>
      <c r="C65" t="inlineStr">
        <is>
          <t>CH</t>
        </is>
      </c>
      <c r="D65" t="inlineStr">
        <is>
          <t>kilometer</t>
        </is>
      </c>
      <c r="F65" t="inlineStr">
        <is>
          <t>production</t>
        </is>
      </c>
      <c r="H65" t="inlineStr">
        <is>
          <t>transport, Bicycle, conventional, urban</t>
        </is>
      </c>
    </row>
    <row r="66">
      <c r="A66" t="inlineStr">
        <is>
          <t>Bicycle, conventional, urban</t>
        </is>
      </c>
      <c r="B66" s="7" t="n">
        <v>6.666666666666667e-05</v>
      </c>
      <c r="C66" t="inlineStr">
        <is>
          <t>CH</t>
        </is>
      </c>
      <c r="D66" t="inlineStr">
        <is>
          <t>unit</t>
        </is>
      </c>
      <c r="F66" t="inlineStr">
        <is>
          <t>technosphere</t>
        </is>
      </c>
      <c r="H66" t="inlineStr">
        <is>
          <t>Bicycle, conventional, urban</t>
        </is>
      </c>
    </row>
    <row r="67">
      <c r="A67" t="inlineStr">
        <is>
          <t>road construction</t>
        </is>
      </c>
      <c r="B67" s="7" t="n">
        <v>4.7256e-05</v>
      </c>
      <c r="C67" t="inlineStr">
        <is>
          <t>CH</t>
        </is>
      </c>
      <c r="D67" t="inlineStr">
        <is>
          <t>meter-year</t>
        </is>
      </c>
      <c r="F67" t="inlineStr">
        <is>
          <t>technosphere</t>
        </is>
      </c>
      <c r="G67" t="inlineStr">
        <is>
          <t>Road/track use [m*year/vkm or pkm]</t>
        </is>
      </c>
      <c r="H67" t="inlineStr">
        <is>
          <t>road</t>
        </is>
      </c>
    </row>
    <row r="68">
      <c r="A68" t="inlineStr">
        <is>
          <t>maintenance, bicycle</t>
        </is>
      </c>
      <c r="B68" s="7" t="n">
        <v>6.666666666666667e-05</v>
      </c>
      <c r="C68" t="inlineStr">
        <is>
          <t>CH</t>
        </is>
      </c>
      <c r="D68" t="inlineStr">
        <is>
          <t>unit</t>
        </is>
      </c>
      <c r="F68" t="inlineStr">
        <is>
          <t>technosphere</t>
        </is>
      </c>
      <c r="G68" t="inlineStr">
        <is>
          <t>Servicing [unit]</t>
        </is>
      </c>
      <c r="H68" t="inlineStr">
        <is>
          <t>maintenance, bicycle</t>
        </is>
      </c>
    </row>
    <row r="69">
      <c r="A69" t="inlineStr">
        <is>
          <t>treatment of road wear emissions, passenger car</t>
        </is>
      </c>
      <c r="B69" s="7" t="n">
        <v>-3.818045686745175e-06</v>
      </c>
      <c r="C69" t="inlineStr">
        <is>
          <t>RER</t>
        </is>
      </c>
      <c r="D69" t="inlineStr">
        <is>
          <t>kilogram</t>
        </is>
      </c>
      <c r="F69" t="inlineStr">
        <is>
          <t>technosphere</t>
        </is>
      </c>
      <c r="G69" t="inlineStr">
        <is>
          <t>Road wear [kg/km]</t>
        </is>
      </c>
      <c r="H69" t="inlineStr">
        <is>
          <t>road wear emissions, passenger car</t>
        </is>
      </c>
    </row>
    <row r="70">
      <c r="A70" t="inlineStr">
        <is>
          <t>treatment of tyre wear emissions, passenger car</t>
        </is>
      </c>
      <c r="B70" s="7" t="n">
        <v>-3.698109912228905e-06</v>
      </c>
      <c r="C70" t="inlineStr">
        <is>
          <t>RER</t>
        </is>
      </c>
      <c r="D70" t="inlineStr">
        <is>
          <t>kilogram</t>
        </is>
      </c>
      <c r="F70" t="inlineStr">
        <is>
          <t>technosphere</t>
        </is>
      </c>
      <c r="G70" t="inlineStr">
        <is>
          <t>Tire wear [kg/km]</t>
        </is>
      </c>
      <c r="H70" t="inlineStr">
        <is>
          <t>tyre wear emissions, passenger car</t>
        </is>
      </c>
    </row>
    <row r="71">
      <c r="A71" t="inlineStr">
        <is>
          <t>treatment of brake wear emissions, passenger car</t>
        </is>
      </c>
      <c r="B71" s="7" t="n">
        <v>-3.470493115296593e-06</v>
      </c>
      <c r="C71" t="inlineStr">
        <is>
          <t>RER</t>
        </is>
      </c>
      <c r="D71" t="inlineStr">
        <is>
          <t>kilogram</t>
        </is>
      </c>
      <c r="F71" t="inlineStr">
        <is>
          <t>technosphere</t>
        </is>
      </c>
      <c r="G71" t="inlineStr">
        <is>
          <t>Brake wear [kg/km]</t>
        </is>
      </c>
      <c r="H71" t="inlineStr">
        <is>
          <t>brake wear emissions, passenger car</t>
        </is>
      </c>
    </row>
  </sheetData>
  <pageMargins left="0.7" right="0.7" top="0.75" bottom="0.75" header="0.3" footer="0.3"/>
  <pageSetup orientation="portrait" horizontalDpi="300" verticalDpi="300"/>
</worksheet>
</file>

<file path=xl/worksheets/sheet23.xml><?xml version="1.0" encoding="utf-8"?>
<worksheet xmlns="http://schemas.openxmlformats.org/spreadsheetml/2006/main">
  <sheetPr>
    <outlinePr summaryBelow="1" summaryRight="1"/>
    <pageSetUpPr/>
  </sheetPr>
  <dimension ref="A1:H81"/>
  <sheetViews>
    <sheetView topLeftCell="A14" workbookViewId="0">
      <selection activeCell="H37" sqref="H37"/>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Bicycle, electric (&lt;25 km/h)</t>
        </is>
      </c>
    </row>
    <row r="2">
      <c r="A2" t="inlineStr">
        <is>
          <t>location</t>
        </is>
      </c>
      <c r="B2" t="inlineStr">
        <is>
          <t>CH</t>
        </is>
      </c>
    </row>
    <row r="3">
      <c r="A3" t="inlineStr">
        <is>
          <t>vehicle</t>
        </is>
      </c>
      <c r="B3" t="inlineStr">
        <is>
          <t>Bicycle, electric (&lt;25 km/h)</t>
        </is>
      </c>
    </row>
    <row r="4">
      <c r="A4" t="inlineStr">
        <is>
          <t>size</t>
        </is>
      </c>
    </row>
    <row r="5">
      <c r="A5" t="inlineStr">
        <is>
          <t>year</t>
        </is>
      </c>
      <c r="B5" t="n">
        <v>2020</v>
      </c>
    </row>
    <row r="6">
      <c r="A6" t="inlineStr">
        <is>
          <t>full name</t>
        </is>
      </c>
      <c r="B6" t="inlineStr">
        <is>
          <t>Bicycle, electric (&lt;25 km/h) - 2020 - NMC - CH</t>
        </is>
      </c>
    </row>
    <row r="7">
      <c r="A7" t="inlineStr">
        <is>
          <t>reference product</t>
        </is>
      </c>
      <c r="B7" t="inlineStr">
        <is>
          <t>Bicycle, electric (&lt;25 km/h)</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20000</v>
      </c>
    </row>
    <row r="12">
      <c r="A12" t="inlineStr">
        <is>
          <t>passengers</t>
        </is>
      </c>
      <c r="B12" t="n">
        <v>1</v>
      </c>
    </row>
    <row r="13">
      <c r="A13" t="inlineStr">
        <is>
          <t>service</t>
        </is>
      </c>
      <c r="B13" t="n">
        <v>1.333333333333333</v>
      </c>
    </row>
    <row r="14">
      <c r="A14" t="inlineStr">
        <is>
          <t>battery replacement</t>
        </is>
      </c>
      <c r="B14" t="n">
        <v>1</v>
      </c>
    </row>
    <row r="15">
      <c r="A15" t="inlineStr">
        <is>
          <t>annual kilometers</t>
        </is>
      </c>
      <c r="B15" t="n">
        <v>2000</v>
      </c>
    </row>
    <row r="16">
      <c r="A16" t="inlineStr">
        <is>
          <t>curb mass</t>
        </is>
      </c>
      <c r="B16" t="n">
        <v>23.25</v>
      </c>
    </row>
    <row r="17">
      <c r="A17" t="inlineStr">
        <is>
          <t>power</t>
        </is>
      </c>
      <c r="B17" t="n">
        <v>0.25</v>
      </c>
    </row>
    <row r="18">
      <c r="A18" t="inlineStr">
        <is>
          <t>battery type</t>
        </is>
      </c>
      <c r="B18" s="19" t="inlineStr">
        <is>
          <t>NMC</t>
        </is>
      </c>
    </row>
    <row r="19">
      <c r="A19" t="inlineStr">
        <is>
          <t>battery mass</t>
        </is>
      </c>
      <c r="B19" t="n">
        <v>3.25</v>
      </c>
    </row>
    <row r="20">
      <c r="A20" t="inlineStr">
        <is>
          <t>electricity, low voltage</t>
        </is>
      </c>
      <c r="B20" t="n">
        <v>0.5</v>
      </c>
    </row>
    <row r="21">
      <c r="A21" t="inlineStr">
        <is>
          <t>battery capacity available</t>
        </is>
      </c>
      <c r="B21" t="n">
        <v>0.4</v>
      </c>
    </row>
    <row r="22">
      <c r="A22" t="inlineStr">
        <is>
          <t>tank capacity</t>
        </is>
      </c>
      <c r="B22" t="n">
        <v>0</v>
      </c>
    </row>
    <row r="23">
      <c r="A23" t="inlineStr">
        <is>
          <t>fuel mass</t>
        </is>
      </c>
      <c r="B23" t="n">
        <v>0</v>
      </c>
    </row>
    <row r="24">
      <c r="A24" t="inlineStr">
        <is>
          <t>range</t>
        </is>
      </c>
      <c r="B24" s="2" t="n">
        <v>58.36897825194912</v>
      </c>
    </row>
    <row r="25">
      <c r="A25" t="inlineStr">
        <is>
          <t>emission standard</t>
        </is>
      </c>
      <c r="B25" t="inlineStr">
        <is>
          <t>None</t>
        </is>
      </c>
    </row>
    <row r="26">
      <c r="A26" t="inlineStr">
        <is>
          <t>Glider lightweighting</t>
        </is>
      </c>
      <c r="B26" s="6" t="n">
        <v>0</v>
      </c>
    </row>
    <row r="27">
      <c r="A27" t="inlineStr">
        <is>
          <t>origin</t>
        </is>
      </c>
      <c r="B27" s="6" t="inlineStr">
        <is>
          <t>China</t>
        </is>
      </c>
    </row>
    <row r="28">
      <c r="A28" t="inlineStr">
        <is>
          <t>distance by ship [km]</t>
        </is>
      </c>
      <c r="B28" s="2" t="n">
        <v>15900</v>
      </c>
    </row>
    <row r="29">
      <c r="A29" t="inlineStr">
        <is>
          <t>distance by truck [km]</t>
        </is>
      </c>
      <c r="B29" s="2" t="n">
        <v>1000</v>
      </c>
    </row>
    <row r="30">
      <c r="A30" t="inlineStr">
        <is>
          <t>comment</t>
        </is>
      </c>
      <c r="B30" t="inlineStr">
        <is>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ht="16" customHeight="1">
      <c r="A31" s="10" t="inlineStr">
        <is>
          <t>Exchanges</t>
        </is>
      </c>
    </row>
    <row r="32">
      <c r="A32" t="inlineStr">
        <is>
          <t>name</t>
        </is>
      </c>
      <c r="B32" t="inlineStr">
        <is>
          <t>amount</t>
        </is>
      </c>
      <c r="C32" t="inlineStr">
        <is>
          <t>location</t>
        </is>
      </c>
      <c r="D32" t="inlineStr">
        <is>
          <t>unit</t>
        </is>
      </c>
      <c r="E32" t="inlineStr">
        <is>
          <t>categories</t>
        </is>
      </c>
      <c r="F32" t="inlineStr">
        <is>
          <t>type</t>
        </is>
      </c>
      <c r="G32" t="inlineStr">
        <is>
          <t>comment</t>
        </is>
      </c>
      <c r="H32" t="inlineStr">
        <is>
          <t>reference product</t>
        </is>
      </c>
    </row>
    <row r="33">
      <c r="A33" t="inlineStr">
        <is>
          <t>Bicycle, electric (&lt;25 km/h)</t>
        </is>
      </c>
      <c r="B33" t="n">
        <v>1</v>
      </c>
      <c r="C33" t="inlineStr">
        <is>
          <t>CH</t>
        </is>
      </c>
      <c r="D33" t="inlineStr">
        <is>
          <t>unit</t>
        </is>
      </c>
      <c r="F33" t="inlineStr">
        <is>
          <t>production</t>
        </is>
      </c>
      <c r="H33" t="inlineStr">
        <is>
          <t>Bicycle, electric (&lt;25 km/h)</t>
        </is>
      </c>
    </row>
    <row r="34">
      <c r="A34" t="inlineStr">
        <is>
          <t>electric bicycle production, without battery and motor</t>
        </is>
      </c>
      <c r="B34" s="4" t="n">
        <v>0.9411764705882353</v>
      </c>
      <c r="C34" t="inlineStr">
        <is>
          <t>RER</t>
        </is>
      </c>
      <c r="D34" t="inlineStr">
        <is>
          <t>unit</t>
        </is>
      </c>
      <c r="F34" t="inlineStr">
        <is>
          <t>technosphere</t>
        </is>
      </c>
      <c r="G34" t="inlineStr">
        <is>
          <t>Glider base mass [kg]</t>
        </is>
      </c>
      <c r="H34" t="inlineStr">
        <is>
          <t>electric bicycle, without battery and motor</t>
        </is>
      </c>
    </row>
    <row r="35">
      <c r="A35" t="inlineStr">
        <is>
          <t>market for electric motor, vehicle</t>
        </is>
      </c>
      <c r="B35" s="4" t="n">
        <v>4</v>
      </c>
      <c r="C35" t="inlineStr">
        <is>
          <t>GLO</t>
        </is>
      </c>
      <c r="D35" t="inlineStr">
        <is>
          <t>kilogram</t>
        </is>
      </c>
      <c r="F35" t="inlineStr">
        <is>
          <t>technosphere</t>
        </is>
      </c>
      <c r="G35" t="inlineStr">
        <is>
          <t>Electric powertrain mass [kg]</t>
        </is>
      </c>
      <c r="H35" t="inlineStr">
        <is>
          <t>electric motor, vehicle</t>
        </is>
      </c>
    </row>
    <row r="36">
      <c r="A36" t="inlineStr">
        <is>
          <t>Glider lightweighting</t>
        </is>
      </c>
      <c r="B36" s="11" t="n">
        <v>0</v>
      </c>
      <c r="C36" t="inlineStr">
        <is>
          <t>GLO</t>
        </is>
      </c>
      <c r="D36" t="inlineStr">
        <is>
          <t>kilogram</t>
        </is>
      </c>
      <c r="F36" t="inlineStr">
        <is>
          <t>technosphere</t>
        </is>
      </c>
      <c r="G36" t="inlineStr">
        <is>
          <t>Lightweighting rate [%]</t>
        </is>
      </c>
      <c r="H36" t="inlineStr">
        <is>
          <t>Glider lightweighting</t>
        </is>
      </c>
    </row>
    <row r="37">
      <c r="A37" t="inlineStr">
        <is>
          <t>market for battery capacity (MIX scenario)</t>
        </is>
      </c>
      <c r="B37" s="3" t="n">
        <v>0.5</v>
      </c>
      <c r="C37" t="inlineStr">
        <is>
          <t>GLO</t>
        </is>
      </c>
      <c r="D37" t="inlineStr">
        <is>
          <t>kilowatt hour</t>
        </is>
      </c>
      <c r="F37" t="inlineStr">
        <is>
          <t>technosphere</t>
        </is>
      </c>
      <c r="H37" t="inlineStr">
        <is>
          <t>electricity storage capacity</t>
        </is>
      </c>
    </row>
    <row r="38">
      <c r="A38" t="inlineStr">
        <is>
          <t>charging station, 500W</t>
        </is>
      </c>
      <c r="B38" s="4" t="n">
        <v>1</v>
      </c>
      <c r="C38" t="inlineStr">
        <is>
          <t>GLO</t>
        </is>
      </c>
      <c r="D38" t="inlineStr">
        <is>
          <t>unit</t>
        </is>
      </c>
      <c r="F38" t="inlineStr">
        <is>
          <t>technosphere</t>
        </is>
      </c>
      <c r="G38" t="inlineStr">
        <is>
          <t>Charging station per vehicle [unit]</t>
        </is>
      </c>
      <c r="H38" t="inlineStr">
        <is>
          <t>charging station, 500W</t>
        </is>
      </c>
    </row>
    <row r="39">
      <c r="A39" t="inlineStr">
        <is>
          <t>treatment of used electric bicycle</t>
        </is>
      </c>
      <c r="B39" s="4" t="n">
        <v>-0.6666666666666666</v>
      </c>
      <c r="C39" t="inlineStr">
        <is>
          <t>CH</t>
        </is>
      </c>
      <c r="D39" t="inlineStr">
        <is>
          <t>unit</t>
        </is>
      </c>
      <c r="F39" t="inlineStr">
        <is>
          <t>technosphere</t>
        </is>
      </c>
      <c r="G39" t="inlineStr">
        <is>
          <t>Discarding glider [kg]</t>
        </is>
      </c>
      <c r="H39" t="inlineStr">
        <is>
          <t>used electric bicycle</t>
        </is>
      </c>
    </row>
    <row r="40">
      <c r="A40" t="inlineStr">
        <is>
          <t>treatment of used electric bicycle</t>
        </is>
      </c>
      <c r="B40" s="4" t="n">
        <v>-0.1666666666666667</v>
      </c>
      <c r="C40" t="inlineStr">
        <is>
          <t>CH</t>
        </is>
      </c>
      <c r="D40" t="inlineStr">
        <is>
          <t>unit</t>
        </is>
      </c>
      <c r="F40" t="inlineStr">
        <is>
          <t>technosphere</t>
        </is>
      </c>
      <c r="G40" t="inlineStr">
        <is>
          <t>Discarding powertrain [kg]</t>
        </is>
      </c>
      <c r="H40" t="inlineStr">
        <is>
          <t>used electric bicycle</t>
        </is>
      </c>
    </row>
    <row r="41">
      <c r="A41" s="13" t="inlineStr">
        <is>
          <t>market for transport, freight, lorry, unspecified</t>
        </is>
      </c>
      <c r="B41" t="n">
        <v>23.25</v>
      </c>
      <c r="C41" t="inlineStr">
        <is>
          <t>RER</t>
        </is>
      </c>
      <c r="D41" t="inlineStr">
        <is>
          <t>ton kilometer</t>
        </is>
      </c>
      <c r="F41" t="inlineStr">
        <is>
          <t>technosphere</t>
        </is>
      </c>
      <c r="H41" s="13" t="inlineStr">
        <is>
          <t>transport, freight, lorry, unspecified</t>
        </is>
      </c>
    </row>
    <row r="42">
      <c r="A42" s="13" t="inlineStr">
        <is>
          <t>transport, freight, sea, container ship</t>
        </is>
      </c>
      <c r="B42" s="2" t="n">
        <v>369.675</v>
      </c>
      <c r="C42" t="inlineStr">
        <is>
          <t>GLO</t>
        </is>
      </c>
      <c r="D42" t="inlineStr">
        <is>
          <t>ton kilometer</t>
        </is>
      </c>
      <c r="F42" t="inlineStr">
        <is>
          <t>technosphere</t>
        </is>
      </c>
      <c r="H42" s="13" t="inlineStr">
        <is>
          <t>transport, freight, sea, container ship</t>
        </is>
      </c>
    </row>
    <row r="43">
      <c r="B43" s="11" t="n"/>
    </row>
    <row r="44"/>
    <row r="45" ht="16" customHeight="1">
      <c r="A45" s="10" t="inlineStr">
        <is>
          <t>Activity</t>
        </is>
      </c>
      <c r="B45" s="8" t="inlineStr">
        <is>
          <t>transport, Bicycle, electric (&lt;25 km/h)</t>
        </is>
      </c>
    </row>
    <row r="46">
      <c r="A46" t="inlineStr">
        <is>
          <t>location</t>
        </is>
      </c>
      <c r="B46" t="inlineStr">
        <is>
          <t>CH</t>
        </is>
      </c>
    </row>
    <row r="47">
      <c r="A47" t="inlineStr">
        <is>
          <t>vehicle</t>
        </is>
      </c>
      <c r="B47" t="inlineStr">
        <is>
          <t>Bicycle, electric (&lt;25 km/h)</t>
        </is>
      </c>
    </row>
    <row r="48">
      <c r="A48" t="inlineStr">
        <is>
          <t>size</t>
        </is>
      </c>
    </row>
    <row r="49">
      <c r="A49" t="inlineStr">
        <is>
          <t>year</t>
        </is>
      </c>
      <c r="B49" t="n">
        <v>2020</v>
      </c>
    </row>
    <row r="50">
      <c r="A50" t="inlineStr">
        <is>
          <t>full name</t>
        </is>
      </c>
      <c r="B50" t="inlineStr">
        <is>
          <t>Bicycle, electric (&lt;25 km/h) - 2020 - NMC - CH</t>
        </is>
      </c>
    </row>
    <row r="51">
      <c r="A51" t="inlineStr">
        <is>
          <t>reference product</t>
        </is>
      </c>
      <c r="B51" t="inlineStr">
        <is>
          <t>transport, Bicycle, electric (&lt;25 km/h)</t>
        </is>
      </c>
    </row>
    <row r="52">
      <c r="A52" t="inlineStr">
        <is>
          <t>type</t>
        </is>
      </c>
      <c r="B52" t="inlineStr">
        <is>
          <t>process</t>
        </is>
      </c>
    </row>
    <row r="53">
      <c r="A53" t="inlineStr">
        <is>
          <t>unit</t>
        </is>
      </c>
      <c r="B53" t="inlineStr">
        <is>
          <t>kilometer</t>
        </is>
      </c>
    </row>
    <row r="54">
      <c r="A54" t="inlineStr">
        <is>
          <t>source</t>
        </is>
      </c>
      <c r="B54" t="inlineStr">
        <is>
          <t>Sacchi R., Bauer C. Life cycle inventories for on-road vehicles. Paul Scherrer Institut, 2021.</t>
        </is>
      </c>
    </row>
    <row r="55">
      <c r="A55" t="inlineStr">
        <is>
          <t>lifetime</t>
        </is>
      </c>
      <c r="B55" t="n">
        <v>20000</v>
      </c>
    </row>
    <row r="56">
      <c r="A56" t="inlineStr">
        <is>
          <t>passengers</t>
        </is>
      </c>
      <c r="B56" t="n">
        <v>1</v>
      </c>
    </row>
    <row r="57">
      <c r="A57" t="inlineStr">
        <is>
          <t>service</t>
        </is>
      </c>
      <c r="B57" t="n">
        <v>1.333333333333333</v>
      </c>
    </row>
    <row r="58">
      <c r="A58" t="inlineStr">
        <is>
          <t>battery replacement</t>
        </is>
      </c>
      <c r="B58" t="n">
        <v>1</v>
      </c>
    </row>
    <row r="59">
      <c r="A59" t="inlineStr">
        <is>
          <t>annual kilometers</t>
        </is>
      </c>
      <c r="B59" t="n">
        <v>2000</v>
      </c>
    </row>
    <row r="60">
      <c r="A60" t="inlineStr">
        <is>
          <t>curb mass</t>
        </is>
      </c>
      <c r="B60" t="n">
        <v>23.25</v>
      </c>
    </row>
    <row r="61">
      <c r="A61" t="inlineStr">
        <is>
          <t>power</t>
        </is>
      </c>
      <c r="B61" t="n">
        <v>0.25</v>
      </c>
    </row>
    <row r="62">
      <c r="A62" t="inlineStr">
        <is>
          <t>battery type</t>
        </is>
      </c>
      <c r="B62" s="19" t="inlineStr">
        <is>
          <t>NMC</t>
        </is>
      </c>
    </row>
    <row r="63">
      <c r="A63" t="inlineStr">
        <is>
          <t>battery mass</t>
        </is>
      </c>
      <c r="B63" t="n">
        <v>3.25</v>
      </c>
    </row>
    <row r="64">
      <c r="A64" t="inlineStr">
        <is>
          <t>electricity, low voltage</t>
        </is>
      </c>
      <c r="B64" t="n">
        <v>0.5</v>
      </c>
    </row>
    <row r="65">
      <c r="A65" t="inlineStr">
        <is>
          <t>battery capacity available</t>
        </is>
      </c>
      <c r="B65" t="n">
        <v>0.4</v>
      </c>
    </row>
    <row r="66">
      <c r="A66" t="inlineStr">
        <is>
          <t>tank capacity</t>
        </is>
      </c>
      <c r="B66" t="n">
        <v>0</v>
      </c>
    </row>
    <row r="67">
      <c r="A67" t="inlineStr">
        <is>
          <t>fuel mass</t>
        </is>
      </c>
      <c r="B67" t="n">
        <v>0</v>
      </c>
    </row>
    <row r="68">
      <c r="A68" t="inlineStr">
        <is>
          <t>range</t>
        </is>
      </c>
      <c r="B68" s="2" t="n">
        <v>58.36897825194912</v>
      </c>
    </row>
    <row r="69">
      <c r="A69" t="inlineStr">
        <is>
          <t>emission standard</t>
        </is>
      </c>
      <c r="B69" t="inlineStr">
        <is>
          <t>None</t>
        </is>
      </c>
    </row>
    <row r="70">
      <c r="A70" t="inlineStr">
        <is>
          <t>Glider lightweighting</t>
        </is>
      </c>
      <c r="B70" s="6" t="n">
        <v>0</v>
      </c>
    </row>
    <row r="71">
      <c r="A71" t="inlineStr">
        <is>
          <t>comment</t>
        </is>
      </c>
      <c r="B71" t="inlineStr">
        <is>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ht="16" customHeight="1">
      <c r="A72" s="10" t="inlineStr">
        <is>
          <t>Exchanges</t>
        </is>
      </c>
    </row>
    <row r="73">
      <c r="A73" t="inlineStr">
        <is>
          <t>name</t>
        </is>
      </c>
      <c r="B73" t="inlineStr">
        <is>
          <t>amount</t>
        </is>
      </c>
      <c r="C73" t="inlineStr">
        <is>
          <t>location</t>
        </is>
      </c>
      <c r="D73" t="inlineStr">
        <is>
          <t>unit</t>
        </is>
      </c>
      <c r="E73" t="inlineStr">
        <is>
          <t>categories</t>
        </is>
      </c>
      <c r="F73" t="inlineStr">
        <is>
          <t>type</t>
        </is>
      </c>
      <c r="G73" t="inlineStr">
        <is>
          <t>comment</t>
        </is>
      </c>
      <c r="H73" t="inlineStr">
        <is>
          <t>reference product</t>
        </is>
      </c>
    </row>
    <row r="74">
      <c r="A74" t="inlineStr">
        <is>
          <t>transport, Bicycle, electric (&lt;25 km/h)</t>
        </is>
      </c>
      <c r="B74" t="n">
        <v>1</v>
      </c>
      <c r="C74" t="inlineStr">
        <is>
          <t>CH</t>
        </is>
      </c>
      <c r="D74" t="inlineStr">
        <is>
          <t>kilometer</t>
        </is>
      </c>
      <c r="F74" t="inlineStr">
        <is>
          <t>production</t>
        </is>
      </c>
      <c r="H74" t="inlineStr">
        <is>
          <t>transport, Bicycle, electric (&lt;25 km/h)</t>
        </is>
      </c>
    </row>
    <row r="75">
      <c r="A75" t="inlineStr">
        <is>
          <t>Bicycle, electric (&lt;25 km/h)</t>
        </is>
      </c>
      <c r="B75" s="7" t="n">
        <v>5e-05</v>
      </c>
      <c r="C75" t="inlineStr">
        <is>
          <t>CH</t>
        </is>
      </c>
      <c r="D75" t="inlineStr">
        <is>
          <t>unit</t>
        </is>
      </c>
      <c r="F75" t="inlineStr">
        <is>
          <t>technosphere</t>
        </is>
      </c>
      <c r="H75" t="inlineStr">
        <is>
          <t>Bicycle, electric (&lt;25 km/h)</t>
        </is>
      </c>
    </row>
    <row r="76">
      <c r="A76" t="inlineStr">
        <is>
          <t>road construction</t>
        </is>
      </c>
      <c r="B76" s="7" t="n">
        <v>5.329725e-05</v>
      </c>
      <c r="C76" t="inlineStr">
        <is>
          <t>CH</t>
        </is>
      </c>
      <c r="D76" t="inlineStr">
        <is>
          <t>meter-year</t>
        </is>
      </c>
      <c r="F76" t="inlineStr">
        <is>
          <t>technosphere</t>
        </is>
      </c>
      <c r="G76" t="inlineStr">
        <is>
          <t>Road/track use [m*year/vkm or pkm]</t>
        </is>
      </c>
      <c r="H76" t="inlineStr">
        <is>
          <t>road</t>
        </is>
      </c>
    </row>
    <row r="77">
      <c r="A77" t="inlineStr">
        <is>
          <t>market for electricity, low voltage</t>
        </is>
      </c>
      <c r="B77" s="7" t="n">
        <v>0.00753825085134683</v>
      </c>
      <c r="C77" t="inlineStr">
        <is>
          <t>CH</t>
        </is>
      </c>
      <c r="D77" t="inlineStr">
        <is>
          <t>kilowatt hour</t>
        </is>
      </c>
      <c r="F77" t="inlineStr">
        <is>
          <t>technosphere</t>
        </is>
      </c>
      <c r="G77" t="inlineStr">
        <is>
          <t>Electricity consumption [MJ/km]</t>
        </is>
      </c>
      <c r="H77" t="inlineStr">
        <is>
          <t>electricity, low voltage</t>
        </is>
      </c>
    </row>
    <row r="78">
      <c r="A78" t="inlineStr">
        <is>
          <t>maintenance, electric bicycle, without battery</t>
        </is>
      </c>
      <c r="B78" s="7" t="n">
        <v>6.666666666666667e-05</v>
      </c>
      <c r="C78" t="inlineStr">
        <is>
          <t>CH</t>
        </is>
      </c>
      <c r="D78" t="inlineStr">
        <is>
          <t>unit</t>
        </is>
      </c>
      <c r="F78" t="inlineStr">
        <is>
          <t>technosphere</t>
        </is>
      </c>
      <c r="G78" t="inlineStr">
        <is>
          <t>Servicing [unit]</t>
        </is>
      </c>
      <c r="H78" t="inlineStr">
        <is>
          <t>maintenance, electric bicycle, without battery</t>
        </is>
      </c>
    </row>
    <row r="79">
      <c r="A79" t="inlineStr">
        <is>
          <t>treatment of road wear emissions, passenger car</t>
        </is>
      </c>
      <c r="B79" s="7" t="n">
        <v>-4.194600458548727e-06</v>
      </c>
      <c r="C79" t="inlineStr">
        <is>
          <t>RER</t>
        </is>
      </c>
      <c r="D79" t="inlineStr">
        <is>
          <t>kilogram</t>
        </is>
      </c>
      <c r="F79" t="inlineStr">
        <is>
          <t>technosphere</t>
        </is>
      </c>
      <c r="G79" t="inlineStr">
        <is>
          <t>Road wear [kg/km]</t>
        </is>
      </c>
      <c r="H79" t="inlineStr">
        <is>
          <t>road wear emissions, passenger car</t>
        </is>
      </c>
    </row>
    <row r="80">
      <c r="A80" t="inlineStr">
        <is>
          <t>treatment of tyre wear emissions, passenger car</t>
        </is>
      </c>
      <c r="B80" s="7" t="n">
        <v>-4.1336328964445e-06</v>
      </c>
      <c r="C80" t="inlineStr">
        <is>
          <t>RER</t>
        </is>
      </c>
      <c r="D80" t="inlineStr">
        <is>
          <t>kilogram</t>
        </is>
      </c>
      <c r="F80" t="inlineStr">
        <is>
          <t>technosphere</t>
        </is>
      </c>
      <c r="G80" t="inlineStr">
        <is>
          <t>Tire wear [kg/km]</t>
        </is>
      </c>
      <c r="H80" t="inlineStr">
        <is>
          <t>tyre wear emissions, passenger car</t>
        </is>
      </c>
    </row>
    <row r="81">
      <c r="A81" t="inlineStr">
        <is>
          <t>treatment of brake wear emissions, passenger car</t>
        </is>
      </c>
      <c r="B81" s="7" t="n">
        <v>-3.841098552380593e-06</v>
      </c>
      <c r="C81" t="inlineStr">
        <is>
          <t>RER</t>
        </is>
      </c>
      <c r="D81" t="inlineStr">
        <is>
          <t>kilogram</t>
        </is>
      </c>
      <c r="F81" t="inlineStr">
        <is>
          <t>technosphere</t>
        </is>
      </c>
      <c r="G81" t="inlineStr">
        <is>
          <t>Brake wear [kg/km]</t>
        </is>
      </c>
      <c r="H81" t="inlineStr">
        <is>
          <t>brake wear emissions, passenger car</t>
        </is>
      </c>
    </row>
  </sheetData>
  <pageMargins left="0.7" right="0.7" top="0.75" bottom="0.75" header="0.3" footer="0.3"/>
  <pageSetup orientation="portrait" horizontalDpi="300" verticalDpi="300"/>
</worksheet>
</file>

<file path=xl/worksheets/sheet24.xml><?xml version="1.0" encoding="utf-8"?>
<worksheet xmlns="http://schemas.openxmlformats.org/spreadsheetml/2006/main">
  <sheetPr>
    <outlinePr summaryBelow="1" summaryRight="1"/>
    <pageSetUpPr/>
  </sheetPr>
  <dimension ref="A1:H81"/>
  <sheetViews>
    <sheetView topLeftCell="A14" workbookViewId="0">
      <selection activeCell="H37" sqref="H37"/>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Bicycle, electric (&lt;45 km/h)</t>
        </is>
      </c>
    </row>
    <row r="2">
      <c r="A2" t="inlineStr">
        <is>
          <t>location</t>
        </is>
      </c>
      <c r="B2" t="inlineStr">
        <is>
          <t>CH</t>
        </is>
      </c>
    </row>
    <row r="3">
      <c r="A3" t="inlineStr">
        <is>
          <t>vehicle</t>
        </is>
      </c>
      <c r="B3" t="inlineStr">
        <is>
          <t>Bicycle, electric (&lt;45 km/h)</t>
        </is>
      </c>
    </row>
    <row r="4">
      <c r="A4" t="inlineStr">
        <is>
          <t>size</t>
        </is>
      </c>
    </row>
    <row r="5">
      <c r="A5" t="inlineStr">
        <is>
          <t>year</t>
        </is>
      </c>
      <c r="B5" t="n">
        <v>2020</v>
      </c>
    </row>
    <row r="6">
      <c r="A6" t="inlineStr">
        <is>
          <t>full name</t>
        </is>
      </c>
      <c r="B6" t="inlineStr">
        <is>
          <t>Bicycle, electric (&lt;45 km/h) - 2020 - NMC - CH</t>
        </is>
      </c>
    </row>
    <row r="7">
      <c r="A7" t="inlineStr">
        <is>
          <t>reference product</t>
        </is>
      </c>
      <c r="B7" t="inlineStr">
        <is>
          <t>Bicycle, electric (&lt;45 km/h)</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30000</v>
      </c>
    </row>
    <row r="12">
      <c r="A12" t="inlineStr">
        <is>
          <t>passengers</t>
        </is>
      </c>
      <c r="B12" t="n">
        <v>1</v>
      </c>
    </row>
    <row r="13">
      <c r="A13" t="inlineStr">
        <is>
          <t>service</t>
        </is>
      </c>
      <c r="B13" t="n">
        <v>2</v>
      </c>
    </row>
    <row r="14">
      <c r="A14" t="inlineStr">
        <is>
          <t>battery replacement</t>
        </is>
      </c>
      <c r="B14" t="n">
        <v>1</v>
      </c>
    </row>
    <row r="15">
      <c r="A15" t="inlineStr">
        <is>
          <t>annual kilometers</t>
        </is>
      </c>
      <c r="B15" t="n">
        <v>3000</v>
      </c>
    </row>
    <row r="16">
      <c r="A16" t="inlineStr">
        <is>
          <t>curb mass</t>
        </is>
      </c>
      <c r="B16" t="n">
        <v>27.25</v>
      </c>
    </row>
    <row r="17">
      <c r="A17" t="inlineStr">
        <is>
          <t>power</t>
        </is>
      </c>
      <c r="B17" t="n">
        <v>0.5</v>
      </c>
    </row>
    <row r="18">
      <c r="A18" t="inlineStr">
        <is>
          <t>battery type</t>
        </is>
      </c>
      <c r="B18" s="19" t="inlineStr">
        <is>
          <t>NMC</t>
        </is>
      </c>
    </row>
    <row r="19">
      <c r="A19" t="inlineStr">
        <is>
          <t>battery mass</t>
        </is>
      </c>
      <c r="B19" t="n">
        <v>3.25</v>
      </c>
    </row>
    <row r="20">
      <c r="A20" t="inlineStr">
        <is>
          <t>electricity, low voltage</t>
        </is>
      </c>
      <c r="B20" t="n">
        <v>0.5</v>
      </c>
    </row>
    <row r="21">
      <c r="A21" t="inlineStr">
        <is>
          <t>battery capacity available</t>
        </is>
      </c>
      <c r="B21" t="n">
        <v>0.4</v>
      </c>
    </row>
    <row r="22">
      <c r="A22" t="inlineStr">
        <is>
          <t>tank capacity</t>
        </is>
      </c>
      <c r="B22" t="n">
        <v>0</v>
      </c>
    </row>
    <row r="23">
      <c r="A23" t="inlineStr">
        <is>
          <t>fuel mass</t>
        </is>
      </c>
      <c r="B23" t="n">
        <v>0</v>
      </c>
    </row>
    <row r="24">
      <c r="A24" t="inlineStr">
        <is>
          <t>range</t>
        </is>
      </c>
      <c r="B24" t="n">
        <v>31.78180669614656</v>
      </c>
    </row>
    <row r="25">
      <c r="A25" t="inlineStr">
        <is>
          <t>emission standard</t>
        </is>
      </c>
      <c r="B25" t="inlineStr">
        <is>
          <t>None</t>
        </is>
      </c>
    </row>
    <row r="26">
      <c r="A26" t="inlineStr">
        <is>
          <t>Glider lightweighting</t>
        </is>
      </c>
      <c r="B26" s="6" t="n">
        <v>0</v>
      </c>
    </row>
    <row r="27">
      <c r="A27" t="inlineStr">
        <is>
          <t>origin</t>
        </is>
      </c>
      <c r="B27" s="6" t="inlineStr">
        <is>
          <t>China</t>
        </is>
      </c>
    </row>
    <row r="28">
      <c r="A28" t="inlineStr">
        <is>
          <t>distance by ship [km]</t>
        </is>
      </c>
      <c r="B28" s="2" t="n">
        <v>15900</v>
      </c>
    </row>
    <row r="29">
      <c r="A29" t="inlineStr">
        <is>
          <t>distance by truck [km]</t>
        </is>
      </c>
      <c r="B29" s="2" t="n">
        <v>1000</v>
      </c>
    </row>
    <row r="30">
      <c r="A30" t="inlineStr">
        <is>
          <t>comment</t>
        </is>
      </c>
      <c r="B30" t="inlineStr">
        <is>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ht="16" customHeight="1">
      <c r="A31" s="10" t="inlineStr">
        <is>
          <t>Exchanges</t>
        </is>
      </c>
    </row>
    <row r="32">
      <c r="A32" t="inlineStr">
        <is>
          <t>name</t>
        </is>
      </c>
      <c r="B32" t="inlineStr">
        <is>
          <t>amount</t>
        </is>
      </c>
      <c r="C32" t="inlineStr">
        <is>
          <t>location</t>
        </is>
      </c>
      <c r="D32" t="inlineStr">
        <is>
          <t>unit</t>
        </is>
      </c>
      <c r="E32" t="inlineStr">
        <is>
          <t>categories</t>
        </is>
      </c>
      <c r="F32" t="inlineStr">
        <is>
          <t>type</t>
        </is>
      </c>
      <c r="G32" t="inlineStr">
        <is>
          <t>comment</t>
        </is>
      </c>
      <c r="H32" t="inlineStr">
        <is>
          <t>reference product</t>
        </is>
      </c>
    </row>
    <row r="33">
      <c r="A33" t="inlineStr">
        <is>
          <t>Bicycle, electric (&lt;45 km/h)</t>
        </is>
      </c>
      <c r="B33" t="n">
        <v>1</v>
      </c>
      <c r="C33" t="inlineStr">
        <is>
          <t>CH</t>
        </is>
      </c>
      <c r="D33" t="inlineStr">
        <is>
          <t>unit</t>
        </is>
      </c>
      <c r="F33" t="inlineStr">
        <is>
          <t>production</t>
        </is>
      </c>
      <c r="H33" t="inlineStr">
        <is>
          <t>Bicycle, electric (&lt;45 km/h)</t>
        </is>
      </c>
    </row>
    <row r="34">
      <c r="A34" t="inlineStr">
        <is>
          <t>electric bicycle production, without battery and motor</t>
        </is>
      </c>
      <c r="B34" s="4" t="n">
        <v>1.117647058823529</v>
      </c>
      <c r="C34" t="inlineStr">
        <is>
          <t>RER</t>
        </is>
      </c>
      <c r="D34" t="inlineStr">
        <is>
          <t>unit</t>
        </is>
      </c>
      <c r="F34" t="inlineStr">
        <is>
          <t>technosphere</t>
        </is>
      </c>
      <c r="G34" t="inlineStr">
        <is>
          <t>Glider base mass [kg]</t>
        </is>
      </c>
      <c r="H34" t="inlineStr">
        <is>
          <t>electric bicycle, without battery and motor</t>
        </is>
      </c>
    </row>
    <row r="35">
      <c r="A35" t="inlineStr">
        <is>
          <t>market for electric motor, vehicle</t>
        </is>
      </c>
      <c r="B35" s="4" t="n">
        <v>5</v>
      </c>
      <c r="C35" t="inlineStr">
        <is>
          <t>GLO</t>
        </is>
      </c>
      <c r="D35" t="inlineStr">
        <is>
          <t>kilogram</t>
        </is>
      </c>
      <c r="F35" t="inlineStr">
        <is>
          <t>technosphere</t>
        </is>
      </c>
      <c r="G35" t="inlineStr">
        <is>
          <t>Electric powertrain mass [kg]</t>
        </is>
      </c>
      <c r="H35" t="inlineStr">
        <is>
          <t>electric motor, vehicle</t>
        </is>
      </c>
    </row>
    <row r="36">
      <c r="A36" t="inlineStr">
        <is>
          <t>Glider lightweighting</t>
        </is>
      </c>
      <c r="B36" s="11" t="n">
        <v>0</v>
      </c>
      <c r="C36" t="inlineStr">
        <is>
          <t>GLO</t>
        </is>
      </c>
      <c r="D36" t="inlineStr">
        <is>
          <t>kilogram</t>
        </is>
      </c>
      <c r="F36" t="inlineStr">
        <is>
          <t>technosphere</t>
        </is>
      </c>
      <c r="G36" t="inlineStr">
        <is>
          <t>Lightweighting rate [%]</t>
        </is>
      </c>
      <c r="H36" t="inlineStr">
        <is>
          <t>Glider lightweighting</t>
        </is>
      </c>
    </row>
    <row r="37">
      <c r="A37" t="inlineStr">
        <is>
          <t>market for battery capacity (MIX scenario)</t>
        </is>
      </c>
      <c r="B37" s="3" t="n">
        <v>0.5</v>
      </c>
      <c r="C37" t="inlineStr">
        <is>
          <t>GLO</t>
        </is>
      </c>
      <c r="D37" t="inlineStr">
        <is>
          <t>kilowatt hour</t>
        </is>
      </c>
      <c r="F37" t="inlineStr">
        <is>
          <t>technosphere</t>
        </is>
      </c>
      <c r="H37" t="inlineStr">
        <is>
          <t>electricity storage capacity</t>
        </is>
      </c>
    </row>
    <row r="38">
      <c r="A38" t="inlineStr">
        <is>
          <t>charging station, 500W</t>
        </is>
      </c>
      <c r="B38" s="4" t="n">
        <v>1</v>
      </c>
      <c r="C38" t="inlineStr">
        <is>
          <t>GLO</t>
        </is>
      </c>
      <c r="D38" t="inlineStr">
        <is>
          <t>unit</t>
        </is>
      </c>
      <c r="F38" t="inlineStr">
        <is>
          <t>technosphere</t>
        </is>
      </c>
      <c r="G38" t="inlineStr">
        <is>
          <t>Charging station per vehicle [unit]</t>
        </is>
      </c>
      <c r="H38" t="inlineStr">
        <is>
          <t>charging station, 500W</t>
        </is>
      </c>
    </row>
    <row r="39">
      <c r="A39" t="inlineStr">
        <is>
          <t>treatment of used electric bicycle</t>
        </is>
      </c>
      <c r="B39" s="4" t="n">
        <v>-0.7916666666666666</v>
      </c>
      <c r="C39" t="inlineStr">
        <is>
          <t>CH</t>
        </is>
      </c>
      <c r="D39" t="inlineStr">
        <is>
          <t>unit</t>
        </is>
      </c>
      <c r="F39" t="inlineStr">
        <is>
          <t>technosphere</t>
        </is>
      </c>
      <c r="G39" t="inlineStr">
        <is>
          <t>Discarding glider [kg]</t>
        </is>
      </c>
      <c r="H39" t="inlineStr">
        <is>
          <t>used electric bicycle</t>
        </is>
      </c>
    </row>
    <row r="40">
      <c r="A40" t="inlineStr">
        <is>
          <t>treatment of used electric bicycle</t>
        </is>
      </c>
      <c r="B40" s="4" t="n">
        <v>-0.2083333333333333</v>
      </c>
      <c r="C40" t="inlineStr">
        <is>
          <t>CH</t>
        </is>
      </c>
      <c r="D40" t="inlineStr">
        <is>
          <t>unit</t>
        </is>
      </c>
      <c r="F40" t="inlineStr">
        <is>
          <t>technosphere</t>
        </is>
      </c>
      <c r="G40" t="inlineStr">
        <is>
          <t>Discarding powertrain [kg]</t>
        </is>
      </c>
      <c r="H40" t="inlineStr">
        <is>
          <t>used electric bicycle</t>
        </is>
      </c>
    </row>
    <row r="41">
      <c r="A41" s="13" t="inlineStr">
        <is>
          <t>market for transport, freight, lorry, unspecified</t>
        </is>
      </c>
      <c r="B41" t="n">
        <v>27.25</v>
      </c>
      <c r="C41" t="inlineStr">
        <is>
          <t>RER</t>
        </is>
      </c>
      <c r="D41" t="inlineStr">
        <is>
          <t>ton kilometer</t>
        </is>
      </c>
      <c r="F41" t="inlineStr">
        <is>
          <t>technosphere</t>
        </is>
      </c>
      <c r="H41" s="13" t="inlineStr">
        <is>
          <t>transport, freight, lorry, unspecified</t>
        </is>
      </c>
    </row>
    <row r="42">
      <c r="A42" s="13" t="inlineStr">
        <is>
          <t>transport, freight, sea, container ship</t>
        </is>
      </c>
      <c r="B42" s="2" t="n">
        <v>433.275</v>
      </c>
      <c r="C42" t="inlineStr">
        <is>
          <t>GLO</t>
        </is>
      </c>
      <c r="D42" t="inlineStr">
        <is>
          <t>ton kilometer</t>
        </is>
      </c>
      <c r="F42" t="inlineStr">
        <is>
          <t>technosphere</t>
        </is>
      </c>
      <c r="H42" s="13" t="inlineStr">
        <is>
          <t>transport, freight, sea, container ship</t>
        </is>
      </c>
    </row>
    <row r="43">
      <c r="B43" s="11" t="n"/>
    </row>
    <row r="44"/>
    <row r="45" ht="16" customHeight="1">
      <c r="A45" s="10" t="inlineStr">
        <is>
          <t>Activity</t>
        </is>
      </c>
      <c r="B45" s="8" t="inlineStr">
        <is>
          <t>transport, Bicycle, electric (&lt;45 km/h)</t>
        </is>
      </c>
    </row>
    <row r="46">
      <c r="A46" t="inlineStr">
        <is>
          <t>location</t>
        </is>
      </c>
      <c r="B46" t="inlineStr">
        <is>
          <t>CH</t>
        </is>
      </c>
    </row>
    <row r="47">
      <c r="A47" t="inlineStr">
        <is>
          <t>vehicle</t>
        </is>
      </c>
      <c r="B47" t="inlineStr">
        <is>
          <t>Bicycle, electric (&lt;45 km/h)</t>
        </is>
      </c>
    </row>
    <row r="48">
      <c r="A48" t="inlineStr">
        <is>
          <t>size</t>
        </is>
      </c>
    </row>
    <row r="49">
      <c r="A49" t="inlineStr">
        <is>
          <t>year</t>
        </is>
      </c>
      <c r="B49" t="n">
        <v>2020</v>
      </c>
    </row>
    <row r="50">
      <c r="A50" t="inlineStr">
        <is>
          <t>full name</t>
        </is>
      </c>
      <c r="B50" t="inlineStr">
        <is>
          <t>Bicycle, electric (&lt;45 km/h) - 2020 - NMC - CH</t>
        </is>
      </c>
    </row>
    <row r="51">
      <c r="A51" t="inlineStr">
        <is>
          <t>reference product</t>
        </is>
      </c>
      <c r="B51" t="inlineStr">
        <is>
          <t>transport, Bicycle, electric (&lt;45 km/h)</t>
        </is>
      </c>
    </row>
    <row r="52">
      <c r="A52" t="inlineStr">
        <is>
          <t>type</t>
        </is>
      </c>
      <c r="B52" t="inlineStr">
        <is>
          <t>process</t>
        </is>
      </c>
    </row>
    <row r="53">
      <c r="A53" t="inlineStr">
        <is>
          <t>unit</t>
        </is>
      </c>
      <c r="B53" t="inlineStr">
        <is>
          <t>kilometer</t>
        </is>
      </c>
    </row>
    <row r="54">
      <c r="A54" t="inlineStr">
        <is>
          <t>source</t>
        </is>
      </c>
      <c r="B54" t="inlineStr">
        <is>
          <t>Sacchi R., Bauer C. Life cycle inventories for on-road vehicles. Paul Scherrer Institut, 2021.</t>
        </is>
      </c>
    </row>
    <row r="55">
      <c r="A55" t="inlineStr">
        <is>
          <t>lifetime</t>
        </is>
      </c>
      <c r="B55" t="n">
        <v>30000</v>
      </c>
    </row>
    <row r="56">
      <c r="A56" t="inlineStr">
        <is>
          <t>passengers</t>
        </is>
      </c>
      <c r="B56" t="n">
        <v>1</v>
      </c>
    </row>
    <row r="57">
      <c r="A57" t="inlineStr">
        <is>
          <t>service</t>
        </is>
      </c>
      <c r="B57" t="n">
        <v>2</v>
      </c>
    </row>
    <row r="58">
      <c r="A58" t="inlineStr">
        <is>
          <t>battery replacement</t>
        </is>
      </c>
      <c r="B58" t="n">
        <v>1</v>
      </c>
    </row>
    <row r="59">
      <c r="A59" t="inlineStr">
        <is>
          <t>annual kilometers</t>
        </is>
      </c>
      <c r="B59" t="n">
        <v>3000</v>
      </c>
    </row>
    <row r="60">
      <c r="A60" t="inlineStr">
        <is>
          <t>curb mass</t>
        </is>
      </c>
      <c r="B60" t="n">
        <v>27.25</v>
      </c>
    </row>
    <row r="61">
      <c r="A61" t="inlineStr">
        <is>
          <t>power</t>
        </is>
      </c>
      <c r="B61" t="n">
        <v>0.5</v>
      </c>
    </row>
    <row r="62">
      <c r="A62" t="inlineStr">
        <is>
          <t>battery type</t>
        </is>
      </c>
      <c r="B62" s="19" t="inlineStr">
        <is>
          <t>NMC</t>
        </is>
      </c>
    </row>
    <row r="63">
      <c r="A63" t="inlineStr">
        <is>
          <t>battery mass</t>
        </is>
      </c>
      <c r="B63" t="n">
        <v>3.25</v>
      </c>
    </row>
    <row r="64">
      <c r="A64" t="inlineStr">
        <is>
          <t>electricity, low voltage</t>
        </is>
      </c>
      <c r="B64" t="n">
        <v>0.5</v>
      </c>
    </row>
    <row r="65">
      <c r="A65" t="inlineStr">
        <is>
          <t>battery capacity available</t>
        </is>
      </c>
      <c r="B65" t="n">
        <v>0.4</v>
      </c>
    </row>
    <row r="66">
      <c r="A66" t="inlineStr">
        <is>
          <t>tank capacity</t>
        </is>
      </c>
      <c r="B66" t="n">
        <v>0</v>
      </c>
    </row>
    <row r="67">
      <c r="A67" t="inlineStr">
        <is>
          <t>fuel mass</t>
        </is>
      </c>
      <c r="B67" t="n">
        <v>0</v>
      </c>
    </row>
    <row r="68">
      <c r="A68" t="inlineStr">
        <is>
          <t>range</t>
        </is>
      </c>
      <c r="B68" t="n">
        <v>31.78180669614656</v>
      </c>
    </row>
    <row r="69">
      <c r="A69" t="inlineStr">
        <is>
          <t>emission standard</t>
        </is>
      </c>
      <c r="B69" t="inlineStr">
        <is>
          <t>None</t>
        </is>
      </c>
    </row>
    <row r="70">
      <c r="A70" t="inlineStr">
        <is>
          <t>Glider lightweighting</t>
        </is>
      </c>
      <c r="B70" s="6" t="n">
        <v>0</v>
      </c>
    </row>
    <row r="71">
      <c r="A71" t="inlineStr">
        <is>
          <t>comment</t>
        </is>
      </c>
      <c r="B71" t="inlineStr">
        <is>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ht="16" customHeight="1">
      <c r="A72" s="10" t="inlineStr">
        <is>
          <t>Exchanges</t>
        </is>
      </c>
    </row>
    <row r="73">
      <c r="A73" t="inlineStr">
        <is>
          <t>name</t>
        </is>
      </c>
      <c r="B73" t="inlineStr">
        <is>
          <t>amount</t>
        </is>
      </c>
      <c r="C73" t="inlineStr">
        <is>
          <t>location</t>
        </is>
      </c>
      <c r="D73" t="inlineStr">
        <is>
          <t>unit</t>
        </is>
      </c>
      <c r="E73" t="inlineStr">
        <is>
          <t>categories</t>
        </is>
      </c>
      <c r="F73" t="inlineStr">
        <is>
          <t>type</t>
        </is>
      </c>
      <c r="G73" t="inlineStr">
        <is>
          <t>comment</t>
        </is>
      </c>
      <c r="H73" t="inlineStr">
        <is>
          <t>reference product</t>
        </is>
      </c>
    </row>
    <row r="74">
      <c r="A74" t="inlineStr">
        <is>
          <t>transport, Bicycle, electric (&lt;45 km/h)</t>
        </is>
      </c>
      <c r="B74" t="n">
        <v>1</v>
      </c>
      <c r="C74" t="inlineStr">
        <is>
          <t>CH</t>
        </is>
      </c>
      <c r="D74" t="inlineStr">
        <is>
          <t>kilometer</t>
        </is>
      </c>
      <c r="F74" t="inlineStr">
        <is>
          <t>production</t>
        </is>
      </c>
      <c r="H74" t="inlineStr">
        <is>
          <t>transport, Bicycle, electric (&lt;45 km/h)</t>
        </is>
      </c>
    </row>
    <row r="75">
      <c r="A75" t="inlineStr">
        <is>
          <t>Bicycle, electric (&lt;45 km/h)</t>
        </is>
      </c>
      <c r="B75" s="7" t="n">
        <v>3.333333333333333e-05</v>
      </c>
      <c r="C75" t="inlineStr">
        <is>
          <t>CH</t>
        </is>
      </c>
      <c r="D75" t="inlineStr">
        <is>
          <t>unit</t>
        </is>
      </c>
      <c r="F75" t="inlineStr">
        <is>
          <t>technosphere</t>
        </is>
      </c>
      <c r="H75" t="inlineStr">
        <is>
          <t>Bicycle, electric (&lt;45 km/h)</t>
        </is>
      </c>
    </row>
    <row r="76">
      <c r="A76" t="inlineStr">
        <is>
          <t>road construction</t>
        </is>
      </c>
      <c r="B76" s="7" t="n">
        <v>5.544525e-05</v>
      </c>
      <c r="C76" t="inlineStr">
        <is>
          <t>CH</t>
        </is>
      </c>
      <c r="D76" t="inlineStr">
        <is>
          <t>meter-year</t>
        </is>
      </c>
      <c r="F76" t="inlineStr">
        <is>
          <t>technosphere</t>
        </is>
      </c>
      <c r="G76" t="inlineStr">
        <is>
          <t>Road/track use [m*year/vkm or pkm]</t>
        </is>
      </c>
      <c r="H76" t="inlineStr">
        <is>
          <t>road</t>
        </is>
      </c>
    </row>
    <row r="77">
      <c r="A77" t="inlineStr">
        <is>
          <t>market for electricity, low voltage</t>
        </is>
      </c>
      <c r="B77" s="7" t="n">
        <v>0.01384439859592213</v>
      </c>
      <c r="C77" t="inlineStr">
        <is>
          <t>CH</t>
        </is>
      </c>
      <c r="D77" t="inlineStr">
        <is>
          <t>kilowatt hour</t>
        </is>
      </c>
      <c r="F77" t="inlineStr">
        <is>
          <t>technosphere</t>
        </is>
      </c>
      <c r="G77" t="inlineStr">
        <is>
          <t>Electricity consumption [MJ/km]</t>
        </is>
      </c>
      <c r="H77" t="inlineStr">
        <is>
          <t>electricity, low voltage</t>
        </is>
      </c>
    </row>
    <row r="78">
      <c r="A78" t="inlineStr">
        <is>
          <t>maintenance, electric bicycle, without battery</t>
        </is>
      </c>
      <c r="B78" s="7" t="n">
        <v>6.666666666666667e-05</v>
      </c>
      <c r="C78" t="inlineStr">
        <is>
          <t>CH</t>
        </is>
      </c>
      <c r="D78" t="inlineStr">
        <is>
          <t>unit</t>
        </is>
      </c>
      <c r="F78" t="inlineStr">
        <is>
          <t>technosphere</t>
        </is>
      </c>
      <c r="G78" t="inlineStr">
        <is>
          <t>Servicing [unit]</t>
        </is>
      </c>
      <c r="H78" t="inlineStr">
        <is>
          <t>maintenance, electric bicycle, without battery</t>
        </is>
      </c>
    </row>
    <row r="79">
      <c r="A79" t="inlineStr">
        <is>
          <t>treatment of road wear emissions, passenger car</t>
        </is>
      </c>
      <c r="B79" s="7" t="n">
        <v>-4.326400601580017e-06</v>
      </c>
      <c r="C79" t="inlineStr">
        <is>
          <t>RER</t>
        </is>
      </c>
      <c r="D79" t="inlineStr">
        <is>
          <t>kilogram</t>
        </is>
      </c>
      <c r="F79" t="inlineStr">
        <is>
          <t>technosphere</t>
        </is>
      </c>
      <c r="G79" t="inlineStr">
        <is>
          <t>Road wear [kg/km]</t>
        </is>
      </c>
      <c r="H79" t="inlineStr">
        <is>
          <t>road wear emissions, passenger car</t>
        </is>
      </c>
    </row>
    <row r="80">
      <c r="A80" t="inlineStr">
        <is>
          <t>treatment of tyre wear emissions, passenger car</t>
        </is>
      </c>
      <c r="B80" s="7" t="n">
        <v>-4.266439839293463e-06</v>
      </c>
      <c r="C80" t="inlineStr">
        <is>
          <t>RER</t>
        </is>
      </c>
      <c r="D80" t="inlineStr">
        <is>
          <t>kilogram</t>
        </is>
      </c>
      <c r="F80" t="inlineStr">
        <is>
          <t>technosphere</t>
        </is>
      </c>
      <c r="G80" t="inlineStr">
        <is>
          <t>Tire wear [kg/km]</t>
        </is>
      </c>
      <c r="H80" t="inlineStr">
        <is>
          <t>tyre wear emissions, passenger car</t>
        </is>
      </c>
    </row>
    <row r="81">
      <c r="A81" t="inlineStr">
        <is>
          <t>treatment of brake wear emissions, passenger car</t>
        </is>
      </c>
      <c r="B81" s="7" t="n">
        <v>-3.960170488563306e-06</v>
      </c>
      <c r="C81" t="inlineStr">
        <is>
          <t>RER</t>
        </is>
      </c>
      <c r="D81" t="inlineStr">
        <is>
          <t>kilogram</t>
        </is>
      </c>
      <c r="F81" t="inlineStr">
        <is>
          <t>technosphere</t>
        </is>
      </c>
      <c r="G81" t="inlineStr">
        <is>
          <t>Brake wear [kg/km]</t>
        </is>
      </c>
      <c r="H81" t="inlineStr">
        <is>
          <t>brake wear emissions, passenger car</t>
        </is>
      </c>
    </row>
  </sheetData>
  <pageMargins left="0.7" right="0.7" top="0.75" bottom="0.75" header="0.3" footer="0.3"/>
  <pageSetup orientation="portrait" horizontalDpi="300" verticalDpi="300"/>
</worksheet>
</file>

<file path=xl/worksheets/sheet25.xml><?xml version="1.0" encoding="utf-8"?>
<worksheet xmlns="http://schemas.openxmlformats.org/spreadsheetml/2006/main">
  <sheetPr>
    <outlinePr summaryBelow="1" summaryRight="1"/>
    <pageSetUpPr/>
  </sheetPr>
  <dimension ref="A1:H80"/>
  <sheetViews>
    <sheetView workbookViewId="0">
      <selection activeCell="A38" sqref="A38"/>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Bicycle, battery electric, cargo bike</t>
        </is>
      </c>
    </row>
    <row r="2">
      <c r="A2" t="inlineStr">
        <is>
          <t>location</t>
        </is>
      </c>
      <c r="B2" t="inlineStr">
        <is>
          <t>CH</t>
        </is>
      </c>
    </row>
    <row r="3">
      <c r="A3" t="inlineStr">
        <is>
          <t>vehicle</t>
        </is>
      </c>
      <c r="B3" t="inlineStr">
        <is>
          <t>Bicycle, battery electric, cargo bike</t>
        </is>
      </c>
    </row>
    <row r="4">
      <c r="A4" t="inlineStr">
        <is>
          <t>size</t>
        </is>
      </c>
    </row>
    <row r="5">
      <c r="A5" t="inlineStr">
        <is>
          <t>year</t>
        </is>
      </c>
      <c r="B5" t="n">
        <v>2020</v>
      </c>
    </row>
    <row r="6">
      <c r="A6" t="inlineStr">
        <is>
          <t>full name</t>
        </is>
      </c>
      <c r="B6" t="inlineStr">
        <is>
          <t>Bicycle, battery electric, cargo bike - 2020 - NMC - CH</t>
        </is>
      </c>
    </row>
    <row r="7">
      <c r="A7" t="inlineStr">
        <is>
          <t>reference product</t>
        </is>
      </c>
      <c r="B7" t="inlineStr">
        <is>
          <t>Bicycle, battery electric, cargo bike</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20000</v>
      </c>
    </row>
    <row r="12">
      <c r="A12" t="inlineStr">
        <is>
          <t>passengers</t>
        </is>
      </c>
      <c r="B12" t="n">
        <v>1</v>
      </c>
    </row>
    <row r="13">
      <c r="A13" t="inlineStr">
        <is>
          <t>service</t>
        </is>
      </c>
      <c r="B13" t="n">
        <v>1.333333333333333</v>
      </c>
    </row>
    <row r="14">
      <c r="A14" t="inlineStr">
        <is>
          <t>battery replacement</t>
        </is>
      </c>
      <c r="B14" t="n">
        <v>1</v>
      </c>
    </row>
    <row r="15">
      <c r="A15" t="inlineStr">
        <is>
          <t>annual kilometers</t>
        </is>
      </c>
      <c r="B15" t="n">
        <v>2000</v>
      </c>
    </row>
    <row r="16">
      <c r="A16" t="inlineStr">
        <is>
          <t>curb mass</t>
        </is>
      </c>
      <c r="B16" t="n">
        <v>45.25</v>
      </c>
    </row>
    <row r="17">
      <c r="A17" t="inlineStr">
        <is>
          <t>power</t>
        </is>
      </c>
      <c r="B17" t="n">
        <v>0.25</v>
      </c>
    </row>
    <row r="18">
      <c r="A18" t="inlineStr">
        <is>
          <t>battery type</t>
        </is>
      </c>
      <c r="B18" s="19" t="inlineStr">
        <is>
          <t>NMC</t>
        </is>
      </c>
    </row>
    <row r="19">
      <c r="A19" t="inlineStr">
        <is>
          <t>battery mass</t>
        </is>
      </c>
      <c r="B19" t="n">
        <v>3.25</v>
      </c>
    </row>
    <row r="20">
      <c r="A20" t="inlineStr">
        <is>
          <t>electricity, low voltage</t>
        </is>
      </c>
      <c r="B20" t="n">
        <v>0.5</v>
      </c>
    </row>
    <row r="21">
      <c r="A21" t="inlineStr">
        <is>
          <t>battery capacity available</t>
        </is>
      </c>
      <c r="B21" t="n">
        <v>0.4</v>
      </c>
    </row>
    <row r="22">
      <c r="A22" t="inlineStr">
        <is>
          <t>tank capacity</t>
        </is>
      </c>
      <c r="B22" t="n">
        <v>0</v>
      </c>
    </row>
    <row r="23">
      <c r="A23" t="inlineStr">
        <is>
          <t>fuel mass</t>
        </is>
      </c>
      <c r="B23" t="n">
        <v>0</v>
      </c>
    </row>
    <row r="24">
      <c r="A24" t="inlineStr">
        <is>
          <t>range</t>
        </is>
      </c>
      <c r="B24" s="2" t="n">
        <v>41.48860759493671</v>
      </c>
    </row>
    <row r="25">
      <c r="A25" t="inlineStr">
        <is>
          <t>emission standard</t>
        </is>
      </c>
      <c r="B25" t="inlineStr">
        <is>
          <t>None</t>
        </is>
      </c>
    </row>
    <row r="26">
      <c r="A26" t="inlineStr">
        <is>
          <t>Glider lightweighting</t>
        </is>
      </c>
      <c r="B26" s="6" t="n">
        <v>0</v>
      </c>
    </row>
    <row r="27">
      <c r="A27" t="inlineStr">
        <is>
          <t>origin</t>
        </is>
      </c>
      <c r="B27" s="6" t="inlineStr">
        <is>
          <t>China</t>
        </is>
      </c>
    </row>
    <row r="28">
      <c r="A28" t="inlineStr">
        <is>
          <t>distance by ship [km]</t>
        </is>
      </c>
      <c r="B28" s="2" t="n">
        <v>15900</v>
      </c>
    </row>
    <row r="29">
      <c r="A29" t="inlineStr">
        <is>
          <t>distance by truck [km]</t>
        </is>
      </c>
      <c r="B29" s="2" t="n">
        <v>1000</v>
      </c>
    </row>
    <row r="30">
      <c r="A30" t="inlineStr">
        <is>
          <t>comment</t>
        </is>
      </c>
      <c r="B30" t="inlineStr">
        <is>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ht="16" customHeight="1">
      <c r="A31" s="10" t="inlineStr">
        <is>
          <t>Exchanges</t>
        </is>
      </c>
    </row>
    <row r="32">
      <c r="A32" t="inlineStr">
        <is>
          <t>name</t>
        </is>
      </c>
      <c r="B32" t="inlineStr">
        <is>
          <t>amount</t>
        </is>
      </c>
      <c r="C32" t="inlineStr">
        <is>
          <t>location</t>
        </is>
      </c>
      <c r="D32" t="inlineStr">
        <is>
          <t>unit</t>
        </is>
      </c>
      <c r="E32" t="inlineStr">
        <is>
          <t>categories</t>
        </is>
      </c>
      <c r="F32" t="inlineStr">
        <is>
          <t>type</t>
        </is>
      </c>
      <c r="G32" t="inlineStr">
        <is>
          <t>comment</t>
        </is>
      </c>
      <c r="H32" t="inlineStr">
        <is>
          <t>reference product</t>
        </is>
      </c>
    </row>
    <row r="33">
      <c r="A33" t="inlineStr">
        <is>
          <t>Bicycle, battery electric, cargo bike</t>
        </is>
      </c>
      <c r="B33" t="n">
        <v>1</v>
      </c>
      <c r="C33" t="inlineStr">
        <is>
          <t>CH</t>
        </is>
      </c>
      <c r="D33" t="inlineStr">
        <is>
          <t>unit</t>
        </is>
      </c>
      <c r="F33" t="inlineStr">
        <is>
          <t>production</t>
        </is>
      </c>
      <c r="H33" t="inlineStr">
        <is>
          <t>Bicycle, battery electric, cargo bike</t>
        </is>
      </c>
    </row>
    <row r="34">
      <c r="A34" t="inlineStr">
        <is>
          <t>electric cargo bicycle production, without battery and motor</t>
        </is>
      </c>
      <c r="B34" s="4" t="n">
        <v>2.235294117647059</v>
      </c>
      <c r="C34" t="inlineStr">
        <is>
          <t>RER</t>
        </is>
      </c>
      <c r="D34" t="inlineStr">
        <is>
          <t>unit</t>
        </is>
      </c>
      <c r="F34" t="inlineStr">
        <is>
          <t>technosphere</t>
        </is>
      </c>
      <c r="G34" t="inlineStr">
        <is>
          <t>Glider base mass [kg]</t>
        </is>
      </c>
      <c r="H34" t="inlineStr">
        <is>
          <t>electric cargo bicycle, without battery and motor</t>
        </is>
      </c>
    </row>
    <row r="35">
      <c r="A35" t="inlineStr">
        <is>
          <t>market for electric motor, vehicle</t>
        </is>
      </c>
      <c r="B35" s="4" t="n">
        <v>4</v>
      </c>
      <c r="C35" t="inlineStr">
        <is>
          <t>GLO</t>
        </is>
      </c>
      <c r="D35" t="inlineStr">
        <is>
          <t>kilogram</t>
        </is>
      </c>
      <c r="F35" t="inlineStr">
        <is>
          <t>technosphere</t>
        </is>
      </c>
      <c r="G35" t="inlineStr">
        <is>
          <t>Electric powertrain mass [kg]</t>
        </is>
      </c>
      <c r="H35" t="inlineStr">
        <is>
          <t>electric motor, vehicle</t>
        </is>
      </c>
    </row>
    <row r="36">
      <c r="A36" t="inlineStr">
        <is>
          <t>Glider lightweighting</t>
        </is>
      </c>
      <c r="B36" s="11" t="n">
        <v>0</v>
      </c>
      <c r="C36" t="inlineStr">
        <is>
          <t>GLO</t>
        </is>
      </c>
      <c r="D36" t="inlineStr">
        <is>
          <t>kilogram</t>
        </is>
      </c>
      <c r="F36" t="inlineStr">
        <is>
          <t>technosphere</t>
        </is>
      </c>
      <c r="G36" t="inlineStr">
        <is>
          <t>Lightweighting rate [%]</t>
        </is>
      </c>
      <c r="H36" t="inlineStr">
        <is>
          <t>Glider lightweighting</t>
        </is>
      </c>
    </row>
    <row r="37">
      <c r="A37" t="inlineStr">
        <is>
          <t>market for battery capacity (MIX scenario)</t>
        </is>
      </c>
      <c r="B37" s="3" t="n">
        <v>0.5</v>
      </c>
      <c r="C37" t="inlineStr">
        <is>
          <t>GLO</t>
        </is>
      </c>
      <c r="D37" t="inlineStr">
        <is>
          <t>kilowatt hour</t>
        </is>
      </c>
      <c r="F37" t="inlineStr">
        <is>
          <t>technosphere</t>
        </is>
      </c>
      <c r="H37" t="inlineStr">
        <is>
          <t>electricity storage capacity</t>
        </is>
      </c>
    </row>
    <row r="38">
      <c r="A38" t="inlineStr">
        <is>
          <t>charging station, 500W</t>
        </is>
      </c>
      <c r="B38" s="4" t="n">
        <v>1</v>
      </c>
      <c r="C38" t="inlineStr">
        <is>
          <t>GLO</t>
        </is>
      </c>
      <c r="D38" t="inlineStr">
        <is>
          <t>unit</t>
        </is>
      </c>
      <c r="F38" t="inlineStr">
        <is>
          <t>technosphere</t>
        </is>
      </c>
      <c r="G38" t="inlineStr">
        <is>
          <t>Charging station per vehicle [unit]</t>
        </is>
      </c>
      <c r="H38" t="inlineStr">
        <is>
          <t>charging station, 500W</t>
        </is>
      </c>
    </row>
    <row r="39">
      <c r="A39" t="inlineStr">
        <is>
          <t>treatment of used electric bicycle</t>
        </is>
      </c>
      <c r="B39" s="4" t="n">
        <v>-1.583333333333333</v>
      </c>
      <c r="C39" t="inlineStr">
        <is>
          <t>CH</t>
        </is>
      </c>
      <c r="D39" t="inlineStr">
        <is>
          <t>unit</t>
        </is>
      </c>
      <c r="F39" t="inlineStr">
        <is>
          <t>technosphere</t>
        </is>
      </c>
      <c r="G39" t="inlineStr">
        <is>
          <t>Discarding glider [kg]</t>
        </is>
      </c>
      <c r="H39" t="inlineStr">
        <is>
          <t>used electric bicycle</t>
        </is>
      </c>
    </row>
    <row r="40">
      <c r="A40" t="inlineStr">
        <is>
          <t>treatment of used electric bicycle</t>
        </is>
      </c>
      <c r="B40" s="4" t="n">
        <v>-0.1666666666666667</v>
      </c>
      <c r="C40" t="inlineStr">
        <is>
          <t>CH</t>
        </is>
      </c>
      <c r="D40" t="inlineStr">
        <is>
          <t>unit</t>
        </is>
      </c>
      <c r="F40" t="inlineStr">
        <is>
          <t>technosphere</t>
        </is>
      </c>
      <c r="G40" t="inlineStr">
        <is>
          <t>Discarding powertrain [kg]</t>
        </is>
      </c>
      <c r="H40" t="inlineStr">
        <is>
          <t>used electric bicycle</t>
        </is>
      </c>
    </row>
    <row r="41">
      <c r="A41" s="13" t="inlineStr">
        <is>
          <t>market for transport, freight, lorry, unspecified</t>
        </is>
      </c>
      <c r="B41" t="n">
        <v>45.25</v>
      </c>
      <c r="C41" t="inlineStr">
        <is>
          <t>RER</t>
        </is>
      </c>
      <c r="D41" t="inlineStr">
        <is>
          <t>ton kilometer</t>
        </is>
      </c>
      <c r="F41" t="inlineStr">
        <is>
          <t>technosphere</t>
        </is>
      </c>
      <c r="H41" s="13" t="inlineStr">
        <is>
          <t>transport, freight, lorry, unspecified</t>
        </is>
      </c>
    </row>
    <row r="42">
      <c r="A42" s="13" t="inlineStr">
        <is>
          <t>transport, freight, sea, container ship</t>
        </is>
      </c>
      <c r="B42" s="2" t="n">
        <v>719.475</v>
      </c>
      <c r="C42" t="inlineStr">
        <is>
          <t>GLO</t>
        </is>
      </c>
      <c r="D42" t="inlineStr">
        <is>
          <t>ton kilometer</t>
        </is>
      </c>
      <c r="F42" t="inlineStr">
        <is>
          <t>technosphere</t>
        </is>
      </c>
      <c r="H42" s="13" t="inlineStr">
        <is>
          <t>transport, freight, sea, container ship</t>
        </is>
      </c>
    </row>
    <row r="43"/>
    <row r="44" ht="16" customHeight="1">
      <c r="A44" s="10" t="inlineStr">
        <is>
          <t>Activity</t>
        </is>
      </c>
      <c r="B44" s="8" t="inlineStr">
        <is>
          <t>transport, Bicycle, battery electric, cargo bike</t>
        </is>
      </c>
    </row>
    <row r="45">
      <c r="A45" t="inlineStr">
        <is>
          <t>location</t>
        </is>
      </c>
      <c r="B45" t="inlineStr">
        <is>
          <t>CH</t>
        </is>
      </c>
    </row>
    <row r="46">
      <c r="A46" t="inlineStr">
        <is>
          <t>vehicle</t>
        </is>
      </c>
      <c r="B46" t="inlineStr">
        <is>
          <t>Bicycle, battery electric, cargo bike</t>
        </is>
      </c>
    </row>
    <row r="47">
      <c r="A47" t="inlineStr">
        <is>
          <t>size</t>
        </is>
      </c>
    </row>
    <row r="48">
      <c r="A48" t="inlineStr">
        <is>
          <t>year</t>
        </is>
      </c>
      <c r="B48" t="n">
        <v>2020</v>
      </c>
    </row>
    <row r="49">
      <c r="A49" t="inlineStr">
        <is>
          <t>full name</t>
        </is>
      </c>
      <c r="B49" t="inlineStr">
        <is>
          <t>Bicycle, battery electric, cargo bike - 2020 - NMC - CH</t>
        </is>
      </c>
    </row>
    <row r="50">
      <c r="A50" t="inlineStr">
        <is>
          <t>reference product</t>
        </is>
      </c>
      <c r="B50" t="inlineStr">
        <is>
          <t>transport, Bicycle, battery electric, cargo bike</t>
        </is>
      </c>
    </row>
    <row r="51">
      <c r="A51" t="inlineStr">
        <is>
          <t>type</t>
        </is>
      </c>
      <c r="B51" t="inlineStr">
        <is>
          <t>process</t>
        </is>
      </c>
    </row>
    <row r="52">
      <c r="A52" t="inlineStr">
        <is>
          <t>unit</t>
        </is>
      </c>
      <c r="B52" t="inlineStr">
        <is>
          <t>kilometer</t>
        </is>
      </c>
    </row>
    <row r="53">
      <c r="A53" t="inlineStr">
        <is>
          <t>source</t>
        </is>
      </c>
      <c r="B53" t="inlineStr">
        <is>
          <t>Sacchi R., Bauer C. Life cycle inventories for on-road vehicles. Paul Scherrer Institut, 2021.</t>
        </is>
      </c>
    </row>
    <row r="54">
      <c r="A54" t="inlineStr">
        <is>
          <t>lifetime</t>
        </is>
      </c>
      <c r="B54" t="n">
        <v>20000</v>
      </c>
    </row>
    <row r="55">
      <c r="A55" t="inlineStr">
        <is>
          <t>passengers</t>
        </is>
      </c>
      <c r="B55" t="n">
        <v>1</v>
      </c>
    </row>
    <row r="56">
      <c r="A56" t="inlineStr">
        <is>
          <t>service</t>
        </is>
      </c>
      <c r="B56" t="n">
        <v>1.333333333333333</v>
      </c>
    </row>
    <row r="57">
      <c r="A57" t="inlineStr">
        <is>
          <t>battery replacement</t>
        </is>
      </c>
      <c r="B57" t="n">
        <v>1</v>
      </c>
    </row>
    <row r="58">
      <c r="A58" t="inlineStr">
        <is>
          <t>annual kilometers</t>
        </is>
      </c>
      <c r="B58" t="n">
        <v>2000</v>
      </c>
    </row>
    <row r="59">
      <c r="A59" t="inlineStr">
        <is>
          <t>curb mass</t>
        </is>
      </c>
      <c r="B59" t="n">
        <v>45.25</v>
      </c>
    </row>
    <row r="60">
      <c r="A60" t="inlineStr">
        <is>
          <t>power</t>
        </is>
      </c>
      <c r="B60" t="n">
        <v>0.25</v>
      </c>
    </row>
    <row r="61">
      <c r="A61" t="inlineStr">
        <is>
          <t>battery type</t>
        </is>
      </c>
      <c r="B61" s="19" t="inlineStr">
        <is>
          <t>NMC</t>
        </is>
      </c>
    </row>
    <row r="62">
      <c r="A62" t="inlineStr">
        <is>
          <t>battery mass</t>
        </is>
      </c>
      <c r="B62" t="n">
        <v>3.25</v>
      </c>
    </row>
    <row r="63">
      <c r="A63" t="inlineStr">
        <is>
          <t>electricity, low voltage</t>
        </is>
      </c>
      <c r="B63" t="n">
        <v>0.5</v>
      </c>
    </row>
    <row r="64">
      <c r="A64" t="inlineStr">
        <is>
          <t>battery capacity available</t>
        </is>
      </c>
      <c r="B64" t="n">
        <v>0.4</v>
      </c>
    </row>
    <row r="65">
      <c r="A65" t="inlineStr">
        <is>
          <t>tank capacity</t>
        </is>
      </c>
      <c r="B65" t="n">
        <v>0</v>
      </c>
    </row>
    <row r="66">
      <c r="A66" t="inlineStr">
        <is>
          <t>fuel mass</t>
        </is>
      </c>
      <c r="B66" t="n">
        <v>0</v>
      </c>
    </row>
    <row r="67">
      <c r="A67" t="inlineStr">
        <is>
          <t>range</t>
        </is>
      </c>
      <c r="B67" t="n">
        <v>41.48860759493671</v>
      </c>
    </row>
    <row r="68">
      <c r="A68" t="inlineStr">
        <is>
          <t>emission standard</t>
        </is>
      </c>
      <c r="B68" t="inlineStr">
        <is>
          <t>None</t>
        </is>
      </c>
    </row>
    <row r="69">
      <c r="A69" t="inlineStr">
        <is>
          <t>Glider lightweighting</t>
        </is>
      </c>
      <c r="B69" s="6" t="n">
        <v>0</v>
      </c>
    </row>
    <row r="70">
      <c r="A70" t="inlineStr">
        <is>
          <t>comment</t>
        </is>
      </c>
      <c r="B70" t="inlineStr">
        <is>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1" ht="16" customHeight="1">
      <c r="A71" s="10" t="inlineStr">
        <is>
          <t>Exchanges</t>
        </is>
      </c>
    </row>
    <row r="72">
      <c r="A72" t="inlineStr">
        <is>
          <t>name</t>
        </is>
      </c>
      <c r="B72" t="inlineStr">
        <is>
          <t>amount</t>
        </is>
      </c>
      <c r="C72" t="inlineStr">
        <is>
          <t>location</t>
        </is>
      </c>
      <c r="D72" t="inlineStr">
        <is>
          <t>unit</t>
        </is>
      </c>
      <c r="E72" t="inlineStr">
        <is>
          <t>categories</t>
        </is>
      </c>
      <c r="F72" t="inlineStr">
        <is>
          <t>type</t>
        </is>
      </c>
      <c r="G72" t="inlineStr">
        <is>
          <t>comment</t>
        </is>
      </c>
      <c r="H72" t="inlineStr">
        <is>
          <t>reference product</t>
        </is>
      </c>
    </row>
    <row r="73">
      <c r="A73" t="inlineStr">
        <is>
          <t>transport, Bicycle, battery electric, cargo bike</t>
        </is>
      </c>
      <c r="B73" t="n">
        <v>1</v>
      </c>
      <c r="C73" t="inlineStr">
        <is>
          <t>CH</t>
        </is>
      </c>
      <c r="D73" t="inlineStr">
        <is>
          <t>kilometer</t>
        </is>
      </c>
      <c r="F73" t="inlineStr">
        <is>
          <t>production</t>
        </is>
      </c>
      <c r="H73" t="inlineStr">
        <is>
          <t>transport, Bicycle, battery electric, cargo bike</t>
        </is>
      </c>
    </row>
    <row r="74">
      <c r="A74" t="inlineStr">
        <is>
          <t>Bicycle, battery electric, cargo bike</t>
        </is>
      </c>
      <c r="B74" s="7" t="n">
        <v>5e-05</v>
      </c>
      <c r="C74" t="inlineStr">
        <is>
          <t>CH</t>
        </is>
      </c>
      <c r="D74" t="inlineStr">
        <is>
          <t>unit</t>
        </is>
      </c>
      <c r="F74" t="inlineStr">
        <is>
          <t>technosphere</t>
        </is>
      </c>
      <c r="H74" t="inlineStr">
        <is>
          <t>Bicycle, battery electric, cargo bike</t>
        </is>
      </c>
    </row>
    <row r="75">
      <c r="A75" t="inlineStr">
        <is>
          <t>road construction</t>
        </is>
      </c>
      <c r="B75" s="7" t="n">
        <v>9.142425e-05</v>
      </c>
      <c r="C75" t="inlineStr">
        <is>
          <t>CH</t>
        </is>
      </c>
      <c r="D75" t="inlineStr">
        <is>
          <t>meter-year</t>
        </is>
      </c>
      <c r="F75" t="inlineStr">
        <is>
          <t>technosphere</t>
        </is>
      </c>
      <c r="G75" t="inlineStr">
        <is>
          <t>Road/track use [m*year/vkm or pkm]</t>
        </is>
      </c>
      <c r="H75" t="inlineStr">
        <is>
          <t>road</t>
        </is>
      </c>
    </row>
    <row r="76">
      <c r="A76" t="inlineStr">
        <is>
          <t>market for electricity, low voltage</t>
        </is>
      </c>
      <c r="B76" s="7" t="n">
        <v>0.0106053209665609</v>
      </c>
      <c r="C76" t="inlineStr">
        <is>
          <t>CH</t>
        </is>
      </c>
      <c r="D76" t="inlineStr">
        <is>
          <t>kilowatt hour</t>
        </is>
      </c>
      <c r="F76" t="inlineStr">
        <is>
          <t>technosphere</t>
        </is>
      </c>
      <c r="G76" t="inlineStr">
        <is>
          <t>Electricity consumption [MJ/km]</t>
        </is>
      </c>
      <c r="H76" t="inlineStr">
        <is>
          <t>electricity, low voltage</t>
        </is>
      </c>
    </row>
    <row r="77">
      <c r="A77" t="inlineStr">
        <is>
          <t>maintenance, electric bicycle, without battery</t>
        </is>
      </c>
      <c r="B77" s="7" t="n">
        <v>6.666666666666667e-05</v>
      </c>
      <c r="C77" t="inlineStr">
        <is>
          <t>CH</t>
        </is>
      </c>
      <c r="D77" t="inlineStr">
        <is>
          <t>unit</t>
        </is>
      </c>
      <c r="F77" t="inlineStr">
        <is>
          <t>technosphere</t>
        </is>
      </c>
      <c r="G77" t="inlineStr">
        <is>
          <t>Servicing [unit]</t>
        </is>
      </c>
      <c r="H77" t="inlineStr">
        <is>
          <t>maintenance, electric bicycle, without battery</t>
        </is>
      </c>
    </row>
    <row r="78">
      <c r="A78" t="inlineStr">
        <is>
          <t>treatment of road wear emissions, passenger car</t>
        </is>
      </c>
      <c r="B78" s="7" t="n">
        <v>-6.41291006191296e-06</v>
      </c>
      <c r="C78" t="inlineStr">
        <is>
          <t>RER</t>
        </is>
      </c>
      <c r="D78" t="inlineStr">
        <is>
          <t>kilogram</t>
        </is>
      </c>
      <c r="F78" t="inlineStr">
        <is>
          <t>technosphere</t>
        </is>
      </c>
      <c r="G78" t="inlineStr">
        <is>
          <t>Road wear [kg/km]</t>
        </is>
      </c>
      <c r="H78" t="inlineStr">
        <is>
          <t>road wear emissions, passenger car</t>
        </is>
      </c>
    </row>
    <row r="79">
      <c r="A79" t="inlineStr">
        <is>
          <t>treatment of tyre wear emissions, passenger car</t>
        </is>
      </c>
      <c r="B79" s="7" t="n">
        <v>-5.307335850102609e-06</v>
      </c>
      <c r="C79" t="inlineStr">
        <is>
          <t>RER</t>
        </is>
      </c>
      <c r="D79" t="inlineStr">
        <is>
          <t>kilogram</t>
        </is>
      </c>
      <c r="F79" t="inlineStr">
        <is>
          <t>technosphere</t>
        </is>
      </c>
      <c r="G79" t="inlineStr">
        <is>
          <t>Tire wear [kg/km]</t>
        </is>
      </c>
      <c r="H79" t="inlineStr">
        <is>
          <t>tyre wear emissions, passenger car</t>
        </is>
      </c>
    </row>
    <row r="80">
      <c r="A80" t="inlineStr">
        <is>
          <t>treatment of brake wear emissions, passenger car</t>
        </is>
      </c>
      <c r="B80" s="7" t="n">
        <v>-5.155663474642304e-06</v>
      </c>
      <c r="C80" t="inlineStr">
        <is>
          <t>RER</t>
        </is>
      </c>
      <c r="D80" t="inlineStr">
        <is>
          <t>kilogram</t>
        </is>
      </c>
      <c r="F80" t="inlineStr">
        <is>
          <t>technosphere</t>
        </is>
      </c>
      <c r="G80" t="inlineStr">
        <is>
          <t>Brake wear [kg/km]</t>
        </is>
      </c>
      <c r="H80" t="inlineStr">
        <is>
          <t>brake wear emissions, passenger car</t>
        </is>
      </c>
    </row>
  </sheetData>
  <pageMargins left="0.7" right="0.7" top="0.75" bottom="0.75" header="0.3" footer="0.3"/>
  <pageSetup orientation="portrait" horizontalDpi="300" verticalDpi="300"/>
</worksheet>
</file>

<file path=xl/worksheets/sheet26.xml><?xml version="1.0" encoding="utf-8"?>
<worksheet xmlns="http://schemas.openxmlformats.org/spreadsheetml/2006/main">
  <sheetPr>
    <outlinePr summaryBelow="1" summaryRight="1"/>
    <pageSetUpPr/>
  </sheetPr>
  <dimension ref="A1:L82"/>
  <sheetViews>
    <sheetView topLeftCell="A42" workbookViewId="0">
      <selection activeCell="G67" sqref="G67"/>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Tram, electric</t>
        </is>
      </c>
    </row>
    <row r="2">
      <c r="A2" t="inlineStr">
        <is>
          <t>location</t>
        </is>
      </c>
      <c r="B2" t="inlineStr">
        <is>
          <t>CH</t>
        </is>
      </c>
    </row>
    <row r="3">
      <c r="A3" t="inlineStr">
        <is>
          <t>vehicle</t>
        </is>
      </c>
      <c r="B3" t="inlineStr">
        <is>
          <t>Tram, electric</t>
        </is>
      </c>
    </row>
    <row r="4">
      <c r="A4" t="inlineStr">
        <is>
          <t>size</t>
        </is>
      </c>
    </row>
    <row r="5">
      <c r="A5" t="inlineStr">
        <is>
          <t>year</t>
        </is>
      </c>
      <c r="B5" t="n">
        <v>2020</v>
      </c>
    </row>
    <row r="6">
      <c r="A6" t="inlineStr">
        <is>
          <t>full name</t>
        </is>
      </c>
      <c r="B6" t="inlineStr">
        <is>
          <t>Tram, electric - 2020 - CH</t>
        </is>
      </c>
    </row>
    <row r="7">
      <c r="A7" t="inlineStr">
        <is>
          <t>reference product</t>
        </is>
      </c>
      <c r="B7" t="inlineStr">
        <is>
          <t>Tram, electric</t>
        </is>
      </c>
    </row>
    <row r="8">
      <c r="A8" t="inlineStr">
        <is>
          <t>type</t>
        </is>
      </c>
      <c r="B8" t="inlineStr">
        <is>
          <t>process</t>
        </is>
      </c>
    </row>
    <row r="9">
      <c r="A9" t="inlineStr">
        <is>
          <t>unit</t>
        </is>
      </c>
      <c r="B9" t="inlineStr">
        <is>
          <t>unit</t>
        </is>
      </c>
    </row>
    <row r="10">
      <c r="A10" t="inlineStr">
        <is>
          <t>source</t>
        </is>
      </c>
      <c r="B10" t="inlineStr">
        <is>
          <t>Sacchi R., Bauer C. Life cycle inventories for on-road vehicles. Paul Scherrer Institut, 2021.</t>
        </is>
      </c>
    </row>
    <row r="11">
      <c r="A11" t="inlineStr">
        <is>
          <t>lifetime</t>
        </is>
      </c>
      <c r="B11" t="n">
        <v>2800000</v>
      </c>
    </row>
    <row r="12">
      <c r="A12" t="inlineStr">
        <is>
          <t>passengers</t>
        </is>
      </c>
      <c r="B12" t="n">
        <v>38</v>
      </c>
    </row>
    <row r="13">
      <c r="A13" t="inlineStr">
        <is>
          <t>service</t>
        </is>
      </c>
      <c r="B13" t="n">
        <v>1.333333333333333</v>
      </c>
    </row>
    <row r="14">
      <c r="A14" t="inlineStr">
        <is>
          <t>battery replacement</t>
        </is>
      </c>
      <c r="B14" t="n">
        <v>0</v>
      </c>
    </row>
    <row r="15">
      <c r="A15" t="inlineStr">
        <is>
          <t>annual kilometers</t>
        </is>
      </c>
      <c r="B15" t="n">
        <v>70000</v>
      </c>
    </row>
    <row r="16">
      <c r="A16" t="inlineStr">
        <is>
          <t>curb mass</t>
        </is>
      </c>
      <c r="B16" t="n">
        <v>54000</v>
      </c>
    </row>
    <row r="17">
      <c r="A17" t="inlineStr">
        <is>
          <t>power</t>
        </is>
      </c>
      <c r="B17" t="n">
        <v>660</v>
      </c>
    </row>
    <row r="18">
      <c r="A18" t="inlineStr">
        <is>
          <t>battery mass</t>
        </is>
      </c>
      <c r="B18" t="n">
        <v>0</v>
      </c>
    </row>
    <row r="19">
      <c r="A19" t="inlineStr">
        <is>
          <t>electricity, low voltage</t>
        </is>
      </c>
      <c r="B19" t="n">
        <v>0</v>
      </c>
    </row>
    <row r="20">
      <c r="A20" t="inlineStr">
        <is>
          <t>tank capacity</t>
        </is>
      </c>
      <c r="B20" t="n">
        <v>0</v>
      </c>
    </row>
    <row r="21">
      <c r="A21" t="inlineStr">
        <is>
          <t>fuel mass</t>
        </is>
      </c>
      <c r="B21" t="n">
        <v>0</v>
      </c>
    </row>
    <row r="22">
      <c r="A22" t="inlineStr">
        <is>
          <t>range</t>
        </is>
      </c>
      <c r="B22" t="n">
        <v>0</v>
      </c>
    </row>
    <row r="23">
      <c r="A23" t="inlineStr">
        <is>
          <t>emission standard</t>
        </is>
      </c>
      <c r="B23" t="inlineStr">
        <is>
          <t>None</t>
        </is>
      </c>
    </row>
    <row r="24">
      <c r="A24" t="inlineStr">
        <is>
          <t>Glider lightweighting</t>
        </is>
      </c>
      <c r="B24" s="6" t="n">
        <v>0</v>
      </c>
    </row>
    <row r="25">
      <c r="A25" t="inlineStr">
        <is>
          <t>origin</t>
        </is>
      </c>
      <c r="B25" s="6" t="inlineStr">
        <is>
          <t>Europe</t>
        </is>
      </c>
    </row>
    <row r="26">
      <c r="A26" t="inlineStr">
        <is>
          <t>distance by ship [km]</t>
        </is>
      </c>
      <c r="B26" s="2" t="n">
        <v>0</v>
      </c>
    </row>
    <row r="27">
      <c r="A27" t="inlineStr">
        <is>
          <t>distance by truck [km]</t>
        </is>
      </c>
      <c r="B27" s="2" t="n">
        <v>1000</v>
      </c>
    </row>
    <row r="28">
      <c r="A28" t="inlineStr">
        <is>
          <t>comment</t>
        </is>
      </c>
      <c r="B28" t="inlineStr">
        <is>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Origin of manufacture: Europe. Shipping distance: 0 km. Lorry distribution distance: 1000 km. Documentation: Life-cycle inventories for on-road vehicles, Sacchi R. (PSI), Bauer C. (PSI), 2021. Sacchi R., Bauer C. Life cycle inventories for on-road vehicles. Paul Scherrer Institut, 2021.</t>
        </is>
      </c>
    </row>
    <row r="29" ht="16" customHeight="1">
      <c r="A29" s="10" t="inlineStr">
        <is>
          <t>Exchanges</t>
        </is>
      </c>
    </row>
    <row r="30">
      <c r="A30" t="inlineStr">
        <is>
          <t>name</t>
        </is>
      </c>
      <c r="B30" t="inlineStr">
        <is>
          <t>amount</t>
        </is>
      </c>
      <c r="C30" t="inlineStr">
        <is>
          <t>location</t>
        </is>
      </c>
      <c r="D30" t="inlineStr">
        <is>
          <t>unit</t>
        </is>
      </c>
      <c r="E30" t="inlineStr">
        <is>
          <t>categories</t>
        </is>
      </c>
      <c r="F30" t="inlineStr">
        <is>
          <t>type</t>
        </is>
      </c>
      <c r="G30" t="inlineStr">
        <is>
          <t>comment</t>
        </is>
      </c>
      <c r="H30" t="inlineStr">
        <is>
          <t>reference product</t>
        </is>
      </c>
    </row>
    <row r="31">
      <c r="A31" t="inlineStr">
        <is>
          <t>Tram, electric</t>
        </is>
      </c>
      <c r="B31" t="n">
        <v>1</v>
      </c>
      <c r="C31" t="inlineStr">
        <is>
          <t>CH</t>
        </is>
      </c>
      <c r="D31" t="inlineStr">
        <is>
          <t>unit</t>
        </is>
      </c>
      <c r="F31" t="inlineStr">
        <is>
          <t>production</t>
        </is>
      </c>
      <c r="H31" t="inlineStr">
        <is>
          <t>Tram, electric</t>
        </is>
      </c>
    </row>
    <row r="32">
      <c r="A32" t="inlineStr">
        <is>
          <t>tram production</t>
        </is>
      </c>
      <c r="B32" s="4" t="n">
        <v>2.057926829268293</v>
      </c>
      <c r="C32" t="inlineStr">
        <is>
          <t>RER</t>
        </is>
      </c>
      <c r="D32" t="inlineStr">
        <is>
          <t>unit</t>
        </is>
      </c>
      <c r="F32" t="inlineStr">
        <is>
          <t>technosphere</t>
        </is>
      </c>
      <c r="G32" t="inlineStr">
        <is>
          <t>Glider base mass [kg]</t>
        </is>
      </c>
      <c r="H32" t="inlineStr">
        <is>
          <t>tram</t>
        </is>
      </c>
    </row>
    <row r="33">
      <c r="A33" t="inlineStr">
        <is>
          <t>tram production</t>
        </is>
      </c>
      <c r="B33" s="4" t="n">
        <v>0.3715701219512195</v>
      </c>
      <c r="C33" t="inlineStr">
        <is>
          <t>RER</t>
        </is>
      </c>
      <c r="D33" t="inlineStr">
        <is>
          <t>unit</t>
        </is>
      </c>
      <c r="F33" t="inlineStr">
        <is>
          <t>technosphere</t>
        </is>
      </c>
      <c r="G33" t="inlineStr">
        <is>
          <t>Mechanical powertrain mass [kg]</t>
        </is>
      </c>
      <c r="H33" t="inlineStr">
        <is>
          <t>tram</t>
        </is>
      </c>
    </row>
    <row r="34">
      <c r="A34" t="inlineStr">
        <is>
          <t>tram production</t>
        </is>
      </c>
      <c r="B34" s="4" t="n">
        <v>0.1429115853658537</v>
      </c>
      <c r="C34" t="inlineStr">
        <is>
          <t>RER</t>
        </is>
      </c>
      <c r="D34" t="inlineStr">
        <is>
          <t>unit</t>
        </is>
      </c>
      <c r="F34" t="inlineStr">
        <is>
          <t>technosphere</t>
        </is>
      </c>
      <c r="G34" t="inlineStr">
        <is>
          <t>Electric powertrain mass [kg]</t>
        </is>
      </c>
      <c r="H34" t="inlineStr">
        <is>
          <t>tram</t>
        </is>
      </c>
    </row>
    <row r="35">
      <c r="A35" t="inlineStr">
        <is>
          <t>Glider lightweighting</t>
        </is>
      </c>
      <c r="B35" s="11" t="n">
        <v>0</v>
      </c>
      <c r="C35" t="inlineStr">
        <is>
          <t>GLO</t>
        </is>
      </c>
      <c r="D35" t="inlineStr">
        <is>
          <t>kilogram</t>
        </is>
      </c>
      <c r="F35" t="inlineStr">
        <is>
          <t>technosphere</t>
        </is>
      </c>
      <c r="G35" t="inlineStr">
        <is>
          <t>Lightweighting rate [%]</t>
        </is>
      </c>
      <c r="H35" t="inlineStr">
        <is>
          <t>Glider lightweighting</t>
        </is>
      </c>
    </row>
    <row r="36">
      <c r="A36" t="inlineStr">
        <is>
          <t>tram track construction</t>
        </is>
      </c>
      <c r="B36" s="2" t="n">
        <v>0.00456</v>
      </c>
      <c r="C36" t="inlineStr">
        <is>
          <t>CH</t>
        </is>
      </c>
      <c r="D36" t="inlineStr">
        <is>
          <t>meter-year</t>
        </is>
      </c>
      <c r="F36" t="inlineStr">
        <is>
          <t>technosphere</t>
        </is>
      </c>
      <c r="G36" t="inlineStr">
        <is>
          <t>Road/track use [m*year/vkm or pkm]</t>
        </is>
      </c>
      <c r="H36" t="inlineStr">
        <is>
          <t>tram track</t>
        </is>
      </c>
    </row>
    <row r="37">
      <c r="A37" t="inlineStr">
        <is>
          <t>treatment of decommissioned tram track</t>
        </is>
      </c>
      <c r="B37" s="2" t="n">
        <v>-0.00456</v>
      </c>
      <c r="C37" t="inlineStr">
        <is>
          <t>CH</t>
        </is>
      </c>
      <c r="D37" t="inlineStr">
        <is>
          <t>meter-year</t>
        </is>
      </c>
      <c r="F37" t="inlineStr">
        <is>
          <t>technosphere</t>
        </is>
      </c>
      <c r="G37" t="inlineStr">
        <is>
          <t>Road/track decommissioning [m*year/vkm or pkm]</t>
        </is>
      </c>
      <c r="H37" t="inlineStr">
        <is>
          <t>decommissioned tram track</t>
        </is>
      </c>
    </row>
    <row r="38">
      <c r="A38" s="13" t="inlineStr">
        <is>
          <t>market for transport, freight, lorry, unspecified</t>
        </is>
      </c>
      <c r="B38" t="n">
        <v>54000</v>
      </c>
      <c r="C38" t="inlineStr">
        <is>
          <t>RER</t>
        </is>
      </c>
      <c r="D38" t="inlineStr">
        <is>
          <t>ton kilometer</t>
        </is>
      </c>
      <c r="F38" t="inlineStr">
        <is>
          <t>technosphere</t>
        </is>
      </c>
      <c r="H38" s="13" t="inlineStr">
        <is>
          <t>transport, freight, lorry, unspecified</t>
        </is>
      </c>
    </row>
    <row r="39">
      <c r="B39" s="11" t="n"/>
    </row>
    <row r="40"/>
    <row r="41" ht="16" customHeight="1">
      <c r="A41" s="10" t="inlineStr">
        <is>
          <t>Activity</t>
        </is>
      </c>
      <c r="B41" s="8" t="inlineStr">
        <is>
          <t>transport, Tram, electric</t>
        </is>
      </c>
    </row>
    <row r="42">
      <c r="A42" t="inlineStr">
        <is>
          <t>location</t>
        </is>
      </c>
      <c r="B42" t="inlineStr">
        <is>
          <t>CH</t>
        </is>
      </c>
    </row>
    <row r="43">
      <c r="A43" t="inlineStr">
        <is>
          <t>vehicle</t>
        </is>
      </c>
      <c r="B43" t="inlineStr">
        <is>
          <t>Tram, electric</t>
        </is>
      </c>
    </row>
    <row r="44">
      <c r="A44" t="inlineStr">
        <is>
          <t>size</t>
        </is>
      </c>
    </row>
    <row r="45">
      <c r="A45" t="inlineStr">
        <is>
          <t>year</t>
        </is>
      </c>
      <c r="B45" t="n">
        <v>2020</v>
      </c>
    </row>
    <row r="46">
      <c r="A46" t="inlineStr">
        <is>
          <t>full name</t>
        </is>
      </c>
      <c r="B46" t="inlineStr">
        <is>
          <t>Tram, electric - 2020 - CH</t>
        </is>
      </c>
    </row>
    <row r="47">
      <c r="A47" t="inlineStr">
        <is>
          <t>reference product</t>
        </is>
      </c>
      <c r="B47" t="inlineStr">
        <is>
          <t>transport, Tram, electric</t>
        </is>
      </c>
    </row>
    <row r="48">
      <c r="A48" t="inlineStr">
        <is>
          <t>type</t>
        </is>
      </c>
      <c r="B48" t="inlineStr">
        <is>
          <t>process</t>
        </is>
      </c>
    </row>
    <row r="49">
      <c r="A49" t="inlineStr">
        <is>
          <t>unit</t>
        </is>
      </c>
      <c r="B49" t="inlineStr">
        <is>
          <t>person-kilometer</t>
        </is>
      </c>
    </row>
    <row r="50">
      <c r="A50" t="inlineStr">
        <is>
          <t>source</t>
        </is>
      </c>
      <c r="B50" t="inlineStr">
        <is>
          <t>Sacchi R., Bauer C. Life cycle inventories for on-road vehicles. Paul Scherrer Institut, 2021.</t>
        </is>
      </c>
    </row>
    <row r="51">
      <c r="A51" t="inlineStr">
        <is>
          <t>lifetime</t>
        </is>
      </c>
      <c r="B51" t="n">
        <v>2800000</v>
      </c>
    </row>
    <row r="52">
      <c r="A52" t="inlineStr">
        <is>
          <t>passengers</t>
        </is>
      </c>
      <c r="B52" t="n">
        <v>38</v>
      </c>
    </row>
    <row r="53">
      <c r="A53" t="inlineStr">
        <is>
          <t>service</t>
        </is>
      </c>
      <c r="B53" t="n">
        <v>1.333333333333333</v>
      </c>
    </row>
    <row r="54">
      <c r="A54" t="inlineStr">
        <is>
          <t>battery replacement</t>
        </is>
      </c>
      <c r="B54" t="n">
        <v>0</v>
      </c>
    </row>
    <row r="55">
      <c r="A55" t="inlineStr">
        <is>
          <t>annual kilometers</t>
        </is>
      </c>
      <c r="B55" t="n">
        <v>70000</v>
      </c>
    </row>
    <row r="56">
      <c r="A56" t="inlineStr">
        <is>
          <t>curb mass</t>
        </is>
      </c>
      <c r="B56" t="n">
        <v>54000</v>
      </c>
    </row>
    <row r="57">
      <c r="A57" t="inlineStr">
        <is>
          <t>power</t>
        </is>
      </c>
      <c r="B57" t="n">
        <v>660</v>
      </c>
    </row>
    <row r="58">
      <c r="A58" t="inlineStr">
        <is>
          <t>battery mass</t>
        </is>
      </c>
      <c r="B58" t="n">
        <v>0</v>
      </c>
    </row>
    <row r="59">
      <c r="A59" t="inlineStr">
        <is>
          <t>electricity, low voltage</t>
        </is>
      </c>
      <c r="B59" t="n">
        <v>0</v>
      </c>
    </row>
    <row r="60">
      <c r="A60" t="inlineStr">
        <is>
          <t>tank capacity</t>
        </is>
      </c>
      <c r="B60" t="n">
        <v>0</v>
      </c>
    </row>
    <row r="61">
      <c r="A61" t="inlineStr">
        <is>
          <t>fuel mass</t>
        </is>
      </c>
      <c r="B61" t="n">
        <v>0</v>
      </c>
    </row>
    <row r="62">
      <c r="A62" t="inlineStr">
        <is>
          <t>range</t>
        </is>
      </c>
      <c r="B62" t="n">
        <v>0</v>
      </c>
    </row>
    <row r="63">
      <c r="A63" t="inlineStr">
        <is>
          <t>emission standard</t>
        </is>
      </c>
      <c r="B63" t="inlineStr">
        <is>
          <t>None</t>
        </is>
      </c>
    </row>
    <row r="64">
      <c r="A64" t="inlineStr">
        <is>
          <t>Glider lightweighting</t>
        </is>
      </c>
      <c r="B64" s="6" t="n">
        <v>0</v>
      </c>
    </row>
    <row r="65">
      <c r="A65" t="inlineStr">
        <is>
          <t>comment</t>
        </is>
      </c>
      <c r="B65" t="inlineStr">
        <is>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Documentation: Life-cycle inventories for on-road vehicles, Sacchi R. (PSI), Bauer C. (PSI), 2021. Sacchi R., Bauer C. Life cycle inventories for on-road vehicles. Paul Scherrer Institut, 2021.</t>
        </is>
      </c>
    </row>
    <row r="66" ht="16" customHeight="1">
      <c r="A66" s="10" t="inlineStr">
        <is>
          <t>Exchanges</t>
        </is>
      </c>
    </row>
    <row r="67">
      <c r="A67" t="inlineStr">
        <is>
          <t>name</t>
        </is>
      </c>
      <c r="B67" t="inlineStr">
        <is>
          <t>amount</t>
        </is>
      </c>
      <c r="C67" t="inlineStr">
        <is>
          <t>location</t>
        </is>
      </c>
      <c r="D67" t="inlineStr">
        <is>
          <t>unit</t>
        </is>
      </c>
      <c r="E67" t="inlineStr">
        <is>
          <t>categories</t>
        </is>
      </c>
      <c r="F67" t="inlineStr">
        <is>
          <t>type</t>
        </is>
      </c>
      <c r="G67" t="inlineStr">
        <is>
          <t>comment</t>
        </is>
      </c>
      <c r="H67" t="inlineStr">
        <is>
          <t>reference product</t>
        </is>
      </c>
    </row>
    <row r="68">
      <c r="A68" t="inlineStr">
        <is>
          <t>transport, Tram, electric</t>
        </is>
      </c>
      <c r="B68" t="n">
        <v>1</v>
      </c>
      <c r="C68" t="inlineStr">
        <is>
          <t>CH</t>
        </is>
      </c>
      <c r="D68" t="inlineStr">
        <is>
          <t>person-kilometer</t>
        </is>
      </c>
      <c r="F68" t="inlineStr">
        <is>
          <t>production</t>
        </is>
      </c>
      <c r="H68" t="inlineStr">
        <is>
          <t>transport, Tram, electric</t>
        </is>
      </c>
    </row>
    <row r="69">
      <c r="A69" t="inlineStr">
        <is>
          <t>Tram, electric</t>
        </is>
      </c>
      <c r="B69" t="n">
        <v>9.398496240601504e-09</v>
      </c>
      <c r="C69" t="inlineStr">
        <is>
          <t>CH</t>
        </is>
      </c>
      <c r="D69" t="inlineStr">
        <is>
          <t>unit</t>
        </is>
      </c>
      <c r="F69" t="inlineStr">
        <is>
          <t>technosphere</t>
        </is>
      </c>
      <c r="H69" t="inlineStr">
        <is>
          <t>Tram, electric</t>
        </is>
      </c>
    </row>
    <row r="70">
      <c r="A70" t="inlineStr">
        <is>
          <t>market for electricity, medium voltage</t>
        </is>
      </c>
      <c r="B70" s="4" t="n">
        <v>0.09722222222222222</v>
      </c>
      <c r="C70" t="inlineStr">
        <is>
          <t>CH</t>
        </is>
      </c>
      <c r="D70" t="inlineStr">
        <is>
          <t>kilowatt hour</t>
        </is>
      </c>
      <c r="F70" t="inlineStr">
        <is>
          <t>technosphere</t>
        </is>
      </c>
      <c r="G70" t="inlineStr">
        <is>
          <t>Electricity consumption [MJ/km]</t>
        </is>
      </c>
      <c r="H70" t="inlineStr">
        <is>
          <t>electricity, medium voltage</t>
        </is>
      </c>
    </row>
    <row r="71">
      <c r="A71" t="inlineStr">
        <is>
          <t>market for refrigerant R134a</t>
        </is>
      </c>
      <c r="B71" s="7" t="n">
        <v>2.208646616541353e-07</v>
      </c>
      <c r="C71" t="inlineStr">
        <is>
          <t>GLO</t>
        </is>
      </c>
      <c r="D71" t="inlineStr">
        <is>
          <t>kilogram</t>
        </is>
      </c>
      <c r="F71" t="inlineStr">
        <is>
          <t>technosphere</t>
        </is>
      </c>
      <c r="G71" t="inlineStr">
        <is>
          <t>Air conditioning [kg/pkm]</t>
        </is>
      </c>
      <c r="H71" t="inlineStr">
        <is>
          <t>refrigerant R134a</t>
        </is>
      </c>
    </row>
    <row r="72">
      <c r="A72" t="inlineStr">
        <is>
          <t>maintenance, tram</t>
        </is>
      </c>
      <c r="B72" s="7" t="n">
        <v>1.2531328320802e-08</v>
      </c>
      <c r="C72" t="inlineStr">
        <is>
          <t>CH</t>
        </is>
      </c>
      <c r="D72" t="inlineStr">
        <is>
          <t>unit</t>
        </is>
      </c>
      <c r="F72" t="inlineStr">
        <is>
          <t>technosphere</t>
        </is>
      </c>
      <c r="G72" t="inlineStr">
        <is>
          <t>Servicing [unit]</t>
        </is>
      </c>
      <c r="H72" t="inlineStr">
        <is>
          <t>maintenance, tram</t>
        </is>
      </c>
    </row>
    <row r="73">
      <c r="A73" t="inlineStr">
        <is>
          <t>Ethane, 1,1,1,2-tetrafluoro-, HFC-134a</t>
        </is>
      </c>
      <c r="B73" s="7" t="n">
        <v>1.503759398496241e-07</v>
      </c>
      <c r="D73" t="inlineStr">
        <is>
          <t>kilogram</t>
        </is>
      </c>
      <c r="E73" t="inlineStr">
        <is>
          <t>air</t>
        </is>
      </c>
      <c r="F73" t="inlineStr">
        <is>
          <t>biosphere</t>
        </is>
      </c>
      <c r="G73" t="inlineStr">
        <is>
          <t>R134a leakage</t>
        </is>
      </c>
      <c r="L73" s="6" t="n"/>
    </row>
    <row r="74">
      <c r="A74" t="inlineStr">
        <is>
          <t>Particulates, &lt; 2.5 um</t>
        </is>
      </c>
      <c r="B74" s="7" t="n">
        <v>4.210526315789474e-09</v>
      </c>
      <c r="D74" t="inlineStr">
        <is>
          <t>kilogram</t>
        </is>
      </c>
      <c r="E74" t="inlineStr">
        <is>
          <t>air</t>
        </is>
      </c>
      <c r="F74" t="inlineStr">
        <is>
          <t>biosphere</t>
        </is>
      </c>
      <c r="G74" t="inlineStr">
        <is>
          <t>Contact line abrasion. Source: https://iir-de-2020.wikidot.com/1-a-3-c-railways</t>
        </is>
      </c>
    </row>
    <row r="75">
      <c r="A75" t="inlineStr">
        <is>
          <t>Particulates, &gt; 10 um</t>
        </is>
      </c>
      <c r="B75" s="7" t="n">
        <v>8.421052631578948e-09</v>
      </c>
      <c r="D75" t="inlineStr">
        <is>
          <t>kilogram</t>
        </is>
      </c>
      <c r="E75" t="inlineStr">
        <is>
          <t>air</t>
        </is>
      </c>
      <c r="F75" t="inlineStr">
        <is>
          <t>biosphere</t>
        </is>
      </c>
      <c r="G75" t="inlineStr">
        <is>
          <t>Contact line abrasion. Source: https://iir-de-2020.wikidot.com/1-a-3-c-railways</t>
        </is>
      </c>
    </row>
    <row r="76">
      <c r="A76" t="inlineStr">
        <is>
          <t>Copper</t>
        </is>
      </c>
      <c r="B76" s="7" t="n">
        <v>8.684210526315789e-09</v>
      </c>
      <c r="D76" t="inlineStr">
        <is>
          <t>kilogram</t>
        </is>
      </c>
      <c r="E76" t="inlineStr">
        <is>
          <t>air</t>
        </is>
      </c>
      <c r="F76" t="inlineStr">
        <is>
          <t>biosphere</t>
        </is>
      </c>
      <c r="G76" t="inlineStr">
        <is>
          <t>Contact line abrasion. Source: https://iir-de-2020.wikidot.com/1-a-3-c-railways</t>
        </is>
      </c>
    </row>
    <row r="77">
      <c r="A77" t="inlineStr">
        <is>
          <t>Particulates, &lt; 2.5 um</t>
        </is>
      </c>
      <c r="B77" s="7" t="n">
        <v>2.368421052631579e-07</v>
      </c>
      <c r="D77" t="inlineStr">
        <is>
          <t>kilogram</t>
        </is>
      </c>
      <c r="E77" t="inlineStr">
        <is>
          <t>air</t>
        </is>
      </c>
      <c r="F77" t="inlineStr">
        <is>
          <t>biosphere</t>
        </is>
      </c>
      <c r="G77" t="inlineStr">
        <is>
          <t>Wheels on rail abrasion.  Source: https://iir-de-2020.wikidot.com/1-a-3-c-railways</t>
        </is>
      </c>
    </row>
    <row r="78">
      <c r="A78" t="inlineStr">
        <is>
          <t>Particulates, &gt; 10 um</t>
        </is>
      </c>
      <c r="B78" s="7" t="n">
        <v>4.736842105263158e-07</v>
      </c>
      <c r="D78" t="inlineStr">
        <is>
          <t>kilogram</t>
        </is>
      </c>
      <c r="E78" t="inlineStr">
        <is>
          <t>air</t>
        </is>
      </c>
      <c r="F78" t="inlineStr">
        <is>
          <t>biosphere</t>
        </is>
      </c>
      <c r="G78" t="inlineStr">
        <is>
          <t>Wheels on rail abrasion.  Source: https://iir-de-2020.wikidot.com/1-a-3-c-railways</t>
        </is>
      </c>
    </row>
    <row r="79">
      <c r="A79" t="inlineStr">
        <is>
          <t>Particulates, &lt; 2.5 um</t>
        </is>
      </c>
      <c r="B79" s="7" t="n">
        <v>1.052631578947368e-07</v>
      </c>
      <c r="D79" t="inlineStr">
        <is>
          <t>kilogram</t>
        </is>
      </c>
      <c r="E79" t="inlineStr">
        <is>
          <t>air</t>
        </is>
      </c>
      <c r="F79" t="inlineStr">
        <is>
          <t>biosphere</t>
        </is>
      </c>
      <c r="G79" t="inlineStr">
        <is>
          <t>Brake wear abrasion. Source: https://iir-de-2020.wikidot.com/1-a-3-c-railways</t>
        </is>
      </c>
    </row>
    <row r="80">
      <c r="A80" t="inlineStr">
        <is>
          <t>Particulates, &gt; 10 um</t>
        </is>
      </c>
      <c r="B80" s="7" t="n">
        <v>2.105263157894737e-07</v>
      </c>
      <c r="D80" t="inlineStr">
        <is>
          <t>kilogram</t>
        </is>
      </c>
      <c r="E80" t="inlineStr">
        <is>
          <t>air</t>
        </is>
      </c>
      <c r="F80" t="inlineStr">
        <is>
          <t>biosphere</t>
        </is>
      </c>
      <c r="G80" t="inlineStr">
        <is>
          <t>Brake wear abrasion. Source: https://iir-de-2020.wikidot.com/1-a-3-c-railways</t>
        </is>
      </c>
    </row>
    <row r="81">
      <c r="A81" t="inlineStr">
        <is>
          <t>Chromium</t>
        </is>
      </c>
      <c r="B81" s="7" t="n">
        <v>2.105263157894737e-09</v>
      </c>
      <c r="D81" t="inlineStr">
        <is>
          <t>kilogram</t>
        </is>
      </c>
      <c r="E81" t="inlineStr">
        <is>
          <t>air</t>
        </is>
      </c>
      <c r="F81" t="inlineStr">
        <is>
          <t>biosphere</t>
        </is>
      </c>
      <c r="G81" t="inlineStr">
        <is>
          <t>Brake wear abrasion. Source: https://iir-de-2020.wikidot.com/1-a-3-c-railways</t>
        </is>
      </c>
    </row>
    <row r="82">
      <c r="A82" t="inlineStr">
        <is>
          <t>Nickel</t>
        </is>
      </c>
      <c r="B82" s="7" t="n">
        <v>4.210526315789474e-09</v>
      </c>
      <c r="D82" t="inlineStr">
        <is>
          <t>kilogram</t>
        </is>
      </c>
      <c r="E82" t="inlineStr">
        <is>
          <t>air</t>
        </is>
      </c>
      <c r="F82" t="inlineStr">
        <is>
          <t>biosphere</t>
        </is>
      </c>
      <c r="G82" t="inlineStr">
        <is>
          <t>Brake wear abrasion. Source: https://iir-de-2020.wikidot.com/1-a-3-c-railways</t>
        </is>
      </c>
    </row>
  </sheetData>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71"/>
  <sheetViews>
    <sheetView topLeftCell="A133" workbookViewId="0">
      <selection activeCell="B136" sqref="B136"/>
    </sheetView>
  </sheetViews>
  <sheetFormatPr baseColWidth="10" defaultColWidth="8.83203125" defaultRowHeight="15"/>
  <cols>
    <col width="48.33203125" bestFit="1" customWidth="1" min="1" max="1"/>
    <col width="15.6640625" bestFit="1" customWidth="1" min="2" max="2"/>
    <col width="32" bestFit="1" customWidth="1" min="7" max="7"/>
  </cols>
  <sheetData>
    <row r="1" ht="16" customHeight="1">
      <c r="A1" s="10" t="inlineStr">
        <is>
          <t>Activity</t>
        </is>
      </c>
      <c r="B1" s="8" t="inlineStr">
        <is>
          <t>charging station, 100W</t>
        </is>
      </c>
    </row>
    <row r="2">
      <c r="A2" t="inlineStr">
        <is>
          <t>location</t>
        </is>
      </c>
      <c r="B2" t="inlineStr">
        <is>
          <t>GLO</t>
        </is>
      </c>
    </row>
    <row r="3">
      <c r="A3" t="inlineStr">
        <is>
          <t>reference product</t>
        </is>
      </c>
      <c r="B3" t="inlineStr">
        <is>
          <t>charging station, 100W</t>
        </is>
      </c>
    </row>
    <row r="4">
      <c r="A4" t="inlineStr">
        <is>
          <t>type</t>
        </is>
      </c>
      <c r="B4" t="inlineStr">
        <is>
          <t>process</t>
        </is>
      </c>
    </row>
    <row r="5">
      <c r="A5" t="inlineStr">
        <is>
          <t>unit</t>
        </is>
      </c>
      <c r="B5" t="inlineStr">
        <is>
          <t>unit</t>
        </is>
      </c>
    </row>
    <row r="6">
      <c r="A6" t="inlineStr">
        <is>
          <t>source</t>
        </is>
      </c>
      <c r="B6" t="inlineStr">
        <is>
          <t>Sacchi R., Bauer C. Life cycle inventories for on-road vehicles. Paul Scherrer Institut, 2021.</t>
        </is>
      </c>
    </row>
    <row r="7">
      <c r="A7" t="inlineStr">
        <is>
          <t>comment</t>
        </is>
      </c>
      <c r="B7" t="inlineStr">
        <is>
          <t>Uses a fraction of an electric scooter charger from ecoinvent 3.7 as a proxy. Weight: approx. 0.5 kg. Power output: approx: 100W. Shipping from Guangzhou to Amsterdam (15,900 km). Lorry within Europe (1,000 km).</t>
        </is>
      </c>
    </row>
    <row r="8" ht="16" customHeight="1">
      <c r="A8" s="10" t="inlineStr">
        <is>
          <t>Exchanges</t>
        </is>
      </c>
    </row>
    <row r="9">
      <c r="A9" t="inlineStr">
        <is>
          <t>name</t>
        </is>
      </c>
      <c r="B9" t="inlineStr">
        <is>
          <t>amount</t>
        </is>
      </c>
      <c r="C9" t="inlineStr">
        <is>
          <t>location</t>
        </is>
      </c>
      <c r="D9" t="inlineStr">
        <is>
          <t>unit</t>
        </is>
      </c>
      <c r="E9" t="inlineStr">
        <is>
          <t>categories</t>
        </is>
      </c>
      <c r="F9" t="inlineStr">
        <is>
          <t>type</t>
        </is>
      </c>
      <c r="G9" t="inlineStr">
        <is>
          <t>comment</t>
        </is>
      </c>
      <c r="H9" t="inlineStr">
        <is>
          <t>reference product</t>
        </is>
      </c>
    </row>
    <row r="10">
      <c r="A10" t="inlineStr">
        <is>
          <t>charging station, 100W</t>
        </is>
      </c>
      <c r="B10" t="n">
        <v>1</v>
      </c>
      <c r="C10" t="inlineStr">
        <is>
          <t>GLO</t>
        </is>
      </c>
      <c r="D10" t="inlineStr">
        <is>
          <t>unit</t>
        </is>
      </c>
      <c r="F10" t="inlineStr">
        <is>
          <t>production</t>
        </is>
      </c>
      <c r="H10" t="inlineStr">
        <is>
          <t>charging station, 100W</t>
        </is>
      </c>
    </row>
    <row r="11">
      <c r="A11" s="13" t="inlineStr">
        <is>
          <t>charger production, for electric scooter</t>
        </is>
      </c>
      <c r="B11" s="5">
        <f>0.5/3</f>
        <v>0.16666666666666666</v>
      </c>
      <c r="C11" t="inlineStr">
        <is>
          <t>GLO</t>
        </is>
      </c>
      <c r="D11" t="inlineStr">
        <is>
          <t>kilogram</t>
        </is>
      </c>
      <c r="F11" t="inlineStr">
        <is>
          <t>technosphere</t>
        </is>
      </c>
      <c r="H11" t="inlineStr">
        <is>
          <t>charger, for electric scooter</t>
        </is>
      </c>
    </row>
    <row r="12">
      <c r="A12" s="13" t="inlineStr">
        <is>
          <t>transport, freight, sea, container ship</t>
        </is>
      </c>
      <c r="B12" s="5">
        <f>15900*(B11/1000)</f>
        <v>2.65</v>
      </c>
      <c r="C12" t="inlineStr">
        <is>
          <t>GLO</t>
        </is>
      </c>
      <c r="D12" t="inlineStr">
        <is>
          <t>ton kilometer</t>
        </is>
      </c>
      <c r="F12" t="inlineStr">
        <is>
          <t>technosphere</t>
        </is>
      </c>
      <c r="H12" t="inlineStr">
        <is>
          <t>transport, freight, sea, container ship</t>
        </is>
      </c>
    </row>
    <row r="13">
      <c r="A13" s="13" t="inlineStr">
        <is>
          <t>market for transport, freight, lorry, unspecified</t>
        </is>
      </c>
      <c r="B13" s="5">
        <f>1000*(B11/1000)</f>
        <v>0.16666666666666666</v>
      </c>
      <c r="C13" t="inlineStr">
        <is>
          <t>RER</t>
        </is>
      </c>
      <c r="D13" t="inlineStr">
        <is>
          <t>ton kilometer</t>
        </is>
      </c>
      <c r="F13" t="inlineStr">
        <is>
          <t>technosphere</t>
        </is>
      </c>
      <c r="H13" t="inlineStr">
        <is>
          <t>transport, freight, lorry, unspecified</t>
        </is>
      </c>
    </row>
    <row r="14">
      <c r="A14" t="inlineStr">
        <is>
          <t>treatment of waste electric and electronic equipment, shredding</t>
        </is>
      </c>
      <c r="B14" s="5">
        <f>-1*B11</f>
        <v>-0.16666666666666666</v>
      </c>
      <c r="C14" t="inlineStr">
        <is>
          <t>GLO</t>
        </is>
      </c>
      <c r="D14" t="inlineStr">
        <is>
          <t>kilogram</t>
        </is>
      </c>
      <c r="F14" t="inlineStr">
        <is>
          <t>technosphere</t>
        </is>
      </c>
      <c r="H14" t="inlineStr">
        <is>
          <t>waste electric and electronic equipment</t>
        </is>
      </c>
    </row>
    <row r="15">
      <c r="B15" s="11" t="n"/>
    </row>
    <row r="16" ht="16" customHeight="1">
      <c r="A16" s="10" t="inlineStr">
        <is>
          <t>Activity</t>
        </is>
      </c>
      <c r="B16" s="8" t="inlineStr">
        <is>
          <t>charging station, 500W</t>
        </is>
      </c>
    </row>
    <row r="17">
      <c r="A17" t="inlineStr">
        <is>
          <t>location</t>
        </is>
      </c>
      <c r="B17" t="inlineStr">
        <is>
          <t>GLO</t>
        </is>
      </c>
    </row>
    <row r="18">
      <c r="A18" t="inlineStr">
        <is>
          <t>reference product</t>
        </is>
      </c>
      <c r="B18" t="inlineStr">
        <is>
          <t>charging station, 500W</t>
        </is>
      </c>
    </row>
    <row r="19">
      <c r="A19" t="inlineStr">
        <is>
          <t>type</t>
        </is>
      </c>
      <c r="B19" t="inlineStr">
        <is>
          <t>process</t>
        </is>
      </c>
    </row>
    <row r="20">
      <c r="A20" t="inlineStr">
        <is>
          <t>unit</t>
        </is>
      </c>
      <c r="B20" t="inlineStr">
        <is>
          <t>unit</t>
        </is>
      </c>
    </row>
    <row r="21">
      <c r="A21" t="inlineStr">
        <is>
          <t>source</t>
        </is>
      </c>
      <c r="B21" t="inlineStr">
        <is>
          <t>Sacchi R., Bauer C. Life cycle inventories for on-road vehicles. Paul Scherrer Institut, 2021.</t>
        </is>
      </c>
    </row>
    <row r="22">
      <c r="A22" t="inlineStr">
        <is>
          <t>comment</t>
        </is>
      </c>
      <c r="B22" t="inlineStr">
        <is>
          <t>Uses an electric scooter charger from ecoinvent 3.7 as a proxy. Shipping from Guangzhou to Amsterdam (15,900 km). Lorry within Europe (1,000 km).</t>
        </is>
      </c>
    </row>
    <row r="23" ht="16" customHeight="1">
      <c r="A23" s="10" t="inlineStr">
        <is>
          <t>Exchanges</t>
        </is>
      </c>
    </row>
    <row r="24">
      <c r="A24" t="inlineStr">
        <is>
          <t>name</t>
        </is>
      </c>
      <c r="B24" t="inlineStr">
        <is>
          <t>amount</t>
        </is>
      </c>
      <c r="C24" t="inlineStr">
        <is>
          <t>location</t>
        </is>
      </c>
      <c r="D24" t="inlineStr">
        <is>
          <t>unit</t>
        </is>
      </c>
      <c r="E24" t="inlineStr">
        <is>
          <t>categories</t>
        </is>
      </c>
      <c r="F24" t="inlineStr">
        <is>
          <t>type</t>
        </is>
      </c>
      <c r="G24" t="inlineStr">
        <is>
          <t>comment</t>
        </is>
      </c>
      <c r="H24" t="inlineStr">
        <is>
          <t>reference product</t>
        </is>
      </c>
    </row>
    <row r="25">
      <c r="A25" t="inlineStr">
        <is>
          <t>charging station, 500W</t>
        </is>
      </c>
      <c r="B25" t="n">
        <v>1</v>
      </c>
      <c r="C25" t="inlineStr">
        <is>
          <t>GLO</t>
        </is>
      </c>
      <c r="D25" t="inlineStr">
        <is>
          <t>unit</t>
        </is>
      </c>
      <c r="F25" t="inlineStr">
        <is>
          <t>production</t>
        </is>
      </c>
      <c r="H25" t="inlineStr">
        <is>
          <t>charging station, 500W</t>
        </is>
      </c>
    </row>
    <row r="26">
      <c r="A26" s="13" t="inlineStr">
        <is>
          <t>charger production, for electric scooter</t>
        </is>
      </c>
      <c r="B26" s="5" t="n">
        <v>0.5</v>
      </c>
      <c r="C26" t="inlineStr">
        <is>
          <t>GLO</t>
        </is>
      </c>
      <c r="D26" t="inlineStr">
        <is>
          <t>kilogram</t>
        </is>
      </c>
      <c r="F26" t="inlineStr">
        <is>
          <t>technosphere</t>
        </is>
      </c>
      <c r="H26" t="inlineStr">
        <is>
          <t>charger, for electric scooter</t>
        </is>
      </c>
    </row>
    <row r="27">
      <c r="A27" s="13" t="inlineStr">
        <is>
          <t>transport, freight, sea, container ship</t>
        </is>
      </c>
      <c r="B27" s="5">
        <f>15900*(B26/1000)</f>
        <v>7.95</v>
      </c>
      <c r="C27" t="inlineStr">
        <is>
          <t>GLO</t>
        </is>
      </c>
      <c r="D27" t="inlineStr">
        <is>
          <t>ton kilometer</t>
        </is>
      </c>
      <c r="F27" t="inlineStr">
        <is>
          <t>technosphere</t>
        </is>
      </c>
      <c r="H27" t="inlineStr">
        <is>
          <t>transport, freight, sea, container ship</t>
        </is>
      </c>
    </row>
    <row r="28">
      <c r="A28" s="13" t="inlineStr">
        <is>
          <t>market for transport, freight, lorry, unspecified</t>
        </is>
      </c>
      <c r="B28" s="5">
        <f>1000*(B26/1000)</f>
        <v>0.5</v>
      </c>
      <c r="C28" t="inlineStr">
        <is>
          <t>RER</t>
        </is>
      </c>
      <c r="D28" t="inlineStr">
        <is>
          <t>ton kilometer</t>
        </is>
      </c>
      <c r="F28" t="inlineStr">
        <is>
          <t>technosphere</t>
        </is>
      </c>
      <c r="H28" t="inlineStr">
        <is>
          <t>transport, freight, lorry, unspecified</t>
        </is>
      </c>
    </row>
    <row r="29">
      <c r="A29" t="inlineStr">
        <is>
          <t>treatment of waste electric and electronic equipment, shredding</t>
        </is>
      </c>
      <c r="B29" s="5">
        <f>-1*B26</f>
        <v>-0.5</v>
      </c>
      <c r="C29" t="inlineStr">
        <is>
          <t>GLO</t>
        </is>
      </c>
      <c r="D29" t="inlineStr">
        <is>
          <t>kilogram</t>
        </is>
      </c>
      <c r="F29" t="inlineStr">
        <is>
          <t>technosphere</t>
        </is>
      </c>
      <c r="H29" t="inlineStr">
        <is>
          <t>waste electric and electronic equipment</t>
        </is>
      </c>
    </row>
    <row r="30">
      <c r="B30" s="11" t="n"/>
    </row>
    <row r="31" ht="16" customHeight="1">
      <c r="A31" s="10" t="inlineStr">
        <is>
          <t>Activity</t>
        </is>
      </c>
      <c r="B31" s="8" t="inlineStr">
        <is>
          <t>charging station, 3kW</t>
        </is>
      </c>
    </row>
    <row r="32">
      <c r="A32" t="inlineStr">
        <is>
          <t>location</t>
        </is>
      </c>
      <c r="B32" t="inlineStr">
        <is>
          <t>GLO</t>
        </is>
      </c>
    </row>
    <row r="33">
      <c r="A33" t="inlineStr">
        <is>
          <t>reference product</t>
        </is>
      </c>
      <c r="B33" t="inlineStr">
        <is>
          <t>charging station, 3kW</t>
        </is>
      </c>
    </row>
    <row r="34">
      <c r="A34" t="inlineStr">
        <is>
          <t>type</t>
        </is>
      </c>
      <c r="B34" t="inlineStr">
        <is>
          <t>process</t>
        </is>
      </c>
    </row>
    <row r="35">
      <c r="A35" t="inlineStr">
        <is>
          <t>unit</t>
        </is>
      </c>
      <c r="B35" t="inlineStr">
        <is>
          <t>unit</t>
        </is>
      </c>
    </row>
    <row r="36">
      <c r="A36" t="inlineStr">
        <is>
          <t>source</t>
        </is>
      </c>
      <c r="B36" t="inlineStr">
        <is>
          <t>Sacchi R., Bauer C. Life cycle inventories for on-road vehicles. Paul Scherrer Institut, 2021.</t>
        </is>
      </c>
    </row>
    <row r="37">
      <c r="A37" t="inlineStr">
        <is>
          <t>comment</t>
        </is>
      </c>
      <c r="B37" t="inlineStr">
        <is>
          <t>Uses an electric scooter charger from ecoinvent 3.7 as a proxy.</t>
        </is>
      </c>
    </row>
    <row r="38" ht="16" customHeight="1">
      <c r="A38" s="10" t="inlineStr">
        <is>
          <t>Exchanges</t>
        </is>
      </c>
    </row>
    <row r="39">
      <c r="A39" t="inlineStr">
        <is>
          <t>name</t>
        </is>
      </c>
      <c r="B39" t="inlineStr">
        <is>
          <t>amount</t>
        </is>
      </c>
      <c r="C39" t="inlineStr">
        <is>
          <t>location</t>
        </is>
      </c>
      <c r="D39" t="inlineStr">
        <is>
          <t>unit</t>
        </is>
      </c>
      <c r="E39" t="inlineStr">
        <is>
          <t>categories</t>
        </is>
      </c>
      <c r="F39" t="inlineStr">
        <is>
          <t>type</t>
        </is>
      </c>
      <c r="G39" t="inlineStr">
        <is>
          <t>comment</t>
        </is>
      </c>
      <c r="H39" t="inlineStr">
        <is>
          <t>reference product</t>
        </is>
      </c>
    </row>
    <row r="40">
      <c r="A40" t="inlineStr">
        <is>
          <t>charging station, 3kW</t>
        </is>
      </c>
      <c r="B40" t="n">
        <v>1</v>
      </c>
      <c r="C40" t="inlineStr">
        <is>
          <t>GLO</t>
        </is>
      </c>
      <c r="D40" t="inlineStr">
        <is>
          <t>unit</t>
        </is>
      </c>
      <c r="F40" t="inlineStr">
        <is>
          <t>production</t>
        </is>
      </c>
      <c r="H40" t="inlineStr">
        <is>
          <t>charging station, 3kW</t>
        </is>
      </c>
    </row>
    <row r="41">
      <c r="A41" s="13" t="inlineStr">
        <is>
          <t>charger production, for electric scooter</t>
        </is>
      </c>
      <c r="B41" s="5" t="n">
        <v>3</v>
      </c>
      <c r="C41" t="inlineStr">
        <is>
          <t>GLO</t>
        </is>
      </c>
      <c r="D41" t="inlineStr">
        <is>
          <t>kilogram</t>
        </is>
      </c>
      <c r="F41" t="inlineStr">
        <is>
          <t>technosphere</t>
        </is>
      </c>
      <c r="H41" t="inlineStr">
        <is>
          <t>charger, for electric scooter</t>
        </is>
      </c>
    </row>
    <row r="42">
      <c r="A42" s="13" t="inlineStr">
        <is>
          <t>transport, freight, sea, container ship</t>
        </is>
      </c>
      <c r="B42" s="5">
        <f>15900*(B41/1000)</f>
        <v>47.7</v>
      </c>
      <c r="C42" t="inlineStr">
        <is>
          <t>GLO</t>
        </is>
      </c>
      <c r="D42" t="inlineStr">
        <is>
          <t>ton kilometer</t>
        </is>
      </c>
      <c r="F42" t="inlineStr">
        <is>
          <t>technosphere</t>
        </is>
      </c>
      <c r="H42" t="inlineStr">
        <is>
          <t>transport, freight, sea, container ship</t>
        </is>
      </c>
    </row>
    <row r="43">
      <c r="A43" s="13" t="inlineStr">
        <is>
          <t>market for transport, freight, lorry, unspecified</t>
        </is>
      </c>
      <c r="B43" s="5">
        <f>1000*(B41/1000)</f>
        <v>3</v>
      </c>
      <c r="C43" t="inlineStr">
        <is>
          <t>RER</t>
        </is>
      </c>
      <c r="D43" t="inlineStr">
        <is>
          <t>ton kilometer</t>
        </is>
      </c>
      <c r="F43" t="inlineStr">
        <is>
          <t>technosphere</t>
        </is>
      </c>
      <c r="H43" t="inlineStr">
        <is>
          <t>transport, freight, lorry, unspecified</t>
        </is>
      </c>
    </row>
    <row r="44">
      <c r="A44" t="inlineStr">
        <is>
          <t>treatment of waste electric and electronic equipment, shredding</t>
        </is>
      </c>
      <c r="B44" s="5">
        <f>-1*B41</f>
        <v>-3</v>
      </c>
      <c r="C44" t="inlineStr">
        <is>
          <t>GLO</t>
        </is>
      </c>
      <c r="D44" t="inlineStr">
        <is>
          <t>kilogram</t>
        </is>
      </c>
      <c r="F44" t="inlineStr">
        <is>
          <t>technosphere</t>
        </is>
      </c>
      <c r="H44" t="inlineStr">
        <is>
          <t>waste electric and electronic equipment</t>
        </is>
      </c>
    </row>
    <row r="45"/>
    <row r="46" ht="16" customHeight="1">
      <c r="A46" s="10" t="inlineStr">
        <is>
          <t>Activity</t>
        </is>
      </c>
      <c r="B46" s="10" t="inlineStr">
        <is>
          <t>Glider lightweighting</t>
        </is>
      </c>
    </row>
    <row r="47">
      <c r="A47" t="inlineStr">
        <is>
          <t>comment</t>
        </is>
      </c>
      <c r="B47" t="inlineStr">
        <is>
          <t xml:space="preserve">A report from the Steel Recycling Institute (Sebastian and Thimons 2017) indicates that every kilogram of steel in a car glider can be subsituted by 0.75 kilogram of AHSS or 0.68 kilogram of aluminium. Looking at the material composition of different car models three years apart, (Hottle et al. 2017) show that steel is in fact increasingly replaced by a combination of both aluminium and AHSS. However, they also show that the use of AHSS is generally preferred to aluminium as it allows greater mass reduction at a lower cost. Hence, we will consider that, for a given mass reduction to achieve, two-third comes from using AHSS, and one third comes from using aluminium. This means that one kilogram of mass reduction is achieved by replacing 3.57 kilogram of steel by: 1.76 kilogram of AHSS and 0.8 kilogram of aluminium.
</t>
        </is>
      </c>
    </row>
    <row r="48">
      <c r="A48" t="inlineStr">
        <is>
          <t>location</t>
        </is>
      </c>
      <c r="B48" t="inlineStr">
        <is>
          <t>GLO</t>
        </is>
      </c>
    </row>
    <row r="49">
      <c r="A49" t="inlineStr">
        <is>
          <t>production amount</t>
        </is>
      </c>
      <c r="B49" t="n">
        <v>1</v>
      </c>
    </row>
    <row r="50">
      <c r="A50" t="inlineStr">
        <is>
          <t>reference product</t>
        </is>
      </c>
      <c r="B50" t="inlineStr">
        <is>
          <t>Glider lightweighting</t>
        </is>
      </c>
    </row>
    <row r="51">
      <c r="A51" t="inlineStr">
        <is>
          <t>unit</t>
        </is>
      </c>
      <c r="B51" t="inlineStr">
        <is>
          <t>kilogram</t>
        </is>
      </c>
    </row>
    <row r="52" ht="16" customHeight="1">
      <c r="A52" s="10" t="inlineStr">
        <is>
          <t>Exchanges</t>
        </is>
      </c>
    </row>
    <row r="53">
      <c r="A53" t="inlineStr">
        <is>
          <t>name</t>
        </is>
      </c>
      <c r="B53" t="inlineStr">
        <is>
          <t>amount</t>
        </is>
      </c>
      <c r="C53" t="inlineStr">
        <is>
          <t>database</t>
        </is>
      </c>
      <c r="D53" t="inlineStr">
        <is>
          <t>location</t>
        </is>
      </c>
      <c r="E53" t="inlineStr">
        <is>
          <t>unit</t>
        </is>
      </c>
      <c r="F53" t="inlineStr">
        <is>
          <t>type</t>
        </is>
      </c>
      <c r="G53" t="inlineStr">
        <is>
          <t>reference product</t>
        </is>
      </c>
    </row>
    <row r="54">
      <c r="A54" t="inlineStr">
        <is>
          <t>Glider lightweighting</t>
        </is>
      </c>
      <c r="B54" t="n">
        <v>1</v>
      </c>
      <c r="C54" t="inlineStr">
        <is>
          <t>Car db</t>
        </is>
      </c>
      <c r="D54" t="inlineStr">
        <is>
          <t>GLO</t>
        </is>
      </c>
      <c r="E54" t="inlineStr">
        <is>
          <t>kilogram</t>
        </is>
      </c>
      <c r="F54" t="inlineStr">
        <is>
          <t>production</t>
        </is>
      </c>
      <c r="G54" t="inlineStr">
        <is>
          <t>Glider lightweighting</t>
        </is>
      </c>
    </row>
    <row r="55">
      <c r="A55" t="inlineStr">
        <is>
          <t>market for steel, low-alloyed, hot rolled</t>
        </is>
      </c>
      <c r="B55" t="n">
        <v>1.77</v>
      </c>
      <c r="C55" t="inlineStr">
        <is>
          <t>ecoinvent 3.5 cutoff</t>
        </is>
      </c>
      <c r="D55" t="inlineStr">
        <is>
          <t>GLO</t>
        </is>
      </c>
      <c r="E55" t="inlineStr">
        <is>
          <t>kilogram</t>
        </is>
      </c>
      <c r="F55" t="inlineStr">
        <is>
          <t>technosphere</t>
        </is>
      </c>
      <c r="G55" t="inlineStr">
        <is>
          <t>steel, low-alloyed, hot rolled</t>
        </is>
      </c>
    </row>
    <row r="56">
      <c r="A56" t="inlineStr">
        <is>
          <t>market for aluminium alloy, AlLi</t>
        </is>
      </c>
      <c r="B56" t="n">
        <v>0.8</v>
      </c>
      <c r="C56" t="inlineStr">
        <is>
          <t>ecoinvent 3.5 cutoff</t>
        </is>
      </c>
      <c r="D56" t="inlineStr">
        <is>
          <t>GLO</t>
        </is>
      </c>
      <c r="E56" t="inlineStr">
        <is>
          <t>kilogram</t>
        </is>
      </c>
      <c r="F56" t="inlineStr">
        <is>
          <t>technosphere</t>
        </is>
      </c>
      <c r="G56" t="inlineStr">
        <is>
          <t>aluminium alloy, AlLi</t>
        </is>
      </c>
    </row>
    <row r="57">
      <c r="A57" t="inlineStr">
        <is>
          <t>metal working, average for aluminium product manufacturing</t>
        </is>
      </c>
      <c r="B57" t="n">
        <v>0.8</v>
      </c>
      <c r="C57" t="inlineStr">
        <is>
          <t>ecoinvent 3.5 cutoff</t>
        </is>
      </c>
      <c r="D57" t="inlineStr">
        <is>
          <t>RER</t>
        </is>
      </c>
      <c r="E57" t="inlineStr">
        <is>
          <t>kilogram</t>
        </is>
      </c>
      <c r="F57" t="inlineStr">
        <is>
          <t>technosphere</t>
        </is>
      </c>
      <c r="G57" t="inlineStr">
        <is>
          <t>metal working, average for aluminium product manufacturing</t>
        </is>
      </c>
    </row>
    <row r="58">
      <c r="A58" t="inlineStr">
        <is>
          <t>market for steel, low-alloyed, hot rolled</t>
        </is>
      </c>
      <c r="B58" t="n">
        <v>-3.57</v>
      </c>
      <c r="C58" t="inlineStr">
        <is>
          <t>ecoinvent 3.5 cutoff</t>
        </is>
      </c>
      <c r="D58" t="inlineStr">
        <is>
          <t>GLO</t>
        </is>
      </c>
      <c r="E58" t="inlineStr">
        <is>
          <t>kilogram</t>
        </is>
      </c>
      <c r="F58" t="inlineStr">
        <is>
          <t>technosphere</t>
        </is>
      </c>
      <c r="G58" t="inlineStr">
        <is>
          <t>steel, low-alloyed, hot rolled</t>
        </is>
      </c>
    </row>
    <row r="59"/>
    <row r="60"/>
    <row r="61" ht="16" customHeight="1">
      <c r="A61" s="10" t="inlineStr">
        <is>
          <t>Activity</t>
        </is>
      </c>
      <c r="B61" s="10" t="inlineStr">
        <is>
          <t>electric bicycle production, without battery and motor</t>
        </is>
      </c>
    </row>
    <row r="62">
      <c r="A62" t="inlineStr">
        <is>
          <t>comment</t>
        </is>
      </c>
    </row>
    <row r="63">
      <c r="A63" t="inlineStr">
        <is>
          <t>location</t>
        </is>
      </c>
      <c r="B63" t="inlineStr">
        <is>
          <t>RER</t>
        </is>
      </c>
    </row>
    <row r="64">
      <c r="A64" t="inlineStr">
        <is>
          <t>production amount</t>
        </is>
      </c>
      <c r="B64" t="n">
        <v>1</v>
      </c>
    </row>
    <row r="65">
      <c r="A65" t="inlineStr">
        <is>
          <t>reference product</t>
        </is>
      </c>
      <c r="B65" t="inlineStr">
        <is>
          <t>electric bicycle, without battery and motor</t>
        </is>
      </c>
    </row>
    <row r="66">
      <c r="A66" t="inlineStr">
        <is>
          <t>unit</t>
        </is>
      </c>
      <c r="B66" t="inlineStr">
        <is>
          <t>unit</t>
        </is>
      </c>
    </row>
    <row r="67">
      <c r="A67" t="inlineStr">
        <is>
          <t>comment</t>
        </is>
      </c>
      <c r="B67" t="inlineStr">
        <is>
          <t>This is a copy of the ecoinvent dataset "electric bicycle production" where the battery and the electric motor have been removed.</t>
        </is>
      </c>
    </row>
    <row r="68" ht="16" customHeight="1">
      <c r="A68" s="10" t="inlineStr">
        <is>
          <t>Exchanges</t>
        </is>
      </c>
    </row>
    <row r="69">
      <c r="A69" t="inlineStr">
        <is>
          <t>name</t>
        </is>
      </c>
      <c r="B69" t="inlineStr">
        <is>
          <t>amount</t>
        </is>
      </c>
      <c r="C69" t="inlineStr">
        <is>
          <t>database</t>
        </is>
      </c>
      <c r="D69" t="inlineStr">
        <is>
          <t>location</t>
        </is>
      </c>
      <c r="E69" t="inlineStr">
        <is>
          <t>categories</t>
        </is>
      </c>
      <c r="F69" t="inlineStr">
        <is>
          <t>unit</t>
        </is>
      </c>
      <c r="G69" t="inlineStr">
        <is>
          <t>type</t>
        </is>
      </c>
      <c r="H69" t="inlineStr">
        <is>
          <t>reference product</t>
        </is>
      </c>
    </row>
    <row r="70">
      <c r="A70" t="inlineStr">
        <is>
          <t>electric bicycle production, without battery and motor</t>
        </is>
      </c>
      <c r="B70" t="n">
        <v>1</v>
      </c>
      <c r="C70" t="inlineStr">
        <is>
          <t>Car db</t>
        </is>
      </c>
      <c r="D70" t="inlineStr">
        <is>
          <t>RER</t>
        </is>
      </c>
      <c r="F70" t="inlineStr">
        <is>
          <t>unit</t>
        </is>
      </c>
      <c r="G70" t="inlineStr">
        <is>
          <t>production</t>
        </is>
      </c>
      <c r="H70" t="inlineStr">
        <is>
          <t>electric bicycle, without battery and motor</t>
        </is>
      </c>
    </row>
    <row r="71">
      <c r="A71" t="inlineStr">
        <is>
          <t>market for metal working factory</t>
        </is>
      </c>
      <c r="B71" t="n">
        <v>4.6e-10</v>
      </c>
      <c r="C71" t="inlineStr">
        <is>
          <t>ecoinvent 3.5 cutoff</t>
        </is>
      </c>
      <c r="D71" t="inlineStr">
        <is>
          <t>GLO</t>
        </is>
      </c>
      <c r="F71" t="inlineStr">
        <is>
          <t>unit</t>
        </is>
      </c>
      <c r="G71" t="inlineStr">
        <is>
          <t>technosphere</t>
        </is>
      </c>
      <c r="H71" t="inlineStr">
        <is>
          <t>metal working factory</t>
        </is>
      </c>
    </row>
    <row r="72">
      <c r="A72" t="inlineStr">
        <is>
          <t>market for metal working, average for steel product manufacturing</t>
        </is>
      </c>
      <c r="B72" t="n">
        <v>1</v>
      </c>
      <c r="C72" t="inlineStr">
        <is>
          <t>ecoinvent 3.5 cutoff</t>
        </is>
      </c>
      <c r="D72" t="inlineStr">
        <is>
          <t>GLO</t>
        </is>
      </c>
      <c r="F72" t="inlineStr">
        <is>
          <t>kilogram</t>
        </is>
      </c>
      <c r="G72" t="inlineStr">
        <is>
          <t>technosphere</t>
        </is>
      </c>
      <c r="H72" t="inlineStr">
        <is>
          <t>metal working, average for steel product manufacturing</t>
        </is>
      </c>
    </row>
    <row r="73">
      <c r="A73" t="inlineStr">
        <is>
          <t>market for steel, low-alloyed</t>
        </is>
      </c>
      <c r="B73" t="n">
        <v>1</v>
      </c>
      <c r="C73" t="inlineStr">
        <is>
          <t>ecoinvent 3.5 cutoff</t>
        </is>
      </c>
      <c r="D73" t="inlineStr">
        <is>
          <t>GLO</t>
        </is>
      </c>
      <c r="F73" t="inlineStr">
        <is>
          <t>kilogram</t>
        </is>
      </c>
      <c r="G73" t="inlineStr">
        <is>
          <t>technosphere</t>
        </is>
      </c>
      <c r="H73" t="inlineStr">
        <is>
          <t>steel, low-alloyed</t>
        </is>
      </c>
    </row>
    <row r="74">
      <c r="A74" t="inlineStr">
        <is>
          <t>market for polyethylene, high density, granulate</t>
        </is>
      </c>
      <c r="B74" t="n">
        <v>1.9575</v>
      </c>
      <c r="C74" t="inlineStr">
        <is>
          <t>ecoinvent 3.5 cutoff</t>
        </is>
      </c>
      <c r="D74" t="inlineStr">
        <is>
          <t>GLO</t>
        </is>
      </c>
      <c r="F74" t="inlineStr">
        <is>
          <t>kilogram</t>
        </is>
      </c>
      <c r="G74" t="inlineStr">
        <is>
          <t>technosphere</t>
        </is>
      </c>
      <c r="H74" t="inlineStr">
        <is>
          <t>polyethylene, high density, granulate</t>
        </is>
      </c>
    </row>
    <row r="75">
      <c r="A75" t="inlineStr">
        <is>
          <t>injection moulding</t>
        </is>
      </c>
      <c r="B75" t="n">
        <v>1.9575</v>
      </c>
      <c r="C75" t="inlineStr">
        <is>
          <t>ecoinvent 3.5 cutoff</t>
        </is>
      </c>
      <c r="D75" t="inlineStr">
        <is>
          <t>RER</t>
        </is>
      </c>
      <c r="F75" t="inlineStr">
        <is>
          <t>kilogram</t>
        </is>
      </c>
      <c r="G75" t="inlineStr">
        <is>
          <t>technosphere</t>
        </is>
      </c>
      <c r="H75" t="inlineStr">
        <is>
          <t>injection moulding</t>
        </is>
      </c>
    </row>
    <row r="76">
      <c r="A76" t="inlineStr">
        <is>
          <t>road vehicle factory construction</t>
        </is>
      </c>
      <c r="B76" s="7" t="n">
        <v>1.3227e-09</v>
      </c>
      <c r="C76" t="inlineStr">
        <is>
          <t>ecoinvent 3.5 cutoff</t>
        </is>
      </c>
      <c r="D76" t="inlineStr">
        <is>
          <t>RER</t>
        </is>
      </c>
      <c r="F76" t="inlineStr">
        <is>
          <t>unit</t>
        </is>
      </c>
      <c r="G76" t="inlineStr">
        <is>
          <t>technosphere</t>
        </is>
      </c>
      <c r="H76" t="inlineStr">
        <is>
          <t>road vehicle factory</t>
        </is>
      </c>
    </row>
    <row r="77">
      <c r="A77" t="inlineStr">
        <is>
          <t>market group for municipal solid waste</t>
        </is>
      </c>
      <c r="B77" t="n">
        <v>-4.5</v>
      </c>
      <c r="C77" t="inlineStr">
        <is>
          <t>ecoinvent 3.5 cutoff</t>
        </is>
      </c>
      <c r="D77" t="inlineStr">
        <is>
          <t>RER</t>
        </is>
      </c>
      <c r="F77" t="inlineStr">
        <is>
          <t>kilogram</t>
        </is>
      </c>
      <c r="G77" t="inlineStr">
        <is>
          <t>technosphere</t>
        </is>
      </c>
      <c r="H77" t="inlineStr">
        <is>
          <t>municipal solid waste</t>
        </is>
      </c>
    </row>
    <row r="78">
      <c r="A78" t="inlineStr">
        <is>
          <t>market group for heat, district or industrial, natural gas</t>
        </is>
      </c>
      <c r="B78" t="n">
        <v>13.58025</v>
      </c>
      <c r="C78" t="inlineStr">
        <is>
          <t>ecoinvent 3.5 cutoff</t>
        </is>
      </c>
      <c r="D78" t="inlineStr">
        <is>
          <t>RER</t>
        </is>
      </c>
      <c r="F78" t="inlineStr">
        <is>
          <t>megajoule</t>
        </is>
      </c>
      <c r="G78" t="inlineStr">
        <is>
          <t>technosphere</t>
        </is>
      </c>
      <c r="H78" t="inlineStr">
        <is>
          <t>heat, district or industrial, natural gas</t>
        </is>
      </c>
    </row>
    <row r="79">
      <c r="A79" t="inlineStr">
        <is>
          <t>market for aluminium, wrought alloy</t>
        </is>
      </c>
      <c r="B79" t="n">
        <v>5.1221</v>
      </c>
      <c r="C79" t="inlineStr">
        <is>
          <t>ecoinvent 3.5 cutoff</t>
        </is>
      </c>
      <c r="D79" t="inlineStr">
        <is>
          <t>GLO</t>
        </is>
      </c>
      <c r="F79" t="inlineStr">
        <is>
          <t>kilogram</t>
        </is>
      </c>
      <c r="G79" t="inlineStr">
        <is>
          <t>technosphere</t>
        </is>
      </c>
      <c r="H79" t="inlineStr">
        <is>
          <t>aluminium, wrought alloy</t>
        </is>
      </c>
    </row>
    <row r="80">
      <c r="A80" t="inlineStr">
        <is>
          <t>wire drawing, steel</t>
        </is>
      </c>
      <c r="B80" t="n">
        <v>0.3375</v>
      </c>
      <c r="C80" t="inlineStr">
        <is>
          <t>ecoinvent 3.5 cutoff</t>
        </is>
      </c>
      <c r="D80" t="inlineStr">
        <is>
          <t>RER</t>
        </is>
      </c>
      <c r="F80" t="inlineStr">
        <is>
          <t>kilogram</t>
        </is>
      </c>
      <c r="G80" t="inlineStr">
        <is>
          <t>technosphere</t>
        </is>
      </c>
      <c r="H80" t="inlineStr">
        <is>
          <t>wire drawing, steel</t>
        </is>
      </c>
    </row>
    <row r="81">
      <c r="A81" t="inlineStr">
        <is>
          <t>market group for electricity, medium voltage</t>
        </is>
      </c>
      <c r="B81" t="n">
        <v>6.8902</v>
      </c>
      <c r="C81" t="inlineStr">
        <is>
          <t>ecoinvent 3.5 cutoff</t>
        </is>
      </c>
      <c r="D81" t="inlineStr">
        <is>
          <t>RER</t>
        </is>
      </c>
      <c r="F81" t="inlineStr">
        <is>
          <t>kilowatt hour</t>
        </is>
      </c>
      <c r="G81" t="inlineStr">
        <is>
          <t>technosphere</t>
        </is>
      </c>
      <c r="H81" t="inlineStr">
        <is>
          <t>electricity, medium voltage</t>
        </is>
      </c>
    </row>
    <row r="82">
      <c r="A82" t="inlineStr">
        <is>
          <t>market for steel, low-alloyed, hot rolled</t>
        </is>
      </c>
      <c r="B82" t="n">
        <v>4.9025</v>
      </c>
      <c r="C82" t="inlineStr">
        <is>
          <t>ecoinvent 3.5 cutoff</t>
        </is>
      </c>
      <c r="D82" t="inlineStr">
        <is>
          <t>GLO</t>
        </is>
      </c>
      <c r="F82" t="inlineStr">
        <is>
          <t>kilogram</t>
        </is>
      </c>
      <c r="G82" t="inlineStr">
        <is>
          <t>technosphere</t>
        </is>
      </c>
      <c r="H82" t="inlineStr">
        <is>
          <t>steel, low-alloyed, hot rolled</t>
        </is>
      </c>
    </row>
    <row r="83">
      <c r="A83" t="inlineStr">
        <is>
          <t>section bar extrusion, aluminium</t>
        </is>
      </c>
      <c r="B83" t="n">
        <v>3.7663</v>
      </c>
      <c r="C83" t="inlineStr">
        <is>
          <t>ecoinvent 3.5 cutoff</t>
        </is>
      </c>
      <c r="D83" t="inlineStr">
        <is>
          <t>RER</t>
        </is>
      </c>
      <c r="F83" t="inlineStr">
        <is>
          <t>kilogram</t>
        </is>
      </c>
      <c r="G83" t="inlineStr">
        <is>
          <t>technosphere</t>
        </is>
      </c>
      <c r="H83" t="inlineStr">
        <is>
          <t>section bar extrusion, aluminium</t>
        </is>
      </c>
    </row>
    <row r="84">
      <c r="A84" t="inlineStr">
        <is>
          <t>market group for heat, district or industrial, other than natural gas</t>
        </is>
      </c>
      <c r="B84" t="n">
        <v>0.192698</v>
      </c>
      <c r="C84" t="inlineStr">
        <is>
          <t>ecoinvent 3.5 cutoff</t>
        </is>
      </c>
      <c r="D84" t="inlineStr">
        <is>
          <t>RER</t>
        </is>
      </c>
      <c r="F84" t="inlineStr">
        <is>
          <t>megajoule</t>
        </is>
      </c>
      <c r="G84" t="inlineStr">
        <is>
          <t>technosphere</t>
        </is>
      </c>
      <c r="H84" t="inlineStr">
        <is>
          <t>heat, district or industrial, other than natural gas</t>
        </is>
      </c>
    </row>
    <row r="85">
      <c r="A85" t="inlineStr">
        <is>
          <t>market group for tap water</t>
        </is>
      </c>
      <c r="B85" t="n">
        <v>0.744</v>
      </c>
      <c r="C85" t="inlineStr">
        <is>
          <t>ecoinvent 3.5 cutoff</t>
        </is>
      </c>
      <c r="D85" t="inlineStr">
        <is>
          <t>RER</t>
        </is>
      </c>
      <c r="F85" t="inlineStr">
        <is>
          <t>kilogram</t>
        </is>
      </c>
      <c r="G85" t="inlineStr">
        <is>
          <t>technosphere</t>
        </is>
      </c>
      <c r="H85" t="inlineStr">
        <is>
          <t>tap water</t>
        </is>
      </c>
    </row>
    <row r="86">
      <c r="A86" t="inlineStr">
        <is>
          <t>market for aluminium, cast alloy</t>
        </is>
      </c>
      <c r="B86" t="n">
        <v>2.4104</v>
      </c>
      <c r="C86" t="inlineStr">
        <is>
          <t>ecoinvent 3.5 cutoff</t>
        </is>
      </c>
      <c r="D86" t="inlineStr">
        <is>
          <t>GLO</t>
        </is>
      </c>
      <c r="F86" t="inlineStr">
        <is>
          <t>kilogram</t>
        </is>
      </c>
      <c r="G86" t="inlineStr">
        <is>
          <t>technosphere</t>
        </is>
      </c>
      <c r="H86" t="inlineStr">
        <is>
          <t>aluminium, cast alloy</t>
        </is>
      </c>
    </row>
    <row r="87">
      <c r="A87" t="inlineStr">
        <is>
          <t>market for polyurethane, flexible foam</t>
        </is>
      </c>
      <c r="B87" t="n">
        <v>0.03</v>
      </c>
      <c r="C87" t="inlineStr">
        <is>
          <t>ecoinvent 3.5 cutoff</t>
        </is>
      </c>
      <c r="D87" t="inlineStr">
        <is>
          <t>RER</t>
        </is>
      </c>
      <c r="F87" t="inlineStr">
        <is>
          <t>kilogram</t>
        </is>
      </c>
      <c r="G87" t="inlineStr">
        <is>
          <t>technosphere</t>
        </is>
      </c>
      <c r="H87" t="inlineStr">
        <is>
          <t>polyurethane, flexible foam</t>
        </is>
      </c>
    </row>
    <row r="88">
      <c r="A88" t="inlineStr">
        <is>
          <t>market for synthetic rubber</t>
        </is>
      </c>
      <c r="B88" t="n">
        <v>0.5625</v>
      </c>
      <c r="C88" t="inlineStr">
        <is>
          <t>ecoinvent 3.5 cutoff</t>
        </is>
      </c>
      <c r="D88" t="inlineStr">
        <is>
          <t>GLO</t>
        </is>
      </c>
      <c r="F88" t="inlineStr">
        <is>
          <t>kilogram</t>
        </is>
      </c>
      <c r="G88" t="inlineStr">
        <is>
          <t>technosphere</t>
        </is>
      </c>
      <c r="H88" t="inlineStr">
        <is>
          <t>synthetic rubber</t>
        </is>
      </c>
    </row>
    <row r="89">
      <c r="A89" t="inlineStr">
        <is>
          <t>market for steel, chromium steel 18/8, hot rolled</t>
        </is>
      </c>
      <c r="B89" t="n">
        <v>1.59</v>
      </c>
      <c r="C89" t="inlineStr">
        <is>
          <t>ecoinvent 3.5 cutoff</t>
        </is>
      </c>
      <c r="D89" t="inlineStr">
        <is>
          <t>GLO</t>
        </is>
      </c>
      <c r="F89" t="inlineStr">
        <is>
          <t>kilogram</t>
        </is>
      </c>
      <c r="G89" t="inlineStr">
        <is>
          <t>technosphere</t>
        </is>
      </c>
      <c r="H89" t="inlineStr">
        <is>
          <t>steel, chromium steel 18/8, hot rolled</t>
        </is>
      </c>
    </row>
    <row r="90">
      <c r="A90" t="inlineStr">
        <is>
          <t>powder coating, aluminium sheet</t>
        </is>
      </c>
      <c r="B90" t="n">
        <v>0.35</v>
      </c>
      <c r="C90" t="inlineStr">
        <is>
          <t>ecoinvent 3.5 cutoff</t>
        </is>
      </c>
      <c r="D90" t="inlineStr">
        <is>
          <t>RER</t>
        </is>
      </c>
      <c r="F90" t="inlineStr">
        <is>
          <t>square meter</t>
        </is>
      </c>
      <c r="G90" t="inlineStr">
        <is>
          <t>technosphere</t>
        </is>
      </c>
      <c r="H90" t="inlineStr">
        <is>
          <t>powder coat, aluminium sheet</t>
        </is>
      </c>
    </row>
    <row r="91">
      <c r="A91" t="inlineStr">
        <is>
          <t>chromium steel turning, average, conventional</t>
        </is>
      </c>
      <c r="B91" t="n">
        <v>0.159</v>
      </c>
      <c r="C91" t="inlineStr">
        <is>
          <t>ecoinvent 3.5 cutoff</t>
        </is>
      </c>
      <c r="D91" t="inlineStr">
        <is>
          <t>RER</t>
        </is>
      </c>
      <c r="F91" t="inlineStr">
        <is>
          <t>kilogram</t>
        </is>
      </c>
      <c r="G91" t="inlineStr">
        <is>
          <t>technosphere</t>
        </is>
      </c>
      <c r="H91" t="inlineStr">
        <is>
          <t>chromium steel removed by turning, average, conventional</t>
        </is>
      </c>
    </row>
    <row r="92">
      <c r="A92" t="inlineStr">
        <is>
          <t>welding, arc, aluminium</t>
        </is>
      </c>
      <c r="B92" t="n">
        <v>0.75</v>
      </c>
      <c r="C92" t="inlineStr">
        <is>
          <t>ecoinvent 3.5 cutoff</t>
        </is>
      </c>
      <c r="D92" t="inlineStr">
        <is>
          <t>RER</t>
        </is>
      </c>
      <c r="F92" t="inlineStr">
        <is>
          <t>meter</t>
        </is>
      </c>
      <c r="G92" t="inlineStr">
        <is>
          <t>technosphere</t>
        </is>
      </c>
      <c r="H92" t="inlineStr">
        <is>
          <t>welding, arc, aluminium</t>
        </is>
      </c>
    </row>
    <row r="93">
      <c r="A93" t="inlineStr">
        <is>
          <t>market for wastewater, average</t>
        </is>
      </c>
      <c r="B93" t="n">
        <v>-0.000671370317204224</v>
      </c>
      <c r="C93" t="inlineStr">
        <is>
          <t>ecoinvent 3.5 cutoff</t>
        </is>
      </c>
      <c r="D93" t="inlineStr">
        <is>
          <t>Europe without Switzerland</t>
        </is>
      </c>
      <c r="F93" t="inlineStr">
        <is>
          <t>cubic meter</t>
        </is>
      </c>
      <c r="G93" t="inlineStr">
        <is>
          <t>technosphere</t>
        </is>
      </c>
      <c r="H93" t="inlineStr">
        <is>
          <t>wastewater, average</t>
        </is>
      </c>
    </row>
    <row r="94">
      <c r="A94" t="inlineStr">
        <is>
          <t>market for wastewater, average</t>
        </is>
      </c>
      <c r="B94" s="7" t="n">
        <v>-7.26296827957754e-05</v>
      </c>
      <c r="C94" t="inlineStr">
        <is>
          <t>ecoinvent 3.5 cutoff</t>
        </is>
      </c>
      <c r="D94" t="inlineStr">
        <is>
          <t>CH</t>
        </is>
      </c>
      <c r="F94" t="inlineStr">
        <is>
          <t>cubic meter</t>
        </is>
      </c>
      <c r="G94" t="inlineStr">
        <is>
          <t>technosphere</t>
        </is>
      </c>
      <c r="H94" t="inlineStr">
        <is>
          <t>wastewater, average</t>
        </is>
      </c>
    </row>
    <row r="95">
      <c r="A95" t="inlineStr">
        <is>
          <t>Water</t>
        </is>
      </c>
      <c r="B95" t="n">
        <v>0.0001116</v>
      </c>
      <c r="C95" t="inlineStr">
        <is>
          <t>biosphere3</t>
        </is>
      </c>
      <c r="E95" t="inlineStr">
        <is>
          <t>air</t>
        </is>
      </c>
      <c r="F95" t="inlineStr">
        <is>
          <t>cubic meter</t>
        </is>
      </c>
      <c r="G95" t="inlineStr">
        <is>
          <t>biosphere</t>
        </is>
      </c>
    </row>
    <row r="96"/>
    <row r="97"/>
    <row r="98" ht="16" customHeight="1">
      <c r="A98" s="10" t="inlineStr">
        <is>
          <t>Activity</t>
        </is>
      </c>
      <c r="B98" s="10" t="inlineStr">
        <is>
          <t>maintenance, electric bicycle, without battery</t>
        </is>
      </c>
    </row>
    <row r="99">
      <c r="A99" t="inlineStr">
        <is>
          <t>comment</t>
        </is>
      </c>
    </row>
    <row r="100">
      <c r="A100" t="inlineStr">
        <is>
          <t>location</t>
        </is>
      </c>
      <c r="B100" t="inlineStr">
        <is>
          <t>CH</t>
        </is>
      </c>
    </row>
    <row r="101">
      <c r="A101" t="inlineStr">
        <is>
          <t>production amount</t>
        </is>
      </c>
      <c r="B101" t="n">
        <v>1</v>
      </c>
    </row>
    <row r="102">
      <c r="A102" t="inlineStr">
        <is>
          <t>reference product</t>
        </is>
      </c>
      <c r="B102" t="inlineStr">
        <is>
          <t>maintenance, electric bicycle, without battery</t>
        </is>
      </c>
    </row>
    <row r="103">
      <c r="A103" t="inlineStr">
        <is>
          <t>unit</t>
        </is>
      </c>
      <c r="B103" t="inlineStr">
        <is>
          <t>unit</t>
        </is>
      </c>
    </row>
    <row r="104">
      <c r="A104" t="inlineStr">
        <is>
          <t>comment</t>
        </is>
      </c>
      <c r="B104" t="inlineStr">
        <is>
          <t>This is a copy of the ecoinvent dataset "maintenance, electric bicycle" where the battery replacement and treatment has been removed.</t>
        </is>
      </c>
    </row>
    <row r="105" ht="16" customHeight="1">
      <c r="A105" s="10" t="inlineStr">
        <is>
          <t>Exchanges</t>
        </is>
      </c>
    </row>
    <row r="106">
      <c r="A106" t="inlineStr">
        <is>
          <t>name</t>
        </is>
      </c>
      <c r="B106" t="inlineStr">
        <is>
          <t>amount</t>
        </is>
      </c>
      <c r="C106" t="inlineStr">
        <is>
          <t>database</t>
        </is>
      </c>
      <c r="D106" t="inlineStr">
        <is>
          <t>location</t>
        </is>
      </c>
      <c r="E106" t="inlineStr">
        <is>
          <t>categories</t>
        </is>
      </c>
      <c r="F106" t="inlineStr">
        <is>
          <t>unit</t>
        </is>
      </c>
      <c r="G106" t="inlineStr">
        <is>
          <t>type</t>
        </is>
      </c>
      <c r="H106" t="inlineStr">
        <is>
          <t>reference product</t>
        </is>
      </c>
    </row>
    <row r="107">
      <c r="A107" t="inlineStr">
        <is>
          <t>maintenance, electric bicycle, without battery</t>
        </is>
      </c>
      <c r="B107" t="n">
        <v>1</v>
      </c>
      <c r="C107" t="inlineStr">
        <is>
          <t>Car db</t>
        </is>
      </c>
      <c r="D107" t="inlineStr">
        <is>
          <t>CH</t>
        </is>
      </c>
      <c r="F107" t="inlineStr">
        <is>
          <t>unit</t>
        </is>
      </c>
      <c r="G107" t="inlineStr">
        <is>
          <t>production</t>
        </is>
      </c>
      <c r="H107" t="inlineStr">
        <is>
          <t>maintenance, electric bicycle, without battery</t>
        </is>
      </c>
    </row>
    <row r="108">
      <c r="A108" t="inlineStr">
        <is>
          <t>market for aluminium alloy, AlMg3</t>
        </is>
      </c>
      <c r="B108" t="n">
        <v>0.37662</v>
      </c>
      <c r="C108" t="inlineStr">
        <is>
          <t>ecoinvent</t>
        </is>
      </c>
      <c r="D108" t="inlineStr">
        <is>
          <t>GLO</t>
        </is>
      </c>
      <c r="F108" t="inlineStr">
        <is>
          <t>kilogram</t>
        </is>
      </c>
      <c r="G108" t="inlineStr">
        <is>
          <t>technosphere</t>
        </is>
      </c>
      <c r="H108" t="inlineStr">
        <is>
          <t>aluminium alloy, AlMg3</t>
        </is>
      </c>
    </row>
    <row r="109">
      <c r="A109" t="inlineStr">
        <is>
          <t>chromium steel turning, average, conventional</t>
        </is>
      </c>
      <c r="B109" t="n">
        <v>0.22825</v>
      </c>
      <c r="C109" t="inlineStr">
        <is>
          <t>ecoinvent</t>
        </is>
      </c>
      <c r="D109" t="inlineStr">
        <is>
          <t>RER</t>
        </is>
      </c>
      <c r="F109" t="inlineStr">
        <is>
          <t>kilogram</t>
        </is>
      </c>
      <c r="G109" t="inlineStr">
        <is>
          <t>technosphere</t>
        </is>
      </c>
      <c r="H109" t="inlineStr">
        <is>
          <t>chromium steel removed by turning, average, conventional</t>
        </is>
      </c>
    </row>
    <row r="110">
      <c r="A110" t="inlineStr">
        <is>
          <t>market for waste plastic, mixture</t>
        </is>
      </c>
      <c r="B110" t="n">
        <v>-1.0088</v>
      </c>
      <c r="C110" t="inlineStr">
        <is>
          <t>ecoinvent</t>
        </is>
      </c>
      <c r="D110" t="inlineStr">
        <is>
          <t>CH</t>
        </is>
      </c>
      <c r="F110" t="inlineStr">
        <is>
          <t>kilogram</t>
        </is>
      </c>
      <c r="G110" t="inlineStr">
        <is>
          <t>technosphere</t>
        </is>
      </c>
      <c r="H110" t="inlineStr">
        <is>
          <t>waste plastic, mixture</t>
        </is>
      </c>
    </row>
    <row r="111">
      <c r="A111" t="inlineStr">
        <is>
          <t>injection moulding</t>
        </is>
      </c>
      <c r="B111" t="n">
        <v>0.97875</v>
      </c>
      <c r="C111" t="inlineStr">
        <is>
          <t>ecoinvent</t>
        </is>
      </c>
      <c r="D111" t="inlineStr">
        <is>
          <t>RER</t>
        </is>
      </c>
      <c r="F111" t="inlineStr">
        <is>
          <t>kilogram</t>
        </is>
      </c>
      <c r="G111" t="inlineStr">
        <is>
          <t>technosphere</t>
        </is>
      </c>
      <c r="H111" t="inlineStr">
        <is>
          <t>injection moulding</t>
        </is>
      </c>
    </row>
    <row r="112">
      <c r="A112" t="inlineStr">
        <is>
          <t>market for synthetic rubber</t>
        </is>
      </c>
      <c r="B112" t="n">
        <v>1.6875</v>
      </c>
      <c r="C112" t="inlineStr">
        <is>
          <t>ecoinvent</t>
        </is>
      </c>
      <c r="D112" t="inlineStr">
        <is>
          <t>GLO</t>
        </is>
      </c>
      <c r="F112" t="inlineStr">
        <is>
          <t>kilogram</t>
        </is>
      </c>
      <c r="G112" t="inlineStr">
        <is>
          <t>technosphere</t>
        </is>
      </c>
      <c r="H112" t="inlineStr">
        <is>
          <t>synthetic rubber</t>
        </is>
      </c>
    </row>
    <row r="113">
      <c r="A113" t="inlineStr">
        <is>
          <t>market for polyurethane, flexible foam</t>
        </is>
      </c>
      <c r="B113" t="n">
        <v>0.03</v>
      </c>
      <c r="C113" t="inlineStr">
        <is>
          <t>ecoinvent</t>
        </is>
      </c>
      <c r="D113" t="inlineStr">
        <is>
          <t>RER</t>
        </is>
      </c>
      <c r="F113" t="inlineStr">
        <is>
          <t>kilogram</t>
        </is>
      </c>
      <c r="G113" t="inlineStr">
        <is>
          <t>technosphere</t>
        </is>
      </c>
      <c r="H113" t="inlineStr">
        <is>
          <t>polyurethane, flexible foam</t>
        </is>
      </c>
    </row>
    <row r="114">
      <c r="A114" t="inlineStr">
        <is>
          <t>market for polyethylene, high density, granulate</t>
        </is>
      </c>
      <c r="B114" t="n">
        <v>0.97875</v>
      </c>
      <c r="C114" t="inlineStr">
        <is>
          <t>ecoinvent</t>
        </is>
      </c>
      <c r="D114" t="inlineStr">
        <is>
          <t>GLO</t>
        </is>
      </c>
      <c r="F114" t="inlineStr">
        <is>
          <t>kilogram</t>
        </is>
      </c>
      <c r="G114" t="inlineStr">
        <is>
          <t>technosphere</t>
        </is>
      </c>
      <c r="H114" t="inlineStr">
        <is>
          <t>polyethylene, high density, granulate</t>
        </is>
      </c>
    </row>
    <row r="115">
      <c r="A115" t="inlineStr">
        <is>
          <t>market for waste rubber, unspecified</t>
        </is>
      </c>
      <c r="B115" t="n">
        <v>-0.84375</v>
      </c>
      <c r="C115" t="inlineStr">
        <is>
          <t>ecoinvent</t>
        </is>
      </c>
      <c r="D115" t="inlineStr">
        <is>
          <t>CH</t>
        </is>
      </c>
      <c r="F115" t="inlineStr">
        <is>
          <t>kilogram</t>
        </is>
      </c>
      <c r="G115" t="inlineStr">
        <is>
          <t>technosphere</t>
        </is>
      </c>
      <c r="H115" t="inlineStr">
        <is>
          <t>waste rubber, unspecified</t>
        </is>
      </c>
    </row>
    <row r="116">
      <c r="A116" t="inlineStr">
        <is>
          <t>market for tap water</t>
        </is>
      </c>
      <c r="B116" t="n">
        <v>0.07439999999999999</v>
      </c>
      <c r="C116" t="inlineStr">
        <is>
          <t>ecoinvent</t>
        </is>
      </c>
      <c r="D116" t="inlineStr">
        <is>
          <t>CH</t>
        </is>
      </c>
      <c r="F116" t="inlineStr">
        <is>
          <t>kilogram</t>
        </is>
      </c>
      <c r="G116" t="inlineStr">
        <is>
          <t>technosphere</t>
        </is>
      </c>
      <c r="H116" t="inlineStr">
        <is>
          <t>tap water</t>
        </is>
      </c>
    </row>
    <row r="117">
      <c r="A117" t="inlineStr">
        <is>
          <t>market for steel, low-alloyed, hot rolled</t>
        </is>
      </c>
      <c r="B117" t="n">
        <v>0.22825</v>
      </c>
      <c r="C117" t="inlineStr">
        <is>
          <t>ecoinvent</t>
        </is>
      </c>
      <c r="D117" t="inlineStr">
        <is>
          <t>GLO</t>
        </is>
      </c>
      <c r="F117" t="inlineStr">
        <is>
          <t>kilogram</t>
        </is>
      </c>
      <c r="G117" t="inlineStr">
        <is>
          <t>technosphere</t>
        </is>
      </c>
      <c r="H117" t="inlineStr">
        <is>
          <t>steel, low-alloyed, hot rolled</t>
        </is>
      </c>
    </row>
    <row r="118">
      <c r="A118" t="inlineStr">
        <is>
          <t>section bar extrusion, aluminium</t>
        </is>
      </c>
      <c r="B118" t="n">
        <v>0.37662</v>
      </c>
      <c r="C118" t="inlineStr">
        <is>
          <t>ecoinvent</t>
        </is>
      </c>
      <c r="D118" t="inlineStr">
        <is>
          <t>RER</t>
        </is>
      </c>
      <c r="F118" t="inlineStr">
        <is>
          <t>kilogram</t>
        </is>
      </c>
      <c r="G118" t="inlineStr">
        <is>
          <t>technosphere</t>
        </is>
      </c>
      <c r="H118" t="inlineStr">
        <is>
          <t>section bar extrusion, aluminium</t>
        </is>
      </c>
    </row>
    <row r="119">
      <c r="A119" t="inlineStr">
        <is>
          <t>Water</t>
        </is>
      </c>
      <c r="B119" s="7" t="n">
        <v>6.324e-05</v>
      </c>
      <c r="C119" t="inlineStr">
        <is>
          <t>biosphere3</t>
        </is>
      </c>
      <c r="E119" t="inlineStr">
        <is>
          <t>water</t>
        </is>
      </c>
      <c r="F119" t="inlineStr">
        <is>
          <t>cubic meter</t>
        </is>
      </c>
      <c r="G119" t="inlineStr">
        <is>
          <t>biosphere</t>
        </is>
      </c>
    </row>
    <row r="120">
      <c r="A120" t="inlineStr">
        <is>
          <t>Water</t>
        </is>
      </c>
      <c r="B120" s="7" t="n">
        <v>1.116e-05</v>
      </c>
      <c r="C120" t="inlineStr">
        <is>
          <t>biosphere3</t>
        </is>
      </c>
      <c r="E120" t="inlineStr">
        <is>
          <t>air</t>
        </is>
      </c>
      <c r="F120" t="inlineStr">
        <is>
          <t>cubic meter</t>
        </is>
      </c>
      <c r="G120" t="inlineStr">
        <is>
          <t>biosphere</t>
        </is>
      </c>
    </row>
    <row r="121"/>
    <row r="122" ht="16" customHeight="1">
      <c r="A122" s="10" t="inlineStr">
        <is>
          <t>Activity</t>
        </is>
      </c>
      <c r="B122" s="21" t="inlineStr">
        <is>
          <t>fuel supply for gasoline vehicles</t>
        </is>
      </c>
    </row>
    <row r="123">
      <c r="A123" t="inlineStr">
        <is>
          <t>location</t>
        </is>
      </c>
      <c r="B123" s="7" t="inlineStr">
        <is>
          <t>CH</t>
        </is>
      </c>
    </row>
    <row r="124">
      <c r="A124" t="inlineStr">
        <is>
          <t>production amount</t>
        </is>
      </c>
      <c r="B124" s="7" t="n">
        <v>1</v>
      </c>
    </row>
    <row r="125" ht="16" customHeight="1">
      <c r="A125" t="inlineStr">
        <is>
          <t>reference product</t>
        </is>
      </c>
      <c r="B125" s="22" t="inlineStr">
        <is>
          <t>gasoline blend</t>
        </is>
      </c>
    </row>
    <row r="126">
      <c r="A126" t="inlineStr">
        <is>
          <t>source</t>
        </is>
      </c>
      <c r="B126" s="7" t="inlineStr">
        <is>
          <t>IEA’s Extended World Energy Balances database for biofuel share in blend</t>
        </is>
      </c>
    </row>
    <row r="127">
      <c r="A127" t="inlineStr">
        <is>
          <t>type</t>
        </is>
      </c>
      <c r="B127" s="7" t="inlineStr">
        <is>
          <t>process</t>
        </is>
      </c>
    </row>
    <row r="128">
      <c r="A128" t="inlineStr">
        <is>
          <t>unit</t>
        </is>
      </c>
      <c r="B128" s="7" t="inlineStr">
        <is>
          <t>kilogram</t>
        </is>
      </c>
    </row>
    <row r="129" ht="16" customHeight="1">
      <c r="A129" s="10" t="inlineStr">
        <is>
          <t>Exchanges</t>
        </is>
      </c>
      <c r="B129" s="7" t="n"/>
    </row>
    <row r="130">
      <c r="A130" t="inlineStr">
        <is>
          <t>name</t>
        </is>
      </c>
      <c r="B130" s="7" t="inlineStr">
        <is>
          <t>amount</t>
        </is>
      </c>
      <c r="C130" t="inlineStr">
        <is>
          <t>location</t>
        </is>
      </c>
      <c r="D130" t="inlineStr">
        <is>
          <t>unit</t>
        </is>
      </c>
      <c r="E130" t="inlineStr">
        <is>
          <t>categories</t>
        </is>
      </c>
      <c r="F130" t="inlineStr">
        <is>
          <t>type</t>
        </is>
      </c>
      <c r="G130" t="inlineStr">
        <is>
          <t>reference product</t>
        </is>
      </c>
    </row>
    <row r="131">
      <c r="A131" t="inlineStr">
        <is>
          <t>fuel supply for gasoline vehicles</t>
        </is>
      </c>
      <c r="B131" s="7" t="n">
        <v>1</v>
      </c>
      <c r="C131" t="inlineStr">
        <is>
          <t>CH</t>
        </is>
      </c>
      <c r="D131" t="inlineStr">
        <is>
          <t>kilogram</t>
        </is>
      </c>
      <c r="F131" t="inlineStr">
        <is>
          <t>production</t>
        </is>
      </c>
      <c r="G131" t="inlineStr">
        <is>
          <t>gasoline blend</t>
        </is>
      </c>
    </row>
    <row r="132">
      <c r="A132" t="inlineStr">
        <is>
          <t>Ethanol, from wheat straw, at fuelling station</t>
        </is>
      </c>
      <c r="B132" s="7" t="n">
        <v>0.012</v>
      </c>
      <c r="C132" t="inlineStr">
        <is>
          <t>RER</t>
        </is>
      </c>
      <c r="D132" t="inlineStr">
        <is>
          <t>kilogram</t>
        </is>
      </c>
      <c r="F132" t="inlineStr">
        <is>
          <t>technosphere</t>
        </is>
      </c>
      <c r="G132" t="inlineStr">
        <is>
          <t>ethanol, without water, in 99.7% solution state, vehicle grade</t>
        </is>
      </c>
    </row>
    <row r="133">
      <c r="A133" t="inlineStr">
        <is>
          <t>market for petrol, low-sulfur</t>
        </is>
      </c>
      <c r="B133" s="7">
        <f>1-B132</f>
        <v>0.98799999999999999</v>
      </c>
      <c r="C133" t="inlineStr">
        <is>
          <t>CH</t>
        </is>
      </c>
      <c r="D133" t="inlineStr">
        <is>
          <t>kilogram</t>
        </is>
      </c>
      <c r="F133" t="inlineStr">
        <is>
          <t>technosphere</t>
        </is>
      </c>
      <c r="G133" t="inlineStr">
        <is>
          <t>petrol, low-sulfur</t>
        </is>
      </c>
    </row>
    <row r="134"/>
    <row r="135"/>
    <row r="136" ht="16" customHeight="1">
      <c r="A136" s="10" t="inlineStr">
        <is>
          <t>Activity</t>
        </is>
      </c>
      <c r="B136" s="10" t="inlineStr">
        <is>
          <t>electric cargo bicycle production, without battery and motor</t>
        </is>
      </c>
    </row>
    <row r="137">
      <c r="A137" t="inlineStr">
        <is>
          <t>comment</t>
        </is>
      </c>
    </row>
    <row r="138">
      <c r="A138" t="inlineStr">
        <is>
          <t>location</t>
        </is>
      </c>
      <c r="B138" t="inlineStr">
        <is>
          <t>RER</t>
        </is>
      </c>
    </row>
    <row r="139">
      <c r="A139" t="inlineStr">
        <is>
          <t>production amount</t>
        </is>
      </c>
      <c r="B139" t="n">
        <v>1</v>
      </c>
    </row>
    <row r="140">
      <c r="A140" t="inlineStr">
        <is>
          <t>reference product</t>
        </is>
      </c>
      <c r="B140" t="inlineStr">
        <is>
          <t>electric cargo bicycle, without battery and motor</t>
        </is>
      </c>
    </row>
    <row r="141">
      <c r="A141" t="inlineStr">
        <is>
          <t>unit</t>
        </is>
      </c>
      <c r="B141" t="inlineStr">
        <is>
          <t>unit</t>
        </is>
      </c>
    </row>
    <row r="142">
      <c r="A142" t="inlineStr">
        <is>
          <t>comment</t>
        </is>
      </c>
      <c r="B142" t="inlineStr">
        <is>
          <t>This is a copy of the ecoinvent dataset "electric bicycle production" where the battery and the electric motor have been removed.
Also, the additional weight comes from an increase in steel (20%) and wood (80%), to amount to a vehicle mass of 50kg in total.
We assume the cargo box is made of glue laminated spruce timber, with a density of 450 kg/m3.</t>
        </is>
      </c>
    </row>
    <row r="143" ht="16" customHeight="1">
      <c r="A143" s="10" t="inlineStr">
        <is>
          <t>Exchanges</t>
        </is>
      </c>
    </row>
    <row r="144">
      <c r="A144" t="inlineStr">
        <is>
          <t>name</t>
        </is>
      </c>
      <c r="B144" t="inlineStr">
        <is>
          <t>amount</t>
        </is>
      </c>
      <c r="C144" t="inlineStr">
        <is>
          <t>database</t>
        </is>
      </c>
      <c r="D144" t="inlineStr">
        <is>
          <t>location</t>
        </is>
      </c>
      <c r="E144" t="inlineStr">
        <is>
          <t>categories</t>
        </is>
      </c>
      <c r="F144" t="inlineStr">
        <is>
          <t>unit</t>
        </is>
      </c>
      <c r="G144" t="inlineStr">
        <is>
          <t>type</t>
        </is>
      </c>
      <c r="H144" t="inlineStr">
        <is>
          <t>reference product</t>
        </is>
      </c>
    </row>
    <row r="145">
      <c r="A145" t="inlineStr">
        <is>
          <t>electric cargo bicycle production, without battery and motor</t>
        </is>
      </c>
      <c r="B145" t="n">
        <v>1</v>
      </c>
      <c r="C145" t="inlineStr">
        <is>
          <t>Car db</t>
        </is>
      </c>
      <c r="D145" t="inlineStr">
        <is>
          <t>RER</t>
        </is>
      </c>
      <c r="F145" t="inlineStr">
        <is>
          <t>unit</t>
        </is>
      </c>
      <c r="G145" t="inlineStr">
        <is>
          <t>production</t>
        </is>
      </c>
      <c r="H145" t="inlineStr">
        <is>
          <t>electric cargo bicycle, without battery and motor</t>
        </is>
      </c>
    </row>
    <row r="146">
      <c r="A146" t="inlineStr">
        <is>
          <t>market for metal working factory</t>
        </is>
      </c>
      <c r="B146" t="n">
        <v>4.6e-10</v>
      </c>
      <c r="C146" t="inlineStr">
        <is>
          <t>ecoinvent 3.5 cutoff</t>
        </is>
      </c>
      <c r="D146" t="inlineStr">
        <is>
          <t>GLO</t>
        </is>
      </c>
      <c r="F146" t="inlineStr">
        <is>
          <t>unit</t>
        </is>
      </c>
      <c r="G146" t="inlineStr">
        <is>
          <t>technosphere</t>
        </is>
      </c>
      <c r="H146" t="inlineStr">
        <is>
          <t>metal working factory</t>
        </is>
      </c>
    </row>
    <row r="147">
      <c r="A147" t="inlineStr">
        <is>
          <t>market for metal working, average for steel product manufacturing</t>
        </is>
      </c>
      <c r="B147" t="n">
        <v>1</v>
      </c>
      <c r="C147" t="inlineStr">
        <is>
          <t>ecoinvent 3.5 cutoff</t>
        </is>
      </c>
      <c r="D147" t="inlineStr">
        <is>
          <t>GLO</t>
        </is>
      </c>
      <c r="F147" t="inlineStr">
        <is>
          <t>kilogram</t>
        </is>
      </c>
      <c r="G147" t="inlineStr">
        <is>
          <t>technosphere</t>
        </is>
      </c>
      <c r="H147" t="inlineStr">
        <is>
          <t>metal working, average for steel product manufacturing</t>
        </is>
      </c>
    </row>
    <row r="148">
      <c r="A148" t="inlineStr">
        <is>
          <t>market for steel, low-alloyed</t>
        </is>
      </c>
      <c r="B148" t="n">
        <v>1</v>
      </c>
      <c r="C148" t="inlineStr">
        <is>
          <t>ecoinvent 3.5 cutoff</t>
        </is>
      </c>
      <c r="D148" t="inlineStr">
        <is>
          <t>GLO</t>
        </is>
      </c>
      <c r="F148" t="inlineStr">
        <is>
          <t>kilogram</t>
        </is>
      </c>
      <c r="G148" t="inlineStr">
        <is>
          <t>technosphere</t>
        </is>
      </c>
      <c r="H148" t="inlineStr">
        <is>
          <t>steel, low-alloyed</t>
        </is>
      </c>
    </row>
    <row r="149">
      <c r="A149" t="inlineStr">
        <is>
          <t>market for polyethylene, high density, granulate</t>
        </is>
      </c>
      <c r="B149" t="n">
        <v>1.9575</v>
      </c>
      <c r="C149" t="inlineStr">
        <is>
          <t>ecoinvent 3.5 cutoff</t>
        </is>
      </c>
      <c r="D149" t="inlineStr">
        <is>
          <t>GLO</t>
        </is>
      </c>
      <c r="F149" t="inlineStr">
        <is>
          <t>kilogram</t>
        </is>
      </c>
      <c r="G149" t="inlineStr">
        <is>
          <t>technosphere</t>
        </is>
      </c>
      <c r="H149" t="inlineStr">
        <is>
          <t>polyethylene, high density, granulate</t>
        </is>
      </c>
    </row>
    <row r="150">
      <c r="A150" t="inlineStr">
        <is>
          <t>injection moulding</t>
        </is>
      </c>
      <c r="B150" t="n">
        <v>1.9575</v>
      </c>
      <c r="C150" t="inlineStr">
        <is>
          <t>ecoinvent 3.5 cutoff</t>
        </is>
      </c>
      <c r="D150" t="inlineStr">
        <is>
          <t>RER</t>
        </is>
      </c>
      <c r="F150" t="inlineStr">
        <is>
          <t>kilogram</t>
        </is>
      </c>
      <c r="G150" t="inlineStr">
        <is>
          <t>technosphere</t>
        </is>
      </c>
      <c r="H150" t="inlineStr">
        <is>
          <t>injection moulding</t>
        </is>
      </c>
    </row>
    <row r="151">
      <c r="A151" t="inlineStr">
        <is>
          <t>road vehicle factory construction</t>
        </is>
      </c>
      <c r="B151" s="7" t="n">
        <v>1.3227e-09</v>
      </c>
      <c r="C151" t="inlineStr">
        <is>
          <t>ecoinvent 3.5 cutoff</t>
        </is>
      </c>
      <c r="D151" t="inlineStr">
        <is>
          <t>RER</t>
        </is>
      </c>
      <c r="F151" t="inlineStr">
        <is>
          <t>unit</t>
        </is>
      </c>
      <c r="G151" t="inlineStr">
        <is>
          <t>technosphere</t>
        </is>
      </c>
      <c r="H151" t="inlineStr">
        <is>
          <t>road vehicle factory</t>
        </is>
      </c>
    </row>
    <row r="152">
      <c r="A152" t="inlineStr">
        <is>
          <t>market group for municipal solid waste</t>
        </is>
      </c>
      <c r="B152" t="n">
        <v>-4.5</v>
      </c>
      <c r="C152" t="inlineStr">
        <is>
          <t>ecoinvent 3.5 cutoff</t>
        </is>
      </c>
      <c r="D152" t="inlineStr">
        <is>
          <t>RER</t>
        </is>
      </c>
      <c r="F152" t="inlineStr">
        <is>
          <t>kilogram</t>
        </is>
      </c>
      <c r="G152" t="inlineStr">
        <is>
          <t>technosphere</t>
        </is>
      </c>
      <c r="H152" t="inlineStr">
        <is>
          <t>municipal solid waste</t>
        </is>
      </c>
    </row>
    <row r="153">
      <c r="A153" t="inlineStr">
        <is>
          <t>market group for heat, district or industrial, natural gas</t>
        </is>
      </c>
      <c r="B153" t="n">
        <v>13.58025</v>
      </c>
      <c r="C153" t="inlineStr">
        <is>
          <t>ecoinvent 3.5 cutoff</t>
        </is>
      </c>
      <c r="D153" t="inlineStr">
        <is>
          <t>RER</t>
        </is>
      </c>
      <c r="F153" t="inlineStr">
        <is>
          <t>megajoule</t>
        </is>
      </c>
      <c r="G153" t="inlineStr">
        <is>
          <t>technosphere</t>
        </is>
      </c>
      <c r="H153" t="inlineStr">
        <is>
          <t>heat, district or industrial, natural gas</t>
        </is>
      </c>
    </row>
    <row r="154">
      <c r="A154" t="inlineStr">
        <is>
          <t>market for aluminium, wrought alloy</t>
        </is>
      </c>
      <c r="B154" t="n">
        <v>5.1221</v>
      </c>
      <c r="C154" t="inlineStr">
        <is>
          <t>ecoinvent 3.5 cutoff</t>
        </is>
      </c>
      <c r="D154" t="inlineStr">
        <is>
          <t>GLO</t>
        </is>
      </c>
      <c r="F154" t="inlineStr">
        <is>
          <t>kilogram</t>
        </is>
      </c>
      <c r="G154" t="inlineStr">
        <is>
          <t>technosphere</t>
        </is>
      </c>
      <c r="H154" t="inlineStr">
        <is>
          <t>aluminium, wrought alloy</t>
        </is>
      </c>
    </row>
    <row r="155">
      <c r="A155" t="inlineStr">
        <is>
          <t>wire drawing, steel</t>
        </is>
      </c>
      <c r="B155" t="n">
        <v>0.3375</v>
      </c>
      <c r="C155" t="inlineStr">
        <is>
          <t>ecoinvent 3.5 cutoff</t>
        </is>
      </c>
      <c r="D155" t="inlineStr">
        <is>
          <t>RER</t>
        </is>
      </c>
      <c r="F155" t="inlineStr">
        <is>
          <t>kilogram</t>
        </is>
      </c>
      <c r="G155" t="inlineStr">
        <is>
          <t>technosphere</t>
        </is>
      </c>
      <c r="H155" t="inlineStr">
        <is>
          <t>wire drawing, steel</t>
        </is>
      </c>
    </row>
    <row r="156">
      <c r="A156" t="inlineStr">
        <is>
          <t>market group for electricity, medium voltage</t>
        </is>
      </c>
      <c r="B156" t="n">
        <v>6.8902</v>
      </c>
      <c r="C156" t="inlineStr">
        <is>
          <t>ecoinvent 3.5 cutoff</t>
        </is>
      </c>
      <c r="D156" t="inlineStr">
        <is>
          <t>RER</t>
        </is>
      </c>
      <c r="F156" t="inlineStr">
        <is>
          <t>kilowatt hour</t>
        </is>
      </c>
      <c r="G156" t="inlineStr">
        <is>
          <t>technosphere</t>
        </is>
      </c>
      <c r="H156" t="inlineStr">
        <is>
          <t>electricity, medium voltage</t>
        </is>
      </c>
    </row>
    <row r="157">
      <c r="A157" t="inlineStr">
        <is>
          <t>market for steel, low-alloyed, hot rolled</t>
        </is>
      </c>
      <c r="B157" t="n">
        <v>12.5</v>
      </c>
      <c r="C157" t="inlineStr">
        <is>
          <t>ecoinvent 3.5 cutoff</t>
        </is>
      </c>
      <c r="D157" t="inlineStr">
        <is>
          <t>GLO</t>
        </is>
      </c>
      <c r="F157" t="inlineStr">
        <is>
          <t>kilogram</t>
        </is>
      </c>
      <c r="G157" t="inlineStr">
        <is>
          <t>technosphere</t>
        </is>
      </c>
      <c r="H157" t="inlineStr">
        <is>
          <t>steel, low-alloyed, hot rolled</t>
        </is>
      </c>
    </row>
    <row r="158">
      <c r="A158" t="inlineStr">
        <is>
          <t>section bar extrusion, aluminium</t>
        </is>
      </c>
      <c r="B158" t="n">
        <v>3.7663</v>
      </c>
      <c r="C158" t="inlineStr">
        <is>
          <t>ecoinvent 3.5 cutoff</t>
        </is>
      </c>
      <c r="D158" t="inlineStr">
        <is>
          <t>RER</t>
        </is>
      </c>
      <c r="F158" t="inlineStr">
        <is>
          <t>kilogram</t>
        </is>
      </c>
      <c r="G158" t="inlineStr">
        <is>
          <t>technosphere</t>
        </is>
      </c>
      <c r="H158" t="inlineStr">
        <is>
          <t>section bar extrusion, aluminium</t>
        </is>
      </c>
    </row>
    <row r="159">
      <c r="A159" t="inlineStr">
        <is>
          <t>market group for heat, district or industrial, other than natural gas</t>
        </is>
      </c>
      <c r="B159" t="n">
        <v>0.192698</v>
      </c>
      <c r="C159" t="inlineStr">
        <is>
          <t>ecoinvent 3.5 cutoff</t>
        </is>
      </c>
      <c r="D159" t="inlineStr">
        <is>
          <t>RER</t>
        </is>
      </c>
      <c r="F159" t="inlineStr">
        <is>
          <t>megajoule</t>
        </is>
      </c>
      <c r="G159" t="inlineStr">
        <is>
          <t>technosphere</t>
        </is>
      </c>
      <c r="H159" t="inlineStr">
        <is>
          <t>heat, district or industrial, other than natural gas</t>
        </is>
      </c>
    </row>
    <row r="160">
      <c r="A160" t="inlineStr">
        <is>
          <t>market group for tap water</t>
        </is>
      </c>
      <c r="B160" t="n">
        <v>0.744</v>
      </c>
      <c r="C160" t="inlineStr">
        <is>
          <t>ecoinvent 3.5 cutoff</t>
        </is>
      </c>
      <c r="D160" t="inlineStr">
        <is>
          <t>RER</t>
        </is>
      </c>
      <c r="F160" t="inlineStr">
        <is>
          <t>kilogram</t>
        </is>
      </c>
      <c r="G160" t="inlineStr">
        <is>
          <t>technosphere</t>
        </is>
      </c>
      <c r="H160" t="inlineStr">
        <is>
          <t>tap water</t>
        </is>
      </c>
    </row>
    <row r="161">
      <c r="A161" t="inlineStr">
        <is>
          <t>market for aluminium, cast alloy</t>
        </is>
      </c>
      <c r="B161" t="n">
        <v>2.4104</v>
      </c>
      <c r="C161" t="inlineStr">
        <is>
          <t>ecoinvent 3.5 cutoff</t>
        </is>
      </c>
      <c r="D161" t="inlineStr">
        <is>
          <t>GLO</t>
        </is>
      </c>
      <c r="F161" t="inlineStr">
        <is>
          <t>kilogram</t>
        </is>
      </c>
      <c r="G161" t="inlineStr">
        <is>
          <t>technosphere</t>
        </is>
      </c>
      <c r="H161" t="inlineStr">
        <is>
          <t>aluminium, cast alloy</t>
        </is>
      </c>
    </row>
    <row r="162">
      <c r="A162" t="inlineStr">
        <is>
          <t>market for polyurethane, flexible foam</t>
        </is>
      </c>
      <c r="B162" t="n">
        <v>0.03</v>
      </c>
      <c r="C162" t="inlineStr">
        <is>
          <t>ecoinvent 3.5 cutoff</t>
        </is>
      </c>
      <c r="D162" t="inlineStr">
        <is>
          <t>RER</t>
        </is>
      </c>
      <c r="F162" t="inlineStr">
        <is>
          <t>kilogram</t>
        </is>
      </c>
      <c r="G162" t="inlineStr">
        <is>
          <t>technosphere</t>
        </is>
      </c>
      <c r="H162" t="inlineStr">
        <is>
          <t>polyurethane, flexible foam</t>
        </is>
      </c>
    </row>
    <row r="163">
      <c r="A163" t="inlineStr">
        <is>
          <t>market for synthetic rubber</t>
        </is>
      </c>
      <c r="B163" t="n">
        <v>0.5625</v>
      </c>
      <c r="C163" t="inlineStr">
        <is>
          <t>ecoinvent 3.5 cutoff</t>
        </is>
      </c>
      <c r="D163" t="inlineStr">
        <is>
          <t>GLO</t>
        </is>
      </c>
      <c r="F163" t="inlineStr">
        <is>
          <t>kilogram</t>
        </is>
      </c>
      <c r="G163" t="inlineStr">
        <is>
          <t>technosphere</t>
        </is>
      </c>
      <c r="H163" t="inlineStr">
        <is>
          <t>synthetic rubber</t>
        </is>
      </c>
    </row>
    <row r="164">
      <c r="A164" t="inlineStr">
        <is>
          <t>market for steel, chromium steel 18/8, hot rolled</t>
        </is>
      </c>
      <c r="B164" t="n">
        <v>1.59</v>
      </c>
      <c r="C164" t="inlineStr">
        <is>
          <t>ecoinvent 3.5 cutoff</t>
        </is>
      </c>
      <c r="D164" t="inlineStr">
        <is>
          <t>GLO</t>
        </is>
      </c>
      <c r="F164" t="inlineStr">
        <is>
          <t>kilogram</t>
        </is>
      </c>
      <c r="G164" t="inlineStr">
        <is>
          <t>technosphere</t>
        </is>
      </c>
      <c r="H164" t="inlineStr">
        <is>
          <t>steel, chromium steel 18/8, hot rolled</t>
        </is>
      </c>
    </row>
    <row r="165">
      <c r="A165" t="inlineStr">
        <is>
          <t>powder coating, aluminium sheet</t>
        </is>
      </c>
      <c r="B165" t="n">
        <v>0.35</v>
      </c>
      <c r="C165" t="inlineStr">
        <is>
          <t>ecoinvent 3.5 cutoff</t>
        </is>
      </c>
      <c r="D165" t="inlineStr">
        <is>
          <t>RER</t>
        </is>
      </c>
      <c r="F165" t="inlineStr">
        <is>
          <t>square meter</t>
        </is>
      </c>
      <c r="G165" t="inlineStr">
        <is>
          <t>technosphere</t>
        </is>
      </c>
      <c r="H165" t="inlineStr">
        <is>
          <t>powder coat, aluminium sheet</t>
        </is>
      </c>
    </row>
    <row r="166">
      <c r="A166" t="inlineStr">
        <is>
          <t>chromium steel turning, average, conventional</t>
        </is>
      </c>
      <c r="B166" t="n">
        <v>0.159</v>
      </c>
      <c r="C166" t="inlineStr">
        <is>
          <t>ecoinvent 3.5 cutoff</t>
        </is>
      </c>
      <c r="D166" t="inlineStr">
        <is>
          <t>RER</t>
        </is>
      </c>
      <c r="F166" t="inlineStr">
        <is>
          <t>kilogram</t>
        </is>
      </c>
      <c r="G166" t="inlineStr">
        <is>
          <t>technosphere</t>
        </is>
      </c>
      <c r="H166" t="inlineStr">
        <is>
          <t>chromium steel removed by turning, average, conventional</t>
        </is>
      </c>
    </row>
    <row r="167">
      <c r="A167" t="inlineStr">
        <is>
          <t>welding, arc, aluminium</t>
        </is>
      </c>
      <c r="B167" t="n">
        <v>0.75</v>
      </c>
      <c r="C167" t="inlineStr">
        <is>
          <t>ecoinvent 3.5 cutoff</t>
        </is>
      </c>
      <c r="D167" t="inlineStr">
        <is>
          <t>RER</t>
        </is>
      </c>
      <c r="F167" t="inlineStr">
        <is>
          <t>meter</t>
        </is>
      </c>
      <c r="G167" t="inlineStr">
        <is>
          <t>technosphere</t>
        </is>
      </c>
      <c r="H167" t="inlineStr">
        <is>
          <t>welding, arc, aluminium</t>
        </is>
      </c>
    </row>
    <row r="168">
      <c r="A168" t="inlineStr">
        <is>
          <t>market for wastewater, average</t>
        </is>
      </c>
      <c r="B168" t="n">
        <v>-0.000671370317204224</v>
      </c>
      <c r="C168" t="inlineStr">
        <is>
          <t>ecoinvent 3.5 cutoff</t>
        </is>
      </c>
      <c r="D168" t="inlineStr">
        <is>
          <t>Europe without Switzerland</t>
        </is>
      </c>
      <c r="F168" t="inlineStr">
        <is>
          <t>cubic meter</t>
        </is>
      </c>
      <c r="G168" t="inlineStr">
        <is>
          <t>technosphere</t>
        </is>
      </c>
      <c r="H168" t="inlineStr">
        <is>
          <t>wastewater, average</t>
        </is>
      </c>
    </row>
    <row r="169">
      <c r="A169" t="inlineStr">
        <is>
          <t>market for wastewater, average</t>
        </is>
      </c>
      <c r="B169" s="7" t="n">
        <v>-7.26296827957754e-05</v>
      </c>
      <c r="C169" t="inlineStr">
        <is>
          <t>ecoinvent 3.5 cutoff</t>
        </is>
      </c>
      <c r="D169" t="inlineStr">
        <is>
          <t>CH</t>
        </is>
      </c>
      <c r="F169" t="inlineStr">
        <is>
          <t>cubic meter</t>
        </is>
      </c>
      <c r="G169" t="inlineStr">
        <is>
          <t>technosphere</t>
        </is>
      </c>
      <c r="H169" t="inlineStr">
        <is>
          <t>wastewater, average</t>
        </is>
      </c>
    </row>
    <row r="170">
      <c r="A170" t="inlineStr">
        <is>
          <t>Water</t>
        </is>
      </c>
      <c r="B170" t="n">
        <v>0.0001116</v>
      </c>
      <c r="C170" t="inlineStr">
        <is>
          <t>biosphere3</t>
        </is>
      </c>
      <c r="E170" t="inlineStr">
        <is>
          <t>air</t>
        </is>
      </c>
      <c r="F170" t="inlineStr">
        <is>
          <t>cubic meter</t>
        </is>
      </c>
      <c r="G170" t="inlineStr">
        <is>
          <t>biosphere</t>
        </is>
      </c>
    </row>
    <row r="171">
      <c r="A171" t="inlineStr">
        <is>
          <t>glued laminated timber production, average glue mix</t>
        </is>
      </c>
      <c r="B171" s="5" t="n">
        <v>0.05</v>
      </c>
      <c r="C171" t="inlineStr">
        <is>
          <t>ecoinvent 3.5 cutoff</t>
        </is>
      </c>
      <c r="D171" t="inlineStr">
        <is>
          <t>Europe without Switzerland</t>
        </is>
      </c>
      <c r="F171" t="inlineStr">
        <is>
          <t>cubic meter</t>
        </is>
      </c>
      <c r="G171" t="inlineStr">
        <is>
          <t>technosphere</t>
        </is>
      </c>
      <c r="H171" t="inlineStr">
        <is>
          <t>glued laminated timber, average glue mix</t>
        </is>
      </c>
    </row>
  </sheetData>
  <autoFilter ref="A1:N133"/>
  <pageMargins left="0.7" right="0.7" top="0.75" bottom="0.75" header="0.3" footer="0.3"/>
  <pageSetup orientation="portrait" horizontalDpi="300" verticalDpi="300"/>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2021-02-01T10:08:21Z</dcterms:created>
  <dcterms:modified xmlns:dcterms="http://purl.org/dc/terms/" xmlns:xsi="http://www.w3.org/2001/XMLSchema-instance" xsi:type="dcterms:W3CDTF">2026-07-07T14:14:22Z</dcterms:modified>
  <cp:lastModifiedBy>Romain Sacchi</cp:lastModifiedBy>
</cp:coreProperties>
</file>