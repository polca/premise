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8880" tabRatio="600" firstSheet="0" activeTab="0" autoFilterDateGrouping="1"/>
  </bookViews>
  <sheets>
    <sheet xmlns:r="http://schemas.openxmlformats.org/officeDocument/2006/relationships" name="lci" sheetId="1" state="visible" r:id="rId1"/>
  </sheets>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9C5700"/>
      <sz val="12"/>
      <scheme val="minor"/>
    </font>
    <font>
      <name val="Calibri"/>
      <family val="2"/>
      <b val="1"/>
      <color indexed="8"/>
      <sz val="11"/>
      <scheme val="minor"/>
    </font>
    <font>
      <name val="Calibri"/>
      <family val="2"/>
      <color indexed="8"/>
      <sz val="11"/>
      <scheme val="minor"/>
    </font>
  </fonts>
  <fills count="3">
    <fill>
      <patternFill/>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4">
    <xf numFmtId="0" fontId="2" fillId="0" borderId="0"/>
    <xf numFmtId="0" fontId="3" fillId="2" borderId="0"/>
    <xf numFmtId="0" fontId="2" fillId="0" borderId="0"/>
    <xf numFmtId="0" fontId="2" fillId="0" borderId="0"/>
  </cellStyleXfs>
  <cellXfs count="26">
    <xf numFmtId="0" fontId="0" fillId="0" borderId="0" pivotButton="0" quotePrefix="0" xfId="0"/>
    <xf numFmtId="0" fontId="1" fillId="0" borderId="0" pivotButton="0" quotePrefix="0" xfId="0"/>
    <xf numFmtId="2" fontId="0" fillId="0" borderId="0" pivotButton="0" quotePrefix="0" xfId="0"/>
    <xf numFmtId="0" fontId="1" fillId="0" borderId="0" pivotButton="0" quotePrefix="0" xfId="2"/>
    <xf numFmtId="11" fontId="4" fillId="0" borderId="0" pivotButton="0" quotePrefix="0" xfId="0"/>
    <xf numFmtId="0" fontId="2" fillId="0" borderId="0" pivotButton="0" quotePrefix="0" xfId="3"/>
    <xf numFmtId="0" fontId="5" fillId="0" borderId="0" pivotButton="0" quotePrefix="0" xfId="0"/>
    <xf numFmtId="0" fontId="5" fillId="0" borderId="1" pivotButton="0" quotePrefix="0" xfId="0"/>
    <xf numFmtId="0" fontId="2" fillId="0" borderId="0" pivotButton="0" quotePrefix="0" xfId="0"/>
    <xf numFmtId="0" fontId="2" fillId="0" borderId="0" pivotButton="0" quotePrefix="0" xfId="2"/>
    <xf numFmtId="11" fontId="2" fillId="0" borderId="0" applyAlignment="1" pivotButton="0" quotePrefix="0" xfId="2">
      <alignment horizontal="left"/>
    </xf>
    <xf numFmtId="11" fontId="0" fillId="0" borderId="0" applyAlignment="1" pivotButton="0" quotePrefix="0" xfId="2">
      <alignment horizontal="left"/>
    </xf>
    <xf numFmtId="11" fontId="2" fillId="0" borderId="0" pivotButton="0" quotePrefix="0" xfId="1"/>
    <xf numFmtId="11" fontId="5" fillId="0" borderId="0" pivotButton="0" quotePrefix="0" xfId="0"/>
    <xf numFmtId="0" fontId="4" fillId="0" borderId="0" pivotButton="0" quotePrefix="0" xfId="0"/>
    <xf numFmtId="0" fontId="4" fillId="0" borderId="1" pivotButton="0" quotePrefix="0" xfId="0"/>
    <xf numFmtId="0" fontId="2" fillId="0" borderId="1" pivotButton="0" quotePrefix="0" xfId="3"/>
    <xf numFmtId="11" fontId="0" fillId="0" borderId="0" pivotButton="0" quotePrefix="0" xfId="0"/>
    <xf numFmtId="0" fontId="0" fillId="0" borderId="1" pivotButton="0" quotePrefix="0" xfId="3"/>
    <xf numFmtId="0" fontId="0" fillId="0" borderId="1" pivotButton="0" quotePrefix="0" xfId="0"/>
    <xf numFmtId="0" fontId="0" fillId="0" borderId="0" pivotButton="0" quotePrefix="0" xfId="3"/>
    <xf numFmtId="11" fontId="1" fillId="0" borderId="0" pivotButton="0" quotePrefix="0" xfId="0"/>
    <xf numFmtId="0" fontId="1" fillId="0" borderId="1" pivotButton="0" quotePrefix="0" xfId="3"/>
    <xf numFmtId="0" fontId="1" fillId="0" borderId="1" pivotButton="0" quotePrefix="0" xfId="0"/>
    <xf numFmtId="0" fontId="1" fillId="0" borderId="0" pivotButton="0" quotePrefix="0" xfId="3"/>
    <xf numFmtId="0" fontId="1" fillId="0" borderId="0" pivotButton="0" quotePrefix="0" xfId="3"/>
  </cellXfs>
  <cellStyles count="4">
    <cellStyle name="Normal" xfId="0" builtinId="0"/>
    <cellStyle name="Neutral" xfId="1" builtinId="28"/>
    <cellStyle name="Normal 11 3" xfId="2"/>
    <cellStyle name="Normal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12"/>
  <sheetViews>
    <sheetView tabSelected="1" topLeftCell="A99" workbookViewId="0">
      <selection activeCell="B127" sqref="B127"/>
    </sheetView>
  </sheetViews>
  <sheetFormatPr baseColWidth="10" defaultColWidth="8.83203125" defaultRowHeight="15"/>
  <cols>
    <col width="55.5" customWidth="1" min="1" max="1"/>
    <col width="30.6640625" customWidth="1" min="2" max="2"/>
    <col width="19.83203125" customWidth="1" min="4" max="4"/>
    <col width="11.83203125" bestFit="1" customWidth="1" min="11" max="12"/>
  </cols>
  <sheetData>
    <row r="1">
      <c r="A1" s="1" t="inlineStr">
        <is>
          <t>database</t>
        </is>
      </c>
      <c r="B1" s="1" t="inlineStr">
        <is>
          <t>stationary battery</t>
        </is>
      </c>
    </row>
    <row r="2"/>
    <row r="3">
      <c r="A3" s="3" t="inlineStr">
        <is>
          <t>Activity</t>
        </is>
      </c>
      <c r="B3" s="4" t="inlineStr">
        <is>
          <t>electricity supply, from stationary 19.5 kWh NMC battery</t>
        </is>
      </c>
      <c r="C3" s="5" t="n"/>
      <c r="D3" s="6" t="n"/>
      <c r="E3" s="6" t="n"/>
      <c r="F3" s="6" t="n"/>
      <c r="G3" s="6" t="n"/>
      <c r="H3" s="6" t="n"/>
      <c r="I3" s="7" t="n"/>
      <c r="K3" s="8" t="n"/>
    </row>
    <row r="4">
      <c r="A4" s="9" t="inlineStr">
        <is>
          <t>production amount</t>
        </is>
      </c>
      <c r="B4" s="10" t="n">
        <v>1</v>
      </c>
      <c r="C4" s="6" t="n"/>
      <c r="D4" s="6" t="n"/>
      <c r="E4" s="6" t="n"/>
      <c r="F4" s="6" t="n"/>
      <c r="G4" s="6" t="n"/>
      <c r="H4" s="6" t="n"/>
      <c r="I4" s="7" t="n"/>
      <c r="K4" s="8" t="n"/>
    </row>
    <row r="5">
      <c r="A5" s="9" t="inlineStr">
        <is>
          <t>comment</t>
        </is>
      </c>
      <c r="B5" s="11" t="inlineStr">
        <is>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5" s="6" t="n"/>
      <c r="D5" s="6" t="n"/>
      <c r="E5" s="6" t="n"/>
      <c r="F5" s="6" t="n"/>
      <c r="G5" s="6" t="n"/>
      <c r="H5" s="6" t="n"/>
      <c r="I5" s="7" t="n"/>
      <c r="K5" s="8" t="n"/>
    </row>
    <row r="6">
      <c r="A6" s="9" t="inlineStr">
        <is>
          <t>reference product</t>
        </is>
      </c>
      <c r="B6" s="12" t="inlineStr">
        <is>
          <t>electricity, high voltage</t>
        </is>
      </c>
      <c r="C6" s="6" t="n"/>
      <c r="D6" s="6" t="n"/>
      <c r="E6" s="6" t="n"/>
      <c r="F6" s="6" t="n"/>
      <c r="G6" s="6" t="n"/>
      <c r="H6" s="6" t="n"/>
      <c r="I6" s="7" t="n"/>
      <c r="K6" s="8" t="n"/>
    </row>
    <row r="7">
      <c r="A7" s="9" t="inlineStr">
        <is>
          <t>location</t>
        </is>
      </c>
      <c r="B7" s="11" t="inlineStr">
        <is>
          <t>CH</t>
        </is>
      </c>
      <c r="C7" s="6" t="n"/>
      <c r="D7" s="6" t="n"/>
      <c r="E7" s="6" t="n"/>
      <c r="F7" s="6" t="n"/>
      <c r="G7" s="6" t="n"/>
      <c r="H7" s="6" t="n"/>
      <c r="I7" s="7" t="n"/>
      <c r="K7" s="8" t="n"/>
    </row>
    <row r="8">
      <c r="A8" s="9" t="inlineStr">
        <is>
          <t>unit</t>
        </is>
      </c>
      <c r="B8" s="13" t="inlineStr">
        <is>
          <t>kilowatt hour</t>
        </is>
      </c>
      <c r="C8" s="6" t="n"/>
      <c r="D8" s="6" t="n"/>
      <c r="E8" s="6" t="n"/>
      <c r="F8" s="6" t="n"/>
      <c r="G8" s="6" t="n"/>
      <c r="H8" s="14" t="n"/>
      <c r="I8" s="15" t="n"/>
      <c r="K8" s="8" t="n"/>
    </row>
    <row r="9">
      <c r="A9" s="14" t="inlineStr">
        <is>
          <t>Exchanges</t>
        </is>
      </c>
      <c r="B9" s="4" t="n"/>
      <c r="C9" s="14" t="n"/>
      <c r="D9" s="14" t="n"/>
      <c r="E9" s="14" t="n"/>
      <c r="F9" s="14" t="n"/>
      <c r="G9" s="14" t="n"/>
      <c r="H9" s="5" t="n"/>
      <c r="I9" s="16" t="n"/>
      <c r="K9" s="8" t="n"/>
    </row>
    <row r="10">
      <c r="A10" s="1" t="inlineStr">
        <is>
          <t>name</t>
        </is>
      </c>
      <c r="B10" s="21" t="inlineStr">
        <is>
          <t>amount</t>
        </is>
      </c>
      <c r="C10" s="1" t="inlineStr">
        <is>
          <t>location</t>
        </is>
      </c>
      <c r="D10" s="1" t="inlineStr">
        <is>
          <t>unit</t>
        </is>
      </c>
      <c r="E10" s="1" t="inlineStr">
        <is>
          <t>type</t>
        </is>
      </c>
      <c r="F10" s="1" t="inlineStr">
        <is>
          <t>reference product</t>
        </is>
      </c>
      <c r="G10" s="1" t="inlineStr">
        <is>
          <t>categories</t>
        </is>
      </c>
      <c r="H10" s="22" t="inlineStr">
        <is>
          <t>comment</t>
        </is>
      </c>
      <c r="I10" s="23" t="inlineStr">
        <is>
          <t>uncertainty type</t>
        </is>
      </c>
      <c r="J10" s="25" t="inlineStr">
        <is>
          <t>loc</t>
        </is>
      </c>
      <c r="K10" s="25" t="inlineStr">
        <is>
          <t>minimum</t>
        </is>
      </c>
      <c r="L10" s="25" t="inlineStr">
        <is>
          <t>maximum</t>
        </is>
      </c>
    </row>
    <row r="11">
      <c r="A11" s="17" t="inlineStr">
        <is>
          <t>electricity supply, from stationary 19.5 kWh NMC battery</t>
        </is>
      </c>
      <c r="B11" s="17" t="n">
        <v>1</v>
      </c>
      <c r="C11" t="inlineStr">
        <is>
          <t>CH</t>
        </is>
      </c>
      <c r="D11" t="inlineStr">
        <is>
          <t>kilowatt hour</t>
        </is>
      </c>
      <c r="E11" t="inlineStr">
        <is>
          <t>production</t>
        </is>
      </c>
      <c r="F11" t="inlineStr">
        <is>
          <t>electricity, high voltage</t>
        </is>
      </c>
      <c r="G11" s="5" t="n"/>
      <c r="H11" s="16" t="n"/>
      <c r="I11" s="19" t="n"/>
      <c r="K11" s="8" t="n"/>
    </row>
    <row r="12">
      <c r="A12" s="9" t="inlineStr">
        <is>
          <t>market for electricity, low voltage</t>
        </is>
      </c>
      <c r="B12" s="17">
        <f>1*1.19</f>
        <v>1.19</v>
      </c>
      <c r="C12" t="inlineStr">
        <is>
          <t>CH</t>
        </is>
      </c>
      <c r="D12" t="inlineStr">
        <is>
          <t>kilowatt hour</t>
        </is>
      </c>
      <c r="E12" t="inlineStr">
        <is>
          <t>technosphere</t>
        </is>
      </c>
      <c r="F12" t="inlineStr">
        <is>
          <t>electricity, low voltage</t>
        </is>
      </c>
      <c r="G12" s="5" t="n"/>
      <c r="H12" s="18" t="inlineStr">
        <is>
          <t>Accounts for the round trip efficiency of 81%. Min-max: 75-90% efficiency.</t>
        </is>
      </c>
      <c r="I12" s="19" t="n">
        <v>5</v>
      </c>
      <c r="J12" s="17">
        <f>B12</f>
        <v>1.19</v>
      </c>
      <c r="K12">
        <f>1*1.1</f>
        <v>1.1000000000000001</v>
      </c>
      <c r="L12">
        <f>1*1.25</f>
        <v>1.25</v>
      </c>
    </row>
    <row r="13">
      <c r="A13" s="9" t="inlineStr">
        <is>
          <t>market for electricity, low voltage</t>
        </is>
      </c>
      <c r="B13" s="17">
        <f>((22/1000)*6000*13)/(2500*19.5*0.8)</f>
        <v>4.3999999999999997E-2</v>
      </c>
      <c r="C13" t="inlineStr">
        <is>
          <t>CH</t>
        </is>
      </c>
      <c r="D13" t="inlineStr">
        <is>
          <t>kilowatt hour</t>
        </is>
      </c>
      <c r="E13" t="inlineStr">
        <is>
          <t>technosphere</t>
        </is>
      </c>
      <c r="F13" t="inlineStr">
        <is>
          <t>electricity, low voltage</t>
        </is>
      </c>
      <c r="G13" s="5" t="n"/>
      <c r="H13" s="18" t="inlineStr">
        <is>
          <t>Accounts or standby electricity consumption.</t>
        </is>
      </c>
      <c r="I13" s="19" t="n"/>
    </row>
    <row r="14">
      <c r="A14" s="9" t="inlineStr">
        <is>
          <t>home electricity storage system, 19.5 kWh, NMC811 battery</t>
        </is>
      </c>
      <c r="B14" s="17">
        <f>1/(2500*80%*19.5)</f>
        <v>2.564102564102564E-5</v>
      </c>
      <c r="C14" t="inlineStr">
        <is>
          <t>RER</t>
        </is>
      </c>
      <c r="D14" t="inlineStr">
        <is>
          <t>unit</t>
        </is>
      </c>
      <c r="E14" t="inlineStr">
        <is>
          <t>technosphere</t>
        </is>
      </c>
      <c r="F14" t="inlineStr">
        <is>
          <t>home electricity storage system</t>
        </is>
      </c>
      <c r="G14" s="5" t="n"/>
      <c r="H14" s="20" t="inlineStr">
        <is>
          <t>Home storage system. Min-max values: 2000-3000 cycle life.</t>
        </is>
      </c>
      <c r="I14" s="19" t="n">
        <v>5</v>
      </c>
      <c r="J14" s="17">
        <f>B14</f>
        <v>2.564102564102564E-5</v>
      </c>
      <c r="K14">
        <f>1/(3000*80%*19.5)</f>
        <v>2.1367521367521368E-5</v>
      </c>
      <c r="L14">
        <f>1/(2000*80%*19.5)</f>
        <v>3.2051282051282051E-5</v>
      </c>
    </row>
    <row r="15">
      <c r="A15" s="9" t="n"/>
      <c r="B15" s="17" t="n"/>
      <c r="G15" s="5" t="n"/>
      <c r="H15" s="20" t="n"/>
    </row>
    <row r="16">
      <c r="A16" s="3" t="inlineStr">
        <is>
          <t>Activity</t>
        </is>
      </c>
      <c r="B16" s="4" t="inlineStr">
        <is>
          <t>electricity supply, from stationary 14.4 kWh LFP battery</t>
        </is>
      </c>
      <c r="C16" s="5" t="n"/>
      <c r="D16" s="6" t="n"/>
      <c r="E16" s="6" t="n"/>
      <c r="F16" s="6" t="n"/>
      <c r="G16" s="6" t="n"/>
      <c r="H16" s="6" t="n"/>
      <c r="I16" s="7" t="n"/>
      <c r="K16" s="8" t="n"/>
    </row>
    <row r="17">
      <c r="A17" s="9" t="inlineStr">
        <is>
          <t>production amount</t>
        </is>
      </c>
      <c r="B17" s="10" t="n">
        <v>1</v>
      </c>
      <c r="C17" s="6" t="n"/>
      <c r="D17" s="6" t="n"/>
      <c r="E17" s="6" t="n"/>
      <c r="F17" s="6" t="n"/>
      <c r="G17" s="6" t="n"/>
      <c r="H17" s="6" t="n"/>
      <c r="I17" s="7" t="n"/>
      <c r="K17" s="8" t="n"/>
    </row>
    <row r="18">
      <c r="A18" s="9" t="inlineStr">
        <is>
          <t>comment</t>
        </is>
      </c>
      <c r="B18" s="11" t="inlineStr">
        <is>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18" s="6" t="n"/>
      <c r="D18" s="6" t="n"/>
      <c r="E18" s="6" t="n"/>
      <c r="F18" s="6" t="n"/>
      <c r="G18" s="6" t="n"/>
      <c r="H18" s="6" t="n"/>
      <c r="I18" s="7" t="n"/>
      <c r="K18" s="8" t="n"/>
    </row>
    <row r="19">
      <c r="A19" s="9" t="inlineStr">
        <is>
          <t>reference product</t>
        </is>
      </c>
      <c r="B19" s="12" t="inlineStr">
        <is>
          <t>electricity, high voltage</t>
        </is>
      </c>
      <c r="C19" s="6" t="n"/>
      <c r="D19" s="6" t="n"/>
      <c r="E19" s="6" t="n"/>
      <c r="F19" s="6" t="n"/>
      <c r="G19" s="6" t="n"/>
      <c r="H19" s="6" t="n"/>
      <c r="I19" s="7" t="n"/>
      <c r="K19" s="8" t="n"/>
    </row>
    <row r="20">
      <c r="A20" s="9" t="inlineStr">
        <is>
          <t>location</t>
        </is>
      </c>
      <c r="B20" s="11" t="inlineStr">
        <is>
          <t>CH</t>
        </is>
      </c>
      <c r="C20" s="6" t="n"/>
      <c r="D20" s="6" t="n"/>
      <c r="E20" s="6" t="n"/>
      <c r="F20" s="6" t="n"/>
      <c r="G20" s="6" t="n"/>
      <c r="H20" s="6" t="n"/>
      <c r="I20" s="7" t="n"/>
      <c r="K20" s="8" t="n"/>
    </row>
    <row r="21">
      <c r="A21" s="9" t="inlineStr">
        <is>
          <t>unit</t>
        </is>
      </c>
      <c r="B21" s="13" t="inlineStr">
        <is>
          <t>kilowatt hour</t>
        </is>
      </c>
      <c r="C21" s="6" t="n"/>
      <c r="D21" s="6" t="n"/>
      <c r="E21" s="6" t="n"/>
      <c r="F21" s="6" t="n"/>
      <c r="G21" s="6" t="n"/>
      <c r="H21" s="14" t="n"/>
      <c r="I21" s="15" t="n"/>
      <c r="K21" s="8" t="n"/>
    </row>
    <row r="22">
      <c r="A22" s="14" t="inlineStr">
        <is>
          <t>Exchanges</t>
        </is>
      </c>
      <c r="B22" s="4" t="n"/>
      <c r="C22" s="14" t="n"/>
      <c r="D22" s="14" t="n"/>
      <c r="E22" s="14" t="n"/>
      <c r="F22" s="14" t="n"/>
      <c r="G22" s="14" t="n"/>
      <c r="H22" s="5" t="n"/>
      <c r="I22" s="16" t="n"/>
      <c r="K22" s="8" t="n"/>
    </row>
    <row r="23">
      <c r="A23" s="1" t="inlineStr">
        <is>
          <t>name</t>
        </is>
      </c>
      <c r="B23" s="21" t="inlineStr">
        <is>
          <t>amount</t>
        </is>
      </c>
      <c r="C23" s="1" t="inlineStr">
        <is>
          <t>location</t>
        </is>
      </c>
      <c r="D23" s="1" t="inlineStr">
        <is>
          <t>unit</t>
        </is>
      </c>
      <c r="E23" s="1" t="inlineStr">
        <is>
          <t>type</t>
        </is>
      </c>
      <c r="F23" s="1" t="inlineStr">
        <is>
          <t>reference product</t>
        </is>
      </c>
      <c r="G23" s="1" t="inlineStr">
        <is>
          <t>categories</t>
        </is>
      </c>
      <c r="H23" s="22" t="inlineStr">
        <is>
          <t>comment</t>
        </is>
      </c>
      <c r="I23" s="23" t="inlineStr">
        <is>
          <t>uncertainty type</t>
        </is>
      </c>
      <c r="J23" s="25" t="inlineStr">
        <is>
          <t>loc</t>
        </is>
      </c>
      <c r="K23" s="25" t="inlineStr">
        <is>
          <t>minimum</t>
        </is>
      </c>
      <c r="L23" s="25" t="inlineStr">
        <is>
          <t>maximum</t>
        </is>
      </c>
    </row>
    <row r="24">
      <c r="A24" s="17" t="inlineStr">
        <is>
          <t>electricity supply, from stationary 14.4 kWh LFP battery</t>
        </is>
      </c>
      <c r="B24" s="17" t="n">
        <v>1</v>
      </c>
      <c r="C24" t="inlineStr">
        <is>
          <t>CH</t>
        </is>
      </c>
      <c r="D24" t="inlineStr">
        <is>
          <t>kilowatt hour</t>
        </is>
      </c>
      <c r="E24" t="inlineStr">
        <is>
          <t>production</t>
        </is>
      </c>
      <c r="F24" t="inlineStr">
        <is>
          <t>electricity, high voltage</t>
        </is>
      </c>
      <c r="G24" s="5" t="n"/>
      <c r="H24" s="16" t="n"/>
      <c r="I24" s="19" t="n"/>
      <c r="K24" s="8" t="n"/>
    </row>
    <row r="25">
      <c r="A25" s="9" t="inlineStr">
        <is>
          <t>market for electricity, low voltage</t>
        </is>
      </c>
      <c r="B25" s="17">
        <f>1*1.19</f>
        <v>1.19</v>
      </c>
      <c r="C25" t="inlineStr">
        <is>
          <t>CH</t>
        </is>
      </c>
      <c r="D25" t="inlineStr">
        <is>
          <t>kilowatt hour</t>
        </is>
      </c>
      <c r="E25" t="inlineStr">
        <is>
          <t>technosphere</t>
        </is>
      </c>
      <c r="F25" t="inlineStr">
        <is>
          <t>electricity, low voltage</t>
        </is>
      </c>
      <c r="G25" s="5" t="n"/>
      <c r="H25" s="18" t="inlineStr">
        <is>
          <t>Accounts for the round trip efficiency of 81%. Min-max: 75-90% efficiency.</t>
        </is>
      </c>
      <c r="I25" s="19" t="n">
        <v>5</v>
      </c>
      <c r="J25" s="17">
        <f>B25</f>
        <v>1.19</v>
      </c>
      <c r="K25">
        <f>1*1.1</f>
        <v>1.1000000000000001</v>
      </c>
      <c r="L25">
        <f>1*1.25</f>
        <v>1.25</v>
      </c>
    </row>
    <row r="26">
      <c r="A26" s="9" t="inlineStr">
        <is>
          <t>market for electricity, low voltage</t>
        </is>
      </c>
      <c r="B26" s="17">
        <f>((22/1000)*6000*13)/(2500*19.5*0.8)</f>
        <v>4.3999999999999997E-2</v>
      </c>
      <c r="C26" t="inlineStr">
        <is>
          <t>CH</t>
        </is>
      </c>
      <c r="D26" t="inlineStr">
        <is>
          <t>kilowatt hour</t>
        </is>
      </c>
      <c r="E26" t="inlineStr">
        <is>
          <t>technosphere</t>
        </is>
      </c>
      <c r="F26" t="inlineStr">
        <is>
          <t>electricity, low voltage</t>
        </is>
      </c>
      <c r="G26" s="5" t="n"/>
      <c r="H26" s="18" t="inlineStr">
        <is>
          <t>Accounts or standby electricity consumption.</t>
        </is>
      </c>
      <c r="I26" s="19" t="n"/>
    </row>
    <row r="27">
      <c r="A27" s="9" t="inlineStr">
        <is>
          <t>home electricity storage system, 14.4 kWh, LFP battery</t>
        </is>
      </c>
      <c r="B27" s="17">
        <f>1/(2500*80%*14.4)</f>
        <v>3.4722222222222222E-5</v>
      </c>
      <c r="C27" t="inlineStr">
        <is>
          <t>RER</t>
        </is>
      </c>
      <c r="D27" t="inlineStr">
        <is>
          <t>unit</t>
        </is>
      </c>
      <c r="E27" t="inlineStr">
        <is>
          <t>technosphere</t>
        </is>
      </c>
      <c r="F27" t="inlineStr">
        <is>
          <t>home electricity storage system</t>
        </is>
      </c>
      <c r="G27" s="5" t="n"/>
      <c r="H27" s="20" t="inlineStr">
        <is>
          <t>Home storage system. Min-max values: 2000-3000 cycle life.</t>
        </is>
      </c>
      <c r="I27" s="19" t="n">
        <v>5</v>
      </c>
      <c r="J27" s="17">
        <f>B27</f>
        <v>3.4722222222222222E-5</v>
      </c>
      <c r="K27">
        <f>1/(3000*80%*14.4)</f>
        <v>2.8935185185185186E-5</v>
      </c>
      <c r="L27">
        <f>1/(2000*80%*14.4)</f>
        <v>4.3402777777777779E-5</v>
      </c>
    </row>
    <row r="28">
      <c r="A28" s="9" t="n"/>
      <c r="B28" s="17" t="n"/>
      <c r="G28" s="5" t="n"/>
      <c r="H28" s="20" t="n"/>
    </row>
    <row r="29">
      <c r="A29" s="1" t="inlineStr">
        <is>
          <t>Activity</t>
        </is>
      </c>
      <c r="B29" s="1" t="inlineStr">
        <is>
          <t>home electricity storage system, 14.4 kWh, LFP battery</t>
        </is>
      </c>
    </row>
    <row r="30">
      <c r="A30" t="inlineStr">
        <is>
          <t>reference product</t>
        </is>
      </c>
      <c r="B30" t="inlineStr">
        <is>
          <t>home electricity storage system</t>
        </is>
      </c>
    </row>
    <row r="31">
      <c r="A31" t="inlineStr">
        <is>
          <t>location</t>
        </is>
      </c>
      <c r="B31" t="inlineStr">
        <is>
          <t>RER</t>
        </is>
      </c>
    </row>
    <row r="32">
      <c r="A32" t="inlineStr">
        <is>
          <t>amount</t>
        </is>
      </c>
      <c r="B32" t="n">
        <v>1</v>
      </c>
    </row>
    <row r="33">
      <c r="A33" t="inlineStr">
        <is>
          <t>unit</t>
        </is>
      </c>
      <c r="B33" t="inlineStr">
        <is>
          <t>unit</t>
        </is>
      </c>
    </row>
    <row r="34">
      <c r="A34" t="inlineStr">
        <is>
          <t>comment</t>
        </is>
      </c>
      <c r="B34" t="inlineStr">
        <is>
          <t>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35">
      <c r="A35" t="inlineStr">
        <is>
          <t>Exchanges</t>
        </is>
      </c>
    </row>
    <row r="36">
      <c r="A36" s="1" t="inlineStr">
        <is>
          <t>name</t>
        </is>
      </c>
      <c r="B36" s="1" t="inlineStr">
        <is>
          <t>reference product</t>
        </is>
      </c>
      <c r="C36" s="1" t="inlineStr">
        <is>
          <t>amount</t>
        </is>
      </c>
      <c r="D36" s="1" t="inlineStr">
        <is>
          <t>unit</t>
        </is>
      </c>
      <c r="E36" s="1" t="inlineStr">
        <is>
          <t>location</t>
        </is>
      </c>
      <c r="F36" s="1" t="inlineStr">
        <is>
          <t>type</t>
        </is>
      </c>
      <c r="G36" s="1" t="inlineStr">
        <is>
          <t>comment</t>
        </is>
      </c>
    </row>
    <row r="37">
      <c r="A37" t="inlineStr">
        <is>
          <t>home electricity storage system, 14.4 kWh, LFP battery</t>
        </is>
      </c>
      <c r="B37" t="inlineStr">
        <is>
          <t>home electricity storage system</t>
        </is>
      </c>
      <c r="C37" t="n">
        <v>1</v>
      </c>
      <c r="D37" t="inlineStr">
        <is>
          <t>unit</t>
        </is>
      </c>
      <c r="E37" t="inlineStr">
        <is>
          <t>RER</t>
        </is>
      </c>
      <c r="F37" t="inlineStr">
        <is>
          <t>production</t>
        </is>
      </c>
    </row>
    <row r="38">
      <c r="A38" t="inlineStr">
        <is>
          <t>ampere charger production</t>
        </is>
      </c>
      <c r="B38" t="inlineStr">
        <is>
          <t>ampere charger for home storage system</t>
        </is>
      </c>
      <c r="C38" t="n">
        <v>14.4</v>
      </c>
      <c r="D38" t="inlineStr">
        <is>
          <t>kilogram</t>
        </is>
      </c>
      <c r="E38" t="inlineStr">
        <is>
          <t>RER</t>
        </is>
      </c>
      <c r="F38" t="inlineStr">
        <is>
          <t>technosphere</t>
        </is>
      </c>
      <c r="G38" t="inlineStr">
        <is>
          <t>Ampere Charger</t>
        </is>
      </c>
    </row>
    <row r="39">
      <c r="A39" t="inlineStr">
        <is>
          <t>market for cable, unspecified</t>
        </is>
      </c>
      <c r="B39" t="inlineStr">
        <is>
          <t>cable, unspecified</t>
        </is>
      </c>
      <c r="C39" t="n">
        <v>8.640000000000001</v>
      </c>
      <c r="D39" t="inlineStr">
        <is>
          <t>kilogram</t>
        </is>
      </c>
      <c r="E39" t="inlineStr">
        <is>
          <t>GLO</t>
        </is>
      </c>
      <c r="F39" t="inlineStr">
        <is>
          <t>technosphere</t>
        </is>
      </c>
      <c r="G39" t="inlineStr">
        <is>
          <t>Cable</t>
        </is>
      </c>
    </row>
    <row r="40">
      <c r="A40" t="inlineStr">
        <is>
          <t>market for electricity, medium voltage</t>
        </is>
      </c>
      <c r="B40" t="inlineStr">
        <is>
          <t>electricity, medium voltage</t>
        </is>
      </c>
      <c r="C40" t="n">
        <v>34.56</v>
      </c>
      <c r="D40" t="inlineStr">
        <is>
          <t>kilowatt hour</t>
        </is>
      </c>
      <c r="E40" t="inlineStr">
        <is>
          <t>DE</t>
        </is>
      </c>
      <c r="F40" t="inlineStr">
        <is>
          <t>technosphere</t>
        </is>
      </c>
      <c r="G40" t="inlineStr">
        <is>
          <t>Electricity</t>
        </is>
      </c>
    </row>
    <row r="41">
      <c r="A41" t="inlineStr">
        <is>
          <t>market for electronics, for control units</t>
        </is>
      </c>
      <c r="B41" t="inlineStr">
        <is>
          <t>electronics, for control units</t>
        </is>
      </c>
      <c r="C41" t="n">
        <v>0.5760000000000001</v>
      </c>
      <c r="D41" t="inlineStr">
        <is>
          <t>kilogram</t>
        </is>
      </c>
      <c r="E41" t="inlineStr">
        <is>
          <t>GLO</t>
        </is>
      </c>
      <c r="F41" t="inlineStr">
        <is>
          <t>technosphere</t>
        </is>
      </c>
      <c r="G41" t="inlineStr">
        <is>
          <t>Electronics</t>
        </is>
      </c>
    </row>
    <row r="42">
      <c r="A42" t="inlineStr">
        <is>
          <t>housing assembly for home storage system</t>
        </is>
      </c>
      <c r="B42" t="inlineStr">
        <is>
          <t>housing for home storage system</t>
        </is>
      </c>
      <c r="C42" t="n">
        <v>83.52</v>
      </c>
      <c r="D42" t="inlineStr">
        <is>
          <t>kilogram</t>
        </is>
      </c>
      <c r="E42" t="inlineStr">
        <is>
          <t>RER</t>
        </is>
      </c>
      <c r="F42" t="inlineStr">
        <is>
          <t>technosphere</t>
        </is>
      </c>
      <c r="G42" t="inlineStr">
        <is>
          <t>Housing</t>
        </is>
      </c>
    </row>
    <row r="43">
      <c r="A43" t="inlineStr">
        <is>
          <t>inverter production for home storage system</t>
        </is>
      </c>
      <c r="B43" t="inlineStr">
        <is>
          <t>inverter for home storage system</t>
        </is>
      </c>
      <c r="C43" t="n">
        <v>17.28</v>
      </c>
      <c r="D43" t="inlineStr">
        <is>
          <t>kilogram</t>
        </is>
      </c>
      <c r="E43" t="inlineStr">
        <is>
          <t>RER</t>
        </is>
      </c>
      <c r="F43" t="inlineStr">
        <is>
          <t>technosphere</t>
        </is>
      </c>
      <c r="G43" t="inlineStr">
        <is>
          <t>Inverter</t>
        </is>
      </c>
    </row>
    <row r="44">
      <c r="A44" t="inlineStr">
        <is>
          <t>cell module production, LFP, for home storage system</t>
        </is>
      </c>
      <c r="B44" t="inlineStr">
        <is>
          <t>cell module, LFP, for home storage system</t>
        </is>
      </c>
      <c r="C44" t="n">
        <v>161.28</v>
      </c>
      <c r="D44" t="inlineStr">
        <is>
          <t>kilogram</t>
        </is>
      </c>
      <c r="E44" t="inlineStr">
        <is>
          <t>RER</t>
        </is>
      </c>
      <c r="F44" t="inlineStr">
        <is>
          <t>technosphere</t>
        </is>
      </c>
      <c r="G44" t="inlineStr">
        <is>
          <t>LFP Module</t>
        </is>
      </c>
    </row>
    <row r="45">
      <c r="A45" t="inlineStr">
        <is>
          <t>system controller production, for home storage system</t>
        </is>
      </c>
      <c r="B45" t="inlineStr">
        <is>
          <t>system controller, for home storage system</t>
        </is>
      </c>
      <c r="C45" t="n">
        <v>5.76</v>
      </c>
      <c r="D45" t="inlineStr">
        <is>
          <t>kilogram</t>
        </is>
      </c>
      <c r="E45" t="inlineStr">
        <is>
          <t>RER</t>
        </is>
      </c>
      <c r="F45" t="inlineStr">
        <is>
          <t>technosphere</t>
        </is>
      </c>
      <c r="G45" t="inlineStr">
        <is>
          <t>System Control</t>
        </is>
      </c>
    </row>
    <row r="46">
      <c r="A46" t="inlineStr">
        <is>
          <t>market for transport, freight, lorry 16-32 metric ton, EURO5</t>
        </is>
      </c>
      <c r="B46" t="inlineStr">
        <is>
          <t>transport, freight, lorry 16-32 metric ton, EURO5</t>
        </is>
      </c>
      <c r="C46" t="n">
        <v>86.39999999999999</v>
      </c>
      <c r="D46" t="inlineStr">
        <is>
          <t>ton kilometer</t>
        </is>
      </c>
      <c r="E46" t="inlineStr">
        <is>
          <t>RER</t>
        </is>
      </c>
      <c r="F46" t="inlineStr">
        <is>
          <t>technosphere</t>
        </is>
      </c>
      <c r="G46" t="inlineStr">
        <is>
          <t>Transport, lorry</t>
        </is>
      </c>
    </row>
    <row r="47"/>
    <row r="48">
      <c r="A48" s="1" t="inlineStr">
        <is>
          <t>Activity</t>
        </is>
      </c>
      <c r="B48" s="1" t="inlineStr">
        <is>
          <t>home electricity storage system, 19.5 kWh, NMC811 battery</t>
        </is>
      </c>
    </row>
    <row r="49">
      <c r="A49" t="inlineStr">
        <is>
          <t>reference product</t>
        </is>
      </c>
      <c r="B49" t="inlineStr">
        <is>
          <t>home electricity storage system</t>
        </is>
      </c>
    </row>
    <row r="50">
      <c r="A50" t="inlineStr">
        <is>
          <t>location</t>
        </is>
      </c>
      <c r="B50" t="inlineStr">
        <is>
          <t>RER</t>
        </is>
      </c>
    </row>
    <row r="51">
      <c r="A51" t="inlineStr">
        <is>
          <t>amount</t>
        </is>
      </c>
      <c r="B51" t="n">
        <v>1</v>
      </c>
    </row>
    <row r="52">
      <c r="A52" t="inlineStr">
        <is>
          <t>unit</t>
        </is>
      </c>
      <c r="B52" t="inlineStr">
        <is>
          <t>unit</t>
        </is>
      </c>
    </row>
    <row r="53">
      <c r="A53" t="inlineStr">
        <is>
          <t>comment</t>
        </is>
      </c>
      <c r="B53" t="inlineStr">
        <is>
          <t>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54">
      <c r="A54" t="inlineStr">
        <is>
          <t>Exchanges</t>
        </is>
      </c>
    </row>
    <row r="55">
      <c r="A55" s="1" t="inlineStr">
        <is>
          <t>name</t>
        </is>
      </c>
      <c r="B55" s="1" t="inlineStr">
        <is>
          <t>reference product</t>
        </is>
      </c>
      <c r="C55" s="1" t="inlineStr">
        <is>
          <t>amount</t>
        </is>
      </c>
      <c r="D55" s="1" t="inlineStr">
        <is>
          <t>unit</t>
        </is>
      </c>
      <c r="E55" s="1" t="inlineStr">
        <is>
          <t>location</t>
        </is>
      </c>
      <c r="F55" s="1" t="inlineStr">
        <is>
          <t>type</t>
        </is>
      </c>
      <c r="G55" s="1" t="inlineStr">
        <is>
          <t>comment</t>
        </is>
      </c>
    </row>
    <row r="56">
      <c r="A56" t="inlineStr">
        <is>
          <t>home electricity storage system, 19.5 kWh, NMC811 battery</t>
        </is>
      </c>
      <c r="B56" t="inlineStr">
        <is>
          <t>home electricity storage system</t>
        </is>
      </c>
      <c r="C56" t="n">
        <v>1</v>
      </c>
      <c r="D56" t="inlineStr">
        <is>
          <t>unit</t>
        </is>
      </c>
      <c r="E56" t="inlineStr">
        <is>
          <t>RER</t>
        </is>
      </c>
      <c r="F56" t="inlineStr">
        <is>
          <t>production</t>
        </is>
      </c>
    </row>
    <row r="57">
      <c r="A57" t="inlineStr">
        <is>
          <t>ampere charger production</t>
        </is>
      </c>
      <c r="B57" t="inlineStr">
        <is>
          <t>ampere charger for home storage system</t>
        </is>
      </c>
      <c r="C57" t="n">
        <v>14.4</v>
      </c>
      <c r="D57" t="inlineStr">
        <is>
          <t>kilogram</t>
        </is>
      </c>
      <c r="E57" t="inlineStr">
        <is>
          <t>RER</t>
        </is>
      </c>
      <c r="F57" t="inlineStr">
        <is>
          <t>technosphere</t>
        </is>
      </c>
      <c r="G57" t="inlineStr">
        <is>
          <t>Ampere Charger</t>
        </is>
      </c>
    </row>
    <row r="58">
      <c r="A58" t="inlineStr">
        <is>
          <t>market for cable, unspecified</t>
        </is>
      </c>
      <c r="B58" t="inlineStr">
        <is>
          <t>cable, unspecified</t>
        </is>
      </c>
      <c r="C58" t="n">
        <v>8.640000000000001</v>
      </c>
      <c r="D58" t="inlineStr">
        <is>
          <t>kilogram</t>
        </is>
      </c>
      <c r="E58" t="inlineStr">
        <is>
          <t>GLO</t>
        </is>
      </c>
      <c r="F58" t="inlineStr">
        <is>
          <t>technosphere</t>
        </is>
      </c>
      <c r="G58" t="inlineStr">
        <is>
          <t>Cable</t>
        </is>
      </c>
    </row>
    <row r="59">
      <c r="A59" t="inlineStr">
        <is>
          <t>market for electricity, medium voltage</t>
        </is>
      </c>
      <c r="B59" t="inlineStr">
        <is>
          <t>electricity, medium voltage</t>
        </is>
      </c>
      <c r="C59" t="n">
        <v>34.56</v>
      </c>
      <c r="D59" t="inlineStr">
        <is>
          <t>kilowatt hour</t>
        </is>
      </c>
      <c r="E59" t="inlineStr">
        <is>
          <t>DE</t>
        </is>
      </c>
      <c r="F59" t="inlineStr">
        <is>
          <t>technosphere</t>
        </is>
      </c>
      <c r="G59" t="inlineStr">
        <is>
          <t>Electricity</t>
        </is>
      </c>
    </row>
    <row r="60">
      <c r="A60" t="inlineStr">
        <is>
          <t>market for electronics, for control units</t>
        </is>
      </c>
      <c r="B60" t="inlineStr">
        <is>
          <t>electronics, for control units</t>
        </is>
      </c>
      <c r="C60" t="n">
        <v>0.5760000000000001</v>
      </c>
      <c r="D60" t="inlineStr">
        <is>
          <t>kilogram</t>
        </is>
      </c>
      <c r="E60" t="inlineStr">
        <is>
          <t>GLO</t>
        </is>
      </c>
      <c r="F60" t="inlineStr">
        <is>
          <t>technosphere</t>
        </is>
      </c>
      <c r="G60" t="inlineStr">
        <is>
          <t>Electronics</t>
        </is>
      </c>
    </row>
    <row r="61">
      <c r="A61" t="inlineStr">
        <is>
          <t>housing assembly for home storage system</t>
        </is>
      </c>
      <c r="B61" t="inlineStr">
        <is>
          <t>housing for home storage system</t>
        </is>
      </c>
      <c r="C61" t="n">
        <v>83.52</v>
      </c>
      <c r="D61" t="inlineStr">
        <is>
          <t>kilogram</t>
        </is>
      </c>
      <c r="E61" t="inlineStr">
        <is>
          <t>RER</t>
        </is>
      </c>
      <c r="F61" t="inlineStr">
        <is>
          <t>technosphere</t>
        </is>
      </c>
      <c r="G61" t="inlineStr">
        <is>
          <t>Housing</t>
        </is>
      </c>
    </row>
    <row r="62">
      <c r="A62" t="inlineStr">
        <is>
          <t>inverter production for home storage system</t>
        </is>
      </c>
      <c r="B62" t="inlineStr">
        <is>
          <t>inverter for home storage system</t>
        </is>
      </c>
      <c r="C62" t="n">
        <v>17.28</v>
      </c>
      <c r="D62" t="inlineStr">
        <is>
          <t>kilogram</t>
        </is>
      </c>
      <c r="E62" t="inlineStr">
        <is>
          <t>RER</t>
        </is>
      </c>
      <c r="F62" t="inlineStr">
        <is>
          <t>technosphere</t>
        </is>
      </c>
      <c r="G62" t="inlineStr">
        <is>
          <t>Inverter</t>
        </is>
      </c>
    </row>
    <row r="63">
      <c r="A63" t="inlineStr">
        <is>
          <t>cell module production, NMC811, for home storage system</t>
        </is>
      </c>
      <c r="B63" t="inlineStr">
        <is>
          <t>cell module, NMC811, for home storage system</t>
        </is>
      </c>
      <c r="C63" t="n">
        <v>161.28</v>
      </c>
      <c r="D63" t="inlineStr">
        <is>
          <t>kilogram</t>
        </is>
      </c>
      <c r="E63" t="inlineStr">
        <is>
          <t>RER</t>
        </is>
      </c>
      <c r="F63" t="inlineStr">
        <is>
          <t>technosphere</t>
        </is>
      </c>
      <c r="G63" t="inlineStr">
        <is>
          <t>LFP Module</t>
        </is>
      </c>
    </row>
    <row r="64">
      <c r="A64" t="inlineStr">
        <is>
          <t>system controller production, for home storage system</t>
        </is>
      </c>
      <c r="B64" t="inlineStr">
        <is>
          <t>system controller, for home storage system</t>
        </is>
      </c>
      <c r="C64" t="n">
        <v>5.76</v>
      </c>
      <c r="D64" t="inlineStr">
        <is>
          <t>kilogram</t>
        </is>
      </c>
      <c r="E64" t="inlineStr">
        <is>
          <t>RER</t>
        </is>
      </c>
      <c r="F64" t="inlineStr">
        <is>
          <t>technosphere</t>
        </is>
      </c>
      <c r="G64" t="inlineStr">
        <is>
          <t>System Control</t>
        </is>
      </c>
    </row>
    <row r="65">
      <c r="A65" t="inlineStr">
        <is>
          <t>market for transport, freight, lorry 16-32 metric ton, EURO5</t>
        </is>
      </c>
      <c r="B65" t="inlineStr">
        <is>
          <t>transport, freight, lorry 16-32 metric ton, EURO5</t>
        </is>
      </c>
      <c r="C65" t="n">
        <v>86.39999999999999</v>
      </c>
      <c r="D65" t="inlineStr">
        <is>
          <t>ton kilometer</t>
        </is>
      </c>
      <c r="E65" t="inlineStr">
        <is>
          <t>RER</t>
        </is>
      </c>
      <c r="F65" t="inlineStr">
        <is>
          <t>technosphere</t>
        </is>
      </c>
      <c r="G65" t="inlineStr">
        <is>
          <t>Transport, lorry</t>
        </is>
      </c>
    </row>
    <row r="66"/>
    <row r="67">
      <c r="A67" s="1" t="inlineStr">
        <is>
          <t>Activity</t>
        </is>
      </c>
      <c r="B67" s="1" t="inlineStr">
        <is>
          <t>ampere charger production</t>
        </is>
      </c>
    </row>
    <row r="68">
      <c r="A68" t="inlineStr">
        <is>
          <t>reference product</t>
        </is>
      </c>
      <c r="B68" t="inlineStr">
        <is>
          <t>ampere charger for home storage system</t>
        </is>
      </c>
    </row>
    <row r="69">
      <c r="A69" t="inlineStr">
        <is>
          <t>location</t>
        </is>
      </c>
      <c r="B69" t="inlineStr">
        <is>
          <t>RER</t>
        </is>
      </c>
    </row>
    <row r="70">
      <c r="A70" t="inlineStr">
        <is>
          <t>amount</t>
        </is>
      </c>
      <c r="B70" t="n">
        <v>1</v>
      </c>
    </row>
    <row r="71">
      <c r="A71" t="inlineStr">
        <is>
          <t>unit</t>
        </is>
      </c>
      <c r="B71" t="inlineStr">
        <is>
          <t>kilogram</t>
        </is>
      </c>
    </row>
    <row r="72">
      <c r="A72" t="inlineStr">
        <is>
          <t>comment</t>
        </is>
      </c>
      <c r="B72" t="inlineStr">
        <is>
          <t>Life cycle assessment (LCA) of a battery home storage system based on primary data, Friedrich B. Jasper, Jana Spathe, Manuel Baumann, Jens F. Peters, Janna Ruhland, Marcel Weil, 2020, Journal of Cleaner Production
Ampere charge. Weight: 14.2 kg.</t>
        </is>
      </c>
    </row>
    <row r="73">
      <c r="A73" t="inlineStr">
        <is>
          <t>Exchanges</t>
        </is>
      </c>
    </row>
    <row r="74">
      <c r="A74" s="1" t="inlineStr">
        <is>
          <t>name</t>
        </is>
      </c>
      <c r="B74" s="1" t="inlineStr">
        <is>
          <t>reference product</t>
        </is>
      </c>
      <c r="C74" s="1" t="inlineStr">
        <is>
          <t>amount</t>
        </is>
      </c>
      <c r="D74" s="1" t="inlineStr">
        <is>
          <t>unit</t>
        </is>
      </c>
      <c r="E74" s="1" t="inlineStr">
        <is>
          <t>location</t>
        </is>
      </c>
      <c r="F74" s="1" t="inlineStr">
        <is>
          <t>type</t>
        </is>
      </c>
      <c r="G74" s="1" t="inlineStr">
        <is>
          <t>comment</t>
        </is>
      </c>
    </row>
    <row r="75">
      <c r="A75" t="inlineStr">
        <is>
          <t>ampere charger production</t>
        </is>
      </c>
      <c r="B75" t="inlineStr">
        <is>
          <t>ampere charger for home storage system</t>
        </is>
      </c>
      <c r="C75" t="n">
        <v>1</v>
      </c>
      <c r="D75" t="inlineStr">
        <is>
          <t>kilogram</t>
        </is>
      </c>
      <c r="E75" t="inlineStr">
        <is>
          <t>RER</t>
        </is>
      </c>
      <c r="F75" t="inlineStr">
        <is>
          <t>production</t>
        </is>
      </c>
    </row>
    <row r="76">
      <c r="A76" t="inlineStr">
        <is>
          <t>market for aluminium alloy, AlMg3</t>
        </is>
      </c>
      <c r="B76" t="inlineStr">
        <is>
          <t>aluminium alloy, AlMg3</t>
        </is>
      </c>
      <c r="C76" s="2" t="n">
        <v>0.15</v>
      </c>
      <c r="D76" t="inlineStr">
        <is>
          <t>kilogram</t>
        </is>
      </c>
      <c r="E76" t="inlineStr">
        <is>
          <t>GLO</t>
        </is>
      </c>
      <c r="F76" t="inlineStr">
        <is>
          <t>technosphere</t>
        </is>
      </c>
      <c r="G76" t="inlineStr">
        <is>
          <t>Heat sink (Al)</t>
        </is>
      </c>
    </row>
    <row r="77">
      <c r="A77" t="inlineStr">
        <is>
          <t>market for cable, unspecified</t>
        </is>
      </c>
      <c r="B77" t="inlineStr">
        <is>
          <t>cable, unspecified</t>
        </is>
      </c>
      <c r="C77" s="2" t="n">
        <v>0.02</v>
      </c>
      <c r="D77" t="inlineStr">
        <is>
          <t>kilogram</t>
        </is>
      </c>
      <c r="E77" t="inlineStr">
        <is>
          <t>GLO</t>
        </is>
      </c>
      <c r="F77" t="inlineStr">
        <is>
          <t>technosphere</t>
        </is>
      </c>
      <c r="G77" t="inlineStr">
        <is>
          <t>Cable</t>
        </is>
      </c>
    </row>
    <row r="78">
      <c r="A78" t="inlineStr">
        <is>
          <t>market for capacitor, electrolyte type, &gt; 2cm height</t>
        </is>
      </c>
      <c r="B78" t="inlineStr">
        <is>
          <t>capacitor, electrolyte type, &gt; 2cm height</t>
        </is>
      </c>
      <c r="C78" s="2" t="n">
        <v>0.01</v>
      </c>
      <c r="D78" t="inlineStr">
        <is>
          <t>kilogram</t>
        </is>
      </c>
      <c r="E78" t="inlineStr">
        <is>
          <t>GLO</t>
        </is>
      </c>
      <c r="F78" t="inlineStr">
        <is>
          <t>technosphere</t>
        </is>
      </c>
      <c r="G78" t="inlineStr">
        <is>
          <t>Capacitor, electrolyte type</t>
        </is>
      </c>
    </row>
    <row r="79">
      <c r="A79" t="inlineStr">
        <is>
          <t>market for capacitor, film type, for through-hole mounting</t>
        </is>
      </c>
      <c r="B79" t="inlineStr">
        <is>
          <t>capacitor, film type, for through-hole mounting</t>
        </is>
      </c>
      <c r="C79" s="2" t="n">
        <v>0.01</v>
      </c>
      <c r="D79" t="inlineStr">
        <is>
          <t>kilogram</t>
        </is>
      </c>
      <c r="E79" t="inlineStr">
        <is>
          <t>GLO</t>
        </is>
      </c>
      <c r="F79" t="inlineStr">
        <is>
          <t>technosphere</t>
        </is>
      </c>
      <c r="G79" t="inlineStr">
        <is>
          <t>Capacitor, film type</t>
        </is>
      </c>
    </row>
    <row r="80">
      <c r="A80" t="inlineStr">
        <is>
          <t>market for extrusion, plastic film</t>
        </is>
      </c>
      <c r="B80" t="inlineStr">
        <is>
          <t>extrusion, plastic film</t>
        </is>
      </c>
      <c r="C80" s="2" t="n">
        <v>0.01</v>
      </c>
      <c r="D80" t="inlineStr">
        <is>
          <t>kilogram</t>
        </is>
      </c>
      <c r="E80" t="inlineStr">
        <is>
          <t>GLO</t>
        </is>
      </c>
      <c r="F80" t="inlineStr">
        <is>
          <t>technosphere</t>
        </is>
      </c>
      <c r="G80" t="inlineStr">
        <is>
          <t>Plastic film</t>
        </is>
      </c>
    </row>
    <row r="81">
      <c r="A81" t="inlineStr">
        <is>
          <t>market for fan, for power supply unit, desktop computer</t>
        </is>
      </c>
      <c r="B81" t="inlineStr">
        <is>
          <t>fan, for power supply unit, desktop computer</t>
        </is>
      </c>
      <c r="C81" s="2" t="n">
        <v>0.02</v>
      </c>
      <c r="D81" t="inlineStr">
        <is>
          <t>kilogram</t>
        </is>
      </c>
      <c r="E81" t="inlineStr">
        <is>
          <t>GLO</t>
        </is>
      </c>
      <c r="F81" t="inlineStr">
        <is>
          <t>technosphere</t>
        </is>
      </c>
      <c r="G81" t="inlineStr">
        <is>
          <t>Fan</t>
        </is>
      </c>
    </row>
    <row r="82">
      <c r="A82" t="inlineStr">
        <is>
          <t>inductor, other production</t>
        </is>
      </c>
      <c r="B82" t="inlineStr">
        <is>
          <t>inductor, other</t>
        </is>
      </c>
      <c r="C82" t="n">
        <v>0.08</v>
      </c>
      <c r="D82" t="inlineStr">
        <is>
          <t>kilogram</t>
        </is>
      </c>
      <c r="E82" t="inlineStr">
        <is>
          <t>RER</t>
        </is>
      </c>
      <c r="F82" t="inlineStr">
        <is>
          <t>technosphere</t>
        </is>
      </c>
      <c r="G82" t="inlineStr">
        <is>
          <t>Inductor</t>
        </is>
      </c>
    </row>
    <row r="83">
      <c r="A83" t="inlineStr">
        <is>
          <t>market for inductor, ring core choke type</t>
        </is>
      </c>
      <c r="B83" t="inlineStr">
        <is>
          <t>inductor, ring core choke type</t>
        </is>
      </c>
      <c r="C83" t="n">
        <v>0.14</v>
      </c>
      <c r="D83" t="inlineStr">
        <is>
          <t>kilogram</t>
        </is>
      </c>
      <c r="E83" t="inlineStr">
        <is>
          <t>GLO</t>
        </is>
      </c>
      <c r="F83" t="inlineStr">
        <is>
          <t>technosphere</t>
        </is>
      </c>
      <c r="G83" t="inlineStr">
        <is>
          <t>Inductor, ring core choke type</t>
        </is>
      </c>
    </row>
    <row r="84">
      <c r="A84" t="inlineStr">
        <is>
          <t>market for metal working, average for aluminium product manufacturing</t>
        </is>
      </c>
      <c r="B84" t="inlineStr">
        <is>
          <t>metal working, average for aluminium product manufacturing</t>
        </is>
      </c>
      <c r="C84" t="n">
        <v>0.15</v>
      </c>
      <c r="D84" t="inlineStr">
        <is>
          <t>kilogram</t>
        </is>
      </c>
      <c r="E84" t="inlineStr">
        <is>
          <t>GLO</t>
        </is>
      </c>
      <c r="F84" t="inlineStr">
        <is>
          <t>technosphere</t>
        </is>
      </c>
      <c r="G84" t="inlineStr">
        <is>
          <t>Metal working, aluminium</t>
        </is>
      </c>
    </row>
    <row r="85">
      <c r="A85" t="inlineStr">
        <is>
          <t>market for metal working, average for steel product manufacturing</t>
        </is>
      </c>
      <c r="B85" t="inlineStr">
        <is>
          <t>metal working, average for steel product manufacturing</t>
        </is>
      </c>
      <c r="C85" t="n">
        <v>0.51</v>
      </c>
      <c r="D85" t="inlineStr">
        <is>
          <t>kilogram</t>
        </is>
      </c>
      <c r="E85" t="inlineStr">
        <is>
          <t>GLO</t>
        </is>
      </c>
      <c r="F85" t="inlineStr">
        <is>
          <t>technosphere</t>
        </is>
      </c>
      <c r="G85" t="inlineStr">
        <is>
          <t>Metal working, steel</t>
        </is>
      </c>
    </row>
    <row r="86">
      <c r="A86" t="inlineStr">
        <is>
          <t>market for printed wiring board, for through-hole mounting, Pb containing surface</t>
        </is>
      </c>
      <c r="B86" t="inlineStr">
        <is>
          <t>printed wiring board, for through-hole mounting, Pb containing surface</t>
        </is>
      </c>
      <c r="C86" t="n">
        <v>0.02</v>
      </c>
      <c r="D86" t="inlineStr">
        <is>
          <t>square meter</t>
        </is>
      </c>
      <c r="E86" t="inlineStr">
        <is>
          <t>GLO</t>
        </is>
      </c>
      <c r="F86" t="inlineStr">
        <is>
          <t>technosphere</t>
        </is>
      </c>
      <c r="G86" t="inlineStr">
        <is>
          <t>Printed wiring board</t>
        </is>
      </c>
    </row>
    <row r="87">
      <c r="A87" t="inlineStr">
        <is>
          <t>market for steel, low-alloyed</t>
        </is>
      </c>
      <c r="B87" t="inlineStr">
        <is>
          <t>steel, low-alloyed</t>
        </is>
      </c>
      <c r="C87" t="n">
        <v>0.51</v>
      </c>
      <c r="D87" t="inlineStr">
        <is>
          <t>kilogram</t>
        </is>
      </c>
      <c r="E87" t="inlineStr">
        <is>
          <t>GLO</t>
        </is>
      </c>
      <c r="F87" t="inlineStr">
        <is>
          <t>technosphere</t>
        </is>
      </c>
      <c r="G87" t="inlineStr">
        <is>
          <t>Steel</t>
        </is>
      </c>
    </row>
    <row r="88">
      <c r="A88" t="inlineStr">
        <is>
          <t>market for transport, freight train</t>
        </is>
      </c>
      <c r="B88" t="inlineStr">
        <is>
          <t>transport, freight train</t>
        </is>
      </c>
      <c r="C88" t="n">
        <v>1</v>
      </c>
      <c r="D88" t="inlineStr">
        <is>
          <t>ton kilometer</t>
        </is>
      </c>
      <c r="E88" t="inlineStr">
        <is>
          <t>Europe without Switzerland</t>
        </is>
      </c>
      <c r="F88" t="inlineStr">
        <is>
          <t>technosphere</t>
        </is>
      </c>
      <c r="G88" t="inlineStr">
        <is>
          <t>Transport, train</t>
        </is>
      </c>
    </row>
    <row r="89">
      <c r="A89" t="inlineStr">
        <is>
          <t>market for transport, freight, lorry 16-32 metric ton, EURO5</t>
        </is>
      </c>
      <c r="B89" t="inlineStr">
        <is>
          <t>transport, freight, lorry 16-32 metric ton, EURO5</t>
        </is>
      </c>
      <c r="C89" t="n">
        <v>1</v>
      </c>
      <c r="D89" t="inlineStr">
        <is>
          <t>ton kilometer</t>
        </is>
      </c>
      <c r="E89" t="inlineStr">
        <is>
          <t>RER</t>
        </is>
      </c>
      <c r="F89" t="inlineStr">
        <is>
          <t>technosphere</t>
        </is>
      </c>
      <c r="G89" t="inlineStr">
        <is>
          <t>Transport, freight lorry</t>
        </is>
      </c>
    </row>
    <row r="90">
      <c r="A90" t="inlineStr">
        <is>
          <t>market for transport, freight, sea, container ship</t>
        </is>
      </c>
      <c r="B90" t="inlineStr">
        <is>
          <t>transport, freight, sea, container ship</t>
        </is>
      </c>
      <c r="C90" t="n">
        <v>8</v>
      </c>
      <c r="D90" t="inlineStr">
        <is>
          <t>ton kilometer</t>
        </is>
      </c>
      <c r="E90" t="inlineStr">
        <is>
          <t>GLO</t>
        </is>
      </c>
      <c r="F90" t="inlineStr">
        <is>
          <t>technosphere</t>
        </is>
      </c>
      <c r="G90" t="inlineStr">
        <is>
          <t>Transport, freights sea</t>
        </is>
      </c>
    </row>
    <row r="91"/>
    <row r="92">
      <c r="A92" s="1" t="inlineStr">
        <is>
          <t>Activity</t>
        </is>
      </c>
      <c r="B92" s="1" t="inlineStr">
        <is>
          <t>inductor, other production</t>
        </is>
      </c>
    </row>
    <row r="93">
      <c r="A93" t="inlineStr">
        <is>
          <t>reference product</t>
        </is>
      </c>
      <c r="B93" t="inlineStr">
        <is>
          <t>inductor, other</t>
        </is>
      </c>
    </row>
    <row r="94">
      <c r="A94" t="inlineStr">
        <is>
          <t>location</t>
        </is>
      </c>
      <c r="B94" t="inlineStr">
        <is>
          <t>RER</t>
        </is>
      </c>
    </row>
    <row r="95">
      <c r="A95" t="inlineStr">
        <is>
          <t>amount</t>
        </is>
      </c>
      <c r="B95" t="n">
        <v>1</v>
      </c>
    </row>
    <row r="96">
      <c r="A96" t="inlineStr">
        <is>
          <t>unit</t>
        </is>
      </c>
      <c r="B96" t="inlineStr">
        <is>
          <t>kilogram</t>
        </is>
      </c>
    </row>
    <row r="97">
      <c r="A97" t="inlineStr">
        <is>
          <t>comment</t>
        </is>
      </c>
      <c r="B97" t="inlineStr">
        <is>
          <t>Life cycle assessment (LCA) of a battery home storage system based on primary data, Friedrich B. Jasper, Jana Spathe, Manuel Baumann, Jens F. Peters, Janna Ruhland, Marcel Weil, 2020, Journal of Cleaner Production</t>
        </is>
      </c>
    </row>
    <row r="98">
      <c r="A98" t="inlineStr">
        <is>
          <t>Exchanges</t>
        </is>
      </c>
    </row>
    <row r="99">
      <c r="A99" t="inlineStr">
        <is>
          <t>name</t>
        </is>
      </c>
      <c r="B99" t="inlineStr">
        <is>
          <t>reference product</t>
        </is>
      </c>
      <c r="C99" t="inlineStr">
        <is>
          <t>amount</t>
        </is>
      </c>
      <c r="D99" t="inlineStr">
        <is>
          <t>unit</t>
        </is>
      </c>
      <c r="E99" t="inlineStr">
        <is>
          <t>location</t>
        </is>
      </c>
      <c r="F99" t="inlineStr">
        <is>
          <t>type</t>
        </is>
      </c>
      <c r="G99" t="inlineStr">
        <is>
          <t>comment</t>
        </is>
      </c>
    </row>
    <row r="100">
      <c r="A100" t="inlineStr">
        <is>
          <t>inductor, other production</t>
        </is>
      </c>
      <c r="B100" t="inlineStr">
        <is>
          <t>inductor, other</t>
        </is>
      </c>
      <c r="C100" t="n">
        <v>1</v>
      </c>
      <c r="D100" t="inlineStr">
        <is>
          <t>kilogram</t>
        </is>
      </c>
      <c r="E100" t="inlineStr">
        <is>
          <t>RER</t>
        </is>
      </c>
      <c r="F100" t="inlineStr">
        <is>
          <t>production</t>
        </is>
      </c>
    </row>
    <row r="101">
      <c r="A101" t="inlineStr">
        <is>
          <t>market for cast iron</t>
        </is>
      </c>
      <c r="B101" t="inlineStr">
        <is>
          <t>cast iron</t>
        </is>
      </c>
      <c r="C101" t="n">
        <v>0.46</v>
      </c>
      <c r="D101" t="inlineStr">
        <is>
          <t>kilogram</t>
        </is>
      </c>
      <c r="E101" t="inlineStr">
        <is>
          <t>GLO</t>
        </is>
      </c>
      <c r="F101" t="inlineStr">
        <is>
          <t>technosphere</t>
        </is>
      </c>
      <c r="G101" t="inlineStr">
        <is>
          <t>Iron</t>
        </is>
      </c>
    </row>
    <row r="102">
      <c r="A102" t="inlineStr">
        <is>
          <t>market for copper, cathode</t>
        </is>
      </c>
      <c r="B102" t="inlineStr">
        <is>
          <t>copper, cathode</t>
        </is>
      </c>
      <c r="C102" t="n">
        <v>0.43</v>
      </c>
      <c r="D102" t="inlineStr">
        <is>
          <t>kilogram</t>
        </is>
      </c>
      <c r="E102" t="inlineStr">
        <is>
          <t>GLO</t>
        </is>
      </c>
      <c r="F102" t="inlineStr">
        <is>
          <t>technosphere</t>
        </is>
      </c>
      <c r="G102" t="inlineStr">
        <is>
          <t>Copper</t>
        </is>
      </c>
    </row>
    <row r="103">
      <c r="A103" t="inlineStr">
        <is>
          <t>market for extrusion, plastic film</t>
        </is>
      </c>
      <c r="B103" t="inlineStr">
        <is>
          <t>extrusion, plastic film</t>
        </is>
      </c>
      <c r="C103" t="n">
        <v>0.04</v>
      </c>
      <c r="D103" t="inlineStr">
        <is>
          <t>kilogram</t>
        </is>
      </c>
      <c r="E103" t="inlineStr">
        <is>
          <t>GLO</t>
        </is>
      </c>
      <c r="F103" t="inlineStr">
        <is>
          <t>technosphere</t>
        </is>
      </c>
      <c r="G103" t="inlineStr">
        <is>
          <t>Plastic</t>
        </is>
      </c>
    </row>
    <row r="104">
      <c r="A104" t="inlineStr">
        <is>
          <t>market for inductor, auxilliaries and energy use</t>
        </is>
      </c>
      <c r="B104" t="inlineStr">
        <is>
          <t>inductor, auxilliaries and energy use</t>
        </is>
      </c>
      <c r="C104" t="n">
        <v>1</v>
      </c>
      <c r="D104" t="inlineStr">
        <is>
          <t>kilogram</t>
        </is>
      </c>
      <c r="E104" t="inlineStr">
        <is>
          <t>GLO</t>
        </is>
      </c>
      <c r="F104" t="inlineStr">
        <is>
          <t>technosphere</t>
        </is>
      </c>
      <c r="G104" t="inlineStr">
        <is>
          <t>Production efforts</t>
        </is>
      </c>
    </row>
    <row r="105">
      <c r="A105" t="inlineStr">
        <is>
          <t>market for steel, low-alloyed</t>
        </is>
      </c>
      <c r="B105" t="inlineStr">
        <is>
          <t>steel, low-alloyed</t>
        </is>
      </c>
      <c r="C105" t="n">
        <v>0.07000000000000001</v>
      </c>
      <c r="D105" t="inlineStr">
        <is>
          <t>kilogram</t>
        </is>
      </c>
      <c r="E105" t="inlineStr">
        <is>
          <t>GLO</t>
        </is>
      </c>
      <c r="F105" t="inlineStr">
        <is>
          <t>technosphere</t>
        </is>
      </c>
      <c r="G105" t="inlineStr">
        <is>
          <t>Steel</t>
        </is>
      </c>
    </row>
    <row r="106">
      <c r="A106" t="inlineStr">
        <is>
          <t>market for wire drawing, copper</t>
        </is>
      </c>
      <c r="B106" t="inlineStr">
        <is>
          <t>wire drawing, copper</t>
        </is>
      </c>
      <c r="C106" t="n">
        <v>0.43</v>
      </c>
      <c r="D106" t="inlineStr">
        <is>
          <t>kilogram</t>
        </is>
      </c>
      <c r="E106" t="inlineStr">
        <is>
          <t>GLO</t>
        </is>
      </c>
      <c r="F106" t="inlineStr">
        <is>
          <t>technosphere</t>
        </is>
      </c>
      <c r="G106" t="inlineStr">
        <is>
          <t>Wire drawing, copper</t>
        </is>
      </c>
    </row>
    <row r="107"/>
    <row r="108">
      <c r="A108" s="1" t="inlineStr">
        <is>
          <t>Activity</t>
        </is>
      </c>
      <c r="B108" s="1" t="inlineStr">
        <is>
          <t>housing assembly for home storage system</t>
        </is>
      </c>
    </row>
    <row r="109">
      <c r="A109" t="inlineStr">
        <is>
          <t>reference product</t>
        </is>
      </c>
      <c r="B109" t="inlineStr">
        <is>
          <t>housing for home storage system</t>
        </is>
      </c>
    </row>
    <row r="110">
      <c r="A110" t="inlineStr">
        <is>
          <t>location</t>
        </is>
      </c>
      <c r="B110" t="inlineStr">
        <is>
          <t>RER</t>
        </is>
      </c>
    </row>
    <row r="111">
      <c r="A111" t="inlineStr">
        <is>
          <t>amount</t>
        </is>
      </c>
      <c r="B111" t="n">
        <v>1</v>
      </c>
    </row>
    <row r="112">
      <c r="A112" t="inlineStr">
        <is>
          <t>unit</t>
        </is>
      </c>
      <c r="B112" t="inlineStr">
        <is>
          <t>kilogram</t>
        </is>
      </c>
    </row>
    <row r="113">
      <c r="A113" t="inlineStr">
        <is>
          <t>comment</t>
        </is>
      </c>
      <c r="B113" t="inlineStr">
        <is>
          <t>Life cycle assessment (LCA) of a battery home storage system based on primary data, Friedrich B. Jasper, Jana Spathe, Manuel Baumann, Jens F. Peters, Janna Ruhland, Marcel Weil, 2020, Journal of Cleaner Production</t>
        </is>
      </c>
    </row>
    <row r="114">
      <c r="A114" t="inlineStr">
        <is>
          <t>Exchanges</t>
        </is>
      </c>
    </row>
    <row r="115">
      <c r="A115" s="1" t="inlineStr">
        <is>
          <t>name</t>
        </is>
      </c>
      <c r="B115" s="1" t="inlineStr">
        <is>
          <t>reference product</t>
        </is>
      </c>
      <c r="C115" s="1" t="inlineStr">
        <is>
          <t>amount</t>
        </is>
      </c>
      <c r="D115" s="1" t="inlineStr">
        <is>
          <t>unit</t>
        </is>
      </c>
      <c r="E115" s="1" t="inlineStr">
        <is>
          <t>location</t>
        </is>
      </c>
      <c r="F115" s="1" t="inlineStr">
        <is>
          <t>type</t>
        </is>
      </c>
      <c r="G115" s="1" t="inlineStr">
        <is>
          <t>comment</t>
        </is>
      </c>
    </row>
    <row r="116">
      <c r="A116" t="inlineStr">
        <is>
          <t>housing assembly for home storage system</t>
        </is>
      </c>
      <c r="B116" t="inlineStr">
        <is>
          <t>housing for home storage system</t>
        </is>
      </c>
      <c r="C116" t="n">
        <v>1</v>
      </c>
      <c r="D116" t="inlineStr">
        <is>
          <t>kilogram</t>
        </is>
      </c>
      <c r="E116" t="inlineStr">
        <is>
          <t>RER</t>
        </is>
      </c>
      <c r="F116" t="inlineStr">
        <is>
          <t>production</t>
        </is>
      </c>
    </row>
    <row r="117">
      <c r="A117" t="inlineStr">
        <is>
          <t>market for metal working, average for steel product manufacturing</t>
        </is>
      </c>
      <c r="B117" t="inlineStr">
        <is>
          <t>metal working, average for steel product manufacturing</t>
        </is>
      </c>
      <c r="C117" t="n">
        <v>0.997</v>
      </c>
      <c r="D117" t="inlineStr">
        <is>
          <t>kilogram</t>
        </is>
      </c>
      <c r="E117" t="inlineStr">
        <is>
          <t>GLO</t>
        </is>
      </c>
      <c r="F117" t="inlineStr">
        <is>
          <t>technosphere</t>
        </is>
      </c>
      <c r="G117" t="inlineStr">
        <is>
          <t>Metal working, steel</t>
        </is>
      </c>
    </row>
    <row r="118">
      <c r="A118" t="inlineStr">
        <is>
          <t>market for steel, low-alloyed</t>
        </is>
      </c>
      <c r="B118" t="inlineStr">
        <is>
          <t>steel, low-alloyed</t>
        </is>
      </c>
      <c r="C118" t="n">
        <v>0.997</v>
      </c>
      <c r="D118" t="inlineStr">
        <is>
          <t>kilogram</t>
        </is>
      </c>
      <c r="E118" t="inlineStr">
        <is>
          <t>GLO</t>
        </is>
      </c>
      <c r="F118" t="inlineStr">
        <is>
          <t>technosphere</t>
        </is>
      </c>
      <c r="G118" t="inlineStr">
        <is>
          <t>Steel</t>
        </is>
      </c>
    </row>
    <row r="119">
      <c r="A119" t="inlineStr">
        <is>
          <t>market for synthetic rubber</t>
        </is>
      </c>
      <c r="B119" t="inlineStr">
        <is>
          <t>synthetic rubber</t>
        </is>
      </c>
      <c r="C119" t="n">
        <v>0.003</v>
      </c>
      <c r="D119" t="inlineStr">
        <is>
          <t>kilogram</t>
        </is>
      </c>
      <c r="E119" t="inlineStr">
        <is>
          <t>GLO</t>
        </is>
      </c>
      <c r="F119" t="inlineStr">
        <is>
          <t>technosphere</t>
        </is>
      </c>
      <c r="G119" t="inlineStr">
        <is>
          <t>Rubber seal</t>
        </is>
      </c>
    </row>
    <row r="120">
      <c r="A120" t="inlineStr">
        <is>
          <t>market for transport, freight train</t>
        </is>
      </c>
      <c r="B120" t="inlineStr">
        <is>
          <t>transport, freight train</t>
        </is>
      </c>
      <c r="C120" t="n">
        <v>0.2</v>
      </c>
      <c r="D120" t="inlineStr">
        <is>
          <t>ton kilometer</t>
        </is>
      </c>
      <c r="E120" t="inlineStr">
        <is>
          <t>Europe without Switzerland</t>
        </is>
      </c>
      <c r="F120" t="inlineStr">
        <is>
          <t>technosphere</t>
        </is>
      </c>
      <c r="G120" t="inlineStr">
        <is>
          <t>Transport, train</t>
        </is>
      </c>
    </row>
    <row r="121">
      <c r="A121" t="inlineStr">
        <is>
          <t>market for transport, freight, lorry 16-32 metric ton, EURO5</t>
        </is>
      </c>
      <c r="B121" t="inlineStr">
        <is>
          <t>transport, freight, lorry 16-32 metric ton, EURO5</t>
        </is>
      </c>
      <c r="C121" t="n">
        <v>0.1</v>
      </c>
      <c r="D121" t="inlineStr">
        <is>
          <t>ton kilometer</t>
        </is>
      </c>
      <c r="E121" t="inlineStr">
        <is>
          <t>RER</t>
        </is>
      </c>
      <c r="F121" t="inlineStr">
        <is>
          <t>technosphere</t>
        </is>
      </c>
      <c r="G121" t="inlineStr">
        <is>
          <t>Transport, freight</t>
        </is>
      </c>
    </row>
    <row r="122"/>
    <row r="123">
      <c r="A123" s="1" t="inlineStr">
        <is>
          <t>Activity</t>
        </is>
      </c>
      <c r="B123" s="1" t="inlineStr">
        <is>
          <t>inverter production for home storage system</t>
        </is>
      </c>
    </row>
    <row r="124">
      <c r="A124" t="inlineStr">
        <is>
          <t>reference product</t>
        </is>
      </c>
      <c r="B124" t="inlineStr">
        <is>
          <t>inverter for home storage system</t>
        </is>
      </c>
    </row>
    <row r="125">
      <c r="A125" t="inlineStr">
        <is>
          <t>location</t>
        </is>
      </c>
      <c r="B125" t="inlineStr">
        <is>
          <t>RER</t>
        </is>
      </c>
    </row>
    <row r="126">
      <c r="A126" t="inlineStr">
        <is>
          <t>amount</t>
        </is>
      </c>
      <c r="B126" t="n">
        <v>1</v>
      </c>
    </row>
    <row r="127">
      <c r="A127" t="inlineStr">
        <is>
          <t>unit</t>
        </is>
      </c>
      <c r="B127" t="inlineStr">
        <is>
          <t>kilogram</t>
        </is>
      </c>
    </row>
    <row r="128">
      <c r="A128" t="inlineStr">
        <is>
          <t>comment</t>
        </is>
      </c>
      <c r="B128" t="inlineStr">
        <is>
          <t>Life cycle assessment (LCA) of a battery home storage system based on primary data, Friedrich B. Jasper, Jana Spathe, Manuel Baumann, Jens F. Peters, Janna Ruhland, Marcel Weil, 2020, Journal of Cleaner Production</t>
        </is>
      </c>
    </row>
    <row r="129">
      <c r="A129" t="inlineStr">
        <is>
          <t>Exchanges</t>
        </is>
      </c>
    </row>
    <row r="130">
      <c r="A130" s="1" t="inlineStr">
        <is>
          <t>name</t>
        </is>
      </c>
      <c r="B130" s="1" t="inlineStr">
        <is>
          <t>reference product</t>
        </is>
      </c>
      <c r="C130" s="1" t="inlineStr">
        <is>
          <t>amount</t>
        </is>
      </c>
      <c r="D130" s="1" t="inlineStr">
        <is>
          <t>unit</t>
        </is>
      </c>
      <c r="E130" s="1" t="inlineStr">
        <is>
          <t>location</t>
        </is>
      </c>
      <c r="F130" s="1" t="inlineStr">
        <is>
          <t>type</t>
        </is>
      </c>
      <c r="G130" s="1" t="inlineStr">
        <is>
          <t>comment</t>
        </is>
      </c>
    </row>
    <row r="131">
      <c r="A131" t="inlineStr">
        <is>
          <t>inverter production for home storage system</t>
        </is>
      </c>
      <c r="B131" t="inlineStr">
        <is>
          <t>inverter for home storage system</t>
        </is>
      </c>
      <c r="C131" t="n">
        <v>1</v>
      </c>
      <c r="D131" t="inlineStr">
        <is>
          <t>kilogram</t>
        </is>
      </c>
      <c r="E131" t="inlineStr">
        <is>
          <t>RER</t>
        </is>
      </c>
      <c r="F131" t="inlineStr">
        <is>
          <t>production</t>
        </is>
      </c>
    </row>
    <row r="132">
      <c r="A132" t="inlineStr">
        <is>
          <t>market for aluminium alloy, AlMg3</t>
        </is>
      </c>
      <c r="B132" t="inlineStr">
        <is>
          <t>aluminium alloy, AlMg3</t>
        </is>
      </c>
      <c r="C132" t="n">
        <v>0.06</v>
      </c>
      <c r="D132" t="inlineStr">
        <is>
          <t>kilogram</t>
        </is>
      </c>
      <c r="E132" t="inlineStr">
        <is>
          <t>GLO</t>
        </is>
      </c>
      <c r="F132" t="inlineStr">
        <is>
          <t>technosphere</t>
        </is>
      </c>
      <c r="G132" t="inlineStr">
        <is>
          <t>Heat sink (Al)</t>
        </is>
      </c>
    </row>
    <row r="133">
      <c r="A133" t="inlineStr">
        <is>
          <t>market for cable, unspecified</t>
        </is>
      </c>
      <c r="B133" t="inlineStr">
        <is>
          <t>cable, unspecified</t>
        </is>
      </c>
      <c r="C133" t="n">
        <v>0.01</v>
      </c>
      <c r="D133" t="inlineStr">
        <is>
          <t>kilogram</t>
        </is>
      </c>
      <c r="E133" t="inlineStr">
        <is>
          <t>GLO</t>
        </is>
      </c>
      <c r="F133" t="inlineStr">
        <is>
          <t>technosphere</t>
        </is>
      </c>
      <c r="G133" t="inlineStr">
        <is>
          <t>Cable</t>
        </is>
      </c>
    </row>
    <row r="134">
      <c r="A134" t="inlineStr">
        <is>
          <t>market for capacitor, electrolyte type, &gt; 2cm height</t>
        </is>
      </c>
      <c r="B134" t="inlineStr">
        <is>
          <t>capacitor, electrolyte type, &gt; 2cm height</t>
        </is>
      </c>
      <c r="C134" t="n">
        <v>0.03</v>
      </c>
      <c r="D134" t="inlineStr">
        <is>
          <t>kilogram</t>
        </is>
      </c>
      <c r="E134" t="inlineStr">
        <is>
          <t>GLO</t>
        </is>
      </c>
      <c r="F134" t="inlineStr">
        <is>
          <t>technosphere</t>
        </is>
      </c>
      <c r="G134" t="inlineStr">
        <is>
          <t>Capacitor, electrolyte type</t>
        </is>
      </c>
    </row>
    <row r="135">
      <c r="A135" t="inlineStr">
        <is>
          <t>market for capacitor, film type, for through-hole mounting</t>
        </is>
      </c>
      <c r="B135" t="inlineStr">
        <is>
          <t>capacitor, film type, for through-hole mounting</t>
        </is>
      </c>
      <c r="C135" t="n">
        <v>0.04</v>
      </c>
      <c r="D135" t="inlineStr">
        <is>
          <t>kilogram</t>
        </is>
      </c>
      <c r="E135" t="inlineStr">
        <is>
          <t>GLO</t>
        </is>
      </c>
      <c r="F135" t="inlineStr">
        <is>
          <t>technosphere</t>
        </is>
      </c>
      <c r="G135" t="inlineStr">
        <is>
          <t>Capacitor, film type</t>
        </is>
      </c>
    </row>
    <row r="136">
      <c r="A136" t="inlineStr">
        <is>
          <t>market for fan, for power supply unit, desktop computer</t>
        </is>
      </c>
      <c r="B136" t="inlineStr">
        <is>
          <t>fan, for power supply unit, desktop computer</t>
        </is>
      </c>
      <c r="C136" t="n">
        <v>0.01</v>
      </c>
      <c r="D136" t="inlineStr">
        <is>
          <t>kilogram</t>
        </is>
      </c>
      <c r="E136" t="inlineStr">
        <is>
          <t>GLO</t>
        </is>
      </c>
      <c r="F136" t="inlineStr">
        <is>
          <t>technosphere</t>
        </is>
      </c>
      <c r="G136" t="inlineStr">
        <is>
          <t>Fan</t>
        </is>
      </c>
    </row>
    <row r="137">
      <c r="A137" t="inlineStr">
        <is>
          <t>inductor, other production</t>
        </is>
      </c>
      <c r="B137" t="inlineStr">
        <is>
          <t>inductor, other</t>
        </is>
      </c>
      <c r="C137" t="n">
        <v>0.27</v>
      </c>
      <c r="D137" t="inlineStr">
        <is>
          <t>kilogram</t>
        </is>
      </c>
      <c r="E137" t="inlineStr">
        <is>
          <t>RER</t>
        </is>
      </c>
      <c r="F137" t="inlineStr">
        <is>
          <t>technosphere</t>
        </is>
      </c>
      <c r="G137" t="inlineStr">
        <is>
          <t>Inductor</t>
        </is>
      </c>
    </row>
    <row r="138">
      <c r="A138" t="inlineStr">
        <is>
          <t>market for inductor, ring core choke type</t>
        </is>
      </c>
      <c r="B138" t="inlineStr">
        <is>
          <t>inductor, ring core choke type</t>
        </is>
      </c>
      <c r="C138" t="n">
        <v>0.07000000000000001</v>
      </c>
      <c r="D138" t="inlineStr">
        <is>
          <t>kilogram</t>
        </is>
      </c>
      <c r="E138" t="inlineStr">
        <is>
          <t>GLO</t>
        </is>
      </c>
      <c r="F138" t="inlineStr">
        <is>
          <t>technosphere</t>
        </is>
      </c>
    </row>
    <row r="139">
      <c r="A139" t="inlineStr">
        <is>
          <t>market for metal working, average for aluminium product manufacturing</t>
        </is>
      </c>
      <c r="B139" t="inlineStr">
        <is>
          <t>metal working, average for aluminium product manufacturing</t>
        </is>
      </c>
      <c r="C139" t="n">
        <v>0.05</v>
      </c>
      <c r="D139" t="inlineStr">
        <is>
          <t>kilogram</t>
        </is>
      </c>
      <c r="E139" t="inlineStr">
        <is>
          <t>GLO</t>
        </is>
      </c>
      <c r="F139" t="inlineStr">
        <is>
          <t>technosphere</t>
        </is>
      </c>
      <c r="G139" t="inlineStr">
        <is>
          <t>Metal working aluminium</t>
        </is>
      </c>
    </row>
    <row r="140">
      <c r="A140" t="inlineStr">
        <is>
          <t>market for metal working, average for steel product manufacturing</t>
        </is>
      </c>
      <c r="B140" t="inlineStr">
        <is>
          <t>metal working, average for steel product manufacturing</t>
        </is>
      </c>
      <c r="C140" t="n">
        <v>0.45</v>
      </c>
      <c r="D140" t="inlineStr">
        <is>
          <t>kilogram</t>
        </is>
      </c>
      <c r="E140" t="inlineStr">
        <is>
          <t>GLO</t>
        </is>
      </c>
      <c r="F140" t="inlineStr">
        <is>
          <t>technosphere</t>
        </is>
      </c>
      <c r="G140" t="inlineStr">
        <is>
          <t>Metal working steel</t>
        </is>
      </c>
    </row>
    <row r="141">
      <c r="A141" t="inlineStr">
        <is>
          <t>market for printed wiring board, for through-hole mounting, Pb containing surface</t>
        </is>
      </c>
      <c r="B141" t="inlineStr">
        <is>
          <t>printed wiring board, for through-hole mounting, Pb containing surface</t>
        </is>
      </c>
      <c r="C141" t="n">
        <v>0.02</v>
      </c>
      <c r="D141" t="inlineStr">
        <is>
          <t>square meter</t>
        </is>
      </c>
      <c r="E141" t="inlineStr">
        <is>
          <t>GLO</t>
        </is>
      </c>
      <c r="F141" t="inlineStr">
        <is>
          <t>technosphere</t>
        </is>
      </c>
      <c r="G141" t="inlineStr">
        <is>
          <t>Printed wiring boards</t>
        </is>
      </c>
    </row>
    <row r="142">
      <c r="A142" t="inlineStr">
        <is>
          <t>market for steel, low-alloyed</t>
        </is>
      </c>
      <c r="B142" t="inlineStr">
        <is>
          <t>steel, low-alloyed</t>
        </is>
      </c>
      <c r="C142" t="n">
        <v>0.45</v>
      </c>
      <c r="D142" t="inlineStr">
        <is>
          <t>kilogram</t>
        </is>
      </c>
      <c r="E142" t="inlineStr">
        <is>
          <t>GLO</t>
        </is>
      </c>
      <c r="F142" t="inlineStr">
        <is>
          <t>technosphere</t>
        </is>
      </c>
      <c r="G142" t="inlineStr">
        <is>
          <t>Steel</t>
        </is>
      </c>
    </row>
    <row r="143">
      <c r="A143" t="inlineStr">
        <is>
          <t>market for transport, freight train</t>
        </is>
      </c>
      <c r="B143" t="inlineStr">
        <is>
          <t>transport, freight train</t>
        </is>
      </c>
      <c r="C143" t="n">
        <v>1</v>
      </c>
      <c r="D143" t="inlineStr">
        <is>
          <t>ton kilometer</t>
        </is>
      </c>
      <c r="E143" t="inlineStr">
        <is>
          <t>Europe without Switzerland</t>
        </is>
      </c>
      <c r="F143" t="inlineStr">
        <is>
          <t>technosphere</t>
        </is>
      </c>
      <c r="G143" t="inlineStr">
        <is>
          <t>Transport, train</t>
        </is>
      </c>
    </row>
    <row r="144">
      <c r="A144" t="inlineStr">
        <is>
          <t>market for transport, freight, lorry 16-32 metric ton, EURO5</t>
        </is>
      </c>
      <c r="B144" t="inlineStr">
        <is>
          <t>transport, freight, lorry 16-32 metric ton, EURO5</t>
        </is>
      </c>
      <c r="C144" t="n">
        <v>1</v>
      </c>
      <c r="D144" t="inlineStr">
        <is>
          <t>ton kilometer</t>
        </is>
      </c>
      <c r="E144" t="inlineStr">
        <is>
          <t>RER</t>
        </is>
      </c>
      <c r="F144" t="inlineStr">
        <is>
          <t>technosphere</t>
        </is>
      </c>
      <c r="G144" t="inlineStr">
        <is>
          <t>Transport, lorry</t>
        </is>
      </c>
    </row>
    <row r="145">
      <c r="A145" t="inlineStr">
        <is>
          <t>market for transport, freight, sea, container ship</t>
        </is>
      </c>
      <c r="B145" t="inlineStr">
        <is>
          <t>transport, freight, sea, container ship</t>
        </is>
      </c>
      <c r="C145" t="n">
        <v>8</v>
      </c>
      <c r="D145" t="inlineStr">
        <is>
          <t>ton kilometer</t>
        </is>
      </c>
      <c r="E145" t="inlineStr">
        <is>
          <t>GLO</t>
        </is>
      </c>
      <c r="F145" t="inlineStr">
        <is>
          <t>technosphere</t>
        </is>
      </c>
      <c r="G145" t="inlineStr">
        <is>
          <t>Transport, ship</t>
        </is>
      </c>
    </row>
    <row r="146"/>
    <row r="147">
      <c r="A147" s="1" t="inlineStr">
        <is>
          <t>Activity</t>
        </is>
      </c>
      <c r="B147" s="1" t="inlineStr">
        <is>
          <t>cell module production, LFP, for home storage system</t>
        </is>
      </c>
    </row>
    <row r="148">
      <c r="A148" t="inlineStr">
        <is>
          <t>reference product</t>
        </is>
      </c>
      <c r="B148" t="inlineStr">
        <is>
          <t>cell module, LFP, for home storage system</t>
        </is>
      </c>
    </row>
    <row r="149">
      <c r="A149" t="inlineStr">
        <is>
          <t>location</t>
        </is>
      </c>
      <c r="B149" t="inlineStr">
        <is>
          <t>RER</t>
        </is>
      </c>
    </row>
    <row r="150">
      <c r="A150" t="inlineStr">
        <is>
          <t>amount</t>
        </is>
      </c>
      <c r="B150" t="n">
        <v>1</v>
      </c>
    </row>
    <row r="151">
      <c r="A151" t="inlineStr">
        <is>
          <t>unit</t>
        </is>
      </c>
      <c r="B151" t="inlineStr">
        <is>
          <t>kilogram</t>
        </is>
      </c>
    </row>
    <row r="152">
      <c r="A152" t="inlineStr">
        <is>
          <t>comment</t>
        </is>
      </c>
      <c r="B152" t="inlineStr">
        <is>
          <t>Life cycle assessment (LCA) of a battery home storage system based on primary data, Friedrich B. Jasper, Jana Spathe, Manuel Baumann, Jens F. Peters, Janna Ruhland, Marcel Weil, 2020, Journal of Cleaner Production</t>
        </is>
      </c>
    </row>
    <row r="153">
      <c r="A153" t="inlineStr">
        <is>
          <t>Exchanges</t>
        </is>
      </c>
    </row>
    <row r="154">
      <c r="A154" s="1" t="inlineStr">
        <is>
          <t>name</t>
        </is>
      </c>
      <c r="B154" s="1" t="inlineStr">
        <is>
          <t>reference product</t>
        </is>
      </c>
      <c r="C154" s="1" t="inlineStr">
        <is>
          <t>amount</t>
        </is>
      </c>
      <c r="D154" s="1" t="inlineStr">
        <is>
          <t>unit</t>
        </is>
      </c>
      <c r="E154" s="1" t="inlineStr">
        <is>
          <t>location</t>
        </is>
      </c>
      <c r="F154" s="1" t="inlineStr">
        <is>
          <t>type</t>
        </is>
      </c>
      <c r="G154" s="1" t="inlineStr">
        <is>
          <t>comment</t>
        </is>
      </c>
    </row>
    <row r="155">
      <c r="A155" t="inlineStr">
        <is>
          <t>cell module production, LFP, for home storage system</t>
        </is>
      </c>
      <c r="B155" t="inlineStr">
        <is>
          <t>cell module, LFP, for home storage system</t>
        </is>
      </c>
      <c r="C155" t="n">
        <v>1</v>
      </c>
      <c r="D155" t="inlineStr">
        <is>
          <t>kilogram</t>
        </is>
      </c>
      <c r="E155" t="inlineStr">
        <is>
          <t>RER</t>
        </is>
      </c>
      <c r="F155" t="inlineStr">
        <is>
          <t>production</t>
        </is>
      </c>
    </row>
    <row r="156">
      <c r="A156" t="inlineStr">
        <is>
          <t>battery module system production</t>
        </is>
      </c>
      <c r="B156" t="inlineStr">
        <is>
          <t>battery module system for home storage system module</t>
        </is>
      </c>
      <c r="C156" t="n">
        <v>0.03</v>
      </c>
      <c r="D156" t="inlineStr">
        <is>
          <t>kilogram</t>
        </is>
      </c>
      <c r="E156" t="inlineStr">
        <is>
          <t>RER</t>
        </is>
      </c>
      <c r="F156" t="inlineStr">
        <is>
          <t>technosphere</t>
        </is>
      </c>
      <c r="G156" t="inlineStr">
        <is>
          <t>BMS</t>
        </is>
      </c>
    </row>
    <row r="157">
      <c r="A157" t="inlineStr">
        <is>
          <t>market for battery cell, Li-ion, LFP</t>
        </is>
      </c>
      <c r="B157" t="inlineStr">
        <is>
          <t>battery cell, Li-ion, LFP</t>
        </is>
      </c>
      <c r="C157" t="n">
        <v>0.63</v>
      </c>
      <c r="D157" t="inlineStr">
        <is>
          <t>kilogram</t>
        </is>
      </c>
      <c r="E157" t="inlineStr">
        <is>
          <t>GLO</t>
        </is>
      </c>
      <c r="F157" t="inlineStr">
        <is>
          <t>technosphere</t>
        </is>
      </c>
      <c r="G157" t="inlineStr">
        <is>
          <t>LFP cell</t>
        </is>
      </c>
    </row>
    <row r="158">
      <c r="A158" t="inlineStr">
        <is>
          <t>market for metal working, average for steel product manufacturing</t>
        </is>
      </c>
      <c r="B158" t="inlineStr">
        <is>
          <t>metal working, average for steel product manufacturing</t>
        </is>
      </c>
      <c r="C158" t="n">
        <v>0.34</v>
      </c>
      <c r="D158" t="inlineStr">
        <is>
          <t>kilogram</t>
        </is>
      </c>
      <c r="E158" t="inlineStr">
        <is>
          <t>GLO</t>
        </is>
      </c>
      <c r="F158" t="inlineStr">
        <is>
          <t>technosphere</t>
        </is>
      </c>
      <c r="G158" t="inlineStr">
        <is>
          <t>Metal working steel</t>
        </is>
      </c>
    </row>
    <row r="159">
      <c r="A159" t="inlineStr">
        <is>
          <t>market for steel, low-alloyed</t>
        </is>
      </c>
      <c r="B159" t="inlineStr">
        <is>
          <t>steel, low-alloyed</t>
        </is>
      </c>
      <c r="C159" t="n">
        <v>0.34</v>
      </c>
      <c r="D159" t="inlineStr">
        <is>
          <t>kilogram</t>
        </is>
      </c>
      <c r="E159" t="inlineStr">
        <is>
          <t>GLO</t>
        </is>
      </c>
      <c r="F159" t="inlineStr">
        <is>
          <t>technosphere</t>
        </is>
      </c>
      <c r="G159" t="inlineStr">
        <is>
          <t>Steel</t>
        </is>
      </c>
    </row>
    <row r="160">
      <c r="A160" t="inlineStr">
        <is>
          <t>market for transport, freight train</t>
        </is>
      </c>
      <c r="B160" t="inlineStr">
        <is>
          <t>transport, freight train</t>
        </is>
      </c>
      <c r="C160" t="n">
        <v>1</v>
      </c>
      <c r="D160" t="inlineStr">
        <is>
          <t>ton kilometer</t>
        </is>
      </c>
      <c r="E160" t="inlineStr">
        <is>
          <t>Europe without Switzerland</t>
        </is>
      </c>
      <c r="F160" t="inlineStr">
        <is>
          <t>technosphere</t>
        </is>
      </c>
      <c r="G160" t="inlineStr">
        <is>
          <t>Transport, train</t>
        </is>
      </c>
    </row>
    <row r="161">
      <c r="A161" t="inlineStr">
        <is>
          <t>market for transport, freight, lorry 16-32 metric ton, EURO5</t>
        </is>
      </c>
      <c r="B161" t="inlineStr">
        <is>
          <t>transport, freight, lorry 16-32 metric ton, EURO5</t>
        </is>
      </c>
      <c r="C161" t="n">
        <v>1</v>
      </c>
      <c r="D161" t="inlineStr">
        <is>
          <t>ton kilometer</t>
        </is>
      </c>
      <c r="E161" t="inlineStr">
        <is>
          <t>RER</t>
        </is>
      </c>
      <c r="F161" t="inlineStr">
        <is>
          <t>technosphere</t>
        </is>
      </c>
      <c r="G161" t="inlineStr">
        <is>
          <t>Transport, lorry</t>
        </is>
      </c>
    </row>
    <row r="162">
      <c r="A162" t="inlineStr">
        <is>
          <t>market for transport, freight, sea, container ship</t>
        </is>
      </c>
      <c r="B162" t="inlineStr">
        <is>
          <t>transport, freight, sea, container ship</t>
        </is>
      </c>
      <c r="C162" t="n">
        <v>8</v>
      </c>
      <c r="D162" t="inlineStr">
        <is>
          <t>ton kilometer</t>
        </is>
      </c>
      <c r="E162" t="inlineStr">
        <is>
          <t>GLO</t>
        </is>
      </c>
      <c r="F162" t="inlineStr">
        <is>
          <t>technosphere</t>
        </is>
      </c>
      <c r="G162" t="inlineStr">
        <is>
          <t>Transport, ship</t>
        </is>
      </c>
    </row>
    <row r="163"/>
    <row r="164">
      <c r="A164" s="1" t="inlineStr">
        <is>
          <t>Activity</t>
        </is>
      </c>
      <c r="B164" s="1" t="inlineStr">
        <is>
          <t>cell module production, NMC811, for home storage system</t>
        </is>
      </c>
    </row>
    <row r="165">
      <c r="A165" t="inlineStr">
        <is>
          <t>reference product</t>
        </is>
      </c>
      <c r="B165" t="inlineStr">
        <is>
          <t>cell module, NMC811, for home storage system</t>
        </is>
      </c>
    </row>
    <row r="166">
      <c r="A166" t="inlineStr">
        <is>
          <t>location</t>
        </is>
      </c>
      <c r="B166" t="inlineStr">
        <is>
          <t>RER</t>
        </is>
      </c>
    </row>
    <row r="167">
      <c r="A167" t="inlineStr">
        <is>
          <t>amount</t>
        </is>
      </c>
      <c r="B167" t="n">
        <v>1</v>
      </c>
    </row>
    <row r="168">
      <c r="A168" t="inlineStr">
        <is>
          <t>unit</t>
        </is>
      </c>
      <c r="B168" t="inlineStr">
        <is>
          <t>kilogram</t>
        </is>
      </c>
    </row>
    <row r="169">
      <c r="A169" t="inlineStr">
        <is>
          <t>comment</t>
        </is>
      </c>
      <c r="B169" t="inlineStr">
        <is>
          <t>Life cycle assessment (LCA) of a battery home storage system based on primary data, Friedrich B. Jasper, Jana Spathe, Manuel Baumann, Jens F. Peters, Janna Ruhland, Marcel Weil, 2020, Journal of Cleaner Production</t>
        </is>
      </c>
    </row>
    <row r="170">
      <c r="A170" t="inlineStr">
        <is>
          <t>Exchanges</t>
        </is>
      </c>
    </row>
    <row r="171">
      <c r="A171" s="1" t="inlineStr">
        <is>
          <t>name</t>
        </is>
      </c>
      <c r="B171" s="1" t="inlineStr">
        <is>
          <t>reference product</t>
        </is>
      </c>
      <c r="C171" s="1" t="inlineStr">
        <is>
          <t>amount</t>
        </is>
      </c>
      <c r="D171" s="1" t="inlineStr">
        <is>
          <t>unit</t>
        </is>
      </c>
      <c r="E171" s="1" t="inlineStr">
        <is>
          <t>location</t>
        </is>
      </c>
      <c r="F171" s="1" t="inlineStr">
        <is>
          <t>type</t>
        </is>
      </c>
      <c r="G171" s="1" t="inlineStr">
        <is>
          <t>comment</t>
        </is>
      </c>
    </row>
    <row r="172">
      <c r="A172" t="inlineStr">
        <is>
          <t>cell module production, NMC811, for home storage system</t>
        </is>
      </c>
      <c r="B172" t="inlineStr">
        <is>
          <t>cell module, NMC811, for home storage system</t>
        </is>
      </c>
      <c r="C172" t="n">
        <v>1</v>
      </c>
      <c r="D172" t="inlineStr">
        <is>
          <t>kilogram</t>
        </is>
      </c>
      <c r="E172" t="inlineStr">
        <is>
          <t>RER</t>
        </is>
      </c>
      <c r="F172" t="inlineStr">
        <is>
          <t>production</t>
        </is>
      </c>
    </row>
    <row r="173">
      <c r="A173" t="inlineStr">
        <is>
          <t>battery module system production</t>
        </is>
      </c>
      <c r="B173" t="inlineStr">
        <is>
          <t>battery module system for home storage system module</t>
        </is>
      </c>
      <c r="C173" t="n">
        <v>0.03</v>
      </c>
      <c r="D173" t="inlineStr">
        <is>
          <t>kilogram</t>
        </is>
      </c>
      <c r="E173" t="inlineStr">
        <is>
          <t>RER</t>
        </is>
      </c>
      <c r="F173" t="inlineStr">
        <is>
          <t>technosphere</t>
        </is>
      </c>
      <c r="G173" t="inlineStr">
        <is>
          <t>BMS</t>
        </is>
      </c>
    </row>
    <row r="174">
      <c r="A174" t="inlineStr">
        <is>
          <t>market for battery cell, Li-ion, NMC811</t>
        </is>
      </c>
      <c r="B174" t="inlineStr">
        <is>
          <t>battery cell, Li-ion, NMC811</t>
        </is>
      </c>
      <c r="C174" t="n">
        <v>0.63</v>
      </c>
      <c r="D174" t="inlineStr">
        <is>
          <t>kilogram</t>
        </is>
      </c>
      <c r="E174" t="inlineStr">
        <is>
          <t>GLO</t>
        </is>
      </c>
      <c r="F174" t="inlineStr">
        <is>
          <t>technosphere</t>
        </is>
      </c>
      <c r="G174" t="inlineStr">
        <is>
          <t>LFP cell</t>
        </is>
      </c>
    </row>
    <row r="175">
      <c r="A175" t="inlineStr">
        <is>
          <t>market for metal working, average for steel product manufacturing</t>
        </is>
      </c>
      <c r="B175" t="inlineStr">
        <is>
          <t>metal working, average for steel product manufacturing</t>
        </is>
      </c>
      <c r="C175" t="n">
        <v>0.34</v>
      </c>
      <c r="D175" t="inlineStr">
        <is>
          <t>kilogram</t>
        </is>
      </c>
      <c r="E175" t="inlineStr">
        <is>
          <t>GLO</t>
        </is>
      </c>
      <c r="F175" t="inlineStr">
        <is>
          <t>technosphere</t>
        </is>
      </c>
      <c r="G175" t="inlineStr">
        <is>
          <t>Metal working steel</t>
        </is>
      </c>
    </row>
    <row r="176">
      <c r="A176" t="inlineStr">
        <is>
          <t>market for steel, low-alloyed</t>
        </is>
      </c>
      <c r="B176" t="inlineStr">
        <is>
          <t>steel, low-alloyed</t>
        </is>
      </c>
      <c r="C176" t="n">
        <v>0.34</v>
      </c>
      <c r="D176" t="inlineStr">
        <is>
          <t>kilogram</t>
        </is>
      </c>
      <c r="E176" t="inlineStr">
        <is>
          <t>GLO</t>
        </is>
      </c>
      <c r="F176" t="inlineStr">
        <is>
          <t>technosphere</t>
        </is>
      </c>
      <c r="G176" t="inlineStr">
        <is>
          <t>Steel</t>
        </is>
      </c>
    </row>
    <row r="177">
      <c r="A177" t="inlineStr">
        <is>
          <t>market for transport, freight train</t>
        </is>
      </c>
      <c r="B177" t="inlineStr">
        <is>
          <t>transport, freight train</t>
        </is>
      </c>
      <c r="C177" t="n">
        <v>1</v>
      </c>
      <c r="D177" t="inlineStr">
        <is>
          <t>ton kilometer</t>
        </is>
      </c>
      <c r="E177" t="inlineStr">
        <is>
          <t>Europe without Switzerland</t>
        </is>
      </c>
      <c r="F177" t="inlineStr">
        <is>
          <t>technosphere</t>
        </is>
      </c>
      <c r="G177" t="inlineStr">
        <is>
          <t>Transport, train</t>
        </is>
      </c>
    </row>
    <row r="178">
      <c r="A178" t="inlineStr">
        <is>
          <t>market for transport, freight, lorry 16-32 metric ton, EURO5</t>
        </is>
      </c>
      <c r="B178" t="inlineStr">
        <is>
          <t>transport, freight, lorry 16-32 metric ton, EURO5</t>
        </is>
      </c>
      <c r="C178" t="n">
        <v>1</v>
      </c>
      <c r="D178" t="inlineStr">
        <is>
          <t>ton kilometer</t>
        </is>
      </c>
      <c r="E178" t="inlineStr">
        <is>
          <t>RER</t>
        </is>
      </c>
      <c r="F178" t="inlineStr">
        <is>
          <t>technosphere</t>
        </is>
      </c>
      <c r="G178" t="inlineStr">
        <is>
          <t>Transport, lorry</t>
        </is>
      </c>
    </row>
    <row r="179">
      <c r="A179" t="inlineStr">
        <is>
          <t>market for transport, freight, sea, container ship</t>
        </is>
      </c>
      <c r="B179" t="inlineStr">
        <is>
          <t>transport, freight, sea, container ship</t>
        </is>
      </c>
      <c r="C179" t="n">
        <v>8</v>
      </c>
      <c r="D179" t="inlineStr">
        <is>
          <t>ton kilometer</t>
        </is>
      </c>
      <c r="E179" t="inlineStr">
        <is>
          <t>GLO</t>
        </is>
      </c>
      <c r="F179" t="inlineStr">
        <is>
          <t>technosphere</t>
        </is>
      </c>
      <c r="G179" t="inlineStr">
        <is>
          <t>Transport, ship</t>
        </is>
      </c>
    </row>
    <row r="180"/>
    <row r="181">
      <c r="A181" s="1" t="inlineStr">
        <is>
          <t>Activity</t>
        </is>
      </c>
      <c r="B181" s="1" t="inlineStr">
        <is>
          <t>battery module system production</t>
        </is>
      </c>
    </row>
    <row r="182">
      <c r="A182" t="inlineStr">
        <is>
          <t>reference product</t>
        </is>
      </c>
      <c r="B182" t="inlineStr">
        <is>
          <t>battery module system for home storage system module</t>
        </is>
      </c>
    </row>
    <row r="183">
      <c r="A183" t="inlineStr">
        <is>
          <t>location</t>
        </is>
      </c>
      <c r="B183" t="inlineStr">
        <is>
          <t>RER</t>
        </is>
      </c>
    </row>
    <row r="184">
      <c r="A184" t="inlineStr">
        <is>
          <t>amount</t>
        </is>
      </c>
      <c r="B184" t="n">
        <v>1</v>
      </c>
    </row>
    <row r="185">
      <c r="A185" t="inlineStr">
        <is>
          <t>unit</t>
        </is>
      </c>
      <c r="B185" t="inlineStr">
        <is>
          <t>kilogram</t>
        </is>
      </c>
    </row>
    <row r="186">
      <c r="A186" t="inlineStr">
        <is>
          <t>comment</t>
        </is>
      </c>
      <c r="B186" t="inlineStr">
        <is>
          <t>Life cycle assessment (LCA) of a battery home storage system based on primary data, Friedrich B. Jasper, Jana Spathe, Manuel Baumann, Jens F. Peters, Janna Ruhland, Marcel Weil, 2020, Journal of Cleaner Production</t>
        </is>
      </c>
    </row>
    <row r="187">
      <c r="A187" t="inlineStr">
        <is>
          <t>Exchanges</t>
        </is>
      </c>
    </row>
    <row r="188">
      <c r="A188" s="1" t="inlineStr">
        <is>
          <t>name</t>
        </is>
      </c>
      <c r="B188" s="1" t="inlineStr">
        <is>
          <t>reference product</t>
        </is>
      </c>
      <c r="C188" s="1" t="inlineStr">
        <is>
          <t>amount</t>
        </is>
      </c>
      <c r="D188" s="1" t="inlineStr">
        <is>
          <t>unit</t>
        </is>
      </c>
      <c r="E188" s="1" t="inlineStr">
        <is>
          <t>location</t>
        </is>
      </c>
      <c r="F188" s="1" t="inlineStr">
        <is>
          <t>type</t>
        </is>
      </c>
      <c r="G188" s="1" t="inlineStr">
        <is>
          <t>comment</t>
        </is>
      </c>
    </row>
    <row r="189">
      <c r="A189" t="inlineStr">
        <is>
          <t>battery module system production</t>
        </is>
      </c>
      <c r="B189" t="inlineStr">
        <is>
          <t>battery module system for home storage system module</t>
        </is>
      </c>
      <c r="C189" t="n">
        <v>1</v>
      </c>
      <c r="D189" t="inlineStr">
        <is>
          <t>kilogram</t>
        </is>
      </c>
      <c r="E189" t="inlineStr">
        <is>
          <t>RER</t>
        </is>
      </c>
      <c r="F189" t="inlineStr">
        <is>
          <t>production</t>
        </is>
      </c>
    </row>
    <row r="190">
      <c r="A190" t="inlineStr">
        <is>
          <t>market for aluminium alloy, AlMg3</t>
        </is>
      </c>
      <c r="B190" t="inlineStr">
        <is>
          <t>aluminium alloy, AlMg3</t>
        </is>
      </c>
      <c r="C190" t="n">
        <v>0.64</v>
      </c>
      <c r="D190" t="inlineStr">
        <is>
          <t>kilogram</t>
        </is>
      </c>
      <c r="E190" t="inlineStr">
        <is>
          <t>GLO</t>
        </is>
      </c>
      <c r="F190" t="inlineStr">
        <is>
          <t>technosphere</t>
        </is>
      </c>
      <c r="G190" t="inlineStr">
        <is>
          <t>Heat sink (Al)</t>
        </is>
      </c>
    </row>
    <row r="191">
      <c r="A191" t="inlineStr">
        <is>
          <t>market for cable, unspecified</t>
        </is>
      </c>
      <c r="B191" t="inlineStr">
        <is>
          <t>cable, unspecified</t>
        </is>
      </c>
      <c r="C191" t="n">
        <v>0.03</v>
      </c>
      <c r="D191" t="inlineStr">
        <is>
          <t>kilogram</t>
        </is>
      </c>
      <c r="E191" t="inlineStr">
        <is>
          <t>GLO</t>
        </is>
      </c>
      <c r="F191" t="inlineStr">
        <is>
          <t>technosphere</t>
        </is>
      </c>
      <c r="G191" t="inlineStr">
        <is>
          <t>Cable</t>
        </is>
      </c>
    </row>
    <row r="192">
      <c r="A192" t="inlineStr">
        <is>
          <t>market for capacitor, electrolyte type, &gt; 2cm height</t>
        </is>
      </c>
      <c r="B192" t="inlineStr">
        <is>
          <t>capacitor, electrolyte type, &gt; 2cm height</t>
        </is>
      </c>
      <c r="C192" t="n">
        <v>0.03</v>
      </c>
      <c r="D192" t="inlineStr">
        <is>
          <t>kilogram</t>
        </is>
      </c>
      <c r="E192" t="inlineStr">
        <is>
          <t>GLO</t>
        </is>
      </c>
      <c r="F192" t="inlineStr">
        <is>
          <t>technosphere</t>
        </is>
      </c>
      <c r="G192" t="inlineStr">
        <is>
          <t>Capacitor, electrolyte type</t>
        </is>
      </c>
    </row>
    <row r="193">
      <c r="A193" t="inlineStr">
        <is>
          <t>market for metal working, average for aluminium product manufacturing</t>
        </is>
      </c>
      <c r="B193" t="inlineStr">
        <is>
          <t>metal working, average for aluminium product manufacturing</t>
        </is>
      </c>
      <c r="C193" t="n">
        <v>0.64</v>
      </c>
      <c r="D193" t="inlineStr">
        <is>
          <t>kilogram</t>
        </is>
      </c>
      <c r="E193" t="inlineStr">
        <is>
          <t>GLO</t>
        </is>
      </c>
      <c r="F193" t="inlineStr">
        <is>
          <t>technosphere</t>
        </is>
      </c>
      <c r="G193" t="inlineStr">
        <is>
          <t>Metal working aluminium</t>
        </is>
      </c>
    </row>
    <row r="194">
      <c r="A194" t="inlineStr">
        <is>
          <t>market for printed wiring board, for through-hole mounting, Pb containing surface</t>
        </is>
      </c>
      <c r="B194" t="inlineStr">
        <is>
          <t>printed wiring board, for through-hole mounting, Pb containing surface</t>
        </is>
      </c>
      <c r="C194" t="n">
        <v>0.09</v>
      </c>
      <c r="D194" t="inlineStr">
        <is>
          <t>square meter</t>
        </is>
      </c>
      <c r="E194" t="inlineStr">
        <is>
          <t>GLO</t>
        </is>
      </c>
      <c r="F194" t="inlineStr">
        <is>
          <t>technosphere</t>
        </is>
      </c>
      <c r="G194" t="inlineStr">
        <is>
          <t>Printed wiring boards</t>
        </is>
      </c>
    </row>
    <row r="195">
      <c r="A195" t="inlineStr">
        <is>
          <t>market for transport, freight train</t>
        </is>
      </c>
      <c r="B195" t="inlineStr">
        <is>
          <t>transport, freight train</t>
        </is>
      </c>
      <c r="C195" t="n">
        <v>0.2</v>
      </c>
      <c r="D195" t="inlineStr">
        <is>
          <t>ton kilometer</t>
        </is>
      </c>
      <c r="E195" t="inlineStr">
        <is>
          <t>Europe without Switzerland</t>
        </is>
      </c>
      <c r="F195" t="inlineStr">
        <is>
          <t>technosphere</t>
        </is>
      </c>
      <c r="G195" t="inlineStr">
        <is>
          <t>Transport, train</t>
        </is>
      </c>
    </row>
    <row r="196">
      <c r="A196" t="inlineStr">
        <is>
          <t>market for transport, freight, lorry 16-32 metric ton, EURO5</t>
        </is>
      </c>
      <c r="B196" t="inlineStr">
        <is>
          <t>transport, freight, lorry 16-32 metric ton, EURO5</t>
        </is>
      </c>
      <c r="C196" t="n">
        <v>0.1</v>
      </c>
      <c r="D196" t="inlineStr">
        <is>
          <t>ton kilometer</t>
        </is>
      </c>
      <c r="E196" t="inlineStr">
        <is>
          <t>RER</t>
        </is>
      </c>
      <c r="F196" t="inlineStr">
        <is>
          <t>technosphere</t>
        </is>
      </c>
      <c r="G196" t="inlineStr">
        <is>
          <t>Transport, lorry</t>
        </is>
      </c>
    </row>
    <row r="197"/>
    <row r="198">
      <c r="A198" s="1" t="inlineStr">
        <is>
          <t>Activity</t>
        </is>
      </c>
      <c r="B198" s="1" t="inlineStr">
        <is>
          <t>system controller production, for home storage system</t>
        </is>
      </c>
    </row>
    <row r="199">
      <c r="A199" t="inlineStr">
        <is>
          <t>reference product</t>
        </is>
      </c>
      <c r="B199" t="inlineStr">
        <is>
          <t>system controller, for home storage system</t>
        </is>
      </c>
    </row>
    <row r="200">
      <c r="A200" t="inlineStr">
        <is>
          <t>location</t>
        </is>
      </c>
      <c r="B200" t="inlineStr">
        <is>
          <t>RER</t>
        </is>
      </c>
    </row>
    <row r="201">
      <c r="A201" t="inlineStr">
        <is>
          <t>amount</t>
        </is>
      </c>
      <c r="B201" t="n">
        <v>1</v>
      </c>
    </row>
    <row r="202">
      <c r="A202" t="inlineStr">
        <is>
          <t>unit</t>
        </is>
      </c>
      <c r="B202" t="inlineStr">
        <is>
          <t>kilogram</t>
        </is>
      </c>
    </row>
    <row r="203">
      <c r="A203" t="inlineStr">
        <is>
          <t>comment</t>
        </is>
      </c>
      <c r="B203" t="inlineStr">
        <is>
          <t>Life cycle assessment (LCA) of a battery home storage system based on primary data, Friedrich B. Jasper, Jana Spathe, Manuel Baumann, Jens F. Peters, Janna Ruhland, Marcel Weil, 2020, Journal of Cleaner Production</t>
        </is>
      </c>
    </row>
    <row r="204">
      <c r="A204" t="inlineStr">
        <is>
          <t>Exchanges</t>
        </is>
      </c>
    </row>
    <row r="205">
      <c r="A205" s="1" t="inlineStr">
        <is>
          <t>name</t>
        </is>
      </c>
      <c r="B205" s="1" t="inlineStr">
        <is>
          <t>reference product</t>
        </is>
      </c>
      <c r="C205" s="1" t="inlineStr">
        <is>
          <t>amount</t>
        </is>
      </c>
      <c r="D205" s="1" t="inlineStr">
        <is>
          <t>unit</t>
        </is>
      </c>
      <c r="E205" s="1" t="inlineStr">
        <is>
          <t>location</t>
        </is>
      </c>
      <c r="F205" s="1" t="inlineStr">
        <is>
          <t>type</t>
        </is>
      </c>
      <c r="G205" s="1" t="inlineStr">
        <is>
          <t>comment</t>
        </is>
      </c>
    </row>
    <row r="206">
      <c r="A206" t="inlineStr">
        <is>
          <t>system controller production, for home storage system</t>
        </is>
      </c>
      <c r="B206" t="inlineStr">
        <is>
          <t>system controller, for home storage system</t>
        </is>
      </c>
      <c r="C206" t="n">
        <v>1</v>
      </c>
      <c r="D206" t="inlineStr">
        <is>
          <t>kilogram</t>
        </is>
      </c>
      <c r="E206" t="inlineStr">
        <is>
          <t>RER</t>
        </is>
      </c>
      <c r="F206" t="inlineStr">
        <is>
          <t>production</t>
        </is>
      </c>
    </row>
    <row r="207">
      <c r="A207" t="inlineStr">
        <is>
          <t>battery module system production</t>
        </is>
      </c>
      <c r="B207" t="inlineStr">
        <is>
          <t>battery module system for home storage system module</t>
        </is>
      </c>
      <c r="C207" t="n">
        <v>0.17</v>
      </c>
      <c r="D207" t="inlineStr">
        <is>
          <t>kilogram</t>
        </is>
      </c>
      <c r="E207" t="inlineStr">
        <is>
          <t>RER</t>
        </is>
      </c>
      <c r="F207" t="inlineStr">
        <is>
          <t>technosphere</t>
        </is>
      </c>
      <c r="G207" t="inlineStr">
        <is>
          <t>Control screen</t>
        </is>
      </c>
    </row>
    <row r="208">
      <c r="A208" t="inlineStr">
        <is>
          <t>market for electronics, for control units</t>
        </is>
      </c>
      <c r="B208" t="inlineStr">
        <is>
          <t>electronics, for control units</t>
        </is>
      </c>
      <c r="C208" t="n">
        <v>0.32</v>
      </c>
      <c r="D208" t="inlineStr">
        <is>
          <t>kilogram</t>
        </is>
      </c>
      <c r="E208" t="inlineStr">
        <is>
          <t>GLO</t>
        </is>
      </c>
      <c r="F208" t="inlineStr">
        <is>
          <t>technosphere</t>
        </is>
      </c>
      <c r="G208" t="inlineStr">
        <is>
          <t>Electronics</t>
        </is>
      </c>
    </row>
    <row r="209">
      <c r="A209" t="inlineStr">
        <is>
          <t>market for metal working, average for steel product manufacturing</t>
        </is>
      </c>
      <c r="B209" t="inlineStr">
        <is>
          <t>metal working, average for steel product manufacturing</t>
        </is>
      </c>
      <c r="C209" t="n">
        <v>0.44</v>
      </c>
      <c r="D209" t="inlineStr">
        <is>
          <t>kilogram</t>
        </is>
      </c>
      <c r="E209" t="inlineStr">
        <is>
          <t>GLO</t>
        </is>
      </c>
      <c r="F209" t="inlineStr">
        <is>
          <t>technosphere</t>
        </is>
      </c>
      <c r="G209" t="inlineStr">
        <is>
          <t>Metal working steel</t>
        </is>
      </c>
    </row>
    <row r="210">
      <c r="A210" t="inlineStr">
        <is>
          <t>market for power supply unit, for desktop computer</t>
        </is>
      </c>
      <c r="B210" t="inlineStr">
        <is>
          <t>power supply unit, for desktop computer</t>
        </is>
      </c>
      <c r="C210" t="n">
        <v>0.03</v>
      </c>
      <c r="D210" t="inlineStr">
        <is>
          <t>unit</t>
        </is>
      </c>
      <c r="E210" t="inlineStr">
        <is>
          <t>GLO</t>
        </is>
      </c>
      <c r="F210" t="inlineStr">
        <is>
          <t>technosphere</t>
        </is>
      </c>
      <c r="G210" t="inlineStr">
        <is>
          <t>Power supply unit</t>
        </is>
      </c>
    </row>
    <row r="211">
      <c r="A211" t="inlineStr">
        <is>
          <t>market for steel, low-alloyed</t>
        </is>
      </c>
      <c r="B211" t="inlineStr">
        <is>
          <t>steel, low-alloyed</t>
        </is>
      </c>
      <c r="C211" t="n">
        <v>0.44</v>
      </c>
      <c r="D211" t="inlineStr">
        <is>
          <t>kilogram</t>
        </is>
      </c>
      <c r="E211" t="inlineStr">
        <is>
          <t>GLO</t>
        </is>
      </c>
      <c r="F211" t="inlineStr">
        <is>
          <t>technosphere</t>
        </is>
      </c>
      <c r="G211" t="inlineStr">
        <is>
          <t>Steel</t>
        </is>
      </c>
    </row>
    <row r="212">
      <c r="A212" t="inlineStr">
        <is>
          <t>market for switch, toggle type</t>
        </is>
      </c>
      <c r="B212" t="inlineStr">
        <is>
          <t>switch, toggle type</t>
        </is>
      </c>
      <c r="C212" t="n">
        <v>0.02</v>
      </c>
      <c r="D212" t="inlineStr">
        <is>
          <t>kilogram</t>
        </is>
      </c>
      <c r="E212" t="inlineStr">
        <is>
          <t>GLO</t>
        </is>
      </c>
      <c r="F212" t="inlineStr">
        <is>
          <t>technosphere</t>
        </is>
      </c>
      <c r="G212" t="inlineStr">
        <is>
          <t>Switch</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2023-09-24T13:37:23Z</dcterms:created>
  <dcterms:modified xmlns:dcterms="http://purl.org/dc/terms/" xmlns:xsi="http://www.w3.org/2001/XMLSchema-instance" xsi:type="dcterms:W3CDTF">2026-07-07T14:16:29Z</dcterms:modified>
  <cp:lastModifiedBy>Romain Sacchi</cp:lastModifiedBy>
</cp:coreProperties>
</file>