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1"/>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63A374A-2872-3D4B-A353-2BCCD3FCE1EB}"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K27" i="1"/>
  <c r="B27" i="1"/>
  <c r="J27" i="1"/>
  <c r="B26" i="1"/>
  <c r="L25" i="1"/>
  <c r="K25" i="1"/>
  <c r="J25" i="1"/>
  <c r="B25" i="1"/>
  <c r="C24" i="1"/>
  <c r="A24" i="1"/>
  <c r="L14" i="1"/>
  <c r="K14" i="1"/>
  <c r="B14" i="1"/>
  <c r="J14" i="1"/>
  <c r="L12" i="1"/>
  <c r="K12" i="1"/>
  <c r="B12" i="1"/>
  <c r="J12" i="1"/>
  <c r="A11" i="1"/>
  <c r="B13" i="1"/>
  <c r="C11" i="1"/>
  <c r="E216" i="1" l="1"/>
  <c r="D216" i="1"/>
  <c r="E199" i="1"/>
  <c r="D199" i="1"/>
  <c r="E182" i="1"/>
  <c r="D182" i="1"/>
  <c r="E165" i="1"/>
  <c r="D165" i="1"/>
  <c r="E141" i="1"/>
  <c r="D141" i="1"/>
  <c r="E126" i="1"/>
  <c r="D126" i="1"/>
  <c r="E110" i="1"/>
  <c r="D110" i="1"/>
  <c r="E85" i="1"/>
  <c r="D85" i="1"/>
  <c r="E61" i="1"/>
  <c r="D61" i="1"/>
  <c r="E37" i="1"/>
  <c r="D37" i="1"/>
  <c r="B37" i="1"/>
  <c r="A37" i="1"/>
  <c r="B61" i="1"/>
  <c r="A61" i="1"/>
  <c r="B85" i="1"/>
  <c r="A85" i="1"/>
  <c r="B110" i="1"/>
  <c r="A110" i="1"/>
  <c r="B126" i="1"/>
  <c r="A126" i="1"/>
  <c r="B141" i="1"/>
  <c r="A141" i="1"/>
  <c r="B165" i="1"/>
  <c r="A165" i="1"/>
  <c r="B182" i="1"/>
  <c r="A182" i="1"/>
  <c r="B199" i="1"/>
  <c r="A199" i="1"/>
  <c r="B216" i="1"/>
  <c r="A216" i="1"/>
</calcChain>
</file>

<file path=xl/sharedStrings.xml><?xml version="1.0" encoding="utf-8"?>
<sst xmlns="http://schemas.openxmlformats.org/spreadsheetml/2006/main" count="801" uniqueCount="148">
  <si>
    <t>name</t>
  </si>
  <si>
    <t>reference product</t>
  </si>
  <si>
    <t>amount</t>
  </si>
  <si>
    <t>unit</t>
  </si>
  <si>
    <t>location</t>
  </si>
  <si>
    <t>database</t>
  </si>
  <si>
    <t>type</t>
  </si>
  <si>
    <t>comment</t>
  </si>
  <si>
    <t>Activity</t>
  </si>
  <si>
    <t>Exchanges</t>
  </si>
  <si>
    <t>cable, unspecified</t>
  </si>
  <si>
    <t>electricity, medium voltage</t>
  </si>
  <si>
    <t>electronics, for control units</t>
  </si>
  <si>
    <t>transport, freight, lorry 16-32 metric ton, EURO5</t>
  </si>
  <si>
    <t>GLO</t>
  </si>
  <si>
    <t>DE</t>
  </si>
  <si>
    <t>RER</t>
  </si>
  <si>
    <t>Ampere Charger</t>
  </si>
  <si>
    <t>Cable</t>
  </si>
  <si>
    <t>Electricity</t>
  </si>
  <si>
    <t>Electronics</t>
  </si>
  <si>
    <t>Housing</t>
  </si>
  <si>
    <t>Inverter</t>
  </si>
  <si>
    <t>LFP Module</t>
  </si>
  <si>
    <t>System Control</t>
  </si>
  <si>
    <t>Transport, lorry</t>
  </si>
  <si>
    <t>aluminium alloy, AlMg3</t>
  </si>
  <si>
    <t>capacitor, electrolyte type, &gt; 2cm height</t>
  </si>
  <si>
    <t>capacitor, film type, for through-hole mounting</t>
  </si>
  <si>
    <t>extrusion, plastic film</t>
  </si>
  <si>
    <t>fan, for power supply unit, desktop computer</t>
  </si>
  <si>
    <t>inductor, ring core choke type</t>
  </si>
  <si>
    <t>metal working, average for aluminium product manufacturing</t>
  </si>
  <si>
    <t>metal working, average for steel product manufacturing</t>
  </si>
  <si>
    <t>printed wiring board, for through-hole mounting, Pb containing surface</t>
  </si>
  <si>
    <t>steel, low-alloyed</t>
  </si>
  <si>
    <t>transport, freight train</t>
  </si>
  <si>
    <t>transport, freight, sea, container ship</t>
  </si>
  <si>
    <t>Heat sink (Al)</t>
  </si>
  <si>
    <t>Capacitor, electrolyte type</t>
  </si>
  <si>
    <t>Capacitor, film type</t>
  </si>
  <si>
    <t>Plastic film</t>
  </si>
  <si>
    <t>Fan</t>
  </si>
  <si>
    <t>Inductor</t>
  </si>
  <si>
    <t>Inductor, ring core choke type</t>
  </si>
  <si>
    <t>Metal working, aluminium</t>
  </si>
  <si>
    <t>Metal working, steel</t>
  </si>
  <si>
    <t>Printed wiring board</t>
  </si>
  <si>
    <t>Steel</t>
  </si>
  <si>
    <t>Transport, train</t>
  </si>
  <si>
    <t>Transport, freight lorry</t>
  </si>
  <si>
    <t>Transport, freights sea</t>
  </si>
  <si>
    <t>cast iron</t>
  </si>
  <si>
    <t>copper, cathode</t>
  </si>
  <si>
    <t>inductor, auxilliaries and energy use</t>
  </si>
  <si>
    <t>wire drawing, copper</t>
  </si>
  <si>
    <t>Iron</t>
  </si>
  <si>
    <t>Copper</t>
  </si>
  <si>
    <t>Plastic</t>
  </si>
  <si>
    <t>Production efforts</t>
  </si>
  <si>
    <t>Wire drawing, copper</t>
  </si>
  <si>
    <t>synthetic rubber</t>
  </si>
  <si>
    <t>Rubber seal</t>
  </si>
  <si>
    <t>Transport, freight</t>
  </si>
  <si>
    <t>Metal working aluminium</t>
  </si>
  <si>
    <t>Metal working steel</t>
  </si>
  <si>
    <t>Printed wiring boards</t>
  </si>
  <si>
    <t>Transport, ship</t>
  </si>
  <si>
    <t>BMS</t>
  </si>
  <si>
    <t>LFP cell</t>
  </si>
  <si>
    <t>power supply unit, for desktop computer</t>
  </si>
  <si>
    <t>switch, toggle type</t>
  </si>
  <si>
    <t>Control screen</t>
  </si>
  <si>
    <t>Power supply unit</t>
  </si>
  <si>
    <t>Switch</t>
  </si>
  <si>
    <t>Life cycle assessment (LCA) of a battery home storage system based on primary data, Friedrich B. Jasper, Jana Spathe, Manuel Baumann, Jens F. Peters, Janna Ruhland, Marcel Weil, 2020, Journal of Cleaner Production</t>
  </si>
  <si>
    <t>kilogram</t>
  </si>
  <si>
    <t>kilowatt hour</t>
  </si>
  <si>
    <t>ton kilometer</t>
  </si>
  <si>
    <t>square meter</t>
  </si>
  <si>
    <t>production</t>
  </si>
  <si>
    <t>market for cable, unspecified</t>
  </si>
  <si>
    <t>market for electricity, medium voltage</t>
  </si>
  <si>
    <t>market for electronics, for control units</t>
  </si>
  <si>
    <t>market for transport, freight, lorry 16-32 metric ton, EURO5</t>
  </si>
  <si>
    <t>ampere charger production</t>
  </si>
  <si>
    <t>ampere charger for home storage system</t>
  </si>
  <si>
    <t>housing for home storage system</t>
  </si>
  <si>
    <t>inverter for home storage system</t>
  </si>
  <si>
    <t>technosphere</t>
  </si>
  <si>
    <t>market for aluminium alloy, AlMg3</t>
  </si>
  <si>
    <t>market for capacitor, electrolyte type, &gt; 2cm height</t>
  </si>
  <si>
    <t>market for capacitor, film type, for through-hole mounting</t>
  </si>
  <si>
    <t>market for extrusion, plastic film</t>
  </si>
  <si>
    <t>market for fan, for power supply unit, desktop computer</t>
  </si>
  <si>
    <t>market for inductor, ring core choke type</t>
  </si>
  <si>
    <t>market for metal working, average for aluminium product manufacturing</t>
  </si>
  <si>
    <t>market for metal working, average for steel product manufacturing</t>
  </si>
  <si>
    <t>market for printed wiring board, for through-hole mounting, Pb containing surface</t>
  </si>
  <si>
    <t>market for steel, low-alloyed</t>
  </si>
  <si>
    <t>market for transport, freight train</t>
  </si>
  <si>
    <t>market for transport, freight, sea, container ship</t>
  </si>
  <si>
    <t>Life cycle assessment (LCA) of a battery home storage system based on primary data, Friedrich B. Jasper, Jana Spathe, Manuel Baumann, Jens F. Peters, Janna Ruhland, Marcel Weil, 2020, Journal of Cleaner Production
Ampere charge. Weight: 14.2 kg.</t>
  </si>
  <si>
    <t>inductor, other production</t>
  </si>
  <si>
    <t>inductor, other</t>
  </si>
  <si>
    <t>market for cast iron</t>
  </si>
  <si>
    <t>market for copper, cathode</t>
  </si>
  <si>
    <t>market for inductor, auxilliaries and energy use</t>
  </si>
  <si>
    <t>market for wire drawing, copper</t>
  </si>
  <si>
    <t>housing assembly for home storage system</t>
  </si>
  <si>
    <t>market for synthetic rubber</t>
  </si>
  <si>
    <t>inverter production for home storage system</t>
  </si>
  <si>
    <t>cell module production, LFP, for home storage system</t>
  </si>
  <si>
    <t>cell module, LFP, for home storage system</t>
  </si>
  <si>
    <t>battery module system production</t>
  </si>
  <si>
    <t>battery module system for home storage system module</t>
  </si>
  <si>
    <t>Europe without Switzerland</t>
  </si>
  <si>
    <t>battery cell, Li-ion, LFP</t>
  </si>
  <si>
    <t>market for battery cell, Li-ion, LFP</t>
  </si>
  <si>
    <t>system controller production, for home storage system</t>
  </si>
  <si>
    <t>system controller, for home storage system</t>
  </si>
  <si>
    <t>market for power supply unit, for desktop computer</t>
  </si>
  <si>
    <t>market for switch, toggle type</t>
  </si>
  <si>
    <t>home electricity storage system, 14.4 kWh, LFP battery</t>
  </si>
  <si>
    <t>home electricity storage system</t>
  </si>
  <si>
    <t>market for battery cell, Li-ion, NMC811</t>
  </si>
  <si>
    <t>battery cell, Li-ion, NMC811</t>
  </si>
  <si>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</si>
  <si>
    <t>cell module production, NMC811, for home storage system</t>
  </si>
  <si>
    <t>cell module, NMC811, for home storage system</t>
  </si>
  <si>
    <t>home electricity storage system, 19.5 kWh, NMC811 battery</t>
  </si>
  <si>
    <t>stationary battery</t>
  </si>
  <si>
    <t>production amount</t>
  </si>
  <si>
    <t>electricity, high voltage</t>
  </si>
  <si>
    <t>categories</t>
  </si>
  <si>
    <t>market for electricity, low voltage</t>
  </si>
  <si>
    <t>electricity, low voltage</t>
  </si>
  <si>
    <t>Accounts or standby electricity consumption.</t>
  </si>
  <si>
    <t>electricity supply, from stationary 19.5 kWh NMC battery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</si>
  <si>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</si>
  <si>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CH</t>
  </si>
  <si>
    <t>uncertainty type</t>
  </si>
  <si>
    <t>loc</t>
  </si>
  <si>
    <t>minimum</t>
  </si>
  <si>
    <t>maximum</t>
  </si>
  <si>
    <t>Accounts for the round trip efficiency of 81%. Min-max: 75-90% efficiency.</t>
  </si>
  <si>
    <t>Home storage system. Min-max values: 2000-3000 cycle life.</t>
  </si>
  <si>
    <t>electricity supply, from stationary 14.4 kWh LFP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</si>
</sst>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1"/>
      <name val="Calibri"/>
      <family val="2"/>
      <scheme val="minor"/>
    </font>
    <font>
      <sz val="12"/>
      <color rgb="FF9C5700"/>
      <name val="Calibri"/>
      <family val="2"/>
      <scheme val="minor"/>
    </font>
    <font>
      <b/>
      <sz val="11"/>
      <color indexed="8"/>
      <name val="Calibri"/>
      <family val="2"/>
      <scheme val="minor"/>
    </font>
    <font>
      <sz val="11"/>
      <color indexed="8"/>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4">
    <xf numFmtId="0" fontId="0" fillId="0" borderId="0"/>
    <xf numFmtId="0" fontId="3" fillId="2" borderId="0" applyNumberFormat="0" applyBorder="0" applyAlignment="0" applyProtection="0"/>
    <xf numFmtId="0" fontId="2" fillId="0" borderId="0"/>
    <xf numFmtId="0" fontId="2" fillId="0" borderId="0"/>
  </cellStyleXfs>
  <cellXfs count="26">
    <xf numFmtId="0" fontId="0" fillId="0" borderId="0" xfId="0"/>
    <xf numFmtId="0" fontId="1" fillId="0" borderId="0" xfId="0" applyFont="1"/>
    <xf numFmtId="2" fontId="0" fillId="0" borderId="0" xfId="0" applyNumberFormat="1"/>
    <xf numFmtId="0" fontId="1" fillId="0" borderId="0" xfId="2" applyFont="1"/>
    <xf numFmtId="11" fontId="4" fillId="0" borderId="0" xfId="0" applyNumberFormat="1" applyFont="1"/>
    <xf numFmtId="0" fontId="2" fillId="0" borderId="0" xfId="3"/>
    <xf numFmtId="0" fontId="5" fillId="0" borderId="0" xfId="0" applyFont="1"/>
    <xf numFmtId="0" fontId="5" fillId="0" borderId="1" xfId="0" applyFont="1" applyBorder="1"/>
    <xf numFmtId="0" fontId="2" fillId="0" borderId="0" xfId="0" applyFont="1"/>
    <xf numFmtId="0" fontId="2" fillId="0" borderId="0" xfId="2"/>
    <xf numFmtId="11" fontId="2" fillId="0" borderId="0" xfId="2" applyNumberFormat="1" applyAlignment="1">
      <alignment horizontal="left"/>
    </xf>
    <xf numFmtId="11" fontId="0" fillId="0" borderId="0" xfId="2" applyNumberFormat="1" applyFont="1" applyAlignment="1">
      <alignment horizontal="left"/>
    </xf>
    <xf numFmtId="11" fontId="2" fillId="0" borderId="0" xfId="1" applyNumberFormat="1" applyFont="1" applyFill="1"/>
    <xf numFmtId="11" fontId="5" fillId="0" borderId="0" xfId="0" applyNumberFormat="1" applyFont="1"/>
    <xf numFmtId="0" fontId="4" fillId="0" borderId="0" xfId="0" applyFont="1"/>
    <xf numFmtId="0" fontId="4" fillId="0" borderId="1" xfId="0" applyFont="1" applyBorder="1"/>
    <xf numFmtId="0" fontId="2" fillId="0" borderId="1" xfId="3" applyBorder="1"/>
    <xf numFmtId="11" fontId="0" fillId="0" borderId="0" xfId="0" applyNumberFormat="1"/>
    <xf numFmtId="0" fontId="0" fillId="0" borderId="1" xfId="3" applyFont="1" applyBorder="1"/>
    <xf numFmtId="0" fontId="0" fillId="0" borderId="1" xfId="0" applyBorder="1"/>
    <xf numFmtId="0" fontId="0" fillId="0" borderId="0" xfId="3" applyFont="1"/>
    <xf numFmtId="11" fontId="1" fillId="0" borderId="0" xfId="0" applyNumberFormat="1" applyFont="1"/>
    <xf numFmtId="0" fontId="1" fillId="0" borderId="1" xfId="3" applyFont="1" applyBorder="1"/>
    <xf numFmtId="0" fontId="1" fillId="0" borderId="1" xfId="0" applyFont="1" applyBorder="1"/>
    <xf numFmtId="0" fontId="1" fillId="0" borderId="0" xfId="3" applyFont="1"/>
    <xf numFmtId="0" fontId="1" fillId="0" borderId="0" xfId="3" applyFont="1" applyFill="1" applyBorder="1"/>
  </cellXfs>
  <cellStyles count="4">
    <cellStyle name="Neutral" xfId="1" builtinId="28"/>
    <cellStyle name="Normal" xfId="0" builtinId="0"/>
    <cellStyle name="Normal 11 3" xfId="2" xr:uid="{926B8F84-56CF-9742-923C-58976E27515A}"/>
    <cellStyle name="Normal 2" xfId="3" xr:uid="{7CB59D07-984D-0E43-A918-35C20EB1329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62"/>
  <sheetViews>
    <sheetView tabSelected="1" topLeftCell="A99" workbookViewId="0">
      <selection activeCell="B127" sqref="B137"/>
    </sheetView>
  </sheetViews>
  <sheetFormatPr baseColWidth="10" defaultColWidth="8.83203125" defaultRowHeight="15" x14ac:dyDescent="0.2"/>
  <cols>
    <col min="1" max="1" width="55.5" customWidth="1"/>
    <col min="2" max="2" width="30.6640625" customWidth="1"/>
    <col min="4" max="4" width="19.83203125" customWidth="1"/>
    <col min="11" max="12" width="11.83203125" bestFit="1" customWidth="1"/>
  </cols>
  <sheetData>
    <row r="1" spans="1:12" x14ac:dyDescent="0.2">
      <c r="A1" s="1" t="s">
        <v>5</v>
      </c>
      <c r="B1" s="1" t="s">
        <v>131</v>
      </c>
    </row>
    <row r="3" spans="1:12" x14ac:dyDescent="0.2">
      <c r="A3" s="3" t="s">
        <v>8</v>
      </c>
      <c r="B3" s="4" t="s">
        <v>138</v>
      </c>
      <c r="C3" s="5"/>
      <c r="D3" s="6"/>
      <c r="E3" s="6"/>
      <c r="F3" s="6"/>
      <c r="G3" s="6"/>
      <c r="H3" s="6"/>
      <c r="I3" s="7"/>
      <c r="K3" s="8"/>
    </row>
    <row r="4" spans="1:12" x14ac:dyDescent="0.2">
      <c r="A4" s="9" t="s">
        <v>132</v>
      </c>
      <c r="B4" s="10">
        <v>1</v>
      </c>
      <c r="C4" s="6"/>
      <c r="D4" s="6"/>
      <c r="E4" s="6"/>
      <c r="F4" s="6"/>
      <c r="G4" s="6"/>
      <c r="H4" s="6"/>
      <c r="I4" s="7"/>
      <c r="K4" s="8"/>
    </row>
    <row r="5" spans="1:12" x14ac:dyDescent="0.2">
      <c r="A5" s="9" t="s">
        <v>7</v>
      </c>
      <c r="B5"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Actualscenario:19.5kWh gross,0.8DoD,Q=39000.0kWh,S=1755.0kWh,chargeinput=1.2546012269938651kWh/outputkWh,directstandby=0.0225kWh/outputkWh.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5" s="6"/>
      <c r="D5" s="6"/>
      <c r="E5" s="6"/>
      <c r="F5" s="6"/>
      <c r="G5" s="6"/>
      <c r="H5" s="6"/>
      <c r="I5" s="7"/>
      <c r="K5" s="8"/>
    </row>
    <row r="6" spans="1:12" x14ac:dyDescent="0.2">
      <c r="A6" s="9" t="s">
        <v>1</v>
      </c>
      <c r="B6" s="12" t="s">
        <v>133</v>
      </c>
      <c r="C6" s="6"/>
      <c r="D6" s="6"/>
      <c r="E6" s="6"/>
      <c r="F6" s="6"/>
      <c r="G6" s="6"/>
      <c r="H6" s="6"/>
      <c r="I6" s="7"/>
      <c r="K6" s="8"/>
    </row>
    <row r="7" spans="1:12" x14ac:dyDescent="0.2">
      <c r="A7" s="9" t="s">
        <v>4</v>
      </c>
      <c r="B7" s="11" t="s">
        <v>140</v>
      </c>
      <c r="C7" s="6"/>
      <c r="D7" s="6"/>
      <c r="E7" s="6"/>
      <c r="F7" s="6"/>
      <c r="G7" s="6"/>
      <c r="H7" s="6"/>
      <c r="I7" s="7"/>
      <c r="K7" s="8"/>
    </row>
    <row r="8" spans="1:12" x14ac:dyDescent="0.2">
      <c r="A8" s="9" t="s">
        <v>3</v>
      </c>
      <c r="B8" s="13" t="s">
        <v>77</v>
      </c>
      <c r="C8" s="6"/>
      <c r="D8" s="6"/>
      <c r="E8" s="6"/>
      <c r="F8" s="6"/>
      <c r="G8" s="6"/>
      <c r="H8" s="14"/>
      <c r="I8" s="15"/>
      <c r="K8" s="8"/>
    </row>
    <row r="9" spans="1:12" x14ac:dyDescent="0.2">
      <c r="A9" s="14" t="s">
        <v>9</v>
      </c>
      <c r="B9" s="4"/>
      <c r="C9" s="14"/>
      <c r="D9" s="14"/>
      <c r="E9" s="14"/>
      <c r="F9" s="14"/>
      <c r="G9" s="14"/>
      <c r="H9" s="5"/>
      <c r="I9" s="16"/>
      <c r="K9" s="8"/>
    </row>
    <row r="10" spans="1:12" x14ac:dyDescent="0.2">
      <c r="A10" s="1" t="s">
        <v>0</v>
      </c>
      <c r="B10" s="21" t="s">
        <v>2</v>
      </c>
      <c r="C10" s="1" t="s">
        <v>4</v>
      </c>
      <c r="D10" s="1" t="s">
        <v>3</v>
      </c>
      <c r="E10" s="1" t="s">
        <v>6</v>
      </c>
      <c r="F10" s="1" t="s">
        <v>1</v>
      </c>
      <c r="G10" s="1" t="s">
        <v>134</v>
      </c>
      <c r="H10" s="22" t="s">
        <v>7</v>
      </c>
      <c r="I10" s="23" t="s">
        <v>141</v>
      </c>
      <c r="J10" s="24" t="s">
        <v>142</v>
      </c>
      <c r="K10" s="25" t="s">
        <v>143</v>
      </c>
      <c r="L10" s="25" t="s">
        <v>144</v>
      </c>
    </row>
    <row r="11" spans="1:12" x14ac:dyDescent="0.2">
      <c r="A11" s="17" t="str">
        <f>B3</f>
        <v>electricity supply, from stationary 19.5 kWh NMC battery</v>
      </c>
      <c r="B11" s="17">
        <v>1</v>
      </c>
      <c r="C11" t="str">
        <f>B7</f>
        <v>CH</v>
      </c>
      <c r="D11" t="s">
        <v>77</v>
      </c>
      <c r="E11" t="s">
        <v>80</v>
      </c>
      <c r="F11" t="s">
        <v>133</v>
      </c>
      <c r="G11" s="5"/>
      <c r="H11" s="16"/>
      <c r="I11" s="19"/>
      <c r="K11" s="8"/>
    </row>
    <row r="12" spans="1:12" x14ac:dyDescent="0.2">
      <c r="A12" s="9" t="s">
        <v>135</v>
      </c>
      <c r="B12" s="17">
        <f>1.2546012269938651</f>
        <v>1.2546012269938651</v>
      </c>
      <c r="C12" t="s">
        <v>140</v>
      </c>
      <c r="D12" t="s">
        <v>77</v>
      </c>
      <c r="E12" t="s">
        <v>89</v>
      </c>
      <c r="F12" t="s">
        <v>136</v>
      </c>
      <c r="G12" s="5"/>
      <c r="H12" s="18" t="s">
        <v>145</v>
      </c>
      <c r="I12" s="19">
        <v>5</v>
      </c>
      <c r="J12" s="17">
        <f>1.2546012269938651</f>
        <v>1.2546012269938651</v>
      </c>
      <c r="K12">
        <f>1.1597154199102955</f>
        <v>1.1597154199102955</v>
      </c>
      <c r="L12">
        <f>1.3178584317162447</f>
        <v>1.3178584317162447</v>
      </c>
    </row>
    <row r="13" spans="1:12" x14ac:dyDescent="0.2">
      <c r="A13" s="9" t="s">
        <v>135</v>
      </c>
      <c r="B13" s="17">
        <f>0.0225</f>
        <v>0.0225</v>
      </c>
      <c r="C13" t="s">
        <v>140</v>
      </c>
      <c r="D13" t="s">
        <v>77</v>
      </c>
      <c r="E13" t="s">
        <v>89</v>
      </c>
      <c r="F13" t="s">
        <v>136</v>
      </c>
      <c r="G13" s="5"/>
      <c r="H13" s="18" t="s">
        <v>137</v>
      </c>
      <c r="I13" s="19"/>
    </row>
    <row r="14" spans="1:12" x14ac:dyDescent="0.2">
      <c r="A14" s="9" t="s">
        <v>130</v>
      </c>
      <c r="B14" s="17">
        <f>2.564102564102564e-05</f>
        <v>2.564102564102564e-05</v>
      </c>
      <c r="C14" t="s">
        <v>16</v>
      </c>
      <c r="D14" t="s">
        <v>3</v>
      </c>
      <c r="E14" t="s">
        <v>89</v>
      </c>
      <c r="F14" t="s">
        <v>124</v>
      </c>
      <c r="G14" s="5"/>
      <c r="H14" s="20" t="s">
        <v>146</v>
      </c>
      <c r="I14" s="19">
        <v>5</v>
      </c>
      <c r="J14" s="17">
        <f>2.564102564102564e-05</f>
        <v>2.564102564102564e-05</v>
      </c>
      <c r="K14">
        <f>2.1367521367521368e-05</f>
        <v>2.1367521367521368e-05</v>
      </c>
      <c r="L14">
        <f>3.205128205128205e-05</f>
        <v>3.205128205128205e-05</v>
      </c>
    </row>
    <row r="15" spans="1:12" x14ac:dyDescent="0.2">
      <c r="A15" s="9"/>
      <c r="B15" s="17"/>
      <c r="G15" s="5"/>
      <c r="H15" s="20"/>
    </row>
    <row r="16" spans="1:12" x14ac:dyDescent="0.2">
      <c r="A16" s="3" t="s">
        <v>8</v>
      </c>
      <c r="B16" s="4" t="s">
        <v>147</v>
      </c>
      <c r="C16" s="5"/>
      <c r="D16" s="6"/>
      <c r="E16" s="6"/>
      <c r="F16" s="6"/>
      <c r="G16" s="6"/>
      <c r="H16" s="6"/>
      <c r="I16" s="7"/>
      <c r="K16" s="8"/>
    </row>
    <row r="17" spans="1:12" x14ac:dyDescent="0.2">
      <c r="A17" s="9" t="s">
        <v>132</v>
      </c>
      <c r="B17" s="10">
        <v>1</v>
      </c>
      <c r="C17" s="6"/>
      <c r="D17" s="6"/>
      <c r="E17" s="6"/>
      <c r="F17" s="6"/>
      <c r="G17" s="6"/>
      <c r="H17" s="6"/>
      <c r="I17" s="7"/>
      <c r="K17" s="8"/>
    </row>
    <row r="18" spans="1:12" x14ac:dyDescent="0.2">
      <c r="A18" s="9" t="s">
        <v>7</v>
      </c>
      <c r="B18"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Actualscenario:14.4kWh gross,0.8DoD,Q=28800.000000000004kWh,S=1755.0kWh,chargeinput=1.2643788343558284kWh/outputkWh,directstandby=0.030468749999999996kWh/outputkWh.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18" s="6"/>
      <c r="D18" s="6"/>
      <c r="E18" s="6"/>
      <c r="F18" s="6"/>
      <c r="G18" s="6"/>
      <c r="H18" s="6"/>
      <c r="I18" s="7"/>
      <c r="K18" s="8"/>
    </row>
    <row r="19" spans="1:12" x14ac:dyDescent="0.2">
      <c r="A19" s="9" t="s">
        <v>1</v>
      </c>
      <c r="B19" s="12" t="s">
        <v>133</v>
      </c>
      <c r="C19" s="6"/>
      <c r="D19" s="6"/>
      <c r="E19" s="6"/>
      <c r="F19" s="6"/>
      <c r="G19" s="6"/>
      <c r="H19" s="6"/>
      <c r="I19" s="7"/>
      <c r="K19" s="8"/>
    </row>
    <row r="20" spans="1:12" x14ac:dyDescent="0.2">
      <c r="A20" s="9" t="s">
        <v>4</v>
      </c>
      <c r="B20" s="11" t="s">
        <v>140</v>
      </c>
      <c r="C20" s="6"/>
      <c r="D20" s="6"/>
      <c r="E20" s="6"/>
      <c r="F20" s="6"/>
      <c r="G20" s="6"/>
      <c r="H20" s="6"/>
      <c r="I20" s="7"/>
      <c r="K20" s="8"/>
    </row>
    <row r="21" spans="1:12" x14ac:dyDescent="0.2">
      <c r="A21" s="9" t="s">
        <v>3</v>
      </c>
      <c r="B21" s="13" t="s">
        <v>77</v>
      </c>
      <c r="C21" s="6"/>
      <c r="D21" s="6"/>
      <c r="E21" s="6"/>
      <c r="F21" s="6"/>
      <c r="G21" s="6"/>
      <c r="H21" s="14"/>
      <c r="I21" s="15"/>
      <c r="K21" s="8"/>
    </row>
    <row r="22" spans="1:12" x14ac:dyDescent="0.2">
      <c r="A22" s="14" t="s">
        <v>9</v>
      </c>
      <c r="B22" s="4"/>
      <c r="C22" s="14"/>
      <c r="D22" s="14"/>
      <c r="E22" s="14"/>
      <c r="F22" s="14"/>
      <c r="G22" s="14"/>
      <c r="H22" s="5"/>
      <c r="I22" s="16"/>
      <c r="K22" s="8"/>
    </row>
    <row r="23" spans="1:12" x14ac:dyDescent="0.2">
      <c r="A23" s="1" t="s">
        <v>0</v>
      </c>
      <c r="B23" s="21" t="s">
        <v>2</v>
      </c>
      <c r="C23" s="1" t="s">
        <v>4</v>
      </c>
      <c r="D23" s="1" t="s">
        <v>3</v>
      </c>
      <c r="E23" s="1" t="s">
        <v>6</v>
      </c>
      <c r="F23" s="1" t="s">
        <v>1</v>
      </c>
      <c r="G23" s="1" t="s">
        <v>134</v>
      </c>
      <c r="H23" s="22" t="s">
        <v>7</v>
      </c>
      <c r="I23" s="23" t="s">
        <v>141</v>
      </c>
      <c r="J23" s="24" t="s">
        <v>142</v>
      </c>
      <c r="K23" s="25" t="s">
        <v>143</v>
      </c>
      <c r="L23" s="25" t="s">
        <v>144</v>
      </c>
    </row>
    <row r="24" spans="1:12" x14ac:dyDescent="0.2">
      <c r="A24" s="17" t="str">
        <f>B16</f>
        <v>electricity supply, from stationary 14.4 kWh LFP battery</v>
      </c>
      <c r="B24" s="17">
        <v>1</v>
      </c>
      <c r="C24" t="str">
        <f>B20</f>
        <v>CH</v>
      </c>
      <c r="D24" t="s">
        <v>77</v>
      </c>
      <c r="E24" t="s">
        <v>80</v>
      </c>
      <c r="F24" t="s">
        <v>133</v>
      </c>
      <c r="G24" s="5"/>
      <c r="H24" s="16"/>
      <c r="I24" s="19"/>
      <c r="K24" s="8"/>
    </row>
    <row r="25" spans="1:12" x14ac:dyDescent="0.2">
      <c r="A25" s="9" t="s">
        <v>135</v>
      </c>
      <c r="B25" s="17">
        <f>1.2643788343558284</f>
        <v>1.2643788343558284</v>
      </c>
      <c r="C25" t="s">
        <v>140</v>
      </c>
      <c r="D25" t="s">
        <v>77</v>
      </c>
      <c r="E25" t="s">
        <v>89</v>
      </c>
      <c r="F25" t="s">
        <v>136</v>
      </c>
      <c r="G25" s="5"/>
      <c r="H25" s="18" t="s">
        <v>145</v>
      </c>
      <c r="I25" s="19">
        <v>5</v>
      </c>
      <c r="J25" s="17">
        <f>1.2643788343558284</f>
        <v>1.2643788343558284</v>
      </c>
      <c r="K25">
        <f>1.1687535443625308</f>
        <v>1.1687535443625308</v>
      </c>
      <c r="L25">
        <f>1.3281290276846938</f>
        <v>1.3281290276846938</v>
      </c>
    </row>
    <row r="26" spans="1:12" x14ac:dyDescent="0.2">
      <c r="A26" s="9" t="s">
        <v>135</v>
      </c>
      <c r="B26" s="17">
        <f>0.030468749999999996</f>
        <v>0.030468749999999996</v>
      </c>
      <c r="C26" t="s">
        <v>140</v>
      </c>
      <c r="D26" t="s">
        <v>77</v>
      </c>
      <c r="E26" t="s">
        <v>89</v>
      </c>
      <c r="F26" t="s">
        <v>136</v>
      </c>
      <c r="G26" s="5"/>
      <c r="H26" s="18" t="s">
        <v>137</v>
      </c>
      <c r="I26" s="19"/>
    </row>
    <row r="27" spans="1:12" x14ac:dyDescent="0.2">
      <c r="A27" s="9" t="s">
        <v>123</v>
      </c>
      <c r="B27" s="17">
        <f>3.4722222222222215e-05</f>
        <v>3.4722222222222215e-05</v>
      </c>
      <c r="C27" t="s">
        <v>16</v>
      </c>
      <c r="D27" t="s">
        <v>3</v>
      </c>
      <c r="E27" t="s">
        <v>89</v>
      </c>
      <c r="F27" t="s">
        <v>124</v>
      </c>
      <c r="G27" s="5"/>
      <c r="H27" s="20" t="s">
        <v>146</v>
      </c>
      <c r="I27" s="19">
        <v>5</v>
      </c>
      <c r="J27" s="17">
        <f>3.4722222222222215e-05</f>
        <v>3.4722222222222215e-05</v>
      </c>
      <c r="K27">
        <f>2.8935185185185183e-05</f>
        <v>2.8935185185185183e-05</v>
      </c>
      <c r="L27">
        <f>4.340277777777777e-05</f>
        <v>4.340277777777777e-05</v>
      </c>
    </row>
    <row r="28" spans="1:12" x14ac:dyDescent="0.2">
      <c r="A28" s="9"/>
      <c r="B28" s="17"/>
      <c r="G28" s="5"/>
      <c r="H28" s="20"/>
    </row>
    <row r="29" spans="1:12" x14ac:dyDescent="0.2">
      <c r="A29" s="1" t="s">
        <v>8</v>
      </c>
      <c r="B29" s="1" t="s">
        <v>123</v>
      </c>
    </row>
    <row r="30" spans="1:12" x14ac:dyDescent="0.2">
      <c r="A30" t="s">
        <v>1</v>
      </c>
      <c r="B30" t="s">
        <v>124</v>
      </c>
    </row>
    <row r="31" spans="1:12" x14ac:dyDescent="0.2">
      <c r="A31" t="s">
        <v>4</v>
      </c>
      <c r="B31" t="s">
        <v>16</v>
      </c>
    </row>
    <row r="32" spans="1:12" x14ac:dyDescent="0.2">
      <c r="A32" t="s">
        <v>2</v>
      </c>
      <c r="B32">
        <v>1</v>
      </c>
    </row>
    <row r="33" spans="1:7" x14ac:dyDescent="0.2">
      <c r="A33" t="s">
        <v>3</v>
      </c>
      <c r="B33" t="s">
        <v>3</v>
      </c>
    </row>
    <row r="34" spans="1:7" x14ac:dyDescent="0.2">
      <c r="A34" t="s">
        <v>7</v>
      </c>
      <c r="B34" t="inlineStr">
        <is>
          <t xml:space="preserve">HOME-STORAGE END-OF-LIFE COVERAGE, 2026-10-19. Add terminal treatment at this complete-system lifetime-budget level only. Finished cells 90 kg; charger, inverter, controller, separate control electronics and module BMS 56.2464 kg; cables 9.936 kg; structural steel 138.10464 kg; housing rubber 0.25056 kg. Total 294.5376 kg matches lifetime manufactured finished components. Existing replacement factors are already included in these purchases; do not apply them again. Housing is split using its existing 99.7% steel/0.3% rubber recipe; module steel is separate. Electronics are routed as finished devices, not counted again as constituent metals. Cells retain the existing generic Li-ion waste-market proxy; electronics, wiring, bulk iron and rubber use their existing waste treatment markets. These are documented treatment/geography proxies (GLO battery; RoW other waste markets) for the RER home system, not device-specific measured recovery yields or a Swiss disposal mix. Native market treatment/recovery conventions are retained without adding independent material substitution credits or new primary/secondary assumptions. Negative kg technosphere amounts send discarded products to waste markets whose reference production is -1 kg. Manufacturing process services/losses are not added to retained final-product waste. All lifetime-manufactured components are assigned eventual treatment in this attributional lifecycle reference; timing, reuse and remaining life are not dynamically modelled. Existing operational energy, nominal capacity, manufacturing, replacement factors and lifetime output remain unchanged. No additional whole-battery-capacity purchase or disassembly/EOL helper is added upstream. The following historical omission notes are superseded by this explicit treatment addition.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Currentreference:chemistryLFP,nominal14.4kWh,cell specific energy160.0Wh/kg,installedcellmass90.0kg,modulenoncellmass59.6736kg,totalmodulemass149.6736kg.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35" spans="1:7" x14ac:dyDescent="0.2">
      <c r="A35" t="s">
        <v>9</v>
      </c>
    </row>
    <row r="36" spans="1:7" x14ac:dyDescent="0.2">
      <c r="A36" s="1" t="s">
        <v>0</v>
      </c>
      <c r="B36" s="1" t="s">
        <v>1</v>
      </c>
      <c r="C36" s="1" t="s">
        <v>2</v>
      </c>
      <c r="D36" s="1" t="s">
        <v>3</v>
      </c>
      <c r="E36" s="1" t="s">
        <v>4</v>
      </c>
      <c r="F36" s="1" t="s">
        <v>6</v>
      </c>
      <c r="G36" s="1" t="s">
        <v>7</v>
      </c>
    </row>
    <row r="37" spans="1:7" x14ac:dyDescent="0.2">
      <c r="A37" t="str">
        <f>B29</f>
        <v>home electricity storage system, 14.4 kWh, LFP battery</v>
      </c>
      <c r="B37" t="str">
        <f>B30</f>
        <v>home electricity storage system</v>
      </c>
      <c r="C37">
        <v>1</v>
      </c>
      <c r="D37" t="str">
        <f>B33</f>
        <v>unit</v>
      </c>
      <c r="E37" t="str">
        <f>B31</f>
        <v>RER</v>
      </c>
      <c r="F37" t="s">
        <v>80</v>
      </c>
    </row>
    <row r="38" spans="1:7" x14ac:dyDescent="0.2">
      <c r="A38" t="s">
        <v>85</v>
      </c>
      <c r="B38" t="s">
        <v>86</v>
      </c>
      <c r="C38">
        <v>18.900000000000002</v>
      </c>
      <c r="D38" t="s">
        <v>76</v>
      </c>
      <c r="E38" t="s">
        <v>16</v>
      </c>
      <c r="F38" t="s">
        <v>89</v>
      </c>
      <c r="G38" t="s">
        <v>17</v>
      </c>
    </row>
    <row r="39" spans="1:7" x14ac:dyDescent="0.2">
      <c r="A39" t="s">
        <v>81</v>
      </c>
      <c r="B39" t="s">
        <v>10</v>
      </c>
      <c r="C39">
        <v>9.936</v>
      </c>
      <c r="D39" t="s">
        <v>76</v>
      </c>
      <c r="E39" t="s">
        <v>14</v>
      </c>
      <c r="F39" t="s">
        <v>89</v>
      </c>
      <c r="G39" t="s">
        <v>18</v>
      </c>
    </row>
    <row r="40" spans="1:7" x14ac:dyDescent="0.2">
      <c r="A40" t="s">
        <v>82</v>
      </c>
      <c r="B40" t="s">
        <v>11</v>
      </c>
      <c r="C40">
        <v>34.56</v>
      </c>
      <c r="D40" t="s">
        <v>77</v>
      </c>
      <c r="E40" t="s">
        <v>15</v>
      </c>
      <c r="F40" t="s">
        <v>89</v>
      </c>
      <c r="G40" t="s">
        <v>19</v>
      </c>
    </row>
    <row r="41" spans="1:7" x14ac:dyDescent="0.2">
      <c r="A41" t="s">
        <v>83</v>
      </c>
      <c r="B41" t="s">
        <v>12</v>
      </c>
      <c r="C41">
        <v>0.7560000000000001</v>
      </c>
      <c r="D41" t="s">
        <v>76</v>
      </c>
      <c r="E41" t="s">
        <v>14</v>
      </c>
      <c r="F41" t="s">
        <v>89</v>
      </c>
      <c r="G41" t="s">
        <v>20</v>
      </c>
    </row>
    <row r="42" spans="1:7" x14ac:dyDescent="0.2">
      <c r="A42" t="s">
        <v>109</v>
      </c>
      <c r="B42" t="s">
        <v>87</v>
      </c>
      <c r="C42">
        <v>83.52</v>
      </c>
      <c r="D42" t="s">
        <v>76</v>
      </c>
      <c r="E42" t="s">
        <v>16</v>
      </c>
      <c r="F42" t="s">
        <v>89</v>
      </c>
      <c r="G42" t="s">
        <v>21</v>
      </c>
    </row>
    <row r="43" spans="1:7" x14ac:dyDescent="0.2">
      <c r="A43" t="s">
        <v>111</v>
      </c>
      <c r="B43" t="s">
        <v>88</v>
      </c>
      <c r="C43">
        <v>22.68</v>
      </c>
      <c r="D43" t="s">
        <v>76</v>
      </c>
      <c r="E43" t="s">
        <v>16</v>
      </c>
      <c r="F43" t="s">
        <v>89</v>
      </c>
      <c r="G43" t="s">
        <v>22</v>
      </c>
    </row>
    <row r="44" spans="1:7" x14ac:dyDescent="0.2">
      <c r="A44" t="inlineStr">
        <is>
          <t xml:space="preserve">battery module production, home storage, lithium-ion, lfp, 14.4 kwh</t>
        </is>
      </c>
      <c r="B44" t="inlineStr">
        <is>
          <t xml:space="preserve">battery module, home storage, Li-ion, LFP, 14.4 kWh</t>
        </is>
      </c>
      <c r="C44">
        <v>1</v>
      </c>
      <c r="D44" t="inlineStr">
        <is>
          <t>unit</t>
        </is>
      </c>
      <c r="E44" t="inlineStr">
        <is>
          <t>RER</t>
        </is>
      </c>
      <c r="F44" t="s">
        <v>89</v>
      </c>
      <c r="G44" t="s">
        <v>23</v>
      </c>
    </row>
    <row r="45" spans="1:7" x14ac:dyDescent="0.2">
      <c r="A45" t="s">
        <v>119</v>
      </c>
      <c r="B45" t="s">
        <v>120</v>
      </c>
      <c r="C45">
        <v>7.56</v>
      </c>
      <c r="D45" t="s">
        <v>76</v>
      </c>
      <c r="E45" t="s">
        <v>16</v>
      </c>
      <c r="F45" t="s">
        <v>89</v>
      </c>
      <c r="G45" t="s">
        <v>24</v>
      </c>
    </row>
    <row r="46" spans="1:7" x14ac:dyDescent="0.2">
      <c r="A46" t="s">
        <v>84</v>
      </c>
      <c r="B46" t="s">
        <v>13</v>
      </c>
      <c r="C46">
        <v>90.3528</v>
      </c>
      <c r="D46" t="s">
        <v>78</v>
      </c>
      <c r="E46" t="s">
        <v>16</v>
      </c>
      <c r="F46" t="s">
        <v>89</v>
      </c>
      <c r="G46" t="s">
        <v>25</v>
      </c>
    </row>
    <row r="47">
      <c r="A47" t="inlineStr">
        <is>
          <t xml:space="preserve">market for used Li-ion battery</t>
        </is>
      </c>
      <c r="B47" t="inlineStr">
        <is>
          <t xml:space="preserve">used Li-ion battery</t>
        </is>
      </c>
      <c r="C47" t="n">
        <v>-90.0</v>
      </c>
      <c r="D47" t="inlineStr">
        <is>
          <t xml:space="preserve">kilogram</t>
        </is>
      </c>
      <c r="E47" t="inlineStr">
        <is>
          <t xml:space="preserve">GLO</t>
        </is>
      </c>
      <c r="F47" t="inlineStr">
        <is>
          <t xml:space="preserve">technosphere</t>
        </is>
      </c>
      <c r="G47" t="inlineStr">
        <is>
          <t xml:space="preserve">End-of-life cells; lifetime-manufactured finished-component mass, counted once. Existing market mix and geography are treatment proxies; no additional recovery credit.</t>
        </is>
      </c>
    </row>
    <row r="48">
      <c r="A48" t="inlineStr">
        <is>
          <t xml:space="preserve">market for used industrial electronic device</t>
        </is>
      </c>
      <c r="B48" t="inlineStr">
        <is>
          <t xml:space="preserve">used industrial electronic device</t>
        </is>
      </c>
      <c r="C48" t="n">
        <v>-56.2464</v>
      </c>
      <c r="D48" t="inlineStr">
        <is>
          <t xml:space="preserve">kilogram</t>
        </is>
      </c>
      <c r="E48" t="inlineStr">
        <is>
          <t xml:space="preserve">RoW</t>
        </is>
      </c>
      <c r="F48" t="inlineStr">
        <is>
          <t xml:space="preserve">technosphere</t>
        </is>
      </c>
      <c r="G48" t="inlineStr">
        <is>
          <t xml:space="preserve">End-of-life electronics; lifetime-manufactured finished-component mass, counted once. Existing market mix and geography are treatment proxies; no additional recovery credit.</t>
        </is>
      </c>
    </row>
    <row r="49">
      <c r="A49" t="inlineStr">
        <is>
          <t xml:space="preserve">market for waste electric wiring</t>
        </is>
      </c>
      <c r="B49" t="inlineStr">
        <is>
          <t xml:space="preserve">waste electric wiring</t>
        </is>
      </c>
      <c r="C49" t="n">
        <v>-9.936</v>
      </c>
      <c r="D49" t="inlineStr">
        <is>
          <t xml:space="preserve">kilogram</t>
        </is>
      </c>
      <c r="E49" t="inlineStr">
        <is>
          <t xml:space="preserve">RoW</t>
        </is>
      </c>
      <c r="F49" t="inlineStr">
        <is>
          <t xml:space="preserve">technosphere</t>
        </is>
      </c>
      <c r="G49" t="inlineStr">
        <is>
          <t xml:space="preserve">End-of-life cables; lifetime-manufactured finished-component mass, counted once. Existing market mix and geography are treatment proxies; no additional recovery credit.</t>
        </is>
      </c>
    </row>
    <row r="50">
      <c r="A50" t="inlineStr">
        <is>
          <t xml:space="preserve">market for waste bulk iron, excluding reinforcement</t>
        </is>
      </c>
      <c r="B50" t="inlineStr">
        <is>
          <t xml:space="preserve">waste bulk iron, excluding reinforcement</t>
        </is>
      </c>
      <c r="C50" t="n">
        <v>-138.10464</v>
      </c>
      <c r="D50" t="inlineStr">
        <is>
          <t xml:space="preserve">kilogram</t>
        </is>
      </c>
      <c r="E50" t="inlineStr">
        <is>
          <t xml:space="preserve">RoW</t>
        </is>
      </c>
      <c r="F50" t="inlineStr">
        <is>
          <t xml:space="preserve">technosphere</t>
        </is>
      </c>
      <c r="G50" t="inlineStr">
        <is>
          <t xml:space="preserve">End-of-life steel; lifetime-manufactured finished-component mass, counted once. Existing market mix and geography are treatment proxies; no additional recovery credit.</t>
        </is>
      </c>
    </row>
    <row r="51">
      <c r="A51" t="inlineStr">
        <is>
          <t xml:space="preserve">market for waste rubber, unspecified</t>
        </is>
      </c>
      <c r="B51" t="inlineStr">
        <is>
          <t xml:space="preserve">waste rubber, unspecified</t>
        </is>
      </c>
      <c r="C51" t="n">
        <v>-0.25056</v>
      </c>
      <c r="D51" t="inlineStr">
        <is>
          <t xml:space="preserve">kilogram</t>
        </is>
      </c>
      <c r="E51" t="inlineStr">
        <is>
          <t xml:space="preserve">RoW</t>
        </is>
      </c>
      <c r="F51" t="inlineStr">
        <is>
          <t xml:space="preserve">technosphere</t>
        </is>
      </c>
      <c r="G51" t="inlineStr">
        <is>
          <t xml:space="preserve">End-of-life rubber; lifetime-manufactured finished-component mass, counted once. Existing market mix and geography are treatment proxies; no additional recovery credit.</t>
        </is>
      </c>
    </row>
    <row r="53" spans="1:7" x14ac:dyDescent="0.2">
      <c r="A53" s="1" t="s">
        <v>8</v>
      </c>
      <c r="B53" s="1" t="s">
        <v>130</v>
      </c>
    </row>
    <row r="54" spans="1:7" x14ac:dyDescent="0.2">
      <c r="A54" t="s">
        <v>1</v>
      </c>
      <c r="B54" t="s">
        <v>124</v>
      </c>
    </row>
    <row r="55" spans="1:7" x14ac:dyDescent="0.2">
      <c r="A55" t="s">
        <v>4</v>
      </c>
      <c r="B55" t="s">
        <v>16</v>
      </c>
    </row>
    <row r="56" spans="1:7" x14ac:dyDescent="0.2">
      <c r="A56" t="s">
        <v>2</v>
      </c>
      <c r="B56">
        <v>1</v>
      </c>
    </row>
    <row r="57" spans="1:7" x14ac:dyDescent="0.2">
      <c r="A57" t="s">
        <v>3</v>
      </c>
      <c r="B57" t="s">
        <v>3</v>
      </c>
    </row>
    <row r="58" spans="1:7" x14ac:dyDescent="0.2">
      <c r="A58" t="s">
        <v>7</v>
      </c>
      <c r="B58" t="inlineStr">
        <is>
          <t xml:space="preserve">HOME-STORAGE END-OF-LIFE COVERAGE, 2026-10-19. Add terminal treatment at this complete-system lifetime-budget level only. Finished cells 78.3482142857143 kg; charger, inverter, controller, separate control electronics and module BMS 56.2464 kg; cables 9.936 kg; structural steel 138.10464 kg; housing rubber 0.25056 kg. Total 282.885814285714 kg matches lifetime manufactured finished components. Existing replacement factors are already included in these purchases; do not apply them again. Housing is split using its existing 99.7% steel/0.3% rubber recipe; module steel is separate. Electronics are routed as finished devices, not counted again as constituent metals. Cells retain the existing generic Li-ion waste-market proxy; electronics, wiring, bulk iron and rubber use their existing waste treatment markets. These are documented treatment/geography proxies (GLO battery; RoW other waste markets) for the RER home system, not device-specific measured recovery yields or a Swiss disposal mix. Native market treatment/recovery conventions are retained without adding independent material substitution credits or new primary/secondary assumptions. Negative kg technosphere amounts send discarded products to waste markets whose reference production is -1 kg. Manufacturing process services/losses are not added to retained final-product waste. All lifetime-manufactured components are assigned eventual treatment in this attributional lifecycle reference; timing, reuse and remaining life are not dynamically modelled. Existing operational energy, nominal capacity, manufacturing, replacement factors and lifetime output remain unchanged. No additional whole-battery-capacity purchase or disassembly/EOL helper is added upstream. The following historical omission notes are superseded by this explicit treatment addition.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Currentreference:chemistryNMC811,nominal19.5kWh,cell specific energy280.0Wh/kg,installedcellmass69.64285714285714kg,modulenoncellmass59.6736kg,totalmodulemass129.31645714285713kg.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59" spans="1:7" x14ac:dyDescent="0.2">
      <c r="A59" t="s">
        <v>9</v>
      </c>
    </row>
    <row r="60" spans="1:7" x14ac:dyDescent="0.2">
      <c r="A60" s="1" t="s">
        <v>0</v>
      </c>
      <c r="B60" s="1" t="s">
        <v>1</v>
      </c>
      <c r="C60" s="1" t="s">
        <v>2</v>
      </c>
      <c r="D60" s="1" t="s">
        <v>3</v>
      </c>
      <c r="E60" s="1" t="s">
        <v>4</v>
      </c>
      <c r="F60" s="1" t="s">
        <v>6</v>
      </c>
      <c r="G60" s="1" t="s">
        <v>7</v>
      </c>
    </row>
    <row r="61" spans="1:7" x14ac:dyDescent="0.2">
      <c r="A61" t="str">
        <f>B53</f>
        <v>home electricity storage system, 19.5 kWh, NMC811 battery</v>
      </c>
      <c r="B61" t="str">
        <f>B54</f>
        <v>home electricity storage system</v>
      </c>
      <c r="C61">
        <v>1</v>
      </c>
      <c r="D61" t="str">
        <f>B57</f>
        <v>unit</v>
      </c>
      <c r="E61" t="str">
        <f>B55</f>
        <v>RER</v>
      </c>
      <c r="F61" t="s">
        <v>80</v>
      </c>
    </row>
    <row r="62" spans="1:7" x14ac:dyDescent="0.2">
      <c r="A62" t="s">
        <v>85</v>
      </c>
      <c r="B62" t="s">
        <v>86</v>
      </c>
      <c r="C62">
        <v>18.900000000000002</v>
      </c>
      <c r="D62" t="s">
        <v>76</v>
      </c>
      <c r="E62" t="s">
        <v>16</v>
      </c>
      <c r="F62" t="s">
        <v>89</v>
      </c>
      <c r="G62" t="s">
        <v>17</v>
      </c>
    </row>
    <row r="63" spans="1:7" x14ac:dyDescent="0.2">
      <c r="A63" t="s">
        <v>81</v>
      </c>
      <c r="B63" t="s">
        <v>10</v>
      </c>
      <c r="C63">
        <v>9.936</v>
      </c>
      <c r="D63" t="s">
        <v>76</v>
      </c>
      <c r="E63" t="s">
        <v>14</v>
      </c>
      <c r="F63" t="s">
        <v>89</v>
      </c>
      <c r="G63" t="s">
        <v>18</v>
      </c>
    </row>
    <row r="64" spans="1:7" x14ac:dyDescent="0.2">
      <c r="A64" t="s">
        <v>82</v>
      </c>
      <c r="B64" t="s">
        <v>11</v>
      </c>
      <c r="C64">
        <v>34.56</v>
      </c>
      <c r="D64" t="s">
        <v>77</v>
      </c>
      <c r="E64" t="s">
        <v>15</v>
      </c>
      <c r="F64" t="s">
        <v>89</v>
      </c>
      <c r="G64" t="s">
        <v>19</v>
      </c>
    </row>
    <row r="65" spans="1:7" x14ac:dyDescent="0.2">
      <c r="A65" t="s">
        <v>83</v>
      </c>
      <c r="B65" t="s">
        <v>12</v>
      </c>
      <c r="C65">
        <v>0.7560000000000001</v>
      </c>
      <c r="D65" t="s">
        <v>76</v>
      </c>
      <c r="E65" t="s">
        <v>14</v>
      </c>
      <c r="F65" t="s">
        <v>89</v>
      </c>
      <c r="G65" t="s">
        <v>20</v>
      </c>
    </row>
    <row r="66" spans="1:7" x14ac:dyDescent="0.2">
      <c r="A66" t="s">
        <v>109</v>
      </c>
      <c r="B66" t="s">
        <v>87</v>
      </c>
      <c r="C66">
        <v>83.52</v>
      </c>
      <c r="D66" t="s">
        <v>76</v>
      </c>
      <c r="E66" t="s">
        <v>16</v>
      </c>
      <c r="F66" t="s">
        <v>89</v>
      </c>
      <c r="G66" t="s">
        <v>21</v>
      </c>
    </row>
    <row r="67" spans="1:7" x14ac:dyDescent="0.2">
      <c r="A67" t="s">
        <v>111</v>
      </c>
      <c r="B67" t="s">
        <v>88</v>
      </c>
      <c r="C67">
        <v>22.68</v>
      </c>
      <c r="D67" t="s">
        <v>76</v>
      </c>
      <c r="E67" t="s">
        <v>16</v>
      </c>
      <c r="F67" t="s">
        <v>89</v>
      </c>
      <c r="G67" t="s">
        <v>22</v>
      </c>
    </row>
    <row r="68" spans="1:7" x14ac:dyDescent="0.2">
      <c r="A68" t="inlineStr">
        <is>
          <t xml:space="preserve">battery module production, home storage, lithium-ion, nmc811, 19.5 kwh</t>
        </is>
      </c>
      <c r="B68" t="inlineStr">
        <is>
          <t xml:space="preserve">battery module, home storage, Li-ion, NMC811, 19.5 kWh</t>
        </is>
      </c>
      <c r="C68">
        <v>1</v>
      </c>
      <c r="D68" t="inlineStr">
        <is>
          <t>unit</t>
        </is>
      </c>
      <c r="E68" t="inlineStr">
        <is>
          <t>RER</t>
        </is>
      </c>
      <c r="F68" t="s">
        <v>89</v>
      </c>
      <c r="G68" t="s">
        <v>23</v>
      </c>
    </row>
    <row r="69" spans="1:7" x14ac:dyDescent="0.2">
      <c r="A69" t="s">
        <v>119</v>
      </c>
      <c r="B69" t="s">
        <v>120</v>
      </c>
      <c r="C69">
        <v>7.56</v>
      </c>
      <c r="D69" t="s">
        <v>76</v>
      </c>
      <c r="E69" t="s">
        <v>16</v>
      </c>
      <c r="F69" t="s">
        <v>89</v>
      </c>
      <c r="G69" t="s">
        <v>24</v>
      </c>
    </row>
    <row r="70" spans="1:7" x14ac:dyDescent="0.2">
      <c r="A70" t="s">
        <v>84</v>
      </c>
      <c r="B70" t="s">
        <v>13</v>
      </c>
      <c r="C70">
        <v>90.3528</v>
      </c>
      <c r="D70" t="s">
        <v>78</v>
      </c>
      <c r="E70" t="s">
        <v>16</v>
      </c>
      <c r="F70" t="s">
        <v>89</v>
      </c>
      <c r="G70" t="s">
        <v>25</v>
      </c>
    </row>
    <row r="71">
      <c r="A71" t="inlineStr">
        <is>
          <t xml:space="preserve">market for used Li-ion battery</t>
        </is>
      </c>
      <c r="B71" t="inlineStr">
        <is>
          <t xml:space="preserve">used Li-ion battery</t>
        </is>
      </c>
      <c r="C71" t="n">
        <v>-78.34821428571428</v>
      </c>
      <c r="D71" t="inlineStr">
        <is>
          <t xml:space="preserve">kilogram</t>
        </is>
      </c>
      <c r="E71" t="inlineStr">
        <is>
          <t xml:space="preserve">GLO</t>
        </is>
      </c>
      <c r="F71" t="inlineStr">
        <is>
          <t xml:space="preserve">technosphere</t>
        </is>
      </c>
      <c r="G71" t="inlineStr">
        <is>
          <t xml:space="preserve">End-of-life cells; lifetime-manufactured finished-component mass, counted once. Existing market mix and geography are treatment proxies; no additional recovery credit.</t>
        </is>
      </c>
    </row>
    <row r="72">
      <c r="A72" t="inlineStr">
        <is>
          <t xml:space="preserve">market for used industrial electronic device</t>
        </is>
      </c>
      <c r="B72" t="inlineStr">
        <is>
          <t xml:space="preserve">used industrial electronic device</t>
        </is>
      </c>
      <c r="C72" t="n">
        <v>-56.2464</v>
      </c>
      <c r="D72" t="inlineStr">
        <is>
          <t xml:space="preserve">kilogram</t>
        </is>
      </c>
      <c r="E72" t="inlineStr">
        <is>
          <t xml:space="preserve">RoW</t>
        </is>
      </c>
      <c r="F72" t="inlineStr">
        <is>
          <t xml:space="preserve">technosphere</t>
        </is>
      </c>
      <c r="G72" t="inlineStr">
        <is>
          <t xml:space="preserve">End-of-life electronics; lifetime-manufactured finished-component mass, counted once. Existing market mix and geography are treatment proxies; no additional recovery credit.</t>
        </is>
      </c>
    </row>
    <row r="73">
      <c r="A73" t="inlineStr">
        <is>
          <t xml:space="preserve">market for waste electric wiring</t>
        </is>
      </c>
      <c r="B73" t="inlineStr">
        <is>
          <t xml:space="preserve">waste electric wiring</t>
        </is>
      </c>
      <c r="C73" t="n">
        <v>-9.936</v>
      </c>
      <c r="D73" t="inlineStr">
        <is>
          <t xml:space="preserve">kilogram</t>
        </is>
      </c>
      <c r="E73" t="inlineStr">
        <is>
          <t xml:space="preserve">RoW</t>
        </is>
      </c>
      <c r="F73" t="inlineStr">
        <is>
          <t xml:space="preserve">technosphere</t>
        </is>
      </c>
      <c r="G73" t="inlineStr">
        <is>
          <t xml:space="preserve">End-of-life cables; lifetime-manufactured finished-component mass, counted once. Existing market mix and geography are treatment proxies; no additional recovery credit.</t>
        </is>
      </c>
    </row>
    <row r="74">
      <c r="A74" t="inlineStr">
        <is>
          <t xml:space="preserve">market for waste bulk iron, excluding reinforcement</t>
        </is>
      </c>
      <c r="B74" t="inlineStr">
        <is>
          <t xml:space="preserve">waste bulk iron, excluding reinforcement</t>
        </is>
      </c>
      <c r="C74" t="n">
        <v>-138.10464</v>
      </c>
      <c r="D74" t="inlineStr">
        <is>
          <t xml:space="preserve">kilogram</t>
        </is>
      </c>
      <c r="E74" t="inlineStr">
        <is>
          <t xml:space="preserve">RoW</t>
        </is>
      </c>
      <c r="F74" t="inlineStr">
        <is>
          <t xml:space="preserve">technosphere</t>
        </is>
      </c>
      <c r="G74" t="inlineStr">
        <is>
          <t xml:space="preserve">End-of-life steel; lifetime-manufactured finished-component mass, counted once. Existing market mix and geography are treatment proxies; no additional recovery credit.</t>
        </is>
      </c>
    </row>
    <row r="75">
      <c r="A75" t="inlineStr">
        <is>
          <t xml:space="preserve">market for waste rubber, unspecified</t>
        </is>
      </c>
      <c r="B75" t="inlineStr">
        <is>
          <t xml:space="preserve">waste rubber, unspecified</t>
        </is>
      </c>
      <c r="C75" t="n">
        <v>-0.25056</v>
      </c>
      <c r="D75" t="inlineStr">
        <is>
          <t xml:space="preserve">kilogram</t>
        </is>
      </c>
      <c r="E75" t="inlineStr">
        <is>
          <t xml:space="preserve">RoW</t>
        </is>
      </c>
      <c r="F75" t="inlineStr">
        <is>
          <t xml:space="preserve">technosphere</t>
        </is>
      </c>
      <c r="G75" t="inlineStr">
        <is>
          <t xml:space="preserve">End-of-life rubber; lifetime-manufactured finished-component mass, counted once. Existing market mix and geography are treatment proxies; no additional recovery credit.</t>
        </is>
      </c>
    </row>
    <row r="77" spans="1:7" x14ac:dyDescent="0.2">
      <c r="A77" s="1" t="s">
        <v>8</v>
      </c>
      <c r="B77" s="1" t="s">
        <v>85</v>
      </c>
    </row>
    <row r="78" spans="1:7" x14ac:dyDescent="0.2">
      <c r="A78" t="s">
        <v>1</v>
      </c>
      <c r="B78" t="s">
        <v>86</v>
      </c>
    </row>
    <row r="79" spans="1:7" x14ac:dyDescent="0.2">
      <c r="A79" t="s">
        <v>4</v>
      </c>
      <c r="B79" t="s">
        <v>16</v>
      </c>
    </row>
    <row r="80" spans="1:7" x14ac:dyDescent="0.2">
      <c r="A80" t="s">
        <v>2</v>
      </c>
      <c r="B80">
        <v>1</v>
      </c>
    </row>
    <row r="81" spans="1:7" x14ac:dyDescent="0.2">
      <c r="A81" t="s">
        <v>3</v>
      </c>
      <c r="B81" t="s">
        <v>76</v>
      </c>
    </row>
    <row r="82" spans="1:7" x14ac:dyDescent="0.2">
      <c r="A82" t="s">
        <v>7</v>
      </c>
      <c r="B82" t="s">
        <v>102</v>
      </c>
    </row>
    <row r="83" spans="1:7" x14ac:dyDescent="0.2">
      <c r="A83" t="s">
        <v>9</v>
      </c>
    </row>
    <row r="84" spans="1:7" x14ac:dyDescent="0.2">
      <c r="A84" s="1" t="s">
        <v>0</v>
      </c>
      <c r="B84" s="1" t="s">
        <v>1</v>
      </c>
      <c r="C84" s="1" t="s">
        <v>2</v>
      </c>
      <c r="D84" s="1" t="s">
        <v>3</v>
      </c>
      <c r="E84" s="1" t="s">
        <v>4</v>
      </c>
      <c r="F84" s="1" t="s">
        <v>6</v>
      </c>
      <c r="G84" s="1" t="s">
        <v>7</v>
      </c>
    </row>
    <row r="85" spans="1:7" x14ac:dyDescent="0.2">
      <c r="A85" t="str">
        <f>B77</f>
        <v>ampere charger production</v>
      </c>
      <c r="B85" t="str">
        <f>B78</f>
        <v>ampere charger for home storage system</v>
      </c>
      <c r="C85">
        <v>1</v>
      </c>
      <c r="D85" t="str">
        <f>B81</f>
        <v>kilogram</v>
      </c>
      <c r="E85" t="str">
        <f>B79</f>
        <v>RER</v>
      </c>
      <c r="F85" t="s">
        <v>80</v>
      </c>
    </row>
    <row r="86" spans="1:7" x14ac:dyDescent="0.2">
      <c r="A86" t="s">
        <v>90</v>
      </c>
      <c r="B86" t="s">
        <v>26</v>
      </c>
      <c r="C86" s="2">
        <v>0.15</v>
      </c>
      <c r="D86" t="s">
        <v>76</v>
      </c>
      <c r="E86" t="s">
        <v>14</v>
      </c>
      <c r="F86" t="s">
        <v>89</v>
      </c>
      <c r="G86" t="s">
        <v>38</v>
      </c>
    </row>
    <row r="87" spans="1:7" x14ac:dyDescent="0.2">
      <c r="A87" t="s">
        <v>81</v>
      </c>
      <c r="B87" t="s">
        <v>10</v>
      </c>
      <c r="C87" s="2">
        <v>0.02</v>
      </c>
      <c r="D87" t="s">
        <v>76</v>
      </c>
      <c r="E87" t="s">
        <v>14</v>
      </c>
      <c r="F87" t="s">
        <v>89</v>
      </c>
      <c r="G87" t="s">
        <v>18</v>
      </c>
    </row>
    <row r="88" spans="1:7" x14ac:dyDescent="0.2">
      <c r="A88" t="s">
        <v>91</v>
      </c>
      <c r="B88" t="s">
        <v>27</v>
      </c>
      <c r="C88" s="2">
        <v>0.01</v>
      </c>
      <c r="D88" t="s">
        <v>76</v>
      </c>
      <c r="E88" t="s">
        <v>14</v>
      </c>
      <c r="F88" t="s">
        <v>89</v>
      </c>
      <c r="G88" t="s">
        <v>39</v>
      </c>
    </row>
    <row r="89" spans="1:7" x14ac:dyDescent="0.2">
      <c r="A89" t="s">
        <v>92</v>
      </c>
      <c r="B89" t="s">
        <v>28</v>
      </c>
      <c r="C89" s="2">
        <v>0.01</v>
      </c>
      <c r="D89" t="s">
        <v>76</v>
      </c>
      <c r="E89" t="s">
        <v>14</v>
      </c>
      <c r="F89" t="s">
        <v>89</v>
      </c>
      <c r="G89" t="s">
        <v>40</v>
      </c>
    </row>
    <row r="90" spans="1:7" x14ac:dyDescent="0.2">
      <c r="A90" t="s">
        <v>93</v>
      </c>
      <c r="B90" t="s">
        <v>29</v>
      </c>
      <c r="C90" s="2">
        <v>0.01</v>
      </c>
      <c r="D90" t="s">
        <v>76</v>
      </c>
      <c r="E90" t="s">
        <v>14</v>
      </c>
      <c r="F90" t="s">
        <v>89</v>
      </c>
      <c r="G90" t="s">
        <v>41</v>
      </c>
    </row>
    <row r="91" spans="1:7" x14ac:dyDescent="0.2">
      <c r="A91" t="s">
        <v>94</v>
      </c>
      <c r="B91" t="s">
        <v>30</v>
      </c>
      <c r="C91" s="2">
        <v>0.02</v>
      </c>
      <c r="D91" t="s">
        <v>76</v>
      </c>
      <c r="E91" t="s">
        <v>14</v>
      </c>
      <c r="F91" t="s">
        <v>89</v>
      </c>
      <c r="G91" t="s">
        <v>42</v>
      </c>
    </row>
    <row r="92" spans="1:7" x14ac:dyDescent="0.2">
      <c r="A92" t="s">
        <v>103</v>
      </c>
      <c r="B92" t="s">
        <v>104</v>
      </c>
      <c r="C92">
        <v>0.08</v>
      </c>
      <c r="D92" t="s">
        <v>76</v>
      </c>
      <c r="E92" t="s">
        <v>16</v>
      </c>
      <c r="F92" t="s">
        <v>89</v>
      </c>
      <c r="G92" t="s">
        <v>43</v>
      </c>
    </row>
    <row r="93" spans="1:7" x14ac:dyDescent="0.2">
      <c r="A93" t="s">
        <v>95</v>
      </c>
      <c r="B93" t="s">
        <v>31</v>
      </c>
      <c r="C93">
        <v>0.14000000000000001</v>
      </c>
      <c r="D93" t="s">
        <v>76</v>
      </c>
      <c r="E93" t="s">
        <v>14</v>
      </c>
      <c r="F93" t="s">
        <v>89</v>
      </c>
      <c r="G93" t="s">
        <v>44</v>
      </c>
    </row>
    <row r="94" spans="1:7" x14ac:dyDescent="0.2">
      <c r="A94" t="s">
        <v>96</v>
      </c>
      <c r="B94" t="s">
        <v>32</v>
      </c>
      <c r="C94">
        <v>0.15</v>
      </c>
      <c r="D94" t="s">
        <v>76</v>
      </c>
      <c r="E94" t="s">
        <v>14</v>
      </c>
      <c r="F94" t="s">
        <v>89</v>
      </c>
      <c r="G94" t="s">
        <v>45</v>
      </c>
    </row>
    <row r="95" spans="1:7" x14ac:dyDescent="0.2">
      <c r="A95" t="s">
        <v>97</v>
      </c>
      <c r="B95" t="s">
        <v>33</v>
      </c>
      <c r="C95">
        <v>0.51</v>
      </c>
      <c r="D95" t="s">
        <v>76</v>
      </c>
      <c r="E95" t="s">
        <v>14</v>
      </c>
      <c r="F95" t="s">
        <v>89</v>
      </c>
      <c r="G95" t="s">
        <v>46</v>
      </c>
    </row>
    <row r="96" spans="1:7" x14ac:dyDescent="0.2">
      <c r="A96" t="s">
        <v>98</v>
      </c>
      <c r="B96" t="s">
        <v>34</v>
      </c>
      <c r="C96">
        <v>0.02</v>
      </c>
      <c r="D96" t="s">
        <v>79</v>
      </c>
      <c r="E96" t="s">
        <v>14</v>
      </c>
      <c r="F96" t="s">
        <v>89</v>
      </c>
      <c r="G96" t="s">
        <v>47</v>
      </c>
    </row>
    <row r="97" spans="1:7" x14ac:dyDescent="0.2">
      <c r="A97" t="s">
        <v>99</v>
      </c>
      <c r="B97" t="s">
        <v>35</v>
      </c>
      <c r="C97">
        <v>0.51</v>
      </c>
      <c r="D97" t="s">
        <v>76</v>
      </c>
      <c r="E97" t="s">
        <v>14</v>
      </c>
      <c r="F97" t="s">
        <v>89</v>
      </c>
      <c r="G97" t="s">
        <v>48</v>
      </c>
    </row>
    <row r="98" spans="1:7" x14ac:dyDescent="0.2">
      <c r="A98" t="s">
        <v>100</v>
      </c>
      <c r="B98" t="s">
        <v>36</v>
      </c>
      <c r="C98">
        <v>1</v>
      </c>
      <c r="D98" t="s">
        <v>78</v>
      </c>
      <c r="E98" t="s">
        <v>116</v>
      </c>
      <c r="F98" t="s">
        <v>89</v>
      </c>
      <c r="G98" t="s">
        <v>49</v>
      </c>
    </row>
    <row r="99" spans="1:7" x14ac:dyDescent="0.2">
      <c r="A99" t="s">
        <v>84</v>
      </c>
      <c r="B99" t="s">
        <v>13</v>
      </c>
      <c r="C99">
        <v>1</v>
      </c>
      <c r="D99" t="s">
        <v>78</v>
      </c>
      <c r="E99" t="s">
        <v>16</v>
      </c>
      <c r="F99" t="s">
        <v>89</v>
      </c>
      <c r="G99" t="s">
        <v>50</v>
      </c>
    </row>
    <row r="100" spans="1:7" x14ac:dyDescent="0.2">
      <c r="A100" t="s">
        <v>101</v>
      </c>
      <c r="B100" t="s">
        <v>37</v>
      </c>
      <c r="C100">
        <v>8</v>
      </c>
      <c r="D100" t="s">
        <v>78</v>
      </c>
      <c r="E100" t="s">
        <v>14</v>
      </c>
      <c r="F100" t="s">
        <v>89</v>
      </c>
      <c r="G100" t="s">
        <v>51</v>
      </c>
    </row>
    <row r="102" spans="1:7" x14ac:dyDescent="0.2">
      <c r="A102" s="1" t="s">
        <v>8</v>
      </c>
      <c r="B102" s="1" t="s">
        <v>103</v>
      </c>
    </row>
    <row r="103" spans="1:7" x14ac:dyDescent="0.2">
      <c r="A103" t="s">
        <v>1</v>
      </c>
      <c r="B103" t="s">
        <v>104</v>
      </c>
    </row>
    <row r="104" spans="1:7" x14ac:dyDescent="0.2">
      <c r="A104" t="s">
        <v>4</v>
      </c>
      <c r="B104" t="s">
        <v>16</v>
      </c>
    </row>
    <row r="105" spans="1:7" x14ac:dyDescent="0.2">
      <c r="A105" t="s">
        <v>2</v>
      </c>
      <c r="B105">
        <v>1</v>
      </c>
    </row>
    <row r="106" spans="1:7" x14ac:dyDescent="0.2">
      <c r="A106" t="s">
        <v>3</v>
      </c>
      <c r="B106" t="s">
        <v>76</v>
      </c>
    </row>
    <row r="107" spans="1:7" x14ac:dyDescent="0.2">
      <c r="A107" t="s">
        <v>7</v>
      </c>
      <c r="B107" t="s">
        <v>75</v>
      </c>
    </row>
    <row r="108" spans="1:7" x14ac:dyDescent="0.2">
      <c r="A108" t="s">
        <v>9</v>
      </c>
    </row>
    <row r="109" spans="1:7" x14ac:dyDescent="0.2">
      <c r="A109" t="s">
        <v>0</v>
      </c>
      <c r="B109" t="s">
        <v>1</v>
      </c>
      <c r="C109" t="s">
        <v>2</v>
      </c>
      <c r="D109" t="s">
        <v>3</v>
      </c>
      <c r="E109" t="s">
        <v>4</v>
      </c>
      <c r="F109" t="s">
        <v>6</v>
      </c>
      <c r="G109" t="s">
        <v>7</v>
      </c>
    </row>
    <row r="110" spans="1:7" x14ac:dyDescent="0.2">
      <c r="A110" t="str">
        <f>B102</f>
        <v>inductor, other production</v>
      </c>
      <c r="B110" t="str">
        <f>B103</f>
        <v>inductor, other</v>
      </c>
      <c r="C110">
        <v>1</v>
      </c>
      <c r="D110" t="str">
        <f>B106</f>
        <v>kilogram</v>
      </c>
      <c r="E110" t="str">
        <f>B104</f>
        <v>RER</v>
      </c>
      <c r="F110" t="s">
        <v>80</v>
      </c>
    </row>
    <row r="111" spans="1:7" x14ac:dyDescent="0.2">
      <c r="A111" t="s">
        <v>105</v>
      </c>
      <c r="B111" t="s">
        <v>52</v>
      </c>
      <c r="C111">
        <v>0.46</v>
      </c>
      <c r="D111" t="s">
        <v>76</v>
      </c>
      <c r="E111" t="s">
        <v>14</v>
      </c>
      <c r="F111" t="s">
        <v>89</v>
      </c>
      <c r="G111" t="s">
        <v>56</v>
      </c>
    </row>
    <row r="112" spans="1:7" x14ac:dyDescent="0.2">
      <c r="A112" t="s">
        <v>106</v>
      </c>
      <c r="B112" t="s">
        <v>53</v>
      </c>
      <c r="C112">
        <v>0.43</v>
      </c>
      <c r="D112" t="s">
        <v>76</v>
      </c>
      <c r="E112" t="s">
        <v>14</v>
      </c>
      <c r="F112" t="s">
        <v>89</v>
      </c>
      <c r="G112" t="s">
        <v>57</v>
      </c>
    </row>
    <row r="113" spans="1:7" x14ac:dyDescent="0.2">
      <c r="A113" t="s">
        <v>93</v>
      </c>
      <c r="B113" t="s">
        <v>29</v>
      </c>
      <c r="C113">
        <v>0.04</v>
      </c>
      <c r="D113" t="s">
        <v>76</v>
      </c>
      <c r="E113" t="s">
        <v>14</v>
      </c>
      <c r="F113" t="s">
        <v>89</v>
      </c>
      <c r="G113" t="s">
        <v>58</v>
      </c>
    </row>
    <row r="114" spans="1:7" x14ac:dyDescent="0.2">
      <c r="A114" t="s">
        <v>107</v>
      </c>
      <c r="B114" t="s">
        <v>54</v>
      </c>
      <c r="C114">
        <v>1</v>
      </c>
      <c r="D114" t="s">
        <v>76</v>
      </c>
      <c r="E114" t="s">
        <v>14</v>
      </c>
      <c r="F114" t="s">
        <v>89</v>
      </c>
      <c r="G114" t="s">
        <v>59</v>
      </c>
    </row>
    <row r="115" spans="1:7" x14ac:dyDescent="0.2">
      <c r="A115" t="s">
        <v>99</v>
      </c>
      <c r="B115" t="s">
        <v>35</v>
      </c>
      <c r="C115">
        <v>7.0000000000000007E-2</v>
      </c>
      <c r="D115" t="s">
        <v>76</v>
      </c>
      <c r="E115" t="s">
        <v>14</v>
      </c>
      <c r="F115" t="s">
        <v>89</v>
      </c>
      <c r="G115" t="s">
        <v>48</v>
      </c>
    </row>
    <row r="116" spans="1:7" x14ac:dyDescent="0.2">
      <c r="A116" t="s">
        <v>108</v>
      </c>
      <c r="B116" t="s">
        <v>55</v>
      </c>
      <c r="C116">
        <v>0.43</v>
      </c>
      <c r="D116" t="s">
        <v>76</v>
      </c>
      <c r="E116" t="s">
        <v>14</v>
      </c>
      <c r="F116" t="s">
        <v>89</v>
      </c>
      <c r="G116" t="s">
        <v>60</v>
      </c>
    </row>
    <row r="118" spans="1:7" x14ac:dyDescent="0.2">
      <c r="A118" s="1" t="s">
        <v>8</v>
      </c>
      <c r="B118" s="1" t="s">
        <v>109</v>
      </c>
    </row>
    <row r="119" spans="1:7" x14ac:dyDescent="0.2">
      <c r="A119" t="s">
        <v>1</v>
      </c>
      <c r="B119" t="s">
        <v>87</v>
      </c>
    </row>
    <row r="120" spans="1:7" x14ac:dyDescent="0.2">
      <c r="A120" t="s">
        <v>4</v>
      </c>
      <c r="B120" t="s">
        <v>16</v>
      </c>
    </row>
    <row r="121" spans="1:7" x14ac:dyDescent="0.2">
      <c r="A121" t="s">
        <v>2</v>
      </c>
      <c r="B121">
        <v>1</v>
      </c>
    </row>
    <row r="122" spans="1:7" x14ac:dyDescent="0.2">
      <c r="A122" t="s">
        <v>3</v>
      </c>
      <c r="B122" t="s">
        <v>76</v>
      </c>
    </row>
    <row r="123" spans="1:7" x14ac:dyDescent="0.2">
      <c r="A123" t="s">
        <v>7</v>
      </c>
      <c r="B123" t="s">
        <v>75</v>
      </c>
    </row>
    <row r="124" spans="1:7" x14ac:dyDescent="0.2">
      <c r="A124" t="s">
        <v>9</v>
      </c>
    </row>
    <row r="125" spans="1:7" x14ac:dyDescent="0.2">
      <c r="A125" s="1" t="s">
        <v>0</v>
      </c>
      <c r="B125" s="1" t="s">
        <v>1</v>
      </c>
      <c r="C125" s="1" t="s">
        <v>2</v>
      </c>
      <c r="D125" s="1" t="s">
        <v>3</v>
      </c>
      <c r="E125" s="1" t="s">
        <v>4</v>
      </c>
      <c r="F125" s="1" t="s">
        <v>6</v>
      </c>
      <c r="G125" s="1" t="s">
        <v>7</v>
      </c>
    </row>
    <row r="126" spans="1:7" x14ac:dyDescent="0.2">
      <c r="A126" t="str">
        <f>B118</f>
        <v>housing assembly for home storage system</v>
      </c>
      <c r="B126" t="str">
        <f>B119</f>
        <v>housing for home storage system</v>
      </c>
      <c r="C126">
        <v>1</v>
      </c>
      <c r="D126" t="str">
        <f>B122</f>
        <v>kilogram</v>
      </c>
      <c r="E126" t="str">
        <f>B120</f>
        <v>RER</v>
      </c>
      <c r="F126" t="s">
        <v>80</v>
      </c>
    </row>
    <row r="127" spans="1:7" x14ac:dyDescent="0.2">
      <c r="A127" t="s">
        <v>97</v>
      </c>
      <c r="B127" t="s">
        <v>33</v>
      </c>
      <c r="C127">
        <v>0.997</v>
      </c>
      <c r="D127" t="s">
        <v>76</v>
      </c>
      <c r="E127" t="s">
        <v>14</v>
      </c>
      <c r="F127" t="s">
        <v>89</v>
      </c>
      <c r="G127" t="s">
        <v>46</v>
      </c>
    </row>
    <row r="128" spans="1:7" x14ac:dyDescent="0.2">
      <c r="A128" t="s">
        <v>99</v>
      </c>
      <c r="B128" t="s">
        <v>35</v>
      </c>
      <c r="C128">
        <v>0.997</v>
      </c>
      <c r="D128" t="s">
        <v>76</v>
      </c>
      <c r="E128" t="s">
        <v>14</v>
      </c>
      <c r="F128" t="s">
        <v>89</v>
      </c>
      <c r="G128" t="s">
        <v>48</v>
      </c>
    </row>
    <row r="129" spans="1:7" x14ac:dyDescent="0.2">
      <c r="A129" t="s">
        <v>110</v>
      </c>
      <c r="B129" t="s">
        <v>61</v>
      </c>
      <c r="C129">
        <v>3.0000000000000001E-3</v>
      </c>
      <c r="D129" t="s">
        <v>76</v>
      </c>
      <c r="E129" t="s">
        <v>14</v>
      </c>
      <c r="F129" t="s">
        <v>89</v>
      </c>
      <c r="G129" t="s">
        <v>62</v>
      </c>
    </row>
    <row r="130" spans="1:7" x14ac:dyDescent="0.2">
      <c r="A130" t="s">
        <v>100</v>
      </c>
      <c r="B130" t="s">
        <v>36</v>
      </c>
      <c r="C130">
        <v>0.2</v>
      </c>
      <c r="D130" t="s">
        <v>78</v>
      </c>
      <c r="E130" t="s">
        <v>116</v>
      </c>
      <c r="F130" t="s">
        <v>89</v>
      </c>
      <c r="G130" t="s">
        <v>49</v>
      </c>
    </row>
    <row r="131" spans="1:7" x14ac:dyDescent="0.2">
      <c r="A131" t="s">
        <v>84</v>
      </c>
      <c r="B131" t="s">
        <v>13</v>
      </c>
      <c r="C131">
        <v>0.1</v>
      </c>
      <c r="D131" t="s">
        <v>78</v>
      </c>
      <c r="E131" t="s">
        <v>16</v>
      </c>
      <c r="F131" t="s">
        <v>89</v>
      </c>
      <c r="G131" t="s">
        <v>63</v>
      </c>
    </row>
    <row r="133" spans="1:7" x14ac:dyDescent="0.2">
      <c r="A133" s="1" t="s">
        <v>8</v>
      </c>
      <c r="B133" s="1" t="s">
        <v>111</v>
      </c>
    </row>
    <row r="134" spans="1:7" x14ac:dyDescent="0.2">
      <c r="A134" t="s">
        <v>1</v>
      </c>
      <c r="B134" t="s">
        <v>88</v>
      </c>
    </row>
    <row r="135" spans="1:7" x14ac:dyDescent="0.2">
      <c r="A135" t="s">
        <v>4</v>
      </c>
      <c r="B135" t="s">
        <v>16</v>
      </c>
    </row>
    <row r="136" spans="1:7" x14ac:dyDescent="0.2">
      <c r="A136" t="s">
        <v>2</v>
      </c>
      <c r="B136">
        <v>1</v>
      </c>
    </row>
    <row r="137" spans="1:7" x14ac:dyDescent="0.2">
      <c r="A137" t="s">
        <v>3</v>
      </c>
      <c r="B137" t="s">
        <v>76</v>
      </c>
    </row>
    <row r="138" spans="1:7" x14ac:dyDescent="0.2">
      <c r="A138" t="s">
        <v>7</v>
      </c>
      <c r="B138" t="s">
        <v>75</v>
      </c>
    </row>
    <row r="139" spans="1:7" x14ac:dyDescent="0.2">
      <c r="A139" t="s">
        <v>9</v>
      </c>
    </row>
    <row r="140" spans="1:7" x14ac:dyDescent="0.2">
      <c r="A140" s="1" t="s">
        <v>0</v>
      </c>
      <c r="B140" s="1" t="s">
        <v>1</v>
      </c>
      <c r="C140" s="1" t="s">
        <v>2</v>
      </c>
      <c r="D140" s="1" t="s">
        <v>3</v>
      </c>
      <c r="E140" s="1" t="s">
        <v>4</v>
      </c>
      <c r="F140" s="1" t="s">
        <v>6</v>
      </c>
      <c r="G140" s="1" t="s">
        <v>7</v>
      </c>
    </row>
    <row r="141" spans="1:7" x14ac:dyDescent="0.2">
      <c r="A141" t="str">
        <f>B133</f>
        <v>inverter production for home storage system</v>
      </c>
      <c r="B141" t="str">
        <f>B134</f>
        <v>inverter for home storage system</v>
      </c>
      <c r="C141">
        <v>1</v>
      </c>
      <c r="D141" t="str">
        <f>B137</f>
        <v>kilogram</v>
      </c>
      <c r="E141" t="str">
        <f>B135</f>
        <v>RER</v>
      </c>
      <c r="F141" t="s">
        <v>80</v>
      </c>
    </row>
    <row r="142" spans="1:7" x14ac:dyDescent="0.2">
      <c r="A142" t="s">
        <v>90</v>
      </c>
      <c r="B142" t="s">
        <v>26</v>
      </c>
      <c r="C142">
        <v>0.06</v>
      </c>
      <c r="D142" t="s">
        <v>76</v>
      </c>
      <c r="E142" t="s">
        <v>14</v>
      </c>
      <c r="F142" t="s">
        <v>89</v>
      </c>
      <c r="G142" t="s">
        <v>38</v>
      </c>
    </row>
    <row r="143" spans="1:7" x14ac:dyDescent="0.2">
      <c r="A143" t="s">
        <v>81</v>
      </c>
      <c r="B143" t="s">
        <v>10</v>
      </c>
      <c r="C143">
        <v>0.01</v>
      </c>
      <c r="D143" t="s">
        <v>76</v>
      </c>
      <c r="E143" t="s">
        <v>14</v>
      </c>
      <c r="F143" t="s">
        <v>89</v>
      </c>
      <c r="G143" t="s">
        <v>18</v>
      </c>
    </row>
    <row r="144" spans="1:7" x14ac:dyDescent="0.2">
      <c r="A144" t="s">
        <v>91</v>
      </c>
      <c r="B144" t="s">
        <v>27</v>
      </c>
      <c r="C144">
        <v>0.03</v>
      </c>
      <c r="D144" t="s">
        <v>76</v>
      </c>
      <c r="E144" t="s">
        <v>14</v>
      </c>
      <c r="F144" t="s">
        <v>89</v>
      </c>
      <c r="G144" t="s">
        <v>39</v>
      </c>
    </row>
    <row r="145" spans="1:7" x14ac:dyDescent="0.2">
      <c r="A145" t="s">
        <v>92</v>
      </c>
      <c r="B145" t="s">
        <v>28</v>
      </c>
      <c r="C145">
        <v>0.04</v>
      </c>
      <c r="D145" t="s">
        <v>76</v>
      </c>
      <c r="E145" t="s">
        <v>14</v>
      </c>
      <c r="F145" t="s">
        <v>89</v>
      </c>
      <c r="G145" t="s">
        <v>40</v>
      </c>
    </row>
    <row r="146" spans="1:7" x14ac:dyDescent="0.2">
      <c r="A146" t="s">
        <v>94</v>
      </c>
      <c r="B146" t="s">
        <v>30</v>
      </c>
      <c r="C146">
        <v>0.01</v>
      </c>
      <c r="D146" t="s">
        <v>76</v>
      </c>
      <c r="E146" t="s">
        <v>14</v>
      </c>
      <c r="F146" t="s">
        <v>89</v>
      </c>
      <c r="G146" t="s">
        <v>42</v>
      </c>
    </row>
    <row r="147" spans="1:7" x14ac:dyDescent="0.2">
      <c r="A147" t="s">
        <v>103</v>
      </c>
      <c r="B147" t="s">
        <v>104</v>
      </c>
      <c r="C147">
        <v>0.27</v>
      </c>
      <c r="D147" t="s">
        <v>76</v>
      </c>
      <c r="E147" t="s">
        <v>16</v>
      </c>
      <c r="F147" t="s">
        <v>89</v>
      </c>
      <c r="G147" t="s">
        <v>43</v>
      </c>
    </row>
    <row r="148" spans="1:7" x14ac:dyDescent="0.2">
      <c r="A148" t="s">
        <v>95</v>
      </c>
      <c r="B148" t="s">
        <v>31</v>
      </c>
      <c r="C148">
        <v>7.0000000000000007E-2</v>
      </c>
      <c r="D148" t="s">
        <v>76</v>
      </c>
      <c r="E148" t="s">
        <v>14</v>
      </c>
      <c r="F148" t="s">
        <v>89</v>
      </c>
    </row>
    <row r="149" spans="1:7" x14ac:dyDescent="0.2">
      <c r="A149" t="s">
        <v>96</v>
      </c>
      <c r="B149" t="s">
        <v>32</v>
      </c>
      <c r="C149">
        <v>0.05</v>
      </c>
      <c r="D149" t="s">
        <v>76</v>
      </c>
      <c r="E149" t="s">
        <v>14</v>
      </c>
      <c r="F149" t="s">
        <v>89</v>
      </c>
      <c r="G149" t="s">
        <v>64</v>
      </c>
    </row>
    <row r="150" spans="1:7" x14ac:dyDescent="0.2">
      <c r="A150" t="s">
        <v>97</v>
      </c>
      <c r="B150" t="s">
        <v>33</v>
      </c>
      <c r="C150">
        <v>0.45</v>
      </c>
      <c r="D150" t="s">
        <v>76</v>
      </c>
      <c r="E150" t="s">
        <v>14</v>
      </c>
      <c r="F150" t="s">
        <v>89</v>
      </c>
      <c r="G150" t="s">
        <v>65</v>
      </c>
    </row>
    <row r="151" spans="1:7" x14ac:dyDescent="0.2">
      <c r="A151" t="s">
        <v>98</v>
      </c>
      <c r="B151" t="s">
        <v>34</v>
      </c>
      <c r="C151">
        <v>0.02</v>
      </c>
      <c r="D151" t="s">
        <v>79</v>
      </c>
      <c r="E151" t="s">
        <v>14</v>
      </c>
      <c r="F151" t="s">
        <v>89</v>
      </c>
      <c r="G151" t="s">
        <v>66</v>
      </c>
    </row>
    <row r="152" spans="1:7" x14ac:dyDescent="0.2">
      <c r="A152" t="s">
        <v>99</v>
      </c>
      <c r="B152" t="s">
        <v>35</v>
      </c>
      <c r="C152">
        <v>0.45</v>
      </c>
      <c r="D152" t="s">
        <v>76</v>
      </c>
      <c r="E152" t="s">
        <v>14</v>
      </c>
      <c r="F152" t="s">
        <v>89</v>
      </c>
      <c r="G152" t="s">
        <v>48</v>
      </c>
    </row>
    <row r="153" spans="1:7" x14ac:dyDescent="0.2">
      <c r="A153" t="s">
        <v>100</v>
      </c>
      <c r="B153" t="s">
        <v>36</v>
      </c>
      <c r="C153">
        <v>1</v>
      </c>
      <c r="D153" t="s">
        <v>78</v>
      </c>
      <c r="E153" t="s">
        <v>116</v>
      </c>
      <c r="F153" t="s">
        <v>89</v>
      </c>
      <c r="G153" t="s">
        <v>49</v>
      </c>
    </row>
    <row r="154" spans="1:7" x14ac:dyDescent="0.2">
      <c r="A154" t="s">
        <v>84</v>
      </c>
      <c r="B154" t="s">
        <v>13</v>
      </c>
      <c r="C154">
        <v>1</v>
      </c>
      <c r="D154" t="s">
        <v>78</v>
      </c>
      <c r="E154" t="s">
        <v>16</v>
      </c>
      <c r="F154" t="s">
        <v>89</v>
      </c>
      <c r="G154" t="s">
        <v>25</v>
      </c>
    </row>
    <row r="155" spans="1:7" x14ac:dyDescent="0.2">
      <c r="A155" t="s">
        <v>101</v>
      </c>
      <c r="B155" t="s">
        <v>37</v>
      </c>
      <c r="C155">
        <v>8</v>
      </c>
      <c r="D155" t="s">
        <v>78</v>
      </c>
      <c r="E155" t="s">
        <v>14</v>
      </c>
      <c r="F155" t="s">
        <v>89</v>
      </c>
      <c r="G155" t="s">
        <v>67</v>
      </c>
    </row>
    <row r="157" spans="1:7" x14ac:dyDescent="0.2">
      <c r="A157" s="1" t="s">
        <v>8</v>
      </c>
      <c r="B157" s="1" t="s">
        <v>112</v>
      </c>
    </row>
    <row r="158" spans="1:7" x14ac:dyDescent="0.2">
      <c r="A158" t="s">
        <v>1</v>
      </c>
      <c r="B158" t="s">
        <v>113</v>
      </c>
    </row>
    <row r="159" spans="1:7" x14ac:dyDescent="0.2">
      <c r="A159" t="s">
        <v>4</v>
      </c>
      <c r="B159" t="s">
        <v>16</v>
      </c>
    </row>
    <row r="160" spans="1:7" x14ac:dyDescent="0.2">
      <c r="A160" t="s">
        <v>2</v>
      </c>
      <c r="B160">
        <v>1</v>
      </c>
    </row>
    <row r="161" spans="1:7" x14ac:dyDescent="0.2">
      <c r="A161" t="s">
        <v>3</v>
      </c>
      <c r="B161" t="s">
        <v>76</v>
      </c>
    </row>
    <row r="162" spans="1:7" x14ac:dyDescent="0.2">
      <c r="A162" t="s">
        <v>7</v>
      </c>
      <c r="B162" t="s">
        <v>75</v>
      </c>
    </row>
    <row r="163" spans="1:7" x14ac:dyDescent="0.2">
      <c r="A163" t="s">
        <v>9</v>
      </c>
    </row>
    <row r="164" spans="1:7" x14ac:dyDescent="0.2">
      <c r="A164" s="1" t="s">
        <v>0</v>
      </c>
      <c r="B164" s="1" t="s">
        <v>1</v>
      </c>
      <c r="C164" s="1" t="s">
        <v>2</v>
      </c>
      <c r="D164" s="1" t="s">
        <v>3</v>
      </c>
      <c r="E164" s="1" t="s">
        <v>4</v>
      </c>
      <c r="F164" s="1" t="s">
        <v>6</v>
      </c>
      <c r="G164" s="1" t="s">
        <v>7</v>
      </c>
    </row>
    <row r="165" spans="1:7" x14ac:dyDescent="0.2">
      <c r="A165" t="str">
        <f>B157</f>
        <v>cell module production, LFP, for home storage system</v>
      </c>
      <c r="B165" t="str">
        <f>B158</f>
        <v>cell module, LFP, for home storage system</v>
      </c>
      <c r="C165">
        <v>1</v>
      </c>
      <c r="D165" t="str">
        <f>B161</f>
        <v>kilogram</v>
      </c>
      <c r="E165" t="str">
        <f>B159</f>
        <v>RER</v>
      </c>
      <c r="F165" t="s">
        <v>80</v>
      </c>
    </row>
    <row r="166" spans="1:7" x14ac:dyDescent="0.2">
      <c r="A166" t="s">
        <v>114</v>
      </c>
      <c r="B166" t="s">
        <v>115</v>
      </c>
      <c r="C166">
        <v>0.03</v>
      </c>
      <c r="D166" t="s">
        <v>76</v>
      </c>
      <c r="E166" t="s">
        <v>16</v>
      </c>
      <c r="F166" t="s">
        <v>89</v>
      </c>
      <c r="G166" t="s">
        <v>68</v>
      </c>
    </row>
    <row r="167" spans="1:7" x14ac:dyDescent="0.2">
      <c r="A167" t="s">
        <v>118</v>
      </c>
      <c r="B167" t="s">
        <v>117</v>
      </c>
      <c r="C167">
        <v>0.63</v>
      </c>
      <c r="D167" t="s">
        <v>76</v>
      </c>
      <c r="E167" t="s">
        <v>14</v>
      </c>
      <c r="F167" t="s">
        <v>89</v>
      </c>
      <c r="G167" t="s">
        <v>69</v>
      </c>
    </row>
    <row r="168" spans="1:7" x14ac:dyDescent="0.2">
      <c r="A168" t="s">
        <v>97</v>
      </c>
      <c r="B168" t="s">
        <v>33</v>
      </c>
      <c r="C168">
        <v>0.34</v>
      </c>
      <c r="D168" t="s">
        <v>76</v>
      </c>
      <c r="E168" t="s">
        <v>14</v>
      </c>
      <c r="F168" t="s">
        <v>89</v>
      </c>
      <c r="G168" t="s">
        <v>65</v>
      </c>
    </row>
    <row r="169" spans="1:7" x14ac:dyDescent="0.2">
      <c r="A169" t="s">
        <v>99</v>
      </c>
      <c r="B169" t="s">
        <v>35</v>
      </c>
      <c r="C169">
        <v>0.34</v>
      </c>
      <c r="D169" t="s">
        <v>76</v>
      </c>
      <c r="E169" t="s">
        <v>14</v>
      </c>
      <c r="F169" t="s">
        <v>89</v>
      </c>
      <c r="G169" t="s">
        <v>48</v>
      </c>
    </row>
    <row r="170" spans="1:7" x14ac:dyDescent="0.2">
      <c r="A170" t="s">
        <v>100</v>
      </c>
      <c r="B170" t="s">
        <v>36</v>
      </c>
      <c r="C170">
        <v>1</v>
      </c>
      <c r="D170" t="s">
        <v>78</v>
      </c>
      <c r="E170" t="s">
        <v>116</v>
      </c>
      <c r="F170" t="s">
        <v>89</v>
      </c>
      <c r="G170" t="s">
        <v>49</v>
      </c>
    </row>
    <row r="171" spans="1:7" x14ac:dyDescent="0.2">
      <c r="A171" t="s">
        <v>84</v>
      </c>
      <c r="B171" t="s">
        <v>13</v>
      </c>
      <c r="C171">
        <v>1</v>
      </c>
      <c r="D171" t="s">
        <v>78</v>
      </c>
      <c r="E171" t="s">
        <v>16</v>
      </c>
      <c r="F171" t="s">
        <v>89</v>
      </c>
      <c r="G171" t="s">
        <v>25</v>
      </c>
    </row>
    <row r="172" spans="1:7" x14ac:dyDescent="0.2">
      <c r="A172" t="s">
        <v>101</v>
      </c>
      <c r="B172" t="s">
        <v>37</v>
      </c>
      <c r="C172">
        <v>8</v>
      </c>
      <c r="D172" t="s">
        <v>78</v>
      </c>
      <c r="E172" t="s">
        <v>14</v>
      </c>
      <c r="F172" t="s">
        <v>89</v>
      </c>
      <c r="G172" t="s">
        <v>67</v>
      </c>
    </row>
    <row r="174" spans="1:7" x14ac:dyDescent="0.2">
      <c r="A174" s="1" t="s">
        <v>8</v>
      </c>
      <c r="B174" s="1" t="s">
        <v>128</v>
      </c>
    </row>
    <row r="175" spans="1:7" x14ac:dyDescent="0.2">
      <c r="A175" t="s">
        <v>1</v>
      </c>
      <c r="B175" t="s">
        <v>129</v>
      </c>
    </row>
    <row r="176" spans="1:7" x14ac:dyDescent="0.2">
      <c r="A176" t="s">
        <v>4</v>
      </c>
      <c r="B176" t="s">
        <v>16</v>
      </c>
    </row>
    <row r="177" spans="1:7" x14ac:dyDescent="0.2">
      <c r="A177" t="s">
        <v>2</v>
      </c>
      <c r="B177">
        <v>1</v>
      </c>
    </row>
    <row r="178" spans="1:7" x14ac:dyDescent="0.2">
      <c r="A178" t="s">
        <v>3</v>
      </c>
      <c r="B178" t="s">
        <v>76</v>
      </c>
    </row>
    <row r="179" spans="1:7" x14ac:dyDescent="0.2">
      <c r="A179" t="s">
        <v>7</v>
      </c>
      <c r="B179" t="s">
        <v>75</v>
      </c>
    </row>
    <row r="180" spans="1:7" x14ac:dyDescent="0.2">
      <c r="A180" t="s">
        <v>9</v>
      </c>
    </row>
    <row r="181" spans="1:7" x14ac:dyDescent="0.2">
      <c r="A181" s="1" t="s">
        <v>0</v>
      </c>
      <c r="B181" s="1" t="s">
        <v>1</v>
      </c>
      <c r="C181" s="1" t="s">
        <v>2</v>
      </c>
      <c r="D181" s="1" t="s">
        <v>3</v>
      </c>
      <c r="E181" s="1" t="s">
        <v>4</v>
      </c>
      <c r="F181" s="1" t="s">
        <v>6</v>
      </c>
      <c r="G181" s="1" t="s">
        <v>7</v>
      </c>
    </row>
    <row r="182" spans="1:7" x14ac:dyDescent="0.2">
      <c r="A182" t="str">
        <f>B174</f>
        <v>cell module production, NMC811, for home storage system</v>
      </c>
      <c r="B182" t="str">
        <f>B175</f>
        <v>cell module, NMC811, for home storage system</v>
      </c>
      <c r="C182">
        <v>1</v>
      </c>
      <c r="D182" t="str">
        <f>B178</f>
        <v>kilogram</v>
      </c>
      <c r="E182" t="str">
        <f>B176</f>
        <v>RER</v>
      </c>
      <c r="F182" t="s">
        <v>80</v>
      </c>
    </row>
    <row r="183" spans="1:7" x14ac:dyDescent="0.2">
      <c r="A183" t="s">
        <v>114</v>
      </c>
      <c r="B183" t="s">
        <v>115</v>
      </c>
      <c r="C183">
        <v>0.03</v>
      </c>
      <c r="D183" t="s">
        <v>76</v>
      </c>
      <c r="E183" t="s">
        <v>16</v>
      </c>
      <c r="F183" t="s">
        <v>89</v>
      </c>
      <c r="G183" t="s">
        <v>68</v>
      </c>
    </row>
    <row r="184" spans="1:7" x14ac:dyDescent="0.2">
      <c r="A184" t="s">
        <v>125</v>
      </c>
      <c r="B184" t="s">
        <v>126</v>
      </c>
      <c r="C184">
        <v>0.63</v>
      </c>
      <c r="D184" t="s">
        <v>76</v>
      </c>
      <c r="E184" t="s">
        <v>14</v>
      </c>
      <c r="F184" t="s">
        <v>89</v>
      </c>
      <c r="G184" t="s">
        <v>69</v>
      </c>
    </row>
    <row r="185" spans="1:7" x14ac:dyDescent="0.2">
      <c r="A185" t="s">
        <v>97</v>
      </c>
      <c r="B185" t="s">
        <v>33</v>
      </c>
      <c r="C185">
        <v>0.34</v>
      </c>
      <c r="D185" t="s">
        <v>76</v>
      </c>
      <c r="E185" t="s">
        <v>14</v>
      </c>
      <c r="F185" t="s">
        <v>89</v>
      </c>
      <c r="G185" t="s">
        <v>65</v>
      </c>
    </row>
    <row r="186" spans="1:7" x14ac:dyDescent="0.2">
      <c r="A186" t="s">
        <v>99</v>
      </c>
      <c r="B186" t="s">
        <v>35</v>
      </c>
      <c r="C186">
        <v>0.34</v>
      </c>
      <c r="D186" t="s">
        <v>76</v>
      </c>
      <c r="E186" t="s">
        <v>14</v>
      </c>
      <c r="F186" t="s">
        <v>89</v>
      </c>
      <c r="G186" t="s">
        <v>48</v>
      </c>
    </row>
    <row r="187" spans="1:7" x14ac:dyDescent="0.2">
      <c r="A187" t="s">
        <v>100</v>
      </c>
      <c r="B187" t="s">
        <v>36</v>
      </c>
      <c r="C187">
        <v>1</v>
      </c>
      <c r="D187" t="s">
        <v>78</v>
      </c>
      <c r="E187" t="s">
        <v>116</v>
      </c>
      <c r="F187" t="s">
        <v>89</v>
      </c>
      <c r="G187" t="s">
        <v>49</v>
      </c>
    </row>
    <row r="188" spans="1:7" x14ac:dyDescent="0.2">
      <c r="A188" t="s">
        <v>84</v>
      </c>
      <c r="B188" t="s">
        <v>13</v>
      </c>
      <c r="C188">
        <v>1</v>
      </c>
      <c r="D188" t="s">
        <v>78</v>
      </c>
      <c r="E188" t="s">
        <v>16</v>
      </c>
      <c r="F188" t="s">
        <v>89</v>
      </c>
      <c r="G188" t="s">
        <v>25</v>
      </c>
    </row>
    <row r="189" spans="1:7" x14ac:dyDescent="0.2">
      <c r="A189" t="s">
        <v>101</v>
      </c>
      <c r="B189" t="s">
        <v>37</v>
      </c>
      <c r="C189">
        <v>8</v>
      </c>
      <c r="D189" t="s">
        <v>78</v>
      </c>
      <c r="E189" t="s">
        <v>14</v>
      </c>
      <c r="F189" t="s">
        <v>89</v>
      </c>
      <c r="G189" t="s">
        <v>67</v>
      </c>
    </row>
    <row r="191" spans="1:7" x14ac:dyDescent="0.2">
      <c r="A191" s="1" t="s">
        <v>8</v>
      </c>
      <c r="B191" s="1" t="s">
        <v>114</v>
      </c>
    </row>
    <row r="192" spans="1:7" x14ac:dyDescent="0.2">
      <c r="A192" t="s">
        <v>1</v>
      </c>
      <c r="B192" t="s">
        <v>115</v>
      </c>
    </row>
    <row r="193" spans="1:7" x14ac:dyDescent="0.2">
      <c r="A193" t="s">
        <v>4</v>
      </c>
      <c r="B193" t="s">
        <v>16</v>
      </c>
    </row>
    <row r="194" spans="1:7" x14ac:dyDescent="0.2">
      <c r="A194" t="s">
        <v>2</v>
      </c>
      <c r="B194">
        <v>1</v>
      </c>
    </row>
    <row r="195" spans="1:7" x14ac:dyDescent="0.2">
      <c r="A195" t="s">
        <v>3</v>
      </c>
      <c r="B195" t="s">
        <v>76</v>
      </c>
    </row>
    <row r="196" spans="1:7" x14ac:dyDescent="0.2">
      <c r="A196" t="s">
        <v>7</v>
      </c>
      <c r="B196" t="s">
        <v>75</v>
      </c>
    </row>
    <row r="197" spans="1:7" x14ac:dyDescent="0.2">
      <c r="A197" t="s">
        <v>9</v>
      </c>
    </row>
    <row r="198" spans="1:7" x14ac:dyDescent="0.2">
      <c r="A198" s="1" t="s">
        <v>0</v>
      </c>
      <c r="B198" s="1" t="s">
        <v>1</v>
      </c>
      <c r="C198" s="1" t="s">
        <v>2</v>
      </c>
      <c r="D198" s="1" t="s">
        <v>3</v>
      </c>
      <c r="E198" s="1" t="s">
        <v>4</v>
      </c>
      <c r="F198" s="1" t="s">
        <v>6</v>
      </c>
      <c r="G198" s="1" t="s">
        <v>7</v>
      </c>
    </row>
    <row r="199" spans="1:7" x14ac:dyDescent="0.2">
      <c r="A199" t="str">
        <f>B191</f>
        <v>battery module system production</v>
      </c>
      <c r="B199" t="str">
        <f>B192</f>
        <v>battery module system for home storage system module</v>
      </c>
      <c r="C199">
        <v>1</v>
      </c>
      <c r="D199" t="str">
        <f>B195</f>
        <v>kilogram</v>
      </c>
      <c r="E199" t="str">
        <f>B193</f>
        <v>RER</v>
      </c>
      <c r="F199" t="s">
        <v>80</v>
      </c>
    </row>
    <row r="200" spans="1:7" x14ac:dyDescent="0.2">
      <c r="A200" t="s">
        <v>90</v>
      </c>
      <c r="B200" t="s">
        <v>26</v>
      </c>
      <c r="C200">
        <v>0.64</v>
      </c>
      <c r="D200" t="s">
        <v>76</v>
      </c>
      <c r="E200" t="s">
        <v>14</v>
      </c>
      <c r="F200" t="s">
        <v>89</v>
      </c>
      <c r="G200" t="s">
        <v>38</v>
      </c>
    </row>
    <row r="201" spans="1:7" x14ac:dyDescent="0.2">
      <c r="A201" t="s">
        <v>81</v>
      </c>
      <c r="B201" t="s">
        <v>10</v>
      </c>
      <c r="C201">
        <v>0.03</v>
      </c>
      <c r="D201" t="s">
        <v>76</v>
      </c>
      <c r="E201" t="s">
        <v>14</v>
      </c>
      <c r="F201" t="s">
        <v>89</v>
      </c>
      <c r="G201" t="s">
        <v>18</v>
      </c>
    </row>
    <row r="202" spans="1:7" x14ac:dyDescent="0.2">
      <c r="A202" t="s">
        <v>91</v>
      </c>
      <c r="B202" t="s">
        <v>27</v>
      </c>
      <c r="C202">
        <v>0.03</v>
      </c>
      <c r="D202" t="s">
        <v>76</v>
      </c>
      <c r="E202" t="s">
        <v>14</v>
      </c>
      <c r="F202" t="s">
        <v>89</v>
      </c>
      <c r="G202" t="s">
        <v>39</v>
      </c>
    </row>
    <row r="203" spans="1:7" x14ac:dyDescent="0.2">
      <c r="A203" t="s">
        <v>96</v>
      </c>
      <c r="B203" t="s">
        <v>32</v>
      </c>
      <c r="C203">
        <v>0.64</v>
      </c>
      <c r="D203" t="s">
        <v>76</v>
      </c>
      <c r="E203" t="s">
        <v>14</v>
      </c>
      <c r="F203" t="s">
        <v>89</v>
      </c>
      <c r="G203" t="s">
        <v>64</v>
      </c>
    </row>
    <row r="204" spans="1:7" x14ac:dyDescent="0.2">
      <c r="A204" t="s">
        <v>98</v>
      </c>
      <c r="B204" t="s">
        <v>34</v>
      </c>
      <c r="C204">
        <v>0.09</v>
      </c>
      <c r="D204" t="s">
        <v>79</v>
      </c>
      <c r="E204" t="s">
        <v>14</v>
      </c>
      <c r="F204" t="s">
        <v>89</v>
      </c>
      <c r="G204" t="s">
        <v>66</v>
      </c>
    </row>
    <row r="205" spans="1:7" x14ac:dyDescent="0.2">
      <c r="A205" t="s">
        <v>100</v>
      </c>
      <c r="B205" t="s">
        <v>36</v>
      </c>
      <c r="C205">
        <v>0.2</v>
      </c>
      <c r="D205" t="s">
        <v>78</v>
      </c>
      <c r="E205" t="s">
        <v>116</v>
      </c>
      <c r="F205" t="s">
        <v>89</v>
      </c>
      <c r="G205" t="s">
        <v>49</v>
      </c>
    </row>
    <row r="206" spans="1:7" x14ac:dyDescent="0.2">
      <c r="A206" t="s">
        <v>84</v>
      </c>
      <c r="B206" t="s">
        <v>13</v>
      </c>
      <c r="C206">
        <v>0.1</v>
      </c>
      <c r="D206" t="s">
        <v>78</v>
      </c>
      <c r="E206" t="s">
        <v>16</v>
      </c>
      <c r="F206" t="s">
        <v>89</v>
      </c>
      <c r="G206" t="s">
        <v>25</v>
      </c>
    </row>
    <row r="208" spans="1:7" x14ac:dyDescent="0.2">
      <c r="A208" s="1" t="s">
        <v>8</v>
      </c>
      <c r="B208" s="1" t="s">
        <v>119</v>
      </c>
    </row>
    <row r="209" spans="1:7" x14ac:dyDescent="0.2">
      <c r="A209" t="s">
        <v>1</v>
      </c>
      <c r="B209" t="s">
        <v>120</v>
      </c>
    </row>
    <row r="210" spans="1:7" x14ac:dyDescent="0.2">
      <c r="A210" t="s">
        <v>4</v>
      </c>
      <c r="B210" t="s">
        <v>16</v>
      </c>
    </row>
    <row r="211" spans="1:7" x14ac:dyDescent="0.2">
      <c r="A211" t="s">
        <v>2</v>
      </c>
      <c r="B211">
        <v>1</v>
      </c>
    </row>
    <row r="212" spans="1:7" x14ac:dyDescent="0.2">
      <c r="A212" t="s">
        <v>3</v>
      </c>
      <c r="B212" t="s">
        <v>76</v>
      </c>
    </row>
    <row r="213" spans="1:7" x14ac:dyDescent="0.2">
      <c r="A213" t="s">
        <v>7</v>
      </c>
      <c r="B213" t="s">
        <v>75</v>
      </c>
    </row>
    <row r="214" spans="1:7" x14ac:dyDescent="0.2">
      <c r="A214" t="s">
        <v>9</v>
      </c>
    </row>
    <row r="215" spans="1:7" x14ac:dyDescent="0.2">
      <c r="A215" s="1" t="s">
        <v>0</v>
      </c>
      <c r="B215" s="1" t="s">
        <v>1</v>
      </c>
      <c r="C215" s="1" t="s">
        <v>2</v>
      </c>
      <c r="D215" s="1" t="s">
        <v>3</v>
      </c>
      <c r="E215" s="1" t="s">
        <v>4</v>
      </c>
      <c r="F215" s="1" t="s">
        <v>6</v>
      </c>
      <c r="G215" s="1" t="s">
        <v>7</v>
      </c>
    </row>
    <row r="216" spans="1:7" x14ac:dyDescent="0.2">
      <c r="A216" t="str">
        <f>B208</f>
        <v>system controller production, for home storage system</v>
      </c>
      <c r="B216" t="str">
        <f>B209</f>
        <v>system controller, for home storage system</v>
      </c>
      <c r="C216">
        <v>1</v>
      </c>
      <c r="D216" t="str">
        <f>B212</f>
        <v>kilogram</v>
      </c>
      <c r="E216" t="str">
        <f>B210</f>
        <v>RER</v>
      </c>
      <c r="F216" t="s">
        <v>80</v>
      </c>
    </row>
    <row r="217" spans="1:7" x14ac:dyDescent="0.2">
      <c r="A217" t="s">
        <v>114</v>
      </c>
      <c r="B217" t="s">
        <v>115</v>
      </c>
      <c r="C217">
        <v>0.17</v>
      </c>
      <c r="D217" t="s">
        <v>76</v>
      </c>
      <c r="E217" t="s">
        <v>16</v>
      </c>
      <c r="F217" t="s">
        <v>89</v>
      </c>
      <c r="G217" t="s">
        <v>72</v>
      </c>
    </row>
    <row r="218" spans="1:7" x14ac:dyDescent="0.2">
      <c r="A218" t="s">
        <v>83</v>
      </c>
      <c r="B218" t="s">
        <v>12</v>
      </c>
      <c r="C218">
        <v>0.32</v>
      </c>
      <c r="D218" t="s">
        <v>76</v>
      </c>
      <c r="E218" t="s">
        <v>14</v>
      </c>
      <c r="F218" t="s">
        <v>89</v>
      </c>
      <c r="G218" t="s">
        <v>20</v>
      </c>
    </row>
    <row r="219" spans="1:7" x14ac:dyDescent="0.2">
      <c r="A219" t="s">
        <v>97</v>
      </c>
      <c r="B219" t="s">
        <v>33</v>
      </c>
      <c r="C219">
        <v>0.44</v>
      </c>
      <c r="D219" t="s">
        <v>76</v>
      </c>
      <c r="E219" t="s">
        <v>14</v>
      </c>
      <c r="F219" t="s">
        <v>89</v>
      </c>
      <c r="G219" t="s">
        <v>65</v>
      </c>
    </row>
    <row r="220" spans="1:7" x14ac:dyDescent="0.2">
      <c r="A220" t="s">
        <v>121</v>
      </c>
      <c r="B220" t="s">
        <v>70</v>
      </c>
      <c r="C220">
        <v>0.03</v>
      </c>
      <c r="D220" t="s">
        <v>3</v>
      </c>
      <c r="E220" t="s">
        <v>14</v>
      </c>
      <c r="F220" t="s">
        <v>89</v>
      </c>
      <c r="G220" t="s">
        <v>73</v>
      </c>
    </row>
    <row r="221" spans="1:7" x14ac:dyDescent="0.2">
      <c r="A221" t="s">
        <v>99</v>
      </c>
      <c r="B221" t="s">
        <v>35</v>
      </c>
      <c r="C221">
        <v>0.44</v>
      </c>
      <c r="D221" t="s">
        <v>76</v>
      </c>
      <c r="E221" t="s">
        <v>14</v>
      </c>
      <c r="F221" t="s">
        <v>89</v>
      </c>
      <c r="G221" t="s">
        <v>48</v>
      </c>
    </row>
    <row r="222" spans="1:7" x14ac:dyDescent="0.2">
      <c r="A222" t="s">
        <v>122</v>
      </c>
      <c r="B222" t="s">
        <v>71</v>
      </c>
      <c r="C222">
        <v>0.02</v>
      </c>
      <c r="D222" t="s">
        <v>76</v>
      </c>
      <c r="E222" t="s">
        <v>14</v>
      </c>
      <c r="F222" t="s">
        <v>89</v>
      </c>
      <c r="G222" t="s">
        <v>74</v>
      </c>
    </row>
    <row r="225">
      <c r="A225" t="inlineStr">
        <is>
          <t>Activity</t>
        </is>
      </c>
      <c r="B225" t="inlineStr">
        <is>
          <t xml:space="preserve">battery module production, home storage, lithium-ion, lfp, 14.4 kwh</t>
        </is>
      </c>
    </row>
    <row r="226">
      <c r="A226" t="inlineStr">
        <is>
          <t>location</t>
        </is>
      </c>
      <c r="B226" t="inlineStr">
        <is>
          <t>RER</t>
        </is>
      </c>
    </row>
    <row r="227">
      <c r="A227" t="inlineStr">
        <is>
          <t>production amount</t>
        </is>
      </c>
      <c r="B227">
        <v>1</v>
      </c>
    </row>
    <row r="228">
      <c r="A228" t="inlineStr">
        <is>
          <t>reference product</t>
        </is>
      </c>
      <c r="B228" t="inlineStr">
        <is>
          <t xml:space="preserve">battery module, home storage, Li-ion, LFP, 14.4 kWh</t>
        </is>
      </c>
    </row>
    <row r="229">
      <c r="A229" t="inlineStr">
        <is>
          <t>unit</t>
        </is>
      </c>
      <c r="B229" t="inlineStr">
        <is>
          <t>unit</t>
        </is>
      </c>
    </row>
    <row r="230">
      <c r="A230" t="inlineStr">
        <is>
          <t>source</t>
        </is>
      </c>
      <c r="B230"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31">
      <c r="A231" t="inlineStr">
        <is>
          <t>comment</t>
        </is>
      </c>
      <c r="B231" t="inlineStr">
        <is>
          <t xml:space="preserve">Nomenclature revision, 2026-10-19. Former activity name: cell modules, home 14.4kWh LFP, capacity-consistent reference. Former reference product: cell modules, home 14.4kWh LFP, capacity-consistent reference. Activity/product labels and supplier references only; coefficients, formulas, uncertainty, declared output and unit are unchanged. Original engineering assumptions, functional-unit basis and limitations remain below.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32">
      <c r="A232" t="inlineStr">
        <is>
          <t xml:space="preserve">type</t>
        </is>
      </c>
      <c r="B232" t="inlineStr">
        <is>
          <t xml:space="preserve">processwithreferenceproduct</t>
        </is>
      </c>
    </row>
    <row r="233">
      <c r="A233" t="inlineStr">
        <is>
          <t>Exchanges</t>
        </is>
      </c>
    </row>
    <row r="234">
      <c r="A234" t="inlineStr">
        <is>
          <t>name</t>
        </is>
      </c>
      <c r="B234" t="inlineStr">
        <is>
          <t>amount</t>
        </is>
      </c>
      <c r="C234" t="inlineStr">
        <is>
          <t>location</t>
        </is>
      </c>
      <c r="D234" t="inlineStr">
        <is>
          <t>unit</t>
        </is>
      </c>
      <c r="E234" t="inlineStr">
        <is>
          <t>categories</t>
        </is>
      </c>
      <c r="F234" t="inlineStr">
        <is>
          <t>type</t>
        </is>
      </c>
      <c r="G234" t="inlineStr">
        <is>
          <t>reference product</t>
        </is>
      </c>
      <c r="H234" t="inlineStr">
        <is>
          <t>comment</t>
        </is>
      </c>
      <c r="I234" t="inlineStr">
        <is>
          <t>product</t>
        </is>
      </c>
    </row>
    <row r="235">
      <c r="A235" t="inlineStr">
        <is>
          <t xml:space="preserve">battery module production, home storage, lithium-ion, lfp, 14.4 kwh</t>
        </is>
      </c>
      <c r="B235">
        <v>1</v>
      </c>
      <c r="C235" t="inlineStr">
        <is>
          <t>RER</t>
        </is>
      </c>
      <c r="D235" t="inlineStr">
        <is>
          <t>unit</t>
        </is>
      </c>
      <c r="F235" t="inlineStr">
        <is>
          <t>production</t>
        </is>
      </c>
      <c r="G235" t="inlineStr">
        <is>
          <t xml:space="preserve">battery module, home storage, Li-ion, LFP, 14.4 kWh</t>
        </is>
      </c>
      <c r="I235" t="inlineStr">
        <is>
          <t xml:space="preserve">battery module, home storage, Li-ion, LFP, 14.4 kWh</t>
        </is>
      </c>
    </row>
    <row r="236">
      <c r="A236" t="inlineStr">
        <is>
          <t>battery module system production</t>
        </is>
      </c>
      <c r="B236">
        <v>6.3504000000000005</v>
      </c>
      <c r="C236" t="inlineStr">
        <is>
          <t>RER</t>
        </is>
      </c>
      <c r="D236" t="inlineStr">
        <is>
          <t>kilogram</t>
        </is>
      </c>
      <c r="F236" t="inlineStr">
        <is>
          <t>technosphere</t>
        </is>
      </c>
      <c r="G236" t="inlineStr">
        <is>
          <t>battery module system for home storage system module</t>
        </is>
      </c>
      <c r="I236" t="inlineStr">
        <is>
          <t>battery module system for home storage system module</t>
        </is>
      </c>
    </row>
    <row r="237">
      <c r="A237" t="inlineStr">
        <is>
          <t>market for battery cell, Li-ion, LFP</t>
        </is>
      </c>
      <c r="B237">
        <v>90.0</v>
      </c>
      <c r="C237" t="inlineStr">
        <is>
          <t>GLO</t>
        </is>
      </c>
      <c r="D237" t="inlineStr">
        <is>
          <t>kilogram</t>
        </is>
      </c>
      <c r="F237" t="inlineStr">
        <is>
          <t>technosphere</t>
        </is>
      </c>
      <c r="G237" t="inlineStr">
        <is>
          <t>battery cell, Li-ion, LFP</t>
        </is>
      </c>
      <c r="I237" t="inlineStr">
        <is>
          <t>battery cell, Li-ion, LFP</t>
        </is>
      </c>
    </row>
    <row r="238">
      <c r="A238" t="inlineStr">
        <is>
          <t>market for metal working, average for steel product manufacturing</t>
        </is>
      </c>
      <c r="B238">
        <v>54.83520000000001</v>
      </c>
      <c r="C238" t="inlineStr">
        <is>
          <t>GLO</t>
        </is>
      </c>
      <c r="D238" t="inlineStr">
        <is>
          <t>kilogram</t>
        </is>
      </c>
      <c r="F238" t="inlineStr">
        <is>
          <t>technosphere</t>
        </is>
      </c>
      <c r="G238" t="inlineStr">
        <is>
          <t>metal working, average for steel product manufacturing</t>
        </is>
      </c>
      <c r="I238" t="inlineStr">
        <is>
          <t>metal working, average for steel product manufacturing</t>
        </is>
      </c>
    </row>
    <row r="239">
      <c r="A239" t="inlineStr">
        <is>
          <t>market for steel, low-alloyed</t>
        </is>
      </c>
      <c r="B239">
        <v>54.83520000000001</v>
      </c>
      <c r="C239" t="inlineStr">
        <is>
          <t>GLO</t>
        </is>
      </c>
      <c r="D239" t="inlineStr">
        <is>
          <t>kilogram</t>
        </is>
      </c>
      <c r="F239" t="inlineStr">
        <is>
          <t>technosphere</t>
        </is>
      </c>
      <c r="G239" t="inlineStr">
        <is>
          <t>steel, low-alloyed</t>
        </is>
      </c>
      <c r="I239" t="inlineStr">
        <is>
          <t>steel, low-alloyed</t>
        </is>
      </c>
    </row>
    <row r="240">
      <c r="A240" t="inlineStr">
        <is>
          <t>market for transport, freight train</t>
        </is>
      </c>
      <c r="B240">
        <v>151.1856</v>
      </c>
      <c r="C240" t="inlineStr">
        <is>
          <t>Europe without Switzerland</t>
        </is>
      </c>
      <c r="D240" t="inlineStr">
        <is>
          <t>ton kilometer</t>
        </is>
      </c>
      <c r="F240" t="inlineStr">
        <is>
          <t>technosphere</t>
        </is>
      </c>
      <c r="G240" t="inlineStr">
        <is>
          <t>transport, freight train</t>
        </is>
      </c>
      <c r="I240" t="inlineStr">
        <is>
          <t>transport, freight train</t>
        </is>
      </c>
    </row>
    <row r="241">
      <c r="A241" t="inlineStr">
        <is>
          <t>market for transport, freight, lorry 16-32 metric ton, EURO5</t>
        </is>
      </c>
      <c r="B241">
        <v>151.1856</v>
      </c>
      <c r="C241" t="inlineStr">
        <is>
          <t>RER</t>
        </is>
      </c>
      <c r="D241" t="inlineStr">
        <is>
          <t>ton kilometer</t>
        </is>
      </c>
      <c r="F241" t="inlineStr">
        <is>
          <t>technosphere</t>
        </is>
      </c>
      <c r="G241" t="inlineStr">
        <is>
          <t>transport, freight, lorry 16-32 metric ton, EURO5</t>
        </is>
      </c>
      <c r="I241" t="inlineStr">
        <is>
          <t>transport, freight, lorry 16-32 metric ton, EURO5</t>
        </is>
      </c>
    </row>
    <row r="242">
      <c r="A242" t="inlineStr">
        <is>
          <t>market for transport, freight, sea, container ship</t>
        </is>
      </c>
      <c r="B242">
        <v>1209.4848</v>
      </c>
      <c r="C242" t="inlineStr">
        <is>
          <t>GLO</t>
        </is>
      </c>
      <c r="D242" t="inlineStr">
        <is>
          <t>ton kilometer</t>
        </is>
      </c>
      <c r="F242" t="inlineStr">
        <is>
          <t>technosphere</t>
        </is>
      </c>
      <c r="G242" t="inlineStr">
        <is>
          <t>transport, freight, sea, container ship</t>
        </is>
      </c>
      <c r="I242" t="inlineStr">
        <is>
          <t>transport, freight, sea, container ship</t>
        </is>
      </c>
    </row>
    <row r="245">
      <c r="A245" t="inlineStr">
        <is>
          <t>Activity</t>
        </is>
      </c>
      <c r="B245" t="inlineStr">
        <is>
          <t xml:space="preserve">battery module production, home storage, lithium-ion, nmc811, 19.5 kwh</t>
        </is>
      </c>
    </row>
    <row r="246">
      <c r="A246" t="inlineStr">
        <is>
          <t>location</t>
        </is>
      </c>
      <c r="B246" t="inlineStr">
        <is>
          <t>RER</t>
        </is>
      </c>
    </row>
    <row r="247">
      <c r="A247" t="inlineStr">
        <is>
          <t>production amount</t>
        </is>
      </c>
      <c r="B247">
        <v>1</v>
      </c>
    </row>
    <row r="248">
      <c r="A248" t="inlineStr">
        <is>
          <t>reference product</t>
        </is>
      </c>
      <c r="B248" t="inlineStr">
        <is>
          <t xml:space="preserve">battery module, home storage, Li-ion, NMC811, 19.5 kWh</t>
        </is>
      </c>
    </row>
    <row r="249">
      <c r="A249" t="inlineStr">
        <is>
          <t>unit</t>
        </is>
      </c>
      <c r="B249" t="inlineStr">
        <is>
          <t>unit</t>
        </is>
      </c>
    </row>
    <row r="250">
      <c r="A250" t="inlineStr">
        <is>
          <t>source</t>
        </is>
      </c>
      <c r="B250"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51">
      <c r="A251" t="inlineStr">
        <is>
          <t>comment</t>
        </is>
      </c>
      <c r="B251" t="inlineStr">
        <is>
          <t xml:space="preserve">Nomenclature revision, 2026-10-19. Former activity name: cell modules, home 19.5kWh NMC811, capacity-consistent reference. Former reference product: cell modules, home 19.5kWh NMC811, capacity-consistent reference. Activity/product labels and supplier references only; coefficients, formulas, uncertainty, declared output and unit are unchanged. Original engineering assumptions, functional-unit basis and limitations remain below.
APPROVED HOME-STORAGE COMPONENT LIFE BUDGETS, issue67,2026-10-18. Jasper etal2022 DOI10.1016/j.jclepro.2022.132899 Table3,minimum/maximum calendar and cyclelife. Recompute for retained13years/2500cycles,NOT copy published20year/7300cycle factors. For eachcomponent selecthigh/lowmanufacturedsets=max(1,systemyears/componentyears,systemcycles/componentcycles),usingpairedlow/highlife endpoints,then midpointsets as engineeringexpectedlifetimeattribution. Clampatonebecauseanewcompleteinstalledsetisrequired; no assumedreusecredit for residualcomponentlife. This is not a probabilisticfailure distribution or literal fractionalinstallation. ReferenceLFPcellsets1,NMC811cellsets1.125;charger/inverter/controls/moduleBMSsets1.3125;cables1.15;housing/module steel1.0. Sourcepublished1.96/2.43cell and1.92electronics factors refer20years/7300cycles andmustnot be blindly transferred. Each home system activity now means an installeddesignplusits13yearmanufacturingreplacementbudget; labelsnominalkWhstayinstalledcapacity,not manufacturedcapacitysum. Multiplycellmanufactureonly bycellfactor within newunitmodule; moduleBMS follows electronicsfactor,modulesteel/rolling remainoneinstalledset. Externalsteelhousingremainsone,externalcontroller/electronics,charger,inverter andcablesfollowtheir own factors. Do not multiplythewholemodule anditscellsagain or buyanotherfullhome systemfor inverterfailure. Increasecomponentfreight withactualmanufacturedcomponentmass; retaininitialassemblyelectricityonce because source replacementassemblyenergy is unspecified,which remains a coveragegap. Existing servicewrapperstays1/consumerlifetimekWh fromissue66; operatingelectricity,DoD,nominalinstalledcapacity andcalendarhorizonunchanged. Transportation is at original routeintensities; packaging/maintenance labour and returntransport are gaps. Device-specific treatment/recycling is not invented; no recoverycredits orprimarysecondaryshares added. Future electronicsdurability is a sourceassumption,not verifiedmodernfleetlife. Sensitivityuseslistedmin/maxsets andsourcecalendar/cyclelimits. Numericreference:{"LFP":{"min_sets":1,"max_sets":1,"reference_sets":1.0},"NMC811":{"min_sets":1,"max_sets":1.25,"reference_sets":1.125},"electronics":{"min_sets":1,"max_sets":1.625,"reference_sets":1.3125},"inverter":{"min_sets":1,"max_sets":1.625,"reference_sets":1.3125},"charger":{"min_sets":1,"max_sets":1.625,"reference_sets":1.3125},"cable":{"min_sets":1,"max_sets":1.3,"reference_sets":1.15},"housing":{"min_sets":1,"max_sets":1,"reference_sets":1.0}}
PREVIOUS NOTES (retained as history; the correction above takes precedence):
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52">
      <c r="A252" t="inlineStr">
        <is>
          <t xml:space="preserve">type</t>
        </is>
      </c>
      <c r="B252" t="inlineStr">
        <is>
          <t xml:space="preserve">processwithreferenceproduct</t>
        </is>
      </c>
    </row>
    <row r="253">
      <c r="A253" t="inlineStr">
        <is>
          <t>Exchanges</t>
        </is>
      </c>
    </row>
    <row r="254">
      <c r="A254" t="inlineStr">
        <is>
          <t>name</t>
        </is>
      </c>
      <c r="B254" t="inlineStr">
        <is>
          <t>amount</t>
        </is>
      </c>
      <c r="C254" t="inlineStr">
        <is>
          <t>location</t>
        </is>
      </c>
      <c r="D254" t="inlineStr">
        <is>
          <t>unit</t>
        </is>
      </c>
      <c r="E254" t="inlineStr">
        <is>
          <t>categories</t>
        </is>
      </c>
      <c r="F254" t="inlineStr">
        <is>
          <t>type</t>
        </is>
      </c>
      <c r="G254" t="inlineStr">
        <is>
          <t>reference product</t>
        </is>
      </c>
      <c r="H254" t="inlineStr">
        <is>
          <t>comment</t>
        </is>
      </c>
      <c r="I254" t="inlineStr">
        <is>
          <t>product</t>
        </is>
      </c>
    </row>
    <row r="255">
      <c r="A255" t="inlineStr">
        <is>
          <t xml:space="preserve">battery module production, home storage, lithium-ion, nmc811, 19.5 kwh</t>
        </is>
      </c>
      <c r="B255">
        <v>1</v>
      </c>
      <c r="C255" t="inlineStr">
        <is>
          <t>RER</t>
        </is>
      </c>
      <c r="D255" t="inlineStr">
        <is>
          <t>unit</t>
        </is>
      </c>
      <c r="F255" t="inlineStr">
        <is>
          <t>production</t>
        </is>
      </c>
      <c r="G255" t="inlineStr">
        <is>
          <t xml:space="preserve">battery module, home storage, Li-ion, NMC811, 19.5 kWh</t>
        </is>
      </c>
      <c r="I255" t="inlineStr">
        <is>
          <t xml:space="preserve">battery module, home storage, Li-ion, NMC811, 19.5 kWh</t>
        </is>
      </c>
    </row>
    <row r="256">
      <c r="A256" t="inlineStr">
        <is>
          <t>battery module system production</t>
        </is>
      </c>
      <c r="B256">
        <v>6.3504000000000005</v>
      </c>
      <c r="C256" t="inlineStr">
        <is>
          <t>RER</t>
        </is>
      </c>
      <c r="D256" t="inlineStr">
        <is>
          <t>kilogram</t>
        </is>
      </c>
      <c r="F256" t="inlineStr">
        <is>
          <t>technosphere</t>
        </is>
      </c>
      <c r="G256" t="inlineStr">
        <is>
          <t>battery module system for home storage system module</t>
        </is>
      </c>
      <c r="I256" t="inlineStr">
        <is>
          <t>battery module system for home storage system module</t>
        </is>
      </c>
    </row>
    <row r="257">
      <c r="A257" t="inlineStr">
        <is>
          <t xml:space="preserve">battery cell production, lithium-ion, nmc811, silicon-graphite anode</t>
        </is>
      </c>
      <c r="B257">
        <v>78.34821428571428</v>
      </c>
      <c r="C257" t="inlineStr">
        <is>
          <t>GLO</t>
        </is>
      </c>
      <c r="D257" t="inlineStr">
        <is>
          <t>kilogram</t>
        </is>
      </c>
      <c r="F257" t="inlineStr">
        <is>
          <t>technosphere</t>
        </is>
      </c>
      <c r="G257" t="inlineStr">
        <is>
          <t xml:space="preserve">battery cell, Li-ion, NMC811, silicon-graphite anode</t>
        </is>
      </c>
      <c r="I257" t="inlineStr">
        <is>
          <t xml:space="preserve">battery cell, Li-ion, NMC811, silicon-graphite anode</t>
        </is>
      </c>
    </row>
    <row r="258">
      <c r="A258" t="inlineStr">
        <is>
          <t>market for metal working, average for steel product manufacturing</t>
        </is>
      </c>
      <c r="B258">
        <v>54.83520000000001</v>
      </c>
      <c r="C258" t="inlineStr">
        <is>
          <t>GLO</t>
        </is>
      </c>
      <c r="D258" t="inlineStr">
        <is>
          <t>kilogram</t>
        </is>
      </c>
      <c r="F258" t="inlineStr">
        <is>
          <t>technosphere</t>
        </is>
      </c>
      <c r="G258" t="inlineStr">
        <is>
          <t>metal working, average for steel product manufacturing</t>
        </is>
      </c>
      <c r="I258" t="inlineStr">
        <is>
          <t>metal working, average for steel product manufacturing</t>
        </is>
      </c>
    </row>
    <row r="259">
      <c r="A259" t="inlineStr">
        <is>
          <t>market for steel, low-alloyed</t>
        </is>
      </c>
      <c r="B259">
        <v>54.83520000000001</v>
      </c>
      <c r="C259" t="inlineStr">
        <is>
          <t>GLO</t>
        </is>
      </c>
      <c r="D259" t="inlineStr">
        <is>
          <t>kilogram</t>
        </is>
      </c>
      <c r="F259" t="inlineStr">
        <is>
          <t>technosphere</t>
        </is>
      </c>
      <c r="G259" t="inlineStr">
        <is>
          <t>steel, low-alloyed</t>
        </is>
      </c>
      <c r="I259" t="inlineStr">
        <is>
          <t>steel, low-alloyed</t>
        </is>
      </c>
    </row>
    <row r="260">
      <c r="A260" t="inlineStr">
        <is>
          <t>market for transport, freight train</t>
        </is>
      </c>
      <c r="B260">
        <v>139.53381428571427</v>
      </c>
      <c r="C260" t="inlineStr">
        <is>
          <t>Europe without Switzerland</t>
        </is>
      </c>
      <c r="D260" t="inlineStr">
        <is>
          <t>ton kilometer</t>
        </is>
      </c>
      <c r="F260" t="inlineStr">
        <is>
          <t>technosphere</t>
        </is>
      </c>
      <c r="G260" t="inlineStr">
        <is>
          <t>transport, freight train</t>
        </is>
      </c>
      <c r="I260" t="inlineStr">
        <is>
          <t>transport, freight train</t>
        </is>
      </c>
    </row>
    <row r="261">
      <c r="A261" t="inlineStr">
        <is>
          <t>market for transport, freight, lorry 16-32 metric ton, EURO5</t>
        </is>
      </c>
      <c r="B261">
        <v>139.53381428571427</v>
      </c>
      <c r="C261" t="inlineStr">
        <is>
          <t>RER</t>
        </is>
      </c>
      <c r="D261" t="inlineStr">
        <is>
          <t>ton kilometer</t>
        </is>
      </c>
      <c r="F261" t="inlineStr">
        <is>
          <t>technosphere</t>
        </is>
      </c>
      <c r="G261" t="inlineStr">
        <is>
          <t>transport, freight, lorry 16-32 metric ton, EURO5</t>
        </is>
      </c>
      <c r="I261" t="inlineStr">
        <is>
          <t>transport, freight, lorry 16-32 metric ton, EURO5</t>
        </is>
      </c>
    </row>
    <row r="262">
      <c r="A262" t="inlineStr">
        <is>
          <t>market for transport, freight, sea, container ship</t>
        </is>
      </c>
      <c r="B262">
        <v>1116.2705142857142</v>
      </c>
      <c r="C262" t="inlineStr">
        <is>
          <t>GLO</t>
        </is>
      </c>
      <c r="D262" t="inlineStr">
        <is>
          <t>ton kilometer</t>
        </is>
      </c>
      <c r="F262" t="inlineStr">
        <is>
          <t>technosphere</t>
        </is>
      </c>
      <c r="G262" t="inlineStr">
        <is>
          <t>transport, freight, sea, container ship</t>
        </is>
      </c>
      <c r="I262" t="inlineStr">
        <is>
          <t>transport, freight, sea, container ship</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2023-09-24T13:37:23Z</dcterms:created>
  <dcterms:modified xsi:type="dcterms:W3CDTF">2024-08-16T14:49:44Z</dcterms:modified>
</cp:coreProperties>
</file>