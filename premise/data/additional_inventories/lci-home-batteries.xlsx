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defaultThemeVersion="124226"/>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C63A374A-2872-3D4B-A353-2BCCD3FCE1EB}" xr6:coauthVersionLast="47" xr6:coauthVersionMax="47" xr10:uidLastSave="{00000000-0000-0000-0000-000000000000}"/>
  <bookViews>
    <workbookView xWindow="0" yWindow="760" windowWidth="30240" windowHeight="18880" xr2:uid="{00000000-000D-0000-FFFF-FFFF00000000}"/>
  </bookViews>
  <sheets>
    <sheet name="lc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1" l="1"/>
  <c r="K27" i="1"/>
  <c r="B27" i="1"/>
  <c r="J27" i="1"/>
  <c r="B26" i="1"/>
  <c r="L25" i="1"/>
  <c r="K25" i="1"/>
  <c r="J25" i="1"/>
  <c r="B25" i="1"/>
  <c r="C24" i="1"/>
  <c r="A24" i="1"/>
  <c r="L14" i="1"/>
  <c r="K14" i="1"/>
  <c r="B14" i="1"/>
  <c r="J14" i="1"/>
  <c r="L12" i="1"/>
  <c r="K12" i="1"/>
  <c r="B12" i="1"/>
  <c r="J12" i="1"/>
  <c r="A11" i="1"/>
  <c r="B13" i="1"/>
  <c r="C11" i="1"/>
  <c r="E206" i="1" l="1"/>
  <c r="D206" i="1"/>
  <c r="E189" i="1"/>
  <c r="D189" i="1"/>
  <c r="E172" i="1"/>
  <c r="D172" i="1"/>
  <c r="E155" i="1"/>
  <c r="D155" i="1"/>
  <c r="E131" i="1"/>
  <c r="D131" i="1"/>
  <c r="E116" i="1"/>
  <c r="D116" i="1"/>
  <c r="E100" i="1"/>
  <c r="D100" i="1"/>
  <c r="E75" i="1"/>
  <c r="D75" i="1"/>
  <c r="E56" i="1"/>
  <c r="D56" i="1"/>
  <c r="E37" i="1"/>
  <c r="D37" i="1"/>
  <c r="B37" i="1"/>
  <c r="A37" i="1"/>
  <c r="B56" i="1"/>
  <c r="A56" i="1"/>
  <c r="B75" i="1"/>
  <c r="A75" i="1"/>
  <c r="B100" i="1"/>
  <c r="A100" i="1"/>
  <c r="B116" i="1"/>
  <c r="A116" i="1"/>
  <c r="B131" i="1"/>
  <c r="A131" i="1"/>
  <c r="B155" i="1"/>
  <c r="A155" i="1"/>
  <c r="B172" i="1"/>
  <c r="A172" i="1"/>
  <c r="B189" i="1"/>
  <c r="A189" i="1"/>
  <c r="B206" i="1"/>
  <c r="A206" i="1"/>
</calcChain>
</file>

<file path=xl/sharedStrings.xml><?xml version="1.0" encoding="utf-8"?>
<sst xmlns="http://schemas.openxmlformats.org/spreadsheetml/2006/main" count="801" uniqueCount="148">
  <si>
    <t>name</t>
  </si>
  <si>
    <t>reference product</t>
  </si>
  <si>
    <t>amount</t>
  </si>
  <si>
    <t>unit</t>
  </si>
  <si>
    <t>location</t>
  </si>
  <si>
    <t>database</t>
  </si>
  <si>
    <t>type</t>
  </si>
  <si>
    <t>comment</t>
  </si>
  <si>
    <t>Activity</t>
  </si>
  <si>
    <t>Exchanges</t>
  </si>
  <si>
    <t>cable, unspecified</t>
  </si>
  <si>
    <t>electricity, medium voltage</t>
  </si>
  <si>
    <t>electronics, for control units</t>
  </si>
  <si>
    <t>transport, freight, lorry 16-32 metric ton, EURO5</t>
  </si>
  <si>
    <t>GLO</t>
  </si>
  <si>
    <t>DE</t>
  </si>
  <si>
    <t>RER</t>
  </si>
  <si>
    <t>Ampere Charger</t>
  </si>
  <si>
    <t>Cable</t>
  </si>
  <si>
    <t>Electricity</t>
  </si>
  <si>
    <t>Electronics</t>
  </si>
  <si>
    <t>Housing</t>
  </si>
  <si>
    <t>Inverter</t>
  </si>
  <si>
    <t>LFP Module</t>
  </si>
  <si>
    <t>System Control</t>
  </si>
  <si>
    <t>Transport, lorry</t>
  </si>
  <si>
    <t>aluminium alloy, AlMg3</t>
  </si>
  <si>
    <t>capacitor, electrolyte type, &gt; 2cm height</t>
  </si>
  <si>
    <t>capacitor, film type, for through-hole mounting</t>
  </si>
  <si>
    <t>extrusion, plastic film</t>
  </si>
  <si>
    <t>fan, for power supply unit, desktop computer</t>
  </si>
  <si>
    <t>inductor, ring core choke type</t>
  </si>
  <si>
    <t>metal working, average for aluminium product manufacturing</t>
  </si>
  <si>
    <t>metal working, average for steel product manufacturing</t>
  </si>
  <si>
    <t>printed wiring board, for through-hole mounting, Pb containing surface</t>
  </si>
  <si>
    <t>steel, low-alloyed</t>
  </si>
  <si>
    <t>transport, freight train</t>
  </si>
  <si>
    <t>transport, freight, sea, container ship</t>
  </si>
  <si>
    <t>Heat sink (Al)</t>
  </si>
  <si>
    <t>Capacitor, electrolyte type</t>
  </si>
  <si>
    <t>Capacitor, film type</t>
  </si>
  <si>
    <t>Plastic film</t>
  </si>
  <si>
    <t>Fan</t>
  </si>
  <si>
    <t>Inductor</t>
  </si>
  <si>
    <t>Inductor, ring core choke type</t>
  </si>
  <si>
    <t>Metal working, aluminium</t>
  </si>
  <si>
    <t>Metal working, steel</t>
  </si>
  <si>
    <t>Printed wiring board</t>
  </si>
  <si>
    <t>Steel</t>
  </si>
  <si>
    <t>Transport, train</t>
  </si>
  <si>
    <t>Transport, freight lorry</t>
  </si>
  <si>
    <t>Transport, freights sea</t>
  </si>
  <si>
    <t>cast iron</t>
  </si>
  <si>
    <t>copper, cathode</t>
  </si>
  <si>
    <t>inductor, auxilliaries and energy use</t>
  </si>
  <si>
    <t>wire drawing, copper</t>
  </si>
  <si>
    <t>Iron</t>
  </si>
  <si>
    <t>Copper</t>
  </si>
  <si>
    <t>Plastic</t>
  </si>
  <si>
    <t>Production efforts</t>
  </si>
  <si>
    <t>Wire drawing, copper</t>
  </si>
  <si>
    <t>synthetic rubber</t>
  </si>
  <si>
    <t>Rubber seal</t>
  </si>
  <si>
    <t>Transport, freight</t>
  </si>
  <si>
    <t>Metal working aluminium</t>
  </si>
  <si>
    <t>Metal working steel</t>
  </si>
  <si>
    <t>Printed wiring boards</t>
  </si>
  <si>
    <t>Transport, ship</t>
  </si>
  <si>
    <t>BMS</t>
  </si>
  <si>
    <t>LFP cell</t>
  </si>
  <si>
    <t>power supply unit, for desktop computer</t>
  </si>
  <si>
    <t>switch, toggle type</t>
  </si>
  <si>
    <t>Control screen</t>
  </si>
  <si>
    <t>Power supply unit</t>
  </si>
  <si>
    <t>Switch</t>
  </si>
  <si>
    <t>Life cycle assessment (LCA) of a battery home storage system based on primary data, Friedrich B. Jasper, Jana Spathe, Manuel Baumann, Jens F. Peters, Janna Ruhland, Marcel Weil, 2020, Journal of Cleaner Production</t>
  </si>
  <si>
    <t>kilogram</t>
  </si>
  <si>
    <t>kilowatt hour</t>
  </si>
  <si>
    <t>ton kilometer</t>
  </si>
  <si>
    <t>square meter</t>
  </si>
  <si>
    <t>production</t>
  </si>
  <si>
    <t>market for cable, unspecified</t>
  </si>
  <si>
    <t>market for electricity, medium voltage</t>
  </si>
  <si>
    <t>market for electronics, for control units</t>
  </si>
  <si>
    <t>market for transport, freight, lorry 16-32 metric ton, EURO5</t>
  </si>
  <si>
    <t>ampere charger production</t>
  </si>
  <si>
    <t>ampere charger for home storage system</t>
  </si>
  <si>
    <t>housing for home storage system</t>
  </si>
  <si>
    <t>inverter for home storage system</t>
  </si>
  <si>
    <t>technosphere</t>
  </si>
  <si>
    <t>market for aluminium alloy, AlMg3</t>
  </si>
  <si>
    <t>market for capacitor, electrolyte type, &gt; 2cm height</t>
  </si>
  <si>
    <t>market for capacitor, film type, for through-hole mounting</t>
  </si>
  <si>
    <t>market for extrusion, plastic film</t>
  </si>
  <si>
    <t>market for fan, for power supply unit, desktop computer</t>
  </si>
  <si>
    <t>market for inductor, ring core choke type</t>
  </si>
  <si>
    <t>market for metal working, average for aluminium product manufacturing</t>
  </si>
  <si>
    <t>market for metal working, average for steel product manufacturing</t>
  </si>
  <si>
    <t>market for printed wiring board, for through-hole mounting, Pb containing surface</t>
  </si>
  <si>
    <t>market for steel, low-alloyed</t>
  </si>
  <si>
    <t>market for transport, freight train</t>
  </si>
  <si>
    <t>market for transport, freight, sea, container ship</t>
  </si>
  <si>
    <t>Life cycle assessment (LCA) of a battery home storage system based on primary data, Friedrich B. Jasper, Jana Spathe, Manuel Baumann, Jens F. Peters, Janna Ruhland, Marcel Weil, 2020, Journal of Cleaner Production
Ampere charge. Weight: 14.2 kg.</t>
  </si>
  <si>
    <t>inductor, other production</t>
  </si>
  <si>
    <t>inductor, other</t>
  </si>
  <si>
    <t>market for cast iron</t>
  </si>
  <si>
    <t>market for copper, cathode</t>
  </si>
  <si>
    <t>market for inductor, auxilliaries and energy use</t>
  </si>
  <si>
    <t>market for wire drawing, copper</t>
  </si>
  <si>
    <t>housing assembly for home storage system</t>
  </si>
  <si>
    <t>market for synthetic rubber</t>
  </si>
  <si>
    <t>inverter production for home storage system</t>
  </si>
  <si>
    <t>cell module production, LFP, for home storage system</t>
  </si>
  <si>
    <t>cell module, LFP, for home storage system</t>
  </si>
  <si>
    <t>battery module system production</t>
  </si>
  <si>
    <t>battery module system for home storage system module</t>
  </si>
  <si>
    <t>Europe without Switzerland</t>
  </si>
  <si>
    <t>battery cell, Li-ion, LFP</t>
  </si>
  <si>
    <t>market for battery cell, Li-ion, LFP</t>
  </si>
  <si>
    <t>system controller production, for home storage system</t>
  </si>
  <si>
    <t>system controller, for home storage system</t>
  </si>
  <si>
    <t>market for power supply unit, for desktop computer</t>
  </si>
  <si>
    <t>market for switch, toggle type</t>
  </si>
  <si>
    <t>home electricity storage system, 14.4 kWh, LFP battery</t>
  </si>
  <si>
    <t>home electricity storage system</t>
  </si>
  <si>
    <t>market for battery cell, Li-ion, NMC811</t>
  </si>
  <si>
    <t>battery cell, Li-ion, NMC811</t>
  </si>
  <si>
    <t>Life cycle assessment (LCA) of a battery home storage system based on primary data, Friedrich B. Jasper, Jana Spathe, Manuel Baumann, Jens F. Peters, Janna Ruhland, Marcel Weil, 2020, Journal of Cleaner Production
Cell type: LFP, Energy density in Wh/kg:140, Cycle lifetime: 2500-10000, Calendar lifetime in years:13-20, Efficiency in %: 93, Development stage: Mature, Storage Capacity of the HSS in kWh:14.4. Weight: 288 kg.
Variable	LFP	LFP	SIB	NMC811	NMC811
Energy Density (Wh/kg)	140	140	128	190	200
Resulting Capacity (kWh)	14.4	14.4	13.1657	19.5429	20.5714
Round Trip efficiency system	0.815	0.815	0.815	0.815	0.815
Depth of discharge	0.9	0.9	0.8	0.8	0.8
electricity standby consumption (W)	22.5	22.5	22.5	22.5	22.5
Time of standby per year (h)	6000	6000	6000	6000	6000</t>
  </si>
  <si>
    <t>cell module production, NMC811, for home storage system</t>
  </si>
  <si>
    <t>cell module, NMC811, for home storage system</t>
  </si>
  <si>
    <t>home electricity storage system, 19.5 kWh, NMC811 battery</t>
  </si>
  <si>
    <t>stationary battery</t>
  </si>
  <si>
    <t>production amount</t>
  </si>
  <si>
    <t>electricity, high voltage</t>
  </si>
  <si>
    <t>categories</t>
  </si>
  <si>
    <t>market for electricity, low voltage</t>
  </si>
  <si>
    <t>electricity, low voltage</t>
  </si>
  <si>
    <t>Accounts or standby electricity consumption.</t>
  </si>
  <si>
    <t>electricity supply, from stationary 19.5 kWh NMC battery</t>
  </si>
  <si>
    <t>1 kWh of electricity discharged from a stationary battery. Accounts for charge and discharge losses: 19%. The original dataset is a 19.5 kWh home storage system, using NMC811 cells. The system has a stand-by consumption of 22 W over 6000 hours per year. Assumes lifetime of 2500 charge-discharge cycles over 13 years, and a maximum depth of discharge of 80%. In total, the system delivers 2500 [cycles] x 80% x 19.5 [Wh] = 39000 kWh.</t>
  </si>
  <si>
    <t>CH</t>
  </si>
  <si>
    <t>uncertainty type</t>
  </si>
  <si>
    <t>loc</t>
  </si>
  <si>
    <t>minimum</t>
  </si>
  <si>
    <t>maximum</t>
  </si>
  <si>
    <t>Accounts for the round trip efficiency of 81%. Min-max: 75-90% efficiency.</t>
  </si>
  <si>
    <t>Home storage system. Min-max values: 2000-3000 cycle life.</t>
  </si>
  <si>
    <t>electricity supply, from stationary 14.4 kWh LFP battery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</si>
</sst>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sz val="12"/>
      <color rgb="FF9C5700"/>
      <name val="Calibri"/>
      <family val="2"/>
      <scheme val="minor"/>
    </font>
    <font>
      <b/>
      <sz val="11"/>
      <color indexed="8"/>
      <name val="Calibri"/>
      <family val="2"/>
      <scheme val="minor"/>
    </font>
    <font>
      <sz val="11"/>
      <color indexed="8"/>
      <name val="Calibri"/>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right style="thin">
        <color indexed="64"/>
      </right>
      <top/>
      <bottom/>
      <diagonal/>
    </border>
  </borders>
  <cellStyleXfs count="4">
    <xf numFmtId="0" fontId="0" fillId="0" borderId="0"/>
    <xf numFmtId="0" fontId="3" fillId="2" borderId="0" applyNumberFormat="0" applyBorder="0" applyAlignment="0" applyProtection="0"/>
    <xf numFmtId="0" fontId="2" fillId="0" borderId="0"/>
    <xf numFmtId="0" fontId="2" fillId="0" borderId="0"/>
  </cellStyleXfs>
  <cellXfs count="26">
    <xf numFmtId="0" fontId="0" fillId="0" borderId="0" xfId="0"/>
    <xf numFmtId="0" fontId="1" fillId="0" borderId="0" xfId="0" applyFont="1"/>
    <xf numFmtId="2" fontId="0" fillId="0" borderId="0" xfId="0" applyNumberFormat="1"/>
    <xf numFmtId="0" fontId="1" fillId="0" borderId="0" xfId="2" applyFont="1"/>
    <xf numFmtId="11" fontId="4" fillId="0" borderId="0" xfId="0" applyNumberFormat="1" applyFont="1"/>
    <xf numFmtId="0" fontId="2" fillId="0" borderId="0" xfId="3"/>
    <xf numFmtId="0" fontId="5" fillId="0" borderId="0" xfId="0" applyFont="1"/>
    <xf numFmtId="0" fontId="5" fillId="0" borderId="1" xfId="0" applyFont="1" applyBorder="1"/>
    <xf numFmtId="0" fontId="2" fillId="0" borderId="0" xfId="0" applyFont="1"/>
    <xf numFmtId="0" fontId="2" fillId="0" borderId="0" xfId="2"/>
    <xf numFmtId="11" fontId="2" fillId="0" borderId="0" xfId="2" applyNumberFormat="1" applyAlignment="1">
      <alignment horizontal="left"/>
    </xf>
    <xf numFmtId="11" fontId="0" fillId="0" borderId="0" xfId="2" applyNumberFormat="1" applyFont="1" applyAlignment="1">
      <alignment horizontal="left"/>
    </xf>
    <xf numFmtId="11" fontId="2" fillId="0" borderId="0" xfId="1" applyNumberFormat="1" applyFont="1" applyFill="1"/>
    <xf numFmtId="11" fontId="5" fillId="0" borderId="0" xfId="0" applyNumberFormat="1" applyFont="1"/>
    <xf numFmtId="0" fontId="4" fillId="0" borderId="0" xfId="0" applyFont="1"/>
    <xf numFmtId="0" fontId="4" fillId="0" borderId="1" xfId="0" applyFont="1" applyBorder="1"/>
    <xf numFmtId="0" fontId="2" fillId="0" borderId="1" xfId="3" applyBorder="1"/>
    <xf numFmtId="11" fontId="0" fillId="0" borderId="0" xfId="0" applyNumberFormat="1"/>
    <xf numFmtId="0" fontId="0" fillId="0" borderId="1" xfId="3" applyFont="1" applyBorder="1"/>
    <xf numFmtId="0" fontId="0" fillId="0" borderId="1" xfId="0" applyBorder="1"/>
    <xf numFmtId="0" fontId="0" fillId="0" borderId="0" xfId="3" applyFont="1"/>
    <xf numFmtId="11" fontId="1" fillId="0" borderId="0" xfId="0" applyNumberFormat="1" applyFont="1"/>
    <xf numFmtId="0" fontId="1" fillId="0" borderId="1" xfId="3" applyFont="1" applyBorder="1"/>
    <xf numFmtId="0" fontId="1" fillId="0" borderId="1" xfId="0" applyFont="1" applyBorder="1"/>
    <xf numFmtId="0" fontId="1" fillId="0" borderId="0" xfId="3" applyFont="1"/>
    <xf numFmtId="0" fontId="1" fillId="0" borderId="0" xfId="3" applyFont="1" applyFill="1" applyBorder="1"/>
  </cellXfs>
  <cellStyles count="4">
    <cellStyle name="Neutral" xfId="1" builtinId="28"/>
    <cellStyle name="Normal" xfId="0" builtinId="0"/>
    <cellStyle name="Normal 11 3" xfId="2" xr:uid="{926B8F84-56CF-9742-923C-58976E27515A}"/>
    <cellStyle name="Normal 2" xfId="3" xr:uid="{7CB59D07-984D-0E43-A918-35C20EB1329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0"/>
  <sheetViews>
    <sheetView tabSelected="1" topLeftCell="A99" workbookViewId="0">
      <selection activeCell="B127" sqref="B127"/>
    </sheetView>
  </sheetViews>
  <sheetFormatPr baseColWidth="10" defaultColWidth="8.83203125" defaultRowHeight="15" x14ac:dyDescent="0.2"/>
  <cols>
    <col min="1" max="1" width="55.5" customWidth="1"/>
    <col min="2" max="2" width="30.6640625" customWidth="1"/>
    <col min="4" max="4" width="19.83203125" customWidth="1"/>
    <col min="11" max="12" width="11.83203125" bestFit="1" customWidth="1"/>
  </cols>
  <sheetData>
    <row r="1" spans="1:12" x14ac:dyDescent="0.2">
      <c r="A1" s="1" t="s">
        <v>5</v>
      </c>
      <c r="B1" s="1" t="s">
        <v>131</v>
      </c>
    </row>
    <row r="3" spans="1:12" x14ac:dyDescent="0.2">
      <c r="A3" s="3" t="s">
        <v>8</v>
      </c>
      <c r="B3" s="4" t="s">
        <v>138</v>
      </c>
      <c r="C3" s="5"/>
      <c r="D3" s="6"/>
      <c r="E3" s="6"/>
      <c r="F3" s="6"/>
      <c r="G3" s="6"/>
      <c r="H3" s="6"/>
      <c r="I3" s="7"/>
      <c r="K3" s="8"/>
    </row>
    <row r="4" spans="1:12" x14ac:dyDescent="0.2">
      <c r="A4" s="9" t="s">
        <v>132</v>
      </c>
      <c r="B4" s="10">
        <v>1</v>
      </c>
      <c r="C4" s="6"/>
      <c r="D4" s="6"/>
      <c r="E4" s="6"/>
      <c r="F4" s="6"/>
      <c r="G4" s="6"/>
      <c r="H4" s="6"/>
      <c r="I4" s="7"/>
      <c r="K4" s="8"/>
    </row>
    <row r="5" spans="1:12" x14ac:dyDescent="0.2">
      <c r="A5" s="9" t="s">
        <v>7</v>
      </c>
      <c r="B5" s="11" t="inlineStr">
        <is>
          <t>APPROVED HOME-STORAGE DELIVERED-ENERGY BOUNDARY, issue66,2026-10-18. Jasper etal2022 DOI10.1016/j.jclepro.2022.132899 section2.4,pages5-6 andTable2. Source0.815charge/discharge efficiency explicitly excludesstandby. Standby22.5W for6000h/year,halffromchargedbattery andhalffromgrid. Retain existing modeled13year/2500cycle scenario rather than silently adopting paper20year/7300cycle reference. Sourcepaper section2.2 specifies maximum80%LFPDoD,contradicting the copiedworkbook90%table. Choose0.8DoDforbothchemistries; NMCretains its existing0.8engineeringreference at existing14.4/19.5nominalkWh. Consumer-deliveredlifetimeenergyQ=capacity*DoD*2500cycles:28800kWhLFP,39000kWhNMC811. Retain13yearcalendar horizon and2500operatingcycles; this is a documentedmodelscenario,not manufacturer measuredlife or automaticonecycleperday. StandbyS=.0225kW*6000h/year*13years=1755kWh. Chargepurchase=(Q+S/2)/0.815; directgridstandby=S/2. Per1kWhconsumeroutput,firstinput=(1+S/(2Q))/0.815 andsecond=S/(2Q),so battery-suppliedstandby ischargedandlost once.0.815alreadyincludescycleconversionlosses,notstandby; do not multiply again by cell93%efficiency or add19%instead of dividingbyefficiency. Existingtwoelectricitysupplier identities retained as a grid-referencecase:thepaperhalfPV/halfgrid assumption is not a newSwisshourlychargingmix. No newPVcapacity oralteredselfconsumptionprofile. System manufacture dose=1/Q,firstwholeinstalledset; componentreplacements handledseparately byissue67 withoutanotherlifetime divisor. CorrectLFPcopiedNMCcomment and2020citationto2022. Capacity isgross; DoD already limitsusableenergy,do not reapplyit in cell manufacture. Uncertainty of actualcycleefficiency,standbyhours,loadsanddegradation remain explicit; sourcepaper itselfuses literatureusephasevalues. No premature newprimarysecondary orrecoverycredit. Staticnominalcapacity andno degradationreference imply constantcycleoutput; futureagingprofile needs a separate sourceddesign. Actualscenario:19.5kWh gross,0.8DoD,Q=39000.0kWh,S=1755.0kWh,chargeinput=1.2546012269938651kWh/outputkWh,directstandby=0.0225kWh/outputkWh.
PREVIOUS NOTES (retained as history; the correction above takes precedence):
1 kWh of electricity discharged from a stationary battery. Accounts for charge and discharge losses: 19%. The original dataset is a 19.5 kWh home storage system, using NMC811 cells. The system has a stand-by consumption of 22 W over 6000 hours per year. Assumes lifetime of 2500 charge-discharge cycles over 13 years, and a maximum depth of discharge of 80%. In total, the system delivers 2500 [cycles] x 80% x 19.5 [Wh] = 39000 kWh.</t>
        </is>
      </c>
      <c r="C5" s="6"/>
      <c r="D5" s="6"/>
      <c r="E5" s="6"/>
      <c r="F5" s="6"/>
      <c r="G5" s="6"/>
      <c r="H5" s="6"/>
      <c r="I5" s="7"/>
      <c r="K5" s="8"/>
    </row>
    <row r="6" spans="1:12" x14ac:dyDescent="0.2">
      <c r="A6" s="9" t="s">
        <v>1</v>
      </c>
      <c r="B6" s="12" t="s">
        <v>133</v>
      </c>
      <c r="C6" s="6"/>
      <c r="D6" s="6"/>
      <c r="E6" s="6"/>
      <c r="F6" s="6"/>
      <c r="G6" s="6"/>
      <c r="H6" s="6"/>
      <c r="I6" s="7"/>
      <c r="K6" s="8"/>
    </row>
    <row r="7" spans="1:12" x14ac:dyDescent="0.2">
      <c r="A7" s="9" t="s">
        <v>4</v>
      </c>
      <c r="B7" s="11" t="s">
        <v>140</v>
      </c>
      <c r="C7" s="6"/>
      <c r="D7" s="6"/>
      <c r="E7" s="6"/>
      <c r="F7" s="6"/>
      <c r="G7" s="6"/>
      <c r="H7" s="6"/>
      <c r="I7" s="7"/>
      <c r="K7" s="8"/>
    </row>
    <row r="8" spans="1:12" x14ac:dyDescent="0.2">
      <c r="A8" s="9" t="s">
        <v>3</v>
      </c>
      <c r="B8" s="13" t="s">
        <v>77</v>
      </c>
      <c r="C8" s="6"/>
      <c r="D8" s="6"/>
      <c r="E8" s="6"/>
      <c r="F8" s="6"/>
      <c r="G8" s="6"/>
      <c r="H8" s="14"/>
      <c r="I8" s="15"/>
      <c r="K8" s="8"/>
    </row>
    <row r="9" spans="1:12" x14ac:dyDescent="0.2">
      <c r="A9" s="14" t="s">
        <v>9</v>
      </c>
      <c r="B9" s="4"/>
      <c r="C9" s="14"/>
      <c r="D9" s="14"/>
      <c r="E9" s="14"/>
      <c r="F9" s="14"/>
      <c r="G9" s="14"/>
      <c r="H9" s="5"/>
      <c r="I9" s="16"/>
      <c r="K9" s="8"/>
    </row>
    <row r="10" spans="1:12" x14ac:dyDescent="0.2">
      <c r="A10" s="1" t="s">
        <v>0</v>
      </c>
      <c r="B10" s="21" t="s">
        <v>2</v>
      </c>
      <c r="C10" s="1" t="s">
        <v>4</v>
      </c>
      <c r="D10" s="1" t="s">
        <v>3</v>
      </c>
      <c r="E10" s="1" t="s">
        <v>6</v>
      </c>
      <c r="F10" s="1" t="s">
        <v>1</v>
      </c>
      <c r="G10" s="1" t="s">
        <v>134</v>
      </c>
      <c r="H10" s="22" t="s">
        <v>7</v>
      </c>
      <c r="I10" s="23" t="s">
        <v>141</v>
      </c>
      <c r="J10" s="24" t="s">
        <v>142</v>
      </c>
      <c r="K10" s="25" t="s">
        <v>143</v>
      </c>
      <c r="L10" s="25" t="s">
        <v>144</v>
      </c>
    </row>
    <row r="11" spans="1:12" x14ac:dyDescent="0.2">
      <c r="A11" s="17" t="str">
        <f>B3</f>
        <v>electricity supply, from stationary 19.5 kWh NMC battery</v>
      </c>
      <c r="B11" s="17">
        <v>1</v>
      </c>
      <c r="C11" t="str">
        <f>B7</f>
        <v>CH</v>
      </c>
      <c r="D11" t="s">
        <v>77</v>
      </c>
      <c r="E11" t="s">
        <v>80</v>
      </c>
      <c r="F11" t="s">
        <v>133</v>
      </c>
      <c r="G11" s="5"/>
      <c r="H11" s="16"/>
      <c r="I11" s="19"/>
      <c r="K11" s="8"/>
    </row>
    <row r="12" spans="1:12" x14ac:dyDescent="0.2">
      <c r="A12" s="9" t="s">
        <v>135</v>
      </c>
      <c r="B12" s="17">
        <f>1.2546012269938651</f>
        <v>1.2546012269938651</v>
      </c>
      <c r="C12" t="s">
        <v>140</v>
      </c>
      <c r="D12" t="s">
        <v>77</v>
      </c>
      <c r="E12" t="s">
        <v>89</v>
      </c>
      <c r="F12" t="s">
        <v>136</v>
      </c>
      <c r="G12" s="5"/>
      <c r="H12" s="18" t="s">
        <v>145</v>
      </c>
      <c r="I12" s="19">
        <v>5</v>
      </c>
      <c r="J12" s="17">
        <f>1.2546012269938651</f>
        <v>1.2546012269938651</v>
      </c>
      <c r="K12">
        <f>1.1597154199102955</f>
        <v>1.1597154199102955</v>
      </c>
      <c r="L12">
        <f>1.3178584317162447</f>
        <v>1.3178584317162447</v>
      </c>
    </row>
    <row r="13" spans="1:12" x14ac:dyDescent="0.2">
      <c r="A13" s="9" t="s">
        <v>135</v>
      </c>
      <c r="B13" s="17">
        <f>0.0225</f>
        <v>0.0225</v>
      </c>
      <c r="C13" t="s">
        <v>140</v>
      </c>
      <c r="D13" t="s">
        <v>77</v>
      </c>
      <c r="E13" t="s">
        <v>89</v>
      </c>
      <c r="F13" t="s">
        <v>136</v>
      </c>
      <c r="G13" s="5"/>
      <c r="H13" s="18" t="s">
        <v>137</v>
      </c>
      <c r="I13" s="19"/>
    </row>
    <row r="14" spans="1:12" x14ac:dyDescent="0.2">
      <c r="A14" s="9" t="s">
        <v>130</v>
      </c>
      <c r="B14" s="17">
        <f>2.564102564102564e-05</f>
        <v>2.564102564102564e-05</v>
      </c>
      <c r="C14" t="s">
        <v>16</v>
      </c>
      <c r="D14" t="s">
        <v>3</v>
      </c>
      <c r="E14" t="s">
        <v>89</v>
      </c>
      <c r="F14" t="s">
        <v>124</v>
      </c>
      <c r="G14" s="5"/>
      <c r="H14" s="20" t="s">
        <v>146</v>
      </c>
      <c r="I14" s="19">
        <v>5</v>
      </c>
      <c r="J14" s="17">
        <f>2.564102564102564e-05</f>
        <v>2.564102564102564e-05</v>
      </c>
      <c r="K14">
        <f>2.1367521367521368e-05</f>
        <v>2.1367521367521368e-05</v>
      </c>
      <c r="L14">
        <f>3.205128205128205e-05</f>
        <v>3.205128205128205e-05</v>
      </c>
    </row>
    <row r="15" spans="1:12" x14ac:dyDescent="0.2">
      <c r="A15" s="9"/>
      <c r="B15" s="17"/>
      <c r="G15" s="5"/>
      <c r="H15" s="20"/>
    </row>
    <row r="16" spans="1:12" x14ac:dyDescent="0.2">
      <c r="A16" s="3" t="s">
        <v>8</v>
      </c>
      <c r="B16" s="4" t="s">
        <v>147</v>
      </c>
      <c r="C16" s="5"/>
      <c r="D16" s="6"/>
      <c r="E16" s="6"/>
      <c r="F16" s="6"/>
      <c r="G16" s="6"/>
      <c r="H16" s="6"/>
      <c r="I16" s="7"/>
      <c r="K16" s="8"/>
    </row>
    <row r="17" spans="1:12" x14ac:dyDescent="0.2">
      <c r="A17" s="9" t="s">
        <v>132</v>
      </c>
      <c r="B17" s="10">
        <v>1</v>
      </c>
      <c r="C17" s="6"/>
      <c r="D17" s="6"/>
      <c r="E17" s="6"/>
      <c r="F17" s="6"/>
      <c r="G17" s="6"/>
      <c r="H17" s="6"/>
      <c r="I17" s="7"/>
      <c r="K17" s="8"/>
    </row>
    <row r="18" spans="1:12" x14ac:dyDescent="0.2">
      <c r="A18" s="9" t="s">
        <v>7</v>
      </c>
      <c r="B18" s="11" t="inlineStr">
        <is>
          <t>APPROVED HOME-STORAGE DELIVERED-ENERGY BOUNDARY, issue66,2026-10-18. Jasper etal2022 DOI10.1016/j.jclepro.2022.132899 section2.4,pages5-6 andTable2. Source0.815charge/discharge efficiency explicitly excludesstandby. Standby22.5W for6000h/year,halffromchargedbattery andhalffromgrid. Retain existing modeled13year/2500cycle scenario rather than silently adopting paper20year/7300cycle reference. Sourcepaper section2.2 specifies maximum80%LFPDoD,contradicting the copiedworkbook90%table. Choose0.8DoDforbothchemistries; NMCretains its existing0.8engineeringreference at existing14.4/19.5nominalkWh. Consumer-deliveredlifetimeenergyQ=capacity*DoD*2500cycles:28800kWhLFP,39000kWhNMC811. Retain13yearcalendar horizon and2500operatingcycles; this is a documentedmodelscenario,not manufacturer measuredlife or automaticonecycleperday. StandbyS=.0225kW*6000h/year*13years=1755kWh. Chargepurchase=(Q+S/2)/0.815; directgridstandby=S/2. Per1kWhconsumeroutput,firstinput=(1+S/(2Q))/0.815 andsecond=S/(2Q),so battery-suppliedstandby ischargedandlost once.0.815alreadyincludescycleconversionlosses,notstandby; do not multiply again by cell93%efficiency or add19%instead of dividingbyefficiency. Existingtwoelectricitysupplier identities retained as a grid-referencecase:thepaperhalfPV/halfgrid assumption is not a newSwisshourlychargingmix. No newPVcapacity oralteredselfconsumptionprofile. System manufacture dose=1/Q,firstwholeinstalledset; componentreplacements handledseparately byissue67 withoutanotherlifetime divisor. CorrectLFPcopiedNMCcomment and2020citationto2022. Capacity isgross; DoD already limitsusableenergy,do not reapplyit in cell manufacture. Uncertainty of actualcycleefficiency,standbyhours,loadsanddegradation remain explicit; sourcepaper itselfuses literatureusephasevalues. No premature newprimarysecondary orrecoverycredit. Staticnominalcapacity andno degradationreference imply constantcycleoutput; futureagingprofile needs a separate sourceddesign. Actualscenario:14.4kWh gross,0.8DoD,Q=28800.000000000004kWh,S=1755.0kWh,chargeinput=1.2643788343558284kWh/outputkWh,directstandby=0.030468749999999996kWh/outputkWh.
PREVIOUS NOTES (retained as history; the correction above takes precedence):
1 kWh of electricity discharged from a stationary battery. Accounts for charge and discharge losses: 19%. The original dataset is a 19.5 kWh home storage system, using NMC811 cells. The system has a stand-by consumption of 22 W over 6000 hours per year. Assumes lifetime of 2500 charge-discharge cycles over 13 years, and a maximum depth of discharge of 80%. In total, the system delivers 2500 [cycles] x 80% x 19.5 [Wh] = 39000 kWh.</t>
        </is>
      </c>
      <c r="C18" s="6"/>
      <c r="D18" s="6"/>
      <c r="E18" s="6"/>
      <c r="F18" s="6"/>
      <c r="G18" s="6"/>
      <c r="H18" s="6"/>
      <c r="I18" s="7"/>
      <c r="K18" s="8"/>
    </row>
    <row r="19" spans="1:12" x14ac:dyDescent="0.2">
      <c r="A19" s="9" t="s">
        <v>1</v>
      </c>
      <c r="B19" s="12" t="s">
        <v>133</v>
      </c>
      <c r="C19" s="6"/>
      <c r="D19" s="6"/>
      <c r="E19" s="6"/>
      <c r="F19" s="6"/>
      <c r="G19" s="6"/>
      <c r="H19" s="6"/>
      <c r="I19" s="7"/>
      <c r="K19" s="8"/>
    </row>
    <row r="20" spans="1:12" x14ac:dyDescent="0.2">
      <c r="A20" s="9" t="s">
        <v>4</v>
      </c>
      <c r="B20" s="11" t="s">
        <v>140</v>
      </c>
      <c r="C20" s="6"/>
      <c r="D20" s="6"/>
      <c r="E20" s="6"/>
      <c r="F20" s="6"/>
      <c r="G20" s="6"/>
      <c r="H20" s="6"/>
      <c r="I20" s="7"/>
      <c r="K20" s="8"/>
    </row>
    <row r="21" spans="1:12" x14ac:dyDescent="0.2">
      <c r="A21" s="9" t="s">
        <v>3</v>
      </c>
      <c r="B21" s="13" t="s">
        <v>77</v>
      </c>
      <c r="C21" s="6"/>
      <c r="D21" s="6"/>
      <c r="E21" s="6"/>
      <c r="F21" s="6"/>
      <c r="G21" s="6"/>
      <c r="H21" s="14"/>
      <c r="I21" s="15"/>
      <c r="K21" s="8"/>
    </row>
    <row r="22" spans="1:12" x14ac:dyDescent="0.2">
      <c r="A22" s="14" t="s">
        <v>9</v>
      </c>
      <c r="B22" s="4"/>
      <c r="C22" s="14"/>
      <c r="D22" s="14"/>
      <c r="E22" s="14"/>
      <c r="F22" s="14"/>
      <c r="G22" s="14"/>
      <c r="H22" s="5"/>
      <c r="I22" s="16"/>
      <c r="K22" s="8"/>
    </row>
    <row r="23" spans="1:12" x14ac:dyDescent="0.2">
      <c r="A23" s="1" t="s">
        <v>0</v>
      </c>
      <c r="B23" s="21" t="s">
        <v>2</v>
      </c>
      <c r="C23" s="1" t="s">
        <v>4</v>
      </c>
      <c r="D23" s="1" t="s">
        <v>3</v>
      </c>
      <c r="E23" s="1" t="s">
        <v>6</v>
      </c>
      <c r="F23" s="1" t="s">
        <v>1</v>
      </c>
      <c r="G23" s="1" t="s">
        <v>134</v>
      </c>
      <c r="H23" s="22" t="s">
        <v>7</v>
      </c>
      <c r="I23" s="23" t="s">
        <v>141</v>
      </c>
      <c r="J23" s="24" t="s">
        <v>142</v>
      </c>
      <c r="K23" s="25" t="s">
        <v>143</v>
      </c>
      <c r="L23" s="25" t="s">
        <v>144</v>
      </c>
    </row>
    <row r="24" spans="1:12" x14ac:dyDescent="0.2">
      <c r="A24" s="17" t="str">
        <f>B16</f>
        <v>electricity supply, from stationary 14.4 kWh LFP battery</v>
      </c>
      <c r="B24" s="17">
        <v>1</v>
      </c>
      <c r="C24" t="str">
        <f>B20</f>
        <v>CH</v>
      </c>
      <c r="D24" t="s">
        <v>77</v>
      </c>
      <c r="E24" t="s">
        <v>80</v>
      </c>
      <c r="F24" t="s">
        <v>133</v>
      </c>
      <c r="G24" s="5"/>
      <c r="H24" s="16"/>
      <c r="I24" s="19"/>
      <c r="K24" s="8"/>
    </row>
    <row r="25" spans="1:12" x14ac:dyDescent="0.2">
      <c r="A25" s="9" t="s">
        <v>135</v>
      </c>
      <c r="B25" s="17">
        <f>1.2643788343558284</f>
        <v>1.2643788343558284</v>
      </c>
      <c r="C25" t="s">
        <v>140</v>
      </c>
      <c r="D25" t="s">
        <v>77</v>
      </c>
      <c r="E25" t="s">
        <v>89</v>
      </c>
      <c r="F25" t="s">
        <v>136</v>
      </c>
      <c r="G25" s="5"/>
      <c r="H25" s="18" t="s">
        <v>145</v>
      </c>
      <c r="I25" s="19">
        <v>5</v>
      </c>
      <c r="J25" s="17">
        <f>1.2643788343558284</f>
        <v>1.2643788343558284</v>
      </c>
      <c r="K25">
        <f>1.1687535443625308</f>
        <v>1.1687535443625308</v>
      </c>
      <c r="L25">
        <f>1.3281290276846938</f>
        <v>1.3281290276846938</v>
      </c>
    </row>
    <row r="26" spans="1:12" x14ac:dyDescent="0.2">
      <c r="A26" s="9" t="s">
        <v>135</v>
      </c>
      <c r="B26" s="17">
        <f>0.030468749999999996</f>
        <v>0.030468749999999996</v>
      </c>
      <c r="C26" t="s">
        <v>140</v>
      </c>
      <c r="D26" t="s">
        <v>77</v>
      </c>
      <c r="E26" t="s">
        <v>89</v>
      </c>
      <c r="F26" t="s">
        <v>136</v>
      </c>
      <c r="G26" s="5"/>
      <c r="H26" s="18" t="s">
        <v>137</v>
      </c>
      <c r="I26" s="19"/>
    </row>
    <row r="27" spans="1:12" x14ac:dyDescent="0.2">
      <c r="A27" s="9" t="s">
        <v>123</v>
      </c>
      <c r="B27" s="17">
        <f>3.4722222222222215e-05</f>
        <v>3.4722222222222215e-05</v>
      </c>
      <c r="C27" t="s">
        <v>16</v>
      </c>
      <c r="D27" t="s">
        <v>3</v>
      </c>
      <c r="E27" t="s">
        <v>89</v>
      </c>
      <c r="F27" t="s">
        <v>124</v>
      </c>
      <c r="G27" s="5"/>
      <c r="H27" s="20" t="s">
        <v>146</v>
      </c>
      <c r="I27" s="19">
        <v>5</v>
      </c>
      <c r="J27" s="17">
        <f>3.4722222222222215e-05</f>
        <v>3.4722222222222215e-05</v>
      </c>
      <c r="K27">
        <f>2.8935185185185183e-05</f>
        <v>2.8935185185185183e-05</v>
      </c>
      <c r="L27">
        <f>4.340277777777777e-05</f>
        <v>4.340277777777777e-05</v>
      </c>
    </row>
    <row r="28" spans="1:12" x14ac:dyDescent="0.2">
      <c r="A28" s="9"/>
      <c r="B28" s="17"/>
      <c r="G28" s="5"/>
      <c r="H28" s="20"/>
    </row>
    <row r="29" spans="1:12" x14ac:dyDescent="0.2">
      <c r="A29" s="1" t="s">
        <v>8</v>
      </c>
      <c r="B29" s="1" t="s">
        <v>123</v>
      </c>
    </row>
    <row r="30" spans="1:12" x14ac:dyDescent="0.2">
      <c r="A30" t="s">
        <v>1</v>
      </c>
      <c r="B30" t="s">
        <v>124</v>
      </c>
    </row>
    <row r="31" spans="1:12" x14ac:dyDescent="0.2">
      <c r="A31" t="s">
        <v>4</v>
      </c>
      <c r="B31" t="s">
        <v>16</v>
      </c>
    </row>
    <row r="32" spans="1:12" x14ac:dyDescent="0.2">
      <c r="A32" t="s">
        <v>2</v>
      </c>
      <c r="B32">
        <v>1</v>
      </c>
    </row>
    <row r="33" spans="1:7" x14ac:dyDescent="0.2">
      <c r="A33" t="s">
        <v>3</v>
      </c>
      <c r="B33" t="s">
        <v>3</v>
      </c>
    </row>
    <row r="34" spans="1:7" x14ac:dyDescent="0.2">
      <c r="A34" t="s">
        <v>7</v>
      </c>
      <c r="B34" t="inlineStr">
        <is>
          <t>APPROVED HOME-STORAGE COMPONENT LIFE BUDGETS, issue67,2026-10-18. Jasper etal2022 DOI10.1016/j.jclepro.2022.132899 Table3,minimum/maximum calendar and cyclelife. Recompute for retained13years/2500cycles,NOT copy published20year/7300cycle factors. For eachcomponent selecthigh/lowmanufacturedsets=max(1,systemyears/componentyears,systemcycles/componentcycles),usingpairedlow/highlife endpoints,then midpointsets as engineeringexpectedlifetimeattribution. Clampatonebecauseanewcompleteinstalledsetisrequired; no assumedreusecredit for residualcomponentlife. This is not a probabilisticfailure distribution or literal fractionalinstallation. ReferenceLFPcellsets1,NMC811cellsets1.125;charger/inverter/controls/moduleBMSsets1.3125;cables1.15;housing/module steel1.0. Sourcepublished1.96/2.43cell and1.92electronics factors refer20years/7300cycles andmustnot be blindly transferred. Each home system activity now means an installeddesignplusits13yearmanufacturingreplacementbudget; labelsnominalkWhstayinstalledcapacity,not manufacturedcapacitysum. Multiplycellmanufactureonly bycellfactor within newunitmodule; moduleBMS follows electronicsfactor,modulesteel/rolling remainoneinstalledset. Externalsteelhousingremainsone,externalcontroller/electronics,charger,inverter andcablesfollowtheir own factors. Do not multiplythewholemodule anditscellsagain or buyanotherfullhome systemfor inverterfailure. Increasecomponentfreight withactualmanufacturedcomponentmass; retaininitialassemblyelectricityonce because source replacementassemblyenergy is unspecified,which remains a coveragegap. Existing servicewrapperstays1/consumerlifetimekWh fromissue66; operatingelectricity,DoD,nominalinstalledcapacity andcalendarhorizonunchanged. Transportation is at original routeintensities; packaging/maintenance labour and returntransport are gaps. Device-specific treatment/recycling is not invented; no recoverycredits orprimarysecondaryshares added. Future electronicsdurability is a sourceassumption,not verifiedmodernfleetlife. Sensitivityuseslistedmin/maxsets andsourcecalendar/cyclelimits. Numericreference:{"LFP":{"min_sets":1,"max_sets":1,"reference_sets":1.0},"NMC811":{"min_sets":1,"max_sets":1.25,"reference_sets":1.125},"electronics":{"min_sets":1,"max_sets":1.625,"reference_sets":1.3125},"inverter":{"min_sets":1,"max_sets":1.625,"reference_sets":1.3125},"charger":{"min_sets":1,"max_sets":1.625,"reference_sets":1.3125},"cable":{"min_sets":1,"max_sets":1.3,"reference_sets":1.15},"housing":{"min_sets":1,"max_sets":1,"reference_sets":1.0}}
PREVIOUS NOTES (retained as history; the correction above takes precedence):
APPROVED HOME-STORAGE CELL/CAPACITY RECONCILIATION, issue65,2026-10-18. Jasper etal2022 DOI10.1016/j.jclepro.2022.132899,public author PDF https://publikationen.bibliothek.kit.edu/1000148250/149191979 . Existing accepted LFP160Wh/kg andNMC811280Wh/kg cell references in chemistry-specific capacity markets; this is an explicit adapted engineering variant,not reproduction of the measured source140/190Wh/kg pouch cells. Retain labelled14.4kWhLFP and19.5kWhNMC811 grossnominalcapacity. Previous161.28kgmodule*0.63=101.6064kgcells produces14.224896/19.305216kWh even at copied140/190Wh/kg,and the actually linkedgenericcell reference is different again. Adopt the already accepted chemistry-specific160/280Wh/kg reference,so manufacture90kgLFPcells or69.642857142857kgNMC811cells per installedhome system. This selects a coherent currentcell-reference variant; it is NOT evidence original sourcecapacity or measuredcellmass were wrong. Source-specific Mohr cell inventories and precise pouch geometry remain a comparison gap. Preserve54.8352kgmodule steel,4.8384kg moduleBMS and their existingmanufacturing/transport proxies as fixed engineeringhousing architecture; do not fill releasedcellmass with arbitrarymetal tohold161.28kg. New moduleprovider is oneunit for allinstalledmodules in onehome system,not onekg or onephysicalcell. Retain exactcell supplier/product/location from corrected chemistry hardware provider; nocompletepack or extra centralBMS input. Update freight pernewmodulemanufacturedmass using existingonekg-route intensities,while currentnoncell hardware references remainfixed. Cell manufacture energy is includedupstream,not chargedagain. Original288kgsourcewholeHSS mass and140/190Wh/kgmetadata are historical,not the updatedengineeringvariant; complete noncell component retainedmass/yields are not certified by newmodule closure. ModulebaselineLFP149.6736kg,NMC129.316457142857kg excludesother unchangedHSSperiphery. No source systemlifetime,operatingloss,DoD orreplacement change here; issues66/67 reconcilethose separately. This fixedhomecell-design path does not silently inheritmobile futuredensitylearning. Existing legacykgmoduleprovidersremainavailable forother consumers. No native/runtime edits or recyclingcredits; omitteddevice-specificEOL remains explicitgap. Currentreference:chemistryLFP,nominal14.4kWh,cell specific energy160.0Wh/kg,installedcellmass90.0kg,modulenoncellmass59.6736kg,totalmodulemass149.6736kg.
PREVIOUS NOTES (retained as history; the correction above takes precedence):
Life cycle assessment (LCA) of a battery home storage system based on primary data, Friedrich B. Jasper, Jana Spathe, Manuel Baumann, Jens F. Peters, Janna Ruhland, Marcel Weil, 2020, Journal of Cleaner Production
Cell type: LFP, Energy density in Wh/kg:140, Cycle lifetime: 2500-10000, Calendar lifetime in years:13-20, Efficiency in %: 93, Development stage: Mature, Storage Capacity of the HSS in kWh:14.4. Weight: 288 kg.
Variable	LFP	LFP	SIB	NMC811	NMC811
Energy Density (Wh/kg)	140	140	128	190	200
Resulting Capacity (kWh)	14.4	14.4	13.1657	19.5429	20.5714
Round Trip efficiency system	0.815	0.815	0.815	0.815	0.815
Depth of discharge	0.9	0.9	0.8	0.8	0.8
electricity standby consumption (W)	22.5	22.5	22.5	22.5	22.5
Time of standby per year (h)	6000	6000	6000	6000	6000</t>
        </is>
      </c>
    </row>
    <row r="35" spans="1:7" x14ac:dyDescent="0.2">
      <c r="A35" t="s">
        <v>9</v>
      </c>
    </row>
    <row r="36" spans="1:7" x14ac:dyDescent="0.2">
      <c r="A36" s="1" t="s">
        <v>0</v>
      </c>
      <c r="B36" s="1" t="s">
        <v>1</v>
      </c>
      <c r="C36" s="1" t="s">
        <v>2</v>
      </c>
      <c r="D36" s="1" t="s">
        <v>3</v>
      </c>
      <c r="E36" s="1" t="s">
        <v>4</v>
      </c>
      <c r="F36" s="1" t="s">
        <v>6</v>
      </c>
      <c r="G36" s="1" t="s">
        <v>7</v>
      </c>
    </row>
    <row r="37" spans="1:7" x14ac:dyDescent="0.2">
      <c r="A37" t="str">
        <f>B29</f>
        <v>home electricity storage system, 14.4 kWh, LFP battery</v>
      </c>
      <c r="B37" t="str">
        <f>B30</f>
        <v>home electricity storage system</v>
      </c>
      <c r="C37">
        <v>1</v>
      </c>
      <c r="D37" t="str">
        <f>B33</f>
        <v>unit</v>
      </c>
      <c r="E37" t="str">
        <f>B31</f>
        <v>RER</v>
      </c>
      <c r="F37" t="s">
        <v>80</v>
      </c>
    </row>
    <row r="38" spans="1:7" x14ac:dyDescent="0.2">
      <c r="A38" t="s">
        <v>85</v>
      </c>
      <c r="B38" t="s">
        <v>86</v>
      </c>
      <c r="C38">
        <v>18.900000000000002</v>
      </c>
      <c r="D38" t="s">
        <v>76</v>
      </c>
      <c r="E38" t="s">
        <v>16</v>
      </c>
      <c r="F38" t="s">
        <v>89</v>
      </c>
      <c r="G38" t="s">
        <v>17</v>
      </c>
    </row>
    <row r="39" spans="1:7" x14ac:dyDescent="0.2">
      <c r="A39" t="s">
        <v>81</v>
      </c>
      <c r="B39" t="s">
        <v>10</v>
      </c>
      <c r="C39">
        <v>9.936</v>
      </c>
      <c r="D39" t="s">
        <v>76</v>
      </c>
      <c r="E39" t="s">
        <v>14</v>
      </c>
      <c r="F39" t="s">
        <v>89</v>
      </c>
      <c r="G39" t="s">
        <v>18</v>
      </c>
    </row>
    <row r="40" spans="1:7" x14ac:dyDescent="0.2">
      <c r="A40" t="s">
        <v>82</v>
      </c>
      <c r="B40" t="s">
        <v>11</v>
      </c>
      <c r="C40">
        <v>34.56</v>
      </c>
      <c r="D40" t="s">
        <v>77</v>
      </c>
      <c r="E40" t="s">
        <v>15</v>
      </c>
      <c r="F40" t="s">
        <v>89</v>
      </c>
      <c r="G40" t="s">
        <v>19</v>
      </c>
    </row>
    <row r="41" spans="1:7" x14ac:dyDescent="0.2">
      <c r="A41" t="s">
        <v>83</v>
      </c>
      <c r="B41" t="s">
        <v>12</v>
      </c>
      <c r="C41">
        <v>0.7560000000000001</v>
      </c>
      <c r="D41" t="s">
        <v>76</v>
      </c>
      <c r="E41" t="s">
        <v>14</v>
      </c>
      <c r="F41" t="s">
        <v>89</v>
      </c>
      <c r="G41" t="s">
        <v>20</v>
      </c>
    </row>
    <row r="42" spans="1:7" x14ac:dyDescent="0.2">
      <c r="A42" t="s">
        <v>109</v>
      </c>
      <c r="B42" t="s">
        <v>87</v>
      </c>
      <c r="C42">
        <v>83.52</v>
      </c>
      <c r="D42" t="s">
        <v>76</v>
      </c>
      <c r="E42" t="s">
        <v>16</v>
      </c>
      <c r="F42" t="s">
        <v>89</v>
      </c>
      <c r="G42" t="s">
        <v>21</v>
      </c>
    </row>
    <row r="43" spans="1:7" x14ac:dyDescent="0.2">
      <c r="A43" t="s">
        <v>111</v>
      </c>
      <c r="B43" t="s">
        <v>88</v>
      </c>
      <c r="C43">
        <v>22.68</v>
      </c>
      <c r="D43" t="s">
        <v>76</v>
      </c>
      <c r="E43" t="s">
        <v>16</v>
      </c>
      <c r="F43" t="s">
        <v>89</v>
      </c>
      <c r="G43" t="s">
        <v>22</v>
      </c>
    </row>
    <row r="44" spans="1:7" x14ac:dyDescent="0.2">
      <c r="A44" t="inlineStr">
        <is>
          <t xml:space="preserve">battery module production, home storage, Li-ion, LFP, 14.4 kWh</t>
        </is>
      </c>
      <c r="B44" t="inlineStr">
        <is>
          <t xml:space="preserve">battery module, home storage, Li-ion, LFP, 14.4 kWh</t>
        </is>
      </c>
      <c r="C44">
        <v>1</v>
      </c>
      <c r="D44" t="inlineStr">
        <is>
          <t>unit</t>
        </is>
      </c>
      <c r="E44" t="inlineStr">
        <is>
          <t>RER</t>
        </is>
      </c>
      <c r="F44" t="s">
        <v>89</v>
      </c>
      <c r="G44" t="s">
        <v>23</v>
      </c>
    </row>
    <row r="45" spans="1:7" x14ac:dyDescent="0.2">
      <c r="A45" t="s">
        <v>119</v>
      </c>
      <c r="B45" t="s">
        <v>120</v>
      </c>
      <c r="C45">
        <v>7.56</v>
      </c>
      <c r="D45" t="s">
        <v>76</v>
      </c>
      <c r="E45" t="s">
        <v>16</v>
      </c>
      <c r="F45" t="s">
        <v>89</v>
      </c>
      <c r="G45" t="s">
        <v>24</v>
      </c>
    </row>
    <row r="46" spans="1:7" x14ac:dyDescent="0.2">
      <c r="A46" t="s">
        <v>84</v>
      </c>
      <c r="B46" t="s">
        <v>13</v>
      </c>
      <c r="C46">
        <v>90.3528</v>
      </c>
      <c r="D46" t="s">
        <v>78</v>
      </c>
      <c r="E46" t="s">
        <v>16</v>
      </c>
      <c r="F46" t="s">
        <v>89</v>
      </c>
      <c r="G46" t="s">
        <v>25</v>
      </c>
    </row>
    <row r="48" spans="1:7" x14ac:dyDescent="0.2">
      <c r="A48" s="1" t="s">
        <v>8</v>
      </c>
      <c r="B48" s="1" t="s">
        <v>130</v>
      </c>
    </row>
    <row r="49" spans="1:7" x14ac:dyDescent="0.2">
      <c r="A49" t="s">
        <v>1</v>
      </c>
      <c r="B49" t="s">
        <v>124</v>
      </c>
    </row>
    <row r="50" spans="1:7" x14ac:dyDescent="0.2">
      <c r="A50" t="s">
        <v>4</v>
      </c>
      <c r="B50" t="s">
        <v>16</v>
      </c>
    </row>
    <row r="51" spans="1:7" x14ac:dyDescent="0.2">
      <c r="A51" t="s">
        <v>2</v>
      </c>
      <c r="B51">
        <v>1</v>
      </c>
    </row>
    <row r="52" spans="1:7" x14ac:dyDescent="0.2">
      <c r="A52" t="s">
        <v>3</v>
      </c>
      <c r="B52" t="s">
        <v>3</v>
      </c>
    </row>
    <row r="53" spans="1:7" x14ac:dyDescent="0.2">
      <c r="A53" t="s">
        <v>7</v>
      </c>
      <c r="B53" t="inlineStr">
        <is>
          <t>APPROVED HOME-STORAGE COMPONENT LIFE BUDGETS, issue67,2026-10-18. Jasper etal2022 DOI10.1016/j.jclepro.2022.132899 Table3,minimum/maximum calendar and cyclelife. Recompute for retained13years/2500cycles,NOT copy published20year/7300cycle factors. For eachcomponent selecthigh/lowmanufacturedsets=max(1,systemyears/componentyears,systemcycles/componentcycles),usingpairedlow/highlife endpoints,then midpointsets as engineeringexpectedlifetimeattribution. Clampatonebecauseanewcompleteinstalledsetisrequired; no assumedreusecredit for residualcomponentlife. This is not a probabilisticfailure distribution or literal fractionalinstallation. ReferenceLFPcellsets1,NMC811cellsets1.125;charger/inverter/controls/moduleBMSsets1.3125;cables1.15;housing/module steel1.0. Sourcepublished1.96/2.43cell and1.92electronics factors refer20years/7300cycles andmustnot be blindly transferred. Each home system activity now means an installeddesignplusits13yearmanufacturingreplacementbudget; labelsnominalkWhstayinstalledcapacity,not manufacturedcapacitysum. Multiplycellmanufactureonly bycellfactor within newunitmodule; moduleBMS follows electronicsfactor,modulesteel/rolling remainoneinstalledset. Externalsteelhousingremainsone,externalcontroller/electronics,charger,inverter andcablesfollowtheir own factors. Do not multiplythewholemodule anditscellsagain or buyanotherfullhome systemfor inverterfailure. Increasecomponentfreight withactualmanufacturedcomponentmass; retaininitialassemblyelectricityonce because source replacementassemblyenergy is unspecified,which remains a coveragegap. Existing servicewrapperstays1/consumerlifetimekWh fromissue66; operatingelectricity,DoD,nominalinstalledcapacity andcalendarhorizonunchanged. Transportation is at original routeintensities; packaging/maintenance labour and returntransport are gaps. Device-specific treatment/recycling is not invented; no recoverycredits orprimarysecondaryshares added. Future electronicsdurability is a sourceassumption,not verifiedmodernfleetlife. Sensitivityuseslistedmin/maxsets andsourcecalendar/cyclelimits. Numericreference:{"LFP":{"min_sets":1,"max_sets":1,"reference_sets":1.0},"NMC811":{"min_sets":1,"max_sets":1.25,"reference_sets":1.125},"electronics":{"min_sets":1,"max_sets":1.625,"reference_sets":1.3125},"inverter":{"min_sets":1,"max_sets":1.625,"reference_sets":1.3125},"charger":{"min_sets":1,"max_sets":1.625,"reference_sets":1.3125},"cable":{"min_sets":1,"max_sets":1.3,"reference_sets":1.15},"housing":{"min_sets":1,"max_sets":1,"reference_sets":1.0}}
PREVIOUS NOTES (retained as history; the correction above takes precedence):
APPROVED HOME-STORAGE CELL/CAPACITY RECONCILIATION, issue65,2026-10-18. Jasper etal2022 DOI10.1016/j.jclepro.2022.132899,public author PDF https://publikationen.bibliothek.kit.edu/1000148250/149191979 . Existing accepted LFP160Wh/kg andNMC811280Wh/kg cell references in chemistry-specific capacity markets; this is an explicit adapted engineering variant,not reproduction of the measured source140/190Wh/kg pouch cells. Retain labelled14.4kWhLFP and19.5kWhNMC811 grossnominalcapacity. Previous161.28kgmodule*0.63=101.6064kgcells produces14.224896/19.305216kWh even at copied140/190Wh/kg,and the actually linkedgenericcell reference is different again. Adopt the already accepted chemistry-specific160/280Wh/kg reference,so manufacture90kgLFPcells or69.642857142857kgNMC811cells per installedhome system. This selects a coherent currentcell-reference variant; it is NOT evidence original sourcecapacity or measuredcellmass were wrong. Source-specific Mohr cell inventories and precise pouch geometry remain a comparison gap. Preserve54.8352kgmodule steel,4.8384kg moduleBMS and their existingmanufacturing/transport proxies as fixed engineeringhousing architecture; do not fill releasedcellmass with arbitrarymetal tohold161.28kg. New moduleprovider is oneunit for allinstalledmodules in onehome system,not onekg or onephysicalcell. Retain exactcell supplier/product/location from corrected chemistry hardware provider; nocompletepack or extra centralBMS input. Update freight pernewmodulemanufacturedmass using existingonekg-route intensities,while currentnoncell hardware references remainfixed. Cell manufacture energy is includedupstream,not chargedagain. Original288kgsourcewholeHSS mass and140/190Wh/kgmetadata are historical,not the updatedengineeringvariant; complete noncell component retainedmass/yields are not certified by newmodule closure. ModulebaselineLFP149.6736kg,NMC129.316457142857kg excludesother unchangedHSSperiphery. No source systemlifetime,operatingloss,DoD orreplacement change here; issues66/67 reconcilethose separately. This fixedhomecell-design path does not silently inheritmobile futuredensitylearning. Existing legacykgmoduleprovidersremainavailable forother consumers. No native/runtime edits or recyclingcredits; omitteddevice-specificEOL remains explicitgap. Currentreference:chemistryNMC811,nominal19.5kWh,cell specific energy280.0Wh/kg,installedcellmass69.64285714285714kg,modulenoncellmass59.6736kg,totalmodulemass129.31645714285713kg.
PREVIOUS NOTES (retained as history; the correction above takes precedence):
Life cycle assessment (LCA) of a battery home storage system based on primary data, Friedrich B. Jasper, Jana Spathe, Manuel Baumann, Jens F. Peters, Janna Ruhland, Marcel Weil, 2020, Journal of Cleaner Production
Cell type: LFP, Energy density in Wh/kg:140, Cycle lifetime: 2500-10000, Calendar lifetime in years:13-20, Efficiency in %: 93, Development stage: Mature, Storage Capacity of the HSS in kWh:14.4. Weight: 288 kg.
Variable	LFP	LFP	SIB	NMC811	NMC811
Energy Density (Wh/kg)	140	140	128	190	200
Resulting Capacity (kWh)	14.4	14.4	13.1657	19.5429	20.5714
Round Trip efficiency system	0.815	0.815	0.815	0.815	0.815
Depth of discharge	0.9	0.9	0.8	0.8	0.8
electricity standby consumption (W)	22.5	22.5	22.5	22.5	22.5
Time of standby per year (h)	6000	6000	6000	6000	6000</t>
        </is>
      </c>
    </row>
    <row r="54" spans="1:7" x14ac:dyDescent="0.2">
      <c r="A54" t="s">
        <v>9</v>
      </c>
    </row>
    <row r="55" spans="1:7" x14ac:dyDescent="0.2">
      <c r="A55" s="1" t="s">
        <v>0</v>
      </c>
      <c r="B55" s="1" t="s">
        <v>1</v>
      </c>
      <c r="C55" s="1" t="s">
        <v>2</v>
      </c>
      <c r="D55" s="1" t="s">
        <v>3</v>
      </c>
      <c r="E55" s="1" t="s">
        <v>4</v>
      </c>
      <c r="F55" s="1" t="s">
        <v>6</v>
      </c>
      <c r="G55" s="1" t="s">
        <v>7</v>
      </c>
    </row>
    <row r="56" spans="1:7" x14ac:dyDescent="0.2">
      <c r="A56" t="str">
        <f>B48</f>
        <v>home electricity storage system, 19.5 kWh, NMC811 battery</v>
      </c>
      <c r="B56" t="str">
        <f>B49</f>
        <v>home electricity storage system</v>
      </c>
      <c r="C56">
        <v>1</v>
      </c>
      <c r="D56" t="str">
        <f>B52</f>
        <v>unit</v>
      </c>
      <c r="E56" t="str">
        <f>B50</f>
        <v>RER</v>
      </c>
      <c r="F56" t="s">
        <v>80</v>
      </c>
    </row>
    <row r="57" spans="1:7" x14ac:dyDescent="0.2">
      <c r="A57" t="s">
        <v>85</v>
      </c>
      <c r="B57" t="s">
        <v>86</v>
      </c>
      <c r="C57">
        <v>18.900000000000002</v>
      </c>
      <c r="D57" t="s">
        <v>76</v>
      </c>
      <c r="E57" t="s">
        <v>16</v>
      </c>
      <c r="F57" t="s">
        <v>89</v>
      </c>
      <c r="G57" t="s">
        <v>17</v>
      </c>
    </row>
    <row r="58" spans="1:7" x14ac:dyDescent="0.2">
      <c r="A58" t="s">
        <v>81</v>
      </c>
      <c r="B58" t="s">
        <v>10</v>
      </c>
      <c r="C58">
        <v>9.936</v>
      </c>
      <c r="D58" t="s">
        <v>76</v>
      </c>
      <c r="E58" t="s">
        <v>14</v>
      </c>
      <c r="F58" t="s">
        <v>89</v>
      </c>
      <c r="G58" t="s">
        <v>18</v>
      </c>
    </row>
    <row r="59" spans="1:7" x14ac:dyDescent="0.2">
      <c r="A59" t="s">
        <v>82</v>
      </c>
      <c r="B59" t="s">
        <v>11</v>
      </c>
      <c r="C59">
        <v>34.56</v>
      </c>
      <c r="D59" t="s">
        <v>77</v>
      </c>
      <c r="E59" t="s">
        <v>15</v>
      </c>
      <c r="F59" t="s">
        <v>89</v>
      </c>
      <c r="G59" t="s">
        <v>19</v>
      </c>
    </row>
    <row r="60" spans="1:7" x14ac:dyDescent="0.2">
      <c r="A60" t="s">
        <v>83</v>
      </c>
      <c r="B60" t="s">
        <v>12</v>
      </c>
      <c r="C60">
        <v>0.7560000000000001</v>
      </c>
      <c r="D60" t="s">
        <v>76</v>
      </c>
      <c r="E60" t="s">
        <v>14</v>
      </c>
      <c r="F60" t="s">
        <v>89</v>
      </c>
      <c r="G60" t="s">
        <v>20</v>
      </c>
    </row>
    <row r="61" spans="1:7" x14ac:dyDescent="0.2">
      <c r="A61" t="s">
        <v>109</v>
      </c>
      <c r="B61" t="s">
        <v>87</v>
      </c>
      <c r="C61">
        <v>83.52</v>
      </c>
      <c r="D61" t="s">
        <v>76</v>
      </c>
      <c r="E61" t="s">
        <v>16</v>
      </c>
      <c r="F61" t="s">
        <v>89</v>
      </c>
      <c r="G61" t="s">
        <v>21</v>
      </c>
    </row>
    <row r="62" spans="1:7" x14ac:dyDescent="0.2">
      <c r="A62" t="s">
        <v>111</v>
      </c>
      <c r="B62" t="s">
        <v>88</v>
      </c>
      <c r="C62">
        <v>22.68</v>
      </c>
      <c r="D62" t="s">
        <v>76</v>
      </c>
      <c r="E62" t="s">
        <v>16</v>
      </c>
      <c r="F62" t="s">
        <v>89</v>
      </c>
      <c r="G62" t="s">
        <v>22</v>
      </c>
    </row>
    <row r="63" spans="1:7" x14ac:dyDescent="0.2">
      <c r="A63" t="inlineStr">
        <is>
          <t xml:space="preserve">battery module production, home storage, Li-ion, NMC811, 19.5 kWh</t>
        </is>
      </c>
      <c r="B63" t="inlineStr">
        <is>
          <t xml:space="preserve">battery module, home storage, Li-ion, NMC811, 19.5 kWh</t>
        </is>
      </c>
      <c r="C63">
        <v>1</v>
      </c>
      <c r="D63" t="inlineStr">
        <is>
          <t>unit</t>
        </is>
      </c>
      <c r="E63" t="inlineStr">
        <is>
          <t>RER</t>
        </is>
      </c>
      <c r="F63" t="s">
        <v>89</v>
      </c>
      <c r="G63" t="s">
        <v>23</v>
      </c>
    </row>
    <row r="64" spans="1:7" x14ac:dyDescent="0.2">
      <c r="A64" t="s">
        <v>119</v>
      </c>
      <c r="B64" t="s">
        <v>120</v>
      </c>
      <c r="C64">
        <v>7.56</v>
      </c>
      <c r="D64" t="s">
        <v>76</v>
      </c>
      <c r="E64" t="s">
        <v>16</v>
      </c>
      <c r="F64" t="s">
        <v>89</v>
      </c>
      <c r="G64" t="s">
        <v>24</v>
      </c>
    </row>
    <row r="65" spans="1:7" x14ac:dyDescent="0.2">
      <c r="A65" t="s">
        <v>84</v>
      </c>
      <c r="B65" t="s">
        <v>13</v>
      </c>
      <c r="C65">
        <v>90.3528</v>
      </c>
      <c r="D65" t="s">
        <v>78</v>
      </c>
      <c r="E65" t="s">
        <v>16</v>
      </c>
      <c r="F65" t="s">
        <v>89</v>
      </c>
      <c r="G65" t="s">
        <v>25</v>
      </c>
    </row>
    <row r="67" spans="1:7" x14ac:dyDescent="0.2">
      <c r="A67" s="1" t="s">
        <v>8</v>
      </c>
      <c r="B67" s="1" t="s">
        <v>85</v>
      </c>
    </row>
    <row r="68" spans="1:7" x14ac:dyDescent="0.2">
      <c r="A68" t="s">
        <v>1</v>
      </c>
      <c r="B68" t="s">
        <v>86</v>
      </c>
    </row>
    <row r="69" spans="1:7" x14ac:dyDescent="0.2">
      <c r="A69" t="s">
        <v>4</v>
      </c>
      <c r="B69" t="s">
        <v>16</v>
      </c>
    </row>
    <row r="70" spans="1:7" x14ac:dyDescent="0.2">
      <c r="A70" t="s">
        <v>2</v>
      </c>
      <c r="B70">
        <v>1</v>
      </c>
    </row>
    <row r="71" spans="1:7" x14ac:dyDescent="0.2">
      <c r="A71" t="s">
        <v>3</v>
      </c>
      <c r="B71" t="s">
        <v>76</v>
      </c>
    </row>
    <row r="72" spans="1:7" x14ac:dyDescent="0.2">
      <c r="A72" t="s">
        <v>7</v>
      </c>
      <c r="B72" t="s">
        <v>102</v>
      </c>
    </row>
    <row r="73" spans="1:7" x14ac:dyDescent="0.2">
      <c r="A73" t="s">
        <v>9</v>
      </c>
    </row>
    <row r="74" spans="1:7" x14ac:dyDescent="0.2">
      <c r="A74" s="1" t="s">
        <v>0</v>
      </c>
      <c r="B74" s="1" t="s">
        <v>1</v>
      </c>
      <c r="C74" s="1" t="s">
        <v>2</v>
      </c>
      <c r="D74" s="1" t="s">
        <v>3</v>
      </c>
      <c r="E74" s="1" t="s">
        <v>4</v>
      </c>
      <c r="F74" s="1" t="s">
        <v>6</v>
      </c>
      <c r="G74" s="1" t="s">
        <v>7</v>
      </c>
    </row>
    <row r="75" spans="1:7" x14ac:dyDescent="0.2">
      <c r="A75" t="str">
        <f>B67</f>
        <v>ampere charger production</v>
      </c>
      <c r="B75" t="str">
        <f>B68</f>
        <v>ampere charger for home storage system</v>
      </c>
      <c r="C75">
        <v>1</v>
      </c>
      <c r="D75" t="str">
        <f>B71</f>
        <v>kilogram</v>
      </c>
      <c r="E75" t="str">
        <f>B69</f>
        <v>RER</v>
      </c>
      <c r="F75" t="s">
        <v>80</v>
      </c>
    </row>
    <row r="76" spans="1:7" x14ac:dyDescent="0.2">
      <c r="A76" t="s">
        <v>90</v>
      </c>
      <c r="B76" t="s">
        <v>26</v>
      </c>
      <c r="C76" s="2">
        <v>0.15</v>
      </c>
      <c r="D76" t="s">
        <v>76</v>
      </c>
      <c r="E76" t="s">
        <v>14</v>
      </c>
      <c r="F76" t="s">
        <v>89</v>
      </c>
      <c r="G76" t="s">
        <v>38</v>
      </c>
    </row>
    <row r="77" spans="1:7" x14ac:dyDescent="0.2">
      <c r="A77" t="s">
        <v>81</v>
      </c>
      <c r="B77" t="s">
        <v>10</v>
      </c>
      <c r="C77" s="2">
        <v>0.02</v>
      </c>
      <c r="D77" t="s">
        <v>76</v>
      </c>
      <c r="E77" t="s">
        <v>14</v>
      </c>
      <c r="F77" t="s">
        <v>89</v>
      </c>
      <c r="G77" t="s">
        <v>18</v>
      </c>
    </row>
    <row r="78" spans="1:7" x14ac:dyDescent="0.2">
      <c r="A78" t="s">
        <v>91</v>
      </c>
      <c r="B78" t="s">
        <v>27</v>
      </c>
      <c r="C78" s="2">
        <v>0.01</v>
      </c>
      <c r="D78" t="s">
        <v>76</v>
      </c>
      <c r="E78" t="s">
        <v>14</v>
      </c>
      <c r="F78" t="s">
        <v>89</v>
      </c>
      <c r="G78" t="s">
        <v>39</v>
      </c>
    </row>
    <row r="79" spans="1:7" x14ac:dyDescent="0.2">
      <c r="A79" t="s">
        <v>92</v>
      </c>
      <c r="B79" t="s">
        <v>28</v>
      </c>
      <c r="C79" s="2">
        <v>0.01</v>
      </c>
      <c r="D79" t="s">
        <v>76</v>
      </c>
      <c r="E79" t="s">
        <v>14</v>
      </c>
      <c r="F79" t="s">
        <v>89</v>
      </c>
      <c r="G79" t="s">
        <v>40</v>
      </c>
    </row>
    <row r="80" spans="1:7" x14ac:dyDescent="0.2">
      <c r="A80" t="s">
        <v>93</v>
      </c>
      <c r="B80" t="s">
        <v>29</v>
      </c>
      <c r="C80" s="2">
        <v>0.01</v>
      </c>
      <c r="D80" t="s">
        <v>76</v>
      </c>
      <c r="E80" t="s">
        <v>14</v>
      </c>
      <c r="F80" t="s">
        <v>89</v>
      </c>
      <c r="G80" t="s">
        <v>41</v>
      </c>
    </row>
    <row r="81" spans="1:7" x14ac:dyDescent="0.2">
      <c r="A81" t="s">
        <v>94</v>
      </c>
      <c r="B81" t="s">
        <v>30</v>
      </c>
      <c r="C81" s="2">
        <v>0.02</v>
      </c>
      <c r="D81" t="s">
        <v>76</v>
      </c>
      <c r="E81" t="s">
        <v>14</v>
      </c>
      <c r="F81" t="s">
        <v>89</v>
      </c>
      <c r="G81" t="s">
        <v>42</v>
      </c>
    </row>
    <row r="82" spans="1:7" x14ac:dyDescent="0.2">
      <c r="A82" t="s">
        <v>103</v>
      </c>
      <c r="B82" t="s">
        <v>104</v>
      </c>
      <c r="C82">
        <v>0.08</v>
      </c>
      <c r="D82" t="s">
        <v>76</v>
      </c>
      <c r="E82" t="s">
        <v>16</v>
      </c>
      <c r="F82" t="s">
        <v>89</v>
      </c>
      <c r="G82" t="s">
        <v>43</v>
      </c>
    </row>
    <row r="83" spans="1:7" x14ac:dyDescent="0.2">
      <c r="A83" t="s">
        <v>95</v>
      </c>
      <c r="B83" t="s">
        <v>31</v>
      </c>
      <c r="C83">
        <v>0.14000000000000001</v>
      </c>
      <c r="D83" t="s">
        <v>76</v>
      </c>
      <c r="E83" t="s">
        <v>14</v>
      </c>
      <c r="F83" t="s">
        <v>89</v>
      </c>
      <c r="G83" t="s">
        <v>44</v>
      </c>
    </row>
    <row r="84" spans="1:7" x14ac:dyDescent="0.2">
      <c r="A84" t="s">
        <v>96</v>
      </c>
      <c r="B84" t="s">
        <v>32</v>
      </c>
      <c r="C84">
        <v>0.15</v>
      </c>
      <c r="D84" t="s">
        <v>76</v>
      </c>
      <c r="E84" t="s">
        <v>14</v>
      </c>
      <c r="F84" t="s">
        <v>89</v>
      </c>
      <c r="G84" t="s">
        <v>45</v>
      </c>
    </row>
    <row r="85" spans="1:7" x14ac:dyDescent="0.2">
      <c r="A85" t="s">
        <v>97</v>
      </c>
      <c r="B85" t="s">
        <v>33</v>
      </c>
      <c r="C85">
        <v>0.51</v>
      </c>
      <c r="D85" t="s">
        <v>76</v>
      </c>
      <c r="E85" t="s">
        <v>14</v>
      </c>
      <c r="F85" t="s">
        <v>89</v>
      </c>
      <c r="G85" t="s">
        <v>46</v>
      </c>
    </row>
    <row r="86" spans="1:7" x14ac:dyDescent="0.2">
      <c r="A86" t="s">
        <v>98</v>
      </c>
      <c r="B86" t="s">
        <v>34</v>
      </c>
      <c r="C86">
        <v>0.02</v>
      </c>
      <c r="D86" t="s">
        <v>79</v>
      </c>
      <c r="E86" t="s">
        <v>14</v>
      </c>
      <c r="F86" t="s">
        <v>89</v>
      </c>
      <c r="G86" t="s">
        <v>47</v>
      </c>
    </row>
    <row r="87" spans="1:7" x14ac:dyDescent="0.2">
      <c r="A87" t="s">
        <v>99</v>
      </c>
      <c r="B87" t="s">
        <v>35</v>
      </c>
      <c r="C87">
        <v>0.51</v>
      </c>
      <c r="D87" t="s">
        <v>76</v>
      </c>
      <c r="E87" t="s">
        <v>14</v>
      </c>
      <c r="F87" t="s">
        <v>89</v>
      </c>
      <c r="G87" t="s">
        <v>48</v>
      </c>
    </row>
    <row r="88" spans="1:7" x14ac:dyDescent="0.2">
      <c r="A88" t="s">
        <v>100</v>
      </c>
      <c r="B88" t="s">
        <v>36</v>
      </c>
      <c r="C88">
        <v>1</v>
      </c>
      <c r="D88" t="s">
        <v>78</v>
      </c>
      <c r="E88" t="s">
        <v>116</v>
      </c>
      <c r="F88" t="s">
        <v>89</v>
      </c>
      <c r="G88" t="s">
        <v>49</v>
      </c>
    </row>
    <row r="89" spans="1:7" x14ac:dyDescent="0.2">
      <c r="A89" t="s">
        <v>84</v>
      </c>
      <c r="B89" t="s">
        <v>13</v>
      </c>
      <c r="C89">
        <v>1</v>
      </c>
      <c r="D89" t="s">
        <v>78</v>
      </c>
      <c r="E89" t="s">
        <v>16</v>
      </c>
      <c r="F89" t="s">
        <v>89</v>
      </c>
      <c r="G89" t="s">
        <v>50</v>
      </c>
    </row>
    <row r="90" spans="1:7" x14ac:dyDescent="0.2">
      <c r="A90" t="s">
        <v>101</v>
      </c>
      <c r="B90" t="s">
        <v>37</v>
      </c>
      <c r="C90">
        <v>8</v>
      </c>
      <c r="D90" t="s">
        <v>78</v>
      </c>
      <c r="E90" t="s">
        <v>14</v>
      </c>
      <c r="F90" t="s">
        <v>89</v>
      </c>
      <c r="G90" t="s">
        <v>51</v>
      </c>
    </row>
    <row r="92" spans="1:7" x14ac:dyDescent="0.2">
      <c r="A92" s="1" t="s">
        <v>8</v>
      </c>
      <c r="B92" s="1" t="s">
        <v>103</v>
      </c>
    </row>
    <row r="93" spans="1:7" x14ac:dyDescent="0.2">
      <c r="A93" t="s">
        <v>1</v>
      </c>
      <c r="B93" t="s">
        <v>104</v>
      </c>
    </row>
    <row r="94" spans="1:7" x14ac:dyDescent="0.2">
      <c r="A94" t="s">
        <v>4</v>
      </c>
      <c r="B94" t="s">
        <v>16</v>
      </c>
    </row>
    <row r="95" spans="1:7" x14ac:dyDescent="0.2">
      <c r="A95" t="s">
        <v>2</v>
      </c>
      <c r="B95">
        <v>1</v>
      </c>
    </row>
    <row r="96" spans="1:7" x14ac:dyDescent="0.2">
      <c r="A96" t="s">
        <v>3</v>
      </c>
      <c r="B96" t="s">
        <v>76</v>
      </c>
    </row>
    <row r="97" spans="1:7" x14ac:dyDescent="0.2">
      <c r="A97" t="s">
        <v>7</v>
      </c>
      <c r="B97" t="s">
        <v>75</v>
      </c>
    </row>
    <row r="98" spans="1:7" x14ac:dyDescent="0.2">
      <c r="A98" t="s">
        <v>9</v>
      </c>
    </row>
    <row r="99" spans="1:7" x14ac:dyDescent="0.2">
      <c r="A99" t="s">
        <v>0</v>
      </c>
      <c r="B99" t="s">
        <v>1</v>
      </c>
      <c r="C99" t="s">
        <v>2</v>
      </c>
      <c r="D99" t="s">
        <v>3</v>
      </c>
      <c r="E99" t="s">
        <v>4</v>
      </c>
      <c r="F99" t="s">
        <v>6</v>
      </c>
      <c r="G99" t="s">
        <v>7</v>
      </c>
    </row>
    <row r="100" spans="1:7" x14ac:dyDescent="0.2">
      <c r="A100" t="str">
        <f>B92</f>
        <v>inductor, other production</v>
      </c>
      <c r="B100" t="str">
        <f>B93</f>
        <v>inductor, other</v>
      </c>
      <c r="C100">
        <v>1</v>
      </c>
      <c r="D100" t="str">
        <f>B96</f>
        <v>kilogram</v>
      </c>
      <c r="E100" t="str">
        <f>B94</f>
        <v>RER</v>
      </c>
      <c r="F100" t="s">
        <v>80</v>
      </c>
    </row>
    <row r="101" spans="1:7" x14ac:dyDescent="0.2">
      <c r="A101" t="s">
        <v>105</v>
      </c>
      <c r="B101" t="s">
        <v>52</v>
      </c>
      <c r="C101">
        <v>0.46</v>
      </c>
      <c r="D101" t="s">
        <v>76</v>
      </c>
      <c r="E101" t="s">
        <v>14</v>
      </c>
      <c r="F101" t="s">
        <v>89</v>
      </c>
      <c r="G101" t="s">
        <v>56</v>
      </c>
    </row>
    <row r="102" spans="1:7" x14ac:dyDescent="0.2">
      <c r="A102" t="s">
        <v>106</v>
      </c>
      <c r="B102" t="s">
        <v>53</v>
      </c>
      <c r="C102">
        <v>0.43</v>
      </c>
      <c r="D102" t="s">
        <v>76</v>
      </c>
      <c r="E102" t="s">
        <v>14</v>
      </c>
      <c r="F102" t="s">
        <v>89</v>
      </c>
      <c r="G102" t="s">
        <v>57</v>
      </c>
    </row>
    <row r="103" spans="1:7" x14ac:dyDescent="0.2">
      <c r="A103" t="s">
        <v>93</v>
      </c>
      <c r="B103" t="s">
        <v>29</v>
      </c>
      <c r="C103">
        <v>0.04</v>
      </c>
      <c r="D103" t="s">
        <v>76</v>
      </c>
      <c r="E103" t="s">
        <v>14</v>
      </c>
      <c r="F103" t="s">
        <v>89</v>
      </c>
      <c r="G103" t="s">
        <v>58</v>
      </c>
    </row>
    <row r="104" spans="1:7" x14ac:dyDescent="0.2">
      <c r="A104" t="s">
        <v>107</v>
      </c>
      <c r="B104" t="s">
        <v>54</v>
      </c>
      <c r="C104">
        <v>1</v>
      </c>
      <c r="D104" t="s">
        <v>76</v>
      </c>
      <c r="E104" t="s">
        <v>14</v>
      </c>
      <c r="F104" t="s">
        <v>89</v>
      </c>
      <c r="G104" t="s">
        <v>59</v>
      </c>
    </row>
    <row r="105" spans="1:7" x14ac:dyDescent="0.2">
      <c r="A105" t="s">
        <v>99</v>
      </c>
      <c r="B105" t="s">
        <v>35</v>
      </c>
      <c r="C105">
        <v>7.0000000000000007E-2</v>
      </c>
      <c r="D105" t="s">
        <v>76</v>
      </c>
      <c r="E105" t="s">
        <v>14</v>
      </c>
      <c r="F105" t="s">
        <v>89</v>
      </c>
      <c r="G105" t="s">
        <v>48</v>
      </c>
    </row>
    <row r="106" spans="1:7" x14ac:dyDescent="0.2">
      <c r="A106" t="s">
        <v>108</v>
      </c>
      <c r="B106" t="s">
        <v>55</v>
      </c>
      <c r="C106">
        <v>0.43</v>
      </c>
      <c r="D106" t="s">
        <v>76</v>
      </c>
      <c r="E106" t="s">
        <v>14</v>
      </c>
      <c r="F106" t="s">
        <v>89</v>
      </c>
      <c r="G106" t="s">
        <v>60</v>
      </c>
    </row>
    <row r="108" spans="1:7" x14ac:dyDescent="0.2">
      <c r="A108" s="1" t="s">
        <v>8</v>
      </c>
      <c r="B108" s="1" t="s">
        <v>109</v>
      </c>
    </row>
    <row r="109" spans="1:7" x14ac:dyDescent="0.2">
      <c r="A109" t="s">
        <v>1</v>
      </c>
      <c r="B109" t="s">
        <v>87</v>
      </c>
    </row>
    <row r="110" spans="1:7" x14ac:dyDescent="0.2">
      <c r="A110" t="s">
        <v>4</v>
      </c>
      <c r="B110" t="s">
        <v>16</v>
      </c>
    </row>
    <row r="111" spans="1:7" x14ac:dyDescent="0.2">
      <c r="A111" t="s">
        <v>2</v>
      </c>
      <c r="B111">
        <v>1</v>
      </c>
    </row>
    <row r="112" spans="1:7" x14ac:dyDescent="0.2">
      <c r="A112" t="s">
        <v>3</v>
      </c>
      <c r="B112" t="s">
        <v>76</v>
      </c>
    </row>
    <row r="113" spans="1:7" x14ac:dyDescent="0.2">
      <c r="A113" t="s">
        <v>7</v>
      </c>
      <c r="B113" t="s">
        <v>75</v>
      </c>
    </row>
    <row r="114" spans="1:7" x14ac:dyDescent="0.2">
      <c r="A114" t="s">
        <v>9</v>
      </c>
    </row>
    <row r="115" spans="1:7" x14ac:dyDescent="0.2">
      <c r="A115" s="1" t="s">
        <v>0</v>
      </c>
      <c r="B115" s="1" t="s">
        <v>1</v>
      </c>
      <c r="C115" s="1" t="s">
        <v>2</v>
      </c>
      <c r="D115" s="1" t="s">
        <v>3</v>
      </c>
      <c r="E115" s="1" t="s">
        <v>4</v>
      </c>
      <c r="F115" s="1" t="s">
        <v>6</v>
      </c>
      <c r="G115" s="1" t="s">
        <v>7</v>
      </c>
    </row>
    <row r="116" spans="1:7" x14ac:dyDescent="0.2">
      <c r="A116" t="str">
        <f>B108</f>
        <v>housing assembly for home storage system</v>
      </c>
      <c r="B116" t="str">
        <f>B109</f>
        <v>housing for home storage system</v>
      </c>
      <c r="C116">
        <v>1</v>
      </c>
      <c r="D116" t="str">
        <f>B112</f>
        <v>kilogram</v>
      </c>
      <c r="E116" t="str">
        <f>B110</f>
        <v>RER</v>
      </c>
      <c r="F116" t="s">
        <v>80</v>
      </c>
    </row>
    <row r="117" spans="1:7" x14ac:dyDescent="0.2">
      <c r="A117" t="s">
        <v>97</v>
      </c>
      <c r="B117" t="s">
        <v>33</v>
      </c>
      <c r="C117">
        <v>0.997</v>
      </c>
      <c r="D117" t="s">
        <v>76</v>
      </c>
      <c r="E117" t="s">
        <v>14</v>
      </c>
      <c r="F117" t="s">
        <v>89</v>
      </c>
      <c r="G117" t="s">
        <v>46</v>
      </c>
    </row>
    <row r="118" spans="1:7" x14ac:dyDescent="0.2">
      <c r="A118" t="s">
        <v>99</v>
      </c>
      <c r="B118" t="s">
        <v>35</v>
      </c>
      <c r="C118">
        <v>0.997</v>
      </c>
      <c r="D118" t="s">
        <v>76</v>
      </c>
      <c r="E118" t="s">
        <v>14</v>
      </c>
      <c r="F118" t="s">
        <v>89</v>
      </c>
      <c r="G118" t="s">
        <v>48</v>
      </c>
    </row>
    <row r="119" spans="1:7" x14ac:dyDescent="0.2">
      <c r="A119" t="s">
        <v>110</v>
      </c>
      <c r="B119" t="s">
        <v>61</v>
      </c>
      <c r="C119">
        <v>3.0000000000000001E-3</v>
      </c>
      <c r="D119" t="s">
        <v>76</v>
      </c>
      <c r="E119" t="s">
        <v>14</v>
      </c>
      <c r="F119" t="s">
        <v>89</v>
      </c>
      <c r="G119" t="s">
        <v>62</v>
      </c>
    </row>
    <row r="120" spans="1:7" x14ac:dyDescent="0.2">
      <c r="A120" t="s">
        <v>100</v>
      </c>
      <c r="B120" t="s">
        <v>36</v>
      </c>
      <c r="C120">
        <v>0.2</v>
      </c>
      <c r="D120" t="s">
        <v>78</v>
      </c>
      <c r="E120" t="s">
        <v>116</v>
      </c>
      <c r="F120" t="s">
        <v>89</v>
      </c>
      <c r="G120" t="s">
        <v>49</v>
      </c>
    </row>
    <row r="121" spans="1:7" x14ac:dyDescent="0.2">
      <c r="A121" t="s">
        <v>84</v>
      </c>
      <c r="B121" t="s">
        <v>13</v>
      </c>
      <c r="C121">
        <v>0.1</v>
      </c>
      <c r="D121" t="s">
        <v>78</v>
      </c>
      <c r="E121" t="s">
        <v>16</v>
      </c>
      <c r="F121" t="s">
        <v>89</v>
      </c>
      <c r="G121" t="s">
        <v>63</v>
      </c>
    </row>
    <row r="123" spans="1:7" x14ac:dyDescent="0.2">
      <c r="A123" s="1" t="s">
        <v>8</v>
      </c>
      <c r="B123" s="1" t="s">
        <v>111</v>
      </c>
    </row>
    <row r="124" spans="1:7" x14ac:dyDescent="0.2">
      <c r="A124" t="s">
        <v>1</v>
      </c>
      <c r="B124" t="s">
        <v>88</v>
      </c>
    </row>
    <row r="125" spans="1:7" x14ac:dyDescent="0.2">
      <c r="A125" t="s">
        <v>4</v>
      </c>
      <c r="B125" t="s">
        <v>16</v>
      </c>
    </row>
    <row r="126" spans="1:7" x14ac:dyDescent="0.2">
      <c r="A126" t="s">
        <v>2</v>
      </c>
      <c r="B126">
        <v>1</v>
      </c>
    </row>
    <row r="127" spans="1:7" x14ac:dyDescent="0.2">
      <c r="A127" t="s">
        <v>3</v>
      </c>
      <c r="B127" t="s">
        <v>76</v>
      </c>
    </row>
    <row r="128" spans="1:7" x14ac:dyDescent="0.2">
      <c r="A128" t="s">
        <v>7</v>
      </c>
      <c r="B128" t="s">
        <v>75</v>
      </c>
    </row>
    <row r="129" spans="1:7" x14ac:dyDescent="0.2">
      <c r="A129" t="s">
        <v>9</v>
      </c>
    </row>
    <row r="130" spans="1:7" x14ac:dyDescent="0.2">
      <c r="A130" s="1" t="s">
        <v>0</v>
      </c>
      <c r="B130" s="1" t="s">
        <v>1</v>
      </c>
      <c r="C130" s="1" t="s">
        <v>2</v>
      </c>
      <c r="D130" s="1" t="s">
        <v>3</v>
      </c>
      <c r="E130" s="1" t="s">
        <v>4</v>
      </c>
      <c r="F130" s="1" t="s">
        <v>6</v>
      </c>
      <c r="G130" s="1" t="s">
        <v>7</v>
      </c>
    </row>
    <row r="131" spans="1:7" x14ac:dyDescent="0.2">
      <c r="A131" t="str">
        <f>B123</f>
        <v>inverter production for home storage system</v>
      </c>
      <c r="B131" t="str">
        <f>B124</f>
        <v>inverter for home storage system</v>
      </c>
      <c r="C131">
        <v>1</v>
      </c>
      <c r="D131" t="str">
        <f>B127</f>
        <v>kilogram</v>
      </c>
      <c r="E131" t="str">
        <f>B125</f>
        <v>RER</v>
      </c>
      <c r="F131" t="s">
        <v>80</v>
      </c>
    </row>
    <row r="132" spans="1:7" x14ac:dyDescent="0.2">
      <c r="A132" t="s">
        <v>90</v>
      </c>
      <c r="B132" t="s">
        <v>26</v>
      </c>
      <c r="C132">
        <v>0.06</v>
      </c>
      <c r="D132" t="s">
        <v>76</v>
      </c>
      <c r="E132" t="s">
        <v>14</v>
      </c>
      <c r="F132" t="s">
        <v>89</v>
      </c>
      <c r="G132" t="s">
        <v>38</v>
      </c>
    </row>
    <row r="133" spans="1:7" x14ac:dyDescent="0.2">
      <c r="A133" t="s">
        <v>81</v>
      </c>
      <c r="B133" t="s">
        <v>10</v>
      </c>
      <c r="C133">
        <v>0.01</v>
      </c>
      <c r="D133" t="s">
        <v>76</v>
      </c>
      <c r="E133" t="s">
        <v>14</v>
      </c>
      <c r="F133" t="s">
        <v>89</v>
      </c>
      <c r="G133" t="s">
        <v>18</v>
      </c>
    </row>
    <row r="134" spans="1:7" x14ac:dyDescent="0.2">
      <c r="A134" t="s">
        <v>91</v>
      </c>
      <c r="B134" t="s">
        <v>27</v>
      </c>
      <c r="C134">
        <v>0.03</v>
      </c>
      <c r="D134" t="s">
        <v>76</v>
      </c>
      <c r="E134" t="s">
        <v>14</v>
      </c>
      <c r="F134" t="s">
        <v>89</v>
      </c>
      <c r="G134" t="s">
        <v>39</v>
      </c>
    </row>
    <row r="135" spans="1:7" x14ac:dyDescent="0.2">
      <c r="A135" t="s">
        <v>92</v>
      </c>
      <c r="B135" t="s">
        <v>28</v>
      </c>
      <c r="C135">
        <v>0.04</v>
      </c>
      <c r="D135" t="s">
        <v>76</v>
      </c>
      <c r="E135" t="s">
        <v>14</v>
      </c>
      <c r="F135" t="s">
        <v>89</v>
      </c>
      <c r="G135" t="s">
        <v>40</v>
      </c>
    </row>
    <row r="136" spans="1:7" x14ac:dyDescent="0.2">
      <c r="A136" t="s">
        <v>94</v>
      </c>
      <c r="B136" t="s">
        <v>30</v>
      </c>
      <c r="C136">
        <v>0.01</v>
      </c>
      <c r="D136" t="s">
        <v>76</v>
      </c>
      <c r="E136" t="s">
        <v>14</v>
      </c>
      <c r="F136" t="s">
        <v>89</v>
      </c>
      <c r="G136" t="s">
        <v>42</v>
      </c>
    </row>
    <row r="137" spans="1:7" x14ac:dyDescent="0.2">
      <c r="A137" t="s">
        <v>103</v>
      </c>
      <c r="B137" t="s">
        <v>104</v>
      </c>
      <c r="C137">
        <v>0.27</v>
      </c>
      <c r="D137" t="s">
        <v>76</v>
      </c>
      <c r="E137" t="s">
        <v>16</v>
      </c>
      <c r="F137" t="s">
        <v>89</v>
      </c>
      <c r="G137" t="s">
        <v>43</v>
      </c>
    </row>
    <row r="138" spans="1:7" x14ac:dyDescent="0.2">
      <c r="A138" t="s">
        <v>95</v>
      </c>
      <c r="B138" t="s">
        <v>31</v>
      </c>
      <c r="C138">
        <v>7.0000000000000007E-2</v>
      </c>
      <c r="D138" t="s">
        <v>76</v>
      </c>
      <c r="E138" t="s">
        <v>14</v>
      </c>
      <c r="F138" t="s">
        <v>89</v>
      </c>
    </row>
    <row r="139" spans="1:7" x14ac:dyDescent="0.2">
      <c r="A139" t="s">
        <v>96</v>
      </c>
      <c r="B139" t="s">
        <v>32</v>
      </c>
      <c r="C139">
        <v>0.05</v>
      </c>
      <c r="D139" t="s">
        <v>76</v>
      </c>
      <c r="E139" t="s">
        <v>14</v>
      </c>
      <c r="F139" t="s">
        <v>89</v>
      </c>
      <c r="G139" t="s">
        <v>64</v>
      </c>
    </row>
    <row r="140" spans="1:7" x14ac:dyDescent="0.2">
      <c r="A140" t="s">
        <v>97</v>
      </c>
      <c r="B140" t="s">
        <v>33</v>
      </c>
      <c r="C140">
        <v>0.45</v>
      </c>
      <c r="D140" t="s">
        <v>76</v>
      </c>
      <c r="E140" t="s">
        <v>14</v>
      </c>
      <c r="F140" t="s">
        <v>89</v>
      </c>
      <c r="G140" t="s">
        <v>65</v>
      </c>
    </row>
    <row r="141" spans="1:7" x14ac:dyDescent="0.2">
      <c r="A141" t="s">
        <v>98</v>
      </c>
      <c r="B141" t="s">
        <v>34</v>
      </c>
      <c r="C141">
        <v>0.02</v>
      </c>
      <c r="D141" t="s">
        <v>79</v>
      </c>
      <c r="E141" t="s">
        <v>14</v>
      </c>
      <c r="F141" t="s">
        <v>89</v>
      </c>
      <c r="G141" t="s">
        <v>66</v>
      </c>
    </row>
    <row r="142" spans="1:7" x14ac:dyDescent="0.2">
      <c r="A142" t="s">
        <v>99</v>
      </c>
      <c r="B142" t="s">
        <v>35</v>
      </c>
      <c r="C142">
        <v>0.45</v>
      </c>
      <c r="D142" t="s">
        <v>76</v>
      </c>
      <c r="E142" t="s">
        <v>14</v>
      </c>
      <c r="F142" t="s">
        <v>89</v>
      </c>
      <c r="G142" t="s">
        <v>48</v>
      </c>
    </row>
    <row r="143" spans="1:7" x14ac:dyDescent="0.2">
      <c r="A143" t="s">
        <v>100</v>
      </c>
      <c r="B143" t="s">
        <v>36</v>
      </c>
      <c r="C143">
        <v>1</v>
      </c>
      <c r="D143" t="s">
        <v>78</v>
      </c>
      <c r="E143" t="s">
        <v>116</v>
      </c>
      <c r="F143" t="s">
        <v>89</v>
      </c>
      <c r="G143" t="s">
        <v>49</v>
      </c>
    </row>
    <row r="144" spans="1:7" x14ac:dyDescent="0.2">
      <c r="A144" t="s">
        <v>84</v>
      </c>
      <c r="B144" t="s">
        <v>13</v>
      </c>
      <c r="C144">
        <v>1</v>
      </c>
      <c r="D144" t="s">
        <v>78</v>
      </c>
      <c r="E144" t="s">
        <v>16</v>
      </c>
      <c r="F144" t="s">
        <v>89</v>
      </c>
      <c r="G144" t="s">
        <v>25</v>
      </c>
    </row>
    <row r="145" spans="1:7" x14ac:dyDescent="0.2">
      <c r="A145" t="s">
        <v>101</v>
      </c>
      <c r="B145" t="s">
        <v>37</v>
      </c>
      <c r="C145">
        <v>8</v>
      </c>
      <c r="D145" t="s">
        <v>78</v>
      </c>
      <c r="E145" t="s">
        <v>14</v>
      </c>
      <c r="F145" t="s">
        <v>89</v>
      </c>
      <c r="G145" t="s">
        <v>67</v>
      </c>
    </row>
    <row r="147" spans="1:7" x14ac:dyDescent="0.2">
      <c r="A147" s="1" t="s">
        <v>8</v>
      </c>
      <c r="B147" s="1" t="s">
        <v>112</v>
      </c>
    </row>
    <row r="148" spans="1:7" x14ac:dyDescent="0.2">
      <c r="A148" t="s">
        <v>1</v>
      </c>
      <c r="B148" t="s">
        <v>113</v>
      </c>
    </row>
    <row r="149" spans="1:7" x14ac:dyDescent="0.2">
      <c r="A149" t="s">
        <v>4</v>
      </c>
      <c r="B149" t="s">
        <v>16</v>
      </c>
    </row>
    <row r="150" spans="1:7" x14ac:dyDescent="0.2">
      <c r="A150" t="s">
        <v>2</v>
      </c>
      <c r="B150">
        <v>1</v>
      </c>
    </row>
    <row r="151" spans="1:7" x14ac:dyDescent="0.2">
      <c r="A151" t="s">
        <v>3</v>
      </c>
      <c r="B151" t="s">
        <v>76</v>
      </c>
    </row>
    <row r="152" spans="1:7" x14ac:dyDescent="0.2">
      <c r="A152" t="s">
        <v>7</v>
      </c>
      <c r="B152" t="s">
        <v>75</v>
      </c>
    </row>
    <row r="153" spans="1:7" x14ac:dyDescent="0.2">
      <c r="A153" t="s">
        <v>9</v>
      </c>
    </row>
    <row r="154" spans="1:7" x14ac:dyDescent="0.2">
      <c r="A154" s="1" t="s">
        <v>0</v>
      </c>
      <c r="B154" s="1" t="s">
        <v>1</v>
      </c>
      <c r="C154" s="1" t="s">
        <v>2</v>
      </c>
      <c r="D154" s="1" t="s">
        <v>3</v>
      </c>
      <c r="E154" s="1" t="s">
        <v>4</v>
      </c>
      <c r="F154" s="1" t="s">
        <v>6</v>
      </c>
      <c r="G154" s="1" t="s">
        <v>7</v>
      </c>
    </row>
    <row r="155" spans="1:7" x14ac:dyDescent="0.2">
      <c r="A155" t="str">
        <f>B147</f>
        <v>cell module production, LFP, for home storage system</v>
      </c>
      <c r="B155" t="str">
        <f>B148</f>
        <v>cell module, LFP, for home storage system</v>
      </c>
      <c r="C155">
        <v>1</v>
      </c>
      <c r="D155" t="str">
        <f>B151</f>
        <v>kilogram</v>
      </c>
      <c r="E155" t="str">
        <f>B149</f>
        <v>RER</v>
      </c>
      <c r="F155" t="s">
        <v>80</v>
      </c>
    </row>
    <row r="156" spans="1:7" x14ac:dyDescent="0.2">
      <c r="A156" t="s">
        <v>114</v>
      </c>
      <c r="B156" t="s">
        <v>115</v>
      </c>
      <c r="C156">
        <v>0.03</v>
      </c>
      <c r="D156" t="s">
        <v>76</v>
      </c>
      <c r="E156" t="s">
        <v>16</v>
      </c>
      <c r="F156" t="s">
        <v>89</v>
      </c>
      <c r="G156" t="s">
        <v>68</v>
      </c>
    </row>
    <row r="157" spans="1:7" x14ac:dyDescent="0.2">
      <c r="A157" t="s">
        <v>118</v>
      </c>
      <c r="B157" t="s">
        <v>117</v>
      </c>
      <c r="C157">
        <v>0.63</v>
      </c>
      <c r="D157" t="s">
        <v>76</v>
      </c>
      <c r="E157" t="s">
        <v>14</v>
      </c>
      <c r="F157" t="s">
        <v>89</v>
      </c>
      <c r="G157" t="s">
        <v>69</v>
      </c>
    </row>
    <row r="158" spans="1:7" x14ac:dyDescent="0.2">
      <c r="A158" t="s">
        <v>97</v>
      </c>
      <c r="B158" t="s">
        <v>33</v>
      </c>
      <c r="C158">
        <v>0.34</v>
      </c>
      <c r="D158" t="s">
        <v>76</v>
      </c>
      <c r="E158" t="s">
        <v>14</v>
      </c>
      <c r="F158" t="s">
        <v>89</v>
      </c>
      <c r="G158" t="s">
        <v>65</v>
      </c>
    </row>
    <row r="159" spans="1:7" x14ac:dyDescent="0.2">
      <c r="A159" t="s">
        <v>99</v>
      </c>
      <c r="B159" t="s">
        <v>35</v>
      </c>
      <c r="C159">
        <v>0.34</v>
      </c>
      <c r="D159" t="s">
        <v>76</v>
      </c>
      <c r="E159" t="s">
        <v>14</v>
      </c>
      <c r="F159" t="s">
        <v>89</v>
      </c>
      <c r="G159" t="s">
        <v>48</v>
      </c>
    </row>
    <row r="160" spans="1:7" x14ac:dyDescent="0.2">
      <c r="A160" t="s">
        <v>100</v>
      </c>
      <c r="B160" t="s">
        <v>36</v>
      </c>
      <c r="C160">
        <v>1</v>
      </c>
      <c r="D160" t="s">
        <v>78</v>
      </c>
      <c r="E160" t="s">
        <v>116</v>
      </c>
      <c r="F160" t="s">
        <v>89</v>
      </c>
      <c r="G160" t="s">
        <v>49</v>
      </c>
    </row>
    <row r="161" spans="1:7" x14ac:dyDescent="0.2">
      <c r="A161" t="s">
        <v>84</v>
      </c>
      <c r="B161" t="s">
        <v>13</v>
      </c>
      <c r="C161">
        <v>1</v>
      </c>
      <c r="D161" t="s">
        <v>78</v>
      </c>
      <c r="E161" t="s">
        <v>16</v>
      </c>
      <c r="F161" t="s">
        <v>89</v>
      </c>
      <c r="G161" t="s">
        <v>25</v>
      </c>
    </row>
    <row r="162" spans="1:7" x14ac:dyDescent="0.2">
      <c r="A162" t="s">
        <v>101</v>
      </c>
      <c r="B162" t="s">
        <v>37</v>
      </c>
      <c r="C162">
        <v>8</v>
      </c>
      <c r="D162" t="s">
        <v>78</v>
      </c>
      <c r="E162" t="s">
        <v>14</v>
      </c>
      <c r="F162" t="s">
        <v>89</v>
      </c>
      <c r="G162" t="s">
        <v>67</v>
      </c>
    </row>
    <row r="164" spans="1:7" x14ac:dyDescent="0.2">
      <c r="A164" s="1" t="s">
        <v>8</v>
      </c>
      <c r="B164" s="1" t="s">
        <v>128</v>
      </c>
    </row>
    <row r="165" spans="1:7" x14ac:dyDescent="0.2">
      <c r="A165" t="s">
        <v>1</v>
      </c>
      <c r="B165" t="s">
        <v>129</v>
      </c>
    </row>
    <row r="166" spans="1:7" x14ac:dyDescent="0.2">
      <c r="A166" t="s">
        <v>4</v>
      </c>
      <c r="B166" t="s">
        <v>16</v>
      </c>
    </row>
    <row r="167" spans="1:7" x14ac:dyDescent="0.2">
      <c r="A167" t="s">
        <v>2</v>
      </c>
      <c r="B167">
        <v>1</v>
      </c>
    </row>
    <row r="168" spans="1:7" x14ac:dyDescent="0.2">
      <c r="A168" t="s">
        <v>3</v>
      </c>
      <c r="B168" t="s">
        <v>76</v>
      </c>
    </row>
    <row r="169" spans="1:7" x14ac:dyDescent="0.2">
      <c r="A169" t="s">
        <v>7</v>
      </c>
      <c r="B169" t="s">
        <v>75</v>
      </c>
    </row>
    <row r="170" spans="1:7" x14ac:dyDescent="0.2">
      <c r="A170" t="s">
        <v>9</v>
      </c>
    </row>
    <row r="171" spans="1:7" x14ac:dyDescent="0.2">
      <c r="A171" s="1" t="s">
        <v>0</v>
      </c>
      <c r="B171" s="1" t="s">
        <v>1</v>
      </c>
      <c r="C171" s="1" t="s">
        <v>2</v>
      </c>
      <c r="D171" s="1" t="s">
        <v>3</v>
      </c>
      <c r="E171" s="1" t="s">
        <v>4</v>
      </c>
      <c r="F171" s="1" t="s">
        <v>6</v>
      </c>
      <c r="G171" s="1" t="s">
        <v>7</v>
      </c>
    </row>
    <row r="172" spans="1:7" x14ac:dyDescent="0.2">
      <c r="A172" t="str">
        <f>B164</f>
        <v>cell module production, NMC811, for home storage system</v>
      </c>
      <c r="B172" t="str">
        <f>B165</f>
        <v>cell module, NMC811, for home storage system</v>
      </c>
      <c r="C172">
        <v>1</v>
      </c>
      <c r="D172" t="str">
        <f>B168</f>
        <v>kilogram</v>
      </c>
      <c r="E172" t="str">
        <f>B166</f>
        <v>RER</v>
      </c>
      <c r="F172" t="s">
        <v>80</v>
      </c>
    </row>
    <row r="173" spans="1:7" x14ac:dyDescent="0.2">
      <c r="A173" t="s">
        <v>114</v>
      </c>
      <c r="B173" t="s">
        <v>115</v>
      </c>
      <c r="C173">
        <v>0.03</v>
      </c>
      <c r="D173" t="s">
        <v>76</v>
      </c>
      <c r="E173" t="s">
        <v>16</v>
      </c>
      <c r="F173" t="s">
        <v>89</v>
      </c>
      <c r="G173" t="s">
        <v>68</v>
      </c>
    </row>
    <row r="174" spans="1:7" x14ac:dyDescent="0.2">
      <c r="A174" t="s">
        <v>125</v>
      </c>
      <c r="B174" t="s">
        <v>126</v>
      </c>
      <c r="C174">
        <v>0.63</v>
      </c>
      <c r="D174" t="s">
        <v>76</v>
      </c>
      <c r="E174" t="s">
        <v>14</v>
      </c>
      <c r="F174" t="s">
        <v>89</v>
      </c>
      <c r="G174" t="s">
        <v>69</v>
      </c>
    </row>
    <row r="175" spans="1:7" x14ac:dyDescent="0.2">
      <c r="A175" t="s">
        <v>97</v>
      </c>
      <c r="B175" t="s">
        <v>33</v>
      </c>
      <c r="C175">
        <v>0.34</v>
      </c>
      <c r="D175" t="s">
        <v>76</v>
      </c>
      <c r="E175" t="s">
        <v>14</v>
      </c>
      <c r="F175" t="s">
        <v>89</v>
      </c>
      <c r="G175" t="s">
        <v>65</v>
      </c>
    </row>
    <row r="176" spans="1:7" x14ac:dyDescent="0.2">
      <c r="A176" t="s">
        <v>99</v>
      </c>
      <c r="B176" t="s">
        <v>35</v>
      </c>
      <c r="C176">
        <v>0.34</v>
      </c>
      <c r="D176" t="s">
        <v>76</v>
      </c>
      <c r="E176" t="s">
        <v>14</v>
      </c>
      <c r="F176" t="s">
        <v>89</v>
      </c>
      <c r="G176" t="s">
        <v>48</v>
      </c>
    </row>
    <row r="177" spans="1:7" x14ac:dyDescent="0.2">
      <c r="A177" t="s">
        <v>100</v>
      </c>
      <c r="B177" t="s">
        <v>36</v>
      </c>
      <c r="C177">
        <v>1</v>
      </c>
      <c r="D177" t="s">
        <v>78</v>
      </c>
      <c r="E177" t="s">
        <v>116</v>
      </c>
      <c r="F177" t="s">
        <v>89</v>
      </c>
      <c r="G177" t="s">
        <v>49</v>
      </c>
    </row>
    <row r="178" spans="1:7" x14ac:dyDescent="0.2">
      <c r="A178" t="s">
        <v>84</v>
      </c>
      <c r="B178" t="s">
        <v>13</v>
      </c>
      <c r="C178">
        <v>1</v>
      </c>
      <c r="D178" t="s">
        <v>78</v>
      </c>
      <c r="E178" t="s">
        <v>16</v>
      </c>
      <c r="F178" t="s">
        <v>89</v>
      </c>
      <c r="G178" t="s">
        <v>25</v>
      </c>
    </row>
    <row r="179" spans="1:7" x14ac:dyDescent="0.2">
      <c r="A179" t="s">
        <v>101</v>
      </c>
      <c r="B179" t="s">
        <v>37</v>
      </c>
      <c r="C179">
        <v>8</v>
      </c>
      <c r="D179" t="s">
        <v>78</v>
      </c>
      <c r="E179" t="s">
        <v>14</v>
      </c>
      <c r="F179" t="s">
        <v>89</v>
      </c>
      <c r="G179" t="s">
        <v>67</v>
      </c>
    </row>
    <row r="181" spans="1:7" x14ac:dyDescent="0.2">
      <c r="A181" s="1" t="s">
        <v>8</v>
      </c>
      <c r="B181" s="1" t="s">
        <v>114</v>
      </c>
    </row>
    <row r="182" spans="1:7" x14ac:dyDescent="0.2">
      <c r="A182" t="s">
        <v>1</v>
      </c>
      <c r="B182" t="s">
        <v>115</v>
      </c>
    </row>
    <row r="183" spans="1:7" x14ac:dyDescent="0.2">
      <c r="A183" t="s">
        <v>4</v>
      </c>
      <c r="B183" t="s">
        <v>16</v>
      </c>
    </row>
    <row r="184" spans="1:7" x14ac:dyDescent="0.2">
      <c r="A184" t="s">
        <v>2</v>
      </c>
      <c r="B184">
        <v>1</v>
      </c>
    </row>
    <row r="185" spans="1:7" x14ac:dyDescent="0.2">
      <c r="A185" t="s">
        <v>3</v>
      </c>
      <c r="B185" t="s">
        <v>76</v>
      </c>
    </row>
    <row r="186" spans="1:7" x14ac:dyDescent="0.2">
      <c r="A186" t="s">
        <v>7</v>
      </c>
      <c r="B186" t="s">
        <v>75</v>
      </c>
    </row>
    <row r="187" spans="1:7" x14ac:dyDescent="0.2">
      <c r="A187" t="s">
        <v>9</v>
      </c>
    </row>
    <row r="188" spans="1:7" x14ac:dyDescent="0.2">
      <c r="A188" s="1" t="s">
        <v>0</v>
      </c>
      <c r="B188" s="1" t="s">
        <v>1</v>
      </c>
      <c r="C188" s="1" t="s">
        <v>2</v>
      </c>
      <c r="D188" s="1" t="s">
        <v>3</v>
      </c>
      <c r="E188" s="1" t="s">
        <v>4</v>
      </c>
      <c r="F188" s="1" t="s">
        <v>6</v>
      </c>
      <c r="G188" s="1" t="s">
        <v>7</v>
      </c>
    </row>
    <row r="189" spans="1:7" x14ac:dyDescent="0.2">
      <c r="A189" t="str">
        <f>B181</f>
        <v>battery module system production</v>
      </c>
      <c r="B189" t="str">
        <f>B182</f>
        <v>battery module system for home storage system module</v>
      </c>
      <c r="C189">
        <v>1</v>
      </c>
      <c r="D189" t="str">
        <f>B185</f>
        <v>kilogram</v>
      </c>
      <c r="E189" t="str">
        <f>B183</f>
        <v>RER</v>
      </c>
      <c r="F189" t="s">
        <v>80</v>
      </c>
    </row>
    <row r="190" spans="1:7" x14ac:dyDescent="0.2">
      <c r="A190" t="s">
        <v>90</v>
      </c>
      <c r="B190" t="s">
        <v>26</v>
      </c>
      <c r="C190">
        <v>0.64</v>
      </c>
      <c r="D190" t="s">
        <v>76</v>
      </c>
      <c r="E190" t="s">
        <v>14</v>
      </c>
      <c r="F190" t="s">
        <v>89</v>
      </c>
      <c r="G190" t="s">
        <v>38</v>
      </c>
    </row>
    <row r="191" spans="1:7" x14ac:dyDescent="0.2">
      <c r="A191" t="s">
        <v>81</v>
      </c>
      <c r="B191" t="s">
        <v>10</v>
      </c>
      <c r="C191">
        <v>0.03</v>
      </c>
      <c r="D191" t="s">
        <v>76</v>
      </c>
      <c r="E191" t="s">
        <v>14</v>
      </c>
      <c r="F191" t="s">
        <v>89</v>
      </c>
      <c r="G191" t="s">
        <v>18</v>
      </c>
    </row>
    <row r="192" spans="1:7" x14ac:dyDescent="0.2">
      <c r="A192" t="s">
        <v>91</v>
      </c>
      <c r="B192" t="s">
        <v>27</v>
      </c>
      <c r="C192">
        <v>0.03</v>
      </c>
      <c r="D192" t="s">
        <v>76</v>
      </c>
      <c r="E192" t="s">
        <v>14</v>
      </c>
      <c r="F192" t="s">
        <v>89</v>
      </c>
      <c r="G192" t="s">
        <v>39</v>
      </c>
    </row>
    <row r="193" spans="1:7" x14ac:dyDescent="0.2">
      <c r="A193" t="s">
        <v>96</v>
      </c>
      <c r="B193" t="s">
        <v>32</v>
      </c>
      <c r="C193">
        <v>0.64</v>
      </c>
      <c r="D193" t="s">
        <v>76</v>
      </c>
      <c r="E193" t="s">
        <v>14</v>
      </c>
      <c r="F193" t="s">
        <v>89</v>
      </c>
      <c r="G193" t="s">
        <v>64</v>
      </c>
    </row>
    <row r="194" spans="1:7" x14ac:dyDescent="0.2">
      <c r="A194" t="s">
        <v>98</v>
      </c>
      <c r="B194" t="s">
        <v>34</v>
      </c>
      <c r="C194">
        <v>0.09</v>
      </c>
      <c r="D194" t="s">
        <v>79</v>
      </c>
      <c r="E194" t="s">
        <v>14</v>
      </c>
      <c r="F194" t="s">
        <v>89</v>
      </c>
      <c r="G194" t="s">
        <v>66</v>
      </c>
    </row>
    <row r="195" spans="1:7" x14ac:dyDescent="0.2">
      <c r="A195" t="s">
        <v>100</v>
      </c>
      <c r="B195" t="s">
        <v>36</v>
      </c>
      <c r="C195">
        <v>0.2</v>
      </c>
      <c r="D195" t="s">
        <v>78</v>
      </c>
      <c r="E195" t="s">
        <v>116</v>
      </c>
      <c r="F195" t="s">
        <v>89</v>
      </c>
      <c r="G195" t="s">
        <v>49</v>
      </c>
    </row>
    <row r="196" spans="1:7" x14ac:dyDescent="0.2">
      <c r="A196" t="s">
        <v>84</v>
      </c>
      <c r="B196" t="s">
        <v>13</v>
      </c>
      <c r="C196">
        <v>0.1</v>
      </c>
      <c r="D196" t="s">
        <v>78</v>
      </c>
      <c r="E196" t="s">
        <v>16</v>
      </c>
      <c r="F196" t="s">
        <v>89</v>
      </c>
      <c r="G196" t="s">
        <v>25</v>
      </c>
    </row>
    <row r="198" spans="1:7" x14ac:dyDescent="0.2">
      <c r="A198" s="1" t="s">
        <v>8</v>
      </c>
      <c r="B198" s="1" t="s">
        <v>119</v>
      </c>
    </row>
    <row r="199" spans="1:7" x14ac:dyDescent="0.2">
      <c r="A199" t="s">
        <v>1</v>
      </c>
      <c r="B199" t="s">
        <v>120</v>
      </c>
    </row>
    <row r="200" spans="1:7" x14ac:dyDescent="0.2">
      <c r="A200" t="s">
        <v>4</v>
      </c>
      <c r="B200" t="s">
        <v>16</v>
      </c>
    </row>
    <row r="201" spans="1:7" x14ac:dyDescent="0.2">
      <c r="A201" t="s">
        <v>2</v>
      </c>
      <c r="B201">
        <v>1</v>
      </c>
    </row>
    <row r="202" spans="1:7" x14ac:dyDescent="0.2">
      <c r="A202" t="s">
        <v>3</v>
      </c>
      <c r="B202" t="s">
        <v>76</v>
      </c>
    </row>
    <row r="203" spans="1:7" x14ac:dyDescent="0.2">
      <c r="A203" t="s">
        <v>7</v>
      </c>
      <c r="B203" t="s">
        <v>75</v>
      </c>
    </row>
    <row r="204" spans="1:7" x14ac:dyDescent="0.2">
      <c r="A204" t="s">
        <v>9</v>
      </c>
    </row>
    <row r="205" spans="1:7" x14ac:dyDescent="0.2">
      <c r="A205" s="1" t="s">
        <v>0</v>
      </c>
      <c r="B205" s="1" t="s">
        <v>1</v>
      </c>
      <c r="C205" s="1" t="s">
        <v>2</v>
      </c>
      <c r="D205" s="1" t="s">
        <v>3</v>
      </c>
      <c r="E205" s="1" t="s">
        <v>4</v>
      </c>
      <c r="F205" s="1" t="s">
        <v>6</v>
      </c>
      <c r="G205" s="1" t="s">
        <v>7</v>
      </c>
    </row>
    <row r="206" spans="1:7" x14ac:dyDescent="0.2">
      <c r="A206" t="str">
        <f>B198</f>
        <v>system controller production, for home storage system</v>
      </c>
      <c r="B206" t="str">
        <f>B199</f>
        <v>system controller, for home storage system</v>
      </c>
      <c r="C206">
        <v>1</v>
      </c>
      <c r="D206" t="str">
        <f>B202</f>
        <v>kilogram</v>
      </c>
      <c r="E206" t="str">
        <f>B200</f>
        <v>RER</v>
      </c>
      <c r="F206" t="s">
        <v>80</v>
      </c>
    </row>
    <row r="207" spans="1:7" x14ac:dyDescent="0.2">
      <c r="A207" t="s">
        <v>114</v>
      </c>
      <c r="B207" t="s">
        <v>115</v>
      </c>
      <c r="C207">
        <v>0.17</v>
      </c>
      <c r="D207" t="s">
        <v>76</v>
      </c>
      <c r="E207" t="s">
        <v>16</v>
      </c>
      <c r="F207" t="s">
        <v>89</v>
      </c>
      <c r="G207" t="s">
        <v>72</v>
      </c>
    </row>
    <row r="208" spans="1:7" x14ac:dyDescent="0.2">
      <c r="A208" t="s">
        <v>83</v>
      </c>
      <c r="B208" t="s">
        <v>12</v>
      </c>
      <c r="C208">
        <v>0.32</v>
      </c>
      <c r="D208" t="s">
        <v>76</v>
      </c>
      <c r="E208" t="s">
        <v>14</v>
      </c>
      <c r="F208" t="s">
        <v>89</v>
      </c>
      <c r="G208" t="s">
        <v>20</v>
      </c>
    </row>
    <row r="209" spans="1:7" x14ac:dyDescent="0.2">
      <c r="A209" t="s">
        <v>97</v>
      </c>
      <c r="B209" t="s">
        <v>33</v>
      </c>
      <c r="C209">
        <v>0.44</v>
      </c>
      <c r="D209" t="s">
        <v>76</v>
      </c>
      <c r="E209" t="s">
        <v>14</v>
      </c>
      <c r="F209" t="s">
        <v>89</v>
      </c>
      <c r="G209" t="s">
        <v>65</v>
      </c>
    </row>
    <row r="210" spans="1:7" x14ac:dyDescent="0.2">
      <c r="A210" t="s">
        <v>121</v>
      </c>
      <c r="B210" t="s">
        <v>70</v>
      </c>
      <c r="C210">
        <v>0.03</v>
      </c>
      <c r="D210" t="s">
        <v>3</v>
      </c>
      <c r="E210" t="s">
        <v>14</v>
      </c>
      <c r="F210" t="s">
        <v>89</v>
      </c>
      <c r="G210" t="s">
        <v>73</v>
      </c>
    </row>
    <row r="211" spans="1:7" x14ac:dyDescent="0.2">
      <c r="A211" t="s">
        <v>99</v>
      </c>
      <c r="B211" t="s">
        <v>35</v>
      </c>
      <c r="C211">
        <v>0.44</v>
      </c>
      <c r="D211" t="s">
        <v>76</v>
      </c>
      <c r="E211" t="s">
        <v>14</v>
      </c>
      <c r="F211" t="s">
        <v>89</v>
      </c>
      <c r="G211" t="s">
        <v>48</v>
      </c>
    </row>
    <row r="212" spans="1:7" x14ac:dyDescent="0.2">
      <c r="A212" t="s">
        <v>122</v>
      </c>
      <c r="B212" t="s">
        <v>71</v>
      </c>
      <c r="C212">
        <v>0.02</v>
      </c>
      <c r="D212" t="s">
        <v>76</v>
      </c>
      <c r="E212" t="s">
        <v>14</v>
      </c>
      <c r="F212" t="s">
        <v>89</v>
      </c>
      <c r="G212" t="s">
        <v>74</v>
      </c>
    </row>
    <row r="215">
      <c r="A215" t="inlineStr">
        <is>
          <t>Activity</t>
        </is>
      </c>
      <c r="B215" t="inlineStr">
        <is>
          <t xml:space="preserve">battery module production, home storage, Li-ion, LFP, 14.4 kWh</t>
        </is>
      </c>
    </row>
    <row r="216">
      <c r="A216" t="inlineStr">
        <is>
          <t>location</t>
        </is>
      </c>
      <c r="B216" t="inlineStr">
        <is>
          <t>RER</t>
        </is>
      </c>
    </row>
    <row r="217">
      <c r="A217" t="inlineStr">
        <is>
          <t>production amount</t>
        </is>
      </c>
      <c r="B217">
        <v>1</v>
      </c>
    </row>
    <row r="218">
      <c r="A218" t="inlineStr">
        <is>
          <t>reference product</t>
        </is>
      </c>
      <c r="B218" t="inlineStr">
        <is>
          <t xml:space="preserve">battery module, home storage, Li-ion, LFP, 14.4 kWh</t>
        </is>
      </c>
    </row>
    <row r="219">
      <c r="A219" t="inlineStr">
        <is>
          <t>unit</t>
        </is>
      </c>
      <c r="B219" t="inlineStr">
        <is>
          <t>unit</t>
        </is>
      </c>
    </row>
    <row r="220">
      <c r="A220" t="inlineStr">
        <is>
          <t>source</t>
        </is>
      </c>
      <c r="B220" t="inlineStr">
        <is>
          <t>Jasper etal2022 DOI10.1016/j.jclepro.2022.132899,public author PDF https://publikationen.bibliothek.kit.edu/1000148250/149191979 . Existing accepted LFP160Wh/kg andNMC811280Wh/kg cell references in chemistry-specific capacity markets; this is an explicit adapted engineering variant,not reproduction of the measured source140/190Wh/kg pouch cells.</t>
        </is>
      </c>
    </row>
    <row r="221">
      <c r="A221" t="inlineStr">
        <is>
          <t>comment</t>
        </is>
      </c>
      <c r="B221" t="inlineStr">
        <is>
          <t xml:space="preserve">Nomenclature revision, 2026-10-19. Former activity name: cell modules, home 14.4kWh LFP, capacity-consistent reference. Former reference product: cell modules, home 14.4kWh LFP, capacity-consistent reference. Activity/product labels and supplier references only; coefficients, formulas, uncertainty, declared output and unit are unchanged. Original engineering assumptions, functional-unit basis and limitations remain below.
APPROVED HOME-STORAGE COMPONENT LIFE BUDGETS, issue67,2026-10-18. Jasper etal2022 DOI10.1016/j.jclepro.2022.132899 Table3,minimum/maximum calendar and cyclelife. Recompute for retained13years/2500cycles,NOT copy published20year/7300cycle factors. For eachcomponent selecthigh/lowmanufacturedsets=max(1,systemyears/componentyears,systemcycles/componentcycles),usingpairedlow/highlife endpoints,then midpointsets as engineeringexpectedlifetimeattribution. Clampatonebecauseanewcompleteinstalledsetisrequired; no assumedreusecredit for residualcomponentlife. This is not a probabilisticfailure distribution or literal fractionalinstallation. ReferenceLFPcellsets1,NMC811cellsets1.125;charger/inverter/controls/moduleBMSsets1.3125;cables1.15;housing/module steel1.0. Sourcepublished1.96/2.43cell and1.92electronics factors refer20years/7300cycles andmustnot be blindly transferred. Each home system activity now means an installeddesignplusits13yearmanufacturingreplacementbudget; labelsnominalkWhstayinstalledcapacity,not manufacturedcapacitysum. Multiplycellmanufactureonly bycellfactor within newunitmodule; moduleBMS follows electronicsfactor,modulesteel/rolling remainoneinstalledset. Externalsteelhousingremainsone,externalcontroller/electronics,charger,inverter andcablesfollowtheir own factors. Do not multiplythewholemodule anditscellsagain or buyanotherfullhome systemfor inverterfailure. Increasecomponentfreight withactualmanufacturedcomponentmass; retaininitialassemblyelectricityonce because source replacementassemblyenergy is unspecified,which remains a coveragegap. Existing servicewrapperstays1/consumerlifetimekWh fromissue66; operatingelectricity,DoD,nominalinstalledcapacity andcalendarhorizonunchanged. Transportation is at original routeintensities; packaging/maintenance labour and returntransport are gaps. Device-specific treatment/recycling is not invented; no recoverycredits orprimarysecondaryshares added. Future electronicsdurability is a sourceassumption,not verifiedmodernfleetlife. Sensitivityuseslistedmin/maxsets andsourcecalendar/cyclelimits. Numericreference:{"LFP":{"min_sets":1,"max_sets":1,"reference_sets":1.0},"NMC811":{"min_sets":1,"max_sets":1.25,"reference_sets":1.125},"electronics":{"min_sets":1,"max_sets":1.625,"reference_sets":1.3125},"inverter":{"min_sets":1,"max_sets":1.625,"reference_sets":1.3125},"charger":{"min_sets":1,"max_sets":1.625,"reference_sets":1.3125},"cable":{"min_sets":1,"max_sets":1.3,"reference_sets":1.15},"housing":{"min_sets":1,"max_sets":1,"reference_sets":1.0}}
PREVIOUS NOTES (retained as history; the correction above takes precedence):
APPROVED HOME-STORAGE CELL/CAPACITY RECONCILIATION, issue65,2026-10-18. Jasper etal2022 DOI10.1016/j.jclepro.2022.132899,public author PDF https://publikationen.bibliothek.kit.edu/1000148250/149191979 . Existing accepted LFP160Wh/kg andNMC811280Wh/kg cell references in chemistry-specific capacity markets; this is an explicit adapted engineering variant,not reproduction of the measured source140/190Wh/kg pouch cells. Retain labelled14.4kWhLFP and19.5kWhNMC811 grossnominalcapacity. Previous161.28kgmodule*0.63=101.6064kgcells produces14.224896/19.305216kWh even at copied140/190Wh/kg,and the actually linkedgenericcell reference is different again. Adopt the already accepted chemistry-specific160/280Wh/kg reference,so manufacture90kgLFPcells or69.642857142857kgNMC811cells per installedhome system. This selects a coherent currentcell-reference variant; it is NOT evidence original sourcecapacity or measuredcellmass were wrong. Source-specific Mohr cell inventories and precise pouch geometry remain a comparison gap. Preserve54.8352kgmodule steel,4.8384kg moduleBMS and their existingmanufacturing/transport proxies as fixed engineeringhousing architecture; do not fill releasedcellmass with arbitrarymetal tohold161.28kg. New moduleprovider is oneunit for allinstalledmodules in onehome system,not onekg or onephysicalcell. Retain exactcell supplier/product/location from corrected chemistry hardware provider; nocompletepack or extra centralBMS input. Update freight pernewmodulemanufacturedmass using existingonekg-route intensities,while currentnoncell hardware references remainfixed. Cell manufacture energy is includedupstream,not chargedagain. Original288kgsourcewholeHSS mass and140/190Wh/kgmetadata are historical,not the updatedengineeringvariant; complete noncell component retainedmass/yields are not certified by newmodule closure. ModulebaselineLFP149.6736kg,NMC129.316457142857kg excludesother unchangedHSSperiphery. No source systemlifetime,operatingloss,DoD orreplacement change here; issues66/67 reconcilethose separately. This fixedhomecell-design path does not silently inheritmobile futuredensitylearning. Existing legacykgmoduleprovidersremainavailable forother consumers. No native/runtime edits or recyclingcredits; omitteddevice-specificEOL remains explicitgap.</t>
        </is>
      </c>
    </row>
    <row r="222">
      <c r="A222" t="inlineStr">
        <is>
          <t>Exchanges</t>
        </is>
      </c>
    </row>
    <row r="223">
      <c r="A223" t="inlineStr">
        <is>
          <t>name</t>
        </is>
      </c>
      <c r="B223" t="inlineStr">
        <is>
          <t>amount</t>
        </is>
      </c>
      <c r="C223" t="inlineStr">
        <is>
          <t>location</t>
        </is>
      </c>
      <c r="D223" t="inlineStr">
        <is>
          <t>unit</t>
        </is>
      </c>
      <c r="E223" t="inlineStr">
        <is>
          <t>categories</t>
        </is>
      </c>
      <c r="F223" t="inlineStr">
        <is>
          <t>type</t>
        </is>
      </c>
      <c r="G223" t="inlineStr">
        <is>
          <t>reference product</t>
        </is>
      </c>
      <c r="H223" t="inlineStr">
        <is>
          <t>comment</t>
        </is>
      </c>
      <c r="I223" t="inlineStr">
        <is>
          <t>product</t>
        </is>
      </c>
    </row>
    <row r="224">
      <c r="A224" t="inlineStr">
        <is>
          <t xml:space="preserve">battery module production, home storage, Li-ion, LFP, 14.4 kWh</t>
        </is>
      </c>
      <c r="B224">
        <v>1</v>
      </c>
      <c r="C224" t="inlineStr">
        <is>
          <t>RER</t>
        </is>
      </c>
      <c r="D224" t="inlineStr">
        <is>
          <t>unit</t>
        </is>
      </c>
      <c r="F224" t="inlineStr">
        <is>
          <t>production</t>
        </is>
      </c>
      <c r="G224" t="inlineStr">
        <is>
          <t xml:space="preserve">battery module, home storage, Li-ion, LFP, 14.4 kWh</t>
        </is>
      </c>
      <c r="I224" t="inlineStr">
        <is>
          <t xml:space="preserve">battery module, home storage, Li-ion, LFP, 14.4 kWh</t>
        </is>
      </c>
    </row>
    <row r="225">
      <c r="A225" t="inlineStr">
        <is>
          <t>battery module system production</t>
        </is>
      </c>
      <c r="B225">
        <v>6.3504000000000005</v>
      </c>
      <c r="C225" t="inlineStr">
        <is>
          <t>RER</t>
        </is>
      </c>
      <c r="D225" t="inlineStr">
        <is>
          <t>kilogram</t>
        </is>
      </c>
      <c r="F225" t="inlineStr">
        <is>
          <t>technosphere</t>
        </is>
      </c>
      <c r="G225" t="inlineStr">
        <is>
          <t>battery module system for home storage system module</t>
        </is>
      </c>
      <c r="I225" t="inlineStr">
        <is>
          <t>battery module system for home storage system module</t>
        </is>
      </c>
    </row>
    <row r="226">
      <c r="A226" t="inlineStr">
        <is>
          <t>market for battery cell, Li-ion, LFP</t>
        </is>
      </c>
      <c r="B226">
        <v>90.0</v>
      </c>
      <c r="C226" t="inlineStr">
        <is>
          <t>GLO</t>
        </is>
      </c>
      <c r="D226" t="inlineStr">
        <is>
          <t>kilogram</t>
        </is>
      </c>
      <c r="F226" t="inlineStr">
        <is>
          <t>technosphere</t>
        </is>
      </c>
      <c r="G226" t="inlineStr">
        <is>
          <t>battery cell, Li-ion, LFP</t>
        </is>
      </c>
      <c r="I226" t="inlineStr">
        <is>
          <t>battery cell, Li-ion, LFP</t>
        </is>
      </c>
    </row>
    <row r="227">
      <c r="A227" t="inlineStr">
        <is>
          <t>market for metal working, average for steel product manufacturing</t>
        </is>
      </c>
      <c r="B227">
        <v>54.83520000000001</v>
      </c>
      <c r="C227" t="inlineStr">
        <is>
          <t>GLO</t>
        </is>
      </c>
      <c r="D227" t="inlineStr">
        <is>
          <t>kilogram</t>
        </is>
      </c>
      <c r="F227" t="inlineStr">
        <is>
          <t>technosphere</t>
        </is>
      </c>
      <c r="G227" t="inlineStr">
        <is>
          <t>metal working, average for steel product manufacturing</t>
        </is>
      </c>
      <c r="I227" t="inlineStr">
        <is>
          <t>metal working, average for steel product manufacturing</t>
        </is>
      </c>
    </row>
    <row r="228">
      <c r="A228" t="inlineStr">
        <is>
          <t>market for steel, low-alloyed</t>
        </is>
      </c>
      <c r="B228">
        <v>54.83520000000001</v>
      </c>
      <c r="C228" t="inlineStr">
        <is>
          <t>GLO</t>
        </is>
      </c>
      <c r="D228" t="inlineStr">
        <is>
          <t>kilogram</t>
        </is>
      </c>
      <c r="F228" t="inlineStr">
        <is>
          <t>technosphere</t>
        </is>
      </c>
      <c r="G228" t="inlineStr">
        <is>
          <t>steel, low-alloyed</t>
        </is>
      </c>
      <c r="I228" t="inlineStr">
        <is>
          <t>steel, low-alloyed</t>
        </is>
      </c>
    </row>
    <row r="229">
      <c r="A229" t="inlineStr">
        <is>
          <t>market for transport, freight train</t>
        </is>
      </c>
      <c r="B229">
        <v>151.1856</v>
      </c>
      <c r="C229" t="inlineStr">
        <is>
          <t>Europe without Switzerland</t>
        </is>
      </c>
      <c r="D229" t="inlineStr">
        <is>
          <t>ton kilometer</t>
        </is>
      </c>
      <c r="F229" t="inlineStr">
        <is>
          <t>technosphere</t>
        </is>
      </c>
      <c r="G229" t="inlineStr">
        <is>
          <t>transport, freight train</t>
        </is>
      </c>
      <c r="I229" t="inlineStr">
        <is>
          <t>transport, freight train</t>
        </is>
      </c>
    </row>
    <row r="230">
      <c r="A230" t="inlineStr">
        <is>
          <t>market for transport, freight, lorry 16-32 metric ton, EURO5</t>
        </is>
      </c>
      <c r="B230">
        <v>151.1856</v>
      </c>
      <c r="C230" t="inlineStr">
        <is>
          <t>RER</t>
        </is>
      </c>
      <c r="D230" t="inlineStr">
        <is>
          <t>ton kilometer</t>
        </is>
      </c>
      <c r="F230" t="inlineStr">
        <is>
          <t>technosphere</t>
        </is>
      </c>
      <c r="G230" t="inlineStr">
        <is>
          <t>transport, freight, lorry 16-32 metric ton, EURO5</t>
        </is>
      </c>
      <c r="I230" t="inlineStr">
        <is>
          <t>transport, freight, lorry 16-32 metric ton, EURO5</t>
        </is>
      </c>
    </row>
    <row r="231">
      <c r="A231" t="inlineStr">
        <is>
          <t>market for transport, freight, sea, container ship</t>
        </is>
      </c>
      <c r="B231">
        <v>1209.4848</v>
      </c>
      <c r="C231" t="inlineStr">
        <is>
          <t>GLO</t>
        </is>
      </c>
      <c r="D231" t="inlineStr">
        <is>
          <t>ton kilometer</t>
        </is>
      </c>
      <c r="F231" t="inlineStr">
        <is>
          <t>technosphere</t>
        </is>
      </c>
      <c r="G231" t="inlineStr">
        <is>
          <t>transport, freight, sea, container ship</t>
        </is>
      </c>
      <c r="I231" t="inlineStr">
        <is>
          <t>transport, freight, sea, container ship</t>
        </is>
      </c>
    </row>
    <row r="234">
      <c r="A234" t="inlineStr">
        <is>
          <t>Activity</t>
        </is>
      </c>
      <c r="B234" t="inlineStr">
        <is>
          <t xml:space="preserve">battery module production, home storage, Li-ion, NMC811, 19.5 kWh</t>
        </is>
      </c>
    </row>
    <row r="235">
      <c r="A235" t="inlineStr">
        <is>
          <t>location</t>
        </is>
      </c>
      <c r="B235" t="inlineStr">
        <is>
          <t>RER</t>
        </is>
      </c>
    </row>
    <row r="236">
      <c r="A236" t="inlineStr">
        <is>
          <t>production amount</t>
        </is>
      </c>
      <c r="B236">
        <v>1</v>
      </c>
    </row>
    <row r="237">
      <c r="A237" t="inlineStr">
        <is>
          <t>reference product</t>
        </is>
      </c>
      <c r="B237" t="inlineStr">
        <is>
          <t xml:space="preserve">battery module, home storage, Li-ion, NMC811, 19.5 kWh</t>
        </is>
      </c>
    </row>
    <row r="238">
      <c r="A238" t="inlineStr">
        <is>
          <t>unit</t>
        </is>
      </c>
      <c r="B238" t="inlineStr">
        <is>
          <t>unit</t>
        </is>
      </c>
    </row>
    <row r="239">
      <c r="A239" t="inlineStr">
        <is>
          <t>source</t>
        </is>
      </c>
      <c r="B239" t="inlineStr">
        <is>
          <t>Jasper etal2022 DOI10.1016/j.jclepro.2022.132899,public author PDF https://publikationen.bibliothek.kit.edu/1000148250/149191979 . Existing accepted LFP160Wh/kg andNMC811280Wh/kg cell references in chemistry-specific capacity markets; this is an explicit adapted engineering variant,not reproduction of the measured source140/190Wh/kg pouch cells.</t>
        </is>
      </c>
    </row>
    <row r="240">
      <c r="A240" t="inlineStr">
        <is>
          <t>comment</t>
        </is>
      </c>
      <c r="B240" t="inlineStr">
        <is>
          <t xml:space="preserve">Nomenclature revision, 2026-10-19. Former activity name: cell modules, home 19.5kWh NMC811, capacity-consistent reference. Former reference product: cell modules, home 19.5kWh NMC811, capacity-consistent reference. Activity/product labels and supplier references only; coefficients, formulas, uncertainty, declared output and unit are unchanged. Original engineering assumptions, functional-unit basis and limitations remain below.
APPROVED HOME-STORAGE COMPONENT LIFE BUDGETS, issue67,2026-10-18. Jasper etal2022 DOI10.1016/j.jclepro.2022.132899 Table3,minimum/maximum calendar and cyclelife. Recompute for retained13years/2500cycles,NOT copy published20year/7300cycle factors. For eachcomponent selecthigh/lowmanufacturedsets=max(1,systemyears/componentyears,systemcycles/componentcycles),usingpairedlow/highlife endpoints,then midpointsets as engineeringexpectedlifetimeattribution. Clampatonebecauseanewcompleteinstalledsetisrequired; no assumedreusecredit for residualcomponentlife. This is not a probabilisticfailure distribution or literal fractionalinstallation. ReferenceLFPcellsets1,NMC811cellsets1.125;charger/inverter/controls/moduleBMSsets1.3125;cables1.15;housing/module steel1.0. Sourcepublished1.96/2.43cell and1.92electronics factors refer20years/7300cycles andmustnot be blindly transferred. Each home system activity now means an installeddesignplusits13yearmanufacturingreplacementbudget; labelsnominalkWhstayinstalledcapacity,not manufacturedcapacitysum. Multiplycellmanufactureonly bycellfactor within newunitmodule; moduleBMS follows electronicsfactor,modulesteel/rolling remainoneinstalledset. Externalsteelhousingremainsone,externalcontroller/electronics,charger,inverter andcablesfollowtheir own factors. Do not multiplythewholemodule anditscellsagain or buyanotherfullhome systemfor inverterfailure. Increasecomponentfreight withactualmanufacturedcomponentmass; retaininitialassemblyelectricityonce because source replacementassemblyenergy is unspecified,which remains a coveragegap. Existing servicewrapperstays1/consumerlifetimekWh fromissue66; operatingelectricity,DoD,nominalinstalledcapacity andcalendarhorizonunchanged. Transportation is at original routeintensities; packaging/maintenance labour and returntransport are gaps. Device-specific treatment/recycling is not invented; no recoverycredits orprimarysecondaryshares added. Future electronicsdurability is a sourceassumption,not verifiedmodernfleetlife. Sensitivityuseslistedmin/maxsets andsourcecalendar/cyclelimits. Numericreference:{"LFP":{"min_sets":1,"max_sets":1,"reference_sets":1.0},"NMC811":{"min_sets":1,"max_sets":1.25,"reference_sets":1.125},"electronics":{"min_sets":1,"max_sets":1.625,"reference_sets":1.3125},"inverter":{"min_sets":1,"max_sets":1.625,"reference_sets":1.3125},"charger":{"min_sets":1,"max_sets":1.625,"reference_sets":1.3125},"cable":{"min_sets":1,"max_sets":1.3,"reference_sets":1.15},"housing":{"min_sets":1,"max_sets":1,"reference_sets":1.0}}
PREVIOUS NOTES (retained as history; the correction above takes precedence):
APPROVED HOME-STORAGE CELL/CAPACITY RECONCILIATION, issue65,2026-10-18. Jasper etal2022 DOI10.1016/j.jclepro.2022.132899,public author PDF https://publikationen.bibliothek.kit.edu/1000148250/149191979 . Existing accepted LFP160Wh/kg andNMC811280Wh/kg cell references in chemistry-specific capacity markets; this is an explicit adapted engineering variant,not reproduction of the measured source140/190Wh/kg pouch cells. Retain labelled14.4kWhLFP and19.5kWhNMC811 grossnominalcapacity. Previous161.28kgmodule*0.63=101.6064kgcells produces14.224896/19.305216kWh even at copied140/190Wh/kg,and the actually linkedgenericcell reference is different again. Adopt the already accepted chemistry-specific160/280Wh/kg reference,so manufacture90kgLFPcells or69.642857142857kgNMC811cells per installedhome system. This selects a coherent currentcell-reference variant; it is NOT evidence original sourcecapacity or measuredcellmass were wrong. Source-specific Mohr cell inventories and precise pouch geometry remain a comparison gap. Preserve54.8352kgmodule steel,4.8384kg moduleBMS and their existingmanufacturing/transport proxies as fixed engineeringhousing architecture; do not fill releasedcellmass with arbitrarymetal tohold161.28kg. New moduleprovider is oneunit for allinstalledmodules in onehome system,not onekg or onephysicalcell. Retain exactcell supplier/product/location from corrected chemistry hardware provider; nocompletepack or extra centralBMS input. Update freight pernewmodulemanufacturedmass using existingonekg-route intensities,while currentnoncell hardware references remainfixed. Cell manufacture energy is includedupstream,not chargedagain. Original288kgsourcewholeHSS mass and140/190Wh/kgmetadata are historical,not the updatedengineeringvariant; complete noncell component retainedmass/yields are not certified by newmodule closure. ModulebaselineLFP149.6736kg,NMC129.316457142857kg excludesother unchangedHSSperiphery. No source systemlifetime,operatingloss,DoD orreplacement change here; issues66/67 reconcilethose separately. This fixedhomecell-design path does not silently inheritmobile futuredensitylearning. Existing legacykgmoduleprovidersremainavailable forother consumers. No native/runtime edits or recyclingcredits; omitteddevice-specificEOL remains explicitgap.</t>
        </is>
      </c>
    </row>
    <row r="241">
      <c r="A241" t="inlineStr">
        <is>
          <t>Exchanges</t>
        </is>
      </c>
    </row>
    <row r="242">
      <c r="A242" t="inlineStr">
        <is>
          <t>name</t>
        </is>
      </c>
      <c r="B242" t="inlineStr">
        <is>
          <t>amount</t>
        </is>
      </c>
      <c r="C242" t="inlineStr">
        <is>
          <t>location</t>
        </is>
      </c>
      <c r="D242" t="inlineStr">
        <is>
          <t>unit</t>
        </is>
      </c>
      <c r="E242" t="inlineStr">
        <is>
          <t>categories</t>
        </is>
      </c>
      <c r="F242" t="inlineStr">
        <is>
          <t>type</t>
        </is>
      </c>
      <c r="G242" t="inlineStr">
        <is>
          <t>reference product</t>
        </is>
      </c>
      <c r="H242" t="inlineStr">
        <is>
          <t>comment</t>
        </is>
      </c>
      <c r="I242" t="inlineStr">
        <is>
          <t>product</t>
        </is>
      </c>
    </row>
    <row r="243">
      <c r="A243" t="inlineStr">
        <is>
          <t xml:space="preserve">battery module production, home storage, Li-ion, NMC811, 19.5 kWh</t>
        </is>
      </c>
      <c r="B243">
        <v>1</v>
      </c>
      <c r="C243" t="inlineStr">
        <is>
          <t>RER</t>
        </is>
      </c>
      <c r="D243" t="inlineStr">
        <is>
          <t>unit</t>
        </is>
      </c>
      <c r="F243" t="inlineStr">
        <is>
          <t>production</t>
        </is>
      </c>
      <c r="G243" t="inlineStr">
        <is>
          <t xml:space="preserve">battery module, home storage, Li-ion, NMC811, 19.5 kWh</t>
        </is>
      </c>
      <c r="I243" t="inlineStr">
        <is>
          <t xml:space="preserve">battery module, home storage, Li-ion, NMC811, 19.5 kWh</t>
        </is>
      </c>
    </row>
    <row r="244">
      <c r="A244" t="inlineStr">
        <is>
          <t>battery module system production</t>
        </is>
      </c>
      <c r="B244">
        <v>6.3504000000000005</v>
      </c>
      <c r="C244" t="inlineStr">
        <is>
          <t>RER</t>
        </is>
      </c>
      <c r="D244" t="inlineStr">
        <is>
          <t>kilogram</t>
        </is>
      </c>
      <c r="F244" t="inlineStr">
        <is>
          <t>technosphere</t>
        </is>
      </c>
      <c r="G244" t="inlineStr">
        <is>
          <t>battery module system for home storage system module</t>
        </is>
      </c>
      <c r="I244" t="inlineStr">
        <is>
          <t>battery module system for home storage system module</t>
        </is>
      </c>
    </row>
    <row r="245">
      <c r="A245" t="inlineStr">
        <is>
          <t xml:space="preserve">battery cell production, Li-ion, NMC811, silicon-graphite anode</t>
        </is>
      </c>
      <c r="B245">
        <v>78.34821428571428</v>
      </c>
      <c r="C245" t="inlineStr">
        <is>
          <t>GLO</t>
        </is>
      </c>
      <c r="D245" t="inlineStr">
        <is>
          <t>kilogram</t>
        </is>
      </c>
      <c r="F245" t="inlineStr">
        <is>
          <t>technosphere</t>
        </is>
      </c>
      <c r="G245" t="inlineStr">
        <is>
          <t xml:space="preserve">battery cell, Li-ion, NMC811, silicon-graphite anode</t>
        </is>
      </c>
      <c r="I245" t="inlineStr">
        <is>
          <t xml:space="preserve">battery cell, Li-ion, NMC811, silicon-graphite anode</t>
        </is>
      </c>
    </row>
    <row r="246">
      <c r="A246" t="inlineStr">
        <is>
          <t>market for metal working, average for steel product manufacturing</t>
        </is>
      </c>
      <c r="B246">
        <v>54.83520000000001</v>
      </c>
      <c r="C246" t="inlineStr">
        <is>
          <t>GLO</t>
        </is>
      </c>
      <c r="D246" t="inlineStr">
        <is>
          <t>kilogram</t>
        </is>
      </c>
      <c r="F246" t="inlineStr">
        <is>
          <t>technosphere</t>
        </is>
      </c>
      <c r="G246" t="inlineStr">
        <is>
          <t>metal working, average for steel product manufacturing</t>
        </is>
      </c>
      <c r="I246" t="inlineStr">
        <is>
          <t>metal working, average for steel product manufacturing</t>
        </is>
      </c>
    </row>
    <row r="247">
      <c r="A247" t="inlineStr">
        <is>
          <t>market for steel, low-alloyed</t>
        </is>
      </c>
      <c r="B247">
        <v>54.83520000000001</v>
      </c>
      <c r="C247" t="inlineStr">
        <is>
          <t>GLO</t>
        </is>
      </c>
      <c r="D247" t="inlineStr">
        <is>
          <t>kilogram</t>
        </is>
      </c>
      <c r="F247" t="inlineStr">
        <is>
          <t>technosphere</t>
        </is>
      </c>
      <c r="G247" t="inlineStr">
        <is>
          <t>steel, low-alloyed</t>
        </is>
      </c>
      <c r="I247" t="inlineStr">
        <is>
          <t>steel, low-alloyed</t>
        </is>
      </c>
    </row>
    <row r="248">
      <c r="A248" t="inlineStr">
        <is>
          <t>market for transport, freight train</t>
        </is>
      </c>
      <c r="B248">
        <v>139.53381428571427</v>
      </c>
      <c r="C248" t="inlineStr">
        <is>
          <t>Europe without Switzerland</t>
        </is>
      </c>
      <c r="D248" t="inlineStr">
        <is>
          <t>ton kilometer</t>
        </is>
      </c>
      <c r="F248" t="inlineStr">
        <is>
          <t>technosphere</t>
        </is>
      </c>
      <c r="G248" t="inlineStr">
        <is>
          <t>transport, freight train</t>
        </is>
      </c>
      <c r="I248" t="inlineStr">
        <is>
          <t>transport, freight train</t>
        </is>
      </c>
    </row>
    <row r="249">
      <c r="A249" t="inlineStr">
        <is>
          <t>market for transport, freight, lorry 16-32 metric ton, EURO5</t>
        </is>
      </c>
      <c r="B249">
        <v>139.53381428571427</v>
      </c>
      <c r="C249" t="inlineStr">
        <is>
          <t>RER</t>
        </is>
      </c>
      <c r="D249" t="inlineStr">
        <is>
          <t>ton kilometer</t>
        </is>
      </c>
      <c r="F249" t="inlineStr">
        <is>
          <t>technosphere</t>
        </is>
      </c>
      <c r="G249" t="inlineStr">
        <is>
          <t>transport, freight, lorry 16-32 metric ton, EURO5</t>
        </is>
      </c>
      <c r="I249" t="inlineStr">
        <is>
          <t>transport, freight, lorry 16-32 metric ton, EURO5</t>
        </is>
      </c>
    </row>
    <row r="250">
      <c r="A250" t="inlineStr">
        <is>
          <t>market for transport, freight, sea, container ship</t>
        </is>
      </c>
      <c r="B250">
        <v>1116.2705142857142</v>
      </c>
      <c r="C250" t="inlineStr">
        <is>
          <t>GLO</t>
        </is>
      </c>
      <c r="D250" t="inlineStr">
        <is>
          <t>ton kilometer</t>
        </is>
      </c>
      <c r="F250" t="inlineStr">
        <is>
          <t>technosphere</t>
        </is>
      </c>
      <c r="G250" t="inlineStr">
        <is>
          <t>transport, freight, sea, container ship</t>
        </is>
      </c>
      <c r="I250" t="inlineStr">
        <is>
          <t>transport, freight, sea, container ship</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Romain Sacchi</cp:lastModifiedBy>
  <dcterms:created xsi:type="dcterms:W3CDTF">2023-09-24T13:37:23Z</dcterms:created>
  <dcterms:modified xsi:type="dcterms:W3CDTF">2024-08-16T14:49:44Z</dcterms:modified>
</cp:coreProperties>
</file>