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680" yWindow="760" windowWidth="25800" windowHeight="1888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0.0000"/>
    <numFmt numFmtId="165" formatCode="0.000"/>
    <numFmt numFmtId="166" formatCode="0.000000"/>
    <numFmt numFmtId="167" formatCode="0.0000000"/>
  </numFmts>
  <fonts count="3">
    <font>
      <name val="Calibri"/>
      <family val="2"/>
      <color theme="1"/>
      <sz val="11"/>
      <scheme val="minor"/>
    </font>
    <font>
      <name val="Calibri"/>
      <family val="2"/>
      <b val="1"/>
      <color theme="1"/>
      <sz val="11"/>
      <scheme val="minor"/>
    </font>
    <font>
      <name val="Calibri"/>
      <family val="2"/>
      <b val="1"/>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11"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7" fontId="0" fillId="0" borderId="0" pivotButton="0" quotePrefix="0" xfId="0"/>
    <xf numFmtId="166"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M56"/>
  <sheetViews>
    <sheetView tabSelected="1" topLeftCell="A21" workbookViewId="0">
      <selection activeCell="B31" sqref="B31"/>
    </sheetView>
  </sheetViews>
  <sheetFormatPr baseColWidth="10" defaultColWidth="8.83203125" defaultRowHeight="15"/>
  <cols>
    <col width="71.5" customWidth="1" min="1" max="1"/>
    <col width="12" bestFit="1" customWidth="1" min="2" max="2"/>
  </cols>
  <sheetData>
    <row r="1">
      <c r="A1" s="1" t="inlineStr">
        <is>
          <t>Database</t>
        </is>
      </c>
      <c r="B1" s="1" t="inlineStr">
        <is>
          <t>integrated biomass gasification power</t>
        </is>
      </c>
    </row>
    <row r="2"/>
    <row r="3" ht="16" customHeight="1">
      <c r="A3" s="2" t="inlineStr">
        <is>
          <t>Activity</t>
        </is>
      </c>
      <c r="B3" s="2" t="inlineStr">
        <is>
          <t>electricity production, at biomass-fired IGCC power plant</t>
        </is>
      </c>
    </row>
    <row r="4">
      <c r="A4" t="inlineStr">
        <is>
          <t>location</t>
        </is>
      </c>
      <c r="B4" t="inlineStr">
        <is>
          <t>RER</t>
        </is>
      </c>
    </row>
    <row r="5">
      <c r="A5" t="inlineStr">
        <is>
          <t>production amount</t>
        </is>
      </c>
      <c r="B5" t="n">
        <v>1</v>
      </c>
    </row>
    <row r="6">
      <c r="A6" t="inlineStr">
        <is>
          <t>reference product</t>
        </is>
      </c>
      <c r="B6" t="inlineStr">
        <is>
          <t>electricity, high voltage</t>
        </is>
      </c>
    </row>
    <row r="7">
      <c r="A7" t="inlineStr">
        <is>
          <t>type</t>
        </is>
      </c>
      <c r="B7" t="inlineStr">
        <is>
          <t>process</t>
        </is>
      </c>
    </row>
    <row r="8">
      <c r="A8" t="inlineStr">
        <is>
          <t>unit</t>
        </is>
      </c>
      <c r="B8" t="inlineStr">
        <is>
          <t>kilowatt hour</t>
        </is>
      </c>
    </row>
    <row r="9">
      <c r="A9" t="inlineStr">
        <is>
          <t>source</t>
        </is>
      </c>
      <c r="B9" t="inlineStr">
        <is>
          <t>Andrei Briones-Hidrovo, José Copa, Luís A.C. Tarelho, Cátia Gonçalves, Tamíris Pacheco da Costa, Ana Cláudia Dias, Environmental and energy performance of residual forest biomass for electricity generation: Gasification vs. combustion,
Journal of Cleaner Production, Volume 289, 2021, 125680, ISSN 0959-6526, https://doi.org/10.1016/j.jclepro.2020.125680.</t>
        </is>
      </c>
    </row>
    <row r="10">
      <c r="A10" t="inlineStr">
        <is>
          <t>comment</t>
        </is>
      </c>
      <c r="B10" t="inlineStr">
        <is>
          <t>The study is originally tailored to portuguese conditions, using Portugal-grown eucalyptus as biomass feedstock. The plant has a power output of 12.5 MW.
The construciton, maintenance and operation of the plant are not from this study, but from Volkart et la, 2013. The required amounts for those have been adjusted to 12.5 MW.
All the inventory data regarding the RFB direct gasification process were obtained from experiments carried out in a pilot-scale gasification installation running at the University of Aveiro, Portugal (Pio et al., 2017). However, data are scaled up in order to obtain the same power output of the EG-CRC power plant. At the pilot scale, the RFB is introduced in the gasification chamber by means of a screw feeder and is converted at an average temperature of 785 °C in a bubbling fluidized bed reactor of 80 kWth, operated at atmospheric pressure and under auto-thermal regime, thus, direct gasification using atmospheric air. Note that this study considers an electricial efficiency of 19%, which is very low compared to the rest of the literature. We scaled up this efficiency to 35%, a central estimate when considering other studies: Carpentieri et al. (2005), Puy et al. (2010), Siegl et al. (2011), Guest et al. (2011), Steubing et al. (2011), Nguyen et al. (2013), Jäppinen et al. (2014), Wang et al. (2014), Paengjuntuek et al. (2015), Cambero et al. (2015), Yang et al. (2018) and Zang et al. (2020).</t>
        </is>
      </c>
    </row>
    <row r="11" ht="16" customHeight="1">
      <c r="A11" s="2" t="inlineStr">
        <is>
          <t>Exchanges</t>
        </is>
      </c>
    </row>
    <row r="12">
      <c r="A12" t="inlineStr">
        <is>
          <t>name</t>
        </is>
      </c>
      <c r="B12" t="inlineStr">
        <is>
          <t>amount</t>
        </is>
      </c>
      <c r="C12" t="inlineStr">
        <is>
          <t>location</t>
        </is>
      </c>
      <c r="D12" t="inlineStr">
        <is>
          <t>unit</t>
        </is>
      </c>
      <c r="E12" t="inlineStr">
        <is>
          <t>categories</t>
        </is>
      </c>
      <c r="F12" t="inlineStr">
        <is>
          <t>type</t>
        </is>
      </c>
      <c r="G12" t="inlineStr">
        <is>
          <t>uncertainty type</t>
        </is>
      </c>
      <c r="H12" t="inlineStr">
        <is>
          <t>loc</t>
        </is>
      </c>
      <c r="I12" t="inlineStr">
        <is>
          <t>scale</t>
        </is>
      </c>
      <c r="J12" t="inlineStr">
        <is>
          <t>allocation</t>
        </is>
      </c>
      <c r="K12" t="inlineStr">
        <is>
          <t>comment</t>
        </is>
      </c>
      <c r="L12" t="inlineStr">
        <is>
          <t>negative</t>
        </is>
      </c>
      <c r="M12" t="inlineStr">
        <is>
          <t>reference product</t>
        </is>
      </c>
    </row>
    <row r="13">
      <c r="A13" t="inlineStr">
        <is>
          <t>electricity production, at biomass-fired IGCC power plant</t>
        </is>
      </c>
      <c r="B13" t="n">
        <v>1</v>
      </c>
      <c r="C13" t="inlineStr">
        <is>
          <t>RER</t>
        </is>
      </c>
      <c r="D13" t="inlineStr">
        <is>
          <t>kilowatt hour</t>
        </is>
      </c>
      <c r="E13" t="inlineStr">
        <is>
          <t>CCS Europe 2025::Wood</t>
        </is>
      </c>
      <c r="F13" t="inlineStr">
        <is>
          <t>production</t>
        </is>
      </c>
      <c r="J13" t="n">
        <v>100</v>
      </c>
      <c r="M13" t="inlineStr">
        <is>
          <t>electricity, high voltage</t>
        </is>
      </c>
    </row>
    <row r="14">
      <c r="A14" t="inlineStr">
        <is>
          <t>Construction, BIGCC power plant 450MW</t>
        </is>
      </c>
      <c r="B14" s="3">
        <f>1/(450000*8760*25)</f>
        <v>1.0147133434804668E-11</v>
      </c>
      <c r="C14" t="inlineStr">
        <is>
          <t>RER</t>
        </is>
      </c>
      <c r="D14" t="inlineStr">
        <is>
          <t>unit</t>
        </is>
      </c>
      <c r="E14" t="inlineStr">
        <is>
          <t>Materials/fuels</t>
        </is>
      </c>
      <c r="F14" t="inlineStr">
        <is>
          <t>technosphere</t>
        </is>
      </c>
      <c r="G14" t="n">
        <v>2</v>
      </c>
      <c r="H14" t="n">
        <v>-26.74725357575995</v>
      </c>
      <c r="I14" t="n">
        <v>0.5493061443340548</v>
      </c>
      <c r="K14" t="inlineStr">
        <is>
          <t>(,,,,,);</t>
        </is>
      </c>
      <c r="L14" t="n">
        <v>0</v>
      </c>
      <c r="M14" t="inlineStr">
        <is>
          <t>Construction, BIGCC power plant 450MW</t>
        </is>
      </c>
    </row>
    <row r="15">
      <c r="A15" t="inlineStr">
        <is>
          <t>Dismantling, BIGCC power plant 450MW</t>
        </is>
      </c>
      <c r="B15" s="3">
        <f>1/(450000*8760*25)</f>
        <v>1.0147133434804668E-11</v>
      </c>
      <c r="C15" t="inlineStr">
        <is>
          <t>RER</t>
        </is>
      </c>
      <c r="D15" t="inlineStr">
        <is>
          <t>unit</t>
        </is>
      </c>
      <c r="E15" t="inlineStr">
        <is>
          <t>Materials/fuels</t>
        </is>
      </c>
      <c r="F15" t="inlineStr">
        <is>
          <t>technosphere</t>
        </is>
      </c>
      <c r="G15" t="n">
        <v>2</v>
      </c>
      <c r="H15" t="n">
        <v>-26.74725357575995</v>
      </c>
      <c r="I15" t="n">
        <v>0.5493061443340548</v>
      </c>
      <c r="K15" t="inlineStr">
        <is>
          <t>(,,,,,);</t>
        </is>
      </c>
      <c r="L15" t="n">
        <v>0</v>
      </c>
      <c r="M15" t="inlineStr">
        <is>
          <t>Dismantling, BIGCC power plant 450MW</t>
        </is>
      </c>
    </row>
    <row r="16">
      <c r="A16" t="inlineStr">
        <is>
          <t>market for wood chips, wet, measured as dry mass</t>
        </is>
      </c>
      <c r="B16" s="5">
        <f>(3.6/35%)/20</f>
        <v>0.51428571428571435</v>
      </c>
      <c r="C16" t="inlineStr">
        <is>
          <t>Europe without Switzerland</t>
        </is>
      </c>
      <c r="D16" t="inlineStr">
        <is>
          <t>kilogram</t>
        </is>
      </c>
      <c r="F16" t="inlineStr">
        <is>
          <t>technosphere</t>
        </is>
      </c>
      <c r="M16" t="inlineStr">
        <is>
          <t>wood chips, wet, measured as dry mass</t>
        </is>
      </c>
    </row>
    <row r="17">
      <c r="A17" t="inlineStr">
        <is>
          <t>market for natural gas, high pressure</t>
        </is>
      </c>
      <c r="B17" t="n">
        <v>0.003</v>
      </c>
      <c r="C17" t="inlineStr">
        <is>
          <t>CH</t>
        </is>
      </c>
      <c r="D17" t="inlineStr">
        <is>
          <t>cubic meter</t>
        </is>
      </c>
      <c r="F17" t="inlineStr">
        <is>
          <t>technosphere</t>
        </is>
      </c>
      <c r="M17" t="inlineStr">
        <is>
          <t>natural gas, high pressure</t>
        </is>
      </c>
    </row>
    <row r="18">
      <c r="A18" t="inlineStr">
        <is>
          <t>market for sand</t>
        </is>
      </c>
      <c r="B18">
        <f>20/1000</f>
        <v>0.02</v>
      </c>
      <c r="C18" t="inlineStr">
        <is>
          <t>CH</t>
        </is>
      </c>
      <c r="D18" t="inlineStr">
        <is>
          <t>kilogram</t>
        </is>
      </c>
      <c r="F18" t="inlineStr">
        <is>
          <t>technosphere</t>
        </is>
      </c>
      <c r="M18" t="inlineStr">
        <is>
          <t>sand</t>
        </is>
      </c>
    </row>
    <row r="19">
      <c r="A19" t="inlineStr">
        <is>
          <t>Supply and refining of waste cooking oil</t>
        </is>
      </c>
      <c r="B19">
        <f>8.12/1000</f>
        <v>8.1199999999999987E-3</v>
      </c>
      <c r="C19" t="inlineStr">
        <is>
          <t>RER</t>
        </is>
      </c>
      <c r="D19" t="inlineStr">
        <is>
          <t>kilogram</t>
        </is>
      </c>
      <c r="F19" t="inlineStr">
        <is>
          <t>technosphere</t>
        </is>
      </c>
      <c r="M19" t="inlineStr">
        <is>
          <t>Waste Cooking Oil</t>
        </is>
      </c>
    </row>
    <row r="20">
      <c r="A20" t="inlineStr">
        <is>
          <t>Nitrogen oxides</t>
        </is>
      </c>
      <c r="B20">
        <f>0.343/1000</f>
        <v>3.4300000000000004E-4</v>
      </c>
      <c r="D20" t="inlineStr">
        <is>
          <t>kilogram</t>
        </is>
      </c>
      <c r="E20" t="inlineStr">
        <is>
          <t>air</t>
        </is>
      </c>
      <c r="F20" t="inlineStr">
        <is>
          <t>biosphere</t>
        </is>
      </c>
    </row>
    <row r="21">
      <c r="A21" t="inlineStr">
        <is>
          <t>Sulfur dioxide</t>
        </is>
      </c>
      <c r="B21">
        <f>0.0006/1000</f>
        <v>5.9999999999999997E-7</v>
      </c>
      <c r="D21" t="inlineStr">
        <is>
          <t>kilogram</t>
        </is>
      </c>
      <c r="E21" t="inlineStr">
        <is>
          <t>air</t>
        </is>
      </c>
      <c r="F21" t="inlineStr">
        <is>
          <t>biosphere</t>
        </is>
      </c>
    </row>
    <row r="22">
      <c r="A22" t="inlineStr">
        <is>
          <t>Methane, non-fossil</t>
        </is>
      </c>
      <c r="B22">
        <f>0.004/1000</f>
        <v>3.9999999999999998E-6</v>
      </c>
      <c r="D22" t="inlineStr">
        <is>
          <t>kilogram</t>
        </is>
      </c>
      <c r="E22" t="inlineStr">
        <is>
          <t>air</t>
        </is>
      </c>
      <c r="F22" t="inlineStr">
        <is>
          <t>biosphere</t>
        </is>
      </c>
    </row>
    <row r="23">
      <c r="A23" t="inlineStr">
        <is>
          <t>Carbon dioxide, fossil</t>
        </is>
      </c>
      <c r="B23">
        <f>7.182/1000</f>
        <v>7.182E-3</v>
      </c>
      <c r="D23" t="inlineStr">
        <is>
          <t>kilogram</t>
        </is>
      </c>
      <c r="E23" t="inlineStr">
        <is>
          <t>air</t>
        </is>
      </c>
      <c r="F23" t="inlineStr">
        <is>
          <t>biosphere</t>
        </is>
      </c>
    </row>
    <row r="24">
      <c r="A24" t="inlineStr">
        <is>
          <t>Carbon monoxide, fossil</t>
        </is>
      </c>
      <c r="B24">
        <f>0.005/1000</f>
        <v>5.0000000000000004E-6</v>
      </c>
      <c r="D24" t="inlineStr">
        <is>
          <t>kilogram</t>
        </is>
      </c>
      <c r="E24" t="inlineStr">
        <is>
          <t>air</t>
        </is>
      </c>
      <c r="F24" t="inlineStr">
        <is>
          <t>biosphere</t>
        </is>
      </c>
    </row>
    <row r="25">
      <c r="A25" t="inlineStr">
        <is>
          <t>Particulates, &gt; 10 um</t>
        </is>
      </c>
      <c r="B25">
        <f>0.16/1000</f>
        <v>1.6000000000000001E-4</v>
      </c>
      <c r="D25" t="inlineStr">
        <is>
          <t>kilogram</t>
        </is>
      </c>
      <c r="E25" t="inlineStr">
        <is>
          <t>air</t>
        </is>
      </c>
      <c r="F25" t="inlineStr">
        <is>
          <t>biosphere</t>
        </is>
      </c>
    </row>
    <row r="26">
      <c r="A26" t="inlineStr">
        <is>
          <t>Particulates, &gt; 2.5 um, and &lt; 10um</t>
        </is>
      </c>
      <c r="B26">
        <f>0.03/1000</f>
        <v>2.9999999999999997E-5</v>
      </c>
      <c r="D26" t="inlineStr">
        <is>
          <t>kilogram</t>
        </is>
      </c>
      <c r="E26" t="inlineStr">
        <is>
          <t>air</t>
        </is>
      </c>
      <c r="F26" t="inlineStr">
        <is>
          <t>biosphere</t>
        </is>
      </c>
    </row>
    <row r="27">
      <c r="A27" t="inlineStr">
        <is>
          <t>Carbon dioxide, non-fossil</t>
        </is>
      </c>
      <c r="B27" s="4">
        <f>1.81*B16</f>
        <v>0.93085714285714294</v>
      </c>
      <c r="D27" t="inlineStr">
        <is>
          <t>kilogram</t>
        </is>
      </c>
      <c r="E27" t="inlineStr">
        <is>
          <t>air</t>
        </is>
      </c>
      <c r="F27" t="inlineStr">
        <is>
          <t>biosphere</t>
        </is>
      </c>
    </row>
    <row r="28">
      <c r="A28" t="inlineStr">
        <is>
          <t>treatment of inert waste, sanitary landfill</t>
        </is>
      </c>
      <c r="B28">
        <f>(20+28.75+91.6)/1000*-1</f>
        <v>-0.14035</v>
      </c>
      <c r="C28" t="inlineStr">
        <is>
          <t>Europe without Switzerland</t>
        </is>
      </c>
      <c r="D28" t="inlineStr">
        <is>
          <t>kilogram</t>
        </is>
      </c>
      <c r="F28" t="inlineStr">
        <is>
          <t>technosphere</t>
        </is>
      </c>
      <c r="M28" t="inlineStr">
        <is>
          <t>inert waste</t>
        </is>
      </c>
    </row>
    <row r="29"/>
    <row r="30" ht="16" customHeight="1">
      <c r="A30" s="2" t="inlineStr">
        <is>
          <t>Activity</t>
        </is>
      </c>
      <c r="B30" s="2" t="inlineStr">
        <is>
          <t>electricity production, at biomass-fired IGCC power plant, post, pipeline 200km, storage 1000m</t>
        </is>
      </c>
    </row>
    <row r="31">
      <c r="A31" t="inlineStr">
        <is>
          <t>location</t>
        </is>
      </c>
      <c r="B31" t="inlineStr">
        <is>
          <t>RER</t>
        </is>
      </c>
    </row>
    <row r="32">
      <c r="A32" t="inlineStr">
        <is>
          <t>production amount</t>
        </is>
      </c>
      <c r="B32" t="n">
        <v>1</v>
      </c>
    </row>
    <row r="33">
      <c r="A33" t="inlineStr">
        <is>
          <t>reference product</t>
        </is>
      </c>
      <c r="B33" t="inlineStr">
        <is>
          <t>electricity, high voltage</t>
        </is>
      </c>
    </row>
    <row r="34">
      <c r="A34" t="inlineStr">
        <is>
          <t>type</t>
        </is>
      </c>
      <c r="B34" t="inlineStr">
        <is>
          <t>process</t>
        </is>
      </c>
    </row>
    <row r="35">
      <c r="A35" t="inlineStr">
        <is>
          <t>unit</t>
        </is>
      </c>
      <c r="B35" t="inlineStr">
        <is>
          <t>kilowatt hour</t>
        </is>
      </c>
    </row>
    <row r="36">
      <c r="A36" t="inlineStr">
        <is>
          <t>source</t>
        </is>
      </c>
      <c r="B36" t="inlineStr">
        <is>
          <t>Andrei Briones-Hidrovo, José Copa, Luís A.C. Tarelho, Cátia Gonçalves, Tamíris Pacheco da Costa, Ana Cláudia Dias, Environmental and energy performance of residual forest biomass for electricity generation: Gasification vs. combustion, Journal of Cleaner Production, Volume 289, 2021, 125680, ISSN 0959-6526, https://doi.org/10.1016/j.jclepro.2020.125680.</t>
        </is>
      </c>
    </row>
    <row r="37">
      <c r="A37" t="inlineStr">
        <is>
          <t>comment</t>
        </is>
      </c>
      <c r="B37" t="inlineStr">
        <is>
          <t>The study is originally tailored to portuguese conditions, using Portugal-grown eucalyptus as biomass feedstock. The plant has a power output of 12.5 MW.
Also, the original study does not include CCS. This is added from Volkart et al, 2013.
The construction, maintenance and operation of the plant are not from this study, but from Volkart et la, 2013. The required amounts for those have been adjusted to 12.5 MW.
All the inventory data regarding the RFB direct gasification process were obtained from experiments carried out in a pilot-scale gasification installation running at the University of Aveiro, Portugal (Pio et al., 2017). However, data are scaled up in order to obtain the same power output of the EG-CRC power plant. At the pilot scale, the RFB is introduced in the gasification chamber by means of a screw feeder and is converted at an average temperature of 785 °C in a bubbling fluidized bed reactor of 80 kWth, operated at atmospheric pressure and under auto-thermal regime, thus, direct gasification using atmospheric air. Note that this study considers an electricial efficiency of 19%, which is very low compared to the rest of the literature. We scaled up this efficiency to 35%, a central estimate when considering other studies: Carpentieri et al. (2005), Puy et al. (2010), Siegl et al. (2011), Guest et al. (2011), Steubing et al. (2011), Nguyen et al. (2013), Jäppinen et al. (2014), Wang et al. (2014), Paengjuntuek et al. (2015), Cambero et al. (2015), Yang et al. (2018) and Zang et al. (2020). And then, we reduce the efficiency by approximately 10% (ie.., 30% eff.) to reflect the addendum of a CCS unit.</t>
        </is>
      </c>
    </row>
    <row r="38" ht="16" customHeight="1">
      <c r="A38" s="2" t="inlineStr">
        <is>
          <t>Exchanges</t>
        </is>
      </c>
    </row>
    <row r="39">
      <c r="A39" t="inlineStr">
        <is>
          <t>name</t>
        </is>
      </c>
      <c r="B39" t="inlineStr">
        <is>
          <t>amount</t>
        </is>
      </c>
      <c r="C39" t="inlineStr">
        <is>
          <t>location</t>
        </is>
      </c>
      <c r="D39" t="inlineStr">
        <is>
          <t>unit</t>
        </is>
      </c>
      <c r="E39" t="inlineStr">
        <is>
          <t>categories</t>
        </is>
      </c>
      <c r="F39" t="inlineStr">
        <is>
          <t>type</t>
        </is>
      </c>
      <c r="G39" t="inlineStr">
        <is>
          <t>uncertainty type</t>
        </is>
      </c>
      <c r="H39" t="inlineStr">
        <is>
          <t>loc</t>
        </is>
      </c>
      <c r="I39" t="inlineStr">
        <is>
          <t>scale</t>
        </is>
      </c>
      <c r="J39" t="inlineStr">
        <is>
          <t>allocation</t>
        </is>
      </c>
      <c r="K39" t="inlineStr">
        <is>
          <t>comment</t>
        </is>
      </c>
      <c r="L39" t="inlineStr">
        <is>
          <t>negative</t>
        </is>
      </c>
      <c r="M39" t="inlineStr">
        <is>
          <t>reference product</t>
        </is>
      </c>
    </row>
    <row r="40">
      <c r="A40" t="inlineStr">
        <is>
          <t>electricity production, at biomass-fired IGCC power plant, post, pipeline 200km, storage 1000m</t>
        </is>
      </c>
      <c r="B40" t="n">
        <v>1</v>
      </c>
      <c r="C40" t="inlineStr">
        <is>
          <t>RER</t>
        </is>
      </c>
      <c r="D40" t="inlineStr">
        <is>
          <t>kilowatt hour</t>
        </is>
      </c>
      <c r="E40" t="inlineStr">
        <is>
          <t>CCS Europe 2025::Wood</t>
        </is>
      </c>
      <c r="F40" t="inlineStr">
        <is>
          <t>production</t>
        </is>
      </c>
      <c r="J40" t="n">
        <v>100</v>
      </c>
      <c r="M40" t="inlineStr">
        <is>
          <t>electricity, high voltage</t>
        </is>
      </c>
    </row>
    <row r="41">
      <c r="A41" t="inlineStr">
        <is>
          <t>Construction, BIGCC power plant 450MW</t>
        </is>
      </c>
      <c r="B41" s="3">
        <f>1/(450000*8760*25)</f>
        <v>1.0147133434804668E-11</v>
      </c>
      <c r="C41" t="inlineStr">
        <is>
          <t>RER</t>
        </is>
      </c>
      <c r="D41" t="inlineStr">
        <is>
          <t>unit</t>
        </is>
      </c>
      <c r="E41" t="inlineStr">
        <is>
          <t>Materials/fuels</t>
        </is>
      </c>
      <c r="F41" t="inlineStr">
        <is>
          <t>technosphere</t>
        </is>
      </c>
      <c r="G41" t="n">
        <v>2</v>
      </c>
      <c r="H41" t="n">
        <v>-26.74725357575995</v>
      </c>
      <c r="I41" t="n">
        <v>0.5493061443340548</v>
      </c>
      <c r="K41" t="inlineStr">
        <is>
          <t>(,,,,,);</t>
        </is>
      </c>
      <c r="L41" t="n">
        <v>0</v>
      </c>
      <c r="M41" t="inlineStr">
        <is>
          <t>Construction, BIGCC power plant 450MW</t>
        </is>
      </c>
    </row>
    <row r="42">
      <c r="A42" t="inlineStr">
        <is>
          <t>Dismantling, BIGCC power plant 450MW</t>
        </is>
      </c>
      <c r="B42" s="3">
        <f>1/(450000*8760*25)</f>
        <v>1.0147133434804668E-11</v>
      </c>
      <c r="C42" t="inlineStr">
        <is>
          <t>RER</t>
        </is>
      </c>
      <c r="D42" t="inlineStr">
        <is>
          <t>unit</t>
        </is>
      </c>
      <c r="E42" t="inlineStr">
        <is>
          <t>Materials/fuels</t>
        </is>
      </c>
      <c r="F42" t="inlineStr">
        <is>
          <t>technosphere</t>
        </is>
      </c>
      <c r="G42" t="n">
        <v>2</v>
      </c>
      <c r="H42" t="n">
        <v>-26.74725357575995</v>
      </c>
      <c r="I42" t="n">
        <v>0.5493061443340548</v>
      </c>
      <c r="K42" t="inlineStr">
        <is>
          <t>(,,,,,);</t>
        </is>
      </c>
      <c r="L42" t="n">
        <v>0</v>
      </c>
      <c r="M42" t="inlineStr">
        <is>
          <t>Dismantling, BIGCC power plant 450MW</t>
        </is>
      </c>
    </row>
    <row r="43">
      <c r="A43" t="inlineStr">
        <is>
          <t>market for wood chips, wet, measured as dry mass</t>
        </is>
      </c>
      <c r="B43" s="5">
        <f>(3.6/30%)/20</f>
        <v>0.6</v>
      </c>
      <c r="C43" t="inlineStr">
        <is>
          <t>Europe without Switzerland</t>
        </is>
      </c>
      <c r="D43" t="inlineStr">
        <is>
          <t>kilogram</t>
        </is>
      </c>
      <c r="F43" t="inlineStr">
        <is>
          <t>technosphere</t>
        </is>
      </c>
      <c r="M43" t="inlineStr">
        <is>
          <t>wood chips, wet, measured as dry mass</t>
        </is>
      </c>
    </row>
    <row r="44">
      <c r="A44" t="inlineStr">
        <is>
          <t>market for natural gas, high pressure</t>
        </is>
      </c>
      <c r="B44" s="8">
        <f>B17*($B$43/$B$16)</f>
        <v>3.4999999999999996E-3</v>
      </c>
      <c r="C44" t="inlineStr">
        <is>
          <t>CH</t>
        </is>
      </c>
      <c r="D44" t="inlineStr">
        <is>
          <t>cubic meter</t>
        </is>
      </c>
      <c r="F44" t="inlineStr">
        <is>
          <t>technosphere</t>
        </is>
      </c>
      <c r="M44" t="inlineStr">
        <is>
          <t>natural gas, high pressure</t>
        </is>
      </c>
    </row>
    <row r="45">
      <c r="A45" t="inlineStr">
        <is>
          <t>market for sand</t>
        </is>
      </c>
      <c r="B45" s="8">
        <f>B18*($B$43/$B$16)</f>
        <v>2.3333333333333331E-2</v>
      </c>
      <c r="C45" t="inlineStr">
        <is>
          <t>CH</t>
        </is>
      </c>
      <c r="D45" t="inlineStr">
        <is>
          <t>kilogram</t>
        </is>
      </c>
      <c r="F45" t="inlineStr">
        <is>
          <t>technosphere</t>
        </is>
      </c>
      <c r="M45" t="inlineStr">
        <is>
          <t>sand</t>
        </is>
      </c>
    </row>
    <row r="46">
      <c r="A46" t="inlineStr">
        <is>
          <t>Supply and refining of waste cooking oil</t>
        </is>
      </c>
      <c r="B46" s="8">
        <f>B19*($B$43/$B$16)</f>
        <v>9.4733333333333301E-3</v>
      </c>
      <c r="C46" t="inlineStr">
        <is>
          <t>RER</t>
        </is>
      </c>
      <c r="D46" t="inlineStr">
        <is>
          <t>kilogram</t>
        </is>
      </c>
      <c r="F46" t="inlineStr">
        <is>
          <t>technosphere</t>
        </is>
      </c>
      <c r="M46" t="inlineStr">
        <is>
          <t>Waste Cooking Oil</t>
        </is>
      </c>
    </row>
    <row r="47">
      <c r="A47" t="inlineStr">
        <is>
          <t>Nitrogen oxides</t>
        </is>
      </c>
      <c r="B47" s="8">
        <f>B20*($B$43/$B$16)</f>
        <v>4.0016666666666667E-4</v>
      </c>
      <c r="D47" t="inlineStr">
        <is>
          <t>kilogram</t>
        </is>
      </c>
      <c r="E47" t="inlineStr">
        <is>
          <t>air</t>
        </is>
      </c>
      <c r="F47" t="inlineStr">
        <is>
          <t>biosphere</t>
        </is>
      </c>
    </row>
    <row r="48">
      <c r="A48" t="inlineStr">
        <is>
          <t>Sulfur dioxide</t>
        </is>
      </c>
      <c r="B48" s="8">
        <f>B21*($B$43/$B$16)</f>
        <v>6.9999999999999986E-7</v>
      </c>
      <c r="D48" t="inlineStr">
        <is>
          <t>kilogram</t>
        </is>
      </c>
      <c r="E48" t="inlineStr">
        <is>
          <t>air</t>
        </is>
      </c>
      <c r="F48" t="inlineStr">
        <is>
          <t>biosphere</t>
        </is>
      </c>
    </row>
    <row r="49">
      <c r="A49" t="inlineStr">
        <is>
          <t>Methane, non-fossil</t>
        </is>
      </c>
      <c r="B49" s="8">
        <f>B22*($B$43/$B$16)</f>
        <v>4.6666666666666655E-6</v>
      </c>
      <c r="D49" t="inlineStr">
        <is>
          <t>kilogram</t>
        </is>
      </c>
      <c r="E49" t="inlineStr">
        <is>
          <t>air</t>
        </is>
      </c>
      <c r="F49" t="inlineStr">
        <is>
          <t>biosphere</t>
        </is>
      </c>
    </row>
    <row r="50">
      <c r="A50" t="inlineStr">
        <is>
          <t>Carbon dioxide, fossil</t>
        </is>
      </c>
      <c r="B50" s="8">
        <f>B23*($B$43/$B$16)</f>
        <v>8.3789999999999993E-3</v>
      </c>
      <c r="D50" t="inlineStr">
        <is>
          <t>kilogram</t>
        </is>
      </c>
      <c r="E50" t="inlineStr">
        <is>
          <t>air</t>
        </is>
      </c>
      <c r="F50" t="inlineStr">
        <is>
          <t>biosphere</t>
        </is>
      </c>
    </row>
    <row r="51">
      <c r="A51" t="inlineStr">
        <is>
          <t>Carbon monoxide, fossil</t>
        </is>
      </c>
      <c r="B51" s="8">
        <f>B24*($B$43/$B$16)</f>
        <v>5.8333333333333331E-6</v>
      </c>
      <c r="D51" t="inlineStr">
        <is>
          <t>kilogram</t>
        </is>
      </c>
      <c r="E51" t="inlineStr">
        <is>
          <t>air</t>
        </is>
      </c>
      <c r="F51" t="inlineStr">
        <is>
          <t>biosphere</t>
        </is>
      </c>
    </row>
    <row r="52">
      <c r="A52" t="inlineStr">
        <is>
          <t>Particulates, &gt; 10 um</t>
        </is>
      </c>
      <c r="B52" s="8">
        <f>B25*($B$43/$B$16)</f>
        <v>1.8666666666666666E-4</v>
      </c>
      <c r="D52" t="inlineStr">
        <is>
          <t>kilogram</t>
        </is>
      </c>
      <c r="E52" t="inlineStr">
        <is>
          <t>air</t>
        </is>
      </c>
      <c r="F52" t="inlineStr">
        <is>
          <t>biosphere</t>
        </is>
      </c>
    </row>
    <row r="53">
      <c r="A53" t="inlineStr">
        <is>
          <t>Particulates, &gt; 2.5 um, and &lt; 10um</t>
        </is>
      </c>
      <c r="B53" s="8">
        <f>B26*($B$43/$B$16)</f>
        <v>3.499999999999999E-5</v>
      </c>
      <c r="D53" t="inlineStr">
        <is>
          <t>kilogram</t>
        </is>
      </c>
      <c r="E53" t="inlineStr">
        <is>
          <t>air</t>
        </is>
      </c>
      <c r="F53" t="inlineStr">
        <is>
          <t>biosphere</t>
        </is>
      </c>
    </row>
    <row r="54">
      <c r="A54" t="inlineStr">
        <is>
          <t>Carbon dioxide, non-fossil</t>
        </is>
      </c>
      <c r="B54" s="4">
        <f>1.81*B43*0.1</f>
        <v>0.10860000000000002</v>
      </c>
      <c r="D54" t="inlineStr">
        <is>
          <t>kilogram</t>
        </is>
      </c>
      <c r="E54" t="inlineStr">
        <is>
          <t>air</t>
        </is>
      </c>
      <c r="F54" t="inlineStr">
        <is>
          <t>biosphere</t>
        </is>
      </c>
    </row>
    <row r="55">
      <c r="A55" t="inlineStr">
        <is>
          <t>treatment of inert waste, sanitary landfill</t>
        </is>
      </c>
      <c r="B55" s="9">
        <f>B28*($B$43/$B$16)</f>
        <v>-0.16374166666666665</v>
      </c>
      <c r="C55" t="inlineStr">
        <is>
          <t>Europe without Switzerland</t>
        </is>
      </c>
      <c r="D55" t="inlineStr">
        <is>
          <t>kilogram</t>
        </is>
      </c>
      <c r="F55" t="inlineStr">
        <is>
          <t>technosphere</t>
        </is>
      </c>
      <c r="M55" t="inlineStr">
        <is>
          <t>inert waste</t>
        </is>
      </c>
    </row>
    <row r="56">
      <c r="A56" t="inlineStr">
        <is>
          <t>carbon dioxide, captured at wood burning power plant 20 MW post, pipeline 200km, storage 1000m</t>
        </is>
      </c>
      <c r="B56" s="4">
        <f>1.81*B43*0.9</f>
        <v>0.97740000000000005</v>
      </c>
      <c r="C56" t="inlineStr">
        <is>
          <t>RER</t>
        </is>
      </c>
      <c r="D56" t="inlineStr">
        <is>
          <t>kilogram</t>
        </is>
      </c>
      <c r="F56" t="inlineStr">
        <is>
          <t>technosphere</t>
        </is>
      </c>
      <c r="M56" t="inlineStr">
        <is>
          <t>carbon dioxide, captured at wood burning power plant 20 MW post, pipeline 200km, storage 1000m</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2022-01-29T11:51:47Z</dcterms:created>
  <dcterms:modified xmlns:dcterms="http://purl.org/dc/terms/" xmlns:xsi="http://www.w3.org/2001/XMLSchema-instance" xsi:type="dcterms:W3CDTF">2026-07-07T14:16:18Z</dcterms:modified>
  <cp:lastModifiedBy>Romain Sacchi</cp:lastModifiedBy>
</cp:coreProperties>
</file>