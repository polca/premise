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80" yWindow="3120" windowWidth="30240" windowHeight="18880" tabRatio="600" firstSheet="0" activeTab="0" autoFilterDateGrouping="1"/>
  </bookViews>
  <sheets>
    <sheet xmlns:r="http://schemas.openxmlformats.org/officeDocument/2006/relationships" name="Sheet1" sheetId="1" state="visible" r:id="rId1"/>
  </sheets>
  <definedNames>
    <definedName name="_xlnm._FilterDatabase" localSheetId="0" hidden="1">'Sheet1'!$A$1:$T$112</definedName>
  </definedNames>
  <calcPr calcId="191029" fullCalcOnLoad="1"/>
</workbook>
</file>

<file path=xl/styles.xml><?xml version="1.0" encoding="utf-8"?>
<styleSheet xmlns="http://schemas.openxmlformats.org/spreadsheetml/2006/main">
  <numFmts count="3">
    <numFmt numFmtId="164" formatCode="0.00000"/>
    <numFmt numFmtId="165" formatCode="0.0"/>
    <numFmt numFmtId="166" formatCode="0.000E+00"/>
  </numFmts>
  <fonts count="5">
    <font>
      <name val="Calibri"/>
      <family val="2"/>
      <color theme="1"/>
      <sz val="12"/>
      <scheme val="minor"/>
    </font>
    <font>
      <name val="Calibri"/>
      <family val="2"/>
      <b val="1"/>
      <color rgb="FF000000"/>
      <sz val="12"/>
    </font>
    <font>
      <name val="Calibri"/>
      <family val="2"/>
      <color theme="1"/>
      <sz val="12"/>
    </font>
    <font>
      <name val="Calibri"/>
      <family val="2"/>
      <color rgb="FF000000"/>
      <sz val="12"/>
    </font>
    <font>
      <name val="Calibri"/>
      <family val="2"/>
      <b val="1"/>
      <color rgb="FF000000"/>
      <sz val="11"/>
    </font>
  </fonts>
  <fills count="2">
    <fill>
      <patternFill/>
    </fill>
    <fill>
      <patternFill patternType="gray125"/>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1" fillId="0" borderId="0" applyAlignment="1" pivotButton="0" quotePrefix="0" xfId="0">
      <alignment horizontal="left"/>
    </xf>
    <xf numFmtId="0" fontId="2" fillId="0" borderId="0" pivotButton="0" quotePrefix="0" xfId="0"/>
    <xf numFmtId="0" fontId="2" fillId="0" borderId="0" applyAlignment="1" pivotButton="0" quotePrefix="0" xfId="0">
      <alignment horizontal="left"/>
    </xf>
    <xf numFmtId="0" fontId="4" fillId="0" borderId="0" pivotButton="0" quotePrefix="0" xfId="0"/>
    <xf numFmtId="11" fontId="2" fillId="0" borderId="0" applyAlignment="1" pivotButton="0" quotePrefix="0" xfId="0">
      <alignment horizontal="left"/>
    </xf>
    <xf numFmtId="164" fontId="2" fillId="0" borderId="0" applyAlignment="1" pivotButton="0" quotePrefix="0" xfId="0">
      <alignment horizontal="left"/>
    </xf>
    <xf numFmtId="0" fontId="3" fillId="0" borderId="0" pivotButton="0" quotePrefix="0" xfId="0"/>
    <xf numFmtId="165" fontId="2" fillId="0" borderId="0" pivotButton="0" quotePrefix="0" xfId="0"/>
    <xf numFmtId="166" fontId="2" fillId="0" borderId="0" applyAlignment="1" pivotButton="0" quotePrefix="0" xfId="0">
      <alignment horizontal="left"/>
    </xf>
    <xf numFmtId="164" fontId="2" fillId="0" borderId="0" applyAlignment="1" pivotButton="0" quotePrefix="0" xfId="0">
      <alignment horizontal="left"/>
    </xf>
    <xf numFmtId="165"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112"/>
  <sheetViews>
    <sheetView tabSelected="1" workbookViewId="0">
      <selection activeCell="G27" sqref="G27"/>
    </sheetView>
  </sheetViews>
  <sheetFormatPr baseColWidth="10" defaultRowHeight="16"/>
  <cols>
    <col width="60.5" customWidth="1" min="1" max="1"/>
  </cols>
  <sheetData>
    <row r="1">
      <c r="A1" t="inlineStr">
        <is>
          <t>database</t>
        </is>
      </c>
      <c r="B1" t="inlineStr">
        <is>
          <t>heating with methanol</t>
        </is>
      </c>
    </row>
    <row r="2"/>
    <row r="3" customFormat="1" s="3">
      <c r="A3" s="1" t="inlineStr">
        <is>
          <t>Activity</t>
        </is>
      </c>
      <c r="B3" s="2" t="inlineStr">
        <is>
          <t>methanol supply, produced with hydrogen from Electrolysis, PEM using electricity from grid, and carbon from DAC</t>
        </is>
      </c>
    </row>
    <row r="4" customFormat="1" s="3">
      <c r="A4" s="3" t="inlineStr">
        <is>
          <t>comment</t>
        </is>
      </c>
      <c r="B4" s="4" t="inlineStr">
        <is>
          <t>This dataset represents the supply of 1 kilogram of methanol. The fuel is distributed by truck over 250 km from regional storage. The methanol is produced by  Electrolysis, PEM, with electricity from grid as feedstock. Distribution loss [% output]: 0%. Regional storage loss [% output]: 0.  For more information, refer to: Sacchi, R. and Bauer, C. LCA of Power-to-X processes and applications in the residential sector. Paul Scherrer Institut, 2023.</t>
        </is>
      </c>
    </row>
    <row r="5" customFormat="1" s="3">
      <c r="A5" s="3" t="inlineStr">
        <is>
          <t>source</t>
        </is>
      </c>
      <c r="B5" s="4" t="inlineStr">
        <is>
          <t>Sacchi, R. and Bauer, C. LCA of Power-to-X processes and applications in the residential sector. Paul Scherrer Institut, 2023.</t>
        </is>
      </c>
    </row>
    <row r="6" customFormat="1" s="3">
      <c r="A6" s="3" t="inlineStr">
        <is>
          <t>location</t>
        </is>
      </c>
      <c r="B6" s="4" t="inlineStr">
        <is>
          <t>RER</t>
        </is>
      </c>
    </row>
    <row r="7" customFormat="1" s="3">
      <c r="A7" s="3" t="inlineStr">
        <is>
          <t>reference product</t>
        </is>
      </c>
      <c r="B7" s="4" t="inlineStr">
        <is>
          <t>methanol, from truck</t>
        </is>
      </c>
    </row>
    <row r="8" customFormat="1" s="3">
      <c r="A8" s="3" t="inlineStr">
        <is>
          <t>unit</t>
        </is>
      </c>
      <c r="B8" s="4" t="inlineStr">
        <is>
          <t>kilogram</t>
        </is>
      </c>
    </row>
    <row r="9" customFormat="1" s="3">
      <c r="A9" s="5" t="inlineStr">
        <is>
          <t>Exchanges</t>
        </is>
      </c>
      <c r="B9" s="4" t="n"/>
    </row>
    <row r="10" customFormat="1" s="3">
      <c r="A10" s="1" t="inlineStr">
        <is>
          <t>name</t>
        </is>
      </c>
      <c r="B10" s="2" t="inlineStr">
        <is>
          <t>amount</t>
        </is>
      </c>
      <c r="C10" s="1" t="inlineStr">
        <is>
          <t>unit</t>
        </is>
      </c>
      <c r="D10" s="1" t="inlineStr">
        <is>
          <t>categories</t>
        </is>
      </c>
      <c r="E10" s="1" t="inlineStr">
        <is>
          <t>location</t>
        </is>
      </c>
      <c r="F10" s="1" t="inlineStr">
        <is>
          <t>type</t>
        </is>
      </c>
      <c r="G10" s="1" t="inlineStr">
        <is>
          <t>reference product</t>
        </is>
      </c>
      <c r="H10" s="1" t="inlineStr">
        <is>
          <t>comment</t>
        </is>
      </c>
      <c r="I10" s="1" t="inlineStr">
        <is>
          <t>uncertainty type</t>
        </is>
      </c>
      <c r="J10" s="1" t="inlineStr">
        <is>
          <t>loc</t>
        </is>
      </c>
      <c r="K10" s="1" t="inlineStr">
        <is>
          <t>u1</t>
        </is>
      </c>
      <c r="L10" s="1" t="inlineStr">
        <is>
          <t>u2</t>
        </is>
      </c>
      <c r="M10" s="1" t="inlineStr">
        <is>
          <t>u3</t>
        </is>
      </c>
      <c r="N10" s="1" t="inlineStr">
        <is>
          <t>u4</t>
        </is>
      </c>
      <c r="O10" s="1" t="inlineStr">
        <is>
          <t>u5</t>
        </is>
      </c>
      <c r="P10" s="1" t="inlineStr">
        <is>
          <t>u6</t>
        </is>
      </c>
      <c r="Q10" s="1" t="inlineStr">
        <is>
          <t>ub</t>
        </is>
      </c>
      <c r="R10" s="1" t="inlineStr">
        <is>
          <t>scale</t>
        </is>
      </c>
      <c r="S10" s="1" t="inlineStr">
        <is>
          <t>negative</t>
        </is>
      </c>
      <c r="T10" s="1" t="n"/>
    </row>
    <row r="11" customFormat="1" s="3">
      <c r="A11" s="3" t="inlineStr">
        <is>
          <t>methanol supply, produced with hydrogen from Electrolysis, PEM using electricity from grid, and carbon from DAC</t>
        </is>
      </c>
      <c r="B11" s="4" t="n">
        <v>1</v>
      </c>
      <c r="C11" s="3" t="inlineStr">
        <is>
          <t>kilogram</t>
        </is>
      </c>
      <c r="E11" s="4" t="inlineStr">
        <is>
          <t>RER</t>
        </is>
      </c>
      <c r="F11" s="3" t="inlineStr">
        <is>
          <t>production</t>
        </is>
      </c>
      <c r="G11" s="3" t="inlineStr">
        <is>
          <t>methanol, from truck</t>
        </is>
      </c>
    </row>
    <row r="12" customFormat="1" s="3">
      <c r="A12" s="3" t="inlineStr">
        <is>
          <t>methanol distillation, hydrogen from electrolysis, CO2 from DAC</t>
        </is>
      </c>
      <c r="B12" s="6" t="n">
        <v>1</v>
      </c>
      <c r="C12" s="3" t="inlineStr">
        <is>
          <t>kilogram</t>
        </is>
      </c>
      <c r="E12" s="4" t="inlineStr">
        <is>
          <t>RER</t>
        </is>
      </c>
      <c r="F12" s="3" t="inlineStr">
        <is>
          <t>technosphere</t>
        </is>
      </c>
      <c r="G12" s="3" t="inlineStr">
        <is>
          <t>methanol, purified</t>
        </is>
      </c>
      <c r="H12" s="3" t="inlineStr">
        <is>
          <t>Methanol input.</t>
        </is>
      </c>
      <c r="I12" s="3" t="n">
        <v>2</v>
      </c>
      <c r="J12" s="3" t="n">
        <v>0</v>
      </c>
      <c r="K12" s="3" t="n">
        <v>1.5</v>
      </c>
      <c r="L12" s="3" t="n">
        <v>1.2</v>
      </c>
      <c r="M12" s="3" t="n">
        <v>1.5</v>
      </c>
      <c r="N12" s="3" t="n">
        <v>1.1</v>
      </c>
      <c r="O12" s="3" t="n">
        <v>2</v>
      </c>
      <c r="P12" s="3" t="n">
        <v>1.2</v>
      </c>
      <c r="Q12" s="3" t="n">
        <v>1.05</v>
      </c>
      <c r="R12" s="3" t="n">
        <v>0.4709574641998169</v>
      </c>
    </row>
    <row r="13" customFormat="1" s="3">
      <c r="A13" s="3" t="inlineStr">
        <is>
          <t>market for liquid storage tank, chemicals, organics</t>
        </is>
      </c>
      <c r="B13" s="6" t="n">
        <v>2.63e-10</v>
      </c>
      <c r="C13" s="3" t="inlineStr">
        <is>
          <t>unit</t>
        </is>
      </c>
      <c r="E13" s="3" t="inlineStr">
        <is>
          <t>GLO</t>
        </is>
      </c>
      <c r="F13" s="3" t="inlineStr">
        <is>
          <t>technosphere</t>
        </is>
      </c>
      <c r="G13" s="3" t="inlineStr">
        <is>
          <t>liquid storage tank, chemicals, organics</t>
        </is>
      </c>
      <c r="H13" s="3" t="inlineStr">
        <is>
          <t>Adapted from "market for light fuel oil"</t>
        </is>
      </c>
      <c r="I13" s="3" t="n">
        <v>2</v>
      </c>
      <c r="J13" s="3" t="n">
        <v>-22.05886708375078</v>
      </c>
      <c r="K13" s="3" t="n">
        <v>1.5</v>
      </c>
      <c r="L13" s="3" t="n">
        <v>1.2</v>
      </c>
      <c r="M13" s="3" t="n">
        <v>1.5</v>
      </c>
      <c r="N13" s="3" t="n">
        <v>1.1</v>
      </c>
      <c r="O13" s="3" t="n">
        <v>2</v>
      </c>
      <c r="P13" s="3" t="n">
        <v>1.2</v>
      </c>
      <c r="Q13" s="3" t="n">
        <v>1.05</v>
      </c>
      <c r="R13" s="3" t="n">
        <v>0.4709574641998169</v>
      </c>
    </row>
    <row r="14" customFormat="1" s="3">
      <c r="A14" s="3" t="inlineStr">
        <is>
          <t>market for transport, freight, lorry, unspecified</t>
        </is>
      </c>
      <c r="B14" s="6" t="n">
        <v>0.5</v>
      </c>
      <c r="C14" s="3" t="inlineStr">
        <is>
          <t>ton kilometer</t>
        </is>
      </c>
      <c r="E14" s="3" t="inlineStr">
        <is>
          <t>RER</t>
        </is>
      </c>
      <c r="F14" s="3" t="inlineStr">
        <is>
          <t>technosphere</t>
        </is>
      </c>
      <c r="G14" s="3" t="inlineStr">
        <is>
          <t>transport, freight, lorry, unspecified</t>
        </is>
      </c>
      <c r="H14" s="3" t="inlineStr">
        <is>
          <t>Adapted from "market for light fuel oil"</t>
        </is>
      </c>
      <c r="I14" s="3" t="n">
        <v>2</v>
      </c>
      <c r="J14" s="3" t="n">
        <v>-0.6931471805599453</v>
      </c>
      <c r="K14" s="3" t="n">
        <v>1.5</v>
      </c>
      <c r="L14" s="3" t="n">
        <v>1.2</v>
      </c>
      <c r="M14" s="3" t="n">
        <v>1.5</v>
      </c>
      <c r="N14" s="3" t="n">
        <v>1.1</v>
      </c>
      <c r="O14" s="3" t="n">
        <v>2</v>
      </c>
      <c r="P14" s="3" t="n">
        <v>1.2</v>
      </c>
      <c r="Q14" s="3" t="n">
        <v>1.05</v>
      </c>
      <c r="R14" s="3" t="n">
        <v>0.4709574641998169</v>
      </c>
    </row>
    <row r="15" customFormat="1" s="3">
      <c r="B15" s="4" t="n"/>
    </row>
    <row r="16"/>
    <row r="17" customFormat="1" s="3">
      <c r="A17" s="1" t="inlineStr">
        <is>
          <t>Activity</t>
        </is>
      </c>
      <c r="B17" s="2" t="inlineStr">
        <is>
          <t>methanol supply, produced with biomass</t>
        </is>
      </c>
    </row>
    <row r="18" customFormat="1" s="3">
      <c r="A18" s="3" t="inlineStr">
        <is>
          <t>comment</t>
        </is>
      </c>
      <c r="B18" s="4" t="inlineStr">
        <is>
          <t>This dataset represents the supply of 1 kilogram of methanol. The fuel is distributed by truck over 250 km from regional storage. The methanol is produced by  Electrolysis, PEM, with electricity from grid as feedstock. Distribution loss [% output]: 0%. Regional storage loss [% output]: 0.  For more information, refer to: Sacchi, R. and Bauer, C. LCA of Power-to-X processes and applications in the residential sector. Paul Scherrer Institut, 2023.</t>
        </is>
      </c>
    </row>
    <row r="19" customFormat="1" s="3">
      <c r="A19" s="3" t="inlineStr">
        <is>
          <t>source</t>
        </is>
      </c>
      <c r="B19" s="4" t="inlineStr">
        <is>
          <t>Sacchi, R. and Bauer, C. LCA of Power-to-X processes and applications in the residential sector. Paul Scherrer Institut, 2023.</t>
        </is>
      </c>
    </row>
    <row r="20" customFormat="1" s="3">
      <c r="A20" s="3" t="inlineStr">
        <is>
          <t>location</t>
        </is>
      </c>
      <c r="B20" s="4" t="inlineStr">
        <is>
          <t>RER</t>
        </is>
      </c>
    </row>
    <row r="21" customFormat="1" s="3">
      <c r="A21" s="3" t="inlineStr">
        <is>
          <t>reference product</t>
        </is>
      </c>
      <c r="B21" s="4" t="inlineStr">
        <is>
          <t>methanol, from truck</t>
        </is>
      </c>
    </row>
    <row r="22" customFormat="1" s="3">
      <c r="A22" s="3" t="inlineStr">
        <is>
          <t>unit</t>
        </is>
      </c>
      <c r="B22" s="4" t="inlineStr">
        <is>
          <t>kilogram</t>
        </is>
      </c>
    </row>
    <row r="23" customFormat="1" s="3">
      <c r="A23" s="5" t="inlineStr">
        <is>
          <t>Exchanges</t>
        </is>
      </c>
      <c r="B23" s="4" t="n"/>
    </row>
    <row r="24" customFormat="1" s="3">
      <c r="A24" s="1" t="inlineStr">
        <is>
          <t>name</t>
        </is>
      </c>
      <c r="B24" s="2" t="inlineStr">
        <is>
          <t>amount</t>
        </is>
      </c>
      <c r="C24" s="1" t="inlineStr">
        <is>
          <t>unit</t>
        </is>
      </c>
      <c r="D24" s="1" t="inlineStr">
        <is>
          <t>categories</t>
        </is>
      </c>
      <c r="E24" s="1" t="inlineStr">
        <is>
          <t>location</t>
        </is>
      </c>
      <c r="F24" s="1" t="inlineStr">
        <is>
          <t>type</t>
        </is>
      </c>
      <c r="G24" s="1" t="inlineStr">
        <is>
          <t>reference product</t>
        </is>
      </c>
      <c r="H24" s="1" t="inlineStr">
        <is>
          <t>comment</t>
        </is>
      </c>
      <c r="I24" s="1" t="inlineStr">
        <is>
          <t>uncertainty type</t>
        </is>
      </c>
      <c r="J24" s="1" t="inlineStr">
        <is>
          <t>loc</t>
        </is>
      </c>
      <c r="K24" s="1" t="inlineStr">
        <is>
          <t>u1</t>
        </is>
      </c>
      <c r="L24" s="1" t="inlineStr">
        <is>
          <t>u2</t>
        </is>
      </c>
      <c r="M24" s="1" t="inlineStr">
        <is>
          <t>u3</t>
        </is>
      </c>
      <c r="N24" s="1" t="inlineStr">
        <is>
          <t>u4</t>
        </is>
      </c>
      <c r="O24" s="1" t="inlineStr">
        <is>
          <t>u5</t>
        </is>
      </c>
      <c r="P24" s="1" t="inlineStr">
        <is>
          <t>u6</t>
        </is>
      </c>
      <c r="Q24" s="1" t="inlineStr">
        <is>
          <t>ub</t>
        </is>
      </c>
      <c r="R24" s="1" t="inlineStr">
        <is>
          <t>scale</t>
        </is>
      </c>
      <c r="S24" s="1" t="inlineStr">
        <is>
          <t>negative</t>
        </is>
      </c>
      <c r="T24" s="1" t="n"/>
    </row>
    <row r="25" customFormat="1" s="3">
      <c r="A25" s="3" t="inlineStr">
        <is>
          <t>methanol supply, produced with biomass</t>
        </is>
      </c>
      <c r="B25" s="4" t="n">
        <v>1</v>
      </c>
      <c r="C25" s="3" t="inlineStr">
        <is>
          <t>kilogram</t>
        </is>
      </c>
      <c r="E25" s="4" t="inlineStr">
        <is>
          <t>RER</t>
        </is>
      </c>
      <c r="F25" s="3" t="inlineStr">
        <is>
          <t>production</t>
        </is>
      </c>
      <c r="G25" s="3" t="inlineStr">
        <is>
          <t>methanol, from truck</t>
        </is>
      </c>
    </row>
    <row r="26" customFormat="1" s="3">
      <c r="A26" s="3" t="inlineStr">
        <is>
          <t>methanol production, biomass gasification</t>
        </is>
      </c>
      <c r="B26" s="6" t="n">
        <v>1</v>
      </c>
      <c r="C26" s="3" t="inlineStr">
        <is>
          <t>kilogram</t>
        </is>
      </c>
      <c r="E26" s="4" t="inlineStr">
        <is>
          <t>CH</t>
        </is>
      </c>
      <c r="F26" s="3" t="inlineStr">
        <is>
          <t>technosphere</t>
        </is>
      </c>
      <c r="G26" s="3" t="inlineStr">
        <is>
          <t>methanol, from biomass</t>
        </is>
      </c>
      <c r="H26" s="3" t="inlineStr">
        <is>
          <t>Methanol input.</t>
        </is>
      </c>
      <c r="I26" s="3" t="n">
        <v>2</v>
      </c>
      <c r="J26" s="3" t="n">
        <v>0</v>
      </c>
      <c r="K26" s="3" t="n">
        <v>1.5</v>
      </c>
      <c r="L26" s="3" t="n">
        <v>1.2</v>
      </c>
      <c r="M26" s="3" t="n">
        <v>1.5</v>
      </c>
      <c r="N26" s="3" t="n">
        <v>1.1</v>
      </c>
      <c r="O26" s="3" t="n">
        <v>2</v>
      </c>
      <c r="P26" s="3" t="n">
        <v>1.2</v>
      </c>
      <c r="Q26" s="3" t="n">
        <v>1.05</v>
      </c>
      <c r="R26" s="3" t="n">
        <v>0.4709574641998169</v>
      </c>
    </row>
    <row r="27" customFormat="1" s="3">
      <c r="A27" s="3" t="inlineStr">
        <is>
          <t>market for liquid storage tank, chemicals, organics</t>
        </is>
      </c>
      <c r="B27" s="6" t="n">
        <v>2.63e-10</v>
      </c>
      <c r="C27" s="3" t="inlineStr">
        <is>
          <t>unit</t>
        </is>
      </c>
      <c r="E27" s="3" t="inlineStr">
        <is>
          <t>GLO</t>
        </is>
      </c>
      <c r="F27" s="3" t="inlineStr">
        <is>
          <t>technosphere</t>
        </is>
      </c>
      <c r="G27" s="3" t="inlineStr">
        <is>
          <t>liquid storage tank, chemicals, organics</t>
        </is>
      </c>
      <c r="H27" s="3" t="inlineStr">
        <is>
          <t>Adapted from "market for light fuel oil"</t>
        </is>
      </c>
      <c r="I27" s="3" t="n">
        <v>2</v>
      </c>
      <c r="J27" s="3" t="n">
        <v>-22.05886708375078</v>
      </c>
      <c r="K27" s="3" t="n">
        <v>1.5</v>
      </c>
      <c r="L27" s="3" t="n">
        <v>1.2</v>
      </c>
      <c r="M27" s="3" t="n">
        <v>1.5</v>
      </c>
      <c r="N27" s="3" t="n">
        <v>1.1</v>
      </c>
      <c r="O27" s="3" t="n">
        <v>2</v>
      </c>
      <c r="P27" s="3" t="n">
        <v>1.2</v>
      </c>
      <c r="Q27" s="3" t="n">
        <v>1.05</v>
      </c>
      <c r="R27" s="3" t="n">
        <v>0.4709574641998169</v>
      </c>
    </row>
    <row r="28" customFormat="1" s="3">
      <c r="A28" s="3" t="inlineStr">
        <is>
          <t>market for transport, freight, lorry, unspecified</t>
        </is>
      </c>
      <c r="B28" s="6" t="n">
        <v>0.5</v>
      </c>
      <c r="C28" s="3" t="inlineStr">
        <is>
          <t>ton kilometer</t>
        </is>
      </c>
      <c r="E28" s="3" t="inlineStr">
        <is>
          <t>RER</t>
        </is>
      </c>
      <c r="F28" s="3" t="inlineStr">
        <is>
          <t>technosphere</t>
        </is>
      </c>
      <c r="G28" s="3" t="inlineStr">
        <is>
          <t>transport, freight, lorry, unspecified</t>
        </is>
      </c>
      <c r="H28" s="3" t="inlineStr">
        <is>
          <t>Adapted from "market for light fuel oil"</t>
        </is>
      </c>
      <c r="I28" s="3" t="n">
        <v>2</v>
      </c>
      <c r="J28" s="3" t="n">
        <v>-0.6931471805599453</v>
      </c>
      <c r="K28" s="3" t="n">
        <v>1.5</v>
      </c>
      <c r="L28" s="3" t="n">
        <v>1.2</v>
      </c>
      <c r="M28" s="3" t="n">
        <v>1.5</v>
      </c>
      <c r="N28" s="3" t="n">
        <v>1.1</v>
      </c>
      <c r="O28" s="3" t="n">
        <v>2</v>
      </c>
      <c r="P28" s="3" t="n">
        <v>1.2</v>
      </c>
      <c r="Q28" s="3" t="n">
        <v>1.05</v>
      </c>
      <c r="R28" s="3" t="n">
        <v>0.4709574641998169</v>
      </c>
    </row>
    <row r="29" customFormat="1" s="3">
      <c r="B29" s="4" t="n"/>
    </row>
    <row r="30" customFormat="1" s="3">
      <c r="A30" s="1" t="inlineStr">
        <is>
          <t>Activity</t>
        </is>
      </c>
      <c r="B30" s="2" t="inlineStr">
        <is>
          <t>methanol supply, produced with coal</t>
        </is>
      </c>
    </row>
    <row r="31" customFormat="1" s="3">
      <c r="A31" s="3" t="inlineStr">
        <is>
          <t>comment</t>
        </is>
      </c>
      <c r="B31" s="4" t="inlineStr">
        <is>
          <t>This dataset represents the supply of 1 kilogram of methanol. The fuel is distributed by truck over 250 km from regional storage. The methanol is produced by  Electrolysis, PEM, with electricity from grid as feedstock. Distribution loss [% output]: 0%. Regional storage loss [% output]: 0.  For more information, refer to: Sacchi, R. and Bauer, C. LCA of Power-to-X processes and applications in the residential sector. Paul Scherrer Institut, 2023.</t>
        </is>
      </c>
    </row>
    <row r="32" customFormat="1" s="3">
      <c r="A32" s="3" t="inlineStr">
        <is>
          <t>source</t>
        </is>
      </c>
      <c r="B32" s="4" t="inlineStr">
        <is>
          <t>Sacchi, R. and Bauer, C. LCA of Power-to-X processes and applications in the residential sector. Paul Scherrer Institut, 2023.</t>
        </is>
      </c>
    </row>
    <row r="33" customFormat="1" s="3">
      <c r="A33" s="3" t="inlineStr">
        <is>
          <t>location</t>
        </is>
      </c>
      <c r="B33" s="4" t="inlineStr">
        <is>
          <t>RER</t>
        </is>
      </c>
    </row>
    <row r="34" customFormat="1" s="3">
      <c r="A34" s="3" t="inlineStr">
        <is>
          <t>reference product</t>
        </is>
      </c>
      <c r="B34" s="4" t="inlineStr">
        <is>
          <t>methanol, from truck</t>
        </is>
      </c>
    </row>
    <row r="35" customFormat="1" s="3">
      <c r="A35" s="3" t="inlineStr">
        <is>
          <t>unit</t>
        </is>
      </c>
      <c r="B35" s="4" t="inlineStr">
        <is>
          <t>kilogram</t>
        </is>
      </c>
    </row>
    <row r="36" customFormat="1" s="3">
      <c r="A36" s="5" t="inlineStr">
        <is>
          <t>Exchanges</t>
        </is>
      </c>
      <c r="B36" s="4" t="n"/>
    </row>
    <row r="37" customFormat="1" s="3">
      <c r="A37" s="1" t="inlineStr">
        <is>
          <t>name</t>
        </is>
      </c>
      <c r="B37" s="2" t="inlineStr">
        <is>
          <t>amount</t>
        </is>
      </c>
      <c r="C37" s="1" t="inlineStr">
        <is>
          <t>unit</t>
        </is>
      </c>
      <c r="D37" s="1" t="inlineStr">
        <is>
          <t>categories</t>
        </is>
      </c>
      <c r="E37" s="1" t="inlineStr">
        <is>
          <t>location</t>
        </is>
      </c>
      <c r="F37" s="1" t="inlineStr">
        <is>
          <t>type</t>
        </is>
      </c>
      <c r="G37" s="1" t="inlineStr">
        <is>
          <t>reference product</t>
        </is>
      </c>
      <c r="H37" s="1" t="inlineStr">
        <is>
          <t>comment</t>
        </is>
      </c>
      <c r="I37" s="1" t="inlineStr">
        <is>
          <t>uncertainty type</t>
        </is>
      </c>
      <c r="J37" s="1" t="inlineStr">
        <is>
          <t>loc</t>
        </is>
      </c>
      <c r="K37" s="1" t="inlineStr">
        <is>
          <t>u1</t>
        </is>
      </c>
      <c r="L37" s="1" t="inlineStr">
        <is>
          <t>u2</t>
        </is>
      </c>
      <c r="M37" s="1" t="inlineStr">
        <is>
          <t>u3</t>
        </is>
      </c>
      <c r="N37" s="1" t="inlineStr">
        <is>
          <t>u4</t>
        </is>
      </c>
      <c r="O37" s="1" t="inlineStr">
        <is>
          <t>u5</t>
        </is>
      </c>
      <c r="P37" s="1" t="inlineStr">
        <is>
          <t>u6</t>
        </is>
      </c>
      <c r="Q37" s="1" t="inlineStr">
        <is>
          <t>ub</t>
        </is>
      </c>
      <c r="R37" s="1" t="inlineStr">
        <is>
          <t>scale</t>
        </is>
      </c>
      <c r="S37" s="1" t="inlineStr">
        <is>
          <t>negative</t>
        </is>
      </c>
      <c r="T37" s="1" t="n"/>
    </row>
    <row r="38" customFormat="1" s="3">
      <c r="A38" s="3" t="inlineStr">
        <is>
          <t>methanol supply, produced with coal</t>
        </is>
      </c>
      <c r="B38" s="4" t="n">
        <v>1</v>
      </c>
      <c r="C38" s="3" t="inlineStr">
        <is>
          <t>kilogram</t>
        </is>
      </c>
      <c r="E38" s="4" t="inlineStr">
        <is>
          <t>RER</t>
        </is>
      </c>
      <c r="F38" s="3" t="inlineStr">
        <is>
          <t>production</t>
        </is>
      </c>
      <c r="G38" s="3" t="inlineStr">
        <is>
          <t>methanol, from truck</t>
        </is>
      </c>
    </row>
    <row r="39" customFormat="1" s="3">
      <c r="A39" s="3" t="inlineStr">
        <is>
          <t>methanol distillation, hydrogen from coal gasification</t>
        </is>
      </c>
      <c r="B39" s="6" t="n">
        <v>1</v>
      </c>
      <c r="C39" s="3" t="inlineStr">
        <is>
          <t>kilogram</t>
        </is>
      </c>
      <c r="E39" s="4" t="inlineStr">
        <is>
          <t>RER</t>
        </is>
      </c>
      <c r="F39" s="3" t="inlineStr">
        <is>
          <t>technosphere</t>
        </is>
      </c>
      <c r="G39" s="3" t="inlineStr">
        <is>
          <t>methanol, purified</t>
        </is>
      </c>
      <c r="H39" s="3" t="inlineStr">
        <is>
          <t>Methanol input.</t>
        </is>
      </c>
      <c r="I39" s="3" t="n">
        <v>2</v>
      </c>
      <c r="J39" s="3" t="n">
        <v>0</v>
      </c>
      <c r="K39" s="3" t="n">
        <v>1.5</v>
      </c>
      <c r="L39" s="3" t="n">
        <v>1.2</v>
      </c>
      <c r="M39" s="3" t="n">
        <v>1.5</v>
      </c>
      <c r="N39" s="3" t="n">
        <v>1.1</v>
      </c>
      <c r="O39" s="3" t="n">
        <v>2</v>
      </c>
      <c r="P39" s="3" t="n">
        <v>1.2</v>
      </c>
      <c r="Q39" s="3" t="n">
        <v>1.05</v>
      </c>
      <c r="R39" s="3" t="n">
        <v>0.4709574641998169</v>
      </c>
    </row>
    <row r="40" customFormat="1" s="3">
      <c r="A40" s="3" t="inlineStr">
        <is>
          <t>market for liquid storage tank, chemicals, organics</t>
        </is>
      </c>
      <c r="B40" s="6" t="n">
        <v>2.63e-10</v>
      </c>
      <c r="C40" s="3" t="inlineStr">
        <is>
          <t>unit</t>
        </is>
      </c>
      <c r="E40" s="3" t="inlineStr">
        <is>
          <t>GLO</t>
        </is>
      </c>
      <c r="F40" s="3" t="inlineStr">
        <is>
          <t>technosphere</t>
        </is>
      </c>
      <c r="G40" s="3" t="inlineStr">
        <is>
          <t>liquid storage tank, chemicals, organics</t>
        </is>
      </c>
      <c r="H40" s="3" t="inlineStr">
        <is>
          <t>Adapted from "market for light fuel oil"</t>
        </is>
      </c>
      <c r="I40" s="3" t="n">
        <v>2</v>
      </c>
      <c r="J40" s="3" t="n">
        <v>-22.05886708375078</v>
      </c>
      <c r="K40" s="3" t="n">
        <v>1.5</v>
      </c>
      <c r="L40" s="3" t="n">
        <v>1.2</v>
      </c>
      <c r="M40" s="3" t="n">
        <v>1.5</v>
      </c>
      <c r="N40" s="3" t="n">
        <v>1.1</v>
      </c>
      <c r="O40" s="3" t="n">
        <v>2</v>
      </c>
      <c r="P40" s="3" t="n">
        <v>1.2</v>
      </c>
      <c r="Q40" s="3" t="n">
        <v>1.05</v>
      </c>
      <c r="R40" s="3" t="n">
        <v>0.4709574641998169</v>
      </c>
    </row>
    <row r="41" customFormat="1" s="3">
      <c r="A41" s="3" t="inlineStr">
        <is>
          <t>market for transport, freight, lorry, unspecified</t>
        </is>
      </c>
      <c r="B41" s="6" t="n">
        <v>0.5</v>
      </c>
      <c r="C41" s="3" t="inlineStr">
        <is>
          <t>ton kilometer</t>
        </is>
      </c>
      <c r="E41" s="3" t="inlineStr">
        <is>
          <t>RER</t>
        </is>
      </c>
      <c r="F41" s="3" t="inlineStr">
        <is>
          <t>technosphere</t>
        </is>
      </c>
      <c r="G41" s="3" t="inlineStr">
        <is>
          <t>transport, freight, lorry, unspecified</t>
        </is>
      </c>
      <c r="H41" s="3" t="inlineStr">
        <is>
          <t>Adapted from "market for light fuel oil"</t>
        </is>
      </c>
      <c r="I41" s="3" t="n">
        <v>2</v>
      </c>
      <c r="J41" s="3" t="n">
        <v>-0.6931471805599453</v>
      </c>
      <c r="K41" s="3" t="n">
        <v>1.5</v>
      </c>
      <c r="L41" s="3" t="n">
        <v>1.2</v>
      </c>
      <c r="M41" s="3" t="n">
        <v>1.5</v>
      </c>
      <c r="N41" s="3" t="n">
        <v>1.1</v>
      </c>
      <c r="O41" s="3" t="n">
        <v>2</v>
      </c>
      <c r="P41" s="3" t="n">
        <v>1.2</v>
      </c>
      <c r="Q41" s="3" t="n">
        <v>1.05</v>
      </c>
      <c r="R41" s="3" t="n">
        <v>0.4709574641998169</v>
      </c>
    </row>
    <row r="42" customFormat="1" s="3">
      <c r="B42" s="4" t="n"/>
    </row>
    <row r="43" customFormat="1" s="3">
      <c r="A43" s="1" t="inlineStr">
        <is>
          <t>Activity</t>
        </is>
      </c>
      <c r="B43" s="2" t="inlineStr">
        <is>
          <t>heat, residential, by combustion of methanol using boiler, distributed by truck, produced by Electrolysis, PEM using electricity from grid and carbon sourced from DAC</t>
        </is>
      </c>
    </row>
    <row r="44" customFormat="1" s="3">
      <c r="A44" s="3" t="inlineStr">
        <is>
          <t>comment</t>
        </is>
      </c>
      <c r="B44" s="4" t="inlineStr">
        <is>
          <t>This dataset represents the supply of 1 megajoule of heat in a residence, by methanol combustion in a boiler.  The methanol is distributed by truck from regional storage.  The methanol is produced from hydrogen supplied by  Electrolysis, PEM, with electricity from grid as feedstock. The carbon is sourced from DAC. Heat conversion efficiency [% LHV input]: 90%. LHV [MJ/kg]: 20. Market price [Euro/MJ]: 0.0266666666666667. Distribution loss [% output]: 0%. Storage loss [% output]: 0%. Synthesis efficiency [% LHV input]: 0%. Hydrogen production efficiency [% LHV input]: 0. Total cap. Input-related [kW]: 10. CO2 biogenic share [%]: 100%. Power [kW]: 9. Lifetime [years]: 20. Annual operation [hours]: 2100. : .  For more information, refer to: Sacchi, R. and Bauer, C. LCA of Power-to-X processes and applications in the residential sector. Paul Scherrer Institut, 2023.</t>
        </is>
      </c>
    </row>
    <row r="45" customFormat="1" s="3">
      <c r="A45" s="3" t="inlineStr">
        <is>
          <t>source</t>
        </is>
      </c>
      <c r="B45" s="4" t="inlineStr">
        <is>
          <t>Sacchi, R. and Bauer, C. LCA of Power-to-X processes and applications in the residential sector. Paul Scherrer Institut, 2023.</t>
        </is>
      </c>
    </row>
    <row r="46" customFormat="1" s="3">
      <c r="A46" s="3" t="inlineStr">
        <is>
          <t>location</t>
        </is>
      </c>
      <c r="B46" s="4" t="inlineStr">
        <is>
          <t>RER</t>
        </is>
      </c>
    </row>
    <row r="47" customFormat="1" s="3">
      <c r="A47" s="3" t="inlineStr">
        <is>
          <t>reference product</t>
        </is>
      </c>
      <c r="B47" s="4" t="inlineStr">
        <is>
          <t>heat, from residential heating system</t>
        </is>
      </c>
    </row>
    <row r="48" customFormat="1" s="3">
      <c r="A48" s="3" t="inlineStr">
        <is>
          <t>unit</t>
        </is>
      </c>
      <c r="B48" s="4" t="inlineStr">
        <is>
          <t>megajoule</t>
        </is>
      </c>
    </row>
    <row r="49" customFormat="1" s="3">
      <c r="A49" s="5" t="inlineStr">
        <is>
          <t>Exchanges</t>
        </is>
      </c>
      <c r="B49" s="4" t="n"/>
    </row>
    <row r="50" customFormat="1" s="3">
      <c r="A50" s="1" t="inlineStr">
        <is>
          <t>name</t>
        </is>
      </c>
      <c r="B50" s="2" t="inlineStr">
        <is>
          <t>amount</t>
        </is>
      </c>
      <c r="C50" s="1" t="inlineStr">
        <is>
          <t>unit</t>
        </is>
      </c>
      <c r="D50" s="1" t="inlineStr">
        <is>
          <t>categories</t>
        </is>
      </c>
      <c r="E50" s="1" t="inlineStr">
        <is>
          <t>location</t>
        </is>
      </c>
      <c r="F50" s="1" t="inlineStr">
        <is>
          <t>type</t>
        </is>
      </c>
      <c r="G50" s="1" t="inlineStr">
        <is>
          <t>reference product</t>
        </is>
      </c>
      <c r="H50" s="1" t="inlineStr">
        <is>
          <t>comment</t>
        </is>
      </c>
      <c r="I50" s="1" t="inlineStr">
        <is>
          <t>uncertainty type</t>
        </is>
      </c>
      <c r="J50" s="1" t="inlineStr">
        <is>
          <t>loc</t>
        </is>
      </c>
      <c r="K50" s="1" t="inlineStr">
        <is>
          <t>u1</t>
        </is>
      </c>
      <c r="L50" s="1" t="inlineStr">
        <is>
          <t>u2</t>
        </is>
      </c>
      <c r="M50" s="1" t="inlineStr">
        <is>
          <t>u3</t>
        </is>
      </c>
      <c r="N50" s="1" t="inlineStr">
        <is>
          <t>u4</t>
        </is>
      </c>
      <c r="O50" s="1" t="inlineStr">
        <is>
          <t>u5</t>
        </is>
      </c>
      <c r="P50" s="1" t="inlineStr">
        <is>
          <t>u6</t>
        </is>
      </c>
      <c r="Q50" s="1" t="inlineStr">
        <is>
          <t>ub</t>
        </is>
      </c>
      <c r="R50" s="1" t="inlineStr">
        <is>
          <t>scale</t>
        </is>
      </c>
      <c r="S50" s="1" t="inlineStr">
        <is>
          <t>negative</t>
        </is>
      </c>
      <c r="T50" s="1" t="n"/>
    </row>
    <row r="51" customFormat="1" s="3">
      <c r="A51" s="3" t="inlineStr">
        <is>
          <t>heat, residential, by combustion of methanol using boiler, distributed by truck, produced by Electrolysis, PEM using electricity from grid and carbon sourced from DAC</t>
        </is>
      </c>
      <c r="B51" s="4" t="n">
        <v>1</v>
      </c>
      <c r="C51" s="3" t="inlineStr">
        <is>
          <t>megajoule</t>
        </is>
      </c>
      <c r="E51" s="4" t="inlineStr">
        <is>
          <t>RER</t>
        </is>
      </c>
      <c r="F51" s="3" t="inlineStr">
        <is>
          <t>production</t>
        </is>
      </c>
      <c r="G51" s="3" t="inlineStr">
        <is>
          <t>heat, from residential heating system</t>
        </is>
      </c>
    </row>
    <row r="52" customFormat="1" s="3">
      <c r="A52" s="3" t="inlineStr">
        <is>
          <t>methanol supply, produced with hydrogen from Electrolysis, PEM using electricity from grid, and carbon from DAC</t>
        </is>
      </c>
      <c r="B52" s="11" t="n">
        <v>0.05555555555555556</v>
      </c>
      <c r="C52" s="3" t="inlineStr">
        <is>
          <t>kilogram</t>
        </is>
      </c>
      <c r="E52" s="4" t="inlineStr">
        <is>
          <t>RER</t>
        </is>
      </c>
      <c r="F52" s="3" t="inlineStr">
        <is>
          <t>technosphere</t>
        </is>
      </c>
      <c r="G52" s="3" t="inlineStr">
        <is>
          <t>methanol, from truck</t>
        </is>
      </c>
      <c r="H52" s="8" t="inlineStr">
        <is>
          <t>Methanol input. 1 [MJ]/ 19.9 [MJ/kg methanol]/ eff.(th)</t>
        </is>
      </c>
      <c r="I52" s="3" t="n">
        <v>2</v>
      </c>
      <c r="J52" s="3" t="n">
        <v>-2.890371757896165</v>
      </c>
      <c r="K52" s="3" t="n">
        <v>1.05</v>
      </c>
      <c r="L52" s="12" t="n">
        <v>1.2</v>
      </c>
      <c r="M52" s="3" t="n">
        <v>1</v>
      </c>
      <c r="N52" s="3" t="n">
        <v>1.01</v>
      </c>
      <c r="O52" s="3" t="n">
        <v>1.2</v>
      </c>
      <c r="P52" s="3" t="n">
        <v>1.2</v>
      </c>
      <c r="Q52" s="3" t="n">
        <v>1.05</v>
      </c>
      <c r="R52" s="3" t="n">
        <v>0.1616967992407096</v>
      </c>
    </row>
    <row r="53" customFormat="1" s="3">
      <c r="A53" s="3" t="inlineStr">
        <is>
          <t>fuel cell system assembly, 1 kWe, proton exchange membrane (PEM)</t>
        </is>
      </c>
      <c r="B53" s="6" t="n">
        <v>0</v>
      </c>
      <c r="C53" s="3" t="inlineStr">
        <is>
          <t>unit</t>
        </is>
      </c>
      <c r="E53" s="3" t="inlineStr">
        <is>
          <t>GLO</t>
        </is>
      </c>
      <c r="F53" s="3" t="inlineStr">
        <is>
          <t>technosphere</t>
        </is>
      </c>
      <c r="G53" s="3" t="inlineStr">
        <is>
          <t>fuel cell system, 1 kWe, proton exchange membrane (PEM)</t>
        </is>
      </c>
      <c r="H53" s="3" t="inlineStr">
        <is>
          <t>Operational time of 20,000 hours at power of 1 kWe. Due to the degradation effects the hydrogen consumption must be increased to always generate the power of 1 kWe. Because of dynamic operational regime 5 replacements of the PEMFC stack are included (lifetime of 3'800 hours per stack), while the BoP lasts the whole operational time.</t>
        </is>
      </c>
      <c r="I53" s="3" t="n">
        <v>1</v>
      </c>
      <c r="J53" s="3" t="n">
        <v>0</v>
      </c>
      <c r="K53" s="3" t="n">
        <v>1.05</v>
      </c>
      <c r="L53" s="12" t="n">
        <v>1.2</v>
      </c>
      <c r="M53" s="3" t="n">
        <v>1</v>
      </c>
      <c r="N53" s="3" t="n">
        <v>1.01</v>
      </c>
      <c r="O53" s="3" t="n">
        <v>1.2</v>
      </c>
      <c r="P53" s="3" t="n">
        <v>1.2</v>
      </c>
      <c r="Q53" s="3" t="n">
        <v>3</v>
      </c>
      <c r="R53" s="3" t="n">
        <v>0.572090880068819</v>
      </c>
    </row>
    <row r="54" customFormat="1" s="3">
      <c r="A54" s="3" t="inlineStr">
        <is>
          <t>market for oil boiler, 10kW</t>
        </is>
      </c>
      <c r="B54" s="10" t="n">
        <v>7.348618459729571e-07</v>
      </c>
      <c r="C54" s="3" t="inlineStr">
        <is>
          <t>unit</t>
        </is>
      </c>
      <c r="E54" s="3" t="inlineStr">
        <is>
          <t>GLO</t>
        </is>
      </c>
      <c r="F54" s="3" t="inlineStr">
        <is>
          <t>technosphere</t>
        </is>
      </c>
      <c r="G54" s="3" t="inlineStr">
        <is>
          <t>oil boiler, 10kW</t>
        </is>
      </c>
      <c r="H54" s="3" t="inlineStr">
        <is>
          <t>1/(Cap. [kW] * lifetime [y] * annual operation [h] * 3.6 [MJ/kWh])</t>
        </is>
      </c>
      <c r="I54" s="3" t="n">
        <v>2</v>
      </c>
      <c r="J54" s="3" t="n">
        <v>-14.12358332006379</v>
      </c>
      <c r="K54" s="3" t="n">
        <v>1.05</v>
      </c>
      <c r="L54" s="12" t="n">
        <v>1.2</v>
      </c>
      <c r="M54" s="3" t="n">
        <v>1</v>
      </c>
      <c r="N54" s="3" t="n">
        <v>1.01</v>
      </c>
      <c r="O54" s="3" t="n">
        <v>1.2</v>
      </c>
      <c r="P54" s="3" t="n">
        <v>1.2</v>
      </c>
      <c r="Q54" s="3" t="n">
        <v>3</v>
      </c>
      <c r="R54" s="3" t="n">
        <v>0.572090880068819</v>
      </c>
    </row>
    <row r="55" customFormat="1" s="3">
      <c r="A55" s="3" t="inlineStr">
        <is>
          <t>market for oil storage, 3000l</t>
        </is>
      </c>
      <c r="B55" s="10" t="n">
        <v>4.4092e-07</v>
      </c>
      <c r="C55" s="3" t="inlineStr">
        <is>
          <t>unit</t>
        </is>
      </c>
      <c r="E55" s="3" t="inlineStr">
        <is>
          <t>GLO</t>
        </is>
      </c>
      <c r="F55" s="3" t="inlineStr">
        <is>
          <t>technosphere</t>
        </is>
      </c>
      <c r="G55" s="3" t="inlineStr">
        <is>
          <t>oil storage, 3000l</t>
        </is>
      </c>
      <c r="I55" s="3" t="n">
        <v>2</v>
      </c>
      <c r="J55" s="3" t="n">
        <v>-14.6344023838513</v>
      </c>
      <c r="K55" s="3" t="n">
        <v>1.05</v>
      </c>
      <c r="L55" s="12" t="n">
        <v>1.2</v>
      </c>
      <c r="M55" s="3" t="n">
        <v>1</v>
      </c>
      <c r="N55" s="3" t="n">
        <v>1.01</v>
      </c>
      <c r="O55" s="3" t="n">
        <v>1.2</v>
      </c>
      <c r="P55" s="3" t="n">
        <v>1.2</v>
      </c>
      <c r="Q55" s="3" t="n">
        <v>3</v>
      </c>
      <c r="R55" s="3" t="n">
        <v>0.572090880068819</v>
      </c>
    </row>
    <row r="56" customFormat="1" s="3">
      <c r="A56" s="3" t="inlineStr">
        <is>
          <t>market for chimney</t>
        </is>
      </c>
      <c r="B56" s="6" t="n">
        <v>2.6455e-06</v>
      </c>
      <c r="C56" s="3" t="inlineStr">
        <is>
          <t>meter</t>
        </is>
      </c>
      <c r="E56" s="3" t="inlineStr">
        <is>
          <t>GLO</t>
        </is>
      </c>
      <c r="F56" s="3" t="inlineStr">
        <is>
          <t>technosphere</t>
        </is>
      </c>
      <c r="G56" s="3" t="inlineStr">
        <is>
          <t>chimney</t>
        </is>
      </c>
      <c r="I56" s="3" t="n">
        <v>2</v>
      </c>
      <c r="J56" s="3" t="n">
        <v>-12.84265047460222</v>
      </c>
      <c r="K56" s="3" t="n">
        <v>1.05</v>
      </c>
      <c r="L56" s="12" t="n">
        <v>1.2</v>
      </c>
      <c r="M56" s="3" t="n">
        <v>1</v>
      </c>
      <c r="N56" s="3" t="n">
        <v>1.01</v>
      </c>
      <c r="O56" s="3" t="n">
        <v>1.2</v>
      </c>
      <c r="P56" s="3" t="n">
        <v>1.2</v>
      </c>
      <c r="Q56" s="3" t="n">
        <v>3</v>
      </c>
      <c r="R56" s="3" t="n">
        <v>0.572090880068819</v>
      </c>
    </row>
    <row r="57" customFormat="1" s="3">
      <c r="A57" s="3" t="inlineStr">
        <is>
          <t>market for condensate from light oil boiler</t>
        </is>
      </c>
      <c r="B57" s="6" t="n">
        <v>-9.830000000000001e-06</v>
      </c>
      <c r="C57" s="3" t="inlineStr">
        <is>
          <t>cubic meter</t>
        </is>
      </c>
      <c r="E57" s="3" t="inlineStr">
        <is>
          <t>RoW</t>
        </is>
      </c>
      <c r="F57" s="3" t="inlineStr">
        <is>
          <t>technosphere</t>
        </is>
      </c>
      <c r="G57" s="3" t="inlineStr">
        <is>
          <t>condensate from light oil boiler</t>
        </is>
      </c>
      <c r="I57" s="3" t="n">
        <v>2</v>
      </c>
      <c r="J57" s="3" t="n">
        <v>-11.5300716238052</v>
      </c>
      <c r="K57" s="3" t="n">
        <v>1.05</v>
      </c>
      <c r="L57" s="12" t="n">
        <v>1.2</v>
      </c>
      <c r="M57" s="3" t="n">
        <v>1</v>
      </c>
      <c r="N57" s="3" t="n">
        <v>1.01</v>
      </c>
      <c r="O57" s="3" t="n">
        <v>1.2</v>
      </c>
      <c r="P57" s="3" t="n">
        <v>1.2</v>
      </c>
      <c r="Q57" s="3" t="n">
        <v>1.05</v>
      </c>
      <c r="R57" s="3" t="n">
        <v>0.1616967992407096</v>
      </c>
      <c r="S57" s="3" t="b">
        <v>1</v>
      </c>
    </row>
    <row r="58" customFormat="1" s="3">
      <c r="A58" s="3" t="inlineStr">
        <is>
          <t>market for hazardous waste, for incineration</t>
        </is>
      </c>
      <c r="B58" s="6" t="n">
        <v>-4.15e-06</v>
      </c>
      <c r="C58" s="3" t="inlineStr">
        <is>
          <t>kilogram</t>
        </is>
      </c>
      <c r="E58" s="4" t="inlineStr">
        <is>
          <t>Europe without Switzerland</t>
        </is>
      </c>
      <c r="F58" s="3" t="inlineStr">
        <is>
          <t>technosphere</t>
        </is>
      </c>
      <c r="G58" s="3" t="inlineStr">
        <is>
          <t>hazardous waste, for incineration</t>
        </is>
      </c>
      <c r="I58" s="3" t="n">
        <v>2</v>
      </c>
      <c r="J58" s="3" t="n">
        <v>-12.39240222372167</v>
      </c>
      <c r="K58" s="3" t="n">
        <v>1.05</v>
      </c>
      <c r="L58" s="12" t="n">
        <v>1.2</v>
      </c>
      <c r="M58" s="3" t="n">
        <v>1</v>
      </c>
      <c r="N58" s="3" t="n">
        <v>1.01</v>
      </c>
      <c r="O58" s="3" t="n">
        <v>1.2</v>
      </c>
      <c r="P58" s="3" t="n">
        <v>1.2</v>
      </c>
      <c r="Q58" s="3" t="n">
        <v>1.05</v>
      </c>
      <c r="R58" s="3" t="n">
        <v>0.1616967992407096</v>
      </c>
      <c r="S58" s="3" t="b">
        <v>1</v>
      </c>
    </row>
    <row r="59" customFormat="1" s="3">
      <c r="A59" s="3" t="inlineStr">
        <is>
          <t>market group for electricity, low voltage</t>
        </is>
      </c>
      <c r="B59" s="6" t="n">
        <v>0.0027275</v>
      </c>
      <c r="C59" s="3" t="inlineStr">
        <is>
          <t>kilowatt hour</t>
        </is>
      </c>
      <c r="E59" s="4" t="inlineStr">
        <is>
          <t>RER</t>
        </is>
      </c>
      <c r="F59" s="3" t="inlineStr">
        <is>
          <t>technosphere</t>
        </is>
      </c>
      <c r="G59" s="3" t="inlineStr">
        <is>
          <t>electricity, low voltage</t>
        </is>
      </c>
      <c r="H59" s="3" t="inlineStr">
        <is>
          <t>To operate the boiler.</t>
        </is>
      </c>
      <c r="I59" s="3" t="n">
        <v>2</v>
      </c>
      <c r="J59" s="3" t="n">
        <v>-5.904369840257048</v>
      </c>
      <c r="K59" s="3" t="n">
        <v>1.05</v>
      </c>
      <c r="L59" s="12" t="n">
        <v>1.2</v>
      </c>
      <c r="M59" s="3" t="n">
        <v>1</v>
      </c>
      <c r="N59" s="3" t="n">
        <v>1.01</v>
      </c>
      <c r="O59" s="3" t="n">
        <v>1.2</v>
      </c>
      <c r="P59" s="3" t="n">
        <v>1.2</v>
      </c>
      <c r="Q59" s="3" t="n">
        <v>1.05</v>
      </c>
      <c r="R59" s="3" t="n">
        <v>0.1616967992407096</v>
      </c>
    </row>
    <row r="60" customFormat="1" s="3">
      <c r="A60" s="3" t="inlineStr">
        <is>
          <t>Water</t>
        </is>
      </c>
      <c r="B60" s="6">
        <f>0.0625/1000</f>
        <v>6.2500000000000001E-5</v>
      </c>
      <c r="C60" s="3" t="inlineStr">
        <is>
          <t>cubic meter</t>
        </is>
      </c>
      <c r="D60" s="3" t="inlineStr">
        <is>
          <t>air</t>
        </is>
      </c>
      <c r="F60" s="3" t="inlineStr">
        <is>
          <t>biosphere</t>
        </is>
      </c>
      <c r="H60" s="3" t="inlineStr">
        <is>
          <t>1.125kg water per kg methanol</t>
        </is>
      </c>
      <c r="I60" s="3" t="n">
        <v>2</v>
      </c>
      <c r="J60" s="3" t="n">
        <v>-2.772588722239781</v>
      </c>
      <c r="K60" s="3" t="n">
        <v>1.05</v>
      </c>
      <c r="L60" s="12" t="n">
        <v>1.2</v>
      </c>
      <c r="M60" s="3" t="n">
        <v>1</v>
      </c>
      <c r="N60" s="3" t="n">
        <v>1.01</v>
      </c>
      <c r="O60" s="3" t="n">
        <v>1.2</v>
      </c>
      <c r="P60" s="3" t="n">
        <v>1.2</v>
      </c>
      <c r="Q60" s="3" t="n">
        <v>1.5</v>
      </c>
      <c r="R60" s="3" t="n">
        <v>0.2581689821184212</v>
      </c>
    </row>
    <row r="61" customFormat="1" s="3">
      <c r="A61" s="3" t="inlineStr">
        <is>
          <t>Carbon dioxide, non-fossil</t>
        </is>
      </c>
      <c r="B61" s="6" t="n">
        <v>0.07622222222222223</v>
      </c>
      <c r="C61" s="3" t="inlineStr">
        <is>
          <t>kilogram</t>
        </is>
      </c>
      <c r="D61" s="3" t="inlineStr">
        <is>
          <t>air::urban air close to ground</t>
        </is>
      </c>
      <c r="F61" s="3" t="inlineStr">
        <is>
          <t>biosphere</t>
        </is>
      </c>
      <c r="H61" s="3" t="inlineStr">
        <is>
          <t>Adapted from "heat production, light fuel oil, at boiler 10kW condensing, non-modulating"</t>
        </is>
      </c>
      <c r="I61" s="3" t="n">
        <v>2</v>
      </c>
      <c r="J61" s="3" t="n">
        <v>-2.574102228592471</v>
      </c>
      <c r="K61" s="3" t="n">
        <v>1.05</v>
      </c>
      <c r="L61" s="12" t="n">
        <v>1.2</v>
      </c>
      <c r="M61" s="3" t="n">
        <v>1</v>
      </c>
      <c r="N61" s="3" t="n">
        <v>1.01</v>
      </c>
      <c r="O61" s="3" t="n">
        <v>1.2</v>
      </c>
      <c r="P61" s="3" t="n">
        <v>1.2</v>
      </c>
      <c r="Q61" s="3" t="n">
        <v>1.05</v>
      </c>
      <c r="R61" s="3" t="n">
        <v>0.1616967992407096</v>
      </c>
    </row>
    <row r="62" customFormat="1" s="3">
      <c r="A62" s="3" t="inlineStr">
        <is>
          <t>Carbon monoxide, non-fossil</t>
        </is>
      </c>
      <c r="B62" s="6" t="n">
        <v>9e-06</v>
      </c>
      <c r="C62" s="3" t="inlineStr">
        <is>
          <t>kilogram</t>
        </is>
      </c>
      <c r="D62" s="3" t="inlineStr">
        <is>
          <t>air::urban air close to ground</t>
        </is>
      </c>
      <c r="F62" s="3" t="inlineStr">
        <is>
          <t>biosphere</t>
        </is>
      </c>
      <c r="H62" s="3" t="inlineStr">
        <is>
          <t>Adapted from "heat production, light fuel oil, at boiler 10kW condensing, non-modulating"</t>
        </is>
      </c>
      <c r="I62" s="3" t="n">
        <v>2</v>
      </c>
      <c r="J62" s="3" t="n">
        <v>-11.61828598062806</v>
      </c>
      <c r="K62" s="3" t="n">
        <v>1.5</v>
      </c>
      <c r="L62" s="3" t="n">
        <v>1.2</v>
      </c>
      <c r="M62" s="3" t="n">
        <v>1.5</v>
      </c>
      <c r="N62" s="3" t="n">
        <v>1.1</v>
      </c>
      <c r="O62" s="3" t="n">
        <v>2</v>
      </c>
      <c r="P62" s="3" t="n">
        <v>1.2</v>
      </c>
      <c r="Q62" s="3" t="n">
        <v>5</v>
      </c>
      <c r="R62" s="3" t="n">
        <v>0.9320828351335841</v>
      </c>
    </row>
    <row r="63" customFormat="1" s="3">
      <c r="A63" s="3" t="inlineStr">
        <is>
          <t>Nitrogen oxides</t>
        </is>
      </c>
      <c r="B63" s="6" t="n">
        <v>6.875e-06</v>
      </c>
      <c r="C63" s="3" t="inlineStr">
        <is>
          <t>kilogram</t>
        </is>
      </c>
      <c r="D63" s="3" t="inlineStr">
        <is>
          <t>air::urban air close to ground</t>
        </is>
      </c>
      <c r="F63" s="3" t="inlineStr">
        <is>
          <t>biosphere</t>
        </is>
      </c>
      <c r="H63" s="3" t="inlineStr">
        <is>
          <t>Emission factor for light fuel oil reduced by 75% to consider the use of methanol.</t>
        </is>
      </c>
      <c r="I63" s="3" t="n">
        <v>2</v>
      </c>
      <c r="J63" s="3" t="n">
        <v>-11.88761891441164</v>
      </c>
      <c r="K63" s="3" t="n">
        <v>1.05</v>
      </c>
      <c r="L63" s="12" t="n">
        <v>1.2</v>
      </c>
      <c r="M63" s="3" t="n">
        <v>1</v>
      </c>
      <c r="N63" s="3" t="n">
        <v>1.01</v>
      </c>
      <c r="O63" s="3" t="n">
        <v>1.2</v>
      </c>
      <c r="P63" s="3" t="n">
        <v>1.2</v>
      </c>
      <c r="Q63" s="3" t="n">
        <v>1.5</v>
      </c>
      <c r="R63" s="3" t="n">
        <v>0.2581689821184212</v>
      </c>
    </row>
    <row r="64" customFormat="1" s="3">
      <c r="A64" s="3" t="inlineStr">
        <is>
          <t>Particulate Matter, &lt; 2.5 um</t>
        </is>
      </c>
      <c r="B64" s="6" t="n">
        <v>1.25e-07</v>
      </c>
      <c r="C64" s="3" t="inlineStr">
        <is>
          <t>kilogram</t>
        </is>
      </c>
      <c r="D64" s="3" t="inlineStr">
        <is>
          <t>air::urban air close to ground</t>
        </is>
      </c>
      <c r="F64" s="3" t="inlineStr">
        <is>
          <t>biosphere</t>
        </is>
      </c>
      <c r="H64" s="3" t="inlineStr">
        <is>
          <t>Adapted from "heat production, light fuel oil, at boiler 10kW condensing, non-modulating"</t>
        </is>
      </c>
      <c r="I64" s="3" t="n">
        <v>2</v>
      </c>
      <c r="J64" s="3" t="n">
        <v>-15.89495209964411</v>
      </c>
      <c r="K64" s="3" t="n">
        <v>1.05</v>
      </c>
      <c r="L64" s="12" t="n">
        <v>1.2</v>
      </c>
      <c r="M64" s="3" t="n">
        <v>1</v>
      </c>
      <c r="N64" s="3" t="n">
        <v>1.01</v>
      </c>
      <c r="O64" s="3" t="n">
        <v>1.2</v>
      </c>
      <c r="P64" s="3" t="n">
        <v>1.2</v>
      </c>
      <c r="Q64" s="3" t="n">
        <v>3</v>
      </c>
      <c r="R64" s="3" t="n">
        <v>0.572090880068819</v>
      </c>
    </row>
    <row r="65" customFormat="1" s="3">
      <c r="B65" s="6" t="n"/>
    </row>
    <row r="66"/>
    <row r="67" customFormat="1" s="3">
      <c r="A67" s="1" t="inlineStr">
        <is>
          <t>Activity</t>
        </is>
      </c>
      <c r="B67" s="2" t="inlineStr">
        <is>
          <t>heat, residential, by combustion of methanol using boiler, distributed by truck, produced with biomass</t>
        </is>
      </c>
    </row>
    <row r="68" customFormat="1" s="3">
      <c r="A68" s="3" t="inlineStr">
        <is>
          <t>comment</t>
        </is>
      </c>
      <c r="B68" s="4" t="inlineStr">
        <is>
          <t>This dataset represents the supply of 1 megajoule of heat in a residence, by methanol combustion in a boiler.  The methanol is distributed by truck from regional storage.  The methanol is produced from hydrogen supplied by  Electrolysis, PEM, with electricity from grid as feedstock. The carbon is sourced from DAC. Heat conversion efficiency [% LHV input]: 90%. LHV [MJ/kg]: 20. Market price [Euro/MJ]: 0.0266666666666667. Distribution loss [% output]: 0%. Storage loss [% output]: 0%. Synthesis efficiency [% LHV input]: 0%. Hydrogen production efficiency [% LHV input]: 0. Total cap. Input-related [kW]: 10. CO2 biogenic share [%]: 100%. Power [kW]: 9. Lifetime [years]: 20. Annual operation [hours]: 2100. : .  For more information, refer to: Sacchi, R. and Bauer, C. LCA of Power-to-X processes and applications in the residential sector. Paul Scherrer Institut, 2023.</t>
        </is>
      </c>
    </row>
    <row r="69" customFormat="1" s="3">
      <c r="A69" s="3" t="inlineStr">
        <is>
          <t>source</t>
        </is>
      </c>
      <c r="B69" s="4" t="inlineStr">
        <is>
          <t>Sacchi, R. and Bauer, C. LCA of Power-to-X processes and applications in the residential sector. Paul Scherrer Institut, 2023.</t>
        </is>
      </c>
    </row>
    <row r="70" customFormat="1" s="3">
      <c r="A70" s="3" t="inlineStr">
        <is>
          <t>location</t>
        </is>
      </c>
      <c r="B70" s="4" t="inlineStr">
        <is>
          <t>RER</t>
        </is>
      </c>
    </row>
    <row r="71" customFormat="1" s="3">
      <c r="A71" s="3" t="inlineStr">
        <is>
          <t>reference product</t>
        </is>
      </c>
      <c r="B71" s="4" t="inlineStr">
        <is>
          <t>heat, from residential heating system</t>
        </is>
      </c>
    </row>
    <row r="72" customFormat="1" s="3">
      <c r="A72" s="3" t="inlineStr">
        <is>
          <t>unit</t>
        </is>
      </c>
      <c r="B72" s="4" t="inlineStr">
        <is>
          <t>megajoule</t>
        </is>
      </c>
    </row>
    <row r="73" customFormat="1" s="3">
      <c r="A73" s="5" t="inlineStr">
        <is>
          <t>Exchanges</t>
        </is>
      </c>
      <c r="B73" s="4" t="n"/>
    </row>
    <row r="74" customFormat="1" s="3">
      <c r="A74" s="1" t="inlineStr">
        <is>
          <t>name</t>
        </is>
      </c>
      <c r="B74" s="2" t="inlineStr">
        <is>
          <t>amount</t>
        </is>
      </c>
      <c r="C74" s="1" t="inlineStr">
        <is>
          <t>unit</t>
        </is>
      </c>
      <c r="D74" s="1" t="inlineStr">
        <is>
          <t>categories</t>
        </is>
      </c>
      <c r="E74" s="1" t="inlineStr">
        <is>
          <t>location</t>
        </is>
      </c>
      <c r="F74" s="1" t="inlineStr">
        <is>
          <t>type</t>
        </is>
      </c>
      <c r="G74" s="1" t="inlineStr">
        <is>
          <t>reference product</t>
        </is>
      </c>
      <c r="H74" s="1" t="inlineStr">
        <is>
          <t>comment</t>
        </is>
      </c>
      <c r="I74" s="1" t="inlineStr">
        <is>
          <t>uncertainty type</t>
        </is>
      </c>
      <c r="J74" s="1" t="inlineStr">
        <is>
          <t>loc</t>
        </is>
      </c>
      <c r="K74" s="1" t="inlineStr">
        <is>
          <t>u1</t>
        </is>
      </c>
      <c r="L74" s="1" t="inlineStr">
        <is>
          <t>u2</t>
        </is>
      </c>
      <c r="M74" s="1" t="inlineStr">
        <is>
          <t>u3</t>
        </is>
      </c>
      <c r="N74" s="1" t="inlineStr">
        <is>
          <t>u4</t>
        </is>
      </c>
      <c r="O74" s="1" t="inlineStr">
        <is>
          <t>u5</t>
        </is>
      </c>
      <c r="P74" s="1" t="inlineStr">
        <is>
          <t>u6</t>
        </is>
      </c>
      <c r="Q74" s="1" t="inlineStr">
        <is>
          <t>ub</t>
        </is>
      </c>
      <c r="R74" s="1" t="inlineStr">
        <is>
          <t>scale</t>
        </is>
      </c>
      <c r="S74" s="1" t="inlineStr">
        <is>
          <t>negative</t>
        </is>
      </c>
      <c r="T74" s="1" t="n"/>
    </row>
    <row r="75" customFormat="1" s="3">
      <c r="A75" s="3" t="inlineStr">
        <is>
          <t>heat, residential, by combustion of methanol using boiler, distributed by truck, produced with biomass</t>
        </is>
      </c>
      <c r="B75" s="4" t="n">
        <v>1</v>
      </c>
      <c r="C75" s="3" t="inlineStr">
        <is>
          <t>megajoule</t>
        </is>
      </c>
      <c r="E75" s="4" t="inlineStr">
        <is>
          <t>RER</t>
        </is>
      </c>
      <c r="F75" s="3" t="inlineStr">
        <is>
          <t>production</t>
        </is>
      </c>
      <c r="G75" s="3" t="inlineStr">
        <is>
          <t>heat, from residential heating system</t>
        </is>
      </c>
    </row>
    <row r="76" customFormat="1" s="3">
      <c r="A76" s="3" t="inlineStr">
        <is>
          <t>methanol production, biomass gasification</t>
        </is>
      </c>
      <c r="B76" s="11" t="n">
        <v>0.0555555555555556</v>
      </c>
      <c r="C76" s="3" t="inlineStr">
        <is>
          <t>kilogram</t>
        </is>
      </c>
      <c r="E76" s="4" t="inlineStr">
        <is>
          <t>CH</t>
        </is>
      </c>
      <c r="F76" s="3" t="inlineStr">
        <is>
          <t>technosphere</t>
        </is>
      </c>
      <c r="G76" s="3" t="inlineStr">
        <is>
          <t>methanol, from biomass</t>
        </is>
      </c>
      <c r="H76" s="8" t="inlineStr">
        <is>
          <t>Methanol input. 1 [MJ]/ 19.9 [MJ/kg methanol]/ eff.(th)</t>
        </is>
      </c>
      <c r="I76" s="3" t="n">
        <v>2</v>
      </c>
      <c r="J76" s="3" t="n">
        <v>-2.890371757896165</v>
      </c>
      <c r="K76" s="3" t="n">
        <v>1.05</v>
      </c>
      <c r="L76" s="12" t="n">
        <v>1.2</v>
      </c>
      <c r="M76" s="3" t="n">
        <v>1</v>
      </c>
      <c r="N76" s="3" t="n">
        <v>1.01</v>
      </c>
      <c r="O76" s="3" t="n">
        <v>1.2</v>
      </c>
      <c r="P76" s="3" t="n">
        <v>1.2</v>
      </c>
      <c r="Q76" s="3" t="n">
        <v>1.05</v>
      </c>
      <c r="R76" s="3" t="n">
        <v>0.1616967992407096</v>
      </c>
    </row>
    <row r="77" customFormat="1" s="3">
      <c r="A77" s="3" t="inlineStr">
        <is>
          <t>fuel cell system assembly, 1 kWe, proton exchange membrane (PEM)</t>
        </is>
      </c>
      <c r="B77" s="6" t="n">
        <v>0</v>
      </c>
      <c r="C77" s="3" t="inlineStr">
        <is>
          <t>unit</t>
        </is>
      </c>
      <c r="E77" s="3" t="inlineStr">
        <is>
          <t>GLO</t>
        </is>
      </c>
      <c r="F77" s="3" t="inlineStr">
        <is>
          <t>technosphere</t>
        </is>
      </c>
      <c r="G77" s="3" t="inlineStr">
        <is>
          <t>fuel cell system, 1 kWe, proton exchange membrane (PEM)</t>
        </is>
      </c>
      <c r="H77" s="3" t="inlineStr">
        <is>
          <t>Operational time of 20,000 hours at power of 1 kWe. Due to the degradation effects the hydrogen consumption must be increased to always generate the power of 1 kWe. Because of dynamic operational regime 5 replacements of the PEMFC stack are included (lifetime of 3'800 hours per stack), while the BoP lasts the whole operational time.</t>
        </is>
      </c>
      <c r="I77" s="3" t="n">
        <v>1</v>
      </c>
      <c r="J77" s="3" t="n">
        <v>0</v>
      </c>
      <c r="K77" s="3" t="n">
        <v>1.05</v>
      </c>
      <c r="L77" s="12" t="n">
        <v>1.2</v>
      </c>
      <c r="M77" s="3" t="n">
        <v>1</v>
      </c>
      <c r="N77" s="3" t="n">
        <v>1.01</v>
      </c>
      <c r="O77" s="3" t="n">
        <v>1.2</v>
      </c>
      <c r="P77" s="3" t="n">
        <v>1.2</v>
      </c>
      <c r="Q77" s="3" t="n">
        <v>3</v>
      </c>
      <c r="R77" s="3" t="n">
        <v>0.572090880068819</v>
      </c>
    </row>
    <row r="78" customFormat="1" s="3">
      <c r="A78" s="3" t="inlineStr">
        <is>
          <t>market for oil boiler, 10kW</t>
        </is>
      </c>
      <c r="B78" s="10" t="n">
        <v>7.348618459729571e-07</v>
      </c>
      <c r="C78" s="3" t="inlineStr">
        <is>
          <t>unit</t>
        </is>
      </c>
      <c r="E78" s="3" t="inlineStr">
        <is>
          <t>GLO</t>
        </is>
      </c>
      <c r="F78" s="3" t="inlineStr">
        <is>
          <t>technosphere</t>
        </is>
      </c>
      <c r="G78" s="3" t="inlineStr">
        <is>
          <t>oil boiler, 10kW</t>
        </is>
      </c>
      <c r="H78" s="3" t="inlineStr">
        <is>
          <t>1/(Cap. [kW] * lifetime [y] * annual operation [h] * 3.6 [MJ/kWh])</t>
        </is>
      </c>
      <c r="I78" s="3" t="n">
        <v>2</v>
      </c>
      <c r="J78" s="3" t="n">
        <v>-14.12358332006379</v>
      </c>
      <c r="K78" s="3" t="n">
        <v>1.05</v>
      </c>
      <c r="L78" s="12" t="n">
        <v>1.2</v>
      </c>
      <c r="M78" s="3" t="n">
        <v>1</v>
      </c>
      <c r="N78" s="3" t="n">
        <v>1.01</v>
      </c>
      <c r="O78" s="3" t="n">
        <v>1.2</v>
      </c>
      <c r="P78" s="3" t="n">
        <v>1.2</v>
      </c>
      <c r="Q78" s="3" t="n">
        <v>3</v>
      </c>
      <c r="R78" s="3" t="n">
        <v>0.572090880068819</v>
      </c>
    </row>
    <row r="79" customFormat="1" s="3">
      <c r="A79" s="3" t="inlineStr">
        <is>
          <t>market for oil storage, 3000l</t>
        </is>
      </c>
      <c r="B79" s="10" t="n">
        <v>4.4092e-07</v>
      </c>
      <c r="C79" s="3" t="inlineStr">
        <is>
          <t>unit</t>
        </is>
      </c>
      <c r="E79" s="3" t="inlineStr">
        <is>
          <t>GLO</t>
        </is>
      </c>
      <c r="F79" s="3" t="inlineStr">
        <is>
          <t>technosphere</t>
        </is>
      </c>
      <c r="G79" s="3" t="inlineStr">
        <is>
          <t>oil storage, 3000l</t>
        </is>
      </c>
      <c r="I79" s="3" t="n">
        <v>2</v>
      </c>
      <c r="J79" s="3" t="n">
        <v>-14.6344023838513</v>
      </c>
      <c r="K79" s="3" t="n">
        <v>1.05</v>
      </c>
      <c r="L79" s="12" t="n">
        <v>1.2</v>
      </c>
      <c r="M79" s="3" t="n">
        <v>1</v>
      </c>
      <c r="N79" s="3" t="n">
        <v>1.01</v>
      </c>
      <c r="O79" s="3" t="n">
        <v>1.2</v>
      </c>
      <c r="P79" s="3" t="n">
        <v>1.2</v>
      </c>
      <c r="Q79" s="3" t="n">
        <v>3</v>
      </c>
      <c r="R79" s="3" t="n">
        <v>0.572090880068819</v>
      </c>
    </row>
    <row r="80" customFormat="1" s="3">
      <c r="A80" s="3" t="inlineStr">
        <is>
          <t>market for chimney</t>
        </is>
      </c>
      <c r="B80" s="6" t="n">
        <v>2.6455e-06</v>
      </c>
      <c r="C80" s="3" t="inlineStr">
        <is>
          <t>meter</t>
        </is>
      </c>
      <c r="E80" s="3" t="inlineStr">
        <is>
          <t>GLO</t>
        </is>
      </c>
      <c r="F80" s="3" t="inlineStr">
        <is>
          <t>technosphere</t>
        </is>
      </c>
      <c r="G80" s="3" t="inlineStr">
        <is>
          <t>chimney</t>
        </is>
      </c>
      <c r="I80" s="3" t="n">
        <v>2</v>
      </c>
      <c r="J80" s="3" t="n">
        <v>-12.84265047460222</v>
      </c>
      <c r="K80" s="3" t="n">
        <v>1.05</v>
      </c>
      <c r="L80" s="12" t="n">
        <v>1.2</v>
      </c>
      <c r="M80" s="3" t="n">
        <v>1</v>
      </c>
      <c r="N80" s="3" t="n">
        <v>1.01</v>
      </c>
      <c r="O80" s="3" t="n">
        <v>1.2</v>
      </c>
      <c r="P80" s="3" t="n">
        <v>1.2</v>
      </c>
      <c r="Q80" s="3" t="n">
        <v>3</v>
      </c>
      <c r="R80" s="3" t="n">
        <v>0.572090880068819</v>
      </c>
    </row>
    <row r="81" customFormat="1" s="3">
      <c r="A81" s="3" t="inlineStr">
        <is>
          <t>market for condensate from light oil boiler</t>
        </is>
      </c>
      <c r="B81" s="6" t="n">
        <v>-9.830000000000001e-06</v>
      </c>
      <c r="C81" s="3" t="inlineStr">
        <is>
          <t>cubic meter</t>
        </is>
      </c>
      <c r="E81" s="3" t="inlineStr">
        <is>
          <t>RoW</t>
        </is>
      </c>
      <c r="F81" s="3" t="inlineStr">
        <is>
          <t>technosphere</t>
        </is>
      </c>
      <c r="G81" s="3" t="inlineStr">
        <is>
          <t>condensate from light oil boiler</t>
        </is>
      </c>
      <c r="I81" s="3" t="n">
        <v>2</v>
      </c>
      <c r="J81" s="3" t="n">
        <v>-11.5300716238052</v>
      </c>
      <c r="K81" s="3" t="n">
        <v>1.05</v>
      </c>
      <c r="L81" s="12" t="n">
        <v>1.2</v>
      </c>
      <c r="M81" s="3" t="n">
        <v>1</v>
      </c>
      <c r="N81" s="3" t="n">
        <v>1.01</v>
      </c>
      <c r="O81" s="3" t="n">
        <v>1.2</v>
      </c>
      <c r="P81" s="3" t="n">
        <v>1.2</v>
      </c>
      <c r="Q81" s="3" t="n">
        <v>1.05</v>
      </c>
      <c r="R81" s="3" t="n">
        <v>0.1616967992407096</v>
      </c>
      <c r="S81" s="3" t="b">
        <v>1</v>
      </c>
    </row>
    <row r="82" customFormat="1" s="3">
      <c r="A82" s="3" t="inlineStr">
        <is>
          <t>market for hazardous waste, for incineration</t>
        </is>
      </c>
      <c r="B82" s="6" t="n">
        <v>-4.15e-06</v>
      </c>
      <c r="C82" s="3" t="inlineStr">
        <is>
          <t>kilogram</t>
        </is>
      </c>
      <c r="E82" s="4" t="inlineStr">
        <is>
          <t>Europe without Switzerland</t>
        </is>
      </c>
      <c r="F82" s="3" t="inlineStr">
        <is>
          <t>technosphere</t>
        </is>
      </c>
      <c r="G82" s="3" t="inlineStr">
        <is>
          <t>hazardous waste, for incineration</t>
        </is>
      </c>
      <c r="I82" s="3" t="n">
        <v>2</v>
      </c>
      <c r="J82" s="3" t="n">
        <v>-12.39240222372167</v>
      </c>
      <c r="K82" s="3" t="n">
        <v>1.05</v>
      </c>
      <c r="L82" s="12" t="n">
        <v>1.2</v>
      </c>
      <c r="M82" s="3" t="n">
        <v>1</v>
      </c>
      <c r="N82" s="3" t="n">
        <v>1.01</v>
      </c>
      <c r="O82" s="3" t="n">
        <v>1.2</v>
      </c>
      <c r="P82" s="3" t="n">
        <v>1.2</v>
      </c>
      <c r="Q82" s="3" t="n">
        <v>1.05</v>
      </c>
      <c r="R82" s="3" t="n">
        <v>0.1616967992407096</v>
      </c>
      <c r="S82" s="3" t="b">
        <v>1</v>
      </c>
    </row>
    <row r="83" customFormat="1" s="3">
      <c r="A83" s="3" t="inlineStr">
        <is>
          <t>market group for electricity, low voltage</t>
        </is>
      </c>
      <c r="B83" s="6" t="n">
        <v>0.0027275</v>
      </c>
      <c r="C83" s="3" t="inlineStr">
        <is>
          <t>kilowatt hour</t>
        </is>
      </c>
      <c r="E83" s="4" t="inlineStr">
        <is>
          <t>RER</t>
        </is>
      </c>
      <c r="F83" s="3" t="inlineStr">
        <is>
          <t>technosphere</t>
        </is>
      </c>
      <c r="G83" s="3" t="inlineStr">
        <is>
          <t>electricity, low voltage</t>
        </is>
      </c>
      <c r="H83" s="3" t="inlineStr">
        <is>
          <t>To operate the boiler.</t>
        </is>
      </c>
      <c r="I83" s="3" t="n">
        <v>2</v>
      </c>
      <c r="J83" s="3" t="n">
        <v>-5.904369840257048</v>
      </c>
      <c r="K83" s="3" t="n">
        <v>1.05</v>
      </c>
      <c r="L83" s="12" t="n">
        <v>1.2</v>
      </c>
      <c r="M83" s="3" t="n">
        <v>1</v>
      </c>
      <c r="N83" s="3" t="n">
        <v>1.01</v>
      </c>
      <c r="O83" s="3" t="n">
        <v>1.2</v>
      </c>
      <c r="P83" s="3" t="n">
        <v>1.2</v>
      </c>
      <c r="Q83" s="3" t="n">
        <v>1.05</v>
      </c>
      <c r="R83" s="3" t="n">
        <v>0.1616967992407096</v>
      </c>
    </row>
    <row r="84" customFormat="1" s="3">
      <c r="A84" s="3" t="inlineStr">
        <is>
          <t>Water</t>
        </is>
      </c>
      <c r="B84" s="6">
        <f>0.0625/1000</f>
        <v>6.2500000000000001E-5</v>
      </c>
      <c r="C84" s="3" t="inlineStr">
        <is>
          <t>cubic meter</t>
        </is>
      </c>
      <c r="D84" s="3" t="inlineStr">
        <is>
          <t>air</t>
        </is>
      </c>
      <c r="F84" s="3" t="inlineStr">
        <is>
          <t>biosphere</t>
        </is>
      </c>
      <c r="H84" s="3" t="inlineStr">
        <is>
          <t>1.125kg water per kg methanol</t>
        </is>
      </c>
      <c r="I84" s="3" t="n">
        <v>2</v>
      </c>
      <c r="J84" s="3" t="n">
        <v>-2.772588722239781</v>
      </c>
      <c r="K84" s="3" t="n">
        <v>1.05</v>
      </c>
      <c r="L84" s="12" t="n">
        <v>1.2</v>
      </c>
      <c r="M84" s="3" t="n">
        <v>1</v>
      </c>
      <c r="N84" s="3" t="n">
        <v>1.01</v>
      </c>
      <c r="O84" s="3" t="n">
        <v>1.2</v>
      </c>
      <c r="P84" s="3" t="n">
        <v>1.2</v>
      </c>
      <c r="Q84" s="3" t="n">
        <v>1.5</v>
      </c>
      <c r="R84" s="3" t="n">
        <v>0.2581689821184212</v>
      </c>
    </row>
    <row r="85" customFormat="1" s="3">
      <c r="A85" s="3" t="inlineStr">
        <is>
          <t>Carbon dioxide, non-fossil</t>
        </is>
      </c>
      <c r="B85" s="6" t="n">
        <v>0.07622222222222223</v>
      </c>
      <c r="C85" s="3" t="inlineStr">
        <is>
          <t>kilogram</t>
        </is>
      </c>
      <c r="D85" s="3" t="inlineStr">
        <is>
          <t>air::urban air close to ground</t>
        </is>
      </c>
      <c r="F85" s="3" t="inlineStr">
        <is>
          <t>biosphere</t>
        </is>
      </c>
      <c r="H85" s="3" t="inlineStr">
        <is>
          <t>Adapted from "heat production, light fuel oil, at boiler 10kW condensing, non-modulating"</t>
        </is>
      </c>
      <c r="I85" s="3" t="n">
        <v>2</v>
      </c>
      <c r="J85" s="3" t="n">
        <v>-2.574102228592471</v>
      </c>
      <c r="K85" s="3" t="n">
        <v>1.05</v>
      </c>
      <c r="L85" s="12" t="n">
        <v>1.2</v>
      </c>
      <c r="M85" s="3" t="n">
        <v>1</v>
      </c>
      <c r="N85" s="3" t="n">
        <v>1.01</v>
      </c>
      <c r="O85" s="3" t="n">
        <v>1.2</v>
      </c>
      <c r="P85" s="3" t="n">
        <v>1.2</v>
      </c>
      <c r="Q85" s="3" t="n">
        <v>1.05</v>
      </c>
      <c r="R85" s="3" t="n">
        <v>0.1616967992407096</v>
      </c>
    </row>
    <row r="86" customFormat="1" s="3">
      <c r="A86" s="3" t="inlineStr">
        <is>
          <t>Carbon monoxide, non-fossil</t>
        </is>
      </c>
      <c r="B86" s="6" t="n">
        <v>9e-06</v>
      </c>
      <c r="C86" s="3" t="inlineStr">
        <is>
          <t>kilogram</t>
        </is>
      </c>
      <c r="D86" s="3" t="inlineStr">
        <is>
          <t>air::urban air close to ground</t>
        </is>
      </c>
      <c r="F86" s="3" t="inlineStr">
        <is>
          <t>biosphere</t>
        </is>
      </c>
      <c r="H86" s="3" t="inlineStr">
        <is>
          <t>Adapted from "heat production, light fuel oil, at boiler 10kW condensing, non-modulating"</t>
        </is>
      </c>
      <c r="I86" s="3" t="n">
        <v>2</v>
      </c>
      <c r="J86" s="3" t="n">
        <v>-11.61828598062806</v>
      </c>
      <c r="K86" s="3" t="n">
        <v>1.5</v>
      </c>
      <c r="L86" s="3" t="n">
        <v>1.2</v>
      </c>
      <c r="M86" s="3" t="n">
        <v>1.5</v>
      </c>
      <c r="N86" s="3" t="n">
        <v>1.1</v>
      </c>
      <c r="O86" s="3" t="n">
        <v>2</v>
      </c>
      <c r="P86" s="3" t="n">
        <v>1.2</v>
      </c>
      <c r="Q86" s="3" t="n">
        <v>5</v>
      </c>
      <c r="R86" s="3" t="n">
        <v>0.9320828351335841</v>
      </c>
    </row>
    <row r="87" customFormat="1" s="3">
      <c r="A87" s="3" t="inlineStr">
        <is>
          <t>Nitrogen oxides</t>
        </is>
      </c>
      <c r="B87" s="6" t="n">
        <v>6.875e-06</v>
      </c>
      <c r="C87" s="3" t="inlineStr">
        <is>
          <t>kilogram</t>
        </is>
      </c>
      <c r="D87" s="3" t="inlineStr">
        <is>
          <t>air::urban air close to ground</t>
        </is>
      </c>
      <c r="F87" s="3" t="inlineStr">
        <is>
          <t>biosphere</t>
        </is>
      </c>
      <c r="H87" s="3" t="inlineStr">
        <is>
          <t>Emission factor for light fuel oil reduced by 75% to consider the use of methanol.</t>
        </is>
      </c>
      <c r="I87" s="3" t="n">
        <v>2</v>
      </c>
      <c r="J87" s="3" t="n">
        <v>-11.88761891441164</v>
      </c>
      <c r="K87" s="3" t="n">
        <v>1.05</v>
      </c>
      <c r="L87" s="12" t="n">
        <v>1.2</v>
      </c>
      <c r="M87" s="3" t="n">
        <v>1</v>
      </c>
      <c r="N87" s="3" t="n">
        <v>1.01</v>
      </c>
      <c r="O87" s="3" t="n">
        <v>1.2</v>
      </c>
      <c r="P87" s="3" t="n">
        <v>1.2</v>
      </c>
      <c r="Q87" s="3" t="n">
        <v>1.5</v>
      </c>
      <c r="R87" s="3" t="n">
        <v>0.2581689821184212</v>
      </c>
    </row>
    <row r="88" customFormat="1" s="3">
      <c r="A88" s="3" t="inlineStr">
        <is>
          <t>Particulate Matter, &lt; 2.5 um</t>
        </is>
      </c>
      <c r="B88" s="6" t="n">
        <v>1.25e-07</v>
      </c>
      <c r="C88" s="3" t="inlineStr">
        <is>
          <t>kilogram</t>
        </is>
      </c>
      <c r="D88" s="3" t="inlineStr">
        <is>
          <t>air::urban air close to ground</t>
        </is>
      </c>
      <c r="F88" s="3" t="inlineStr">
        <is>
          <t>biosphere</t>
        </is>
      </c>
      <c r="H88" s="3" t="inlineStr">
        <is>
          <t>Adapted from "heat production, light fuel oil, at boiler 10kW condensing, non-modulating"</t>
        </is>
      </c>
      <c r="I88" s="3" t="n">
        <v>2</v>
      </c>
      <c r="J88" s="3" t="n">
        <v>-15.89495209964411</v>
      </c>
      <c r="K88" s="3" t="n">
        <v>1.05</v>
      </c>
      <c r="L88" s="12" t="n">
        <v>1.2</v>
      </c>
      <c r="M88" s="3" t="n">
        <v>1</v>
      </c>
      <c r="N88" s="3" t="n">
        <v>1.01</v>
      </c>
      <c r="O88" s="3" t="n">
        <v>1.2</v>
      </c>
      <c r="P88" s="3" t="n">
        <v>1.2</v>
      </c>
      <c r="Q88" s="3" t="n">
        <v>3</v>
      </c>
      <c r="R88" s="3" t="n">
        <v>0.572090880068819</v>
      </c>
    </row>
    <row r="89" customFormat="1" s="3">
      <c r="B89" s="6" t="n"/>
    </row>
    <row r="90" customFormat="1" s="3">
      <c r="A90" s="1" t="inlineStr">
        <is>
          <t>Activity</t>
        </is>
      </c>
      <c r="B90" s="2" t="inlineStr">
        <is>
          <t>heat, residential, by combustion of methanol using boiler, distributed by truck, produced with coal</t>
        </is>
      </c>
    </row>
    <row r="91" customFormat="1" s="3">
      <c r="A91" s="3" t="inlineStr">
        <is>
          <t>comment</t>
        </is>
      </c>
      <c r="B91" s="4" t="inlineStr">
        <is>
          <t>This dataset represents the supply of 1 megajoule of heat in a residence, by methanol combustion in a boiler.  The methanol is distributed by truck from regional storage.  The methanol is produced from hydrogen supplied by  Electrolysis, PEM, with electricity from grid as feedstock. The carbon is sourced from DAC. Heat conversion efficiency [% LHV input]: 90%. LHV [MJ/kg]: 20. Market price [Euro/MJ]: 0.0266666666666667. Distribution loss [% output]: 0%. Storage loss [% output]: 0%. Synthesis efficiency [% LHV input]: 0%. Hydrogen production efficiency [% LHV input]: 0. Total cap. Input-related [kW]: 10. CO2 biogenic share [%]: 100%. Power [kW]: 9. Lifetime [years]: 20. Annual operation [hours]: 2100. : .  For more information, refer to: Sacchi, R. and Bauer, C. LCA of Power-to-X processes and applications in the residential sector. Paul Scherrer Institut, 2023.</t>
        </is>
      </c>
    </row>
    <row r="92" customFormat="1" s="3">
      <c r="A92" s="3" t="inlineStr">
        <is>
          <t>source</t>
        </is>
      </c>
      <c r="B92" s="4" t="inlineStr">
        <is>
          <t>Sacchi, R. and Bauer, C. LCA of Power-to-X processes and applications in the residential sector. Paul Scherrer Institut, 2023.</t>
        </is>
      </c>
    </row>
    <row r="93" customFormat="1" s="3">
      <c r="A93" s="3" t="inlineStr">
        <is>
          <t>location</t>
        </is>
      </c>
      <c r="B93" s="4" t="inlineStr">
        <is>
          <t>RER</t>
        </is>
      </c>
    </row>
    <row r="94" customFormat="1" s="3">
      <c r="A94" s="3" t="inlineStr">
        <is>
          <t>reference product</t>
        </is>
      </c>
      <c r="B94" s="4" t="inlineStr">
        <is>
          <t>heat, from residential heating system</t>
        </is>
      </c>
    </row>
    <row r="95" customFormat="1" s="3">
      <c r="A95" s="3" t="inlineStr">
        <is>
          <t>unit</t>
        </is>
      </c>
      <c r="B95" s="4" t="inlineStr">
        <is>
          <t>megajoule</t>
        </is>
      </c>
    </row>
    <row r="96" customFormat="1" s="3">
      <c r="A96" s="5" t="inlineStr">
        <is>
          <t>Exchanges</t>
        </is>
      </c>
      <c r="B96" s="4" t="n"/>
    </row>
    <row r="97" customFormat="1" s="3">
      <c r="A97" s="1" t="inlineStr">
        <is>
          <t>name</t>
        </is>
      </c>
      <c r="B97" s="2" t="inlineStr">
        <is>
          <t>amount</t>
        </is>
      </c>
      <c r="C97" s="1" t="inlineStr">
        <is>
          <t>unit</t>
        </is>
      </c>
      <c r="D97" s="1" t="inlineStr">
        <is>
          <t>categories</t>
        </is>
      </c>
      <c r="E97" s="1" t="inlineStr">
        <is>
          <t>location</t>
        </is>
      </c>
      <c r="F97" s="1" t="inlineStr">
        <is>
          <t>type</t>
        </is>
      </c>
      <c r="G97" s="1" t="inlineStr">
        <is>
          <t>reference product</t>
        </is>
      </c>
      <c r="H97" s="1" t="inlineStr">
        <is>
          <t>comment</t>
        </is>
      </c>
      <c r="I97" s="1" t="inlineStr">
        <is>
          <t>uncertainty type</t>
        </is>
      </c>
      <c r="J97" s="1" t="inlineStr">
        <is>
          <t>loc</t>
        </is>
      </c>
      <c r="K97" s="1" t="inlineStr">
        <is>
          <t>u1</t>
        </is>
      </c>
      <c r="L97" s="1" t="inlineStr">
        <is>
          <t>u2</t>
        </is>
      </c>
      <c r="M97" s="1" t="inlineStr">
        <is>
          <t>u3</t>
        </is>
      </c>
      <c r="N97" s="1" t="inlineStr">
        <is>
          <t>u4</t>
        </is>
      </c>
      <c r="O97" s="1" t="inlineStr">
        <is>
          <t>u5</t>
        </is>
      </c>
      <c r="P97" s="1" t="inlineStr">
        <is>
          <t>u6</t>
        </is>
      </c>
      <c r="Q97" s="1" t="inlineStr">
        <is>
          <t>ub</t>
        </is>
      </c>
      <c r="R97" s="1" t="inlineStr">
        <is>
          <t>scale</t>
        </is>
      </c>
      <c r="S97" s="1" t="inlineStr">
        <is>
          <t>negative</t>
        </is>
      </c>
      <c r="T97" s="1" t="n"/>
    </row>
    <row r="98" customFormat="1" s="3">
      <c r="A98" s="3" t="inlineStr">
        <is>
          <t>heat, residential, by combustion of methanol using boiler, distributed by truck, produced with coal</t>
        </is>
      </c>
      <c r="B98" s="4" t="n">
        <v>1</v>
      </c>
      <c r="C98" s="3" t="inlineStr">
        <is>
          <t>megajoule</t>
        </is>
      </c>
      <c r="E98" s="4" t="inlineStr">
        <is>
          <t>RER</t>
        </is>
      </c>
      <c r="F98" s="3" t="inlineStr">
        <is>
          <t>production</t>
        </is>
      </c>
      <c r="G98" s="3" t="inlineStr">
        <is>
          <t>heat, from residential heating system</t>
        </is>
      </c>
    </row>
    <row r="99" customFormat="1" s="3">
      <c r="A99" s="3" t="inlineStr">
        <is>
          <t>methanol production, coal gasification</t>
        </is>
      </c>
      <c r="B99" s="11" t="n">
        <v>0.05555555555555556</v>
      </c>
      <c r="C99" s="3" t="inlineStr">
        <is>
          <t>kilogram</t>
        </is>
      </c>
      <c r="E99" s="4" t="inlineStr">
        <is>
          <t>RoW</t>
        </is>
      </c>
      <c r="F99" s="3" t="inlineStr">
        <is>
          <t>technosphere</t>
        </is>
      </c>
      <c r="G99" s="3" t="inlineStr">
        <is>
          <t>methanol</t>
        </is>
      </c>
      <c r="H99" s="8" t="inlineStr">
        <is>
          <t>Methanol input. 1 [MJ]/ 19.9 [MJ/kg methanol]/ eff.(th)</t>
        </is>
      </c>
      <c r="I99" s="3" t="n">
        <v>2</v>
      </c>
      <c r="J99" s="3" t="n">
        <v>-2.890371757896165</v>
      </c>
      <c r="K99" s="3" t="n">
        <v>1.05</v>
      </c>
      <c r="L99" s="12" t="n">
        <v>1.2</v>
      </c>
      <c r="M99" s="3" t="n">
        <v>1</v>
      </c>
      <c r="N99" s="3" t="n">
        <v>1.01</v>
      </c>
      <c r="O99" s="3" t="n">
        <v>1.2</v>
      </c>
      <c r="P99" s="3" t="n">
        <v>1.2</v>
      </c>
      <c r="Q99" s="3" t="n">
        <v>1.05</v>
      </c>
      <c r="R99" s="3" t="n">
        <v>0.1616967992407096</v>
      </c>
    </row>
    <row r="100" customFormat="1" s="3">
      <c r="A100" s="3" t="inlineStr">
        <is>
          <t>fuel cell system assembly, 1 kWe, proton exchange membrane (PEM)</t>
        </is>
      </c>
      <c r="B100" s="6" t="n">
        <v>0</v>
      </c>
      <c r="C100" s="3" t="inlineStr">
        <is>
          <t>unit</t>
        </is>
      </c>
      <c r="E100" s="3" t="inlineStr">
        <is>
          <t>GLO</t>
        </is>
      </c>
      <c r="F100" s="3" t="inlineStr">
        <is>
          <t>technosphere</t>
        </is>
      </c>
      <c r="G100" s="3" t="inlineStr">
        <is>
          <t>fuel cell system, 1 kWe, proton exchange membrane (PEM)</t>
        </is>
      </c>
      <c r="H100" s="3" t="inlineStr">
        <is>
          <t>Operational time of 20,000 hours at power of 1 kWe. Due to the degradation effects the hydrogen consumption must be increased to always generate the power of 1 kWe. Because of dynamic operational regime 5 replacements of the PEMFC stack are included (lifetime of 3'800 hours per stack), while the BoP lasts the whole operational time.</t>
        </is>
      </c>
      <c r="I100" s="3" t="n">
        <v>1</v>
      </c>
      <c r="J100" s="3" t="n">
        <v>0</v>
      </c>
      <c r="K100" s="3" t="n">
        <v>1.05</v>
      </c>
      <c r="L100" s="12" t="n">
        <v>1.2</v>
      </c>
      <c r="M100" s="3" t="n">
        <v>1</v>
      </c>
      <c r="N100" s="3" t="n">
        <v>1.01</v>
      </c>
      <c r="O100" s="3" t="n">
        <v>1.2</v>
      </c>
      <c r="P100" s="3" t="n">
        <v>1.2</v>
      </c>
      <c r="Q100" s="3" t="n">
        <v>3</v>
      </c>
      <c r="R100" s="3" t="n">
        <v>0.572090880068819</v>
      </c>
    </row>
    <row r="101" customFormat="1" s="3">
      <c r="A101" s="3" t="inlineStr">
        <is>
          <t>market for oil boiler, 10kW</t>
        </is>
      </c>
      <c r="B101" s="10" t="n">
        <v>7.348618459729571e-07</v>
      </c>
      <c r="C101" s="3" t="inlineStr">
        <is>
          <t>unit</t>
        </is>
      </c>
      <c r="E101" s="3" t="inlineStr">
        <is>
          <t>GLO</t>
        </is>
      </c>
      <c r="F101" s="3" t="inlineStr">
        <is>
          <t>technosphere</t>
        </is>
      </c>
      <c r="G101" s="3" t="inlineStr">
        <is>
          <t>oil boiler, 10kW</t>
        </is>
      </c>
      <c r="H101" s="3" t="inlineStr">
        <is>
          <t>1/(Cap. [kW] * lifetime [y] * annual operation [h] * 3.6 [MJ/kWh])</t>
        </is>
      </c>
      <c r="I101" s="3" t="n">
        <v>2</v>
      </c>
      <c r="J101" s="3" t="n">
        <v>-14.12358332006379</v>
      </c>
      <c r="K101" s="3" t="n">
        <v>1.05</v>
      </c>
      <c r="L101" s="12" t="n">
        <v>1.2</v>
      </c>
      <c r="M101" s="3" t="n">
        <v>1</v>
      </c>
      <c r="N101" s="3" t="n">
        <v>1.01</v>
      </c>
      <c r="O101" s="3" t="n">
        <v>1.2</v>
      </c>
      <c r="P101" s="3" t="n">
        <v>1.2</v>
      </c>
      <c r="Q101" s="3" t="n">
        <v>3</v>
      </c>
      <c r="R101" s="3" t="n">
        <v>0.572090880068819</v>
      </c>
    </row>
    <row r="102" customFormat="1" s="3">
      <c r="A102" s="3" t="inlineStr">
        <is>
          <t>market for oil storage, 3000l</t>
        </is>
      </c>
      <c r="B102" s="10" t="n">
        <v>4.4092e-07</v>
      </c>
      <c r="C102" s="3" t="inlineStr">
        <is>
          <t>unit</t>
        </is>
      </c>
      <c r="E102" s="3" t="inlineStr">
        <is>
          <t>GLO</t>
        </is>
      </c>
      <c r="F102" s="3" t="inlineStr">
        <is>
          <t>technosphere</t>
        </is>
      </c>
      <c r="G102" s="3" t="inlineStr">
        <is>
          <t>oil storage, 3000l</t>
        </is>
      </c>
      <c r="I102" s="3" t="n">
        <v>2</v>
      </c>
      <c r="J102" s="3" t="n">
        <v>-14.6344023838513</v>
      </c>
      <c r="K102" s="3" t="n">
        <v>1.05</v>
      </c>
      <c r="L102" s="12" t="n">
        <v>1.2</v>
      </c>
      <c r="M102" s="3" t="n">
        <v>1</v>
      </c>
      <c r="N102" s="3" t="n">
        <v>1.01</v>
      </c>
      <c r="O102" s="3" t="n">
        <v>1.2</v>
      </c>
      <c r="P102" s="3" t="n">
        <v>1.2</v>
      </c>
      <c r="Q102" s="3" t="n">
        <v>3</v>
      </c>
      <c r="R102" s="3" t="n">
        <v>0.572090880068819</v>
      </c>
    </row>
    <row r="103" customFormat="1" s="3">
      <c r="A103" s="3" t="inlineStr">
        <is>
          <t>market for chimney</t>
        </is>
      </c>
      <c r="B103" s="6" t="n">
        <v>2.6455e-06</v>
      </c>
      <c r="C103" s="3" t="inlineStr">
        <is>
          <t>meter</t>
        </is>
      </c>
      <c r="E103" s="3" t="inlineStr">
        <is>
          <t>GLO</t>
        </is>
      </c>
      <c r="F103" s="3" t="inlineStr">
        <is>
          <t>technosphere</t>
        </is>
      </c>
      <c r="G103" s="3" t="inlineStr">
        <is>
          <t>chimney</t>
        </is>
      </c>
      <c r="I103" s="3" t="n">
        <v>2</v>
      </c>
      <c r="J103" s="3" t="n">
        <v>-12.84265047460222</v>
      </c>
      <c r="K103" s="3" t="n">
        <v>1.05</v>
      </c>
      <c r="L103" s="12" t="n">
        <v>1.2</v>
      </c>
      <c r="M103" s="3" t="n">
        <v>1</v>
      </c>
      <c r="N103" s="3" t="n">
        <v>1.01</v>
      </c>
      <c r="O103" s="3" t="n">
        <v>1.2</v>
      </c>
      <c r="P103" s="3" t="n">
        <v>1.2</v>
      </c>
      <c r="Q103" s="3" t="n">
        <v>3</v>
      </c>
      <c r="R103" s="3" t="n">
        <v>0.572090880068819</v>
      </c>
    </row>
    <row r="104" customFormat="1" s="3">
      <c r="A104" s="3" t="inlineStr">
        <is>
          <t>market for condensate from light oil boiler</t>
        </is>
      </c>
      <c r="B104" s="6" t="n">
        <v>-9.830000000000001e-06</v>
      </c>
      <c r="C104" s="3" t="inlineStr">
        <is>
          <t>cubic meter</t>
        </is>
      </c>
      <c r="E104" s="3" t="inlineStr">
        <is>
          <t>RoW</t>
        </is>
      </c>
      <c r="F104" s="3" t="inlineStr">
        <is>
          <t>technosphere</t>
        </is>
      </c>
      <c r="G104" s="3" t="inlineStr">
        <is>
          <t>condensate from light oil boiler</t>
        </is>
      </c>
      <c r="I104" s="3" t="n">
        <v>2</v>
      </c>
      <c r="J104" s="3" t="n">
        <v>-11.5300716238052</v>
      </c>
      <c r="K104" s="3" t="n">
        <v>1.05</v>
      </c>
      <c r="L104" s="12" t="n">
        <v>1.2</v>
      </c>
      <c r="M104" s="3" t="n">
        <v>1</v>
      </c>
      <c r="N104" s="3" t="n">
        <v>1.01</v>
      </c>
      <c r="O104" s="3" t="n">
        <v>1.2</v>
      </c>
      <c r="P104" s="3" t="n">
        <v>1.2</v>
      </c>
      <c r="Q104" s="3" t="n">
        <v>1.05</v>
      </c>
      <c r="R104" s="3" t="n">
        <v>0.1616967992407096</v>
      </c>
      <c r="S104" s="3" t="b">
        <v>1</v>
      </c>
    </row>
    <row r="105" customFormat="1" s="3">
      <c r="A105" s="3" t="inlineStr">
        <is>
          <t>market for hazardous waste, for incineration</t>
        </is>
      </c>
      <c r="B105" s="6" t="n">
        <v>-4.15e-06</v>
      </c>
      <c r="C105" s="3" t="inlineStr">
        <is>
          <t>kilogram</t>
        </is>
      </c>
      <c r="E105" s="4" t="inlineStr">
        <is>
          <t>Europe without Switzerland</t>
        </is>
      </c>
      <c r="F105" s="3" t="inlineStr">
        <is>
          <t>technosphere</t>
        </is>
      </c>
      <c r="G105" s="3" t="inlineStr">
        <is>
          <t>hazardous waste, for incineration</t>
        </is>
      </c>
      <c r="I105" s="3" t="n">
        <v>2</v>
      </c>
      <c r="J105" s="3" t="n">
        <v>-12.39240222372167</v>
      </c>
      <c r="K105" s="3" t="n">
        <v>1.05</v>
      </c>
      <c r="L105" s="12" t="n">
        <v>1.2</v>
      </c>
      <c r="M105" s="3" t="n">
        <v>1</v>
      </c>
      <c r="N105" s="3" t="n">
        <v>1.01</v>
      </c>
      <c r="O105" s="3" t="n">
        <v>1.2</v>
      </c>
      <c r="P105" s="3" t="n">
        <v>1.2</v>
      </c>
      <c r="Q105" s="3" t="n">
        <v>1.05</v>
      </c>
      <c r="R105" s="3" t="n">
        <v>0.1616967992407096</v>
      </c>
      <c r="S105" s="3" t="b">
        <v>1</v>
      </c>
    </row>
    <row r="106" customFormat="1" s="3">
      <c r="A106" s="3" t="inlineStr">
        <is>
          <t>market group for electricity, low voltage</t>
        </is>
      </c>
      <c r="B106" s="6" t="n">
        <v>0.0027275</v>
      </c>
      <c r="C106" s="3" t="inlineStr">
        <is>
          <t>kilowatt hour</t>
        </is>
      </c>
      <c r="E106" s="4" t="inlineStr">
        <is>
          <t>RER</t>
        </is>
      </c>
      <c r="F106" s="3" t="inlineStr">
        <is>
          <t>technosphere</t>
        </is>
      </c>
      <c r="G106" s="3" t="inlineStr">
        <is>
          <t>electricity, low voltage</t>
        </is>
      </c>
      <c r="H106" s="3" t="inlineStr">
        <is>
          <t>To operate the boiler.</t>
        </is>
      </c>
      <c r="I106" s="3" t="n">
        <v>2</v>
      </c>
      <c r="J106" s="3" t="n">
        <v>-5.904369840257048</v>
      </c>
      <c r="K106" s="3" t="n">
        <v>1.05</v>
      </c>
      <c r="L106" s="12" t="n">
        <v>1.2</v>
      </c>
      <c r="M106" s="3" t="n">
        <v>1</v>
      </c>
      <c r="N106" s="3" t="n">
        <v>1.01</v>
      </c>
      <c r="O106" s="3" t="n">
        <v>1.2</v>
      </c>
      <c r="P106" s="3" t="n">
        <v>1.2</v>
      </c>
      <c r="Q106" s="3" t="n">
        <v>1.05</v>
      </c>
      <c r="R106" s="3" t="n">
        <v>0.1616967992407096</v>
      </c>
    </row>
    <row r="107" customFormat="1" s="3">
      <c r="A107" s="3" t="inlineStr">
        <is>
          <t>Water</t>
        </is>
      </c>
      <c r="B107" s="6">
        <f>0.0625/1000</f>
        <v>6.2500000000000001E-5</v>
      </c>
      <c r="C107" s="3" t="inlineStr">
        <is>
          <t>cubic meter</t>
        </is>
      </c>
      <c r="D107" s="3" t="inlineStr">
        <is>
          <t>air</t>
        </is>
      </c>
      <c r="F107" s="3" t="inlineStr">
        <is>
          <t>biosphere</t>
        </is>
      </c>
      <c r="H107" s="3" t="inlineStr">
        <is>
          <t>1.125kg water per kg methanol</t>
        </is>
      </c>
      <c r="I107" s="3" t="n">
        <v>2</v>
      </c>
      <c r="J107" s="3" t="n">
        <v>-2.772588722239781</v>
      </c>
      <c r="K107" s="3" t="n">
        <v>1.05</v>
      </c>
      <c r="L107" s="12" t="n">
        <v>1.2</v>
      </c>
      <c r="M107" s="3" t="n">
        <v>1</v>
      </c>
      <c r="N107" s="3" t="n">
        <v>1.01</v>
      </c>
      <c r="O107" s="3" t="n">
        <v>1.2</v>
      </c>
      <c r="P107" s="3" t="n">
        <v>1.2</v>
      </c>
      <c r="Q107" s="3" t="n">
        <v>1.5</v>
      </c>
      <c r="R107" s="3" t="n">
        <v>0.2581689821184212</v>
      </c>
    </row>
    <row r="108" customFormat="1" s="3">
      <c r="A108" s="3" t="inlineStr">
        <is>
          <t>Carbon dioxide, fossil</t>
        </is>
      </c>
      <c r="B108" s="6" t="n">
        <v>0.07622222222222223</v>
      </c>
      <c r="C108" s="3" t="inlineStr">
        <is>
          <t>kilogram</t>
        </is>
      </c>
      <c r="D108" s="3" t="inlineStr">
        <is>
          <t>air::urban air close to ground</t>
        </is>
      </c>
      <c r="F108" s="3" t="inlineStr">
        <is>
          <t>biosphere</t>
        </is>
      </c>
      <c r="H108" s="3" t="inlineStr">
        <is>
          <t>Adapted from "heat production, light fuel oil, at boiler 10kW condensing, non-modulating"</t>
        </is>
      </c>
      <c r="I108" s="3" t="n">
        <v>2</v>
      </c>
      <c r="J108" s="3" t="n">
        <v>-2.574102228592471</v>
      </c>
      <c r="K108" s="3" t="n">
        <v>1.05</v>
      </c>
      <c r="L108" s="12" t="n">
        <v>1.2</v>
      </c>
      <c r="M108" s="3" t="n">
        <v>1</v>
      </c>
      <c r="N108" s="3" t="n">
        <v>1.01</v>
      </c>
      <c r="O108" s="3" t="n">
        <v>1.2</v>
      </c>
      <c r="P108" s="3" t="n">
        <v>1.2</v>
      </c>
      <c r="Q108" s="3" t="n">
        <v>1.05</v>
      </c>
      <c r="R108" s="3" t="n">
        <v>0.1616967992407096</v>
      </c>
    </row>
    <row r="109" customFormat="1" s="3">
      <c r="A109" s="3" t="inlineStr">
        <is>
          <t>Carbon monoxide, fossil</t>
        </is>
      </c>
      <c r="B109" s="6" t="n">
        <v>9e-06</v>
      </c>
      <c r="C109" s="3" t="inlineStr">
        <is>
          <t>kilogram</t>
        </is>
      </c>
      <c r="D109" s="3" t="inlineStr">
        <is>
          <t>air::urban air close to ground</t>
        </is>
      </c>
      <c r="F109" s="3" t="inlineStr">
        <is>
          <t>biosphere</t>
        </is>
      </c>
      <c r="H109" s="3" t="inlineStr">
        <is>
          <t>Adapted from "heat production, light fuel oil, at boiler 10kW condensing, non-modulating"</t>
        </is>
      </c>
      <c r="I109" s="3" t="n">
        <v>2</v>
      </c>
      <c r="J109" s="3" t="n">
        <v>-11.61828598062806</v>
      </c>
      <c r="K109" s="3" t="n">
        <v>1.5</v>
      </c>
      <c r="L109" s="3" t="n">
        <v>1.2</v>
      </c>
      <c r="M109" s="3" t="n">
        <v>1.5</v>
      </c>
      <c r="N109" s="3" t="n">
        <v>1.1</v>
      </c>
      <c r="O109" s="3" t="n">
        <v>2</v>
      </c>
      <c r="P109" s="3" t="n">
        <v>1.2</v>
      </c>
      <c r="Q109" s="3" t="n">
        <v>5</v>
      </c>
      <c r="R109" s="3" t="n">
        <v>0.9320828351335841</v>
      </c>
    </row>
    <row r="110" customFormat="1" s="3">
      <c r="A110" s="3" t="inlineStr">
        <is>
          <t>Nitrogen oxides</t>
        </is>
      </c>
      <c r="B110" s="6" t="n">
        <v>6.875e-06</v>
      </c>
      <c r="C110" s="3" t="inlineStr">
        <is>
          <t>kilogram</t>
        </is>
      </c>
      <c r="D110" s="3" t="inlineStr">
        <is>
          <t>air::urban air close to ground</t>
        </is>
      </c>
      <c r="F110" s="3" t="inlineStr">
        <is>
          <t>biosphere</t>
        </is>
      </c>
      <c r="H110" s="3" t="inlineStr">
        <is>
          <t>Emission factor for light fuel oil reduced by 75% to consider the use of methanol.</t>
        </is>
      </c>
      <c r="I110" s="3" t="n">
        <v>2</v>
      </c>
      <c r="J110" s="3" t="n">
        <v>-11.88761891441164</v>
      </c>
      <c r="K110" s="3" t="n">
        <v>1.05</v>
      </c>
      <c r="L110" s="12" t="n">
        <v>1.2</v>
      </c>
      <c r="M110" s="3" t="n">
        <v>1</v>
      </c>
      <c r="N110" s="3" t="n">
        <v>1.01</v>
      </c>
      <c r="O110" s="3" t="n">
        <v>1.2</v>
      </c>
      <c r="P110" s="3" t="n">
        <v>1.2</v>
      </c>
      <c r="Q110" s="3" t="n">
        <v>1.5</v>
      </c>
      <c r="R110" s="3" t="n">
        <v>0.2581689821184212</v>
      </c>
    </row>
    <row r="111" customFormat="1" s="3">
      <c r="A111" s="3" t="inlineStr">
        <is>
          <t>Particulate Matter, &lt; 2.5 um</t>
        </is>
      </c>
      <c r="B111" s="6" t="n">
        <v>1.25e-07</v>
      </c>
      <c r="C111" s="3" t="inlineStr">
        <is>
          <t>kilogram</t>
        </is>
      </c>
      <c r="D111" s="3" t="inlineStr">
        <is>
          <t>air::urban air close to ground</t>
        </is>
      </c>
      <c r="F111" s="3" t="inlineStr">
        <is>
          <t>biosphere</t>
        </is>
      </c>
      <c r="H111" s="3" t="inlineStr">
        <is>
          <t>Adapted from "heat production, light fuel oil, at boiler 10kW condensing, non-modulating"</t>
        </is>
      </c>
      <c r="I111" s="3" t="n">
        <v>2</v>
      </c>
      <c r="J111" s="3" t="n">
        <v>-15.89495209964411</v>
      </c>
      <c r="K111" s="3" t="n">
        <v>1.05</v>
      </c>
      <c r="L111" s="12" t="n">
        <v>1.2</v>
      </c>
      <c r="M111" s="3" t="n">
        <v>1</v>
      </c>
      <c r="N111" s="3" t="n">
        <v>1.01</v>
      </c>
      <c r="O111" s="3" t="n">
        <v>1.2</v>
      </c>
      <c r="P111" s="3" t="n">
        <v>1.2</v>
      </c>
      <c r="Q111" s="3" t="n">
        <v>3</v>
      </c>
      <c r="R111" s="3" t="n">
        <v>0.572090880068819</v>
      </c>
    </row>
    <row r="112" customFormat="1" s="3">
      <c r="B112" s="6" t="n"/>
    </row>
  </sheetData>
  <autoFilter ref="A1:T112"/>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Romain Sacchi</dc:creator>
  <dcterms:created xmlns:dcterms="http://purl.org/dc/terms/" xmlns:xsi="http://www.w3.org/2001/XMLSchema-instance" xsi:type="dcterms:W3CDTF">2023-11-02T10:27:27Z</dcterms:created>
  <dcterms:modified xmlns:dcterms="http://purl.org/dc/terms/" xmlns:xsi="http://www.w3.org/2001/XMLSchema-instance" xsi:type="dcterms:W3CDTF">2026-07-07T14:16:30Z</dcterms:modified>
  <cp:lastModifiedBy>Romain Sacchi</cp:lastModifiedBy>
</cp:coreProperties>
</file>