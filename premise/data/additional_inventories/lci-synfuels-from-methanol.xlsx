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760" windowWidth="22140" windowHeight="18880" tabRatio="600" firstSheet="0" activeTab="1" autoFilterDateGrouping="1"/>
  </bookViews>
  <sheets>
    <sheet xmlns:r="http://schemas.openxmlformats.org/officeDocument/2006/relationships" name="MTG Process description" sheetId="1" state="visible" r:id="rId1"/>
    <sheet xmlns:r="http://schemas.openxmlformats.org/officeDocument/2006/relationships" name="LCI" sheetId="2" state="visible" r:id="rId2"/>
  </sheets>
  <definedNames>
    <definedName name="_xlnm._FilterDatabase" localSheetId="1" hidden="1">'LCI'!$A$1:$K$350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_ [$€-2]\ * #,##0.00_ ;_ [$€-2]\ * \-#,##0.00_ ;_ [$€-2]\ * &quot;-&quot;??_ ;_ @_ 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5" fillId="0" borderId="0"/>
    <xf numFmtId="9" fontId="5" fillId="0" borderId="0"/>
    <xf numFmtId="0" fontId="6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0" fontId="6" fillId="0" borderId="0" pivotButton="0" quotePrefix="0" xfId="2"/>
    <xf numFmtId="0" fontId="7" fillId="0" borderId="0" pivotButton="0" quotePrefix="0" xfId="0"/>
    <xf numFmtId="0" fontId="0" fillId="2" borderId="0" pivotButton="0" quotePrefix="0" xfId="0"/>
    <xf numFmtId="2" fontId="2" fillId="2" borderId="0" pivotButton="0" quotePrefix="0" xfId="0"/>
    <xf numFmtId="0" fontId="0" fillId="2" borderId="1" pivotButton="0" quotePrefix="0" xfId="0"/>
    <xf numFmtId="2" fontId="0" fillId="2" borderId="0" pivotButton="0" quotePrefix="0" xfId="0"/>
    <xf numFmtId="9" fontId="0" fillId="2" borderId="0" pivotButton="0" quotePrefix="0" xfId="1"/>
    <xf numFmtId="164" fontId="8" fillId="2" borderId="0" pivotButton="0" quotePrefix="0" xfId="0"/>
    <xf numFmtId="0" fontId="0" fillId="2" borderId="2" pivotButton="0" quotePrefix="0" xfId="0"/>
    <xf numFmtId="164" fontId="0" fillId="2" borderId="0" pivotButton="0" quotePrefix="0" xfId="0"/>
    <xf numFmtId="0" fontId="0" fillId="2" borderId="3" pivotButton="0" quotePrefix="0" xfId="0"/>
    <xf numFmtId="2" fontId="0" fillId="0" borderId="0" pivotButton="0" quotePrefix="0" xfId="0"/>
    <xf numFmtId="9" fontId="0" fillId="0" borderId="0" pivotButton="0" quotePrefix="0" xfId="1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165" fontId="0" fillId="3" borderId="0" pivotButton="0" quotePrefix="0" xfId="0"/>
    <xf numFmtId="166" fontId="0" fillId="3" borderId="0" pivotButton="0" quotePrefix="0" xfId="1"/>
    <xf numFmtId="2" fontId="8" fillId="3" borderId="0" pivotButton="0" quotePrefix="0" xfId="0"/>
    <xf numFmtId="2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0" borderId="0" pivotButton="0" quotePrefix="0" xfId="0"/>
  </cellXfs>
  <cellStyles count="3">
    <cellStyle name="Normal" xfId="0" builtinId="0"/>
    <cellStyle name="Per 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ufop.de/files/8913/8384/3541/20131107_FVV-Kraftstoffstudie_LBST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fop.de/files/8913/8384/3541/20131107_FVV-Kraftstoffstudie_LBST.pdf" TargetMode="External" Id="rId1"/><Relationship Type="http://schemas.openxmlformats.org/officeDocument/2006/relationships/hyperlink" Target="https://www.ufop.de/files/8913/8384/3541/20131107_FVV-Kraftstoffstudie_LBST.pdf" TargetMode="External" Id="rId2"/><Relationship Type="http://schemas.openxmlformats.org/officeDocument/2006/relationships/hyperlink" Target="https://www.ufop.de/files/8913/8384/3541/20131107_FVV-Kraftstoffstudie_LBST.pdf" TargetMode="External" Id="rId3"/><Relationship Type="http://schemas.openxmlformats.org/officeDocument/2006/relationships/hyperlink" Target="https://www.ufop.de/files/8913/8384/3541/20131107_FVV-Kraftstoffstudie_LBST.pdf" TargetMode="External" Id="rId4"/><Relationship Type="http://schemas.openxmlformats.org/officeDocument/2006/relationships/hyperlink" Target="https://www.ufop.de/files/8913/8384/3541/20131107_FVV-Kraftstoffstudie_LBST.pdf" TargetMode="External" Id="rId5"/><Relationship Type="http://schemas.openxmlformats.org/officeDocument/2006/relationships/hyperlink" Target="https://www.ufop.de/files/8913/8384/3541/20131107_FVV-Kraftstoffstudie_LBST.pdf" TargetMode="External" Id="rId6"/><Relationship Type="http://schemas.openxmlformats.org/officeDocument/2006/relationships/hyperlink" Target="https://www.ufop.de/files/8913/8384/3541/20131107_FVV-Kraftstoffstudie_LBST.pdf" TargetMode="External" Id="rId7"/><Relationship Type="http://schemas.openxmlformats.org/officeDocument/2006/relationships/hyperlink" Target="https://www.ufop.de/files/8913/8384/3541/20131107_FVV-Kraftstoffstudie_LBST.pdf" TargetMode="External" Id="rId8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42"/>
  <sheetViews>
    <sheetView zoomScale="85" zoomScaleNormal="85" workbookViewId="0">
      <selection activeCell="B3" sqref="B3"/>
    </sheetView>
  </sheetViews>
  <sheetFormatPr baseColWidth="10" defaultColWidth="8.83203125" defaultRowHeight="15"/>
  <cols>
    <col width="27.33203125" bestFit="1" customWidth="1" min="1" max="1"/>
    <col width="12.33203125" bestFit="1" customWidth="1" min="3" max="3"/>
    <col width="8.6640625" bestFit="1" customWidth="1" min="4" max="4"/>
    <col width="24.83203125" bestFit="1" customWidth="1" min="5" max="5"/>
    <col width="18.5" bestFit="1" customWidth="1" min="6" max="6"/>
    <col width="32.1640625" bestFit="1" customWidth="1" min="7" max="7"/>
    <col width="32.6640625" bestFit="1" customWidth="1" min="8" max="8"/>
    <col width="25.83203125" customWidth="1" min="9" max="9"/>
    <col width="26" bestFit="1" customWidth="1" min="10" max="10"/>
    <col width="22.33203125" bestFit="1" customWidth="1" min="11" max="11"/>
  </cols>
  <sheetData>
    <row r="1">
      <c r="A1" t="inlineStr">
        <is>
          <t>skip</t>
        </is>
      </c>
    </row>
    <row r="2">
      <c r="A2" t="inlineStr">
        <is>
          <t>source for methanol production</t>
        </is>
      </c>
      <c r="B2" t="inlineStr">
        <is>
          <t>Comparative well-to-wheel life cycle assessment of OME3–5 synfuel production via the power-to-liquid pathway, Hank et al. 2019. https://doi.org/10.1039/C9SE00658C</t>
        </is>
      </c>
    </row>
    <row r="3">
      <c r="A3" t="inlineStr">
        <is>
          <t>source for methanol-to-olefins</t>
        </is>
      </c>
      <c r="B3" s="6" t="inlineStr">
        <is>
          <t>https://www.ufop.de/files/8913/8384/3541/20131107_FVV-Kraftstoffstudie_LBST.pdf</t>
        </is>
      </c>
    </row>
    <row r="4"/>
    <row r="5"/>
    <row r="6">
      <c r="A6" s="2" t="inlineStr">
        <is>
          <t>Methanol-to-Olefins (MTO)</t>
        </is>
      </c>
    </row>
    <row r="7"/>
    <row r="8">
      <c r="A8" s="2" t="inlineStr">
        <is>
          <t>Energy-based allocation</t>
        </is>
      </c>
      <c r="B8" s="7" t="inlineStr">
        <is>
          <t>Optimized for diesel and kerosene production</t>
        </is>
      </c>
    </row>
    <row r="9">
      <c r="A9" s="8" t="n"/>
      <c r="B9" s="8" t="n"/>
      <c r="C9" s="8" t="inlineStr">
        <is>
          <t>LHV [MJ/kg]</t>
        </is>
      </c>
      <c r="D9" s="8" t="inlineStr">
        <is>
          <t>Mass [kg]</t>
        </is>
      </c>
      <c r="E9" s="8" t="inlineStr">
        <is>
          <t>Energy produced [MJ]</t>
        </is>
      </c>
      <c r="F9" s="8" t="inlineStr">
        <is>
          <t>Energy produced [%]</t>
        </is>
      </c>
      <c r="G9" s="8" t="inlineStr">
        <is>
          <t>Mass methanol, allocated [kg/kg fuel]</t>
        </is>
      </c>
      <c r="H9" s="8" t="inlineStr">
        <is>
          <t>CO2 captured from methanol [kg/kg]</t>
        </is>
      </c>
      <c r="I9" s="8" t="inlineStr">
        <is>
          <t>CO2 content of fuel [kg CO2/kg]</t>
        </is>
      </c>
      <c r="J9" s="8" t="inlineStr">
        <is>
          <t>Carbon correction [kg/kg]</t>
        </is>
      </c>
    </row>
    <row r="10">
      <c r="A10" s="8" t="inlineStr">
        <is>
          <t>Methanol</t>
        </is>
      </c>
      <c r="B10" s="8" t="n"/>
      <c r="C10" s="8" t="n">
        <v>19</v>
      </c>
      <c r="D10" s="9" t="n">
        <v>2.42</v>
      </c>
      <c r="E10" s="8" t="n"/>
      <c r="F10" s="8" t="n"/>
      <c r="G10" s="8" t="n"/>
      <c r="H10" s="8" t="n">
        <v>1.37</v>
      </c>
      <c r="I10" s="8" t="n"/>
      <c r="J10" s="8" t="n"/>
    </row>
    <row r="11" ht="16" customHeight="1" thickBo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inlineStr">
        <is>
          <t>Diesel</t>
        </is>
      </c>
      <c r="B12" s="8" t="n"/>
      <c r="C12" s="8" t="n">
        <v>44</v>
      </c>
      <c r="D12" s="10" t="n">
        <v>0.365</v>
      </c>
      <c r="E12" s="11">
        <f>D12*C12</f>
        <v>16.059999999999999</v>
      </c>
      <c r="F12" s="12">
        <f>E12/SUM($E$12:$E$15)</f>
        <v>0.36968151224138407</v>
      </c>
      <c r="G12" s="13">
        <f>F12*$D$10/D12</f>
        <v>2.451039067463423</v>
      </c>
      <c r="H12" s="11">
        <f>-$H$10*G12</f>
        <v>-3.35792352242489</v>
      </c>
      <c r="I12" s="11" t="n">
        <v>3.16</v>
      </c>
      <c r="J12" s="11">
        <f>I12+H12</f>
        <v>-0.19792352242488986</v>
      </c>
    </row>
    <row r="13">
      <c r="A13" s="8" t="inlineStr">
        <is>
          <t>LPG</t>
        </is>
      </c>
      <c r="B13" s="8" t="n"/>
      <c r="C13" s="8" t="n">
        <v>45.5</v>
      </c>
      <c r="D13" s="14" t="n">
        <v>0.08599999999999999</v>
      </c>
      <c r="E13" s="11">
        <f>D13*C13</f>
        <v>3.9129999999999998</v>
      </c>
      <c r="F13" s="12">
        <f>E13/SUM($E$12:$E$15)</f>
        <v>9.0072463100905095E-2</v>
      </c>
      <c r="G13" s="15">
        <f>F13*$D$10/D13</f>
        <v>2.5345972174905853</v>
      </c>
      <c r="H13" s="11">
        <f>-$H$10*G13</f>
        <v>-3.472398187962102</v>
      </c>
      <c r="I13" s="11" t="n">
        <v>3.01</v>
      </c>
      <c r="J13" s="11">
        <f>I13+H13</f>
        <v>-0.46239818796210219</v>
      </c>
    </row>
    <row r="14">
      <c r="A14" s="8" t="inlineStr">
        <is>
          <t>Gasoline</t>
        </is>
      </c>
      <c r="B14" s="8" t="n"/>
      <c r="C14" s="8" t="n">
        <v>43.4</v>
      </c>
      <c r="D14" s="14" t="n">
        <v>0.103</v>
      </c>
      <c r="E14" s="11">
        <f>D14*C14</f>
        <v>4.4701999999999993</v>
      </c>
      <c r="F14" s="12">
        <f>E14/SUM($E$12:$E$15)</f>
        <v>0.10289852403620392</v>
      </c>
      <c r="G14" s="15">
        <f>F14*$D$10/D14</f>
        <v>2.4176158074525582</v>
      </c>
      <c r="H14" s="11">
        <f>-$H$10*G14</f>
        <v>-3.3121336562100052</v>
      </c>
      <c r="I14" s="11" t="n">
        <v>3.14</v>
      </c>
      <c r="J14" s="11">
        <f>I14+H14</f>
        <v>-0.17213365621000509</v>
      </c>
    </row>
    <row r="15" ht="16" customHeight="1" thickBot="1">
      <c r="A15" s="8" t="inlineStr">
        <is>
          <t>Kerosene</t>
        </is>
      </c>
      <c r="B15" s="8" t="n"/>
      <c r="C15" s="8" t="n">
        <v>42.6</v>
      </c>
      <c r="D15" s="16" t="n">
        <v>0.446</v>
      </c>
      <c r="E15" s="11">
        <f>D15*C15</f>
        <v>18.999600000000001</v>
      </c>
      <c r="F15" s="12">
        <f>E15/SUM($E$12:$E$15)</f>
        <v>0.43734750062150696</v>
      </c>
      <c r="G15" s="13">
        <f>F15*$D$10/D15</f>
        <v>2.3730514607714053</v>
      </c>
      <c r="H15" s="11">
        <f>-$H$10*G15</f>
        <v>-3.2510805012568254</v>
      </c>
      <c r="I15" s="11" t="n">
        <v>3.14</v>
      </c>
      <c r="J15" s="11">
        <f>I15+H15</f>
        <v>-0.11108050125682523</v>
      </c>
    </row>
    <row r="16">
      <c r="E16" s="17" t="n"/>
      <c r="F16" s="18" t="n"/>
      <c r="G16" s="17" t="n"/>
      <c r="H16" s="17" t="n"/>
      <c r="I16" s="17" t="n"/>
      <c r="J16" s="17" t="n"/>
    </row>
    <row r="17">
      <c r="A17" s="2" t="inlineStr">
        <is>
          <t>Energy-based allocation</t>
        </is>
      </c>
      <c r="B17" s="7" t="inlineStr">
        <is>
          <t>Optimized for gasoline production</t>
        </is>
      </c>
    </row>
    <row r="18">
      <c r="A18" s="8" t="n"/>
      <c r="B18" s="8" t="n"/>
      <c r="C18" s="8" t="inlineStr">
        <is>
          <t>LHV [MJ/kg]</t>
        </is>
      </c>
      <c r="D18" s="8" t="inlineStr">
        <is>
          <t>Mass [kg]</t>
        </is>
      </c>
      <c r="E18" s="8" t="inlineStr">
        <is>
          <t>Energy produced [MJ]</t>
        </is>
      </c>
      <c r="F18" s="8" t="inlineStr">
        <is>
          <t>Energy produced [%]</t>
        </is>
      </c>
      <c r="G18" s="8" t="inlineStr">
        <is>
          <t>Mass methanol, allocated [kg/kg fuel]</t>
        </is>
      </c>
      <c r="H18" s="8" t="inlineStr">
        <is>
          <t>CO2 captured from methanol [kg/kg]</t>
        </is>
      </c>
      <c r="I18" s="8" t="inlineStr">
        <is>
          <t>CO2 content of fuel [kg CO2/kg]</t>
        </is>
      </c>
      <c r="J18" s="8" t="inlineStr">
        <is>
          <t>Carbon correction [kg/kg]</t>
        </is>
      </c>
    </row>
    <row r="19">
      <c r="A19" s="8" t="inlineStr">
        <is>
          <t>Methanol</t>
        </is>
      </c>
      <c r="B19" s="8" t="n"/>
      <c r="C19" s="8" t="n">
        <v>19</v>
      </c>
      <c r="D19" s="9" t="n">
        <v>2.42</v>
      </c>
      <c r="E19" s="8" t="n"/>
      <c r="F19" s="8" t="n"/>
      <c r="G19" s="8" t="n"/>
      <c r="H19" s="8" t="n">
        <v>1.37</v>
      </c>
      <c r="I19" s="8" t="n"/>
      <c r="J19" s="8" t="n"/>
    </row>
    <row r="20" ht="16" customHeight="1" thickBo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inlineStr">
        <is>
          <t>Diesel</t>
        </is>
      </c>
      <c r="B21" s="8" t="n"/>
      <c r="C21" s="8" t="n">
        <v>44</v>
      </c>
      <c r="D21" s="10" t="n">
        <v>0.183</v>
      </c>
      <c r="E21" s="11">
        <f>D21*C21</f>
        <v>8.0519999999999996</v>
      </c>
      <c r="F21" s="12">
        <f>E21/SUM($E$21:$E$24)</f>
        <v>0.18519540737469639</v>
      </c>
      <c r="G21" s="15">
        <f>F21*$D$19/D21</f>
        <v>2.4490321630970779</v>
      </c>
      <c r="H21" s="11">
        <f>-$H$19*G21</f>
        <v>-3.355174063442997</v>
      </c>
      <c r="I21" s="11" t="n">
        <v>3.16</v>
      </c>
      <c r="J21" s="11">
        <f>I21+H21</f>
        <v>-0.19517406344299681</v>
      </c>
    </row>
    <row r="22">
      <c r="A22" s="8" t="inlineStr">
        <is>
          <t>LPG</t>
        </is>
      </c>
      <c r="B22" s="8" t="n"/>
      <c r="C22" s="8" t="n">
        <v>45.5</v>
      </c>
      <c r="D22" s="14" t="n">
        <v>0.08599999999999999</v>
      </c>
      <c r="E22" s="11">
        <f>D22*C22</f>
        <v>3.9129999999999998</v>
      </c>
      <c r="F22" s="12">
        <f>E22/SUM($E$21:$E$24)</f>
        <v>8.9998712004121587E-2</v>
      </c>
      <c r="G22" s="15">
        <f>F22*$D$19/D22</f>
        <v>2.5325218959299334</v>
      </c>
      <c r="H22" s="11">
        <f>-$H$19*G22</f>
        <v>-3.4695549974240092</v>
      </c>
      <c r="I22" s="11" t="n">
        <v>3.01</v>
      </c>
      <c r="J22" s="11">
        <f>I22+H22</f>
        <v>-0.4595549974240094</v>
      </c>
    </row>
    <row r="23">
      <c r="A23" s="8" t="inlineStr">
        <is>
          <t>Gasoline</t>
        </is>
      </c>
      <c r="B23" s="8" t="n"/>
      <c r="C23" s="8" t="n">
        <v>43.4</v>
      </c>
      <c r="D23" s="14" t="n">
        <v>0.466</v>
      </c>
      <c r="E23" s="11">
        <f>D23*C23</f>
        <v>20.224399999999999</v>
      </c>
      <c r="F23" s="12">
        <f>E23/SUM($E$21:$E$24)</f>
        <v>0.46515971148892321</v>
      </c>
      <c r="G23" s="13">
        <f>F23*$D$19/D23</f>
        <v>2.4156362699639358</v>
      </c>
      <c r="H23" s="11">
        <f>-$H$19*G23</f>
        <v>-3.3094216898505922</v>
      </c>
      <c r="I23" s="11" t="n">
        <v>3.14</v>
      </c>
      <c r="J23" s="11">
        <f>I23+H23</f>
        <v>-0.16942168985059203</v>
      </c>
    </row>
    <row r="24" ht="16" customHeight="1" thickBot="1">
      <c r="A24" s="8" t="inlineStr">
        <is>
          <t>Kerosene</t>
        </is>
      </c>
      <c r="B24" s="8" t="n"/>
      <c r="C24" s="8" t="n">
        <v>42.6</v>
      </c>
      <c r="D24" s="16" t="n">
        <v>0.265</v>
      </c>
      <c r="E24" s="11">
        <f>D24*C24</f>
        <v>11.289000000000001</v>
      </c>
      <c r="F24" s="12">
        <f>E24/SUM($E$21:$E$24)</f>
        <v>0.2596461691322588</v>
      </c>
      <c r="G24" s="15">
        <f>F24*$D$19/D24</f>
        <v>2.3711084124530801</v>
      </c>
      <c r="H24" s="11">
        <f>-$H$19*G24</f>
        <v>-3.2484185250607198</v>
      </c>
      <c r="I24" s="11" t="n">
        <v>3.14</v>
      </c>
      <c r="J24" s="11">
        <f>I24+H24</f>
        <v>-0.10841852506071969</v>
      </c>
    </row>
    <row r="25"/>
    <row r="26">
      <c r="A26" s="2" t="inlineStr">
        <is>
          <t>Economic-based allocation</t>
        </is>
      </c>
      <c r="B26" s="7" t="inlineStr">
        <is>
          <t>Optimized for diesel and kerosene production</t>
        </is>
      </c>
    </row>
    <row r="27">
      <c r="A27" s="19" t="n"/>
      <c r="B27" s="19" t="n"/>
      <c r="C27" s="19" t="inlineStr">
        <is>
          <t>LHV [MJ/kg]</t>
        </is>
      </c>
      <c r="D27" s="19" t="inlineStr">
        <is>
          <t>Mass [kg]</t>
        </is>
      </c>
      <c r="E27" s="19" t="inlineStr">
        <is>
          <t>Unitary price [Euro_2005/kg]</t>
        </is>
      </c>
      <c r="F27" s="19" t="inlineStr">
        <is>
          <t>Turnover [Euro_2005]</t>
        </is>
      </c>
      <c r="G27" s="19" t="inlineStr">
        <is>
          <t>Revenue produced [%]</t>
        </is>
      </c>
      <c r="H27" s="19" t="inlineStr">
        <is>
          <t>Mass methanol, allocated [kg methanol/kg fuel]</t>
        </is>
      </c>
      <c r="I27" s="19" t="inlineStr">
        <is>
          <t>CO2 captured from methanol [kg/kg]</t>
        </is>
      </c>
      <c r="J27" s="19" t="inlineStr">
        <is>
          <t>CO2 content of fuel [kg CO2/kg]</t>
        </is>
      </c>
      <c r="K27" s="19" t="inlineStr">
        <is>
          <t>Carbon correction [kg/kg]</t>
        </is>
      </c>
    </row>
    <row r="28">
      <c r="A28" s="19" t="inlineStr">
        <is>
          <t>Methanol</t>
        </is>
      </c>
      <c r="B28" s="19" t="n"/>
      <c r="C28" s="19" t="n">
        <v>19</v>
      </c>
      <c r="D28" s="20" t="n">
        <v>2.42</v>
      </c>
      <c r="E28" s="19" t="n"/>
      <c r="F28" s="19" t="n"/>
      <c r="G28" s="19" t="n"/>
      <c r="H28" s="19" t="n"/>
      <c r="I28" s="19" t="n">
        <v>1.37</v>
      </c>
      <c r="J28" s="19" t="n"/>
      <c r="K28" s="19" t="n"/>
    </row>
    <row r="29" ht="16" customHeight="1" thickBo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</row>
    <row r="30">
      <c r="A30" s="19" t="inlineStr">
        <is>
          <t>Diesel</t>
        </is>
      </c>
      <c r="B30" s="19" t="n"/>
      <c r="C30" s="19" t="n">
        <v>44</v>
      </c>
      <c r="D30" s="21" t="n">
        <v>0.365</v>
      </c>
      <c r="E30" s="22" t="n">
        <v>0.4</v>
      </c>
      <c r="F30" s="22">
        <f>E30*D30</f>
        <v>0.14599999999999999</v>
      </c>
      <c r="G30" s="23">
        <f>F30/SUM($F$30:$F$33)</f>
        <v>0.38761130550673545</v>
      </c>
      <c r="H30" s="24">
        <f>G30*$D$28/D30</f>
        <v>2.5699160529487663</v>
      </c>
      <c r="I30" s="25">
        <f>-$I$28*H30</f>
        <v>-3.5207849925398103</v>
      </c>
      <c r="J30" s="19" t="n">
        <v>3.16</v>
      </c>
      <c r="K30" s="25">
        <f>J30+I30</f>
        <v>-0.36078499253981011</v>
      </c>
    </row>
    <row r="31">
      <c r="A31" s="19" t="inlineStr">
        <is>
          <t>LPG</t>
        </is>
      </c>
      <c r="B31" s="19" t="n"/>
      <c r="C31" s="19" t="n">
        <v>45.5</v>
      </c>
      <c r="D31" s="26" t="n">
        <v>0.08599999999999999</v>
      </c>
      <c r="E31" s="22" t="n">
        <v>0.276</v>
      </c>
      <c r="F31" s="22">
        <f>E31*D31</f>
        <v>2.3736E-2</v>
      </c>
      <c r="G31" s="23">
        <f>F31/SUM($F$30:$F$33)</f>
        <v>6.3016040736355292E-2</v>
      </c>
      <c r="H31" s="25">
        <f>G31*$D$28/D31</f>
        <v>1.773242076534649</v>
      </c>
      <c r="I31" s="25">
        <f>-$I$28*H31</f>
        <v>-2.4293416448524692</v>
      </c>
      <c r="J31" s="25" t="n">
        <v>3.01</v>
      </c>
      <c r="K31" s="25">
        <f>J31+I31</f>
        <v>0.58065835514753061</v>
      </c>
    </row>
    <row r="32">
      <c r="A32" s="19" t="inlineStr">
        <is>
          <t>Gasoline</t>
        </is>
      </c>
      <c r="B32" s="19" t="n"/>
      <c r="C32" s="19" t="n">
        <v>43.4</v>
      </c>
      <c r="D32" s="26" t="n">
        <v>0.103</v>
      </c>
      <c r="E32" s="22" t="n">
        <v>0.71</v>
      </c>
      <c r="F32" s="22">
        <f>E32*D32</f>
        <v>7.3129999999999987E-2</v>
      </c>
      <c r="G32" s="23">
        <f>F32/SUM($F$30:$F$33)</f>
        <v>0.19415078610758602</v>
      </c>
      <c r="H32" s="25">
        <f>G32*$D$28/D32</f>
        <v>4.5616009939840598</v>
      </c>
      <c r="I32" s="25">
        <f>-$I$28*H32</f>
        <v>-6.2493933617581625</v>
      </c>
      <c r="J32" s="25" t="n">
        <v>3.14</v>
      </c>
      <c r="K32" s="25">
        <f>J32+I32</f>
        <v>-3.1093933617581624</v>
      </c>
    </row>
    <row r="33" ht="16" customHeight="1" thickBot="1">
      <c r="A33" s="19" t="inlineStr">
        <is>
          <t>Kerosene</t>
        </is>
      </c>
      <c r="B33" s="19" t="n"/>
      <c r="C33" s="19" t="n">
        <v>42.6</v>
      </c>
      <c r="D33" s="27" t="n">
        <v>0.446</v>
      </c>
      <c r="E33" s="22" t="n">
        <v>0.3</v>
      </c>
      <c r="F33" s="22">
        <f>E33*D33</f>
        <v>0.1338</v>
      </c>
      <c r="G33" s="23">
        <f>F33/SUM($F$30:$F$33)</f>
        <v>0.35522186764932334</v>
      </c>
      <c r="H33" s="24">
        <f>G33*$D$28/D33</f>
        <v>1.927437039711575</v>
      </c>
      <c r="I33" s="25">
        <f>-$I$28*H33</f>
        <v>-2.6405887444048579</v>
      </c>
      <c r="J33" s="19" t="n">
        <v>3.14</v>
      </c>
      <c r="K33" s="25">
        <f>J33+I33</f>
        <v>0.49941125559514221</v>
      </c>
    </row>
    <row r="34"/>
    <row r="35">
      <c r="A35" s="2" t="inlineStr">
        <is>
          <t>Economic-based allocation</t>
        </is>
      </c>
      <c r="B35" s="7" t="inlineStr">
        <is>
          <t>Optimized for gasoline production</t>
        </is>
      </c>
    </row>
    <row r="36">
      <c r="A36" s="19" t="n"/>
      <c r="B36" s="19" t="n"/>
      <c r="C36" s="19" t="inlineStr">
        <is>
          <t>LHV [MJ/kg]</t>
        </is>
      </c>
      <c r="D36" s="19" t="inlineStr">
        <is>
          <t>Mass [kg]</t>
        </is>
      </c>
      <c r="E36" s="19" t="inlineStr">
        <is>
          <t>Unitary price [Euro_2005/kg]</t>
        </is>
      </c>
      <c r="F36" s="19" t="inlineStr">
        <is>
          <t>Turnover [Euro_2005]</t>
        </is>
      </c>
      <c r="G36" s="19" t="inlineStr">
        <is>
          <t>Revenue produced [%]</t>
        </is>
      </c>
      <c r="H36" s="19" t="inlineStr">
        <is>
          <t>Mass methanol, allocated [kg methanol/kg fuel]</t>
        </is>
      </c>
      <c r="I36" s="19" t="inlineStr">
        <is>
          <t>CO2 captured from methanol [kg/kg]</t>
        </is>
      </c>
      <c r="J36" s="19" t="inlineStr">
        <is>
          <t>CO2 content of fuel [kg CO2/kg]</t>
        </is>
      </c>
      <c r="K36" s="19" t="inlineStr">
        <is>
          <t>Carbon correction [kg/kg]</t>
        </is>
      </c>
    </row>
    <row r="37">
      <c r="A37" s="19" t="inlineStr">
        <is>
          <t>Methanol</t>
        </is>
      </c>
      <c r="B37" s="19" t="n"/>
      <c r="C37" s="19" t="n">
        <v>19</v>
      </c>
      <c r="D37" s="20" t="n">
        <v>2.42</v>
      </c>
      <c r="E37" s="19" t="n"/>
      <c r="F37" s="19" t="n"/>
      <c r="G37" s="19" t="n"/>
      <c r="H37" s="19" t="n"/>
      <c r="I37" s="19" t="n">
        <v>1.37</v>
      </c>
      <c r="J37" s="19" t="n"/>
      <c r="K37" s="19" t="n"/>
    </row>
    <row r="38" ht="16" customHeight="1" thickBo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</row>
    <row r="39">
      <c r="A39" s="19" t="inlineStr">
        <is>
          <t>Diesel</t>
        </is>
      </c>
      <c r="B39" s="19" t="n"/>
      <c r="C39" s="19" t="n">
        <v>44</v>
      </c>
      <c r="D39" s="21" t="n">
        <v>0.183</v>
      </c>
      <c r="E39" s="22" t="n">
        <v>0.4</v>
      </c>
      <c r="F39" s="22">
        <f>E39*D39</f>
        <v>7.3200000000000001E-2</v>
      </c>
      <c r="G39" s="23">
        <f>F39/SUM($F$30:$F$33)</f>
        <v>0.19433662714447286</v>
      </c>
      <c r="H39" s="25">
        <f>G39*$D$37/D39</f>
        <v>2.5699160529487668</v>
      </c>
      <c r="I39" s="25">
        <f>-$I$28*H39</f>
        <v>-3.5207849925398107</v>
      </c>
      <c r="J39" s="19" t="n">
        <v>3.16</v>
      </c>
      <c r="K39" s="25">
        <f>J39+I39</f>
        <v>-0.36078499253981056</v>
      </c>
    </row>
    <row r="40">
      <c r="A40" s="19" t="inlineStr">
        <is>
          <t>LPG</t>
        </is>
      </c>
      <c r="B40" s="19" t="n"/>
      <c r="C40" s="19" t="n">
        <v>45.5</v>
      </c>
      <c r="D40" s="26" t="n">
        <v>0.08599999999999999</v>
      </c>
      <c r="E40" s="22" t="n">
        <v>0.276</v>
      </c>
      <c r="F40" s="22">
        <f>E40*D40</f>
        <v>2.3736E-2</v>
      </c>
      <c r="G40" s="23">
        <f>F40/SUM($F$30:$F$33)</f>
        <v>6.3016040736355292E-2</v>
      </c>
      <c r="H40" s="25">
        <f>G40*$D$37/D40</f>
        <v>1.773242076534649</v>
      </c>
      <c r="I40" s="25">
        <f>-$I$28*H40</f>
        <v>-2.4293416448524692</v>
      </c>
      <c r="J40" s="25" t="n">
        <v>3.01</v>
      </c>
      <c r="K40" s="25">
        <f>J40+I40</f>
        <v>0.58065835514753061</v>
      </c>
    </row>
    <row r="41">
      <c r="A41" s="19" t="inlineStr">
        <is>
          <t>Gasoline</t>
        </is>
      </c>
      <c r="B41" s="19" t="n"/>
      <c r="C41" s="19" t="n">
        <v>43.4</v>
      </c>
      <c r="D41" s="26" t="n">
        <v>0.466</v>
      </c>
      <c r="E41" s="22" t="n">
        <v>0.71</v>
      </c>
      <c r="F41" s="22">
        <f>E41*D41</f>
        <v>0.33085999999999999</v>
      </c>
      <c r="G41" s="23">
        <f>F41/SUM($F$30:$F$33)</f>
        <v>0.87839093520519518</v>
      </c>
      <c r="H41" s="24">
        <f>G41*$D$37/D41</f>
        <v>4.5616009939840598</v>
      </c>
      <c r="I41" s="25">
        <f>-$I$28*H41</f>
        <v>-6.2493933617581625</v>
      </c>
      <c r="J41" s="25" t="n">
        <v>3.14</v>
      </c>
      <c r="K41" s="25">
        <f>J41+I41</f>
        <v>-3.1093933617581624</v>
      </c>
    </row>
    <row r="42" ht="16" customHeight="1" thickBot="1">
      <c r="A42" s="19" t="inlineStr">
        <is>
          <t>Kerosene</t>
        </is>
      </c>
      <c r="B42" s="19" t="n"/>
      <c r="C42" s="19" t="n">
        <v>42.6</v>
      </c>
      <c r="D42" s="27" t="n">
        <v>0.265</v>
      </c>
      <c r="E42" s="22" t="n">
        <v>0.3</v>
      </c>
      <c r="F42" s="22">
        <f>E42*D42</f>
        <v>7.9500000000000001E-2</v>
      </c>
      <c r="G42" s="23">
        <f>F42/SUM($F$30:$F$33)</f>
        <v>0.21106232046428405</v>
      </c>
      <c r="H42" s="25">
        <f>G42*$D$37/D42</f>
        <v>1.927437039711575</v>
      </c>
      <c r="I42" s="25">
        <f>-$I$28*H42</f>
        <v>-2.6405887444048579</v>
      </c>
      <c r="J42" s="19" t="n">
        <v>3.14</v>
      </c>
      <c r="K42" s="25">
        <f>J42+I42</f>
        <v>0.49941125559514221</v>
      </c>
    </row>
  </sheetData>
  <hyperlinks>
    <hyperlink ref="B3" ns1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49"/>
  <sheetViews>
    <sheetView tabSelected="1" topLeftCell="A205" workbookViewId="0">
      <selection activeCell="A221" sqref="A221"/>
    </sheetView>
  </sheetViews>
  <sheetFormatPr baseColWidth="10" defaultColWidth="8.83203125" defaultRowHeight="15"/>
  <cols>
    <col width="59.33203125" bestFit="1" customWidth="1" min="1" max="1"/>
    <col width="14" bestFit="1" customWidth="1" min="2" max="2"/>
    <col width="12.33203125" bestFit="1" customWidth="1" min="4" max="4"/>
    <col width="42.1640625" bestFit="1" customWidth="1" min="7" max="7"/>
  </cols>
  <sheetData>
    <row r="1">
      <c r="A1" t="inlineStr">
        <is>
          <t>database</t>
        </is>
      </c>
      <c r="B1" t="inlineStr">
        <is>
          <t>Methanol-based fuels from electrolysis</t>
        </is>
      </c>
    </row>
    <row r="2"/>
    <row r="3" ht="16" customHeight="1">
      <c r="A3" s="1" t="inlineStr">
        <is>
          <t>Activity</t>
        </is>
      </c>
      <c r="B3" s="1" t="inlineStr">
        <is>
          <t>liquefied petroleum gas production, synthetic, from methanol, market-average hydrogen, CO2 from DAC, economic allocation, at fuelling station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 ht="16" customHeight="1">
      <c r="A6" t="inlineStr">
        <is>
          <t>reference product</t>
        </is>
      </c>
      <c r="B6" s="3" t="inlineStr">
        <is>
          <t>liquefied petroleum gas, synthetic, vehicle grade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kilogram</t>
        </is>
      </c>
    </row>
    <row r="9" ht="16" customHeight="1">
      <c r="A9" s="1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location</t>
        </is>
      </c>
      <c r="D10" t="inlineStr">
        <is>
          <t>unit</t>
        </is>
      </c>
      <c r="E10" t="inlineStr">
        <is>
          <t>categories</t>
        </is>
      </c>
      <c r="F10" t="inlineStr">
        <is>
          <t>type</t>
        </is>
      </c>
      <c r="G10" t="inlineStr">
        <is>
          <t>uncertainty type</t>
        </is>
      </c>
      <c r="H10" t="inlineStr">
        <is>
          <t>loc</t>
        </is>
      </c>
      <c r="I10" t="inlineStr">
        <is>
          <t>allocation</t>
        </is>
      </c>
      <c r="J10" t="inlineStr">
        <is>
          <t>comment</t>
        </is>
      </c>
      <c r="K10" t="inlineStr">
        <is>
          <t>reference product</t>
        </is>
      </c>
    </row>
    <row r="11">
      <c r="A11" t="inlineStr">
        <is>
          <t>liquefied petroleum gas production, synthetic, from methanol, market-average hydrogen, CO2 from DAC, economic allocation, at fuelling station</t>
        </is>
      </c>
      <c r="B11" t="n"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I11" t="n">
        <v>100</v>
      </c>
      <c r="J11" t="inlineStr"/>
      <c r="K11" t="inlineStr">
        <is>
          <t>liquefied petroleum gas, synthetic, vehicle grade</t>
        </is>
      </c>
    </row>
    <row r="12">
      <c r="A12" t="inlineStr">
        <is>
          <t>liquefied petroleum gas production, from methanol, market-average hydrogen, CO2 from DAC, economic allocation</t>
        </is>
      </c>
      <c r="B12" t="n">
        <v>1.00057</v>
      </c>
      <c r="C12" t="inlineStr">
        <is>
          <t>RER</t>
        </is>
      </c>
      <c r="D12" t="inlineStr">
        <is>
          <t>kilogram</t>
        </is>
      </c>
      <c r="F12" t="inlineStr">
        <is>
          <t>technosphere</t>
        </is>
      </c>
      <c r="K12" t="inlineStr">
        <is>
          <t>liquefied petroleum gas, synthetic</t>
        </is>
      </c>
    </row>
    <row r="13">
      <c r="A13" t="inlineStr">
        <is>
          <t>market group for electricity, low voltage</t>
        </is>
      </c>
      <c r="B13" t="n">
        <v>0.0067</v>
      </c>
      <c r="C13" t="inlineStr">
        <is>
          <t>RER</t>
        </is>
      </c>
      <c r="D13" t="inlineStr">
        <is>
          <t>kilowatt hour</t>
        </is>
      </c>
      <c r="F13" t="inlineStr">
        <is>
          <t>technosphere</t>
        </is>
      </c>
      <c r="K13" t="inlineStr">
        <is>
          <t>electricity, low voltage</t>
        </is>
      </c>
    </row>
    <row r="14">
      <c r="A14" t="inlineStr">
        <is>
          <t>market for fly ash and scrubber sludge</t>
        </is>
      </c>
      <c r="B14" t="n">
        <v>-0.000168</v>
      </c>
      <c r="C14" t="inlineStr">
        <is>
          <t>Europe without Switzerland</t>
        </is>
      </c>
      <c r="D14" t="inlineStr">
        <is>
          <t>kilogram</t>
        </is>
      </c>
      <c r="F14" t="inlineStr">
        <is>
          <t>technosphere</t>
        </is>
      </c>
      <c r="K14" t="inlineStr">
        <is>
          <t>fly ash and scrubber sludge</t>
        </is>
      </c>
    </row>
    <row r="15">
      <c r="A15" t="inlineStr">
        <is>
          <t>market for heat, central or small-scale, other than natural gas</t>
        </is>
      </c>
      <c r="B15" s="5" t="n">
        <v>0.000584</v>
      </c>
      <c r="C15" t="inlineStr">
        <is>
          <t>CH</t>
        </is>
      </c>
      <c r="D15" t="inlineStr">
        <is>
          <t>megajoule</t>
        </is>
      </c>
      <c r="F15" t="inlineStr">
        <is>
          <t>technosphere</t>
        </is>
      </c>
      <c r="K15" t="inlineStr">
        <is>
          <t>heat, central or small-scale, other than natural gas</t>
        </is>
      </c>
    </row>
    <row r="16">
      <c r="A16" t="inlineStr">
        <is>
          <t>infrastructure construction, for regional distribution of oil product</t>
        </is>
      </c>
      <c r="B16" s="5" t="n">
        <v>2.6e-10</v>
      </c>
      <c r="C16" t="inlineStr">
        <is>
          <t>RER</t>
        </is>
      </c>
      <c r="D16" t="inlineStr">
        <is>
          <t>unit</t>
        </is>
      </c>
      <c r="F16" t="inlineStr">
        <is>
          <t>technosphere</t>
        </is>
      </c>
      <c r="K16" t="inlineStr">
        <is>
          <t>infrastructure, for regional distribution of oil product</t>
        </is>
      </c>
    </row>
    <row r="17">
      <c r="A17" t="inlineStr">
        <is>
          <t>market for municipal solid waste</t>
        </is>
      </c>
      <c r="B17" s="5" t="n">
        <v>-6.27e-06</v>
      </c>
      <c r="C17" t="inlineStr">
        <is>
          <t>CH</t>
        </is>
      </c>
      <c r="D17" t="inlineStr">
        <is>
          <t>kilogram</t>
        </is>
      </c>
      <c r="F17" t="inlineStr">
        <is>
          <t>technosphere</t>
        </is>
      </c>
      <c r="K17" t="inlineStr">
        <is>
          <t>municipal solid waste</t>
        </is>
      </c>
    </row>
    <row r="18">
      <c r="A18" t="inlineStr">
        <is>
          <t>market for rainwater mineral oil storage</t>
        </is>
      </c>
      <c r="B18" s="5" t="n">
        <v>-7.499999999999999e-05</v>
      </c>
      <c r="C18" t="inlineStr">
        <is>
          <t>Europe without Switzerland</t>
        </is>
      </c>
      <c r="D18" t="inlineStr">
        <is>
          <t>cubic meter</t>
        </is>
      </c>
      <c r="F18" t="inlineStr">
        <is>
          <t>technosphere</t>
        </is>
      </c>
      <c r="K18" t="inlineStr">
        <is>
          <t>rainwater mineral oil storage</t>
        </is>
      </c>
    </row>
    <row r="19">
      <c r="A19" t="inlineStr">
        <is>
          <t>market for tap water</t>
        </is>
      </c>
      <c r="B19" s="5" t="n">
        <v>0.0006890000000000001</v>
      </c>
      <c r="C19" t="inlineStr">
        <is>
          <t>Europe without Switzerland</t>
        </is>
      </c>
      <c r="D19" t="inlineStr">
        <is>
          <t>kilogram</t>
        </is>
      </c>
      <c r="F19" t="inlineStr">
        <is>
          <t>technosphere</t>
        </is>
      </c>
      <c r="K19" t="inlineStr">
        <is>
          <t>tap water</t>
        </is>
      </c>
    </row>
    <row r="20">
      <c r="A20" t="inlineStr">
        <is>
          <t>market for transport, freight train</t>
        </is>
      </c>
      <c r="B20" t="n">
        <v>0.0336</v>
      </c>
      <c r="C20" t="inlineStr">
        <is>
          <t>Europe without Switzerland</t>
        </is>
      </c>
      <c r="D20" t="inlineStr">
        <is>
          <t>ton kilometer</t>
        </is>
      </c>
      <c r="F20" t="inlineStr">
        <is>
          <t>technosphere</t>
        </is>
      </c>
      <c r="K20" t="inlineStr">
        <is>
          <t>transport, freight train</t>
        </is>
      </c>
    </row>
    <row r="21">
      <c r="A21" t="inlineStr">
        <is>
          <t>market for transport, freight, lorry, unspecified</t>
        </is>
      </c>
      <c r="B21" t="n">
        <v>0.0326</v>
      </c>
      <c r="C21" t="inlineStr">
        <is>
          <t>RER</t>
        </is>
      </c>
      <c r="D21" t="inlineStr">
        <is>
          <t>ton kilometer</t>
        </is>
      </c>
      <c r="F21" t="inlineStr">
        <is>
          <t>technosphere</t>
        </is>
      </c>
      <c r="K21" t="inlineStr">
        <is>
          <t>transport, freight, lorry, unspecified</t>
        </is>
      </c>
    </row>
    <row r="22">
      <c r="A22" t="inlineStr">
        <is>
          <t>treatment of wastewater, average, capacity 1E9l/year</t>
        </is>
      </c>
      <c r="B22" s="5" t="n">
        <v>-6.89e-07</v>
      </c>
      <c r="C22" t="inlineStr">
        <is>
          <t>Europe without Switzerland</t>
        </is>
      </c>
      <c r="D22" t="inlineStr">
        <is>
          <t>cubic meter</t>
        </is>
      </c>
      <c r="F22" t="inlineStr">
        <is>
          <t>technosphere</t>
        </is>
      </c>
      <c r="K22" t="inlineStr">
        <is>
          <t>wastewater, average</t>
        </is>
      </c>
    </row>
    <row r="23">
      <c r="A23" t="inlineStr">
        <is>
          <t>Carbon dioxide, non-fossil</t>
        </is>
      </c>
      <c r="B23" s="5">
        <f>(B12-1)*3.14</f>
        <v>1.7897999999998727E-3</v>
      </c>
      <c r="D23" t="inlineStr">
        <is>
          <t>kilogram</t>
        </is>
      </c>
      <c r="E23" t="inlineStr">
        <is>
          <t>air</t>
        </is>
      </c>
      <c r="F23" t="inlineStr">
        <is>
          <t>biosphere</t>
        </is>
      </c>
    </row>
    <row r="24">
      <c r="B24" s="5" t="n"/>
    </row>
    <row r="25" ht="16" customHeight="1">
      <c r="A25" s="1" t="inlineStr">
        <is>
          <t>Activity</t>
        </is>
      </c>
      <c r="B25" s="1" t="inlineStr">
        <is>
          <t>kerosene production, synthetic, from methanol, market-average hydrogen, CO2 from DAC, economic allocation, at fuelling station</t>
        </is>
      </c>
    </row>
    <row r="26">
      <c r="A26" t="inlineStr">
        <is>
          <t>location</t>
        </is>
      </c>
      <c r="B26" t="inlineStr">
        <is>
          <t>RER</t>
        </is>
      </c>
    </row>
    <row r="27">
      <c r="A27" t="inlineStr">
        <is>
          <t>production amount</t>
        </is>
      </c>
      <c r="B27" t="n">
        <v>1</v>
      </c>
    </row>
    <row r="28" ht="16" customHeight="1">
      <c r="A28" t="inlineStr">
        <is>
          <t>reference product</t>
        </is>
      </c>
      <c r="B28" s="3" t="inlineStr">
        <is>
          <t>kerosene, synthetic, vehicle grade</t>
        </is>
      </c>
    </row>
    <row r="29">
      <c r="A29" t="inlineStr">
        <is>
          <t>type</t>
        </is>
      </c>
      <c r="B29" t="inlineStr">
        <is>
          <t>process</t>
        </is>
      </c>
    </row>
    <row r="30">
      <c r="A30" t="inlineStr">
        <is>
          <t>unit</t>
        </is>
      </c>
      <c r="B30" t="inlineStr">
        <is>
          <t>kilogram</t>
        </is>
      </c>
    </row>
    <row r="31" ht="16" customHeight="1">
      <c r="A31" s="1" t="inlineStr">
        <is>
          <t>Exchanges</t>
        </is>
      </c>
    </row>
    <row r="32">
      <c r="A32" t="inlineStr">
        <is>
          <t>name</t>
        </is>
      </c>
      <c r="B32" t="inlineStr">
        <is>
          <t>amount</t>
        </is>
      </c>
      <c r="C32" t="inlineStr">
        <is>
          <t>location</t>
        </is>
      </c>
      <c r="D32" t="inlineStr">
        <is>
          <t>unit</t>
        </is>
      </c>
      <c r="E32" t="inlineStr">
        <is>
          <t>categories</t>
        </is>
      </c>
      <c r="F32" t="inlineStr">
        <is>
          <t>type</t>
        </is>
      </c>
      <c r="G32" t="inlineStr">
        <is>
          <t>uncertainty type</t>
        </is>
      </c>
      <c r="H32" t="inlineStr">
        <is>
          <t>loc</t>
        </is>
      </c>
      <c r="I32" t="inlineStr">
        <is>
          <t>allocation</t>
        </is>
      </c>
      <c r="J32" t="inlineStr">
        <is>
          <t>comment</t>
        </is>
      </c>
      <c r="K32" t="inlineStr">
        <is>
          <t>reference product</t>
        </is>
      </c>
    </row>
    <row r="33">
      <c r="A33" t="inlineStr">
        <is>
          <t>kerosene production, synthetic, from methanol, market-average hydrogen, CO2 from DAC, economic allocation, at fuelling station</t>
        </is>
      </c>
      <c r="B33" t="n">
        <v>1</v>
      </c>
      <c r="C33" t="inlineStr">
        <is>
          <t>RER</t>
        </is>
      </c>
      <c r="D33" t="inlineStr">
        <is>
          <t>kilogram</t>
        </is>
      </c>
      <c r="F33" t="inlineStr">
        <is>
          <t>production</t>
        </is>
      </c>
      <c r="I33" t="n">
        <v>100</v>
      </c>
      <c r="J33" t="inlineStr"/>
      <c r="K33" t="inlineStr">
        <is>
          <t>kerosene, synthetic, vehicle grade</t>
        </is>
      </c>
    </row>
    <row r="34">
      <c r="A34" t="inlineStr">
        <is>
          <t>kerosene production, from methanol, market-average hydrogen, CO2 from DAC, economic allocation</t>
        </is>
      </c>
      <c r="B34" t="n">
        <v>1.00057</v>
      </c>
      <c r="C34" t="inlineStr">
        <is>
          <t>RER</t>
        </is>
      </c>
      <c r="D34" t="inlineStr">
        <is>
          <t>kilogram</t>
        </is>
      </c>
      <c r="F34" t="inlineStr">
        <is>
          <t>technosphere</t>
        </is>
      </c>
      <c r="K34" t="inlineStr">
        <is>
          <t>kerosene, synthetic</t>
        </is>
      </c>
    </row>
    <row r="35">
      <c r="A35" t="inlineStr">
        <is>
          <t>market group for electricity, low voltage</t>
        </is>
      </c>
      <c r="B35" t="n">
        <v>0.0067</v>
      </c>
      <c r="C35" t="inlineStr">
        <is>
          <t>RER</t>
        </is>
      </c>
      <c r="D35" t="inlineStr">
        <is>
          <t>kilowatt hour</t>
        </is>
      </c>
      <c r="F35" t="inlineStr">
        <is>
          <t>technosphere</t>
        </is>
      </c>
      <c r="K35" t="inlineStr">
        <is>
          <t>electricity, low voltage</t>
        </is>
      </c>
    </row>
    <row r="36">
      <c r="A36" t="inlineStr">
        <is>
          <t>market for fly ash and scrubber sludge</t>
        </is>
      </c>
      <c r="B36" t="n">
        <v>-0.000168</v>
      </c>
      <c r="C36" t="inlineStr">
        <is>
          <t>Europe without Switzerland</t>
        </is>
      </c>
      <c r="D36" t="inlineStr">
        <is>
          <t>kilogram</t>
        </is>
      </c>
      <c r="F36" t="inlineStr">
        <is>
          <t>technosphere</t>
        </is>
      </c>
      <c r="K36" t="inlineStr">
        <is>
          <t>fly ash and scrubber sludge</t>
        </is>
      </c>
    </row>
    <row r="37">
      <c r="A37" t="inlineStr">
        <is>
          <t>market for heat, central or small-scale, other than natural gas</t>
        </is>
      </c>
      <c r="B37" s="5" t="n">
        <v>0.000584</v>
      </c>
      <c r="C37" t="inlineStr">
        <is>
          <t>CH</t>
        </is>
      </c>
      <c r="D37" t="inlineStr">
        <is>
          <t>megajoule</t>
        </is>
      </c>
      <c r="F37" t="inlineStr">
        <is>
          <t>technosphere</t>
        </is>
      </c>
      <c r="K37" t="inlineStr">
        <is>
          <t>heat, central or small-scale, other than natural gas</t>
        </is>
      </c>
    </row>
    <row r="38">
      <c r="A38" t="inlineStr">
        <is>
          <t>infrastructure construction, for regional distribution of oil product</t>
        </is>
      </c>
      <c r="B38" s="5" t="n">
        <v>2.6e-10</v>
      </c>
      <c r="C38" t="inlineStr">
        <is>
          <t>RER</t>
        </is>
      </c>
      <c r="D38" t="inlineStr">
        <is>
          <t>unit</t>
        </is>
      </c>
      <c r="F38" t="inlineStr">
        <is>
          <t>technosphere</t>
        </is>
      </c>
      <c r="K38" t="inlineStr">
        <is>
          <t>infrastructure, for regional distribution of oil product</t>
        </is>
      </c>
    </row>
    <row r="39">
      <c r="A39" t="inlineStr">
        <is>
          <t>market for municipal solid waste</t>
        </is>
      </c>
      <c r="B39" s="5" t="n">
        <v>-6.27e-06</v>
      </c>
      <c r="C39" t="inlineStr">
        <is>
          <t>CH</t>
        </is>
      </c>
      <c r="D39" t="inlineStr">
        <is>
          <t>kilogram</t>
        </is>
      </c>
      <c r="F39" t="inlineStr">
        <is>
          <t>technosphere</t>
        </is>
      </c>
      <c r="K39" t="inlineStr">
        <is>
          <t>municipal solid waste</t>
        </is>
      </c>
    </row>
    <row r="40">
      <c r="A40" t="inlineStr">
        <is>
          <t>market for rainwater mineral oil storage</t>
        </is>
      </c>
      <c r="B40" s="5" t="n">
        <v>-7.499999999999999e-05</v>
      </c>
      <c r="C40" t="inlineStr">
        <is>
          <t>Europe without Switzerland</t>
        </is>
      </c>
      <c r="D40" t="inlineStr">
        <is>
          <t>cubic meter</t>
        </is>
      </c>
      <c r="F40" t="inlineStr">
        <is>
          <t>technosphere</t>
        </is>
      </c>
      <c r="K40" t="inlineStr">
        <is>
          <t>rainwater mineral oil storage</t>
        </is>
      </c>
    </row>
    <row r="41">
      <c r="A41" t="inlineStr">
        <is>
          <t>market for tap water</t>
        </is>
      </c>
      <c r="B41" s="5" t="n">
        <v>0.0006890000000000001</v>
      </c>
      <c r="C41" t="inlineStr">
        <is>
          <t>Europe without Switzerland</t>
        </is>
      </c>
      <c r="D41" t="inlineStr">
        <is>
          <t>kilogram</t>
        </is>
      </c>
      <c r="F41" t="inlineStr">
        <is>
          <t>technosphere</t>
        </is>
      </c>
      <c r="K41" t="inlineStr">
        <is>
          <t>tap water</t>
        </is>
      </c>
    </row>
    <row r="42">
      <c r="A42" t="inlineStr">
        <is>
          <t>market for transport, freight train</t>
        </is>
      </c>
      <c r="B42" t="n">
        <v>0.0336</v>
      </c>
      <c r="C42" t="inlineStr">
        <is>
          <t>Europe without Switzerland</t>
        </is>
      </c>
      <c r="D42" t="inlineStr">
        <is>
          <t>ton kilometer</t>
        </is>
      </c>
      <c r="F42" t="inlineStr">
        <is>
          <t>technosphere</t>
        </is>
      </c>
      <c r="K42" t="inlineStr">
        <is>
          <t>transport, freight train</t>
        </is>
      </c>
    </row>
    <row r="43">
      <c r="A43" t="inlineStr">
        <is>
          <t>market for transport, freight, lorry, unspecified</t>
        </is>
      </c>
      <c r="B43" t="n">
        <v>0.0326</v>
      </c>
      <c r="C43" t="inlineStr">
        <is>
          <t>RER</t>
        </is>
      </c>
      <c r="D43" t="inlineStr">
        <is>
          <t>ton kilometer</t>
        </is>
      </c>
      <c r="F43" t="inlineStr">
        <is>
          <t>technosphere</t>
        </is>
      </c>
      <c r="K43" t="inlineStr">
        <is>
          <t>transport, freight, lorry, unspecified</t>
        </is>
      </c>
    </row>
    <row r="44">
      <c r="A44" t="inlineStr">
        <is>
          <t>treatment of wastewater, average, capacity 1E9l/year</t>
        </is>
      </c>
      <c r="B44" s="5" t="n">
        <v>-6.89e-07</v>
      </c>
      <c r="C44" t="inlineStr">
        <is>
          <t>Europe without Switzerland</t>
        </is>
      </c>
      <c r="D44" t="inlineStr">
        <is>
          <t>cubic meter</t>
        </is>
      </c>
      <c r="F44" t="inlineStr">
        <is>
          <t>technosphere</t>
        </is>
      </c>
      <c r="K44" t="inlineStr">
        <is>
          <t>wastewater, average</t>
        </is>
      </c>
    </row>
    <row r="45">
      <c r="A45" t="inlineStr">
        <is>
          <t>Carbon dioxide, non-fossil</t>
        </is>
      </c>
      <c r="B45" s="5">
        <f>(B34-1)*3.14</f>
        <v>1.7897999999998727E-3</v>
      </c>
      <c r="D45" t="inlineStr">
        <is>
          <t>kilogram</t>
        </is>
      </c>
      <c r="E45" t="inlineStr">
        <is>
          <t>air</t>
        </is>
      </c>
      <c r="F45" t="inlineStr">
        <is>
          <t>biosphere</t>
        </is>
      </c>
    </row>
    <row r="46">
      <c r="B46" s="5" t="n"/>
    </row>
    <row r="47" ht="16" customHeight="1">
      <c r="A47" s="1" t="inlineStr">
        <is>
          <t>Activity</t>
        </is>
      </c>
      <c r="B47" s="1" t="inlineStr">
        <is>
          <t>diesel production, synthetic, from methanol, market-average hydrogen, CO2 from DAC, economic allocation, at fuelling station</t>
        </is>
      </c>
    </row>
    <row r="48">
      <c r="A48" t="inlineStr">
        <is>
          <t>location</t>
        </is>
      </c>
      <c r="B48" t="inlineStr">
        <is>
          <t>RER</t>
        </is>
      </c>
    </row>
    <row r="49">
      <c r="A49" t="inlineStr">
        <is>
          <t>production amount</t>
        </is>
      </c>
      <c r="B49" t="n">
        <v>1</v>
      </c>
    </row>
    <row r="50" ht="16" customHeight="1">
      <c r="A50" t="inlineStr">
        <is>
          <t>reference product</t>
        </is>
      </c>
      <c r="B50" s="3" t="inlineStr">
        <is>
          <t>diesel, synthetic, vehicle grade</t>
        </is>
      </c>
    </row>
    <row r="51">
      <c r="A51" t="inlineStr">
        <is>
          <t>type</t>
        </is>
      </c>
      <c r="B51" t="inlineStr">
        <is>
          <t>process</t>
        </is>
      </c>
    </row>
    <row r="52">
      <c r="A52" t="inlineStr">
        <is>
          <t>unit</t>
        </is>
      </c>
      <c r="B52" t="inlineStr">
        <is>
          <t>kilogram</t>
        </is>
      </c>
    </row>
    <row r="53" ht="16" customHeight="1">
      <c r="A53" s="1" t="inlineStr">
        <is>
          <t>Exchanges</t>
        </is>
      </c>
    </row>
    <row r="54">
      <c r="A54" t="inlineStr">
        <is>
          <t>name</t>
        </is>
      </c>
      <c r="B54" t="inlineStr">
        <is>
          <t>amount</t>
        </is>
      </c>
      <c r="C54" t="inlineStr">
        <is>
          <t>location</t>
        </is>
      </c>
      <c r="D54" t="inlineStr">
        <is>
          <t>unit</t>
        </is>
      </c>
      <c r="E54" t="inlineStr">
        <is>
          <t>categories</t>
        </is>
      </c>
      <c r="F54" t="inlineStr">
        <is>
          <t>type</t>
        </is>
      </c>
      <c r="G54" t="inlineStr">
        <is>
          <t>uncertainty type</t>
        </is>
      </c>
      <c r="H54" t="inlineStr">
        <is>
          <t>loc</t>
        </is>
      </c>
      <c r="I54" t="inlineStr">
        <is>
          <t>allocation</t>
        </is>
      </c>
      <c r="J54" t="inlineStr">
        <is>
          <t>comment</t>
        </is>
      </c>
      <c r="K54" t="inlineStr">
        <is>
          <t>reference product</t>
        </is>
      </c>
    </row>
    <row r="55">
      <c r="A55" t="inlineStr">
        <is>
          <t>diesel production, synthetic, from methanol, market-average hydrogen, CO2 from DAC, economic allocation, at fuelling station</t>
        </is>
      </c>
      <c r="B55" t="n">
        <v>1</v>
      </c>
      <c r="C55" t="inlineStr">
        <is>
          <t>RER</t>
        </is>
      </c>
      <c r="D55" t="inlineStr">
        <is>
          <t>kilogram</t>
        </is>
      </c>
      <c r="F55" t="inlineStr">
        <is>
          <t>production</t>
        </is>
      </c>
      <c r="I55" t="n">
        <v>100</v>
      </c>
      <c r="J55" t="inlineStr"/>
      <c r="K55" t="inlineStr">
        <is>
          <t>diesel, synthetic, vehicle grade</t>
        </is>
      </c>
    </row>
    <row r="56">
      <c r="A56" t="inlineStr">
        <is>
          <t>diesel production, from methanol, market-average hydrogen, CO2 from DAC, economic allocation</t>
        </is>
      </c>
      <c r="B56" t="n">
        <v>1.00057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K56" t="inlineStr">
        <is>
          <t>diesel, synthetic</t>
        </is>
      </c>
    </row>
    <row r="57">
      <c r="A57" t="inlineStr">
        <is>
          <t>market group for electricity, low voltage</t>
        </is>
      </c>
      <c r="B57" t="n">
        <v>0.0067</v>
      </c>
      <c r="C57" t="inlineStr">
        <is>
          <t>RER</t>
        </is>
      </c>
      <c r="D57" t="inlineStr">
        <is>
          <t>kilowatt hour</t>
        </is>
      </c>
      <c r="F57" t="inlineStr">
        <is>
          <t>technosphere</t>
        </is>
      </c>
      <c r="K57" t="inlineStr">
        <is>
          <t>electricity, low voltage</t>
        </is>
      </c>
    </row>
    <row r="58">
      <c r="A58" t="inlineStr">
        <is>
          <t>market for fly ash and scrubber sludge</t>
        </is>
      </c>
      <c r="B58" t="n">
        <v>-0.000168</v>
      </c>
      <c r="C58" t="inlineStr">
        <is>
          <t>Europe without Switzerland</t>
        </is>
      </c>
      <c r="D58" t="inlineStr">
        <is>
          <t>kilogram</t>
        </is>
      </c>
      <c r="F58" t="inlineStr">
        <is>
          <t>technosphere</t>
        </is>
      </c>
      <c r="K58" t="inlineStr">
        <is>
          <t>fly ash and scrubber sludge</t>
        </is>
      </c>
    </row>
    <row r="59">
      <c r="A59" t="inlineStr">
        <is>
          <t>market for heat, central or small-scale, other than natural gas</t>
        </is>
      </c>
      <c r="B59" s="5" t="n">
        <v>0.000584</v>
      </c>
      <c r="C59" t="inlineStr">
        <is>
          <t>CH</t>
        </is>
      </c>
      <c r="D59" t="inlineStr">
        <is>
          <t>megajoule</t>
        </is>
      </c>
      <c r="F59" t="inlineStr">
        <is>
          <t>technosphere</t>
        </is>
      </c>
      <c r="K59" t="inlineStr">
        <is>
          <t>heat, central or small-scale, other than natural gas</t>
        </is>
      </c>
    </row>
    <row r="60">
      <c r="A60" t="inlineStr">
        <is>
          <t>infrastructure construction, for regional distribution of oil product</t>
        </is>
      </c>
      <c r="B60" s="5" t="n">
        <v>2.6e-10</v>
      </c>
      <c r="C60" t="inlineStr">
        <is>
          <t>RER</t>
        </is>
      </c>
      <c r="D60" t="inlineStr">
        <is>
          <t>unit</t>
        </is>
      </c>
      <c r="F60" t="inlineStr">
        <is>
          <t>technosphere</t>
        </is>
      </c>
      <c r="K60" t="inlineStr">
        <is>
          <t>infrastructure, for regional distribution of oil product</t>
        </is>
      </c>
    </row>
    <row r="61">
      <c r="A61" t="inlineStr">
        <is>
          <t>market for municipal solid waste</t>
        </is>
      </c>
      <c r="B61" s="5" t="n">
        <v>-6.27e-06</v>
      </c>
      <c r="C61" t="inlineStr">
        <is>
          <t>CH</t>
        </is>
      </c>
      <c r="D61" t="inlineStr">
        <is>
          <t>kilogram</t>
        </is>
      </c>
      <c r="F61" t="inlineStr">
        <is>
          <t>technosphere</t>
        </is>
      </c>
      <c r="K61" t="inlineStr">
        <is>
          <t>municipal solid waste</t>
        </is>
      </c>
    </row>
    <row r="62">
      <c r="A62" t="inlineStr">
        <is>
          <t>market for rainwater mineral oil storage</t>
        </is>
      </c>
      <c r="B62" s="5" t="n">
        <v>-7.499999999999999e-05</v>
      </c>
      <c r="C62" t="inlineStr">
        <is>
          <t>Europe without Switzerland</t>
        </is>
      </c>
      <c r="D62" t="inlineStr">
        <is>
          <t>cubic meter</t>
        </is>
      </c>
      <c r="F62" t="inlineStr">
        <is>
          <t>technosphere</t>
        </is>
      </c>
      <c r="K62" t="inlineStr">
        <is>
          <t>rainwater mineral oil storage</t>
        </is>
      </c>
    </row>
    <row r="63">
      <c r="A63" t="inlineStr">
        <is>
          <t>market for tap water</t>
        </is>
      </c>
      <c r="B63" s="5" t="n">
        <v>0.0006890000000000001</v>
      </c>
      <c r="C63" t="inlineStr">
        <is>
          <t>Europe without Switzerland</t>
        </is>
      </c>
      <c r="D63" t="inlineStr">
        <is>
          <t>kilogram</t>
        </is>
      </c>
      <c r="F63" t="inlineStr">
        <is>
          <t>technosphere</t>
        </is>
      </c>
      <c r="K63" t="inlineStr">
        <is>
          <t>tap water</t>
        </is>
      </c>
    </row>
    <row r="64">
      <c r="A64" t="inlineStr">
        <is>
          <t>market for transport, freight train</t>
        </is>
      </c>
      <c r="B64" t="n">
        <v>0.0336</v>
      </c>
      <c r="C64" t="inlineStr">
        <is>
          <t>Europe without Switzerland</t>
        </is>
      </c>
      <c r="D64" t="inlineStr">
        <is>
          <t>ton kilometer</t>
        </is>
      </c>
      <c r="F64" t="inlineStr">
        <is>
          <t>technosphere</t>
        </is>
      </c>
      <c r="K64" t="inlineStr">
        <is>
          <t>transport, freight train</t>
        </is>
      </c>
    </row>
    <row r="65">
      <c r="A65" t="inlineStr">
        <is>
          <t>market for transport, freight, lorry, unspecified</t>
        </is>
      </c>
      <c r="B65" t="n">
        <v>0.0326</v>
      </c>
      <c r="C65" t="inlineStr">
        <is>
          <t>RER</t>
        </is>
      </c>
      <c r="D65" t="inlineStr">
        <is>
          <t>ton kilometer</t>
        </is>
      </c>
      <c r="F65" t="inlineStr">
        <is>
          <t>technosphere</t>
        </is>
      </c>
      <c r="K65" t="inlineStr">
        <is>
          <t>transport, freight, lorry, unspecified</t>
        </is>
      </c>
    </row>
    <row r="66">
      <c r="A66" t="inlineStr">
        <is>
          <t>treatment of wastewater, average, capacity 1E9l/year</t>
        </is>
      </c>
      <c r="B66" s="5" t="n">
        <v>-6.89e-07</v>
      </c>
      <c r="C66" t="inlineStr">
        <is>
          <t>Europe without Switzerland</t>
        </is>
      </c>
      <c r="D66" t="inlineStr">
        <is>
          <t>cubic meter</t>
        </is>
      </c>
      <c r="F66" t="inlineStr">
        <is>
          <t>technosphere</t>
        </is>
      </c>
      <c r="K66" t="inlineStr">
        <is>
          <t>wastewater, average</t>
        </is>
      </c>
    </row>
    <row r="67">
      <c r="A67" t="inlineStr">
        <is>
          <t>Carbon dioxide, non-fossil</t>
        </is>
      </c>
      <c r="B67" s="5">
        <f>(B56-1)*3.14</f>
        <v>1.7897999999998727E-3</v>
      </c>
      <c r="D67" t="inlineStr">
        <is>
          <t>kilogram</t>
        </is>
      </c>
      <c r="E67" t="inlineStr">
        <is>
          <t>air</t>
        </is>
      </c>
      <c r="F67" t="inlineStr">
        <is>
          <t>biosphere</t>
        </is>
      </c>
    </row>
    <row r="68">
      <c r="B68" s="5" t="n"/>
    </row>
    <row r="69" ht="16" customHeight="1">
      <c r="A69" s="1" t="inlineStr">
        <is>
          <t>Activity</t>
        </is>
      </c>
      <c r="B69" s="1" t="inlineStr">
        <is>
          <t>gasoline production, synthetic, from methanol, market-average hydrogen, CO2 from DAC, economic allocation, at fuelling station</t>
        </is>
      </c>
    </row>
    <row r="70">
      <c r="A70" t="inlineStr">
        <is>
          <t>location</t>
        </is>
      </c>
      <c r="B70" t="inlineStr">
        <is>
          <t>RER</t>
        </is>
      </c>
    </row>
    <row r="71">
      <c r="A71" t="inlineStr">
        <is>
          <t>production amount</t>
        </is>
      </c>
      <c r="B71" t="n">
        <v>1</v>
      </c>
    </row>
    <row r="72" ht="16" customHeight="1">
      <c r="A72" t="inlineStr">
        <is>
          <t>reference product</t>
        </is>
      </c>
      <c r="B72" s="3" t="inlineStr">
        <is>
          <t>gasoline, synthetic, vehicle grade</t>
        </is>
      </c>
    </row>
    <row r="73">
      <c r="A73" t="inlineStr">
        <is>
          <t>type</t>
        </is>
      </c>
      <c r="B73" t="inlineStr">
        <is>
          <t>process</t>
        </is>
      </c>
    </row>
    <row r="74">
      <c r="A74" t="inlineStr">
        <is>
          <t>unit</t>
        </is>
      </c>
      <c r="B74" t="inlineStr">
        <is>
          <t>kilogram</t>
        </is>
      </c>
    </row>
    <row r="75" ht="16" customHeight="1">
      <c r="A75" s="1" t="inlineStr">
        <is>
          <t>Exchanges</t>
        </is>
      </c>
    </row>
    <row r="76">
      <c r="A76" t="inlineStr">
        <is>
          <t>name</t>
        </is>
      </c>
      <c r="B76" t="inlineStr">
        <is>
          <t>amount</t>
        </is>
      </c>
      <c r="C76" t="inlineStr">
        <is>
          <t>location</t>
        </is>
      </c>
      <c r="D76" t="inlineStr">
        <is>
          <t>unit</t>
        </is>
      </c>
      <c r="E76" t="inlineStr">
        <is>
          <t>categories</t>
        </is>
      </c>
      <c r="F76" t="inlineStr">
        <is>
          <t>type</t>
        </is>
      </c>
      <c r="G76" t="inlineStr">
        <is>
          <t>uncertainty type</t>
        </is>
      </c>
      <c r="H76" t="inlineStr">
        <is>
          <t>loc</t>
        </is>
      </c>
      <c r="I76" t="inlineStr">
        <is>
          <t>allocation</t>
        </is>
      </c>
      <c r="J76" t="inlineStr">
        <is>
          <t>comment</t>
        </is>
      </c>
      <c r="K76" t="inlineStr">
        <is>
          <t>reference product</t>
        </is>
      </c>
    </row>
    <row r="77">
      <c r="A77" t="inlineStr">
        <is>
          <t>gasoline production, synthetic, from methanol, market-average hydrogen, CO2 from DAC, economic allocation, at fuelling station</t>
        </is>
      </c>
      <c r="B77" t="n">
        <v>1</v>
      </c>
      <c r="C77" t="inlineStr">
        <is>
          <t>RER</t>
        </is>
      </c>
      <c r="D77" t="inlineStr">
        <is>
          <t>kilogram</t>
        </is>
      </c>
      <c r="F77" t="inlineStr">
        <is>
          <t>production</t>
        </is>
      </c>
      <c r="I77" t="n">
        <v>100</v>
      </c>
      <c r="J77" t="inlineStr"/>
      <c r="K77" t="inlineStr">
        <is>
          <t>gasoline, synthetic, vehicle grade</t>
        </is>
      </c>
    </row>
    <row r="78">
      <c r="A78" t="inlineStr">
        <is>
          <t>gasoline production, from methanol, market-average hydrogen, CO2 from DAC, economic allocation</t>
        </is>
      </c>
      <c r="B78" t="n">
        <v>1.00057</v>
      </c>
      <c r="C78" t="inlineStr">
        <is>
          <t>RER</t>
        </is>
      </c>
      <c r="D78" t="inlineStr">
        <is>
          <t>kilogram</t>
        </is>
      </c>
      <c r="F78" t="inlineStr">
        <is>
          <t>technosphere</t>
        </is>
      </c>
      <c r="K78" t="inlineStr">
        <is>
          <t>Gasoline, synthetic</t>
        </is>
      </c>
    </row>
    <row r="79">
      <c r="A79" t="inlineStr">
        <is>
          <t>market group for electricity, low voltage</t>
        </is>
      </c>
      <c r="B79" t="n">
        <v>0.0067</v>
      </c>
      <c r="C79" t="inlineStr">
        <is>
          <t>RER</t>
        </is>
      </c>
      <c r="D79" t="inlineStr">
        <is>
          <t>kilowatt hour</t>
        </is>
      </c>
      <c r="F79" t="inlineStr">
        <is>
          <t>technosphere</t>
        </is>
      </c>
      <c r="K79" t="inlineStr">
        <is>
          <t>electricity, low voltage</t>
        </is>
      </c>
    </row>
    <row r="80">
      <c r="A80" t="inlineStr">
        <is>
          <t>market for fly ash and scrubber sludge</t>
        </is>
      </c>
      <c r="B80" t="n">
        <v>-0.000168</v>
      </c>
      <c r="C80" t="inlineStr">
        <is>
          <t>Europe without Switzerland</t>
        </is>
      </c>
      <c r="D80" t="inlineStr">
        <is>
          <t>kilogram</t>
        </is>
      </c>
      <c r="F80" t="inlineStr">
        <is>
          <t>technosphere</t>
        </is>
      </c>
      <c r="K80" t="inlineStr">
        <is>
          <t>fly ash and scrubber sludge</t>
        </is>
      </c>
    </row>
    <row r="81">
      <c r="A81" t="inlineStr">
        <is>
          <t>market for heat, central or small-scale, other than natural gas</t>
        </is>
      </c>
      <c r="B81" s="5" t="n">
        <v>0.000584</v>
      </c>
      <c r="C81" t="inlineStr">
        <is>
          <t>CH</t>
        </is>
      </c>
      <c r="D81" t="inlineStr">
        <is>
          <t>megajoule</t>
        </is>
      </c>
      <c r="F81" t="inlineStr">
        <is>
          <t>technosphere</t>
        </is>
      </c>
      <c r="K81" t="inlineStr">
        <is>
          <t>heat, central or small-scale, other than natural gas</t>
        </is>
      </c>
    </row>
    <row r="82">
      <c r="A82" t="inlineStr">
        <is>
          <t>infrastructure construction, for regional distribution of oil product</t>
        </is>
      </c>
      <c r="B82" s="5" t="n">
        <v>2.6e-10</v>
      </c>
      <c r="C82" t="inlineStr">
        <is>
          <t>RER</t>
        </is>
      </c>
      <c r="D82" t="inlineStr">
        <is>
          <t>unit</t>
        </is>
      </c>
      <c r="F82" t="inlineStr">
        <is>
          <t>technosphere</t>
        </is>
      </c>
      <c r="K82" t="inlineStr">
        <is>
          <t>infrastructure, for regional distribution of oil product</t>
        </is>
      </c>
    </row>
    <row r="83">
      <c r="A83" t="inlineStr">
        <is>
          <t>market for municipal solid waste</t>
        </is>
      </c>
      <c r="B83" s="5" t="n">
        <v>-6.27e-06</v>
      </c>
      <c r="C83" t="inlineStr">
        <is>
          <t>CH</t>
        </is>
      </c>
      <c r="D83" t="inlineStr">
        <is>
          <t>kilogram</t>
        </is>
      </c>
      <c r="F83" t="inlineStr">
        <is>
          <t>technosphere</t>
        </is>
      </c>
      <c r="K83" t="inlineStr">
        <is>
          <t>municipal solid waste</t>
        </is>
      </c>
    </row>
    <row r="84">
      <c r="A84" t="inlineStr">
        <is>
          <t>market for rainwater mineral oil storage</t>
        </is>
      </c>
      <c r="B84" s="5" t="n">
        <v>-7.499999999999999e-05</v>
      </c>
      <c r="C84" t="inlineStr">
        <is>
          <t>Europe without Switzerland</t>
        </is>
      </c>
      <c r="D84" t="inlineStr">
        <is>
          <t>cubic meter</t>
        </is>
      </c>
      <c r="F84" t="inlineStr">
        <is>
          <t>technosphere</t>
        </is>
      </c>
      <c r="K84" t="inlineStr">
        <is>
          <t>rainwater mineral oil storage</t>
        </is>
      </c>
    </row>
    <row r="85">
      <c r="A85" t="inlineStr">
        <is>
          <t>market for tap water</t>
        </is>
      </c>
      <c r="B85" s="5" t="n">
        <v>0.0006890000000000001</v>
      </c>
      <c r="C85" t="inlineStr">
        <is>
          <t>Europe without Switzerland</t>
        </is>
      </c>
      <c r="D85" t="inlineStr">
        <is>
          <t>kilogram</t>
        </is>
      </c>
      <c r="F85" t="inlineStr">
        <is>
          <t>technosphere</t>
        </is>
      </c>
      <c r="K85" t="inlineStr">
        <is>
          <t>tap water</t>
        </is>
      </c>
    </row>
    <row r="86">
      <c r="A86" t="inlineStr">
        <is>
          <t>market for transport, freight train</t>
        </is>
      </c>
      <c r="B86" t="n">
        <v>0.0336</v>
      </c>
      <c r="C86" t="inlineStr">
        <is>
          <t>Europe without Switzerland</t>
        </is>
      </c>
      <c r="D86" t="inlineStr">
        <is>
          <t>ton kilometer</t>
        </is>
      </c>
      <c r="F86" t="inlineStr">
        <is>
          <t>technosphere</t>
        </is>
      </c>
      <c r="K86" t="inlineStr">
        <is>
          <t>transport, freight train</t>
        </is>
      </c>
    </row>
    <row r="87">
      <c r="A87" t="inlineStr">
        <is>
          <t>market for transport, freight, lorry, unspecified</t>
        </is>
      </c>
      <c r="B87" t="n">
        <v>0.0326</v>
      </c>
      <c r="C87" t="inlineStr">
        <is>
          <t>RER</t>
        </is>
      </c>
      <c r="D87" t="inlineStr">
        <is>
          <t>ton kilometer</t>
        </is>
      </c>
      <c r="F87" t="inlineStr">
        <is>
          <t>technosphere</t>
        </is>
      </c>
      <c r="K87" t="inlineStr">
        <is>
          <t>transport, freight, lorry, unspecified</t>
        </is>
      </c>
    </row>
    <row r="88">
      <c r="A88" t="inlineStr">
        <is>
          <t>treatment of wastewater, average, capacity 1E9l/year</t>
        </is>
      </c>
      <c r="B88" s="5" t="n">
        <v>-6.89e-07</v>
      </c>
      <c r="C88" t="inlineStr">
        <is>
          <t>Europe without Switzerland</t>
        </is>
      </c>
      <c r="D88" t="inlineStr">
        <is>
          <t>cubic meter</t>
        </is>
      </c>
      <c r="F88" t="inlineStr">
        <is>
          <t>technosphere</t>
        </is>
      </c>
      <c r="K88" t="inlineStr">
        <is>
          <t>wastewater, average</t>
        </is>
      </c>
    </row>
    <row r="89">
      <c r="A89" t="inlineStr">
        <is>
          <t>Carbon dioxide, non-fossil</t>
        </is>
      </c>
      <c r="B89" s="5">
        <f>(B78-1)*3.14</f>
        <v>1.7897999999998727E-3</v>
      </c>
      <c r="D89" t="inlineStr">
        <is>
          <t>kilogram</t>
        </is>
      </c>
      <c r="E89" t="inlineStr">
        <is>
          <t>air</t>
        </is>
      </c>
      <c r="F89" t="inlineStr">
        <is>
          <t>biosphere</t>
        </is>
      </c>
    </row>
    <row r="90">
      <c r="B90" s="5" t="n"/>
    </row>
    <row r="91">
      <c r="B91" s="5" t="n"/>
    </row>
    <row r="92" ht="16" customHeight="1">
      <c r="A92" s="1" t="inlineStr">
        <is>
          <t>Activity</t>
        </is>
      </c>
      <c r="B92" s="1" t="inlineStr">
        <is>
          <t>liquefied petroleum gas production, synthetic, from methanol, market-average hydrogen, CO2 from DAC, energy allocation, at fuelling station</t>
        </is>
      </c>
    </row>
    <row r="93">
      <c r="A93" t="inlineStr">
        <is>
          <t>location</t>
        </is>
      </c>
      <c r="B93" t="inlineStr">
        <is>
          <t>RER</t>
        </is>
      </c>
    </row>
    <row r="94">
      <c r="A94" t="inlineStr">
        <is>
          <t>production amount</t>
        </is>
      </c>
      <c r="B94" t="n">
        <v>1</v>
      </c>
    </row>
    <row r="95" ht="16" customHeight="1">
      <c r="A95" t="inlineStr">
        <is>
          <t>reference product</t>
        </is>
      </c>
      <c r="B95" s="3" t="inlineStr">
        <is>
          <t>liquefied petroleum gas, synthetic, vehicle grade</t>
        </is>
      </c>
    </row>
    <row r="96">
      <c r="A96" t="inlineStr">
        <is>
          <t>type</t>
        </is>
      </c>
      <c r="B96" t="inlineStr">
        <is>
          <t>process</t>
        </is>
      </c>
    </row>
    <row r="97">
      <c r="A97" t="inlineStr">
        <is>
          <t>unit</t>
        </is>
      </c>
      <c r="B97" t="inlineStr">
        <is>
          <t>kilogram</t>
        </is>
      </c>
    </row>
    <row r="98" ht="16" customHeight="1">
      <c r="A98" s="1" t="inlineStr">
        <is>
          <t>Exchanges</t>
        </is>
      </c>
    </row>
    <row r="99">
      <c r="A99" t="inlineStr">
        <is>
          <t>name</t>
        </is>
      </c>
      <c r="B99" t="inlineStr">
        <is>
          <t>amount</t>
        </is>
      </c>
      <c r="C99" t="inlineStr">
        <is>
          <t>location</t>
        </is>
      </c>
      <c r="D99" t="inlineStr">
        <is>
          <t>unit</t>
        </is>
      </c>
      <c r="E99" t="inlineStr">
        <is>
          <t>categories</t>
        </is>
      </c>
      <c r="F99" t="inlineStr">
        <is>
          <t>type</t>
        </is>
      </c>
      <c r="G99" t="inlineStr">
        <is>
          <t>uncertainty type</t>
        </is>
      </c>
      <c r="H99" t="inlineStr">
        <is>
          <t>loc</t>
        </is>
      </c>
      <c r="I99" t="inlineStr">
        <is>
          <t>allocation</t>
        </is>
      </c>
      <c r="J99" t="inlineStr">
        <is>
          <t>comment</t>
        </is>
      </c>
      <c r="K99" t="inlineStr">
        <is>
          <t>reference product</t>
        </is>
      </c>
    </row>
    <row r="100">
      <c r="A100" t="inlineStr">
        <is>
          <t>liquefied petroleum gas production, synthetic, from methanol, market-average hydrogen, CO2 from DAC, energy allocation, at fuelling station</t>
        </is>
      </c>
      <c r="B100" t="n">
        <v>1</v>
      </c>
      <c r="C100" t="inlineStr">
        <is>
          <t>RER</t>
        </is>
      </c>
      <c r="D100" t="inlineStr">
        <is>
          <t>kilogram</t>
        </is>
      </c>
      <c r="F100" t="inlineStr">
        <is>
          <t>production</t>
        </is>
      </c>
      <c r="I100" t="n">
        <v>100</v>
      </c>
      <c r="J100" t="inlineStr"/>
      <c r="K100" t="inlineStr">
        <is>
          <t>liquefied petroleum gas, synthetic, vehicle grade</t>
        </is>
      </c>
    </row>
    <row r="101">
      <c r="A101" t="inlineStr">
        <is>
          <t>liquefied petroleum gas production, from methanol, market-average hydrogen, CO2 from DAC, energy allocation</t>
        </is>
      </c>
      <c r="B101" t="n">
        <v>1.00057</v>
      </c>
      <c r="C101" t="inlineStr">
        <is>
          <t>RER</t>
        </is>
      </c>
      <c r="D101" t="inlineStr">
        <is>
          <t>kilogram</t>
        </is>
      </c>
      <c r="F101" t="inlineStr">
        <is>
          <t>technosphere</t>
        </is>
      </c>
      <c r="K101" t="inlineStr">
        <is>
          <t>liquefied petroleum gas, synthetic</t>
        </is>
      </c>
    </row>
    <row r="102">
      <c r="A102" t="inlineStr">
        <is>
          <t>market group for electricity, low voltage</t>
        </is>
      </c>
      <c r="B102" t="n">
        <v>0.0067</v>
      </c>
      <c r="C102" t="inlineStr">
        <is>
          <t>RER</t>
        </is>
      </c>
      <c r="D102" t="inlineStr">
        <is>
          <t>kilowatt hour</t>
        </is>
      </c>
      <c r="F102" t="inlineStr">
        <is>
          <t>technosphere</t>
        </is>
      </c>
      <c r="K102" t="inlineStr">
        <is>
          <t>electricity, low voltage</t>
        </is>
      </c>
    </row>
    <row r="103">
      <c r="A103" t="inlineStr">
        <is>
          <t>market for fly ash and scrubber sludge</t>
        </is>
      </c>
      <c r="B103" t="n">
        <v>-0.000168</v>
      </c>
      <c r="C103" t="inlineStr">
        <is>
          <t>Europe without Switzerland</t>
        </is>
      </c>
      <c r="D103" t="inlineStr">
        <is>
          <t>kilogram</t>
        </is>
      </c>
      <c r="F103" t="inlineStr">
        <is>
          <t>technosphere</t>
        </is>
      </c>
      <c r="K103" t="inlineStr">
        <is>
          <t>fly ash and scrubber sludge</t>
        </is>
      </c>
    </row>
    <row r="104">
      <c r="A104" t="inlineStr">
        <is>
          <t>market for heat, central or small-scale, other than natural gas</t>
        </is>
      </c>
      <c r="B104" s="5" t="n">
        <v>0.000584</v>
      </c>
      <c r="C104" t="inlineStr">
        <is>
          <t>CH</t>
        </is>
      </c>
      <c r="D104" t="inlineStr">
        <is>
          <t>megajoule</t>
        </is>
      </c>
      <c r="F104" t="inlineStr">
        <is>
          <t>technosphere</t>
        </is>
      </c>
      <c r="K104" t="inlineStr">
        <is>
          <t>heat, central or small-scale, other than natural gas</t>
        </is>
      </c>
    </row>
    <row r="105">
      <c r="A105" t="inlineStr">
        <is>
          <t>infrastructure construction, for regional distribution of oil product</t>
        </is>
      </c>
      <c r="B105" s="5" t="n">
        <v>2.6e-10</v>
      </c>
      <c r="C105" t="inlineStr">
        <is>
          <t>RER</t>
        </is>
      </c>
      <c r="D105" t="inlineStr">
        <is>
          <t>unit</t>
        </is>
      </c>
      <c r="F105" t="inlineStr">
        <is>
          <t>technosphere</t>
        </is>
      </c>
      <c r="K105" t="inlineStr">
        <is>
          <t>infrastructure, for regional distribution of oil product</t>
        </is>
      </c>
    </row>
    <row r="106">
      <c r="A106" t="inlineStr">
        <is>
          <t>market for municipal solid waste</t>
        </is>
      </c>
      <c r="B106" s="5" t="n">
        <v>-6.27e-06</v>
      </c>
      <c r="C106" t="inlineStr">
        <is>
          <t>CH</t>
        </is>
      </c>
      <c r="D106" t="inlineStr">
        <is>
          <t>kilogram</t>
        </is>
      </c>
      <c r="F106" t="inlineStr">
        <is>
          <t>technosphere</t>
        </is>
      </c>
      <c r="K106" t="inlineStr">
        <is>
          <t>municipal solid waste</t>
        </is>
      </c>
    </row>
    <row r="107">
      <c r="A107" t="inlineStr">
        <is>
          <t>market for rainwater mineral oil storage</t>
        </is>
      </c>
      <c r="B107" s="5" t="n">
        <v>-7.499999999999999e-05</v>
      </c>
      <c r="C107" t="inlineStr">
        <is>
          <t>Europe without Switzerland</t>
        </is>
      </c>
      <c r="D107" t="inlineStr">
        <is>
          <t>cubic meter</t>
        </is>
      </c>
      <c r="F107" t="inlineStr">
        <is>
          <t>technosphere</t>
        </is>
      </c>
      <c r="K107" t="inlineStr">
        <is>
          <t>rainwater mineral oil storage</t>
        </is>
      </c>
    </row>
    <row r="108">
      <c r="A108" t="inlineStr">
        <is>
          <t>market for tap water</t>
        </is>
      </c>
      <c r="B108" s="5" t="n">
        <v>0.0006890000000000001</v>
      </c>
      <c r="C108" t="inlineStr">
        <is>
          <t>Europe without Switzerland</t>
        </is>
      </c>
      <c r="D108" t="inlineStr">
        <is>
          <t>kilogram</t>
        </is>
      </c>
      <c r="F108" t="inlineStr">
        <is>
          <t>technosphere</t>
        </is>
      </c>
      <c r="K108" t="inlineStr">
        <is>
          <t>tap water</t>
        </is>
      </c>
    </row>
    <row r="109">
      <c r="A109" t="inlineStr">
        <is>
          <t>market for transport, freight train</t>
        </is>
      </c>
      <c r="B109" t="n">
        <v>0.0336</v>
      </c>
      <c r="C109" t="inlineStr">
        <is>
          <t>Europe without Switzerland</t>
        </is>
      </c>
      <c r="D109" t="inlineStr">
        <is>
          <t>ton kilometer</t>
        </is>
      </c>
      <c r="F109" t="inlineStr">
        <is>
          <t>technosphere</t>
        </is>
      </c>
      <c r="K109" t="inlineStr">
        <is>
          <t>transport, freight train</t>
        </is>
      </c>
    </row>
    <row r="110">
      <c r="A110" t="inlineStr">
        <is>
          <t>market for transport, freight, lorry, unspecified</t>
        </is>
      </c>
      <c r="B110" t="n">
        <v>0.0326</v>
      </c>
      <c r="C110" t="inlineStr">
        <is>
          <t>RER</t>
        </is>
      </c>
      <c r="D110" t="inlineStr">
        <is>
          <t>ton kilometer</t>
        </is>
      </c>
      <c r="F110" t="inlineStr">
        <is>
          <t>technosphere</t>
        </is>
      </c>
      <c r="K110" t="inlineStr">
        <is>
          <t>transport, freight, lorry, unspecified</t>
        </is>
      </c>
    </row>
    <row r="111">
      <c r="A111" t="inlineStr">
        <is>
          <t>treatment of wastewater, average, capacity 1E9l/year</t>
        </is>
      </c>
      <c r="B111" s="5" t="n">
        <v>-6.89e-07</v>
      </c>
      <c r="C111" t="inlineStr">
        <is>
          <t>Europe without Switzerland</t>
        </is>
      </c>
      <c r="D111" t="inlineStr">
        <is>
          <t>cubic meter</t>
        </is>
      </c>
      <c r="F111" t="inlineStr">
        <is>
          <t>technosphere</t>
        </is>
      </c>
      <c r="K111" t="inlineStr">
        <is>
          <t>wastewater, average</t>
        </is>
      </c>
    </row>
    <row r="112">
      <c r="A112" t="inlineStr">
        <is>
          <t>Carbon dioxide, non-fossil</t>
        </is>
      </c>
      <c r="B112" s="5">
        <f>(B101-1)*3.14</f>
        <v>1.7897999999998727E-3</v>
      </c>
      <c r="D112" t="inlineStr">
        <is>
          <t>kilogram</t>
        </is>
      </c>
      <c r="E112" t="inlineStr">
        <is>
          <t>air</t>
        </is>
      </c>
      <c r="F112" t="inlineStr">
        <is>
          <t>biosphere</t>
        </is>
      </c>
    </row>
    <row r="113">
      <c r="B113" s="5" t="n"/>
    </row>
    <row r="114" ht="16" customHeight="1">
      <c r="A114" s="1" t="inlineStr">
        <is>
          <t>Activity</t>
        </is>
      </c>
      <c r="B114" s="1" t="inlineStr">
        <is>
          <t>kerosene production, synthetic, from methanol, market-average hydrogen, CO2 from DAC, energy allocation, at fuelling station</t>
        </is>
      </c>
    </row>
    <row r="115">
      <c r="A115" t="inlineStr">
        <is>
          <t>location</t>
        </is>
      </c>
      <c r="B115" t="inlineStr">
        <is>
          <t>RER</t>
        </is>
      </c>
    </row>
    <row r="116">
      <c r="A116" t="inlineStr">
        <is>
          <t>production amount</t>
        </is>
      </c>
      <c r="B116" t="n">
        <v>1</v>
      </c>
    </row>
    <row r="117" ht="16" customHeight="1">
      <c r="A117" t="inlineStr">
        <is>
          <t>reference product</t>
        </is>
      </c>
      <c r="B117" s="3" t="inlineStr">
        <is>
          <t>kerosene, synthetic, vehicle grade</t>
        </is>
      </c>
    </row>
    <row r="118">
      <c r="A118" t="inlineStr">
        <is>
          <t>type</t>
        </is>
      </c>
      <c r="B118" t="inlineStr">
        <is>
          <t>process</t>
        </is>
      </c>
    </row>
    <row r="119">
      <c r="A119" t="inlineStr">
        <is>
          <t>unit</t>
        </is>
      </c>
      <c r="B119" t="inlineStr">
        <is>
          <t>kilogram</t>
        </is>
      </c>
    </row>
    <row r="120" ht="16" customHeight="1">
      <c r="A120" s="1" t="inlineStr">
        <is>
          <t>Exchanges</t>
        </is>
      </c>
    </row>
    <row r="121">
      <c r="A121" t="inlineStr">
        <is>
          <t>name</t>
        </is>
      </c>
      <c r="B121" t="inlineStr">
        <is>
          <t>amount</t>
        </is>
      </c>
      <c r="C121" t="inlineStr">
        <is>
          <t>location</t>
        </is>
      </c>
      <c r="D121" t="inlineStr">
        <is>
          <t>unit</t>
        </is>
      </c>
      <c r="E121" t="inlineStr">
        <is>
          <t>categories</t>
        </is>
      </c>
      <c r="F121" t="inlineStr">
        <is>
          <t>type</t>
        </is>
      </c>
      <c r="G121" t="inlineStr">
        <is>
          <t>uncertainty type</t>
        </is>
      </c>
      <c r="H121" t="inlineStr">
        <is>
          <t>loc</t>
        </is>
      </c>
      <c r="I121" t="inlineStr">
        <is>
          <t>allocation</t>
        </is>
      </c>
      <c r="J121" t="inlineStr">
        <is>
          <t>comment</t>
        </is>
      </c>
      <c r="K121" t="inlineStr">
        <is>
          <t>reference product</t>
        </is>
      </c>
    </row>
    <row r="122">
      <c r="A122" t="inlineStr">
        <is>
          <t>kerosene production, synthetic, from methanol, market-average hydrogen, CO2 from DAC, energy allocation, at fuelling station</t>
        </is>
      </c>
      <c r="B122" t="n">
        <v>1</v>
      </c>
      <c r="C122" t="inlineStr">
        <is>
          <t>RER</t>
        </is>
      </c>
      <c r="D122" t="inlineStr">
        <is>
          <t>kilogram</t>
        </is>
      </c>
      <c r="F122" t="inlineStr">
        <is>
          <t>production</t>
        </is>
      </c>
      <c r="I122" t="n">
        <v>100</v>
      </c>
      <c r="J122" t="inlineStr"/>
      <c r="K122" t="inlineStr">
        <is>
          <t>kerosene, synthetic, vehicle grade</t>
        </is>
      </c>
    </row>
    <row r="123">
      <c r="A123" t="inlineStr">
        <is>
          <t>kerosene production, from methanol, market-average hydrogen, CO2 from DAC, energy allocation</t>
        </is>
      </c>
      <c r="B123" t="n">
        <v>1.00057</v>
      </c>
      <c r="C123" t="inlineStr">
        <is>
          <t>RER</t>
        </is>
      </c>
      <c r="D123" t="inlineStr">
        <is>
          <t>kilogram</t>
        </is>
      </c>
      <c r="F123" t="inlineStr">
        <is>
          <t>technosphere</t>
        </is>
      </c>
      <c r="K123" t="inlineStr">
        <is>
          <t>kerosene, synthetic</t>
        </is>
      </c>
    </row>
    <row r="124">
      <c r="A124" t="inlineStr">
        <is>
          <t>market group for electricity, low voltage</t>
        </is>
      </c>
      <c r="B124" t="n">
        <v>0.0067</v>
      </c>
      <c r="C124" t="inlineStr">
        <is>
          <t>RER</t>
        </is>
      </c>
      <c r="D124" t="inlineStr">
        <is>
          <t>kilowatt hour</t>
        </is>
      </c>
      <c r="F124" t="inlineStr">
        <is>
          <t>technosphere</t>
        </is>
      </c>
      <c r="K124" t="inlineStr">
        <is>
          <t>electricity, low voltage</t>
        </is>
      </c>
    </row>
    <row r="125">
      <c r="A125" t="inlineStr">
        <is>
          <t>market for fly ash and scrubber sludge</t>
        </is>
      </c>
      <c r="B125" t="n">
        <v>-0.000168</v>
      </c>
      <c r="C125" t="inlineStr">
        <is>
          <t>Europe without Switzerland</t>
        </is>
      </c>
      <c r="D125" t="inlineStr">
        <is>
          <t>kilogram</t>
        </is>
      </c>
      <c r="F125" t="inlineStr">
        <is>
          <t>technosphere</t>
        </is>
      </c>
      <c r="K125" t="inlineStr">
        <is>
          <t>fly ash and scrubber sludge</t>
        </is>
      </c>
    </row>
    <row r="126">
      <c r="A126" t="inlineStr">
        <is>
          <t>market for heat, central or small-scale, other than natural gas</t>
        </is>
      </c>
      <c r="B126" s="5" t="n">
        <v>0.000584</v>
      </c>
      <c r="C126" t="inlineStr">
        <is>
          <t>CH</t>
        </is>
      </c>
      <c r="D126" t="inlineStr">
        <is>
          <t>megajoule</t>
        </is>
      </c>
      <c r="F126" t="inlineStr">
        <is>
          <t>technosphere</t>
        </is>
      </c>
      <c r="K126" t="inlineStr">
        <is>
          <t>heat, central or small-scale, other than natural gas</t>
        </is>
      </c>
    </row>
    <row r="127">
      <c r="A127" t="inlineStr">
        <is>
          <t>infrastructure construction, for regional distribution of oil product</t>
        </is>
      </c>
      <c r="B127" s="5" t="n">
        <v>2.6e-10</v>
      </c>
      <c r="C127" t="inlineStr">
        <is>
          <t>RER</t>
        </is>
      </c>
      <c r="D127" t="inlineStr">
        <is>
          <t>unit</t>
        </is>
      </c>
      <c r="F127" t="inlineStr">
        <is>
          <t>technosphere</t>
        </is>
      </c>
      <c r="K127" t="inlineStr">
        <is>
          <t>infrastructure, for regional distribution of oil product</t>
        </is>
      </c>
    </row>
    <row r="128">
      <c r="A128" t="inlineStr">
        <is>
          <t>market for municipal solid waste</t>
        </is>
      </c>
      <c r="B128" s="5" t="n">
        <v>-6.27e-06</v>
      </c>
      <c r="C128" t="inlineStr">
        <is>
          <t>CH</t>
        </is>
      </c>
      <c r="D128" t="inlineStr">
        <is>
          <t>kilogram</t>
        </is>
      </c>
      <c r="F128" t="inlineStr">
        <is>
          <t>technosphere</t>
        </is>
      </c>
      <c r="K128" t="inlineStr">
        <is>
          <t>municipal solid waste</t>
        </is>
      </c>
    </row>
    <row r="129">
      <c r="A129" t="inlineStr">
        <is>
          <t>market for rainwater mineral oil storage</t>
        </is>
      </c>
      <c r="B129" s="5" t="n">
        <v>-7.499999999999999e-05</v>
      </c>
      <c r="C129" t="inlineStr">
        <is>
          <t>Europe without Switzerland</t>
        </is>
      </c>
      <c r="D129" t="inlineStr">
        <is>
          <t>cubic meter</t>
        </is>
      </c>
      <c r="F129" t="inlineStr">
        <is>
          <t>technosphere</t>
        </is>
      </c>
      <c r="K129" t="inlineStr">
        <is>
          <t>rainwater mineral oil storage</t>
        </is>
      </c>
    </row>
    <row r="130">
      <c r="A130" t="inlineStr">
        <is>
          <t>market for tap water</t>
        </is>
      </c>
      <c r="B130" s="5" t="n">
        <v>0.0006890000000000001</v>
      </c>
      <c r="C130" t="inlineStr">
        <is>
          <t>Europe without Switzerland</t>
        </is>
      </c>
      <c r="D130" t="inlineStr">
        <is>
          <t>kilogram</t>
        </is>
      </c>
      <c r="F130" t="inlineStr">
        <is>
          <t>technosphere</t>
        </is>
      </c>
      <c r="K130" t="inlineStr">
        <is>
          <t>tap water</t>
        </is>
      </c>
    </row>
    <row r="131">
      <c r="A131" t="inlineStr">
        <is>
          <t>market for transport, freight train</t>
        </is>
      </c>
      <c r="B131" t="n">
        <v>0.0336</v>
      </c>
      <c r="C131" t="inlineStr">
        <is>
          <t>Europe without Switzerland</t>
        </is>
      </c>
      <c r="D131" t="inlineStr">
        <is>
          <t>ton kilometer</t>
        </is>
      </c>
      <c r="F131" t="inlineStr">
        <is>
          <t>technosphere</t>
        </is>
      </c>
      <c r="K131" t="inlineStr">
        <is>
          <t>transport, freight train</t>
        </is>
      </c>
    </row>
    <row r="132">
      <c r="A132" t="inlineStr">
        <is>
          <t>market for transport, freight, lorry, unspecified</t>
        </is>
      </c>
      <c r="B132" t="n">
        <v>0.0326</v>
      </c>
      <c r="C132" t="inlineStr">
        <is>
          <t>RER</t>
        </is>
      </c>
      <c r="D132" t="inlineStr">
        <is>
          <t>ton kilometer</t>
        </is>
      </c>
      <c r="F132" t="inlineStr">
        <is>
          <t>technosphere</t>
        </is>
      </c>
      <c r="K132" t="inlineStr">
        <is>
          <t>transport, freight, lorry, unspecified</t>
        </is>
      </c>
    </row>
    <row r="133">
      <c r="A133" t="inlineStr">
        <is>
          <t>treatment of wastewater, average, capacity 1E9l/year</t>
        </is>
      </c>
      <c r="B133" s="5" t="n">
        <v>-6.89e-07</v>
      </c>
      <c r="C133" t="inlineStr">
        <is>
          <t>Europe without Switzerland</t>
        </is>
      </c>
      <c r="D133" t="inlineStr">
        <is>
          <t>cubic meter</t>
        </is>
      </c>
      <c r="F133" t="inlineStr">
        <is>
          <t>technosphere</t>
        </is>
      </c>
      <c r="K133" t="inlineStr">
        <is>
          <t>wastewater, average</t>
        </is>
      </c>
    </row>
    <row r="134">
      <c r="A134" t="inlineStr">
        <is>
          <t>Carbon dioxide, non-fossil</t>
        </is>
      </c>
      <c r="B134" s="5">
        <f>(B123-1)*3.14</f>
        <v>1.7897999999998727E-3</v>
      </c>
      <c r="D134" t="inlineStr">
        <is>
          <t>kilogram</t>
        </is>
      </c>
      <c r="E134" t="inlineStr">
        <is>
          <t>air</t>
        </is>
      </c>
      <c r="F134" t="inlineStr">
        <is>
          <t>biosphere</t>
        </is>
      </c>
    </row>
    <row r="135">
      <c r="B135" s="5" t="n"/>
    </row>
    <row r="136" ht="16" customHeight="1">
      <c r="A136" s="1" t="inlineStr">
        <is>
          <t>Activity</t>
        </is>
      </c>
      <c r="B136" s="1" t="inlineStr">
        <is>
          <t>diesel production, synthetic, from methanol, market-average hydrogen, CO2 from DAC, energy allocation, at fuelling station</t>
        </is>
      </c>
    </row>
    <row r="137">
      <c r="A137" t="inlineStr">
        <is>
          <t>location</t>
        </is>
      </c>
      <c r="B137" t="inlineStr">
        <is>
          <t>RER</t>
        </is>
      </c>
    </row>
    <row r="138">
      <c r="A138" t="inlineStr">
        <is>
          <t>production amount</t>
        </is>
      </c>
      <c r="B138" t="n">
        <v>1</v>
      </c>
    </row>
    <row r="139" ht="16" customHeight="1">
      <c r="A139" t="inlineStr">
        <is>
          <t>reference product</t>
        </is>
      </c>
      <c r="B139" s="3" t="inlineStr">
        <is>
          <t>diesel, synthetic, vehicle grade</t>
        </is>
      </c>
    </row>
    <row r="140">
      <c r="A140" t="inlineStr">
        <is>
          <t>type</t>
        </is>
      </c>
      <c r="B140" t="inlineStr">
        <is>
          <t>process</t>
        </is>
      </c>
    </row>
    <row r="141">
      <c r="A141" t="inlineStr">
        <is>
          <t>unit</t>
        </is>
      </c>
      <c r="B141" t="inlineStr">
        <is>
          <t>kilogram</t>
        </is>
      </c>
    </row>
    <row r="142" ht="16" customHeight="1">
      <c r="A142" s="1" t="inlineStr">
        <is>
          <t>Exchanges</t>
        </is>
      </c>
    </row>
    <row r="143">
      <c r="A143" t="inlineStr">
        <is>
          <t>name</t>
        </is>
      </c>
      <c r="B143" t="inlineStr">
        <is>
          <t>amount</t>
        </is>
      </c>
      <c r="C143" t="inlineStr">
        <is>
          <t>location</t>
        </is>
      </c>
      <c r="D143" t="inlineStr">
        <is>
          <t>unit</t>
        </is>
      </c>
      <c r="E143" t="inlineStr">
        <is>
          <t>categories</t>
        </is>
      </c>
      <c r="F143" t="inlineStr">
        <is>
          <t>type</t>
        </is>
      </c>
      <c r="G143" t="inlineStr">
        <is>
          <t>uncertainty type</t>
        </is>
      </c>
      <c r="H143" t="inlineStr">
        <is>
          <t>loc</t>
        </is>
      </c>
      <c r="I143" t="inlineStr">
        <is>
          <t>allocation</t>
        </is>
      </c>
      <c r="J143" t="inlineStr">
        <is>
          <t>comment</t>
        </is>
      </c>
      <c r="K143" t="inlineStr">
        <is>
          <t>reference product</t>
        </is>
      </c>
    </row>
    <row r="144">
      <c r="A144" t="inlineStr">
        <is>
          <t>diesel production, synthetic, from methanol, market-average hydrogen, CO2 from DAC, energy allocation, at fuelling station</t>
        </is>
      </c>
      <c r="B144" t="n">
        <v>1</v>
      </c>
      <c r="C144" t="inlineStr">
        <is>
          <t>RER</t>
        </is>
      </c>
      <c r="D144" t="inlineStr">
        <is>
          <t>kilogram</t>
        </is>
      </c>
      <c r="F144" t="inlineStr">
        <is>
          <t>production</t>
        </is>
      </c>
      <c r="I144" t="n">
        <v>100</v>
      </c>
      <c r="J144" t="inlineStr"/>
      <c r="K144" t="inlineStr">
        <is>
          <t>diesel, synthetic, vehicle grade</t>
        </is>
      </c>
    </row>
    <row r="145">
      <c r="A145" t="inlineStr">
        <is>
          <t>diesel production, from methanol, market-average hydrogen, CO2 from DAC, energy allocation</t>
        </is>
      </c>
      <c r="B145" t="n">
        <v>1.00057</v>
      </c>
      <c r="C145" t="inlineStr">
        <is>
          <t>RER</t>
        </is>
      </c>
      <c r="D145" t="inlineStr">
        <is>
          <t>kilogram</t>
        </is>
      </c>
      <c r="F145" t="inlineStr">
        <is>
          <t>technosphere</t>
        </is>
      </c>
      <c r="K145" t="inlineStr">
        <is>
          <t>diesel, synthetic</t>
        </is>
      </c>
    </row>
    <row r="146">
      <c r="A146" t="inlineStr">
        <is>
          <t>market group for electricity, low voltage</t>
        </is>
      </c>
      <c r="B146" t="n">
        <v>0.0067</v>
      </c>
      <c r="C146" t="inlineStr">
        <is>
          <t>RER</t>
        </is>
      </c>
      <c r="D146" t="inlineStr">
        <is>
          <t>kilowatt hour</t>
        </is>
      </c>
      <c r="F146" t="inlineStr">
        <is>
          <t>technosphere</t>
        </is>
      </c>
      <c r="K146" t="inlineStr">
        <is>
          <t>electricity, low voltage</t>
        </is>
      </c>
    </row>
    <row r="147">
      <c r="A147" t="inlineStr">
        <is>
          <t>market for fly ash and scrubber sludge</t>
        </is>
      </c>
      <c r="B147" t="n">
        <v>-0.000168</v>
      </c>
      <c r="C147" t="inlineStr">
        <is>
          <t>Europe without Switzerland</t>
        </is>
      </c>
      <c r="D147" t="inlineStr">
        <is>
          <t>kilogram</t>
        </is>
      </c>
      <c r="F147" t="inlineStr">
        <is>
          <t>technosphere</t>
        </is>
      </c>
      <c r="K147" t="inlineStr">
        <is>
          <t>fly ash and scrubber sludge</t>
        </is>
      </c>
    </row>
    <row r="148">
      <c r="A148" t="inlineStr">
        <is>
          <t>market for heat, central or small-scale, other than natural gas</t>
        </is>
      </c>
      <c r="B148" s="5" t="n">
        <v>0.000584</v>
      </c>
      <c r="C148" t="inlineStr">
        <is>
          <t>CH</t>
        </is>
      </c>
      <c r="D148" t="inlineStr">
        <is>
          <t>megajoule</t>
        </is>
      </c>
      <c r="F148" t="inlineStr">
        <is>
          <t>technosphere</t>
        </is>
      </c>
      <c r="K148" t="inlineStr">
        <is>
          <t>heat, central or small-scale, other than natural gas</t>
        </is>
      </c>
    </row>
    <row r="149">
      <c r="A149" t="inlineStr">
        <is>
          <t>infrastructure construction, for regional distribution of oil product</t>
        </is>
      </c>
      <c r="B149" s="5" t="n">
        <v>2.6e-10</v>
      </c>
      <c r="C149" t="inlineStr">
        <is>
          <t>RER</t>
        </is>
      </c>
      <c r="D149" t="inlineStr">
        <is>
          <t>unit</t>
        </is>
      </c>
      <c r="F149" t="inlineStr">
        <is>
          <t>technosphere</t>
        </is>
      </c>
      <c r="K149" t="inlineStr">
        <is>
          <t>infrastructure, for regional distribution of oil product</t>
        </is>
      </c>
    </row>
    <row r="150">
      <c r="A150" t="inlineStr">
        <is>
          <t>market for municipal solid waste</t>
        </is>
      </c>
      <c r="B150" s="5" t="n">
        <v>-6.27e-06</v>
      </c>
      <c r="C150" t="inlineStr">
        <is>
          <t>CH</t>
        </is>
      </c>
      <c r="D150" t="inlineStr">
        <is>
          <t>kilogram</t>
        </is>
      </c>
      <c r="F150" t="inlineStr">
        <is>
          <t>technosphere</t>
        </is>
      </c>
      <c r="K150" t="inlineStr">
        <is>
          <t>municipal solid waste</t>
        </is>
      </c>
    </row>
    <row r="151">
      <c r="A151" t="inlineStr">
        <is>
          <t>market for rainwater mineral oil storage</t>
        </is>
      </c>
      <c r="B151" s="5" t="n">
        <v>-7.499999999999999e-05</v>
      </c>
      <c r="C151" t="inlineStr">
        <is>
          <t>Europe without Switzerland</t>
        </is>
      </c>
      <c r="D151" t="inlineStr">
        <is>
          <t>cubic meter</t>
        </is>
      </c>
      <c r="F151" t="inlineStr">
        <is>
          <t>technosphere</t>
        </is>
      </c>
      <c r="K151" t="inlineStr">
        <is>
          <t>rainwater mineral oil storage</t>
        </is>
      </c>
    </row>
    <row r="152">
      <c r="A152" t="inlineStr">
        <is>
          <t>market for tap water</t>
        </is>
      </c>
      <c r="B152" s="5" t="n">
        <v>0.0006890000000000001</v>
      </c>
      <c r="C152" t="inlineStr">
        <is>
          <t>Europe without Switzerland</t>
        </is>
      </c>
      <c r="D152" t="inlineStr">
        <is>
          <t>kilogram</t>
        </is>
      </c>
      <c r="F152" t="inlineStr">
        <is>
          <t>technosphere</t>
        </is>
      </c>
      <c r="K152" t="inlineStr">
        <is>
          <t>tap water</t>
        </is>
      </c>
    </row>
    <row r="153">
      <c r="A153" t="inlineStr">
        <is>
          <t>market for transport, freight train</t>
        </is>
      </c>
      <c r="B153" t="n">
        <v>0.0336</v>
      </c>
      <c r="C153" t="inlineStr">
        <is>
          <t>Europe without Switzerland</t>
        </is>
      </c>
      <c r="D153" t="inlineStr">
        <is>
          <t>ton kilometer</t>
        </is>
      </c>
      <c r="F153" t="inlineStr">
        <is>
          <t>technosphere</t>
        </is>
      </c>
      <c r="K153" t="inlineStr">
        <is>
          <t>transport, freight train</t>
        </is>
      </c>
    </row>
    <row r="154">
      <c r="A154" t="inlineStr">
        <is>
          <t>market for transport, freight, lorry, unspecified</t>
        </is>
      </c>
      <c r="B154" t="n">
        <v>0.0326</v>
      </c>
      <c r="C154" t="inlineStr">
        <is>
          <t>RER</t>
        </is>
      </c>
      <c r="D154" t="inlineStr">
        <is>
          <t>ton kilometer</t>
        </is>
      </c>
      <c r="F154" t="inlineStr">
        <is>
          <t>technosphere</t>
        </is>
      </c>
      <c r="K154" t="inlineStr">
        <is>
          <t>transport, freight, lorry, unspecified</t>
        </is>
      </c>
    </row>
    <row r="155">
      <c r="A155" t="inlineStr">
        <is>
          <t>treatment of wastewater, average, capacity 1E9l/year</t>
        </is>
      </c>
      <c r="B155" s="5" t="n">
        <v>-6.89e-07</v>
      </c>
      <c r="C155" t="inlineStr">
        <is>
          <t>Europe without Switzerland</t>
        </is>
      </c>
      <c r="D155" t="inlineStr">
        <is>
          <t>cubic meter</t>
        </is>
      </c>
      <c r="F155" t="inlineStr">
        <is>
          <t>technosphere</t>
        </is>
      </c>
      <c r="K155" t="inlineStr">
        <is>
          <t>wastewater, average</t>
        </is>
      </c>
    </row>
    <row r="156">
      <c r="A156" t="inlineStr">
        <is>
          <t>Carbon dioxide, non-fossil</t>
        </is>
      </c>
      <c r="B156" s="5">
        <f>(B145-1)*3.14</f>
        <v>1.7897999999998727E-3</v>
      </c>
      <c r="D156" t="inlineStr">
        <is>
          <t>kilogram</t>
        </is>
      </c>
      <c r="E156" t="inlineStr">
        <is>
          <t>air</t>
        </is>
      </c>
      <c r="F156" t="inlineStr">
        <is>
          <t>biosphere</t>
        </is>
      </c>
    </row>
    <row r="157">
      <c r="B157" s="5" t="n"/>
    </row>
    <row r="158" ht="16" customHeight="1">
      <c r="A158" s="1" t="inlineStr">
        <is>
          <t>Activity</t>
        </is>
      </c>
      <c r="B158" s="1" t="inlineStr">
        <is>
          <t>gasoline production, synthetic, from methanol, market-average hydrogen, CO2 from DAC, energy allocation, at fuelling station</t>
        </is>
      </c>
    </row>
    <row r="159">
      <c r="A159" t="inlineStr">
        <is>
          <t>location</t>
        </is>
      </c>
      <c r="B159" t="inlineStr">
        <is>
          <t>RER</t>
        </is>
      </c>
    </row>
    <row r="160">
      <c r="A160" t="inlineStr">
        <is>
          <t>production amount</t>
        </is>
      </c>
      <c r="B160" t="n">
        <v>1</v>
      </c>
    </row>
    <row r="161" ht="16" customHeight="1">
      <c r="A161" t="inlineStr">
        <is>
          <t>reference product</t>
        </is>
      </c>
      <c r="B161" s="3" t="inlineStr">
        <is>
          <t>gasoline, synthetic, vehicle grade</t>
        </is>
      </c>
    </row>
    <row r="162">
      <c r="A162" t="inlineStr">
        <is>
          <t>type</t>
        </is>
      </c>
      <c r="B162" t="inlineStr">
        <is>
          <t>process</t>
        </is>
      </c>
    </row>
    <row r="163">
      <c r="A163" t="inlineStr">
        <is>
          <t>unit</t>
        </is>
      </c>
      <c r="B163" t="inlineStr">
        <is>
          <t>kilogram</t>
        </is>
      </c>
    </row>
    <row r="164" ht="16" customHeight="1">
      <c r="A164" s="1" t="inlineStr">
        <is>
          <t>Exchanges</t>
        </is>
      </c>
    </row>
    <row r="165">
      <c r="A165" t="inlineStr">
        <is>
          <t>name</t>
        </is>
      </c>
      <c r="B165" t="inlineStr">
        <is>
          <t>amount</t>
        </is>
      </c>
      <c r="C165" t="inlineStr">
        <is>
          <t>location</t>
        </is>
      </c>
      <c r="D165" t="inlineStr">
        <is>
          <t>unit</t>
        </is>
      </c>
      <c r="E165" t="inlineStr">
        <is>
          <t>categories</t>
        </is>
      </c>
      <c r="F165" t="inlineStr">
        <is>
          <t>type</t>
        </is>
      </c>
      <c r="G165" t="inlineStr">
        <is>
          <t>uncertainty type</t>
        </is>
      </c>
      <c r="H165" t="inlineStr">
        <is>
          <t>loc</t>
        </is>
      </c>
      <c r="I165" t="inlineStr">
        <is>
          <t>allocation</t>
        </is>
      </c>
      <c r="J165" t="inlineStr">
        <is>
          <t>comment</t>
        </is>
      </c>
      <c r="K165" t="inlineStr">
        <is>
          <t>reference product</t>
        </is>
      </c>
    </row>
    <row r="166">
      <c r="A166" t="inlineStr">
        <is>
          <t>gasoline production, synthetic, from methanol, market-average hydrogen, CO2 from DAC, energy allocation, at fuelling station</t>
        </is>
      </c>
      <c r="B166" t="n">
        <v>1</v>
      </c>
      <c r="C166" t="inlineStr">
        <is>
          <t>RER</t>
        </is>
      </c>
      <c r="D166" t="inlineStr">
        <is>
          <t>kilogram</t>
        </is>
      </c>
      <c r="F166" t="inlineStr">
        <is>
          <t>production</t>
        </is>
      </c>
      <c r="I166" t="n">
        <v>100</v>
      </c>
      <c r="J166" t="inlineStr"/>
      <c r="K166" t="inlineStr">
        <is>
          <t>gasoline, synthetic, vehicle grade</t>
        </is>
      </c>
    </row>
    <row r="167">
      <c r="A167" t="inlineStr">
        <is>
          <t>gasoline production, from methanol, market-average hydrogen, CO2 from DAC, energy allocation</t>
        </is>
      </c>
      <c r="B167" t="n">
        <v>1.00057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K167" t="inlineStr">
        <is>
          <t>Gasoline, synthetic</t>
        </is>
      </c>
    </row>
    <row r="168">
      <c r="A168" t="inlineStr">
        <is>
          <t>market group for electricity, low voltage</t>
        </is>
      </c>
      <c r="B168" t="n">
        <v>0.0067</v>
      </c>
      <c r="C168" t="inlineStr">
        <is>
          <t>RER</t>
        </is>
      </c>
      <c r="D168" t="inlineStr">
        <is>
          <t>kilowatt hour</t>
        </is>
      </c>
      <c r="F168" t="inlineStr">
        <is>
          <t>technosphere</t>
        </is>
      </c>
      <c r="K168" t="inlineStr">
        <is>
          <t>electricity, low voltage</t>
        </is>
      </c>
    </row>
    <row r="169">
      <c r="A169" t="inlineStr">
        <is>
          <t>market for fly ash and scrubber sludge</t>
        </is>
      </c>
      <c r="B169" t="n">
        <v>-0.000168</v>
      </c>
      <c r="C169" t="inlineStr">
        <is>
          <t>Europe without Switzerland</t>
        </is>
      </c>
      <c r="D169" t="inlineStr">
        <is>
          <t>kilogram</t>
        </is>
      </c>
      <c r="F169" t="inlineStr">
        <is>
          <t>technosphere</t>
        </is>
      </c>
      <c r="K169" t="inlineStr">
        <is>
          <t>fly ash and scrubber sludge</t>
        </is>
      </c>
    </row>
    <row r="170">
      <c r="A170" t="inlineStr">
        <is>
          <t>market for heat, central or small-scale, other than natural gas</t>
        </is>
      </c>
      <c r="B170" s="5" t="n">
        <v>0.000584</v>
      </c>
      <c r="C170" t="inlineStr">
        <is>
          <t>CH</t>
        </is>
      </c>
      <c r="D170" t="inlineStr">
        <is>
          <t>megajoule</t>
        </is>
      </c>
      <c r="F170" t="inlineStr">
        <is>
          <t>technosphere</t>
        </is>
      </c>
      <c r="K170" t="inlineStr">
        <is>
          <t>heat, central or small-scale, other than natural gas</t>
        </is>
      </c>
    </row>
    <row r="171">
      <c r="A171" t="inlineStr">
        <is>
          <t>infrastructure construction, for regional distribution of oil product</t>
        </is>
      </c>
      <c r="B171" s="5" t="n">
        <v>2.6e-10</v>
      </c>
      <c r="C171" t="inlineStr">
        <is>
          <t>RER</t>
        </is>
      </c>
      <c r="D171" t="inlineStr">
        <is>
          <t>unit</t>
        </is>
      </c>
      <c r="F171" t="inlineStr">
        <is>
          <t>technosphere</t>
        </is>
      </c>
      <c r="K171" t="inlineStr">
        <is>
          <t>infrastructure, for regional distribution of oil product</t>
        </is>
      </c>
    </row>
    <row r="172">
      <c r="A172" t="inlineStr">
        <is>
          <t>market for municipal solid waste</t>
        </is>
      </c>
      <c r="B172" s="5" t="n">
        <v>-6.27e-06</v>
      </c>
      <c r="C172" t="inlineStr">
        <is>
          <t>CH</t>
        </is>
      </c>
      <c r="D172" t="inlineStr">
        <is>
          <t>kilogram</t>
        </is>
      </c>
      <c r="F172" t="inlineStr">
        <is>
          <t>technosphere</t>
        </is>
      </c>
      <c r="K172" t="inlineStr">
        <is>
          <t>municipal solid waste</t>
        </is>
      </c>
    </row>
    <row r="173">
      <c r="A173" t="inlineStr">
        <is>
          <t>market for rainwater mineral oil storage</t>
        </is>
      </c>
      <c r="B173" s="5" t="n">
        <v>-7.499999999999999e-05</v>
      </c>
      <c r="C173" t="inlineStr">
        <is>
          <t>Europe without Switzerland</t>
        </is>
      </c>
      <c r="D173" t="inlineStr">
        <is>
          <t>cubic meter</t>
        </is>
      </c>
      <c r="F173" t="inlineStr">
        <is>
          <t>technosphere</t>
        </is>
      </c>
      <c r="K173" t="inlineStr">
        <is>
          <t>rainwater mineral oil storage</t>
        </is>
      </c>
    </row>
    <row r="174">
      <c r="A174" t="inlineStr">
        <is>
          <t>market for tap water</t>
        </is>
      </c>
      <c r="B174" s="5" t="n">
        <v>0.0006890000000000001</v>
      </c>
      <c r="C174" t="inlineStr">
        <is>
          <t>Europe without Switzerland</t>
        </is>
      </c>
      <c r="D174" t="inlineStr">
        <is>
          <t>kilogram</t>
        </is>
      </c>
      <c r="F174" t="inlineStr">
        <is>
          <t>technosphere</t>
        </is>
      </c>
      <c r="K174" t="inlineStr">
        <is>
          <t>tap water</t>
        </is>
      </c>
    </row>
    <row r="175">
      <c r="A175" t="inlineStr">
        <is>
          <t>market for transport, freight train</t>
        </is>
      </c>
      <c r="B175" t="n">
        <v>0.0336</v>
      </c>
      <c r="C175" t="inlineStr">
        <is>
          <t>Europe without Switzerland</t>
        </is>
      </c>
      <c r="D175" t="inlineStr">
        <is>
          <t>ton kilometer</t>
        </is>
      </c>
      <c r="F175" t="inlineStr">
        <is>
          <t>technosphere</t>
        </is>
      </c>
      <c r="K175" t="inlineStr">
        <is>
          <t>transport, freight train</t>
        </is>
      </c>
    </row>
    <row r="176">
      <c r="A176" t="inlineStr">
        <is>
          <t>market for transport, freight, lorry, unspecified</t>
        </is>
      </c>
      <c r="B176" t="n">
        <v>0.0326</v>
      </c>
      <c r="C176" t="inlineStr">
        <is>
          <t>RER</t>
        </is>
      </c>
      <c r="D176" t="inlineStr">
        <is>
          <t>ton kilometer</t>
        </is>
      </c>
      <c r="F176" t="inlineStr">
        <is>
          <t>technosphere</t>
        </is>
      </c>
      <c r="K176" t="inlineStr">
        <is>
          <t>transport, freight, lorry, unspecified</t>
        </is>
      </c>
    </row>
    <row r="177">
      <c r="A177" t="inlineStr">
        <is>
          <t>treatment of wastewater, average, capacity 1E9l/year</t>
        </is>
      </c>
      <c r="B177" s="5" t="n">
        <v>-6.89e-07</v>
      </c>
      <c r="C177" t="inlineStr">
        <is>
          <t>Europe without Switzerland</t>
        </is>
      </c>
      <c r="D177" t="inlineStr">
        <is>
          <t>cubic meter</t>
        </is>
      </c>
      <c r="F177" t="inlineStr">
        <is>
          <t>technosphere</t>
        </is>
      </c>
      <c r="K177" t="inlineStr">
        <is>
          <t>wastewater, average</t>
        </is>
      </c>
    </row>
    <row r="178">
      <c r="A178" t="inlineStr">
        <is>
          <t>Carbon dioxide, non-fossil</t>
        </is>
      </c>
      <c r="B178" s="5">
        <f>(B167-1)*3.14</f>
        <v>1.7897999999998727E-3</v>
      </c>
      <c r="D178" t="inlineStr">
        <is>
          <t>kilogram</t>
        </is>
      </c>
      <c r="E178" t="inlineStr">
        <is>
          <t>air</t>
        </is>
      </c>
      <c r="F178" t="inlineStr">
        <is>
          <t>biosphere</t>
        </is>
      </c>
    </row>
    <row r="179">
      <c r="B179" s="5" t="n"/>
    </row>
    <row r="180">
      <c r="B180" s="5" t="n"/>
    </row>
    <row r="181">
      <c r="A181" s="2" t="inlineStr">
        <is>
          <t>Activity</t>
        </is>
      </c>
      <c r="B181" s="2" t="inlineStr">
        <is>
          <t>kerosene production, from methanol, market-average hydrogen, CO2 from DAC, energy allocation</t>
        </is>
      </c>
    </row>
    <row r="182">
      <c r="A182" t="inlineStr">
        <is>
          <t>production amount</t>
        </is>
      </c>
      <c r="B182" t="n">
        <v>1</v>
      </c>
    </row>
    <row r="183">
      <c r="A183" t="inlineStr">
        <is>
          <t>reference product</t>
        </is>
      </c>
      <c r="B183" t="inlineStr">
        <is>
          <t>kerosene, synthetic</t>
        </is>
      </c>
    </row>
    <row r="184">
      <c r="A184" t="inlineStr">
        <is>
          <t>type</t>
        </is>
      </c>
      <c r="B184" t="inlineStr">
        <is>
          <t>process</t>
        </is>
      </c>
    </row>
    <row r="185">
      <c r="A185" t="inlineStr">
        <is>
          <t>unit</t>
        </is>
      </c>
      <c r="B185" t="inlineStr">
        <is>
          <t>kilogram</t>
        </is>
      </c>
    </row>
    <row r="186">
      <c r="A186" t="inlineStr">
        <is>
          <t>location</t>
        </is>
      </c>
      <c r="B186" t="inlineStr">
        <is>
          <t>RER</t>
        </is>
      </c>
    </row>
    <row r="187">
      <c r="A187" t="inlineStr">
        <is>
          <t>comment</t>
        </is>
      </c>
      <c r="B187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44%. Carbon balance correction applied.</t>
        </is>
      </c>
    </row>
    <row r="188">
      <c r="A188" t="inlineStr">
        <is>
          <t>source</t>
        </is>
      </c>
      <c r="B188" s="6" t="inlineStr">
        <is>
          <t>https://www.ufop.de/files/8913/8384/3541/20131107_FVV-Kraftstoffstudie_LBST.pdf</t>
        </is>
      </c>
    </row>
    <row r="189">
      <c r="A189" s="2" t="inlineStr">
        <is>
          <t>Exchanges</t>
        </is>
      </c>
    </row>
    <row r="190">
      <c r="A190" s="2" t="inlineStr">
        <is>
          <t>name</t>
        </is>
      </c>
      <c r="B190" s="2" t="inlineStr">
        <is>
          <t>amount</t>
        </is>
      </c>
      <c r="C190" s="2" t="inlineStr">
        <is>
          <t>location</t>
        </is>
      </c>
      <c r="D190" s="2" t="inlineStr">
        <is>
          <t>unit</t>
        </is>
      </c>
      <c r="E190" s="2" t="inlineStr">
        <is>
          <t>categories</t>
        </is>
      </c>
      <c r="F190" s="2" t="inlineStr">
        <is>
          <t>type</t>
        </is>
      </c>
      <c r="G190" s="2" t="inlineStr">
        <is>
          <t>database</t>
        </is>
      </c>
      <c r="H190" s="2" t="inlineStr">
        <is>
          <t>reference product</t>
        </is>
      </c>
      <c r="I190" s="2" t="inlineStr">
        <is>
          <t>comment</t>
        </is>
      </c>
    </row>
    <row r="191">
      <c r="A191" t="inlineStr">
        <is>
          <t>kerosene production, from methanol, market-average hydrogen, CO2 from DAC, energy allocation</t>
        </is>
      </c>
      <c r="B191" t="n">
        <v>1</v>
      </c>
      <c r="C191" t="inlineStr">
        <is>
          <t>RER</t>
        </is>
      </c>
      <c r="D191" t="inlineStr">
        <is>
          <t>kilogram</t>
        </is>
      </c>
      <c r="E191" s="2" t="n"/>
      <c r="F191" t="inlineStr">
        <is>
          <t>production</t>
        </is>
      </c>
      <c r="G191" t="inlineStr">
        <is>
          <t>Methanol-based fuels</t>
        </is>
      </c>
      <c r="H191" t="inlineStr">
        <is>
          <t>kerosene, synthetic</t>
        </is>
      </c>
    </row>
    <row r="192">
      <c r="A192" t="inlineStr">
        <is>
          <t>methanol distillation, market-average hydrogen, CO2 from DAC</t>
        </is>
      </c>
      <c r="B192" s="4" t="n">
        <v>2.373</v>
      </c>
      <c r="C192" t="inlineStr">
        <is>
          <t>RER</t>
        </is>
      </c>
      <c r="D192" t="inlineStr">
        <is>
          <t>kilogram</t>
        </is>
      </c>
      <c r="F192" t="inlineStr">
        <is>
          <t>technosphere</t>
        </is>
      </c>
      <c r="G192" t="inlineStr">
        <is>
          <t>Methanol-based fuels</t>
        </is>
      </c>
      <c r="H192" t="inlineStr">
        <is>
          <t>methanol, purified</t>
        </is>
      </c>
    </row>
    <row r="193">
      <c r="A193" t="inlineStr">
        <is>
          <t>Carbon dioxide, non-fossil</t>
        </is>
      </c>
      <c r="B193" s="4">
        <f>(B192*1.37)-3.15</f>
        <v>0.10101000000000049</v>
      </c>
      <c r="D193" t="inlineStr">
        <is>
          <t>kilogram</t>
        </is>
      </c>
      <c r="E193" t="inlineStr">
        <is>
          <t>air</t>
        </is>
      </c>
      <c r="F193" t="inlineStr">
        <is>
          <t>biosphere</t>
        </is>
      </c>
      <c r="G193" t="inlineStr">
        <is>
          <t>biosphere3</t>
        </is>
      </c>
      <c r="I193" t="inlineStr">
        <is>
          <t>To close the carbon balance, as there is 1.37 kg of CO2 per kg of methanol.</t>
        </is>
      </c>
    </row>
    <row r="194">
      <c r="A194" t="inlineStr">
        <is>
          <t>market group for electricity, low voltage</t>
        </is>
      </c>
      <c r="B194" s="4">
        <f>18.4/1000*B192</f>
        <v>4.3663200000000006E-2</v>
      </c>
      <c r="C194" t="inlineStr">
        <is>
          <t>RER</t>
        </is>
      </c>
      <c r="D194" t="inlineStr">
        <is>
          <t>kilowatt hour</t>
        </is>
      </c>
      <c r="F194" t="inlineStr">
        <is>
          <t>technosphere</t>
        </is>
      </c>
      <c r="G194" t="inlineStr">
        <is>
          <t>ecoinvent</t>
        </is>
      </c>
      <c r="H194" t="inlineStr">
        <is>
          <t>electricity, low voltage</t>
        </is>
      </c>
    </row>
    <row r="195" ht="16" customHeight="1">
      <c r="A195" s="28" t="inlineStr">
        <is>
          <t>market for hydrogen, gaseous, low pressure</t>
        </is>
      </c>
      <c r="B195" s="4">
        <f>0.01*B192</f>
        <v>2.3730000000000001E-2</v>
      </c>
      <c r="C195" t="inlineStr">
        <is>
          <t>RER</t>
        </is>
      </c>
      <c r="D195" t="inlineStr">
        <is>
          <t>kilogram</t>
        </is>
      </c>
      <c r="F195" t="inlineStr">
        <is>
          <t>technosphere</t>
        </is>
      </c>
      <c r="G195" t="inlineStr">
        <is>
          <t>ecoinvent</t>
        </is>
      </c>
      <c r="H195" s="28" t="inlineStr">
        <is>
          <t>hydrogen, gaseous, low pressure</t>
        </is>
      </c>
      <c r="I195" t="inlineStr">
        <is>
          <t>hydrogen, 4kg per ton of methanol processed</t>
        </is>
      </c>
    </row>
    <row r="196">
      <c r="B196" s="4" t="n"/>
    </row>
    <row r="197">
      <c r="A197" s="2" t="inlineStr">
        <is>
          <t>Activity</t>
        </is>
      </c>
      <c r="B197" s="2" t="inlineStr">
        <is>
          <t>kerosene production, from methanol, market-average hydrogen, CO2 from DAC, economic allocation</t>
        </is>
      </c>
    </row>
    <row r="198">
      <c r="A198" t="inlineStr">
        <is>
          <t>production amount</t>
        </is>
      </c>
      <c r="B198" t="n">
        <v>1</v>
      </c>
    </row>
    <row r="199">
      <c r="A199" t="inlineStr">
        <is>
          <t>reference product</t>
        </is>
      </c>
      <c r="B199" t="inlineStr">
        <is>
          <t>kerosene, synthetic</t>
        </is>
      </c>
    </row>
    <row r="200">
      <c r="A200" t="inlineStr">
        <is>
          <t>type</t>
        </is>
      </c>
      <c r="B200" t="inlineStr">
        <is>
          <t>process</t>
        </is>
      </c>
    </row>
    <row r="201">
      <c r="A201" t="inlineStr">
        <is>
          <t>unit</t>
        </is>
      </c>
      <c r="B201" t="inlineStr">
        <is>
          <t>kilogram</t>
        </is>
      </c>
    </row>
    <row r="202">
      <c r="A202" t="inlineStr">
        <is>
          <t>location</t>
        </is>
      </c>
      <c r="B202" t="inlineStr">
        <is>
          <t>RER</t>
        </is>
      </c>
    </row>
    <row r="203">
      <c r="A203" t="inlineStr">
        <is>
          <t>comment</t>
        </is>
      </c>
      <c r="B203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35.5%. Carbon balance correction applied.</t>
        </is>
      </c>
    </row>
    <row r="204">
      <c r="A204" t="inlineStr">
        <is>
          <t>source</t>
        </is>
      </c>
      <c r="B204" s="6" t="inlineStr">
        <is>
          <t>https://www.ufop.de/files/8913/8384/3541/20131107_FVV-Kraftstoffstudie_LBST.pdf</t>
        </is>
      </c>
    </row>
    <row r="205">
      <c r="A205" s="2" t="inlineStr">
        <is>
          <t>Exchanges</t>
        </is>
      </c>
    </row>
    <row r="206">
      <c r="A206" s="2" t="inlineStr">
        <is>
          <t>name</t>
        </is>
      </c>
      <c r="B206" s="2" t="inlineStr">
        <is>
          <t>amount</t>
        </is>
      </c>
      <c r="C206" s="2" t="inlineStr">
        <is>
          <t>location</t>
        </is>
      </c>
      <c r="D206" s="2" t="inlineStr">
        <is>
          <t>unit</t>
        </is>
      </c>
      <c r="E206" s="2" t="inlineStr">
        <is>
          <t>categories</t>
        </is>
      </c>
      <c r="F206" s="2" t="inlineStr">
        <is>
          <t>type</t>
        </is>
      </c>
      <c r="G206" s="2" t="inlineStr">
        <is>
          <t>database</t>
        </is>
      </c>
      <c r="H206" s="2" t="inlineStr">
        <is>
          <t>reference product</t>
        </is>
      </c>
      <c r="I206" s="2" t="inlineStr">
        <is>
          <t>comment</t>
        </is>
      </c>
    </row>
    <row r="207">
      <c r="A207" t="inlineStr">
        <is>
          <t>kerosene production, from methanol, market-average hydrogen, CO2 from DAC, economic allocation</t>
        </is>
      </c>
      <c r="B207" t="n">
        <v>1</v>
      </c>
      <c r="C207" t="inlineStr">
        <is>
          <t>RER</t>
        </is>
      </c>
      <c r="D207" t="inlineStr">
        <is>
          <t>kilogram</t>
        </is>
      </c>
      <c r="E207" s="2" t="n"/>
      <c r="F207" t="inlineStr">
        <is>
          <t>production</t>
        </is>
      </c>
      <c r="G207" t="inlineStr">
        <is>
          <t>Methanol-based fuels</t>
        </is>
      </c>
      <c r="H207" t="inlineStr">
        <is>
          <t>kerosene, synthetic</t>
        </is>
      </c>
    </row>
    <row r="208">
      <c r="A208" t="inlineStr">
        <is>
          <t>methanol distillation, market-average hydrogen, CO2 from DAC</t>
        </is>
      </c>
      <c r="B208" s="4" t="n">
        <v>1.93</v>
      </c>
      <c r="C208" t="inlineStr">
        <is>
          <t>RER</t>
        </is>
      </c>
      <c r="D208" t="inlineStr">
        <is>
          <t>kilogram</t>
        </is>
      </c>
      <c r="F208" t="inlineStr">
        <is>
          <t>technosphere</t>
        </is>
      </c>
      <c r="G208" t="inlineStr">
        <is>
          <t>Methanol-based fuels</t>
        </is>
      </c>
      <c r="H208" t="inlineStr">
        <is>
          <t>methanol, purified</t>
        </is>
      </c>
    </row>
    <row r="209">
      <c r="A209" t="inlineStr">
        <is>
          <t>Carbon dioxide, in air</t>
        </is>
      </c>
      <c r="B209" s="4">
        <f>(B208*1.37)-3.15</f>
        <v>-0.50589999999999957</v>
      </c>
      <c r="D209" t="inlineStr">
        <is>
          <t>kilogram</t>
        </is>
      </c>
      <c r="E209" t="inlineStr">
        <is>
          <t>natural resource::in air</t>
        </is>
      </c>
      <c r="F209" t="inlineStr">
        <is>
          <t>biosphere</t>
        </is>
      </c>
      <c r="G209" t="inlineStr">
        <is>
          <t>biosphere3</t>
        </is>
      </c>
      <c r="I209" t="inlineStr">
        <is>
          <t>To close the carbon balance, as there is 1.37 kg of CO2 per kg of methanol.</t>
        </is>
      </c>
    </row>
    <row r="210">
      <c r="A210" t="inlineStr">
        <is>
          <t>market group for electricity, low voltage</t>
        </is>
      </c>
      <c r="B210" s="4">
        <f>18.4/1000*B208</f>
        <v>3.5511999999999995E-2</v>
      </c>
      <c r="C210" t="inlineStr">
        <is>
          <t>RER</t>
        </is>
      </c>
      <c r="D210" t="inlineStr">
        <is>
          <t>kilowatt hour</t>
        </is>
      </c>
      <c r="F210" t="inlineStr">
        <is>
          <t>technosphere</t>
        </is>
      </c>
      <c r="G210" t="inlineStr">
        <is>
          <t>ecoinvent</t>
        </is>
      </c>
      <c r="H210" t="inlineStr">
        <is>
          <t>electricity, low voltage</t>
        </is>
      </c>
    </row>
    <row r="211" ht="16" customHeight="1">
      <c r="A211" s="28" t="inlineStr">
        <is>
          <t>market for hydrogen, gaseous, low pressure</t>
        </is>
      </c>
      <c r="B211" s="4">
        <f>0.01*B208</f>
        <v>1.9300000000000001E-2</v>
      </c>
      <c r="C211" t="inlineStr">
        <is>
          <t>RER</t>
        </is>
      </c>
      <c r="D211" t="inlineStr">
        <is>
          <t>kilogram</t>
        </is>
      </c>
      <c r="F211" t="inlineStr">
        <is>
          <t>technosphere</t>
        </is>
      </c>
      <c r="G211" t="inlineStr">
        <is>
          <t>ecoinvent</t>
        </is>
      </c>
      <c r="H211" s="28" t="inlineStr">
        <is>
          <t>hydrogen, gaseous, low pressure</t>
        </is>
      </c>
      <c r="I211" t="inlineStr">
        <is>
          <t>hydrogen, 4kg per ton of methanol processed</t>
        </is>
      </c>
    </row>
    <row r="212">
      <c r="B212" s="4" t="n"/>
    </row>
    <row r="213">
      <c r="A213" s="2" t="inlineStr">
        <is>
          <t>Activity</t>
        </is>
      </c>
      <c r="B213" s="2" t="inlineStr">
        <is>
          <t>diesel production, from methanol, market-average hydrogen, CO2 from DAC, energy allocation</t>
        </is>
      </c>
    </row>
    <row r="214">
      <c r="A214" t="inlineStr">
        <is>
          <t>production amount</t>
        </is>
      </c>
      <c r="B214" t="n">
        <v>1</v>
      </c>
    </row>
    <row r="215">
      <c r="A215" t="inlineStr">
        <is>
          <t>reference product</t>
        </is>
      </c>
      <c r="B215" t="inlineStr">
        <is>
          <t>diesel, synthetic</t>
        </is>
      </c>
    </row>
    <row r="216">
      <c r="A216" t="inlineStr">
        <is>
          <t>type</t>
        </is>
      </c>
      <c r="B216" t="inlineStr">
        <is>
          <t>process</t>
        </is>
      </c>
    </row>
    <row r="217">
      <c r="A217" t="inlineStr">
        <is>
          <t>unit</t>
        </is>
      </c>
      <c r="B217" t="inlineStr">
        <is>
          <t>kilogram</t>
        </is>
      </c>
    </row>
    <row r="218">
      <c r="A218" t="inlineStr">
        <is>
          <t>location</t>
        </is>
      </c>
      <c r="B218" t="inlineStr">
        <is>
          <t>RER</t>
        </is>
      </c>
    </row>
    <row r="219">
      <c r="A219" t="inlineStr">
        <is>
          <t>comment</t>
        </is>
      </c>
      <c r="B219" t="inlineStr">
        <is>
          <t>CO2 emission factor: 3.16 kg/kg fuel. Co-product of Methanol-to-diesel process. Methanol from hydrogen and CO. CO from direct air capture. Co-produced together with gasoline, LPG and kerosene, but optimized for diesel production. Allocation key for diesel: 37%. Carbon balance correction applied.</t>
        </is>
      </c>
    </row>
    <row r="220">
      <c r="A220" t="inlineStr">
        <is>
          <t>source</t>
        </is>
      </c>
      <c r="B220" s="6" t="inlineStr">
        <is>
          <t>https://www.ufop.de/files/8913/8384/3541/20131107_FVV-Kraftstoffstudie_LBST.pdf</t>
        </is>
      </c>
    </row>
    <row r="221">
      <c r="A221" s="2" t="inlineStr">
        <is>
          <t>Exchanges</t>
        </is>
      </c>
    </row>
    <row r="222">
      <c r="A222" s="2" t="inlineStr">
        <is>
          <t>name</t>
        </is>
      </c>
      <c r="B222" s="2" t="inlineStr">
        <is>
          <t>amount</t>
        </is>
      </c>
      <c r="C222" s="2" t="inlineStr">
        <is>
          <t>location</t>
        </is>
      </c>
      <c r="D222" s="2" t="inlineStr">
        <is>
          <t>unit</t>
        </is>
      </c>
      <c r="E222" s="2" t="inlineStr">
        <is>
          <t>categories</t>
        </is>
      </c>
      <c r="F222" s="2" t="inlineStr">
        <is>
          <t>type</t>
        </is>
      </c>
      <c r="G222" s="2" t="inlineStr">
        <is>
          <t>database</t>
        </is>
      </c>
      <c r="H222" s="2" t="inlineStr">
        <is>
          <t>reference product</t>
        </is>
      </c>
      <c r="I222" s="2" t="inlineStr">
        <is>
          <t>comment</t>
        </is>
      </c>
    </row>
    <row r="223">
      <c r="A223" t="inlineStr">
        <is>
          <t>diesel production, from methanol, market-average hydrogen, CO2 from DAC, energy allocation</t>
        </is>
      </c>
      <c r="B223" t="n">
        <v>1</v>
      </c>
      <c r="C223" t="inlineStr">
        <is>
          <t>RER</t>
        </is>
      </c>
      <c r="D223" t="inlineStr">
        <is>
          <t>kilogram</t>
        </is>
      </c>
      <c r="E223" s="2" t="n"/>
      <c r="F223" t="inlineStr">
        <is>
          <t>production</t>
        </is>
      </c>
      <c r="G223" t="inlineStr">
        <is>
          <t>Methanol-based fuels</t>
        </is>
      </c>
      <c r="H223" t="inlineStr">
        <is>
          <t>diesel, synthetic</t>
        </is>
      </c>
    </row>
    <row r="224">
      <c r="A224" t="inlineStr">
        <is>
          <t>methanol distillation, market-average hydrogen, CO2 from DAC</t>
        </is>
      </c>
      <c r="B224" s="4" t="n">
        <v>2.451</v>
      </c>
      <c r="C224" t="inlineStr">
        <is>
          <t>RER</t>
        </is>
      </c>
      <c r="D224" t="inlineStr">
        <is>
          <t>kilogram</t>
        </is>
      </c>
      <c r="F224" t="inlineStr">
        <is>
          <t>technosphere</t>
        </is>
      </c>
      <c r="G224" t="inlineStr">
        <is>
          <t>Methanol-based fuels</t>
        </is>
      </c>
      <c r="H224" t="inlineStr">
        <is>
          <t>methanol, purified</t>
        </is>
      </c>
    </row>
    <row r="225">
      <c r="A225" t="inlineStr">
        <is>
          <t>Carbon dioxide, non-fossil</t>
        </is>
      </c>
      <c r="B225" s="4">
        <f>(B224*1.37)-3.15</f>
        <v>0.20787000000000022</v>
      </c>
      <c r="D225" t="inlineStr">
        <is>
          <t>kilogram</t>
        </is>
      </c>
      <c r="E225" t="inlineStr">
        <is>
          <t>air</t>
        </is>
      </c>
      <c r="F225" t="inlineStr">
        <is>
          <t>biosphere</t>
        </is>
      </c>
      <c r="G225" t="inlineStr">
        <is>
          <t>biosphere3</t>
        </is>
      </c>
      <c r="I225" t="inlineStr">
        <is>
          <t>To close the carbon balance, as there is 1.37 kg of CO2 per kg of methanol.</t>
        </is>
      </c>
    </row>
    <row r="226">
      <c r="A226" t="inlineStr">
        <is>
          <t>market group for electricity, low voltage</t>
        </is>
      </c>
      <c r="B226" s="4">
        <f>18.4/1000*B224</f>
        <v>4.5098400000000004E-2</v>
      </c>
      <c r="C226" t="inlineStr">
        <is>
          <t>RER</t>
        </is>
      </c>
      <c r="D226" t="inlineStr">
        <is>
          <t>kilowatt hour</t>
        </is>
      </c>
      <c r="F226" t="inlineStr">
        <is>
          <t>technosphere</t>
        </is>
      </c>
      <c r="G226" t="inlineStr">
        <is>
          <t>ecoinvent</t>
        </is>
      </c>
      <c r="H226" t="inlineStr">
        <is>
          <t>electricity, low voltage</t>
        </is>
      </c>
    </row>
    <row r="227" ht="16" customHeight="1">
      <c r="A227" s="28" t="inlineStr">
        <is>
          <t>market for hydrogen, gaseous, low pressure</t>
        </is>
      </c>
      <c r="B227" s="4">
        <f>0.01*B224</f>
        <v>2.4510000000000001E-2</v>
      </c>
      <c r="C227" t="inlineStr">
        <is>
          <t>RER</t>
        </is>
      </c>
      <c r="D227" t="inlineStr">
        <is>
          <t>kilogram</t>
        </is>
      </c>
      <c r="F227" t="inlineStr">
        <is>
          <t>technosphere</t>
        </is>
      </c>
      <c r="G227" t="inlineStr">
        <is>
          <t>ecoinvent</t>
        </is>
      </c>
      <c r="H227" s="28" t="inlineStr">
        <is>
          <t>hydrogen, gaseous, low pressure</t>
        </is>
      </c>
      <c r="I227" t="inlineStr">
        <is>
          <t>hydrogen, 4kg per ton of methanol processed</t>
        </is>
      </c>
    </row>
    <row r="228">
      <c r="B228" s="4" t="n"/>
    </row>
    <row r="229">
      <c r="A229" s="2" t="inlineStr">
        <is>
          <t>Activity</t>
        </is>
      </c>
      <c r="B229" s="2" t="inlineStr">
        <is>
          <t>diesel production, from methanol, market-average hydrogen, CO2 from DAC, economic allocation</t>
        </is>
      </c>
    </row>
    <row r="230">
      <c r="A230" t="inlineStr">
        <is>
          <t>production amount</t>
        </is>
      </c>
      <c r="B230" t="n">
        <v>1</v>
      </c>
    </row>
    <row r="231">
      <c r="A231" t="inlineStr">
        <is>
          <t>reference product</t>
        </is>
      </c>
      <c r="B231" t="inlineStr">
        <is>
          <t>diesel, synthetic</t>
        </is>
      </c>
    </row>
    <row r="232">
      <c r="A232" t="inlineStr">
        <is>
          <t>type</t>
        </is>
      </c>
      <c r="B232" t="inlineStr">
        <is>
          <t>process</t>
        </is>
      </c>
    </row>
    <row r="233">
      <c r="A233" t="inlineStr">
        <is>
          <t>unit</t>
        </is>
      </c>
      <c r="B233" t="inlineStr">
        <is>
          <t>kilogram</t>
        </is>
      </c>
    </row>
    <row r="234">
      <c r="A234" t="inlineStr">
        <is>
          <t>location</t>
        </is>
      </c>
      <c r="B234" t="inlineStr">
        <is>
          <t>RER</t>
        </is>
      </c>
    </row>
    <row r="235">
      <c r="A235" t="inlineStr">
        <is>
          <t>comment</t>
        </is>
      </c>
      <c r="B235" t="inlineStr">
        <is>
          <t>CO2 emission factor: 3.16 kg/kg fuel. Co-product of Methanol-to-diesel process. Methanol from hydrogen and CO. CO from direct air capture. Co-produced together with diesel, LPG and kerosene, but optimized for diesel production. Allocation key for diesel: 38.8%. Carbon balance correction applied.</t>
        </is>
      </c>
    </row>
    <row r="236">
      <c r="A236" t="inlineStr">
        <is>
          <t>source</t>
        </is>
      </c>
      <c r="B236" s="6" t="inlineStr">
        <is>
          <t>https://www.ufop.de/files/8913/8384/3541/20131107_FVV-Kraftstoffstudie_LBST.pdf</t>
        </is>
      </c>
    </row>
    <row r="237">
      <c r="A237" s="2" t="inlineStr">
        <is>
          <t>Exchanges</t>
        </is>
      </c>
    </row>
    <row r="238">
      <c r="A238" s="2" t="inlineStr">
        <is>
          <t>name</t>
        </is>
      </c>
      <c r="B238" s="2" t="inlineStr">
        <is>
          <t>amount</t>
        </is>
      </c>
      <c r="C238" s="2" t="inlineStr">
        <is>
          <t>location</t>
        </is>
      </c>
      <c r="D238" s="2" t="inlineStr">
        <is>
          <t>unit</t>
        </is>
      </c>
      <c r="E238" s="2" t="inlineStr">
        <is>
          <t>categories</t>
        </is>
      </c>
      <c r="F238" s="2" t="inlineStr">
        <is>
          <t>type</t>
        </is>
      </c>
      <c r="G238" s="2" t="inlineStr">
        <is>
          <t>database</t>
        </is>
      </c>
      <c r="H238" s="2" t="inlineStr">
        <is>
          <t>reference product</t>
        </is>
      </c>
      <c r="I238" s="2" t="inlineStr">
        <is>
          <t>comment</t>
        </is>
      </c>
    </row>
    <row r="239">
      <c r="A239" t="inlineStr">
        <is>
          <t>diesel production, from methanol, market-average hydrogen, CO2 from DAC, economic allocation</t>
        </is>
      </c>
      <c r="B239" t="n">
        <v>1</v>
      </c>
      <c r="C239" t="inlineStr">
        <is>
          <t>RER</t>
        </is>
      </c>
      <c r="D239" t="inlineStr">
        <is>
          <t>kilogram</t>
        </is>
      </c>
      <c r="E239" s="2" t="n"/>
      <c r="F239" t="inlineStr">
        <is>
          <t>production</t>
        </is>
      </c>
      <c r="G239" t="inlineStr">
        <is>
          <t>Methanol-based fuels</t>
        </is>
      </c>
      <c r="H239" t="inlineStr">
        <is>
          <t>diesel, synthetic</t>
        </is>
      </c>
    </row>
    <row r="240">
      <c r="A240" t="inlineStr">
        <is>
          <t>methanol distillation, market-average hydrogen, CO2 from DAC</t>
        </is>
      </c>
      <c r="B240" s="4" t="n">
        <v>2.57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Methanol-based fuels</t>
        </is>
      </c>
      <c r="H240" t="inlineStr">
        <is>
          <t>methanol, purified</t>
        </is>
      </c>
    </row>
    <row r="241">
      <c r="A241" t="inlineStr">
        <is>
          <t>Carbon dioxide, non-fossil</t>
        </is>
      </c>
      <c r="B241" s="4">
        <f>(B240*1.37)-3.15</f>
        <v>0.37090000000000023</v>
      </c>
      <c r="D241" t="inlineStr">
        <is>
          <t>kilogram</t>
        </is>
      </c>
      <c r="E241" t="inlineStr">
        <is>
          <t>air</t>
        </is>
      </c>
      <c r="F241" t="inlineStr">
        <is>
          <t>biosphere</t>
        </is>
      </c>
      <c r="G241" t="inlineStr">
        <is>
          <t>biosphere3</t>
        </is>
      </c>
      <c r="I241" t="inlineStr">
        <is>
          <t>To close the carbon balance, as there is 1.37 kg of CO2 per kg of methanol.</t>
        </is>
      </c>
    </row>
    <row r="242">
      <c r="A242" t="inlineStr">
        <is>
          <t>market group for electricity, low voltage</t>
        </is>
      </c>
      <c r="B242" s="4">
        <f>18.4/1000*B240</f>
        <v>4.7287999999999997E-2</v>
      </c>
      <c r="C242" t="inlineStr">
        <is>
          <t>RER</t>
        </is>
      </c>
      <c r="D242" t="inlineStr">
        <is>
          <t>kilowatt hour</t>
        </is>
      </c>
      <c r="F242" t="inlineStr">
        <is>
          <t>technosphere</t>
        </is>
      </c>
      <c r="G242" t="inlineStr">
        <is>
          <t>ecoinvent</t>
        </is>
      </c>
      <c r="H242" t="inlineStr">
        <is>
          <t>electricity, low voltage</t>
        </is>
      </c>
    </row>
    <row r="243" ht="16" customHeight="1">
      <c r="A243" s="28" t="inlineStr">
        <is>
          <t>market for hydrogen, gaseous, low pressure</t>
        </is>
      </c>
      <c r="B243" s="4">
        <f>0.01*B240</f>
        <v>2.5700000000000001E-2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G243" t="inlineStr">
        <is>
          <t>ecoinvent</t>
        </is>
      </c>
      <c r="H243" s="28" t="inlineStr">
        <is>
          <t>hydrogen, gaseous, low pressure</t>
        </is>
      </c>
      <c r="I243" t="inlineStr">
        <is>
          <t>hydrogen, 4kg per ton of methanol processed</t>
        </is>
      </c>
    </row>
    <row r="244">
      <c r="B244" s="4" t="n"/>
    </row>
    <row r="245">
      <c r="B245" s="4" t="n"/>
    </row>
    <row r="246">
      <c r="A246" s="2" t="inlineStr">
        <is>
          <t>Activity</t>
        </is>
      </c>
      <c r="B246" s="2" t="inlineStr">
        <is>
          <t>gasoline production, from methanol, market-average hydrogen, CO2 from DAC, energy allocation</t>
        </is>
      </c>
    </row>
    <row r="247">
      <c r="A247" t="inlineStr">
        <is>
          <t>production amount</t>
        </is>
      </c>
      <c r="B247" t="n">
        <v>1</v>
      </c>
    </row>
    <row r="248">
      <c r="A248" t="inlineStr">
        <is>
          <t>reference product</t>
        </is>
      </c>
      <c r="B248" t="inlineStr">
        <is>
          <t>gasoline, synthetic</t>
        </is>
      </c>
    </row>
    <row r="249">
      <c r="A249" t="inlineStr">
        <is>
          <t>type</t>
        </is>
      </c>
      <c r="B249" t="inlineStr">
        <is>
          <t>process</t>
        </is>
      </c>
    </row>
    <row r="250">
      <c r="A250" t="inlineStr">
        <is>
          <t>unit</t>
        </is>
      </c>
      <c r="B250" t="inlineStr">
        <is>
          <t>kilogram</t>
        </is>
      </c>
    </row>
    <row r="251">
      <c r="A251" t="inlineStr">
        <is>
          <t>location</t>
        </is>
      </c>
      <c r="B251" t="inlineStr">
        <is>
          <t>RER</t>
        </is>
      </c>
    </row>
    <row r="252">
      <c r="A252" t="inlineStr">
        <is>
          <t>comment</t>
        </is>
      </c>
      <c r="B252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47%. Carbon balance correction applied.</t>
        </is>
      </c>
    </row>
    <row r="253">
      <c r="A253" t="inlineStr">
        <is>
          <t>source</t>
        </is>
      </c>
      <c r="B253" s="6" t="inlineStr">
        <is>
          <t>https://www.ufop.de/files/8913/8384/3541/20131107_FVV-Kraftstoffstudie_LBST.pdf</t>
        </is>
      </c>
    </row>
    <row r="254">
      <c r="A254" s="2" t="inlineStr">
        <is>
          <t>Exchanges</t>
        </is>
      </c>
    </row>
    <row r="255">
      <c r="A255" s="2" t="inlineStr">
        <is>
          <t>name</t>
        </is>
      </c>
      <c r="B255" s="2" t="inlineStr">
        <is>
          <t>amount</t>
        </is>
      </c>
      <c r="C255" s="2" t="inlineStr">
        <is>
          <t>location</t>
        </is>
      </c>
      <c r="D255" s="2" t="inlineStr">
        <is>
          <t>unit</t>
        </is>
      </c>
      <c r="E255" s="2" t="inlineStr">
        <is>
          <t>categories</t>
        </is>
      </c>
      <c r="F255" s="2" t="inlineStr">
        <is>
          <t>type</t>
        </is>
      </c>
      <c r="G255" s="2" t="inlineStr">
        <is>
          <t>database</t>
        </is>
      </c>
      <c r="H255" s="2" t="inlineStr">
        <is>
          <t>reference product</t>
        </is>
      </c>
      <c r="I255" s="2" t="inlineStr">
        <is>
          <t>comment</t>
        </is>
      </c>
    </row>
    <row r="256">
      <c r="A256" t="inlineStr">
        <is>
          <t>gasoline production, from methanol, market-average hydrogen, CO2 from DAC, energy allocation</t>
        </is>
      </c>
      <c r="B256" t="n">
        <v>1</v>
      </c>
      <c r="C256" t="inlineStr">
        <is>
          <t>RER</t>
        </is>
      </c>
      <c r="D256" t="inlineStr">
        <is>
          <t>kilogram</t>
        </is>
      </c>
      <c r="E256" s="2" t="n"/>
      <c r="F256" t="inlineStr">
        <is>
          <t>production</t>
        </is>
      </c>
      <c r="G256" t="inlineStr">
        <is>
          <t>Methanol-based fuels</t>
        </is>
      </c>
      <c r="H256" t="inlineStr">
        <is>
          <t>gasoline, synthetic</t>
        </is>
      </c>
    </row>
    <row r="257">
      <c r="A257" t="inlineStr">
        <is>
          <t>methanol distillation, market-average hydrogen, CO2 from DAC</t>
        </is>
      </c>
      <c r="B257" s="4" t="n">
        <v>2.371</v>
      </c>
      <c r="C257" t="inlineStr">
        <is>
          <t>RER</t>
        </is>
      </c>
      <c r="D257" t="inlineStr">
        <is>
          <t>kilogram</t>
        </is>
      </c>
      <c r="F257" t="inlineStr">
        <is>
          <t>technosphere</t>
        </is>
      </c>
      <c r="G257" t="inlineStr">
        <is>
          <t>Methanol-based fuels</t>
        </is>
      </c>
      <c r="H257" t="inlineStr">
        <is>
          <t>methanol, purified</t>
        </is>
      </c>
    </row>
    <row r="258">
      <c r="A258" t="inlineStr">
        <is>
          <t>Carbon dioxide, non-fossil</t>
        </is>
      </c>
      <c r="B258" s="4">
        <f>(B257*1.37)-3.15</f>
        <v>9.8270000000000302E-2</v>
      </c>
      <c r="D258" t="inlineStr">
        <is>
          <t>kilogram</t>
        </is>
      </c>
      <c r="E258" t="inlineStr">
        <is>
          <t>air</t>
        </is>
      </c>
      <c r="F258" t="inlineStr">
        <is>
          <t>biosphere</t>
        </is>
      </c>
      <c r="G258" t="inlineStr">
        <is>
          <t>biosphere3</t>
        </is>
      </c>
      <c r="I258" t="inlineStr">
        <is>
          <t>To close the carbon balance, as there is 1.37 kg of CO2 per kg of methanol.</t>
        </is>
      </c>
    </row>
    <row r="259">
      <c r="A259" t="inlineStr">
        <is>
          <t>market group for electricity, low voltage</t>
        </is>
      </c>
      <c r="B259" s="4">
        <f>18.4/1000*B257</f>
        <v>4.3626399999999996E-2</v>
      </c>
      <c r="C259" t="inlineStr">
        <is>
          <t>RER</t>
        </is>
      </c>
      <c r="D259" t="inlineStr">
        <is>
          <t>kilowatt hour</t>
        </is>
      </c>
      <c r="F259" t="inlineStr">
        <is>
          <t>technosphere</t>
        </is>
      </c>
      <c r="G259" t="inlineStr">
        <is>
          <t>ecoinvent</t>
        </is>
      </c>
      <c r="H259" t="inlineStr">
        <is>
          <t>electricity, low voltage</t>
        </is>
      </c>
    </row>
    <row r="260" ht="16" customHeight="1">
      <c r="A260" s="28" t="inlineStr">
        <is>
          <t>market for hydrogen, gaseous, low pressure</t>
        </is>
      </c>
      <c r="B260" s="4">
        <f>0.01*B257</f>
        <v>2.3710000000000002E-2</v>
      </c>
      <c r="C260" t="inlineStr">
        <is>
          <t>RER</t>
        </is>
      </c>
      <c r="D260" t="inlineStr">
        <is>
          <t>kilogram</t>
        </is>
      </c>
      <c r="F260" t="inlineStr">
        <is>
          <t>technosphere</t>
        </is>
      </c>
      <c r="G260" t="inlineStr">
        <is>
          <t>ecoinvent</t>
        </is>
      </c>
      <c r="H260" s="28" t="inlineStr">
        <is>
          <t>hydrogen, gaseous, low pressure</t>
        </is>
      </c>
      <c r="I260" t="inlineStr">
        <is>
          <t>hydrogen, 4kg per ton of methanol processed</t>
        </is>
      </c>
    </row>
    <row r="261">
      <c r="B261" s="4" t="n"/>
    </row>
    <row r="262">
      <c r="A262" s="2" t="inlineStr">
        <is>
          <t>Activity</t>
        </is>
      </c>
      <c r="B262" s="2" t="inlineStr">
        <is>
          <t>gasoline production, from methanol, market-average hydrogen, CO2 from DAC, economic allocation</t>
        </is>
      </c>
    </row>
    <row r="263">
      <c r="A263" t="inlineStr">
        <is>
          <t>production amount</t>
        </is>
      </c>
      <c r="B263" t="n">
        <v>1</v>
      </c>
    </row>
    <row r="264">
      <c r="A264" t="inlineStr">
        <is>
          <t>reference product</t>
        </is>
      </c>
      <c r="B264" t="inlineStr">
        <is>
          <t>gasoline, synthetic</t>
        </is>
      </c>
    </row>
    <row r="265">
      <c r="A265" t="inlineStr">
        <is>
          <t>type</t>
        </is>
      </c>
      <c r="B265" t="inlineStr">
        <is>
          <t>process</t>
        </is>
      </c>
    </row>
    <row r="266">
      <c r="A266" t="inlineStr">
        <is>
          <t>unit</t>
        </is>
      </c>
      <c r="B266" t="inlineStr">
        <is>
          <t>kilogram</t>
        </is>
      </c>
    </row>
    <row r="267">
      <c r="A267" t="inlineStr">
        <is>
          <t>location</t>
        </is>
      </c>
      <c r="B267" t="inlineStr">
        <is>
          <t>RER</t>
        </is>
      </c>
    </row>
    <row r="268">
      <c r="A268" t="inlineStr">
        <is>
          <t>comment</t>
        </is>
      </c>
      <c r="B268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87.8%. Carbon balance correction applied.</t>
        </is>
      </c>
    </row>
    <row r="269">
      <c r="A269" t="inlineStr">
        <is>
          <t>source</t>
        </is>
      </c>
      <c r="B269" s="6" t="inlineStr">
        <is>
          <t>https://www.ufop.de/files/8913/8384/3541/20131107_FVV-Kraftstoffstudie_LBST.pdf</t>
        </is>
      </c>
    </row>
    <row r="270">
      <c r="A270" s="2" t="inlineStr">
        <is>
          <t>Exchanges</t>
        </is>
      </c>
    </row>
    <row r="271">
      <c r="A271" s="2" t="inlineStr">
        <is>
          <t>name</t>
        </is>
      </c>
      <c r="B271" s="2" t="inlineStr">
        <is>
          <t>amount</t>
        </is>
      </c>
      <c r="C271" s="2" t="inlineStr">
        <is>
          <t>location</t>
        </is>
      </c>
      <c r="D271" s="2" t="inlineStr">
        <is>
          <t>unit</t>
        </is>
      </c>
      <c r="E271" s="2" t="inlineStr">
        <is>
          <t>categories</t>
        </is>
      </c>
      <c r="F271" s="2" t="inlineStr">
        <is>
          <t>type</t>
        </is>
      </c>
      <c r="G271" s="2" t="inlineStr">
        <is>
          <t>database</t>
        </is>
      </c>
      <c r="H271" s="2" t="inlineStr">
        <is>
          <t>reference product</t>
        </is>
      </c>
      <c r="I271" s="2" t="inlineStr">
        <is>
          <t>comment</t>
        </is>
      </c>
    </row>
    <row r="272">
      <c r="A272" t="inlineStr">
        <is>
          <t>gasoline production, from methanol, market-average hydrogen, CO2 from DAC, economic allocation</t>
        </is>
      </c>
      <c r="B272" t="n">
        <v>1</v>
      </c>
      <c r="C272" t="inlineStr">
        <is>
          <t>RER</t>
        </is>
      </c>
      <c r="D272" t="inlineStr">
        <is>
          <t>kilogram</t>
        </is>
      </c>
      <c r="E272" s="2" t="n"/>
      <c r="F272" t="inlineStr">
        <is>
          <t>production</t>
        </is>
      </c>
      <c r="G272" t="inlineStr">
        <is>
          <t>Methanol-based fuels</t>
        </is>
      </c>
      <c r="H272" t="inlineStr">
        <is>
          <t>gasoline, synthetic</t>
        </is>
      </c>
    </row>
    <row r="273">
      <c r="A273" t="inlineStr">
        <is>
          <t>methanol distillation, market-average hydrogen, CO2 from DAC</t>
        </is>
      </c>
      <c r="B273" s="4" t="n">
        <v>4.56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Methanol-based fuels</t>
        </is>
      </c>
      <c r="H273" t="inlineStr">
        <is>
          <t>methanol, purified</t>
        </is>
      </c>
    </row>
    <row r="274">
      <c r="A274" t="inlineStr">
        <is>
          <t>Carbon dioxide, non-fossil</t>
        </is>
      </c>
      <c r="B274" s="4">
        <f>(B273*1.37)-3.15</f>
        <v>3.0972000000000004</v>
      </c>
      <c r="D274" t="inlineStr">
        <is>
          <t>kilogram</t>
        </is>
      </c>
      <c r="E274" t="inlineStr">
        <is>
          <t>air</t>
        </is>
      </c>
      <c r="F274" t="inlineStr">
        <is>
          <t>biosphere</t>
        </is>
      </c>
      <c r="G274" t="inlineStr">
        <is>
          <t>biosphere3</t>
        </is>
      </c>
      <c r="I274" t="inlineStr">
        <is>
          <t>To close the carbon balance, as there is 1.37 kg of CO2 per kg of methanol.</t>
        </is>
      </c>
    </row>
    <row r="275">
      <c r="A275" t="inlineStr">
        <is>
          <t>market group for electricity, low voltage</t>
        </is>
      </c>
      <c r="B275" s="4">
        <f>18.4/1000*B273</f>
        <v>8.3903999999999992E-2</v>
      </c>
      <c r="C275" t="inlineStr">
        <is>
          <t>RER</t>
        </is>
      </c>
      <c r="D275" t="inlineStr">
        <is>
          <t>kilowatt hour</t>
        </is>
      </c>
      <c r="F275" t="inlineStr">
        <is>
          <t>technosphere</t>
        </is>
      </c>
      <c r="G275" t="inlineStr">
        <is>
          <t>ecoinvent</t>
        </is>
      </c>
      <c r="H275" t="inlineStr">
        <is>
          <t>electricity, low voltage</t>
        </is>
      </c>
    </row>
    <row r="276" ht="16" customHeight="1">
      <c r="A276" s="28" t="inlineStr">
        <is>
          <t>market for hydrogen, gaseous, low pressure</t>
        </is>
      </c>
      <c r="B276" s="4">
        <f>0.01*B273</f>
        <v>4.5599999999999995E-2</v>
      </c>
      <c r="C276" t="inlineStr">
        <is>
          <t>RER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ecoinvent</t>
        </is>
      </c>
      <c r="H276" s="28" t="inlineStr">
        <is>
          <t>hydrogen, gaseous, low pressure</t>
        </is>
      </c>
      <c r="I276" t="inlineStr">
        <is>
          <t>hydrogen, 4kg per ton of methanol processed</t>
        </is>
      </c>
    </row>
    <row r="277">
      <c r="B277" s="4" t="n"/>
    </row>
    <row r="278">
      <c r="B278" s="4" t="n"/>
    </row>
    <row r="279">
      <c r="A279" s="2" t="inlineStr">
        <is>
          <t>Activity</t>
        </is>
      </c>
      <c r="B279" s="2" t="inlineStr">
        <is>
          <t>liquefied petroleum gas production, from methanol, market-average hydrogen, CO2 from DAC, energy allocation</t>
        </is>
      </c>
    </row>
    <row r="280">
      <c r="A280" t="inlineStr">
        <is>
          <t>production amount</t>
        </is>
      </c>
      <c r="B280" t="n">
        <v>1</v>
      </c>
    </row>
    <row r="281">
      <c r="A281" t="inlineStr">
        <is>
          <t>reference product</t>
        </is>
      </c>
      <c r="B281" t="inlineStr">
        <is>
          <t>liquefied petroleum gas, synthetic</t>
        </is>
      </c>
    </row>
    <row r="282">
      <c r="A282" t="inlineStr">
        <is>
          <t>type</t>
        </is>
      </c>
      <c r="B282" t="inlineStr">
        <is>
          <t>process</t>
        </is>
      </c>
    </row>
    <row r="283">
      <c r="A283" t="inlineStr">
        <is>
          <t>unit</t>
        </is>
      </c>
      <c r="B283" t="inlineStr">
        <is>
          <t>kilogram</t>
        </is>
      </c>
    </row>
    <row r="284">
      <c r="A284" t="inlineStr">
        <is>
          <t>location</t>
        </is>
      </c>
      <c r="B284" t="inlineStr">
        <is>
          <t>RER</t>
        </is>
      </c>
    </row>
    <row r="285">
      <c r="A285" t="inlineStr">
        <is>
          <t>comment</t>
        </is>
      </c>
      <c r="B285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9%. Carbon balance correction applied.</t>
        </is>
      </c>
    </row>
    <row r="286">
      <c r="A286" t="inlineStr">
        <is>
          <t>source</t>
        </is>
      </c>
      <c r="B286" s="6" t="inlineStr">
        <is>
          <t>https://www.ufop.de/files/8913/8384/3541/20131107_FVV-Kraftstoffstudie_LBST.pdf</t>
        </is>
      </c>
    </row>
    <row r="287">
      <c r="A287" s="2" t="inlineStr">
        <is>
          <t>Exchanges</t>
        </is>
      </c>
    </row>
    <row r="288">
      <c r="A288" s="2" t="inlineStr">
        <is>
          <t>name</t>
        </is>
      </c>
      <c r="B288" s="2" t="inlineStr">
        <is>
          <t>amount</t>
        </is>
      </c>
      <c r="C288" s="2" t="inlineStr">
        <is>
          <t>location</t>
        </is>
      </c>
      <c r="D288" s="2" t="inlineStr">
        <is>
          <t>unit</t>
        </is>
      </c>
      <c r="E288" s="2" t="inlineStr">
        <is>
          <t>categories</t>
        </is>
      </c>
      <c r="F288" s="2" t="inlineStr">
        <is>
          <t>type</t>
        </is>
      </c>
      <c r="G288" s="2" t="inlineStr">
        <is>
          <t>database</t>
        </is>
      </c>
      <c r="H288" s="2" t="inlineStr">
        <is>
          <t>reference product</t>
        </is>
      </c>
      <c r="I288" s="2" t="inlineStr">
        <is>
          <t>comment</t>
        </is>
      </c>
    </row>
    <row r="289">
      <c r="A289" t="inlineStr">
        <is>
          <t>liquefied petroleum gas production, from methanol, market-average hydrogen, CO2 from DAC, energy allocation</t>
        </is>
      </c>
      <c r="B289" t="n">
        <v>1</v>
      </c>
      <c r="C289" t="inlineStr">
        <is>
          <t>RER</t>
        </is>
      </c>
      <c r="D289" t="inlineStr">
        <is>
          <t>kilogram</t>
        </is>
      </c>
      <c r="E289" s="2" t="n"/>
      <c r="F289" t="inlineStr">
        <is>
          <t>production</t>
        </is>
      </c>
      <c r="G289" t="inlineStr">
        <is>
          <t>Methanol-based fuels</t>
        </is>
      </c>
      <c r="H289" t="inlineStr">
        <is>
          <t>liquefied petroleum gas, synthetic</t>
        </is>
      </c>
    </row>
    <row r="290">
      <c r="A290" t="inlineStr">
        <is>
          <t>methanol distillation, market-average hydrogen, CO2 from DAC</t>
        </is>
      </c>
      <c r="B290" s="4" t="n">
        <v>2.535</v>
      </c>
      <c r="C290" t="inlineStr">
        <is>
          <t>RER</t>
        </is>
      </c>
      <c r="D290" t="inlineStr">
        <is>
          <t>kilogram</t>
        </is>
      </c>
      <c r="F290" t="inlineStr">
        <is>
          <t>technosphere</t>
        </is>
      </c>
      <c r="G290" t="inlineStr">
        <is>
          <t>Methanol-based fuels</t>
        </is>
      </c>
      <c r="H290" t="inlineStr">
        <is>
          <t>methanol, purified</t>
        </is>
      </c>
    </row>
    <row r="291">
      <c r="A291" t="inlineStr">
        <is>
          <t>Carbon dioxide, non-fossil</t>
        </is>
      </c>
      <c r="B291" s="4">
        <f>(B290*1.37)-3</f>
        <v>0.47295000000000043</v>
      </c>
      <c r="D291" t="inlineStr">
        <is>
          <t>kilogram</t>
        </is>
      </c>
      <c r="E291" t="inlineStr">
        <is>
          <t>air</t>
        </is>
      </c>
      <c r="F291" t="inlineStr">
        <is>
          <t>biosphere</t>
        </is>
      </c>
      <c r="G291" t="inlineStr">
        <is>
          <t>biosphere3</t>
        </is>
      </c>
      <c r="I291" t="inlineStr">
        <is>
          <t>To close the carbon balance, as there is 1.37 kg of CO2 per kg of methanol.</t>
        </is>
      </c>
    </row>
    <row r="292">
      <c r="A292" t="inlineStr">
        <is>
          <t>market group for electricity, low voltage</t>
        </is>
      </c>
      <c r="B292" s="4">
        <f>18.4/1000*B290</f>
        <v>4.6644000000000005E-2</v>
      </c>
      <c r="C292" t="inlineStr">
        <is>
          <t>RER</t>
        </is>
      </c>
      <c r="D292" t="inlineStr">
        <is>
          <t>kilowatt hour</t>
        </is>
      </c>
      <c r="F292" t="inlineStr">
        <is>
          <t>technosphere</t>
        </is>
      </c>
      <c r="G292" t="inlineStr">
        <is>
          <t>ecoinvent</t>
        </is>
      </c>
      <c r="H292" t="inlineStr">
        <is>
          <t>electricity, low voltage</t>
        </is>
      </c>
    </row>
    <row r="293" ht="16" customHeight="1">
      <c r="A293" s="28" t="inlineStr">
        <is>
          <t>market for hydrogen, gaseous, low pressure</t>
        </is>
      </c>
      <c r="B293" s="4">
        <f>0.01*B290</f>
        <v>2.5350000000000001E-2</v>
      </c>
      <c r="C293" t="inlineStr">
        <is>
          <t>RER</t>
        </is>
      </c>
      <c r="D293" t="inlineStr">
        <is>
          <t>kilogram</t>
        </is>
      </c>
      <c r="F293" t="inlineStr">
        <is>
          <t>technosphere</t>
        </is>
      </c>
      <c r="G293" t="inlineStr">
        <is>
          <t>ecoinvent</t>
        </is>
      </c>
      <c r="H293" s="28" t="inlineStr">
        <is>
          <t>hydrogen, gaseous, low pressure</t>
        </is>
      </c>
      <c r="I293" t="inlineStr">
        <is>
          <t>hydrogen, 4kg per ton of methanol processed</t>
        </is>
      </c>
    </row>
    <row r="294">
      <c r="B294" s="4" t="n"/>
    </row>
    <row r="295">
      <c r="A295" s="2" t="inlineStr">
        <is>
          <t>Activity</t>
        </is>
      </c>
      <c r="B295" s="2" t="inlineStr">
        <is>
          <t>liquefied petroleum gas production, from methanol, market-average hydrogen, CO2 from DAC, economic allocation</t>
        </is>
      </c>
    </row>
    <row r="296">
      <c r="A296" t="inlineStr">
        <is>
          <t>production amount</t>
        </is>
      </c>
      <c r="B296" t="n">
        <v>1</v>
      </c>
    </row>
    <row r="297">
      <c r="A297" t="inlineStr">
        <is>
          <t>reference product</t>
        </is>
      </c>
      <c r="B297" t="inlineStr">
        <is>
          <t>liquefied petroleum gas, synthetic</t>
        </is>
      </c>
    </row>
    <row r="298">
      <c r="A298" t="inlineStr">
        <is>
          <t>type</t>
        </is>
      </c>
      <c r="B298" t="inlineStr">
        <is>
          <t>process</t>
        </is>
      </c>
    </row>
    <row r="299">
      <c r="A299" t="inlineStr">
        <is>
          <t>unit</t>
        </is>
      </c>
      <c r="B299" t="inlineStr">
        <is>
          <t>kilogram</t>
        </is>
      </c>
    </row>
    <row r="300">
      <c r="A300" t="inlineStr">
        <is>
          <t>location</t>
        </is>
      </c>
      <c r="B300" t="inlineStr">
        <is>
          <t>RER</t>
        </is>
      </c>
    </row>
    <row r="301">
      <c r="A301" t="inlineStr">
        <is>
          <t>comment</t>
        </is>
      </c>
      <c r="B301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6.3%. Carbon balance correction applied.</t>
        </is>
      </c>
    </row>
    <row r="302">
      <c r="A302" t="inlineStr">
        <is>
          <t>source</t>
        </is>
      </c>
      <c r="B302" s="6" t="inlineStr">
        <is>
          <t>https://www.ufop.de/files/8913/8384/3541/20131107_FVV-Kraftstoffstudie_LBST.pdf</t>
        </is>
      </c>
    </row>
    <row r="303">
      <c r="A303" s="2" t="inlineStr">
        <is>
          <t>Exchanges</t>
        </is>
      </c>
    </row>
    <row r="304">
      <c r="A304" s="2" t="inlineStr">
        <is>
          <t>name</t>
        </is>
      </c>
      <c r="B304" s="2" t="inlineStr">
        <is>
          <t>amount</t>
        </is>
      </c>
      <c r="C304" s="2" t="inlineStr">
        <is>
          <t>location</t>
        </is>
      </c>
      <c r="D304" s="2" t="inlineStr">
        <is>
          <t>unit</t>
        </is>
      </c>
      <c r="E304" s="2" t="inlineStr">
        <is>
          <t>categories</t>
        </is>
      </c>
      <c r="F304" s="2" t="inlineStr">
        <is>
          <t>type</t>
        </is>
      </c>
      <c r="G304" s="2" t="inlineStr">
        <is>
          <t>database</t>
        </is>
      </c>
      <c r="H304" s="2" t="inlineStr">
        <is>
          <t>reference product</t>
        </is>
      </c>
      <c r="I304" s="2" t="inlineStr">
        <is>
          <t>comment</t>
        </is>
      </c>
    </row>
    <row r="305">
      <c r="A305" t="inlineStr">
        <is>
          <t>liquefied petroleum gas production, from methanol, market-average hydrogen, CO2 from DAC, economic allocation</t>
        </is>
      </c>
      <c r="B305" t="n">
        <v>1</v>
      </c>
      <c r="C305" t="inlineStr">
        <is>
          <t>RER</t>
        </is>
      </c>
      <c r="D305" t="inlineStr">
        <is>
          <t>kilogram</t>
        </is>
      </c>
      <c r="E305" s="2" t="n"/>
      <c r="F305" t="inlineStr">
        <is>
          <t>production</t>
        </is>
      </c>
      <c r="G305" t="inlineStr">
        <is>
          <t>Methanol-based fuels</t>
        </is>
      </c>
      <c r="H305" t="inlineStr">
        <is>
          <t>liquefied petroleum gas, synthetic</t>
        </is>
      </c>
    </row>
    <row r="306">
      <c r="A306" t="inlineStr">
        <is>
          <t>methanol distillation, market-average hydrogen, CO2 from DAC</t>
        </is>
      </c>
      <c r="B306" s="4" t="n">
        <v>1.77</v>
      </c>
      <c r="C306" t="inlineStr">
        <is>
          <t>RER</t>
        </is>
      </c>
      <c r="D306" t="inlineStr">
        <is>
          <t>kilogram</t>
        </is>
      </c>
      <c r="F306" t="inlineStr">
        <is>
          <t>technosphere</t>
        </is>
      </c>
      <c r="G306" t="inlineStr">
        <is>
          <t>Methanol-based fuels</t>
        </is>
      </c>
      <c r="H306" t="inlineStr">
        <is>
          <t>methanol, purified</t>
        </is>
      </c>
    </row>
    <row r="307">
      <c r="A307" t="inlineStr">
        <is>
          <t>Carbon dioxide, in air</t>
        </is>
      </c>
      <c r="B307" s="4">
        <f>(B306*1.37)-3</f>
        <v>-0.57509999999999994</v>
      </c>
      <c r="D307" t="inlineStr">
        <is>
          <t>kilogram</t>
        </is>
      </c>
      <c r="E307" t="inlineStr">
        <is>
          <t>natural resource::in air</t>
        </is>
      </c>
      <c r="F307" t="inlineStr">
        <is>
          <t>biosphere</t>
        </is>
      </c>
      <c r="G307" t="inlineStr">
        <is>
          <t>biosphere3</t>
        </is>
      </c>
      <c r="I307" t="inlineStr">
        <is>
          <t>To close the carbon balance, as there is 1.37 kg of CO2 per kg of methanol.</t>
        </is>
      </c>
    </row>
    <row r="308">
      <c r="A308" t="inlineStr">
        <is>
          <t>market group for electricity, low voltage</t>
        </is>
      </c>
      <c r="B308" s="4">
        <f>18.4/1000*B306</f>
        <v>3.2568E-2</v>
      </c>
      <c r="C308" t="inlineStr">
        <is>
          <t>RER</t>
        </is>
      </c>
      <c r="D308" t="inlineStr">
        <is>
          <t>kilowatt hour</t>
        </is>
      </c>
      <c r="F308" t="inlineStr">
        <is>
          <t>technosphere</t>
        </is>
      </c>
      <c r="G308" t="inlineStr">
        <is>
          <t>ecoinvent</t>
        </is>
      </c>
      <c r="H308" t="inlineStr">
        <is>
          <t>electricity, low voltage</t>
        </is>
      </c>
    </row>
    <row r="309" ht="16" customHeight="1">
      <c r="A309" s="28" t="inlineStr">
        <is>
          <t>market for hydrogen, gaseous, low pressure</t>
        </is>
      </c>
      <c r="B309" s="4">
        <f>0.01*B306</f>
        <v>1.77E-2</v>
      </c>
      <c r="C309" t="inlineStr">
        <is>
          <t>RER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ecoinvent</t>
        </is>
      </c>
      <c r="H309" s="28" t="inlineStr">
        <is>
          <t>hydrogen, gaseous, low pressure</t>
        </is>
      </c>
      <c r="I309" t="inlineStr">
        <is>
          <t>hydrogen, 4kg per ton of methanol processed</t>
        </is>
      </c>
    </row>
    <row r="310">
      <c r="B310" s="4" t="n"/>
    </row>
    <row r="311">
      <c r="A311" s="2" t="inlineStr">
        <is>
          <t>Activity</t>
        </is>
      </c>
      <c r="B311" s="2" t="inlineStr">
        <is>
          <t>methanol distillation, market-average hydrogen, CO2 from DAC</t>
        </is>
      </c>
    </row>
    <row r="312">
      <c r="A312" t="inlineStr">
        <is>
          <t>production amount</t>
        </is>
      </c>
      <c r="B312" t="n">
        <v>1</v>
      </c>
    </row>
    <row r="313">
      <c r="A313" t="inlineStr">
        <is>
          <t>comment</t>
        </is>
      </c>
      <c r="B313" t="inlineStr">
        <is>
          <t>LHV: 19.9 MJ/kg</t>
        </is>
      </c>
    </row>
    <row r="314">
      <c r="A314" t="inlineStr">
        <is>
          <t>reference product</t>
        </is>
      </c>
      <c r="B314" t="inlineStr">
        <is>
          <t>methanol, purified</t>
        </is>
      </c>
    </row>
    <row r="315">
      <c r="A315" t="inlineStr">
        <is>
          <t>type</t>
        </is>
      </c>
      <c r="B315" t="inlineStr">
        <is>
          <t>process</t>
        </is>
      </c>
    </row>
    <row r="316">
      <c r="A316" t="inlineStr">
        <is>
          <t>unit</t>
        </is>
      </c>
      <c r="B316" t="inlineStr">
        <is>
          <t>kilogram</t>
        </is>
      </c>
    </row>
    <row r="317">
      <c r="A317" t="inlineStr">
        <is>
          <t>source</t>
        </is>
      </c>
      <c r="B317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18">
      <c r="A318" t="inlineStr">
        <is>
          <t>location</t>
        </is>
      </c>
      <c r="B318" t="inlineStr">
        <is>
          <t>RER</t>
        </is>
      </c>
    </row>
    <row r="319">
      <c r="A319" t="inlineStr">
        <is>
          <t>comment</t>
        </is>
      </c>
      <c r="B319" t="inlineStr">
        <is>
          <t>Adapted from Comparative well-to-wheel life cycle assessment of OME3–5 synfuel production via the power-to-liquid pathway, Hank et al. 2019</t>
        </is>
      </c>
    </row>
    <row r="320">
      <c r="A320" t="inlineStr">
        <is>
          <t>source</t>
        </is>
      </c>
      <c r="B320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321">
      <c r="A321" s="2" t="inlineStr">
        <is>
          <t>Exchanges</t>
        </is>
      </c>
    </row>
    <row r="322">
      <c r="A322" s="2" t="inlineStr">
        <is>
          <t>name</t>
        </is>
      </c>
      <c r="B322" s="2" t="inlineStr">
        <is>
          <t>amount</t>
        </is>
      </c>
      <c r="C322" s="2" t="inlineStr">
        <is>
          <t>location</t>
        </is>
      </c>
      <c r="D322" s="2" t="inlineStr">
        <is>
          <t>unit</t>
        </is>
      </c>
      <c r="E322" s="2" t="inlineStr">
        <is>
          <t>categories</t>
        </is>
      </c>
      <c r="F322" s="2" t="inlineStr">
        <is>
          <t>type</t>
        </is>
      </c>
      <c r="G322" s="2" t="inlineStr">
        <is>
          <t>reference product</t>
        </is>
      </c>
      <c r="H322" s="2" t="inlineStr">
        <is>
          <t>database</t>
        </is>
      </c>
      <c r="I322" s="2" t="inlineStr">
        <is>
          <t>comment</t>
        </is>
      </c>
    </row>
    <row r="323">
      <c r="A323" t="inlineStr">
        <is>
          <t>methanol synthesis, market-average hydrogen, CO2 from DAC</t>
        </is>
      </c>
      <c r="B323" t="n">
        <v>1</v>
      </c>
      <c r="C323" t="inlineStr">
        <is>
          <t>RER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methanol, unpurified</t>
        </is>
      </c>
      <c r="H323" t="inlineStr">
        <is>
          <t>LPG</t>
        </is>
      </c>
    </row>
    <row r="324">
      <c r="A324" t="inlineStr">
        <is>
          <t>methanol distillation, market-average hydrogen, CO2 from DAC</t>
        </is>
      </c>
      <c r="B324" t="n">
        <v>1</v>
      </c>
      <c r="C324" t="inlineStr">
        <is>
          <t>RER</t>
        </is>
      </c>
      <c r="D324" t="inlineStr">
        <is>
          <t>kilogram</t>
        </is>
      </c>
      <c r="F324" t="inlineStr">
        <is>
          <t>production</t>
        </is>
      </c>
      <c r="G324" t="inlineStr">
        <is>
          <t>methanol, purified</t>
        </is>
      </c>
      <c r="H324" t="inlineStr">
        <is>
          <t>LPG</t>
        </is>
      </c>
    </row>
    <row r="325">
      <c r="A325" t="inlineStr">
        <is>
          <t>steam production, as energy carrier, in chemical industry</t>
        </is>
      </c>
      <c r="B325" t="n">
        <v>3.509803027737619</v>
      </c>
      <c r="C325" t="inlineStr">
        <is>
          <t>RoW</t>
        </is>
      </c>
      <c r="D325" t="inlineStr">
        <is>
          <t>megajoule</t>
        </is>
      </c>
      <c r="F325" t="inlineStr">
        <is>
          <t>technosphere</t>
        </is>
      </c>
      <c r="G325" t="inlineStr">
        <is>
          <t>heat, from steam, in chemical industry</t>
        </is>
      </c>
      <c r="H325" t="inlineStr">
        <is>
          <t>ecoinvent</t>
        </is>
      </c>
    </row>
    <row r="326">
      <c r="A326" t="inlineStr">
        <is>
          <t>Carbon monoxide, non-fossil</t>
        </is>
      </c>
      <c r="B326" t="n">
        <v>1.669406311911098e-06</v>
      </c>
      <c r="D326" t="inlineStr">
        <is>
          <t>kilogram</t>
        </is>
      </c>
      <c r="E326" t="inlineStr">
        <is>
          <t>air</t>
        </is>
      </c>
      <c r="F326" t="inlineStr">
        <is>
          <t>biosphere</t>
        </is>
      </c>
      <c r="H326" t="inlineStr">
        <is>
          <t>biosphere3</t>
        </is>
      </c>
    </row>
    <row r="327">
      <c r="A327" t="inlineStr">
        <is>
          <t>methanol production facility, construction</t>
        </is>
      </c>
      <c r="B327" t="n">
        <v>12.4568278943279</v>
      </c>
      <c r="C327" t="inlineStr">
        <is>
          <t>RER</t>
        </is>
      </c>
      <c r="D327" t="inlineStr">
        <is>
          <t>unit</t>
        </is>
      </c>
      <c r="F327" t="inlineStr">
        <is>
          <t>technosphere</t>
        </is>
      </c>
      <c r="G327" t="inlineStr">
        <is>
          <t>methanol production facility, construction</t>
        </is>
      </c>
      <c r="H327" t="inlineStr">
        <is>
          <t>LPG</t>
        </is>
      </c>
    </row>
    <row r="328"/>
    <row r="329" ht="16" customHeight="1">
      <c r="A329" s="1" t="inlineStr">
        <is>
          <t>Activity</t>
        </is>
      </c>
      <c r="B329" s="2" t="inlineStr">
        <is>
          <t>methanol synthesis, market-average hydrogen, CO2 from DAC</t>
        </is>
      </c>
    </row>
    <row r="330">
      <c r="A330" t="inlineStr">
        <is>
          <t>production amount</t>
        </is>
      </c>
      <c r="B330" t="n">
        <v>1</v>
      </c>
    </row>
    <row r="331">
      <c r="A331" t="inlineStr">
        <is>
          <t>reference product</t>
        </is>
      </c>
      <c r="B331" t="inlineStr">
        <is>
          <t>methanol, unpurified</t>
        </is>
      </c>
    </row>
    <row r="332">
      <c r="A332" t="inlineStr">
        <is>
          <t>type</t>
        </is>
      </c>
      <c r="B332" t="inlineStr">
        <is>
          <t>process</t>
        </is>
      </c>
    </row>
    <row r="333">
      <c r="A333" t="inlineStr">
        <is>
          <t>unit</t>
        </is>
      </c>
      <c r="B333" t="inlineStr">
        <is>
          <t>kilogram</t>
        </is>
      </c>
    </row>
    <row r="334">
      <c r="A334" t="inlineStr">
        <is>
          <t>location</t>
        </is>
      </c>
      <c r="B334" t="inlineStr">
        <is>
          <t>RER</t>
        </is>
      </c>
    </row>
    <row r="335">
      <c r="A335" t="inlineStr">
        <is>
          <t>comment</t>
        </is>
      </c>
      <c r="B335" t="inlineStr">
        <is>
          <t>Adapted from Comparative well-to-wheel life cycle assessment of
OME3–5 synfuel production via the power-to-liquid
pathway, Hank et al. 2019</t>
        </is>
      </c>
    </row>
    <row r="336">
      <c r="A336" t="inlineStr">
        <is>
          <t>source</t>
        </is>
      </c>
      <c r="B336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337" ht="16" customHeight="1">
      <c r="A337" s="1" t="inlineStr">
        <is>
          <t>Exchanges</t>
        </is>
      </c>
    </row>
    <row r="338">
      <c r="A338" t="inlineStr">
        <is>
          <t>name</t>
        </is>
      </c>
      <c r="B338" t="inlineStr">
        <is>
          <t>amount</t>
        </is>
      </c>
      <c r="C338" t="inlineStr">
        <is>
          <t>location</t>
        </is>
      </c>
      <c r="D338" t="inlineStr">
        <is>
          <t>unit</t>
        </is>
      </c>
      <c r="E338" t="inlineStr">
        <is>
          <t>categories</t>
        </is>
      </c>
      <c r="F338" t="inlineStr">
        <is>
          <t>type</t>
        </is>
      </c>
      <c r="G338" t="inlineStr">
        <is>
          <t>reference product</t>
        </is>
      </c>
      <c r="H338" t="inlineStr">
        <is>
          <t>database</t>
        </is>
      </c>
      <c r="I338" t="inlineStr">
        <is>
          <t>comment</t>
        </is>
      </c>
    </row>
    <row r="339">
      <c r="A339" t="inlineStr">
        <is>
          <t>methanol production facility, construction</t>
        </is>
      </c>
      <c r="B339">
        <f>12.89</f>
        <v>12.89</v>
      </c>
      <c r="C339" t="inlineStr">
        <is>
          <t>RER</t>
        </is>
      </c>
      <c r="D339" t="inlineStr">
        <is>
          <t>unit</t>
        </is>
      </c>
      <c r="F339" t="inlineStr">
        <is>
          <t>technosphere</t>
        </is>
      </c>
      <c r="G339" t="inlineStr">
        <is>
          <t>methanol production facility, construction</t>
        </is>
      </c>
      <c r="H339" t="inlineStr">
        <is>
          <t>Car db</t>
        </is>
      </c>
    </row>
    <row r="340">
      <c r="A340" t="inlineStr">
        <is>
          <t>methanol synthesis, market-average hydrogen, CO2 from DAC</t>
        </is>
      </c>
      <c r="B340" t="n">
        <v>1</v>
      </c>
      <c r="C340" t="inlineStr">
        <is>
          <t>RER</t>
        </is>
      </c>
      <c r="D340" t="inlineStr">
        <is>
          <t>kilogram</t>
        </is>
      </c>
      <c r="F340" t="inlineStr">
        <is>
          <t>production</t>
        </is>
      </c>
      <c r="G340" t="inlineStr">
        <is>
          <t>methanol, unpurified</t>
        </is>
      </c>
      <c r="H340" t="inlineStr">
        <is>
          <t>Car db</t>
        </is>
      </c>
    </row>
    <row r="341">
      <c r="A341" t="inlineStr">
        <is>
          <t>market for tap water</t>
        </is>
      </c>
      <c r="B341" s="4">
        <f>((3090000*1000)/44900000)</f>
        <v>68.819599109131403</v>
      </c>
      <c r="C341" t="inlineStr">
        <is>
          <t>Europe without Switzerland</t>
        </is>
      </c>
      <c r="D341" t="inlineStr">
        <is>
          <t>kilogram</t>
        </is>
      </c>
      <c r="F341" t="inlineStr">
        <is>
          <t>technosphere</t>
        </is>
      </c>
      <c r="G341" t="inlineStr">
        <is>
          <t>tap water</t>
        </is>
      </c>
      <c r="H341" t="inlineStr">
        <is>
          <t>ecoinvent</t>
        </is>
      </c>
    </row>
    <row r="342">
      <c r="A342" t="inlineStr">
        <is>
          <t>market group for electricity, low voltage</t>
        </is>
      </c>
      <c r="B342" s="4">
        <f>(13600*1000)/44900000</f>
        <v>0.30289532293986637</v>
      </c>
      <c r="C342" t="inlineStr">
        <is>
          <t>RER</t>
        </is>
      </c>
      <c r="D342" t="inlineStr">
        <is>
          <t>kilowatt hour</t>
        </is>
      </c>
      <c r="F342" t="inlineStr">
        <is>
          <t>technosphere</t>
        </is>
      </c>
      <c r="G342" t="inlineStr">
        <is>
          <t>electricity, low voltage</t>
        </is>
      </c>
      <c r="H342" t="inlineStr">
        <is>
          <t>ecoinvent</t>
        </is>
      </c>
    </row>
    <row r="343">
      <c r="A343" t="inlineStr">
        <is>
          <t>market for zinc oxide</t>
        </is>
      </c>
      <c r="B343" s="4">
        <f>356/44900000</f>
        <v>7.9287305122494425E-6</v>
      </c>
      <c r="C343" t="inlineStr">
        <is>
          <t>GLO</t>
        </is>
      </c>
      <c r="D343" t="inlineStr">
        <is>
          <t>kilogram</t>
        </is>
      </c>
      <c r="F343" t="inlineStr">
        <is>
          <t>technosphere</t>
        </is>
      </c>
      <c r="G343" t="inlineStr">
        <is>
          <t>zinc oxide</t>
        </is>
      </c>
      <c r="H343" t="inlineStr">
        <is>
          <t>ecoinvent</t>
        </is>
      </c>
    </row>
    <row r="344">
      <c r="A344" t="inlineStr">
        <is>
          <t>market for copper oxide</t>
        </is>
      </c>
      <c r="B344" s="4">
        <f>949/44900000</f>
        <v>2.11358574610245E-5</v>
      </c>
      <c r="C344" t="inlineStr">
        <is>
          <t>GLO</t>
        </is>
      </c>
      <c r="D344" t="inlineStr">
        <is>
          <t>kilogram</t>
        </is>
      </c>
      <c r="F344" t="inlineStr">
        <is>
          <t>technosphere</t>
        </is>
      </c>
      <c r="G344" t="inlineStr">
        <is>
          <t>copper oxide</t>
        </is>
      </c>
      <c r="H344" t="inlineStr">
        <is>
          <t>ecoinvent</t>
        </is>
      </c>
    </row>
    <row r="345">
      <c r="A345" t="inlineStr">
        <is>
          <t>market for aluminium oxide, metallurgical</t>
        </is>
      </c>
      <c r="B345" s="4">
        <f>178/44900000</f>
        <v>3.9643652561247212E-6</v>
      </c>
      <c r="C345" t="inlineStr">
        <is>
          <t>IAI Area, EU27 &amp; EFTA</t>
        </is>
      </c>
      <c r="D345" t="inlineStr">
        <is>
          <t>kilogram</t>
        </is>
      </c>
      <c r="F345" t="inlineStr">
        <is>
          <t>technosphere</t>
        </is>
      </c>
      <c r="G345" t="inlineStr">
        <is>
          <t>aluminium oxide, metallurgical</t>
        </is>
      </c>
      <c r="H345" t="inlineStr">
        <is>
          <t>ecoinvent</t>
        </is>
      </c>
    </row>
    <row r="346" ht="16" customHeight="1">
      <c r="A346" s="28" t="inlineStr">
        <is>
          <t>market for hydrogen, gaseous, low pressure</t>
        </is>
      </c>
      <c r="B346" s="4">
        <f>6240000/44900000</f>
        <v>0.13897550111358575</v>
      </c>
      <c r="C346" t="inlineStr">
        <is>
          <t>RER</t>
        </is>
      </c>
      <c r="D346" t="inlineStr">
        <is>
          <t>kilogram</t>
        </is>
      </c>
      <c r="F346" t="inlineStr">
        <is>
          <t>technosphere</t>
        </is>
      </c>
      <c r="G346" s="28" t="inlineStr">
        <is>
          <t>hydrogen, gaseous, low pressure</t>
        </is>
      </c>
    </row>
    <row r="347">
      <c r="A347" t="inlineStr">
        <is>
          <t>carbon dioxide, captured, with a solvent-based direct air capture system, 1MtCO2</t>
        </is>
      </c>
      <c r="B347" s="4">
        <f>75900000/44900000</f>
        <v>1.6904231625835189</v>
      </c>
      <c r="C347" t="inlineStr">
        <is>
          <t>RER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carbon dioxide, captured</t>
        </is>
      </c>
      <c r="H347" t="inlineStr">
        <is>
          <t>Car db</t>
        </is>
      </c>
    </row>
    <row r="348">
      <c r="A348" t="inlineStr">
        <is>
          <t>treatment of wastewater, average, capacity 1E9l/year</t>
        </is>
      </c>
      <c r="B348" s="5">
        <f>-B341/1000</f>
        <v>-6.8819599109131407E-2</v>
      </c>
      <c r="C348" t="inlineStr">
        <is>
          <t>Europe without Switzerland</t>
        </is>
      </c>
      <c r="D348" t="inlineStr">
        <is>
          <t>cubic meter</t>
        </is>
      </c>
      <c r="F348" t="inlineStr">
        <is>
          <t>technosphere</t>
        </is>
      </c>
      <c r="G348" t="inlineStr">
        <is>
          <t>wastewater, average</t>
        </is>
      </c>
      <c r="H348" t="inlineStr">
        <is>
          <t>ecoinvent</t>
        </is>
      </c>
    </row>
    <row r="349">
      <c r="A349" t="inlineStr">
        <is>
          <t>Carbon dioxide, non-fossil</t>
        </is>
      </c>
      <c r="B349" t="n">
        <v>0.32</v>
      </c>
      <c r="D349" t="inlineStr">
        <is>
          <t>kilogram</t>
        </is>
      </c>
      <c r="E349" t="inlineStr">
        <is>
          <t>air</t>
        </is>
      </c>
      <c r="F349" t="inlineStr">
        <is>
          <t>biosphere</t>
        </is>
      </c>
      <c r="H349" t="inlineStr">
        <is>
          <t>biosphere3</t>
        </is>
      </c>
      <c r="I349" t="inlineStr">
        <is>
          <t>1.37 kg CO2/kg methnaol. 0.32 are needed to close the carbon balance.</t>
        </is>
      </c>
    </row>
  </sheetData>
  <autoFilter ref="A1:K350"/>
  <hyperlinks>
    <hyperlink ref="B188" ns1:id="rId1"/>
    <hyperlink ref="B204" ns1:id="rId2"/>
    <hyperlink ref="B220" ns1:id="rId3"/>
    <hyperlink ref="B236" ns1:id="rId4"/>
    <hyperlink ref="B253" ns1:id="rId5"/>
    <hyperlink ref="B269" ns1:id="rId6"/>
    <hyperlink ref="B286" ns1:id="rId7"/>
    <hyperlink ref="B302" ns1:id="rId8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2020-03-27T18:42:39Z</dcterms:created>
  <dcterms:modified xmlns:dcterms="http://purl.org/dc/terms/" xmlns:xsi="http://www.w3.org/2001/XMLSchema-instance" xsi:type="dcterms:W3CDTF">2026-07-07T13:56:55Z</dcterms:modified>
  <cp:lastModifiedBy>Romain Sacchi</cp:lastModifiedBy>
</cp:coreProperties>
</file>