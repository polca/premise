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440" yWindow="760" windowWidth="25800" windowHeight="18880" tabRatio="600" firstSheet="0" activeTab="0" autoFilterDateGrouping="1"/>
  </bookViews>
  <sheets>
    <sheet xmlns:r="http://schemas.openxmlformats.org/officeDocument/2006/relationships" name="hydrogen boiler" sheetId="1" state="visible" r:id="rId1"/>
  </sheets>
  <definedNames>
    <definedName name="_xlnm._FilterDatabase" localSheetId="0" hidden="1">'hydrogen boiler'!$A$1:$W$294</definedName>
  </definedNames>
  <calcPr calcId="191029" fullCalcOnLoad="1"/>
</workbook>
</file>

<file path=xl/styles.xml><?xml version="1.0" encoding="utf-8"?>
<styleSheet xmlns="http://schemas.openxmlformats.org/spreadsheetml/2006/main">
  <numFmts count="2">
    <numFmt numFmtId="164" formatCode="0.0"/>
    <numFmt numFmtId="165" formatCode="0.00000"/>
  </numFmts>
  <fonts count="6">
    <font>
      <name val="Calibri"/>
      <family val="2"/>
      <color theme="1"/>
      <sz val="12"/>
      <scheme val="minor"/>
    </font>
    <font>
      <name val="Calibri"/>
      <family val="2"/>
      <b val="1"/>
      <color theme="1"/>
      <sz val="12"/>
      <scheme val="minor"/>
    </font>
    <font>
      <name val="Calibri"/>
      <family val="2"/>
      <b val="1"/>
      <color rgb="FF000000"/>
      <sz val="12"/>
    </font>
    <font>
      <name val="Calibri"/>
      <family val="2"/>
      <color theme="1"/>
      <sz val="12"/>
    </font>
    <font>
      <name val="Calibri"/>
      <family val="2"/>
      <b val="1"/>
      <color rgb="FF000000"/>
      <sz val="11"/>
    </font>
    <font>
      <name val="Calibri"/>
      <family val="2"/>
      <color rgb="FF000000"/>
      <sz val="12"/>
      <scheme val="minor"/>
    </font>
  </fonts>
  <fills count="2">
    <fill>
      <patternFill/>
    </fill>
    <fill>
      <patternFill patternType="gray125"/>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horizontal="left"/>
    </xf>
    <xf numFmtId="0" fontId="3" fillId="0" borderId="0" pivotButton="0" quotePrefix="0" xfId="0"/>
    <xf numFmtId="0" fontId="3" fillId="0" borderId="0" applyAlignment="1" pivotButton="0" quotePrefix="0" xfId="0">
      <alignment horizontal="left"/>
    </xf>
    <xf numFmtId="0" fontId="4" fillId="0" borderId="0" pivotButton="0" quotePrefix="0" xfId="0"/>
    <xf numFmtId="11" fontId="3" fillId="0" borderId="0" applyAlignment="1" pivotButton="0" quotePrefix="0" xfId="0">
      <alignment horizontal="left"/>
    </xf>
    <xf numFmtId="164" fontId="3" fillId="0" borderId="0" pivotButton="0" quotePrefix="0" xfId="0"/>
    <xf numFmtId="165" fontId="3" fillId="0" borderId="0" applyAlignment="1" pivotButton="0" quotePrefix="0" xfId="0">
      <alignment horizontal="left"/>
    </xf>
    <xf numFmtId="0" fontId="5"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W294"/>
  <sheetViews>
    <sheetView tabSelected="1" zoomScale="150" workbookViewId="0">
      <selection activeCell="G36" sqref="G36"/>
    </sheetView>
  </sheetViews>
  <sheetFormatPr baseColWidth="10" defaultRowHeight="16"/>
  <cols>
    <col width="80" customWidth="1" min="1" max="1"/>
    <col width="12.6640625" customWidth="1" min="2" max="2"/>
    <col width="26.5" customWidth="1" min="7" max="7"/>
    <col width="28.33203125" customWidth="1" min="9" max="9"/>
  </cols>
  <sheetData>
    <row r="1">
      <c r="A1" s="1" t="inlineStr">
        <is>
          <t>database</t>
        </is>
      </c>
      <c r="B1" s="1" t="inlineStr">
        <is>
          <t>residential heating with hydrogen</t>
        </is>
      </c>
    </row>
    <row r="2"/>
    <row r="3"/>
    <row r="4">
      <c r="A4" s="1" t="inlineStr">
        <is>
          <t>Activity</t>
        </is>
      </c>
      <c r="B4" s="1" t="inlineStr">
        <is>
          <t>hydrogen supply, distributed by pipeline</t>
        </is>
      </c>
    </row>
    <row r="5">
      <c r="A5" t="inlineStr">
        <is>
          <t>comment</t>
        </is>
      </c>
      <c r="B5" t="inlineStr">
        <is>
          <t>This dataset represents the supply of 1 kilogram of hydrogen. It does NOT include teh hydrogen input, but only the share of input lost to the atmosphere. The hydrogen is distributed by pipeline over 250 km to the regional storage (Geological cavity) and transported another 250 km to the consumer.  The hydrogen represents the market average for the region. Transmission loss [% output]: 0.0007125%. Regional storage loss [% output]: 0.69.  Arrives at 30 bar of pressure. For more information, refer to: Sacchi, R. and Bauer, C. LCA of Power-to-X processes and applications in the residential sector. Paul Scherrer Institut, 2023.</t>
        </is>
      </c>
    </row>
    <row r="6">
      <c r="A6" t="inlineStr">
        <is>
          <t>source</t>
        </is>
      </c>
      <c r="B6" t="inlineStr">
        <is>
          <t>Sacchi, R. and Bauer, C. LCA of Power-to-X processes and applications in the residential sector. Paul Scherrer Institut, 2023.</t>
        </is>
      </c>
    </row>
    <row r="7">
      <c r="A7" t="inlineStr">
        <is>
          <t>location</t>
        </is>
      </c>
      <c r="B7" t="inlineStr">
        <is>
          <t>RER</t>
        </is>
      </c>
    </row>
    <row r="8">
      <c r="A8" t="inlineStr">
        <is>
          <t>reference product</t>
        </is>
      </c>
      <c r="B8" t="inlineStr">
        <is>
          <t>hydrogen, gaseous, from pipeline</t>
        </is>
      </c>
    </row>
    <row r="9">
      <c r="A9" t="inlineStr">
        <is>
          <t>unit</t>
        </is>
      </c>
      <c r="B9" t="inlineStr">
        <is>
          <t>kilogram</t>
        </is>
      </c>
    </row>
    <row r="10">
      <c r="A10" s="1" t="inlineStr">
        <is>
          <t>Exchanges</t>
        </is>
      </c>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row>
    <row r="11">
      <c r="A11" s="1" t="inlineStr">
        <is>
          <t>name</t>
        </is>
      </c>
      <c r="B11" s="1" t="inlineStr">
        <is>
          <t>amount</t>
        </is>
      </c>
      <c r="C11" s="1" t="inlineStr">
        <is>
          <t>unit</t>
        </is>
      </c>
      <c r="D11" s="1" t="inlineStr">
        <is>
          <t>categories</t>
        </is>
      </c>
      <c r="E11" s="1" t="inlineStr">
        <is>
          <t>location</t>
        </is>
      </c>
      <c r="F11" s="1" t="inlineStr">
        <is>
          <t>type</t>
        </is>
      </c>
      <c r="G11" s="1" t="inlineStr">
        <is>
          <t>reference product</t>
        </is>
      </c>
      <c r="H11" s="1" t="inlineStr">
        <is>
          <t>tag</t>
        </is>
      </c>
      <c r="I11" s="1" t="inlineStr">
        <is>
          <t>comment</t>
        </is>
      </c>
      <c r="J11" s="1" t="inlineStr">
        <is>
          <t>uncertainty type</t>
        </is>
      </c>
      <c r="K11" s="1" t="inlineStr">
        <is>
          <t>loc</t>
        </is>
      </c>
      <c r="L11" s="1" t="inlineStr">
        <is>
          <t>u1</t>
        </is>
      </c>
      <c r="M11" s="1" t="inlineStr">
        <is>
          <t>u2</t>
        </is>
      </c>
      <c r="N11" s="1" t="inlineStr">
        <is>
          <t>u3</t>
        </is>
      </c>
      <c r="O11" s="1" t="inlineStr">
        <is>
          <t>u4</t>
        </is>
      </c>
      <c r="P11" s="1" t="inlineStr">
        <is>
          <t>u5</t>
        </is>
      </c>
      <c r="Q11" s="1" t="inlineStr">
        <is>
          <t>u6</t>
        </is>
      </c>
      <c r="R11" s="1" t="inlineStr">
        <is>
          <t>ub</t>
        </is>
      </c>
      <c r="S11" s="1" t="inlineStr">
        <is>
          <t>scale</t>
        </is>
      </c>
      <c r="T11" s="1" t="inlineStr">
        <is>
          <t>negative</t>
        </is>
      </c>
      <c r="U11" s="1" t="n"/>
    </row>
    <row r="12">
      <c r="A12" t="inlineStr">
        <is>
          <t>hydrogen supply, distributed by pipeline</t>
        </is>
      </c>
      <c r="B12" t="n">
        <v>1</v>
      </c>
      <c r="C12" t="inlineStr">
        <is>
          <t>kilogram</t>
        </is>
      </c>
      <c r="E12" t="inlineStr">
        <is>
          <t>RER</t>
        </is>
      </c>
      <c r="F12" t="inlineStr">
        <is>
          <t>production</t>
        </is>
      </c>
      <c r="G12" t="inlineStr">
        <is>
          <t>hydrogen, gaseous, from pipeline</t>
        </is>
      </c>
    </row>
    <row r="13">
      <c r="A13" t="inlineStr">
        <is>
          <t>market for hydrogen, gaseous</t>
        </is>
      </c>
      <c r="B13" t="n">
        <v>0.00691434837611582</v>
      </c>
      <c r="C13" t="inlineStr">
        <is>
          <t>kilogram</t>
        </is>
      </c>
      <c r="E13" t="inlineStr">
        <is>
          <t>GLO</t>
        </is>
      </c>
      <c r="F13" t="inlineStr">
        <is>
          <t>technosphere</t>
        </is>
      </c>
      <c r="G13" t="inlineStr">
        <is>
          <t>hydrogen, gaseous</t>
        </is>
      </c>
      <c r="H13" t="inlineStr">
        <is>
          <t>hydrogen</t>
        </is>
      </c>
      <c r="I13" t="inlineStr">
        <is>
          <t>Hydrogen leak.</t>
        </is>
      </c>
      <c r="J13" t="n">
        <v>2</v>
      </c>
      <c r="K13" t="n">
        <v>-4.974156551694551</v>
      </c>
      <c r="L13" t="n">
        <v>1.5</v>
      </c>
      <c r="M13" t="n">
        <v>1.2</v>
      </c>
      <c r="N13" t="n">
        <v>1.5</v>
      </c>
      <c r="O13" t="n">
        <v>1.1</v>
      </c>
      <c r="P13" t="n">
        <v>2</v>
      </c>
      <c r="Q13" t="n">
        <v>1.2</v>
      </c>
      <c r="R13" t="n">
        <v>1.05</v>
      </c>
      <c r="S13" t="n">
        <v>0.4709574641998169</v>
      </c>
    </row>
    <row r="14">
      <c r="A14" t="inlineStr">
        <is>
          <t>pipeline, hydrogen, low pressure distribution network</t>
        </is>
      </c>
      <c r="B14" t="n">
        <v>1.144220850427404e-06</v>
      </c>
      <c r="C14" t="inlineStr">
        <is>
          <t>kilometer</t>
        </is>
      </c>
      <c r="E14" s="10" t="inlineStr">
        <is>
          <t>RER</t>
        </is>
      </c>
      <c r="F14" t="inlineStr">
        <is>
          <t>technosphere</t>
        </is>
      </c>
      <c r="G14" t="inlineStr">
        <is>
          <t>pipeline, for hydrogen distribution</t>
        </is>
      </c>
      <c r="H14" t="inlineStr">
        <is>
          <t>infrastructure</t>
        </is>
      </c>
      <c r="I14" t="inlineStr">
        <is>
          <t>0.22 Mton of hydrogen circulated over the pipeline's lifetime. Mass flow of 0.19 kg/second.</t>
        </is>
      </c>
      <c r="J14" t="n">
        <v>2</v>
      </c>
      <c r="K14" t="n">
        <v>-13.68078663256572</v>
      </c>
      <c r="L14" t="n">
        <v>1.5</v>
      </c>
      <c r="M14" t="n">
        <v>1.2</v>
      </c>
      <c r="N14" t="n">
        <v>1.5</v>
      </c>
      <c r="O14" t="n">
        <v>1.1</v>
      </c>
      <c r="P14" t="n">
        <v>2</v>
      </c>
      <c r="Q14" t="n">
        <v>1.2</v>
      </c>
      <c r="R14" t="n">
        <v>3</v>
      </c>
      <c r="S14" t="n">
        <v>0.723148016147972</v>
      </c>
    </row>
    <row r="15">
      <c r="A15" t="inlineStr">
        <is>
          <t>pipeline, hydrogen, high pressure transmission network</t>
        </is>
      </c>
      <c r="B15" t="n">
        <v>2.01705598633036e-09</v>
      </c>
      <c r="C15" t="inlineStr">
        <is>
          <t>kilometer</t>
        </is>
      </c>
      <c r="E15" s="10" t="inlineStr">
        <is>
          <t>RER</t>
        </is>
      </c>
      <c r="F15" t="inlineStr">
        <is>
          <t>technosphere</t>
        </is>
      </c>
      <c r="G15" t="inlineStr">
        <is>
          <t>pipeline, for hydrogen transmission</t>
        </is>
      </c>
      <c r="H15" t="inlineStr">
        <is>
          <t>infrastructure</t>
        </is>
      </c>
      <c r="I15" t="inlineStr">
        <is>
          <t>124.81 Mton of hydrogen circulated over the pipeline's lifetime. Mass flow of 108.34 kg/second.</t>
        </is>
      </c>
      <c r="J15" t="n">
        <v>2</v>
      </c>
      <c r="K15" t="n">
        <v>-20.02162682113083</v>
      </c>
      <c r="L15" t="n">
        <v>1.5</v>
      </c>
      <c r="M15" t="n">
        <v>1.2</v>
      </c>
      <c r="N15" t="n">
        <v>1.5</v>
      </c>
      <c r="O15" t="n">
        <v>1.1</v>
      </c>
      <c r="P15" t="n">
        <v>2</v>
      </c>
      <c r="Q15" t="n">
        <v>1.2</v>
      </c>
      <c r="R15" t="n">
        <v>3</v>
      </c>
      <c r="S15" t="n">
        <v>0.723148016147972</v>
      </c>
    </row>
    <row r="16">
      <c r="A16" t="inlineStr">
        <is>
          <t>compressor assembly for transmission hydrogen pipeline</t>
        </is>
      </c>
      <c r="B16" t="n">
        <v>3.227031001926499e-11</v>
      </c>
      <c r="C16" t="inlineStr">
        <is>
          <t>unit</t>
        </is>
      </c>
      <c r="E16" t="inlineStr">
        <is>
          <t>RER</t>
        </is>
      </c>
      <c r="F16" t="inlineStr">
        <is>
          <t>technosphere</t>
        </is>
      </c>
      <c r="G16" t="inlineStr">
        <is>
          <t>compressor, for hydrogen transmission</t>
        </is>
      </c>
      <c r="H16" t="inlineStr">
        <is>
          <t>infrastructure</t>
        </is>
      </c>
      <c r="I16" t="inlineStr">
        <is>
          <t>Hydrogen compressor for transmission pipeline.</t>
        </is>
      </c>
      <c r="J16" t="n">
        <v>2</v>
      </c>
      <c r="K16" t="n">
        <v>-24.15687350286822</v>
      </c>
      <c r="L16" t="n">
        <v>1.5</v>
      </c>
      <c r="M16" t="n">
        <v>1.2</v>
      </c>
      <c r="N16" t="n">
        <v>1.5</v>
      </c>
      <c r="O16" t="n">
        <v>1.1</v>
      </c>
      <c r="P16" t="n">
        <v>2</v>
      </c>
      <c r="Q16" t="n">
        <v>1.2</v>
      </c>
      <c r="R16" t="n">
        <v>3</v>
      </c>
      <c r="S16" t="n">
        <v>0.723148016147972</v>
      </c>
    </row>
    <row r="17">
      <c r="A17" t="inlineStr">
        <is>
          <t>geological hydrogen storage</t>
        </is>
      </c>
      <c r="B17" t="n">
        <v>0.3020743045128347</v>
      </c>
      <c r="C17" t="inlineStr">
        <is>
          <t>kilogram</t>
        </is>
      </c>
      <c r="E17" s="10" t="inlineStr">
        <is>
          <t>RER</t>
        </is>
      </c>
      <c r="F17" t="inlineStr">
        <is>
          <t>technosphere</t>
        </is>
      </c>
      <c r="G17" t="inlineStr">
        <is>
          <t>hydrogen storage</t>
        </is>
      </c>
      <c r="H17" t="inlineStr">
        <is>
          <t>infrastructure</t>
        </is>
      </c>
      <c r="I17" t="inlineStr">
        <is>
          <t>Geological cavity to store hydrogen. 30% of the supplied amount is stored.</t>
        </is>
      </c>
      <c r="J17" t="n">
        <v>2</v>
      </c>
      <c r="K17" t="n">
        <v>-1.197082250437269</v>
      </c>
      <c r="L17" t="n">
        <v>1.5</v>
      </c>
      <c r="M17" t="n">
        <v>1.2</v>
      </c>
      <c r="N17" t="n">
        <v>1.5</v>
      </c>
      <c r="O17" t="n">
        <v>1.1</v>
      </c>
      <c r="P17" t="n">
        <v>2</v>
      </c>
      <c r="Q17" t="n">
        <v>1.2</v>
      </c>
      <c r="R17" t="n">
        <v>3</v>
      </c>
      <c r="S17" t="n">
        <v>0.723148016147972</v>
      </c>
    </row>
    <row r="18">
      <c r="A18" t="inlineStr">
        <is>
          <t>market group for electricity, low voltage</t>
        </is>
      </c>
      <c r="B18" t="n">
        <v>1.029106640576364</v>
      </c>
      <c r="C18" t="inlineStr">
        <is>
          <t>kilowatt hour</t>
        </is>
      </c>
      <c r="E18" s="10" t="inlineStr">
        <is>
          <t>Europe without Switzerland</t>
        </is>
      </c>
      <c r="F18" t="inlineStr">
        <is>
          <t>technosphere</t>
        </is>
      </c>
      <c r="G18" t="inlineStr">
        <is>
          <t>electricity, low voltage</t>
        </is>
      </c>
      <c r="H18" t="inlineStr">
        <is>
          <t>electricity</t>
        </is>
      </c>
      <c r="I18" t="inlineStr">
        <is>
          <t>To compress the H2 before and during transmission.</t>
        </is>
      </c>
      <c r="J18" t="n">
        <v>2</v>
      </c>
      <c r="K18" t="n">
        <v>0.02869108663897747</v>
      </c>
      <c r="L18" t="n">
        <v>1.5</v>
      </c>
      <c r="M18" t="n">
        <v>1.2</v>
      </c>
      <c r="N18" t="n">
        <v>1.5</v>
      </c>
      <c r="O18" t="n">
        <v>1.1</v>
      </c>
      <c r="P18" t="n">
        <v>2</v>
      </c>
      <c r="Q18" t="n">
        <v>1.2</v>
      </c>
      <c r="R18" t="n">
        <v>1.05</v>
      </c>
      <c r="S18" t="n">
        <v>0.4709574641998169</v>
      </c>
    </row>
    <row r="19">
      <c r="A19" t="inlineStr">
        <is>
          <t>market group for electricity, low voltage</t>
        </is>
      </c>
      <c r="B19" t="n">
        <v>0.6444251829607142</v>
      </c>
      <c r="C19" t="inlineStr">
        <is>
          <t>kilowatt hour</t>
        </is>
      </c>
      <c r="E19" s="10" t="inlineStr">
        <is>
          <t>Europe without Switzerland</t>
        </is>
      </c>
      <c r="F19" t="inlineStr">
        <is>
          <t>technosphere</t>
        </is>
      </c>
      <c r="G19" t="inlineStr">
        <is>
          <t>electricity, low voltage</t>
        </is>
      </c>
      <c r="H19" t="inlineStr">
        <is>
          <t>electricity</t>
        </is>
      </c>
      <c r="I19" t="inlineStr">
        <is>
          <t>To compress the H2 before storage.</t>
        </is>
      </c>
      <c r="J19" t="n">
        <v>2</v>
      </c>
      <c r="K19" t="n">
        <v>-0.4393965487397528</v>
      </c>
      <c r="L19" t="n">
        <v>1.5</v>
      </c>
      <c r="M19" t="n">
        <v>1.2</v>
      </c>
      <c r="N19" t="n">
        <v>1.5</v>
      </c>
      <c r="O19" t="n">
        <v>1.1</v>
      </c>
      <c r="P19" t="n">
        <v>2</v>
      </c>
      <c r="Q19" t="n">
        <v>1.2</v>
      </c>
      <c r="R19" t="n">
        <v>1.05</v>
      </c>
      <c r="S19" t="n">
        <v>0.4709574641998169</v>
      </c>
    </row>
    <row r="20">
      <c r="A20" t="inlineStr">
        <is>
          <t>market group for electricity, low voltage</t>
        </is>
      </c>
      <c r="B20" t="n">
        <v>0.1430220140053824</v>
      </c>
      <c r="C20" t="inlineStr">
        <is>
          <t>kilowatt hour</t>
        </is>
      </c>
      <c r="E20" s="10" t="inlineStr">
        <is>
          <t>Europe without Switzerland</t>
        </is>
      </c>
      <c r="F20" t="inlineStr">
        <is>
          <t>technosphere</t>
        </is>
      </c>
      <c r="G20" t="inlineStr">
        <is>
          <t>electricity, low voltage</t>
        </is>
      </c>
      <c r="H20" t="inlineStr">
        <is>
          <t>electricity</t>
        </is>
      </c>
      <c r="I20" t="inlineStr">
        <is>
          <t>To compress the H2 before and during distribution.</t>
        </is>
      </c>
      <c r="J20" t="n">
        <v>2</v>
      </c>
      <c r="K20" t="n">
        <v>-1.944756716476822</v>
      </c>
      <c r="L20" t="n">
        <v>1.5</v>
      </c>
      <c r="M20" t="n">
        <v>1.2</v>
      </c>
      <c r="N20" t="n">
        <v>1.5</v>
      </c>
      <c r="O20" t="n">
        <v>1.1</v>
      </c>
      <c r="P20" t="n">
        <v>2</v>
      </c>
      <c r="Q20" t="n">
        <v>1.2</v>
      </c>
      <c r="R20" t="n">
        <v>1.05</v>
      </c>
      <c r="S20" t="n">
        <v>0.4709574641998169</v>
      </c>
    </row>
    <row r="21">
      <c r="A21" t="inlineStr">
        <is>
          <t>Hydrogen</t>
        </is>
      </c>
      <c r="B21" t="n">
        <v>0.00691434837611582</v>
      </c>
      <c r="C21" t="inlineStr">
        <is>
          <t>kilogram</t>
        </is>
      </c>
      <c r="D21" t="inlineStr">
        <is>
          <t>air</t>
        </is>
      </c>
      <c r="F21" t="inlineStr">
        <is>
          <t>biosphere</t>
        </is>
      </c>
      <c r="H21" t="inlineStr">
        <is>
          <t>emissions</t>
        </is>
      </c>
      <c r="I21" t="inlineStr">
        <is>
          <t>Hydrogen leaks. Equal to losses.</t>
        </is>
      </c>
      <c r="J21" t="n">
        <v>2</v>
      </c>
      <c r="K21" t="n">
        <v>-4.974156551694551</v>
      </c>
      <c r="L21" t="n">
        <v>1.5</v>
      </c>
      <c r="M21" t="n">
        <v>1.2</v>
      </c>
      <c r="N21" t="n">
        <v>1.5</v>
      </c>
      <c r="O21" t="n">
        <v>1.1</v>
      </c>
      <c r="P21" t="n">
        <v>2</v>
      </c>
      <c r="Q21" t="n">
        <v>1.2</v>
      </c>
      <c r="R21" t="n">
        <v>1.05</v>
      </c>
      <c r="S21" t="n">
        <v>0.4709574641998169</v>
      </c>
    </row>
    <row r="22"/>
    <row r="23" customFormat="1" s="4">
      <c r="A23" s="2" t="inlineStr">
        <is>
          <t>Activity</t>
        </is>
      </c>
      <c r="B23" s="3" t="inlineStr">
        <is>
          <t>heat, residential, by combustion of hydrogen using boiler, distributed by pipeline, produced by Electrolysis, PEM using electricity from grid</t>
        </is>
      </c>
    </row>
    <row r="24" customFormat="1" s="4">
      <c r="A24" s="4" t="inlineStr">
        <is>
          <t>comment</t>
        </is>
      </c>
      <c r="B24" s="5" t="inlineStr">
        <is>
          <t>This dataset represents the supply of 1 megajoule of heat in a residence, by hydrogen combustion in a boiler. The hydrogen is produced by  Electrolysis, PEM, with electricity from grid as feedstock. Heat conversion efficiency [% LHV input]: 111%. LHV [MJ/kg]: 120. Market price [Euro/MJ]: 0.0266666666666667. Synthesis efficiency [% LHV input]: 0%. Total cap. Input-related [kW]: 14.954954954955. CO2 biogenic share [%]: 0%. Power [kW]: 16.6. Lifetime [years]: 20. Annual operation [hours]: 2100. Allocation factor: 1. On-site storage loss [%]: 0. Use loss [%]: 0.5. For more information, refer to: Sacchi, R. and Bauer, C. LCA of Power-to-X processes and applications in the residential sector. Paul Scherrer Institut, 2023.</t>
        </is>
      </c>
    </row>
    <row r="25" customFormat="1" s="4">
      <c r="A25" s="4" t="inlineStr">
        <is>
          <t>source</t>
        </is>
      </c>
      <c r="B25" s="5" t="inlineStr">
        <is>
          <t>Sacchi, R. and Bauer, C. LCA of Power-to-X processes and applications in the residential sector. Paul Scherrer Institut, 2023.</t>
        </is>
      </c>
    </row>
    <row r="26" customFormat="1" s="4">
      <c r="A26" s="4" t="inlineStr">
        <is>
          <t>location</t>
        </is>
      </c>
      <c r="B26" t="inlineStr">
        <is>
          <t>RER</t>
        </is>
      </c>
    </row>
    <row r="27" customFormat="1" s="4">
      <c r="A27" s="4" t="inlineStr">
        <is>
          <t>reference product</t>
        </is>
      </c>
      <c r="B27" s="5" t="inlineStr">
        <is>
          <t>heat, from residential heating system</t>
        </is>
      </c>
    </row>
    <row r="28" customFormat="1" s="4">
      <c r="A28" s="4" t="inlineStr">
        <is>
          <t>unit</t>
        </is>
      </c>
      <c r="B28" s="5" t="inlineStr">
        <is>
          <t>megajoule</t>
        </is>
      </c>
    </row>
    <row r="29" customFormat="1" s="4">
      <c r="A29" s="6" t="inlineStr">
        <is>
          <t>Exchanges</t>
        </is>
      </c>
      <c r="B29" s="5" t="n"/>
    </row>
    <row r="30" customFormat="1" s="4">
      <c r="A30" s="2" t="inlineStr">
        <is>
          <t>name</t>
        </is>
      </c>
      <c r="B30" s="3" t="inlineStr">
        <is>
          <t>amount</t>
        </is>
      </c>
      <c r="C30" s="2" t="inlineStr">
        <is>
          <t>unit</t>
        </is>
      </c>
      <c r="D30" s="2" t="inlineStr">
        <is>
          <t>categories</t>
        </is>
      </c>
      <c r="E30" s="2" t="inlineStr">
        <is>
          <t>location</t>
        </is>
      </c>
      <c r="F30" s="2" t="inlineStr">
        <is>
          <t>type</t>
        </is>
      </c>
      <c r="G30" s="2" t="inlineStr">
        <is>
          <t>reference product</t>
        </is>
      </c>
      <c r="H30" s="2" t="inlineStr">
        <is>
          <t>tag</t>
        </is>
      </c>
      <c r="I30" s="2" t="inlineStr">
        <is>
          <t>comment</t>
        </is>
      </c>
      <c r="J30" s="2" t="inlineStr">
        <is>
          <t>uncertainty type</t>
        </is>
      </c>
      <c r="K30" s="2" t="inlineStr">
        <is>
          <t>loc</t>
        </is>
      </c>
      <c r="L30" s="2" t="inlineStr">
        <is>
          <t>u1</t>
        </is>
      </c>
      <c r="M30" s="2" t="inlineStr">
        <is>
          <t>u2</t>
        </is>
      </c>
      <c r="N30" s="2" t="inlineStr">
        <is>
          <t>u3</t>
        </is>
      </c>
      <c r="O30" s="2" t="inlineStr">
        <is>
          <t>u4</t>
        </is>
      </c>
      <c r="P30" s="2" t="inlineStr">
        <is>
          <t>u5</t>
        </is>
      </c>
      <c r="Q30" s="2" t="inlineStr">
        <is>
          <t>u6</t>
        </is>
      </c>
      <c r="R30" s="2" t="inlineStr">
        <is>
          <t>ub</t>
        </is>
      </c>
      <c r="S30" s="2" t="inlineStr">
        <is>
          <t>scale</t>
        </is>
      </c>
      <c r="T30" s="2" t="inlineStr">
        <is>
          <t>negative</t>
        </is>
      </c>
      <c r="U30" s="2" t="n"/>
    </row>
    <row r="31" customFormat="1" s="4">
      <c r="A31" s="4" t="inlineStr">
        <is>
          <t>heat, residential, by combustion of hydrogen using boiler, distributed by pipeline, produced by Electrolysis, PEM using electricity from grid</t>
        </is>
      </c>
      <c r="B31" s="5" t="n">
        <v>1</v>
      </c>
      <c r="C31" s="4" t="inlineStr">
        <is>
          <t>megajoule</t>
        </is>
      </c>
      <c r="E31" t="inlineStr">
        <is>
          <t>RER</t>
        </is>
      </c>
      <c r="F31" s="4" t="inlineStr">
        <is>
          <t>production</t>
        </is>
      </c>
      <c r="G31" s="4" t="inlineStr">
        <is>
          <t>heat, from residential heating system</t>
        </is>
      </c>
    </row>
    <row r="32" customFormat="1" s="4">
      <c r="A32" s="4" t="inlineStr">
        <is>
          <t>market for gas boiler</t>
        </is>
      </c>
      <c r="B32" s="7" t="n">
        <v>3.984190731178683e-07</v>
      </c>
      <c r="C32" s="4" t="inlineStr">
        <is>
          <t>unit</t>
        </is>
      </c>
      <c r="E32" s="4" t="inlineStr">
        <is>
          <t>GLO</t>
        </is>
      </c>
      <c r="F32" s="4" t="inlineStr">
        <is>
          <t>technosphere</t>
        </is>
      </c>
      <c r="G32" s="4" t="inlineStr">
        <is>
          <t>gas boiler</t>
        </is>
      </c>
      <c r="H32" s="4" t="inlineStr">
        <is>
          <t>infrastructure</t>
        </is>
      </c>
      <c r="I32" s="4" t="inlineStr">
        <is>
          <t>1/(Total cap. (input-related) [kW] * lifetime [y] * annual operation [h] * 3.6 [MJ/kWh])</t>
        </is>
      </c>
      <c r="J32" s="4" t="n">
        <v>2</v>
      </c>
      <c r="K32" s="4" t="n">
        <v>-14.73576143809007</v>
      </c>
      <c r="L32" s="4" t="n">
        <v>1.05</v>
      </c>
      <c r="M32" s="8" t="n">
        <v>1.2</v>
      </c>
      <c r="N32" s="4" t="n">
        <v>1</v>
      </c>
      <c r="O32" s="4" t="n">
        <v>1.01</v>
      </c>
      <c r="P32" s="4" t="n">
        <v>1.2</v>
      </c>
      <c r="Q32" s="4" t="n">
        <v>1.2</v>
      </c>
      <c r="R32" s="4" t="n">
        <v>3</v>
      </c>
      <c r="S32" s="4" t="n">
        <v>0.572090880068819</v>
      </c>
    </row>
    <row r="33" customFormat="1" s="4">
      <c r="A33" s="4" t="inlineStr">
        <is>
          <t>market for chimney</t>
        </is>
      </c>
      <c r="B33" s="7" t="n">
        <v>7.968381462357366e-07</v>
      </c>
      <c r="C33" s="4" t="inlineStr">
        <is>
          <t>meter</t>
        </is>
      </c>
      <c r="E33" s="4" t="inlineStr">
        <is>
          <t>GLO</t>
        </is>
      </c>
      <c r="F33" s="4" t="inlineStr">
        <is>
          <t>technosphere</t>
        </is>
      </c>
      <c r="G33" s="4" t="inlineStr">
        <is>
          <t>chimney</t>
        </is>
      </c>
      <c r="H33" s="4" t="inlineStr">
        <is>
          <t>infrastructure</t>
        </is>
      </c>
      <c r="I33" s="4" t="inlineStr">
        <is>
          <t>To evacuate the flue gases.</t>
        </is>
      </c>
      <c r="J33" s="4" t="n">
        <v>2</v>
      </c>
      <c r="K33" s="4" t="n">
        <v>-14.04261425753012</v>
      </c>
      <c r="L33" s="4" t="n">
        <v>1.05</v>
      </c>
      <c r="M33" s="8" t="n">
        <v>1.2</v>
      </c>
      <c r="N33" s="4" t="n">
        <v>1</v>
      </c>
      <c r="O33" s="4" t="n">
        <v>1.01</v>
      </c>
      <c r="P33" s="4" t="n">
        <v>1.2</v>
      </c>
      <c r="Q33" s="4" t="n">
        <v>1.2</v>
      </c>
      <c r="R33" s="4" t="n">
        <v>3</v>
      </c>
      <c r="S33" s="4" t="n">
        <v>0.572090880068819</v>
      </c>
    </row>
    <row r="34" customFormat="1" s="4">
      <c r="A34" s="4" t="inlineStr">
        <is>
          <t>market group for electricity, low voltage</t>
        </is>
      </c>
      <c r="B34" s="7" t="n">
        <v>0.000734</v>
      </c>
      <c r="C34" s="4" t="inlineStr">
        <is>
          <t>kilowatt hour</t>
        </is>
      </c>
      <c r="E34" t="inlineStr">
        <is>
          <t>RER</t>
        </is>
      </c>
      <c r="F34" s="4" t="inlineStr">
        <is>
          <t>technosphere</t>
        </is>
      </c>
      <c r="G34" s="4" t="inlineStr">
        <is>
          <t>electricity, low voltage</t>
        </is>
      </c>
      <c r="H34" s="4" t="inlineStr">
        <is>
          <t>electricity</t>
        </is>
      </c>
      <c r="I34" s="4" t="inlineStr">
        <is>
          <t>To operate the boiler.</t>
        </is>
      </c>
      <c r="J34" s="4" t="n">
        <v>2</v>
      </c>
      <c r="K34" s="4" t="n">
        <v>-7.217001529349758</v>
      </c>
      <c r="L34" s="4" t="n">
        <v>1.05</v>
      </c>
      <c r="M34" s="8" t="n">
        <v>1.2</v>
      </c>
      <c r="N34" s="4" t="n">
        <v>1</v>
      </c>
      <c r="O34" s="4" t="n">
        <v>1.01</v>
      </c>
      <c r="P34" s="4" t="n">
        <v>1.2</v>
      </c>
      <c r="Q34" s="4" t="n">
        <v>1.2</v>
      </c>
      <c r="R34" s="4" t="n">
        <v>1.05</v>
      </c>
      <c r="S34" s="4" t="n">
        <v>0.1616967992407096</v>
      </c>
    </row>
    <row r="35" customFormat="1" s="4">
      <c r="A35" t="inlineStr">
        <is>
          <t>market for hydrogen, gaseous</t>
        </is>
      </c>
      <c r="B35" s="9" t="n">
        <v>0.007507507507507507</v>
      </c>
      <c r="C35" s="4" t="inlineStr">
        <is>
          <t>kilogram</t>
        </is>
      </c>
      <c r="E35" t="inlineStr">
        <is>
          <t>GLO</t>
        </is>
      </c>
      <c r="F35" s="4" t="inlineStr">
        <is>
          <t>technosphere</t>
        </is>
      </c>
      <c r="G35" t="inlineStr">
        <is>
          <t>hydrogen, gaseous</t>
        </is>
      </c>
      <c r="H35" s="4" t="inlineStr">
        <is>
          <t>hydrogen</t>
        </is>
      </c>
      <c r="I35" s="4" t="inlineStr">
        <is>
          <t>Hydrogen input. 1 [MJ H2]/120 [MJ/kg H2]/ eff.(th)</t>
        </is>
      </c>
      <c r="J35" s="4" t="n">
        <v>2</v>
      </c>
      <c r="K35" s="4" t="n">
        <v>-4.891851758106289</v>
      </c>
      <c r="L35" s="4" t="n">
        <v>1.05</v>
      </c>
      <c r="M35" s="8" t="n">
        <v>1.2</v>
      </c>
      <c r="N35" s="4" t="n">
        <v>1</v>
      </c>
      <c r="O35" s="4" t="n">
        <v>1.01</v>
      </c>
      <c r="P35" s="4" t="n">
        <v>1.2</v>
      </c>
      <c r="Q35" s="4" t="n">
        <v>1.2</v>
      </c>
      <c r="R35" s="4" t="n">
        <v>1.05</v>
      </c>
      <c r="S35" s="4" t="n">
        <v>0.1616967992407096</v>
      </c>
    </row>
    <row r="36" customFormat="1" s="4">
      <c r="A36" t="inlineStr">
        <is>
          <t>market for hydrogen, gaseous</t>
        </is>
      </c>
      <c r="B36" s="9" t="n">
        <v>3.753753753753673e-05</v>
      </c>
      <c r="C36" s="4" t="inlineStr">
        <is>
          <t>kilogram</t>
        </is>
      </c>
      <c r="E36" t="inlineStr">
        <is>
          <t>GLO</t>
        </is>
      </c>
      <c r="F36" s="4" t="inlineStr">
        <is>
          <t>technosphere</t>
        </is>
      </c>
      <c r="G36" t="inlineStr">
        <is>
          <t>hydrogen, gaseous</t>
        </is>
      </c>
      <c r="H36" s="4" t="inlineStr">
        <is>
          <t>hydrogen loss makeup</t>
        </is>
      </c>
      <c r="I36" s="4" t="inlineStr">
        <is>
          <t>((1+storage loss)*(1+use loss)-1)*hydrogen input</t>
        </is>
      </c>
      <c r="J36" s="4" t="n">
        <v>2</v>
      </c>
      <c r="K36" s="4" t="n">
        <v>-10.19016912465435</v>
      </c>
      <c r="L36" s="4" t="n">
        <v>1.05</v>
      </c>
      <c r="M36" s="8" t="n">
        <v>1.2</v>
      </c>
      <c r="N36" s="4" t="n">
        <v>1</v>
      </c>
      <c r="O36" s="4" t="n">
        <v>1.01</v>
      </c>
      <c r="P36" s="4" t="n">
        <v>1.2</v>
      </c>
      <c r="Q36" s="4" t="n">
        <v>1.2</v>
      </c>
      <c r="R36" s="4" t="n">
        <v>1.05</v>
      </c>
      <c r="S36" s="4" t="n">
        <v>0.1616967992407096</v>
      </c>
    </row>
    <row r="37" customFormat="1" s="4">
      <c r="A37" s="4" t="inlineStr">
        <is>
          <t>Water</t>
        </is>
      </c>
      <c r="B37" s="5">
        <f>0.0675675675675676/1000</f>
        <v>6.7567567567567596E-5</v>
      </c>
      <c r="C37" s="4" t="inlineStr">
        <is>
          <t>cubic meter</t>
        </is>
      </c>
      <c r="D37" s="4" t="inlineStr">
        <is>
          <t>air</t>
        </is>
      </c>
      <c r="F37" s="4" t="inlineStr">
        <is>
          <t>biosphere</t>
        </is>
      </c>
      <c r="H37" s="4" t="inlineStr">
        <is>
          <t>emissions</t>
        </is>
      </c>
      <c r="I37" s="4" t="inlineStr">
        <is>
          <t>9kg of water produced per kg of H2 combusted.</t>
        </is>
      </c>
      <c r="J37" s="4" t="n">
        <v>2</v>
      </c>
      <c r="K37" s="4" t="n">
        <v>-2.69462718077007</v>
      </c>
      <c r="L37" s="4" t="n">
        <v>1.05</v>
      </c>
      <c r="M37" s="8" t="n">
        <v>1.2</v>
      </c>
      <c r="N37" s="4" t="n">
        <v>1</v>
      </c>
      <c r="O37" s="4" t="n">
        <v>1.01</v>
      </c>
      <c r="P37" s="4" t="n">
        <v>1.2</v>
      </c>
      <c r="Q37" s="4" t="n">
        <v>1.2</v>
      </c>
      <c r="R37" s="4" t="n">
        <v>1.05</v>
      </c>
      <c r="S37" s="4" t="n">
        <v>0.1616967992407096</v>
      </c>
    </row>
    <row r="38" customFormat="1" s="4">
      <c r="A38" s="4" t="inlineStr">
        <is>
          <t>Nitrogen oxides</t>
        </is>
      </c>
      <c r="B38" s="5" t="n">
        <v>6.944444444444445e-06</v>
      </c>
      <c r="C38" s="4" t="inlineStr">
        <is>
          <t>kilogram</t>
        </is>
      </c>
      <c r="D38" s="4" t="inlineStr">
        <is>
          <t>air</t>
        </is>
      </c>
      <c r="F38" s="4" t="inlineStr">
        <is>
          <t>biosphere</t>
        </is>
      </c>
      <c r="H38" s="4" t="inlineStr">
        <is>
          <t>emissions</t>
        </is>
      </c>
      <c r="I38" s="4" t="inlineStr">
        <is>
          <t>Based on Greenstar 8000 Hydrogen-Ready specifications (25mg NOx/kWh).</t>
        </is>
      </c>
      <c r="J38" s="4" t="n">
        <v>2</v>
      </c>
      <c r="K38" s="4" t="n">
        <v>-11.87756857855814</v>
      </c>
      <c r="L38" s="4" t="n">
        <v>1.05</v>
      </c>
      <c r="M38" s="8" t="n">
        <v>1.2</v>
      </c>
      <c r="N38" s="4" t="n">
        <v>1</v>
      </c>
      <c r="O38" s="4" t="n">
        <v>1.01</v>
      </c>
      <c r="P38" s="4" t="n">
        <v>1.2</v>
      </c>
      <c r="Q38" s="4" t="n">
        <v>1.2</v>
      </c>
      <c r="R38" s="4" t="n">
        <v>1.5</v>
      </c>
      <c r="S38" s="4" t="n">
        <v>0.2581689821184212</v>
      </c>
    </row>
    <row r="39" customFormat="1" s="4">
      <c r="A39" s="4" t="inlineStr">
        <is>
          <t>Hydrogen</t>
        </is>
      </c>
      <c r="B39" s="9" t="n">
        <v>3.753753753753673e-05</v>
      </c>
      <c r="C39" s="4" t="inlineStr">
        <is>
          <t>kilogram</t>
        </is>
      </c>
      <c r="D39" s="4" t="inlineStr">
        <is>
          <t>air</t>
        </is>
      </c>
      <c r="F39" s="4" t="inlineStr">
        <is>
          <t>biosphere</t>
        </is>
      </c>
      <c r="H39" s="4" t="inlineStr">
        <is>
          <t>emissions</t>
        </is>
      </c>
      <c r="I39" s="4" t="inlineStr">
        <is>
          <t>Hydrogen leakage.</t>
        </is>
      </c>
      <c r="M39" s="8" t="n"/>
    </row>
    <row r="40" customFormat="1" s="4">
      <c r="B40" s="5" t="n"/>
    </row>
    <row r="41" customFormat="1" s="4">
      <c r="A41" s="2" t="inlineStr">
        <is>
          <t>Activity</t>
        </is>
      </c>
      <c r="B41" s="3" t="inlineStr">
        <is>
          <t>heat, residential, by combustion of hydrogen using CHP, allocated by exergy, distributed by pipeline, produced by Electrolysis, PEM using electricity from grid</t>
        </is>
      </c>
    </row>
    <row r="42" customFormat="1" s="4">
      <c r="A42" s="4" t="inlineStr">
        <is>
          <t>comment</t>
        </is>
      </c>
      <c r="B42" s="5" t="inlineStr">
        <is>
          <t>This dataset represents the supply of 1 megajoule of heat in a residence, by hydrogen combustion in a CHP. The hydrogen is produced by  Electrolysis, PEM, with electricity from grid as feedstock. Heat conversion efficiency [% LHV input]: 41.7%. LHV [MJ/kg]: 120. Market price [Euro/MJ]: 0.0266666666666667. Synthesis efficiency [% LHV input]: 0%. Total cap. Input-related [kW]: 443.896424167694. CO2 biogenic share [%]: 0%. Power [kW]: 200. Lifetime [years]: 19.5121951219512. Annual operation [hours]: 4100. Allocation factor: 0.0832162585012293. On-site storage loss [%]: 0. Use loss [%]: 0.5. For more information, refer to: Sacchi, R. and Bauer, C. LCA of Power-to-X processes and applications in the residential sector. Paul Scherrer Institut, 2023.</t>
        </is>
      </c>
    </row>
    <row r="43" customFormat="1" s="4">
      <c r="A43" s="4" t="inlineStr">
        <is>
          <t>source</t>
        </is>
      </c>
      <c r="B43" s="5" t="inlineStr">
        <is>
          <t>Sacchi, R. and Bauer, C. LCA of Power-to-X processes and applications in the residential sector. Paul Scherrer Institut, 2023.</t>
        </is>
      </c>
    </row>
    <row r="44" customFormat="1" s="4">
      <c r="A44" s="4" t="inlineStr">
        <is>
          <t>location</t>
        </is>
      </c>
      <c r="B44" s="10" t="inlineStr">
        <is>
          <t>RER</t>
        </is>
      </c>
    </row>
    <row r="45" customFormat="1" s="4">
      <c r="A45" s="4" t="inlineStr">
        <is>
          <t>reference product</t>
        </is>
      </c>
      <c r="B45" s="5" t="inlineStr">
        <is>
          <t>heat, from residential heating system</t>
        </is>
      </c>
    </row>
    <row r="46" customFormat="1" s="4">
      <c r="A46" s="4" t="inlineStr">
        <is>
          <t>unit</t>
        </is>
      </c>
      <c r="B46" s="5" t="inlineStr">
        <is>
          <t>megajoule</t>
        </is>
      </c>
    </row>
    <row r="47" customFormat="1" s="4">
      <c r="A47" s="6" t="inlineStr">
        <is>
          <t>Exchanges</t>
        </is>
      </c>
      <c r="B47" s="5" t="n"/>
    </row>
    <row r="48" customFormat="1" s="4">
      <c r="A48" s="2" t="inlineStr">
        <is>
          <t>name</t>
        </is>
      </c>
      <c r="B48" s="3" t="inlineStr">
        <is>
          <t>amount</t>
        </is>
      </c>
      <c r="C48" s="2" t="inlineStr">
        <is>
          <t>unit</t>
        </is>
      </c>
      <c r="D48" s="2" t="inlineStr">
        <is>
          <t>categories</t>
        </is>
      </c>
      <c r="E48" s="2" t="inlineStr">
        <is>
          <t>location</t>
        </is>
      </c>
      <c r="F48" s="2" t="inlineStr">
        <is>
          <t>type</t>
        </is>
      </c>
      <c r="G48" s="2" t="inlineStr">
        <is>
          <t>reference product</t>
        </is>
      </c>
      <c r="H48" s="2" t="inlineStr">
        <is>
          <t>tag</t>
        </is>
      </c>
      <c r="I48" s="2" t="inlineStr">
        <is>
          <t>comment</t>
        </is>
      </c>
      <c r="J48" s="2" t="inlineStr">
        <is>
          <t>uncertainty type</t>
        </is>
      </c>
      <c r="K48" s="2" t="inlineStr">
        <is>
          <t>loc</t>
        </is>
      </c>
      <c r="L48" s="2" t="inlineStr">
        <is>
          <t>u1</t>
        </is>
      </c>
      <c r="M48" s="2" t="inlineStr">
        <is>
          <t>u2</t>
        </is>
      </c>
      <c r="N48" s="2" t="inlineStr">
        <is>
          <t>u3</t>
        </is>
      </c>
      <c r="O48" s="2" t="inlineStr">
        <is>
          <t>u4</t>
        </is>
      </c>
      <c r="P48" s="2" t="inlineStr">
        <is>
          <t>u5</t>
        </is>
      </c>
      <c r="Q48" s="2" t="inlineStr">
        <is>
          <t>u6</t>
        </is>
      </c>
      <c r="R48" s="2" t="inlineStr">
        <is>
          <t>ub</t>
        </is>
      </c>
      <c r="S48" s="2" t="inlineStr">
        <is>
          <t>scale</t>
        </is>
      </c>
      <c r="T48" s="2" t="inlineStr">
        <is>
          <t>negative</t>
        </is>
      </c>
      <c r="U48" s="2" t="n"/>
    </row>
    <row r="49" customFormat="1" s="4">
      <c r="A49" s="4" t="inlineStr">
        <is>
          <t>heat, residential, by combustion of hydrogen using CHP, allocated by exergy, distributed by pipeline, produced by Electrolysis, PEM using electricity from grid</t>
        </is>
      </c>
      <c r="B49" s="5" t="n">
        <v>1</v>
      </c>
      <c r="C49" s="4" t="inlineStr">
        <is>
          <t>megajoule</t>
        </is>
      </c>
      <c r="E49" s="10" t="inlineStr">
        <is>
          <t>RER</t>
        </is>
      </c>
      <c r="F49" s="4" t="inlineStr">
        <is>
          <t>production</t>
        </is>
      </c>
      <c r="G49" s="4" t="inlineStr">
        <is>
          <t>heat, from residential heating system</t>
        </is>
      </c>
    </row>
    <row r="50" customFormat="1" s="4">
      <c r="A50" s="4" t="inlineStr">
        <is>
          <t>heat and power co-generation unit construction, 160kW electrical, common components for heat+electricity</t>
        </is>
      </c>
      <c r="B50" s="7" t="n">
        <v>6.509296454909041e-10</v>
      </c>
      <c r="C50" s="4" t="inlineStr">
        <is>
          <t>unit</t>
        </is>
      </c>
      <c r="E50" s="4" t="inlineStr">
        <is>
          <t>RER</t>
        </is>
      </c>
      <c r="F50" s="4" t="inlineStr">
        <is>
          <t>technosphere</t>
        </is>
      </c>
      <c r="G50" s="4" t="inlineStr">
        <is>
          <t>heat and power co-generation unit, 160kW electrical, common components for heat+electricity</t>
        </is>
      </c>
      <c r="H50" s="4" t="inlineStr">
        <is>
          <t>infrastructure</t>
        </is>
      </c>
      <c r="I50" s="4" t="inlineStr">
        <is>
          <t>1/(Total cap. (input-related) [kW] * lifetime [y] * annual operation [h] * 1 or 3.6 [MJ/kWh])*allocation factor</t>
        </is>
      </c>
      <c r="J50" s="4" t="n">
        <v>2</v>
      </c>
      <c r="K50" s="4" t="n">
        <v>-21.15261955100266</v>
      </c>
      <c r="L50" s="4" t="n">
        <v>1.05</v>
      </c>
      <c r="M50" s="8" t="n">
        <v>1.2</v>
      </c>
      <c r="N50" s="4" t="n">
        <v>1</v>
      </c>
      <c r="O50" s="4" t="n">
        <v>1.01</v>
      </c>
      <c r="P50" s="4" t="n">
        <v>1.2</v>
      </c>
      <c r="Q50" s="4" t="n">
        <v>1.2</v>
      </c>
      <c r="R50" s="4" t="n">
        <v>3</v>
      </c>
      <c r="S50" s="4" t="n">
        <v>0.572090880068819</v>
      </c>
    </row>
    <row r="51" customFormat="1" s="4">
      <c r="A51" s="4" t="inlineStr">
        <is>
          <t>heat and power co-generation unit construction, 160kW electrical, components for electricity only</t>
        </is>
      </c>
      <c r="B51" s="7" t="n">
        <v>6.509296454909041e-10</v>
      </c>
      <c r="C51" s="4" t="inlineStr">
        <is>
          <t>unit</t>
        </is>
      </c>
      <c r="E51" s="4" t="inlineStr">
        <is>
          <t>RER</t>
        </is>
      </c>
      <c r="F51" s="4" t="inlineStr">
        <is>
          <t>technosphere</t>
        </is>
      </c>
      <c r="G51" s="4" t="inlineStr">
        <is>
          <t>heat and power co-generation unit, 160kW electrical, components for electricity only</t>
        </is>
      </c>
      <c r="H51" s="4" t="inlineStr">
        <is>
          <t>infrastructure</t>
        </is>
      </c>
      <c r="I51" s="4" t="inlineStr">
        <is>
          <t>1/(Total cap. (input-related) [kW] * lifetime [y] * annual operation [h] * 1 or 3.6 [MJ/kWh])*allocation factor</t>
        </is>
      </c>
      <c r="J51" s="4" t="n">
        <v>2</v>
      </c>
      <c r="K51" s="4" t="n">
        <v>-21.15261955100266</v>
      </c>
      <c r="L51" s="4" t="n">
        <v>1.05</v>
      </c>
      <c r="M51" s="8" t="n">
        <v>1.2</v>
      </c>
      <c r="N51" s="4" t="n">
        <v>1</v>
      </c>
      <c r="O51" s="4" t="n">
        <v>1.01</v>
      </c>
      <c r="P51" s="4" t="n">
        <v>1.2</v>
      </c>
      <c r="Q51" s="4" t="n">
        <v>1.2</v>
      </c>
      <c r="R51" s="4" t="n">
        <v>3</v>
      </c>
      <c r="S51" s="4" t="n">
        <v>0.572090880068819</v>
      </c>
    </row>
    <row r="52" customFormat="1" s="4">
      <c r="A52" s="4" t="inlineStr">
        <is>
          <t>heat and power co-generation unit construction, 160kW electrical, components for heat only</t>
        </is>
      </c>
      <c r="B52" s="7" t="n">
        <v>6.509296454909041e-10</v>
      </c>
      <c r="C52" s="4" t="inlineStr">
        <is>
          <t>unit</t>
        </is>
      </c>
      <c r="E52" s="4" t="inlineStr">
        <is>
          <t>RER</t>
        </is>
      </c>
      <c r="F52" s="4" t="inlineStr">
        <is>
          <t>technosphere</t>
        </is>
      </c>
      <c r="G52" s="4" t="inlineStr">
        <is>
          <t>heat and power co-generation unit, 160kW electrical, components for heat only</t>
        </is>
      </c>
      <c r="H52" s="4" t="inlineStr">
        <is>
          <t>infrastructure</t>
        </is>
      </c>
      <c r="I52" s="4" t="inlineStr">
        <is>
          <t>1/(Total cap. (input-related) [kW] * lifetime [y] * annual operation [h] * 1 or 3.6 [MJ/kWh])*allocation factor</t>
        </is>
      </c>
      <c r="J52" s="4" t="n">
        <v>2</v>
      </c>
      <c r="K52" s="4" t="n">
        <v>-21.15261955100266</v>
      </c>
      <c r="L52" s="4" t="n">
        <v>1.05</v>
      </c>
      <c r="M52" s="8" t="n">
        <v>1.2</v>
      </c>
      <c r="N52" s="4" t="n">
        <v>1</v>
      </c>
      <c r="O52" s="4" t="n">
        <v>1.01</v>
      </c>
      <c r="P52" s="4" t="n">
        <v>1.2</v>
      </c>
      <c r="Q52" s="4" t="n">
        <v>1.2</v>
      </c>
      <c r="R52" s="4" t="n">
        <v>3</v>
      </c>
      <c r="S52" s="4" t="n">
        <v>0.572090880068819</v>
      </c>
    </row>
    <row r="53" customFormat="1" s="4">
      <c r="A53" s="4" t="inlineStr">
        <is>
          <t>market for lubricating oil</t>
        </is>
      </c>
      <c r="B53" s="7" t="n">
        <v>9.45835994124972e-09</v>
      </c>
      <c r="C53" s="4" t="inlineStr">
        <is>
          <t>kilogram</t>
        </is>
      </c>
      <c r="E53" s="4" t="inlineStr">
        <is>
          <t>RER</t>
        </is>
      </c>
      <c r="F53" s="4" t="inlineStr">
        <is>
          <t>technosphere</t>
        </is>
      </c>
      <c r="G53" s="4" t="inlineStr">
        <is>
          <t>lubricating oil</t>
        </is>
      </c>
      <c r="H53" s="4" t="inlineStr">
        <is>
          <t>others</t>
        </is>
      </c>
      <c r="J53" s="4" t="n">
        <v>2</v>
      </c>
      <c r="K53" s="4" t="n">
        <v>-18.47636683664513</v>
      </c>
      <c r="L53" s="4" t="n">
        <v>1.05</v>
      </c>
      <c r="M53" s="8" t="n">
        <v>1.2</v>
      </c>
      <c r="N53" s="4" t="n">
        <v>1</v>
      </c>
      <c r="O53" s="4" t="n">
        <v>1.01</v>
      </c>
      <c r="P53" s="4" t="n">
        <v>1.2</v>
      </c>
      <c r="Q53" s="4" t="n">
        <v>1.2</v>
      </c>
      <c r="R53" s="4" t="n">
        <v>1.05</v>
      </c>
      <c r="S53" s="4" t="n">
        <v>0.1616967992407096</v>
      </c>
    </row>
    <row r="54" customFormat="1" s="4">
      <c r="A54" s="4" t="inlineStr">
        <is>
          <t>market for waste mineral oil</t>
        </is>
      </c>
      <c r="B54" s="7" t="n">
        <v>-9.45835994124972e-09</v>
      </c>
      <c r="C54" s="4" t="inlineStr">
        <is>
          <t>kilogram</t>
        </is>
      </c>
      <c r="E54" s="10" t="inlineStr">
        <is>
          <t>Europe without Switzerland</t>
        </is>
      </c>
      <c r="F54" s="4" t="inlineStr">
        <is>
          <t>technosphere</t>
        </is>
      </c>
      <c r="G54" s="4" t="inlineStr">
        <is>
          <t>waste mineral oil</t>
        </is>
      </c>
      <c r="H54" s="4" t="inlineStr">
        <is>
          <t>others</t>
        </is>
      </c>
      <c r="J54" s="4" t="n">
        <v>1</v>
      </c>
      <c r="K54" s="4" t="inlineStr"/>
      <c r="L54" s="4" t="n">
        <v>1.05</v>
      </c>
      <c r="M54" s="8" t="n">
        <v>1.2</v>
      </c>
      <c r="N54" s="4" t="n">
        <v>1</v>
      </c>
      <c r="O54" s="4" t="n">
        <v>1.01</v>
      </c>
      <c r="P54" s="4" t="n">
        <v>1.2</v>
      </c>
      <c r="Q54" s="4" t="n">
        <v>1.2</v>
      </c>
      <c r="R54" s="4" t="n">
        <v>3</v>
      </c>
      <c r="S54" s="4" t="n">
        <v>0.572090880068819</v>
      </c>
      <c r="T54" s="4" t="b">
        <v>1</v>
      </c>
    </row>
    <row r="55" customFormat="1" s="4">
      <c r="A55" t="inlineStr">
        <is>
          <t>market for hydrogen, gaseous</t>
        </is>
      </c>
      <c r="B55" s="9" t="n">
        <v>0.001662994774205222</v>
      </c>
      <c r="C55" s="4" t="inlineStr">
        <is>
          <t>kilogram</t>
        </is>
      </c>
      <c r="E55" t="inlineStr">
        <is>
          <t>GLO</t>
        </is>
      </c>
      <c r="F55" s="4" t="inlineStr">
        <is>
          <t>technosphere</t>
        </is>
      </c>
      <c r="G55" t="inlineStr">
        <is>
          <t>hydrogen, gaseous</t>
        </is>
      </c>
      <c r="H55" s="4" t="inlineStr">
        <is>
          <t>hydrogen</t>
        </is>
      </c>
      <c r="I55" s="4" t="inlineStr">
        <is>
          <t>Hydrogen input. 1 [MJ H2]/120 [MJ/kg H2]/ eff.(th)</t>
        </is>
      </c>
      <c r="J55" s="4" t="n">
        <v>2</v>
      </c>
      <c r="K55" s="4" t="n">
        <v>-6.399135221166409</v>
      </c>
      <c r="L55" s="4" t="n">
        <v>1.05</v>
      </c>
      <c r="M55" s="8" t="n">
        <v>1.2</v>
      </c>
      <c r="N55" s="4" t="n">
        <v>1</v>
      </c>
      <c r="O55" s="4" t="n">
        <v>1.01</v>
      </c>
      <c r="P55" s="4" t="n">
        <v>1.2</v>
      </c>
      <c r="Q55" s="4" t="n">
        <v>1.2</v>
      </c>
      <c r="R55" s="4" t="n">
        <v>1.05</v>
      </c>
      <c r="S55" s="4" t="n">
        <v>0.1616967992407096</v>
      </c>
    </row>
    <row r="56" customFormat="1" s="4">
      <c r="A56" t="inlineStr">
        <is>
          <t>market for hydrogen, gaseous</t>
        </is>
      </c>
      <c r="B56" s="9" t="n">
        <v>8.31497387102593e-06</v>
      </c>
      <c r="C56" s="4" t="inlineStr">
        <is>
          <t>kilogram</t>
        </is>
      </c>
      <c r="E56" t="inlineStr">
        <is>
          <t>GLO</t>
        </is>
      </c>
      <c r="F56" s="4" t="inlineStr">
        <is>
          <t>technosphere</t>
        </is>
      </c>
      <c r="G56" t="inlineStr">
        <is>
          <t>hydrogen, gaseous</t>
        </is>
      </c>
      <c r="H56" s="4" t="inlineStr">
        <is>
          <t>hydrogen loss makeup</t>
        </is>
      </c>
      <c r="I56" s="4" t="inlineStr">
        <is>
          <t>((1+storage loss)*(1+use loss)-1)*hydrogen input</t>
        </is>
      </c>
      <c r="J56" s="4" t="n">
        <v>2</v>
      </c>
      <c r="K56" s="4" t="n">
        <v>-11.69745258771447</v>
      </c>
      <c r="L56" s="4" t="n">
        <v>1.05</v>
      </c>
      <c r="M56" s="8" t="n">
        <v>1.2</v>
      </c>
      <c r="N56" s="4" t="n">
        <v>1</v>
      </c>
      <c r="O56" s="4" t="n">
        <v>1.01</v>
      </c>
      <c r="P56" s="4" t="n">
        <v>1.2</v>
      </c>
      <c r="Q56" s="4" t="n">
        <v>1.2</v>
      </c>
      <c r="R56" s="4" t="n">
        <v>1.05</v>
      </c>
      <c r="S56" s="4" t="n">
        <v>0.1616967992407096</v>
      </c>
    </row>
    <row r="57" customFormat="1" s="4">
      <c r="A57" s="4" t="inlineStr">
        <is>
          <t>Water</t>
        </is>
      </c>
      <c r="B57" s="5">
        <f>0.014966952967847/1000</f>
        <v>1.4966952967847001E-5</v>
      </c>
      <c r="C57" s="4" t="inlineStr">
        <is>
          <t>cubic meter</t>
        </is>
      </c>
      <c r="D57" s="4" t="inlineStr">
        <is>
          <t>air</t>
        </is>
      </c>
      <c r="F57" s="4" t="inlineStr">
        <is>
          <t>biosphere</t>
        </is>
      </c>
      <c r="H57" s="4" t="inlineStr">
        <is>
          <t>emissions</t>
        </is>
      </c>
      <c r="I57" s="4" t="inlineStr">
        <is>
          <t>9kg of water produced per kg of H2 combusted.</t>
        </is>
      </c>
      <c r="J57" s="4" t="n">
        <v>2</v>
      </c>
      <c r="K57" s="4" t="n">
        <v>-4.20191064383019</v>
      </c>
      <c r="L57" s="4" t="n">
        <v>1.05</v>
      </c>
      <c r="M57" s="8" t="n">
        <v>1.2</v>
      </c>
      <c r="N57" s="4" t="n">
        <v>1</v>
      </c>
      <c r="O57" s="4" t="n">
        <v>1.01</v>
      </c>
      <c r="P57" s="4" t="n">
        <v>1.2</v>
      </c>
      <c r="Q57" s="4" t="n">
        <v>1.2</v>
      </c>
      <c r="R57" s="4" t="n">
        <v>1.05</v>
      </c>
      <c r="S57" s="4" t="n">
        <v>0.1616967992407096</v>
      </c>
    </row>
    <row r="58" customFormat="1" s="4">
      <c r="A58" s="4" t="inlineStr">
        <is>
          <t>Nitrogen oxides</t>
        </is>
      </c>
      <c r="B58" s="5" t="n">
        <v>6.944444444444445e-06</v>
      </c>
      <c r="C58" s="4" t="inlineStr">
        <is>
          <t>kilogram</t>
        </is>
      </c>
      <c r="D58" s="4" t="inlineStr">
        <is>
          <t>air</t>
        </is>
      </c>
      <c r="F58" s="4" t="inlineStr">
        <is>
          <t>biosphere</t>
        </is>
      </c>
      <c r="H58" s="4" t="inlineStr">
        <is>
          <t>emissions</t>
        </is>
      </c>
      <c r="I58" s="4" t="inlineStr">
        <is>
          <t>Based on Greenstar 8000 Hydrogen-Ready specifications (25mg NOx/kWh).</t>
        </is>
      </c>
      <c r="J58" s="4" t="n">
        <v>2</v>
      </c>
      <c r="K58" s="4" t="n">
        <v>-11.87756857855814</v>
      </c>
      <c r="L58" s="4" t="n">
        <v>1.05</v>
      </c>
      <c r="M58" s="8" t="n">
        <v>1.2</v>
      </c>
      <c r="N58" s="4" t="n">
        <v>1</v>
      </c>
      <c r="O58" s="4" t="n">
        <v>1.01</v>
      </c>
      <c r="P58" s="4" t="n">
        <v>1.2</v>
      </c>
      <c r="Q58" s="4" t="n">
        <v>1.2</v>
      </c>
      <c r="R58" s="4" t="n">
        <v>1.5</v>
      </c>
      <c r="S58" s="4" t="n">
        <v>0.2581689821184212</v>
      </c>
    </row>
    <row r="59" customFormat="1" s="4">
      <c r="A59" s="4" t="inlineStr">
        <is>
          <t>Hydrogen</t>
        </is>
      </c>
      <c r="B59" s="9" t="n">
        <v>8.31497387102593e-06</v>
      </c>
      <c r="C59" s="4" t="inlineStr">
        <is>
          <t>kilogram</t>
        </is>
      </c>
      <c r="D59" s="4" t="inlineStr">
        <is>
          <t>air</t>
        </is>
      </c>
      <c r="F59" s="4" t="inlineStr">
        <is>
          <t>biosphere</t>
        </is>
      </c>
      <c r="H59" s="4" t="inlineStr">
        <is>
          <t>emissions</t>
        </is>
      </c>
      <c r="I59" s="4" t="inlineStr">
        <is>
          <t>Hydrogen leakage.</t>
        </is>
      </c>
      <c r="M59" s="8" t="n"/>
    </row>
    <row r="60" customFormat="1" s="4">
      <c r="B60" s="5" t="n"/>
    </row>
    <row r="61" customFormat="1" s="4">
      <c r="A61" s="2" t="inlineStr">
        <is>
          <t>Activity</t>
        </is>
      </c>
      <c r="B61" s="3" t="inlineStr">
        <is>
          <t>heat, residential, by conversion of hydrogen using fuel cell, PEM, allocated by exergy, distributed by pipeline, produced by Electrolysis, PEM using electricity from grid</t>
        </is>
      </c>
    </row>
    <row r="62" customFormat="1" s="4">
      <c r="A62" s="4" t="inlineStr">
        <is>
          <t>comment</t>
        </is>
      </c>
      <c r="B62" s="5" t="inlineStr">
        <is>
          <t>This dataset represents the supply of 1 megajoule of heat in a residence, by hydrogen conversion in a fuel cell, PEM. The hydrogen is produced by  Electrolysis, PEM, with electricity from grid as feedstock. Heat conversion efficiency [% LHV input]: 50%. LHV [MJ/kg]: 120. Market price [Euro/MJ]: 0.0266666666666667. Synthesis efficiency [% LHV input]: 0%. Total cap. Input-related [kW]: 2.73684210526316. CO2 biogenic share [%]: 0%. Power [kW]: 1.6. Lifetime [years]: 4.8780487804878. Annual operation [hours]: 4100. Allocation factor: 0.123336767415877. On-site storage loss [%]: 0. Use loss [%]: 0.56. For more information, refer to: Sacchi, R. and Bauer, C. LCA of Power-to-X processes and applications in the residential sector. Paul Scherrer Institut, 2023.</t>
        </is>
      </c>
    </row>
    <row r="63" customFormat="1" s="4">
      <c r="A63" s="4" t="inlineStr">
        <is>
          <t>source</t>
        </is>
      </c>
      <c r="B63" s="5" t="inlineStr">
        <is>
          <t>Sacchi, R. and Bauer, C. LCA of Power-to-X processes and applications in the residential sector. Paul Scherrer Institut, 2023.</t>
        </is>
      </c>
    </row>
    <row r="64" customFormat="1" s="4">
      <c r="A64" s="4" t="inlineStr">
        <is>
          <t>location</t>
        </is>
      </c>
      <c r="B64" s="10" t="inlineStr">
        <is>
          <t>RER</t>
        </is>
      </c>
    </row>
    <row r="65" customFormat="1" s="4">
      <c r="A65" s="4" t="inlineStr">
        <is>
          <t>reference product</t>
        </is>
      </c>
      <c r="B65" s="5" t="inlineStr">
        <is>
          <t>heat, from residential heating system</t>
        </is>
      </c>
    </row>
    <row r="66" customFormat="1" s="4">
      <c r="A66" s="4" t="inlineStr">
        <is>
          <t>unit</t>
        </is>
      </c>
      <c r="B66" s="5" t="inlineStr">
        <is>
          <t>megajoule</t>
        </is>
      </c>
    </row>
    <row r="67" customFormat="1" s="4">
      <c r="A67" s="6" t="inlineStr">
        <is>
          <t>Exchanges</t>
        </is>
      </c>
      <c r="B67" s="5" t="n"/>
    </row>
    <row r="68" customFormat="1" s="4">
      <c r="A68" s="2" t="inlineStr">
        <is>
          <t>name</t>
        </is>
      </c>
      <c r="B68" s="3" t="inlineStr">
        <is>
          <t>amount</t>
        </is>
      </c>
      <c r="C68" s="2" t="inlineStr">
        <is>
          <t>unit</t>
        </is>
      </c>
      <c r="D68" s="2" t="inlineStr">
        <is>
          <t>categories</t>
        </is>
      </c>
      <c r="E68" s="2" t="inlineStr">
        <is>
          <t>location</t>
        </is>
      </c>
      <c r="F68" s="2" t="inlineStr">
        <is>
          <t>type</t>
        </is>
      </c>
      <c r="G68" s="2" t="inlineStr">
        <is>
          <t>reference product</t>
        </is>
      </c>
      <c r="H68" s="2" t="inlineStr">
        <is>
          <t>tag</t>
        </is>
      </c>
      <c r="I68" s="2" t="inlineStr">
        <is>
          <t>comment</t>
        </is>
      </c>
      <c r="J68" s="2" t="inlineStr">
        <is>
          <t>uncertainty type</t>
        </is>
      </c>
      <c r="K68" s="2" t="inlineStr">
        <is>
          <t>loc</t>
        </is>
      </c>
      <c r="L68" s="2" t="inlineStr">
        <is>
          <t>u1</t>
        </is>
      </c>
      <c r="M68" s="2" t="inlineStr">
        <is>
          <t>u2</t>
        </is>
      </c>
      <c r="N68" s="2" t="inlineStr">
        <is>
          <t>u3</t>
        </is>
      </c>
      <c r="O68" s="2" t="inlineStr">
        <is>
          <t>u4</t>
        </is>
      </c>
      <c r="P68" s="2" t="inlineStr">
        <is>
          <t>u5</t>
        </is>
      </c>
      <c r="Q68" s="2" t="inlineStr">
        <is>
          <t>u6</t>
        </is>
      </c>
      <c r="R68" s="2" t="inlineStr">
        <is>
          <t>ub</t>
        </is>
      </c>
      <c r="S68" s="2" t="inlineStr">
        <is>
          <t>scale</t>
        </is>
      </c>
      <c r="T68" s="2" t="inlineStr">
        <is>
          <t>negative</t>
        </is>
      </c>
      <c r="U68" s="2" t="n"/>
    </row>
    <row r="69" customFormat="1" s="4">
      <c r="A69" s="4" t="inlineStr">
        <is>
          <t>heat, residential, by conversion of hydrogen using fuel cell, PEM, allocated by exergy, distributed by pipeline, produced by Electrolysis, PEM using electricity from grid</t>
        </is>
      </c>
      <c r="B69" s="5" t="n">
        <v>1</v>
      </c>
      <c r="C69" s="4" t="inlineStr">
        <is>
          <t>megajoule</t>
        </is>
      </c>
      <c r="E69" s="10" t="inlineStr">
        <is>
          <t>RER</t>
        </is>
      </c>
      <c r="F69" s="4" t="inlineStr">
        <is>
          <t>production</t>
        </is>
      </c>
      <c r="G69" s="4" t="inlineStr">
        <is>
          <t>heat, from residential heating system</t>
        </is>
      </c>
    </row>
    <row r="70" customFormat="1" s="4">
      <c r="A70" s="4" t="inlineStr">
        <is>
          <t>fuel cell system assembly, 1 kWe, proton exchange membrane (PEM)</t>
        </is>
      </c>
      <c r="B70" s="7" t="n">
        <v>6.259077406254446e-07</v>
      </c>
      <c r="C70" s="4" t="inlineStr">
        <is>
          <t>unit</t>
        </is>
      </c>
      <c r="E70" s="4" t="inlineStr">
        <is>
          <t>GLO</t>
        </is>
      </c>
      <c r="F70" s="4" t="inlineStr">
        <is>
          <t>technosphere</t>
        </is>
      </c>
      <c r="G70" s="4" t="inlineStr">
        <is>
          <t>fuel cell system, 1 kWe, proton exchange membrane (PEM)</t>
        </is>
      </c>
      <c r="H70" s="4" t="inlineStr">
        <is>
          <t>infrastructure</t>
        </is>
      </c>
      <c r="I70" s="4" t="inlineStr">
        <is>
          <t>Operational time of 20,000 hours at power of 1 kWe. Due to the degradation effects the hydrogen consumption must be increased to always generate the power of 1 kWe. Because of dynamic operational regime 5 replacements of the PEMFC stack are included (lifetime of 3'800 hours per stack), while the BoP lasts the whole operational time.</t>
        </is>
      </c>
      <c r="J70" s="4" t="n">
        <v>2</v>
      </c>
      <c r="K70" s="4" t="n">
        <v>-14.28406285590027</v>
      </c>
      <c r="L70" s="4" t="n">
        <v>1</v>
      </c>
      <c r="M70" s="8" t="n">
        <v>1.2</v>
      </c>
      <c r="N70" s="4" t="n">
        <v>1</v>
      </c>
      <c r="O70" s="4" t="n">
        <v>1.01</v>
      </c>
      <c r="P70" s="4" t="n">
        <v>1.2</v>
      </c>
      <c r="Q70" s="4" t="n">
        <v>1.2</v>
      </c>
      <c r="R70" s="4" t="n">
        <v>3</v>
      </c>
      <c r="S70" s="4" t="n">
        <v>0.5715705162339952</v>
      </c>
    </row>
    <row r="71" customFormat="1" s="4">
      <c r="A71" t="inlineStr">
        <is>
          <t>market for hydrogen, gaseous</t>
        </is>
      </c>
      <c r="B71" s="9" t="n">
        <v>0.002055612790264618</v>
      </c>
      <c r="C71" s="4" t="inlineStr">
        <is>
          <t>kilogram</t>
        </is>
      </c>
      <c r="E71" t="inlineStr">
        <is>
          <t>GLO</t>
        </is>
      </c>
      <c r="F71" s="4" t="inlineStr">
        <is>
          <t>technosphere</t>
        </is>
      </c>
      <c r="G71" t="inlineStr">
        <is>
          <t>hydrogen, gaseous</t>
        </is>
      </c>
      <c r="H71" s="4" t="inlineStr">
        <is>
          <t>hydrogen</t>
        </is>
      </c>
      <c r="I71" s="4" t="inlineStr">
        <is>
          <t>Hydrogen input. 1 [MJ H2]/120 [MJ/kg H2]/ eff.(th)</t>
        </is>
      </c>
      <c r="J71" s="4" t="n">
        <v>2</v>
      </c>
      <c r="K71" s="4" t="n">
        <v>-6.187181280709195</v>
      </c>
      <c r="L71" s="4" t="n">
        <v>1.05</v>
      </c>
      <c r="M71" s="8" t="n">
        <v>1.2</v>
      </c>
      <c r="N71" s="4" t="n">
        <v>1</v>
      </c>
      <c r="O71" s="4" t="n">
        <v>1.01</v>
      </c>
      <c r="P71" s="4" t="n">
        <v>1.2</v>
      </c>
      <c r="Q71" s="4" t="n">
        <v>1.2</v>
      </c>
      <c r="R71" s="4" t="n">
        <v>1.05</v>
      </c>
      <c r="S71" s="4" t="n">
        <v>0.1616967992407096</v>
      </c>
    </row>
    <row r="72" customFormat="1" s="4">
      <c r="A72" t="inlineStr">
        <is>
          <t>market for hydrogen, gaseous</t>
        </is>
      </c>
      <c r="B72" s="9" t="n">
        <v>1.151143162548196e-05</v>
      </c>
      <c r="C72" s="4" t="inlineStr">
        <is>
          <t>kilogram</t>
        </is>
      </c>
      <c r="E72" t="inlineStr">
        <is>
          <t>GLO</t>
        </is>
      </c>
      <c r="F72" s="4" t="inlineStr">
        <is>
          <t>technosphere</t>
        </is>
      </c>
      <c r="G72" t="inlineStr">
        <is>
          <t>hydrogen, gaseous</t>
        </is>
      </c>
      <c r="H72" s="4" t="inlineStr">
        <is>
          <t>hydrogen loss makeup</t>
        </is>
      </c>
      <c r="I72" s="4" t="inlineStr">
        <is>
          <t>((1+storage loss)*(1+use loss)-1)*hydrogen input</t>
        </is>
      </c>
      <c r="J72" s="4" t="n">
        <v>2</v>
      </c>
      <c r="K72" s="4" t="n">
        <v>-11.37216996195022</v>
      </c>
      <c r="L72" s="4" t="n">
        <v>1.05</v>
      </c>
      <c r="M72" s="8" t="n">
        <v>1.2</v>
      </c>
      <c r="N72" s="4" t="n">
        <v>1</v>
      </c>
      <c r="O72" s="4" t="n">
        <v>1.01</v>
      </c>
      <c r="P72" s="4" t="n">
        <v>1.2</v>
      </c>
      <c r="Q72" s="4" t="n">
        <v>1.2</v>
      </c>
      <c r="R72" s="4" t="n">
        <v>1.05</v>
      </c>
      <c r="S72" s="4" t="n">
        <v>0.1616967992407096</v>
      </c>
    </row>
    <row r="73" customFormat="1" s="4">
      <c r="A73" s="4" t="inlineStr">
        <is>
          <t>Water</t>
        </is>
      </c>
      <c r="B73" s="5">
        <f>0.0185005151123816/1000</f>
        <v>1.8500515112381598E-5</v>
      </c>
      <c r="C73" s="4" t="inlineStr">
        <is>
          <t>cubic meter</t>
        </is>
      </c>
      <c r="D73" s="4" t="inlineStr">
        <is>
          <t>air</t>
        </is>
      </c>
      <c r="F73" s="4" t="inlineStr">
        <is>
          <t>biosphere</t>
        </is>
      </c>
      <c r="H73" s="4" t="inlineStr">
        <is>
          <t>emissions</t>
        </is>
      </c>
      <c r="I73" s="4" t="inlineStr">
        <is>
          <t>9kg of water produced per kg of H2 combusted.</t>
        </is>
      </c>
      <c r="J73" s="4" t="n">
        <v>2</v>
      </c>
      <c r="K73" s="4" t="n">
        <v>-3.989956703372975</v>
      </c>
      <c r="L73" s="4" t="n">
        <v>1.05</v>
      </c>
      <c r="M73" s="8" t="n">
        <v>1.2</v>
      </c>
      <c r="N73" s="4" t="n">
        <v>1</v>
      </c>
      <c r="O73" s="4" t="n">
        <v>1.01</v>
      </c>
      <c r="P73" s="4" t="n">
        <v>1.2</v>
      </c>
      <c r="Q73" s="4" t="n">
        <v>1.2</v>
      </c>
      <c r="R73" s="4" t="n">
        <v>1.05</v>
      </c>
      <c r="S73" s="4" t="n">
        <v>0.1616967992407096</v>
      </c>
    </row>
    <row r="74" customFormat="1" s="4">
      <c r="A74" s="4" t="inlineStr">
        <is>
          <t>Hydrogen</t>
        </is>
      </c>
      <c r="B74" s="9" t="n">
        <v>1.151143162548196e-05</v>
      </c>
      <c r="C74" s="4" t="inlineStr">
        <is>
          <t>kilogram</t>
        </is>
      </c>
      <c r="D74" s="4" t="inlineStr">
        <is>
          <t>air</t>
        </is>
      </c>
      <c r="F74" s="4" t="inlineStr">
        <is>
          <t>biosphere</t>
        </is>
      </c>
      <c r="H74" s="4" t="inlineStr">
        <is>
          <t>emissions</t>
        </is>
      </c>
      <c r="I74" s="4" t="inlineStr">
        <is>
          <t>Hydrogen leakage.</t>
        </is>
      </c>
      <c r="M74" s="8" t="n"/>
    </row>
    <row r="75" customFormat="1" s="4">
      <c r="B75" s="5" t="n"/>
    </row>
    <row r="76" customFormat="1" s="4">
      <c r="A76" s="2" t="inlineStr">
        <is>
          <t>Activity</t>
        </is>
      </c>
      <c r="B76" s="3" t="inlineStr">
        <is>
          <t>heat, residential, by conversion of hydrogen using fuel cell, SOFC, allocated by exergy, distributed by pipeline, produced by Electrolysis, PEM using electricity from grid</t>
        </is>
      </c>
    </row>
    <row r="77" customFormat="1" s="4">
      <c r="A77" s="4" t="inlineStr">
        <is>
          <t>comment</t>
        </is>
      </c>
      <c r="B77" s="5" t="inlineStr">
        <is>
          <t>This dataset represents the supply of 1 megajoule of heat in a residence, by hydrogen conversion in a fuel cell, SOFC. The hydrogen is produced by  Electrolysis, PEM, with electricity from grid as feedstock. Heat conversion efficiency [% LHV input]: 33%. LHV [MJ/kg]: 120. Market price [Euro/MJ]: 0.0266666666666667. Synthesis efficiency [% LHV input]: 0%. Total cap. Input-related [kW]: 268.75. CO2 biogenic share [%]: 0%. Power [kW]: 90. Lifetime [years]: 19.5121951219512. Annual operation [hours]: 4100. Allocation factor: 0.0816448898448893. On-site storage loss [%]: 0. Use loss [%]: 0.56. For more information, refer to: Sacchi, R. and Bauer, C. LCA of Power-to-X processes and applications in the residential sector. Paul Scherrer Institut, 2023.</t>
        </is>
      </c>
    </row>
    <row r="78" customFormat="1" s="4">
      <c r="A78" s="4" t="inlineStr">
        <is>
          <t>source</t>
        </is>
      </c>
      <c r="B78" s="5" t="inlineStr">
        <is>
          <t>Sacchi, R. and Bauer, C. LCA of Power-to-X processes and applications in the residential sector. Paul Scherrer Institut, 2023.</t>
        </is>
      </c>
    </row>
    <row r="79" customFormat="1" s="4">
      <c r="A79" s="4" t="inlineStr">
        <is>
          <t>location</t>
        </is>
      </c>
      <c r="B79" s="10" t="inlineStr">
        <is>
          <t>RER</t>
        </is>
      </c>
    </row>
    <row r="80" customFormat="1" s="4">
      <c r="A80" s="4" t="inlineStr">
        <is>
          <t>reference product</t>
        </is>
      </c>
      <c r="B80" s="5" t="inlineStr">
        <is>
          <t>heat, from residential heating system</t>
        </is>
      </c>
    </row>
    <row r="81" customFormat="1" s="4">
      <c r="A81" s="4" t="inlineStr">
        <is>
          <t>unit</t>
        </is>
      </c>
      <c r="B81" s="5" t="inlineStr">
        <is>
          <t>megajoule</t>
        </is>
      </c>
    </row>
    <row r="82" customFormat="1" s="4">
      <c r="A82" s="6" t="inlineStr">
        <is>
          <t>Exchanges</t>
        </is>
      </c>
      <c r="B82" s="5" t="n"/>
    </row>
    <row r="83" customFormat="1" s="4">
      <c r="A83" s="2" t="inlineStr">
        <is>
          <t>name</t>
        </is>
      </c>
      <c r="B83" s="3" t="inlineStr">
        <is>
          <t>amount</t>
        </is>
      </c>
      <c r="C83" s="2" t="inlineStr">
        <is>
          <t>unit</t>
        </is>
      </c>
      <c r="D83" s="2" t="inlineStr">
        <is>
          <t>categories</t>
        </is>
      </c>
      <c r="E83" s="2" t="inlineStr">
        <is>
          <t>location</t>
        </is>
      </c>
      <c r="F83" s="2" t="inlineStr">
        <is>
          <t>type</t>
        </is>
      </c>
      <c r="G83" s="2" t="inlineStr">
        <is>
          <t>reference product</t>
        </is>
      </c>
      <c r="H83" s="2" t="inlineStr">
        <is>
          <t>tag</t>
        </is>
      </c>
      <c r="I83" s="2" t="inlineStr">
        <is>
          <t>comment</t>
        </is>
      </c>
      <c r="J83" s="2" t="inlineStr">
        <is>
          <t>uncertainty type</t>
        </is>
      </c>
      <c r="K83" s="2" t="inlineStr">
        <is>
          <t>loc</t>
        </is>
      </c>
      <c r="L83" s="2" t="inlineStr">
        <is>
          <t>u1</t>
        </is>
      </c>
      <c r="M83" s="2" t="inlineStr">
        <is>
          <t>u2</t>
        </is>
      </c>
      <c r="N83" s="2" t="inlineStr">
        <is>
          <t>u3</t>
        </is>
      </c>
      <c r="O83" s="2" t="inlineStr">
        <is>
          <t>u4</t>
        </is>
      </c>
      <c r="P83" s="2" t="inlineStr">
        <is>
          <t>u5</t>
        </is>
      </c>
      <c r="Q83" s="2" t="inlineStr">
        <is>
          <t>u6</t>
        </is>
      </c>
      <c r="R83" s="2" t="inlineStr">
        <is>
          <t>ub</t>
        </is>
      </c>
      <c r="S83" s="2" t="inlineStr">
        <is>
          <t>scale</t>
        </is>
      </c>
      <c r="T83" s="2" t="inlineStr">
        <is>
          <t>negative</t>
        </is>
      </c>
      <c r="U83" s="2" t="n"/>
    </row>
    <row r="84" customFormat="1" s="4">
      <c r="A84" s="4" t="inlineStr">
        <is>
          <t>heat, residential, by conversion of hydrogen using fuel cell, SOFC, allocated by exergy, distributed by pipeline, produced by Electrolysis, PEM using electricity from grid</t>
        </is>
      </c>
      <c r="B84" s="5" t="n">
        <v>1</v>
      </c>
      <c r="C84" s="4" t="inlineStr">
        <is>
          <t>megajoule</t>
        </is>
      </c>
      <c r="E84" s="10" t="inlineStr">
        <is>
          <t>RER</t>
        </is>
      </c>
      <c r="F84" s="4" t="inlineStr">
        <is>
          <t>production</t>
        </is>
      </c>
      <c r="G84" s="4" t="inlineStr">
        <is>
          <t>heat, from residential heating system</t>
        </is>
      </c>
    </row>
    <row r="85" customFormat="1" s="4">
      <c r="A85" s="4" t="inlineStr">
        <is>
          <t>fuel cell production, stack solid oxide, 125kW electrical, future</t>
        </is>
      </c>
      <c r="B85" s="7" t="n">
        <v>1.054843538047665e-09</v>
      </c>
      <c r="C85" s="4" t="inlineStr">
        <is>
          <t>unit</t>
        </is>
      </c>
      <c r="E85" s="10" t="inlineStr">
        <is>
          <t>CH</t>
        </is>
      </c>
      <c r="F85" s="4" t="inlineStr">
        <is>
          <t>technosphere</t>
        </is>
      </c>
      <c r="G85" s="4" t="inlineStr">
        <is>
          <t>fuel cell, stack solid oxide, 125kW electrical, future</t>
        </is>
      </c>
      <c r="H85" s="4" t="inlineStr">
        <is>
          <t>infrastructure</t>
        </is>
      </c>
      <c r="I85" s="4" t="inlineStr">
        <is>
          <t>Assumes 80000 hours of lifetime. Life Cycle Inventories of new CHP systems. Data v2.0 (2007). Alex Primas, Basler &amp; Hofmann, Zurich. 1/(Total cap. (input-related) [kW] * lifetime [y] * annual operation [h] * 1 or 3.6 [MJ/kWh])*allocation factor</t>
        </is>
      </c>
      <c r="J85" s="4" t="n">
        <v>2</v>
      </c>
      <c r="K85" s="4" t="n">
        <v>-20.66987338618477</v>
      </c>
      <c r="L85" s="4" t="n">
        <v>1</v>
      </c>
      <c r="M85" s="8" t="n">
        <v>1.2</v>
      </c>
      <c r="N85" s="4" t="n">
        <v>1</v>
      </c>
      <c r="O85" s="4" t="n">
        <v>1.01</v>
      </c>
      <c r="P85" s="4" t="n">
        <v>1.2</v>
      </c>
      <c r="Q85" s="4" t="n">
        <v>1.2</v>
      </c>
      <c r="R85" s="4" t="n">
        <v>3</v>
      </c>
      <c r="S85" s="4" t="n">
        <v>0.5715705162339952</v>
      </c>
    </row>
    <row r="86" customFormat="1" s="4">
      <c r="A86" s="4" t="inlineStr">
        <is>
          <t>maintenance, solid oxide fuel cell 125kW electrical, future</t>
        </is>
      </c>
      <c r="B86" s="7" t="n">
        <v>1.054843538047665e-09</v>
      </c>
      <c r="C86" s="4" t="inlineStr">
        <is>
          <t>unit</t>
        </is>
      </c>
      <c r="E86" s="10" t="inlineStr">
        <is>
          <t>CH</t>
        </is>
      </c>
      <c r="F86" s="4" t="inlineStr">
        <is>
          <t>technosphere</t>
        </is>
      </c>
      <c r="G86" s="4" t="inlineStr">
        <is>
          <t>maintenance, solid oxide fuel cell, 125kW electrical, future</t>
        </is>
      </c>
      <c r="H86" s="4" t="inlineStr">
        <is>
          <t>infrastructure</t>
        </is>
      </c>
      <c r="I86" s="4" t="inlineStr">
        <is>
          <t>Assumes 80000 hours of lifetime. Life Cycle Inventories of new CHP systems. Data v2.0 (2007). Alex Primas, Basler &amp; Hofmann, Zurich. 1/(Total cap. (input-related) [kW] * lifetime [y] * annual operation [h] * 1 or 3.6 [MJ/kWh])*allocation factor</t>
        </is>
      </c>
      <c r="J86" s="4" t="n">
        <v>2</v>
      </c>
      <c r="K86" s="4" t="n">
        <v>-20.66987338618477</v>
      </c>
      <c r="L86" s="4" t="n">
        <v>1</v>
      </c>
      <c r="M86" s="8" t="n">
        <v>1.2</v>
      </c>
      <c r="N86" s="4" t="n">
        <v>1</v>
      </c>
      <c r="O86" s="4" t="n">
        <v>1.01</v>
      </c>
      <c r="P86" s="4" t="n">
        <v>1.2</v>
      </c>
      <c r="Q86" s="4" t="n">
        <v>1.2</v>
      </c>
      <c r="R86" s="4" t="n">
        <v>3</v>
      </c>
      <c r="S86" s="4" t="n">
        <v>0.5715705162339952</v>
      </c>
    </row>
    <row r="87" customFormat="1" s="4">
      <c r="A87" s="4" t="inlineStr">
        <is>
          <t>market for tap water</t>
        </is>
      </c>
      <c r="B87" s="7" t="n">
        <v>1.959477356277343e-06</v>
      </c>
      <c r="C87" s="4" t="inlineStr">
        <is>
          <t>kilogram</t>
        </is>
      </c>
      <c r="E87" s="10" t="inlineStr">
        <is>
          <t>Europe without Switzerland</t>
        </is>
      </c>
      <c r="F87" s="4" t="inlineStr">
        <is>
          <t>technosphere</t>
        </is>
      </c>
      <c r="G87" s="4" t="inlineStr">
        <is>
          <t>tap water</t>
        </is>
      </c>
      <c r="H87" s="4" t="inlineStr">
        <is>
          <t>infrastructure</t>
        </is>
      </c>
      <c r="J87" s="4" t="n">
        <v>2</v>
      </c>
      <c r="K87" s="4" t="n">
        <v>-13.14283277524114</v>
      </c>
      <c r="L87" s="4" t="n">
        <v>1</v>
      </c>
      <c r="M87" s="8" t="n">
        <v>1.2</v>
      </c>
      <c r="N87" s="4" t="n">
        <v>1</v>
      </c>
      <c r="O87" s="4" t="n">
        <v>1.01</v>
      </c>
      <c r="P87" s="4" t="n">
        <v>1.2</v>
      </c>
      <c r="Q87" s="4" t="n">
        <v>1.2</v>
      </c>
      <c r="R87" s="4" t="n">
        <v>1.05</v>
      </c>
      <c r="S87" s="4" t="n">
        <v>0.1598459722819762</v>
      </c>
    </row>
    <row r="88" customFormat="1" s="4">
      <c r="A88" t="inlineStr">
        <is>
          <t>market for hydrogen, gaseous</t>
        </is>
      </c>
      <c r="B88" s="9" t="n">
        <v>0.002061739642547709</v>
      </c>
      <c r="C88" s="4" t="inlineStr">
        <is>
          <t>kilogram</t>
        </is>
      </c>
      <c r="E88" t="inlineStr">
        <is>
          <t>GLO</t>
        </is>
      </c>
      <c r="F88" s="4" t="inlineStr">
        <is>
          <t>technosphere</t>
        </is>
      </c>
      <c r="G88" t="inlineStr">
        <is>
          <t>hydrogen, gaseous</t>
        </is>
      </c>
      <c r="H88" s="4" t="inlineStr">
        <is>
          <t>hydrogen</t>
        </is>
      </c>
      <c r="I88" s="4" t="inlineStr">
        <is>
          <t>Hydrogen input. 1 [MJ H2]/120 [MJ/kg H2]/ eff.(th)</t>
        </is>
      </c>
      <c r="J88" s="4" t="n">
        <v>2</v>
      </c>
      <c r="K88" s="4" t="n">
        <v>-6.18420516588525</v>
      </c>
      <c r="L88" s="4" t="n">
        <v>1.05</v>
      </c>
      <c r="M88" s="8" t="n">
        <v>1.2</v>
      </c>
      <c r="N88" s="4" t="n">
        <v>1</v>
      </c>
      <c r="O88" s="4" t="n">
        <v>1.01</v>
      </c>
      <c r="P88" s="4" t="n">
        <v>1.2</v>
      </c>
      <c r="Q88" s="4" t="n">
        <v>1.2</v>
      </c>
      <c r="R88" s="4" t="n">
        <v>1.05</v>
      </c>
      <c r="S88" s="4" t="n">
        <v>0.1616967992407096</v>
      </c>
    </row>
    <row r="89" customFormat="1" s="4">
      <c r="A89" t="inlineStr">
        <is>
          <t>market for hydrogen, gaseous</t>
        </is>
      </c>
      <c r="B89" s="9" t="n">
        <v>1.154574199826727e-05</v>
      </c>
      <c r="C89" s="4" t="inlineStr">
        <is>
          <t>kilogram</t>
        </is>
      </c>
      <c r="E89" t="inlineStr">
        <is>
          <t>GLO</t>
        </is>
      </c>
      <c r="F89" s="4" t="inlineStr">
        <is>
          <t>technosphere</t>
        </is>
      </c>
      <c r="G89" t="inlineStr">
        <is>
          <t>hydrogen, gaseous</t>
        </is>
      </c>
      <c r="H89" s="4" t="inlineStr">
        <is>
          <t>hydrogen loss makeup</t>
        </is>
      </c>
      <c r="I89" s="4" t="inlineStr">
        <is>
          <t>((1+storage loss)*(1+use loss)-1)*hydrogen input</t>
        </is>
      </c>
      <c r="J89" s="4" t="n">
        <v>2</v>
      </c>
      <c r="K89" s="4" t="n">
        <v>-11.36919384712627</v>
      </c>
      <c r="L89" s="4" t="n">
        <v>1.05</v>
      </c>
      <c r="M89" s="8" t="n">
        <v>1.2</v>
      </c>
      <c r="N89" s="4" t="n">
        <v>1</v>
      </c>
      <c r="O89" s="4" t="n">
        <v>1.01</v>
      </c>
      <c r="P89" s="4" t="n">
        <v>1.2</v>
      </c>
      <c r="Q89" s="4" t="n">
        <v>1.2</v>
      </c>
      <c r="R89" s="4" t="n">
        <v>1.05</v>
      </c>
      <c r="S89" s="4" t="n">
        <v>0.1616967992407096</v>
      </c>
    </row>
    <row r="90" customFormat="1" s="4">
      <c r="A90" s="4" t="inlineStr">
        <is>
          <t>Water</t>
        </is>
      </c>
      <c r="B90" s="5">
        <f>0.0185556567829294/1000</f>
        <v>1.8555656782929398E-5</v>
      </c>
      <c r="C90" s="4" t="inlineStr">
        <is>
          <t>cubic meter</t>
        </is>
      </c>
      <c r="D90" s="4" t="inlineStr">
        <is>
          <t>air</t>
        </is>
      </c>
      <c r="F90" s="4" t="inlineStr">
        <is>
          <t>biosphere</t>
        </is>
      </c>
      <c r="H90" s="4" t="inlineStr">
        <is>
          <t>emissions</t>
        </is>
      </c>
      <c r="I90" s="4" t="inlineStr">
        <is>
          <t>9kg of water produced per kg of H2 combusted.</t>
        </is>
      </c>
      <c r="J90" s="4" t="n">
        <v>2</v>
      </c>
      <c r="K90" s="4" t="n">
        <v>-3.98698058854903</v>
      </c>
      <c r="L90" s="4" t="n">
        <v>1.05</v>
      </c>
      <c r="M90" s="8" t="n">
        <v>1.2</v>
      </c>
      <c r="N90" s="4" t="n">
        <v>1</v>
      </c>
      <c r="O90" s="4" t="n">
        <v>1.01</v>
      </c>
      <c r="P90" s="4" t="n">
        <v>1.2</v>
      </c>
      <c r="Q90" s="4" t="n">
        <v>1.2</v>
      </c>
      <c r="R90" s="4" t="n">
        <v>1.05</v>
      </c>
      <c r="S90" s="4" t="n">
        <v>0.1616967992407096</v>
      </c>
    </row>
    <row r="91" customFormat="1" s="4">
      <c r="A91" s="4" t="inlineStr">
        <is>
          <t>Hydrogen</t>
        </is>
      </c>
      <c r="B91" s="9" t="n">
        <v>1.154574199826727e-05</v>
      </c>
      <c r="C91" s="4" t="inlineStr">
        <is>
          <t>kilogram</t>
        </is>
      </c>
      <c r="D91" s="4" t="inlineStr">
        <is>
          <t>air</t>
        </is>
      </c>
      <c r="F91" s="4" t="inlineStr">
        <is>
          <t>biosphere</t>
        </is>
      </c>
      <c r="H91" s="4" t="inlineStr">
        <is>
          <t>emissions</t>
        </is>
      </c>
      <c r="I91" s="4" t="inlineStr">
        <is>
          <t>Hydrogen leakage.</t>
        </is>
      </c>
      <c r="M91" s="8" t="n"/>
    </row>
    <row r="92" customFormat="1" s="4">
      <c r="B92" s="5" t="n"/>
    </row>
    <row r="93" customFormat="1" s="4">
      <c r="A93" s="2" t="inlineStr">
        <is>
          <t>Activity</t>
        </is>
      </c>
      <c r="B93" s="3" t="inlineStr">
        <is>
          <t>electricity, residential, by combustion of hydrogen using CHP, allocated by exergy, distributed by pipeline, produced by Electrolysis, PEM using electricity from grid</t>
        </is>
      </c>
    </row>
    <row r="94" customFormat="1" s="4">
      <c r="A94" s="4" t="inlineStr">
        <is>
          <t>comment</t>
        </is>
      </c>
      <c r="B94" s="5" t="inlineStr">
        <is>
          <t>This dataset represents the supply of 1 kilowatt hour of electricity in a residence, by hydrogen combustion in a CHP. The hydrogen is produced by  Electrolysis, PEM, with electricity from grid as feedstock. Electricity conversion efficiency [% LHV input]: 39.4%. LHV [kWh/kg]: 33.3333333333333. Market price [Euro/MJ]: 0.0266666666666667. Synthesis efficiency [% LHV input]: 0%. Total cap. Input-related [kW]: 443.896424167694. CO2 biogenic share [%]: 0%. Power [kW]: 200. Lifetime [years]: 19.5121951219512. Annual operation [hours]: 4100. Allocation factor: 0.916783741498771. On-site storage loss [%]: 0. Use loss [%]: 0.5. For more information, refer to: Sacchi, R. and Bauer, C. LCA of Power-to-X processes and applications in the residential sector. Paul Scherrer Institut, 2023.</t>
        </is>
      </c>
    </row>
    <row r="95" customFormat="1" s="4">
      <c r="A95" s="4" t="inlineStr">
        <is>
          <t>source</t>
        </is>
      </c>
      <c r="B95" s="5" t="inlineStr">
        <is>
          <t>Sacchi, R. and Bauer, C. LCA of Power-to-X processes and applications in the residential sector. Paul Scherrer Institut, 2023.</t>
        </is>
      </c>
    </row>
    <row r="96" customFormat="1" s="4">
      <c r="A96" s="4" t="inlineStr">
        <is>
          <t>location</t>
        </is>
      </c>
      <c r="B96" s="5" t="inlineStr">
        <is>
          <t>CH</t>
        </is>
      </c>
    </row>
    <row r="97" customFormat="1" s="4">
      <c r="A97" s="4" t="inlineStr">
        <is>
          <t>reference product</t>
        </is>
      </c>
      <c r="B97" s="5" t="inlineStr">
        <is>
          <t>electricity, from residential heating system</t>
        </is>
      </c>
    </row>
    <row r="98" customFormat="1" s="4">
      <c r="A98" s="4" t="inlineStr">
        <is>
          <t>unit</t>
        </is>
      </c>
      <c r="B98" s="5" t="inlineStr">
        <is>
          <t>kilowatt hour</t>
        </is>
      </c>
    </row>
    <row r="99" customFormat="1" s="4">
      <c r="B99" s="5" t="n"/>
    </row>
    <row r="100" customFormat="1" s="4">
      <c r="A100" s="6" t="inlineStr">
        <is>
          <t>Exchanges</t>
        </is>
      </c>
      <c r="B100" s="5" t="n"/>
    </row>
    <row r="101" customFormat="1" s="4">
      <c r="A101" s="2" t="inlineStr">
        <is>
          <t>name</t>
        </is>
      </c>
      <c r="B101" s="3" t="inlineStr">
        <is>
          <t>amount</t>
        </is>
      </c>
      <c r="C101" s="2" t="inlineStr">
        <is>
          <t>unit</t>
        </is>
      </c>
      <c r="D101" s="2" t="inlineStr">
        <is>
          <t>categories</t>
        </is>
      </c>
      <c r="E101" s="2" t="inlineStr">
        <is>
          <t>location</t>
        </is>
      </c>
      <c r="F101" s="2" t="inlineStr">
        <is>
          <t>type</t>
        </is>
      </c>
      <c r="G101" s="2" t="inlineStr">
        <is>
          <t>reference product</t>
        </is>
      </c>
      <c r="H101" s="2" t="inlineStr">
        <is>
          <t>tag</t>
        </is>
      </c>
      <c r="I101" s="2" t="inlineStr">
        <is>
          <t>comment</t>
        </is>
      </c>
      <c r="J101" s="2" t="inlineStr">
        <is>
          <t>input type</t>
        </is>
      </c>
      <c r="K101" s="2" t="inlineStr">
        <is>
          <t>dataset name</t>
        </is>
      </c>
      <c r="L101" s="2" t="inlineStr">
        <is>
          <t>uncertainty type</t>
        </is>
      </c>
      <c r="M101" s="2" t="inlineStr">
        <is>
          <t>loc</t>
        </is>
      </c>
      <c r="N101" s="2" t="inlineStr">
        <is>
          <t>u1</t>
        </is>
      </c>
      <c r="O101" s="2" t="inlineStr">
        <is>
          <t>u2</t>
        </is>
      </c>
      <c r="P101" s="2" t="inlineStr">
        <is>
          <t>u3</t>
        </is>
      </c>
      <c r="Q101" s="2" t="inlineStr">
        <is>
          <t>u4</t>
        </is>
      </c>
      <c r="R101" s="2" t="inlineStr">
        <is>
          <t>u5</t>
        </is>
      </c>
      <c r="S101" s="2" t="inlineStr">
        <is>
          <t>u6</t>
        </is>
      </c>
      <c r="T101" s="2" t="inlineStr">
        <is>
          <t>ub</t>
        </is>
      </c>
      <c r="U101" s="2" t="inlineStr">
        <is>
          <t>scale</t>
        </is>
      </c>
      <c r="V101" s="2" t="inlineStr">
        <is>
          <t>negative</t>
        </is>
      </c>
      <c r="W101" s="2" t="inlineStr">
        <is>
          <t>simapro category</t>
        </is>
      </c>
    </row>
    <row r="102" customFormat="1" s="4">
      <c r="A102" s="4" t="inlineStr">
        <is>
          <t>electricity, residential, by combustion of hydrogen using CHP, allocated by exergy, distributed by pipeline, produced by Electrolysis, PEM using electricity from grid</t>
        </is>
      </c>
      <c r="B102" s="5" t="n">
        <v>1</v>
      </c>
      <c r="C102" s="4" t="inlineStr">
        <is>
          <t>kilowatt hour</t>
        </is>
      </c>
      <c r="E102" s="4" t="inlineStr">
        <is>
          <t>CH</t>
        </is>
      </c>
      <c r="F102" s="4" t="inlineStr">
        <is>
          <t>production</t>
        </is>
      </c>
      <c r="G102" s="4" t="inlineStr">
        <is>
          <t>electricity, from residential heating system</t>
        </is>
      </c>
      <c r="K102" s="4" t="inlineStr">
        <is>
          <t>electricity, residential, by combustion of hydrogen using CHP, allocated by exergy, distributed by pipeline, produced by Electrolysis, PEM using electricity from grid</t>
        </is>
      </c>
      <c r="W102" s="4" t="inlineStr">
        <is>
          <t>Energy/Heat/Synthetic/Transformation</t>
        </is>
      </c>
    </row>
    <row r="103" customFormat="1" s="4">
      <c r="A103" s="4" t="inlineStr">
        <is>
          <t>heat and power co-generation unit construction, 160kW electrical, common components for heat+electricity</t>
        </is>
      </c>
      <c r="B103" s="7" t="n">
        <v>2.581637549845497e-08</v>
      </c>
      <c r="C103" s="4" t="inlineStr">
        <is>
          <t>unit</t>
        </is>
      </c>
      <c r="E103" s="4" t="inlineStr">
        <is>
          <t>RER</t>
        </is>
      </c>
      <c r="F103" s="4" t="inlineStr">
        <is>
          <t>technosphere</t>
        </is>
      </c>
      <c r="G103" s="4" t="inlineStr">
        <is>
          <t>heat and power co-generation unit, 160kW electrical, common components for heat+electricity</t>
        </is>
      </c>
      <c r="H103" s="4" t="inlineStr">
        <is>
          <t>infrastructure</t>
        </is>
      </c>
      <c r="I103" s="4" t="inlineStr">
        <is>
          <t>1/(Total cap. (input-related) [kW] * lifetime [y] * annual operation [h] * 1 or 3.6 [MJ/kWh])*allocation factor</t>
        </is>
      </c>
      <c r="J103" s="4" t="inlineStr">
        <is>
          <t>CHP heat+elec</t>
        </is>
      </c>
      <c r="K103" s="4" t="inlineStr">
        <is>
          <t>electricity, residential, by combustion of hydrogen using CHP, allocated by exergy, distributed by pipeline, produced by Electrolysis, PEM using electricity from grid</t>
        </is>
      </c>
      <c r="L103" s="4" t="n">
        <v>2</v>
      </c>
      <c r="M103" s="4" t="n">
        <v>-17.47225683711912</v>
      </c>
      <c r="N103" s="4" t="n">
        <v>1.05</v>
      </c>
      <c r="O103" s="8" t="n">
        <v>1.2</v>
      </c>
      <c r="P103" s="4" t="n">
        <v>1</v>
      </c>
      <c r="Q103" s="4" t="n">
        <v>1.01</v>
      </c>
      <c r="R103" s="4" t="n">
        <v>1.2</v>
      </c>
      <c r="S103" s="4" t="n">
        <v>1.2</v>
      </c>
      <c r="T103" s="4" t="n">
        <v>3</v>
      </c>
      <c r="U103" s="4" t="n">
        <v>0.572090880068819</v>
      </c>
    </row>
    <row r="104" customFormat="1" s="4">
      <c r="A104" s="4" t="inlineStr">
        <is>
          <t>heat and power co-generation unit construction, 160kW electrical, components for electricity only</t>
        </is>
      </c>
      <c r="B104" s="7" t="n">
        <v>2.581637549845497e-08</v>
      </c>
      <c r="C104" s="4" t="inlineStr">
        <is>
          <t>unit</t>
        </is>
      </c>
      <c r="E104" s="4" t="inlineStr">
        <is>
          <t>RER</t>
        </is>
      </c>
      <c r="F104" s="4" t="inlineStr">
        <is>
          <t>technosphere</t>
        </is>
      </c>
      <c r="G104" s="4" t="inlineStr">
        <is>
          <t>heat and power co-generation unit, 160kW electrical, components for electricity only</t>
        </is>
      </c>
      <c r="H104" s="4" t="inlineStr">
        <is>
          <t>infrastructure</t>
        </is>
      </c>
      <c r="I104" s="4" t="inlineStr">
        <is>
          <t>1/(Total cap. (input-related) [kW] * lifetime [y] * annual operation [h] * 1 or 3.6 [MJ/kWh])*allocation factor</t>
        </is>
      </c>
      <c r="J104" s="4" t="inlineStr">
        <is>
          <t>CHP - heat</t>
        </is>
      </c>
      <c r="K104" s="4" t="inlineStr">
        <is>
          <t>electricity, residential, by combustion of hydrogen using CHP, allocated by exergy, distributed by pipeline, produced by Electrolysis, PEM using electricity from grid</t>
        </is>
      </c>
      <c r="L104" s="4" t="n">
        <v>2</v>
      </c>
      <c r="M104" s="4" t="n">
        <v>-17.47225683711912</v>
      </c>
      <c r="N104" s="4" t="n">
        <v>1.05</v>
      </c>
      <c r="O104" s="8" t="n">
        <v>1.2</v>
      </c>
      <c r="P104" s="4" t="n">
        <v>1</v>
      </c>
      <c r="Q104" s="4" t="n">
        <v>1.01</v>
      </c>
      <c r="R104" s="4" t="n">
        <v>1.2</v>
      </c>
      <c r="S104" s="4" t="n">
        <v>1.2</v>
      </c>
      <c r="T104" s="4" t="n">
        <v>3</v>
      </c>
      <c r="U104" s="4" t="n">
        <v>0.572090880068819</v>
      </c>
    </row>
    <row r="105" customFormat="1" s="4">
      <c r="A105" s="4" t="inlineStr">
        <is>
          <t>heat and power co-generation unit construction, 160kW electrical, components for heat only</t>
        </is>
      </c>
      <c r="B105" s="7" t="n">
        <v>2.581637549845497e-08</v>
      </c>
      <c r="C105" s="4" t="inlineStr">
        <is>
          <t>unit</t>
        </is>
      </c>
      <c r="E105" s="4" t="inlineStr">
        <is>
          <t>RER</t>
        </is>
      </c>
      <c r="F105" s="4" t="inlineStr">
        <is>
          <t>technosphere</t>
        </is>
      </c>
      <c r="G105" s="4" t="inlineStr">
        <is>
          <t>heat and power co-generation unit, 160kW electrical, components for heat only</t>
        </is>
      </c>
      <c r="H105" s="4" t="inlineStr">
        <is>
          <t>infrastructure</t>
        </is>
      </c>
      <c r="I105" s="4" t="inlineStr">
        <is>
          <t>1/(Total cap. (input-related) [kW] * lifetime [y] * annual operation [h] * 1 or 3.6 [MJ/kWh])*allocation factor</t>
        </is>
      </c>
      <c r="J105" s="4" t="inlineStr">
        <is>
          <t>CHP - elec</t>
        </is>
      </c>
      <c r="K105" s="4" t="inlineStr">
        <is>
          <t>electricity, residential, by combustion of hydrogen using CHP, allocated by exergy, distributed by pipeline, produced by Electrolysis, PEM using electricity from grid</t>
        </is>
      </c>
      <c r="L105" s="4" t="n">
        <v>2</v>
      </c>
      <c r="M105" s="4" t="n">
        <v>-17.47225683711912</v>
      </c>
      <c r="N105" s="4" t="n">
        <v>1.05</v>
      </c>
      <c r="O105" s="8" t="n">
        <v>1.2</v>
      </c>
      <c r="P105" s="4" t="n">
        <v>1</v>
      </c>
      <c r="Q105" s="4" t="n">
        <v>1.01</v>
      </c>
      <c r="R105" s="4" t="n">
        <v>1.2</v>
      </c>
      <c r="S105" s="4" t="n">
        <v>1.2</v>
      </c>
      <c r="T105" s="4" t="n">
        <v>3</v>
      </c>
      <c r="U105" s="4" t="n">
        <v>0.572090880068819</v>
      </c>
    </row>
    <row r="106" customFormat="1" s="4">
      <c r="A106" s="4" t="inlineStr">
        <is>
          <t>market for lubricating oil</t>
        </is>
      </c>
      <c r="B106" s="7" t="n">
        <v>1.042016400587503e-07</v>
      </c>
      <c r="C106" s="4" t="inlineStr">
        <is>
          <t>kilogram</t>
        </is>
      </c>
      <c r="E106" s="4" t="inlineStr">
        <is>
          <t>RER</t>
        </is>
      </c>
      <c r="F106" s="4" t="inlineStr">
        <is>
          <t>technosphere</t>
        </is>
      </c>
      <c r="G106" s="4" t="inlineStr">
        <is>
          <t>lubricating oil</t>
        </is>
      </c>
      <c r="H106" s="4" t="inlineStr">
        <is>
          <t>others</t>
        </is>
      </c>
      <c r="K106" s="4" t="inlineStr">
        <is>
          <t>electricity, residential, by combustion of hydrogen using CHP, allocated by exergy, distributed by pipeline, produced by Electrolysis, PEM using electricity from grid</t>
        </is>
      </c>
      <c r="L106" s="4" t="n">
        <v>2</v>
      </c>
      <c r="M106" s="4" t="n">
        <v>-16.07693796822366</v>
      </c>
      <c r="N106" s="4" t="n">
        <v>1.05</v>
      </c>
      <c r="O106" s="8" t="n">
        <v>1.2</v>
      </c>
      <c r="P106" s="4" t="n">
        <v>1</v>
      </c>
      <c r="Q106" s="4" t="n">
        <v>1.01</v>
      </c>
      <c r="R106" s="4" t="n">
        <v>1.2</v>
      </c>
      <c r="S106" s="4" t="n">
        <v>1.2</v>
      </c>
      <c r="T106" s="4" t="n">
        <v>1.05</v>
      </c>
      <c r="U106" s="4" t="n">
        <v>0.1616967992407096</v>
      </c>
    </row>
    <row r="107" customFormat="1" s="4">
      <c r="A107" s="4" t="inlineStr">
        <is>
          <t>market for waste mineral oil</t>
        </is>
      </c>
      <c r="B107" s="7" t="n">
        <v>-1.042016400587503e-07</v>
      </c>
      <c r="C107" s="4" t="inlineStr">
        <is>
          <t>kilogram</t>
        </is>
      </c>
      <c r="E107" s="4" t="inlineStr">
        <is>
          <t>CH</t>
        </is>
      </c>
      <c r="F107" s="4" t="inlineStr">
        <is>
          <t>technosphere</t>
        </is>
      </c>
      <c r="G107" s="4" t="inlineStr">
        <is>
          <t>waste mineral oil</t>
        </is>
      </c>
      <c r="H107" s="4" t="inlineStr">
        <is>
          <t>others</t>
        </is>
      </c>
      <c r="K107" s="4" t="inlineStr">
        <is>
          <t>electricity, residential, by combustion of hydrogen using CHP, allocated by exergy, distributed by pipeline, produced by Electrolysis, PEM using electricity from grid</t>
        </is>
      </c>
      <c r="L107" s="4" t="n">
        <v>1</v>
      </c>
      <c r="M107" s="4" t="inlineStr"/>
      <c r="N107" s="4" t="n">
        <v>1.05</v>
      </c>
      <c r="O107" s="8" t="n">
        <v>1.2</v>
      </c>
      <c r="P107" s="4" t="n">
        <v>1</v>
      </c>
      <c r="Q107" s="4" t="n">
        <v>1.01</v>
      </c>
      <c r="R107" s="4" t="n">
        <v>1.2</v>
      </c>
      <c r="S107" s="4" t="n">
        <v>1.2</v>
      </c>
      <c r="T107" s="4" t="n">
        <v>3</v>
      </c>
      <c r="U107" s="4" t="n">
        <v>0.572090880068819</v>
      </c>
      <c r="V107" s="4" t="b">
        <v>1</v>
      </c>
    </row>
    <row r="108" customFormat="1" s="4">
      <c r="A108" t="inlineStr">
        <is>
          <t>market for hydrogen, gaseous</t>
        </is>
      </c>
      <c r="B108" s="9" t="n">
        <v>0.06980586864203837</v>
      </c>
      <c r="C108" s="4" t="inlineStr">
        <is>
          <t>kilogram</t>
        </is>
      </c>
      <c r="E108" t="inlineStr">
        <is>
          <t>GLO</t>
        </is>
      </c>
      <c r="F108" s="4" t="inlineStr">
        <is>
          <t>technosphere</t>
        </is>
      </c>
      <c r="G108" t="inlineStr">
        <is>
          <t>hydrogen, gaseous</t>
        </is>
      </c>
      <c r="H108" s="4" t="inlineStr">
        <is>
          <t>hydrogen</t>
        </is>
      </c>
      <c r="I108" s="4" t="inlineStr">
        <is>
          <t>Hydrogen input. 1 [MJ H2]/120 [MJ/kg H2]/ eff.(th)</t>
        </is>
      </c>
      <c r="J108" s="4" t="inlineStr">
        <is>
          <t>AEC electrolyzer - grid</t>
        </is>
      </c>
      <c r="K108" s="4" t="inlineStr">
        <is>
          <t>electricity, residential, by combustion of hydrogen using CHP, allocated by exergy, distributed by pipeline, produced by Electrolysis, PEM using electricity from grid</t>
        </is>
      </c>
      <c r="L108" s="4" t="n">
        <v>2</v>
      </c>
      <c r="M108" s="4" t="n">
        <v>-2.662037194781999</v>
      </c>
      <c r="N108" s="4" t="n">
        <v>1.05</v>
      </c>
      <c r="O108" s="8" t="n">
        <v>1.2</v>
      </c>
      <c r="P108" s="4" t="n">
        <v>1</v>
      </c>
      <c r="Q108" s="4" t="n">
        <v>1.01</v>
      </c>
      <c r="R108" s="4" t="n">
        <v>1.2</v>
      </c>
      <c r="S108" s="4" t="n">
        <v>1.2</v>
      </c>
      <c r="T108" s="4" t="n">
        <v>1.05</v>
      </c>
      <c r="U108" s="4" t="n">
        <v>0.1616967992407096</v>
      </c>
    </row>
    <row r="109" customFormat="1" s="4">
      <c r="A109" t="inlineStr">
        <is>
          <t>market for hydrogen, gaseous</t>
        </is>
      </c>
      <c r="B109" s="9" t="n">
        <v>0.0003490293432101844</v>
      </c>
      <c r="C109" s="4" t="inlineStr">
        <is>
          <t>kilogram</t>
        </is>
      </c>
      <c r="E109" t="inlineStr">
        <is>
          <t>GLO</t>
        </is>
      </c>
      <c r="F109" s="4" t="inlineStr">
        <is>
          <t>technosphere</t>
        </is>
      </c>
      <c r="G109" t="inlineStr">
        <is>
          <t>hydrogen, gaseous</t>
        </is>
      </c>
      <c r="H109" s="4" t="inlineStr">
        <is>
          <t>hydrogen loss makeup</t>
        </is>
      </c>
      <c r="I109" s="4" t="inlineStr">
        <is>
          <t>((1+storage loss)*(1+use loss)-1)*hydrogen input</t>
        </is>
      </c>
      <c r="J109" s="4" t="inlineStr">
        <is>
          <t>AEC electrolyzer - grid</t>
        </is>
      </c>
      <c r="K109" s="4" t="inlineStr">
        <is>
          <t>electricity, residential, by combustion of hydrogen using CHP, allocated by exergy, distributed by pipeline, produced by Electrolysis, PEM using electricity from grid</t>
        </is>
      </c>
      <c r="L109" s="4" t="n">
        <v>2</v>
      </c>
      <c r="M109" s="4" t="n">
        <v>-7.960354561330057</v>
      </c>
      <c r="N109" s="4" t="n">
        <v>1.05</v>
      </c>
      <c r="O109" s="8" t="n">
        <v>1.2</v>
      </c>
      <c r="P109" s="4" t="n">
        <v>1</v>
      </c>
      <c r="Q109" s="4" t="n">
        <v>1.01</v>
      </c>
      <c r="R109" s="4" t="n">
        <v>1.2</v>
      </c>
      <c r="S109" s="4" t="n">
        <v>1.2</v>
      </c>
      <c r="T109" s="4" t="n">
        <v>1.05</v>
      </c>
      <c r="U109" s="4" t="n">
        <v>0.1616967992407096</v>
      </c>
    </row>
    <row r="110" customFormat="1" s="4">
      <c r="A110" s="4" t="inlineStr">
        <is>
          <t>Water</t>
        </is>
      </c>
      <c r="B110" s="5">
        <f>0.628252817778345/1000</f>
        <v>6.2825281777834498E-4</v>
      </c>
      <c r="C110" s="4" t="inlineStr">
        <is>
          <t>cubic meter</t>
        </is>
      </c>
      <c r="D110" s="4" t="inlineStr">
        <is>
          <t>air</t>
        </is>
      </c>
      <c r="F110" s="4" t="inlineStr">
        <is>
          <t>biosphere</t>
        </is>
      </c>
      <c r="H110" s="4" t="inlineStr">
        <is>
          <t>emissions</t>
        </is>
      </c>
      <c r="I110" s="4" t="inlineStr">
        <is>
          <t>9kg of water produced per kg of H2 combusted.</t>
        </is>
      </c>
      <c r="K110" s="4" t="inlineStr">
        <is>
          <t>electricity, residential, by combustion of hydrogen using CHP, allocated by exergy, distributed by pipeline, produced by Electrolysis, PEM using electricity from grid</t>
        </is>
      </c>
      <c r="L110" s="4" t="n">
        <v>2</v>
      </c>
      <c r="M110" s="4" t="n">
        <v>-0.4648126174457791</v>
      </c>
      <c r="N110" s="4" t="n">
        <v>1.05</v>
      </c>
      <c r="O110" s="8" t="n">
        <v>1.2</v>
      </c>
      <c r="P110" s="4" t="n">
        <v>1</v>
      </c>
      <c r="Q110" s="4" t="n">
        <v>1.01</v>
      </c>
      <c r="R110" s="4" t="n">
        <v>1.2</v>
      </c>
      <c r="S110" s="4" t="n">
        <v>1.2</v>
      </c>
      <c r="T110" s="4" t="n">
        <v>1.05</v>
      </c>
      <c r="U110" s="4" t="n">
        <v>0.1616967992407096</v>
      </c>
    </row>
    <row r="111" customFormat="1" s="4">
      <c r="A111" s="4" t="inlineStr">
        <is>
          <t>Nitrogen oxides</t>
        </is>
      </c>
      <c r="B111" s="5" t="n">
        <v>2.5e-05</v>
      </c>
      <c r="C111" s="4" t="inlineStr">
        <is>
          <t>kilogram</t>
        </is>
      </c>
      <c r="D111" s="4" t="inlineStr">
        <is>
          <t>air</t>
        </is>
      </c>
      <c r="F111" s="4" t="inlineStr">
        <is>
          <t>biosphere</t>
        </is>
      </c>
      <c r="H111" s="4" t="inlineStr">
        <is>
          <t>emissions</t>
        </is>
      </c>
      <c r="I111" s="4" t="inlineStr">
        <is>
          <t>Based on Greenstar 8000 Hydrogen-Ready specifications (25mg NOx/kWh).</t>
        </is>
      </c>
      <c r="K111" s="4" t="inlineStr">
        <is>
          <t>electricity, residential, by combustion of hydrogen using CHP, allocated by exergy, distributed by pipeline, produced by Electrolysis, PEM using electricity from grid</t>
        </is>
      </c>
      <c r="L111" s="4" t="n">
        <v>2</v>
      </c>
      <c r="M111" s="4" t="n">
        <v>-10.59663473309607</v>
      </c>
      <c r="N111" s="4" t="n">
        <v>1.05</v>
      </c>
      <c r="O111" s="8" t="n">
        <v>1.2</v>
      </c>
      <c r="P111" s="4" t="n">
        <v>1</v>
      </c>
      <c r="Q111" s="4" t="n">
        <v>1.01</v>
      </c>
      <c r="R111" s="4" t="n">
        <v>1.2</v>
      </c>
      <c r="S111" s="4" t="n">
        <v>1.2</v>
      </c>
      <c r="T111" s="4" t="n">
        <v>1.5</v>
      </c>
      <c r="U111" s="4" t="n">
        <v>0.2581689821184212</v>
      </c>
    </row>
    <row r="112" customFormat="1" s="4">
      <c r="A112" s="4" t="inlineStr">
        <is>
          <t>Hydrogen</t>
        </is>
      </c>
      <c r="B112" s="9" t="n">
        <v>0.0003490293432101844</v>
      </c>
      <c r="C112" s="4" t="inlineStr">
        <is>
          <t>kilogram</t>
        </is>
      </c>
      <c r="D112" s="4" t="inlineStr">
        <is>
          <t>air</t>
        </is>
      </c>
      <c r="F112" s="4" t="inlineStr">
        <is>
          <t>biosphere</t>
        </is>
      </c>
      <c r="H112" s="4" t="inlineStr">
        <is>
          <t>emissions</t>
        </is>
      </c>
      <c r="I112" s="4" t="inlineStr">
        <is>
          <t>Hydrogen leakage.</t>
        </is>
      </c>
      <c r="K112" s="4" t="inlineStr">
        <is>
          <t>electricity, residential, by combustion of hydrogen using CHP, allocated by exergy, distributed by pipeline, produced by Electrolysis, PEM using electricity from grid</t>
        </is>
      </c>
      <c r="O112" s="8" t="n"/>
    </row>
    <row r="113" customFormat="1" s="4">
      <c r="B113" s="5" t="n"/>
    </row>
    <row r="114" customFormat="1" s="4">
      <c r="A114" s="2" t="inlineStr">
        <is>
          <t>Activity</t>
        </is>
      </c>
      <c r="B114" s="3" t="inlineStr">
        <is>
          <t>electricity, residential, by conversion of hydrogen using fuel cell, PEM, allocated by exergy, distributed by pipeline, produced by Electrolysis, PEM using electricity from grid</t>
        </is>
      </c>
    </row>
    <row r="115" customFormat="1" s="4">
      <c r="A115" s="4" t="inlineStr">
        <is>
          <t>comment</t>
        </is>
      </c>
      <c r="B115" s="5" t="inlineStr">
        <is>
          <t>This dataset represents the supply of 1 kilowatt hour of electricity in a residence, by hydrogen conversion in a fuel cell, PEM. The hydrogen is produced by  Electrolysis, PEM, with electricity from grid as feedstock. Electricity conversion efficiency [% LHV input]: 45%. LHV [kWh/kg]: 33.3333333333333. Market price [Euro/MJ]: 0.0266666666666667. Synthesis efficiency [% LHV input]: 0%. Total cap. Input-related [kW]: 2.73684210526316. CO2 biogenic share [%]: 0%. Power [kW]: 1.6. Lifetime [years]: 4.8780487804878. Annual operation [hours]: 4100. Allocation factor: 0.876663232584123. On-site storage loss [%]: 0. Use loss [%]: 0.56. For more information, refer to: Sacchi, R. and Bauer, C. LCA of Power-to-X processes and applications in the residential sector. Paul Scherrer Institut, 2023.</t>
        </is>
      </c>
    </row>
    <row r="116" customFormat="1" s="4">
      <c r="A116" s="4" t="inlineStr">
        <is>
          <t>source</t>
        </is>
      </c>
      <c r="B116" s="5" t="inlineStr">
        <is>
          <t>Sacchi, R. and Bauer, C. LCA of Power-to-X processes and applications in the residential sector. Paul Scherrer Institut, 2023.</t>
        </is>
      </c>
    </row>
    <row r="117" customFormat="1" s="4">
      <c r="A117" s="4" t="inlineStr">
        <is>
          <t>location</t>
        </is>
      </c>
      <c r="B117" s="5" t="inlineStr">
        <is>
          <t>CH</t>
        </is>
      </c>
    </row>
    <row r="118" customFormat="1" s="4">
      <c r="A118" s="4" t="inlineStr">
        <is>
          <t>reference product</t>
        </is>
      </c>
      <c r="B118" s="5" t="inlineStr">
        <is>
          <t>electricity, from residential heating system</t>
        </is>
      </c>
    </row>
    <row r="119" customFormat="1" s="4">
      <c r="A119" s="4" t="inlineStr">
        <is>
          <t>unit</t>
        </is>
      </c>
      <c r="B119" s="5" t="inlineStr">
        <is>
          <t>kilowatt hour</t>
        </is>
      </c>
    </row>
    <row r="120" customFormat="1" s="4">
      <c r="B120" s="5" t="n"/>
    </row>
    <row r="121" customFormat="1" s="4">
      <c r="A121" s="6" t="inlineStr">
        <is>
          <t>Exchanges</t>
        </is>
      </c>
      <c r="B121" s="5" t="n"/>
    </row>
    <row r="122" customFormat="1" s="4">
      <c r="A122" s="2" t="inlineStr">
        <is>
          <t>name</t>
        </is>
      </c>
      <c r="B122" s="3" t="inlineStr">
        <is>
          <t>amount</t>
        </is>
      </c>
      <c r="C122" s="2" t="inlineStr">
        <is>
          <t>unit</t>
        </is>
      </c>
      <c r="D122" s="2" t="inlineStr">
        <is>
          <t>categories</t>
        </is>
      </c>
      <c r="E122" s="2" t="inlineStr">
        <is>
          <t>location</t>
        </is>
      </c>
      <c r="F122" s="2" t="inlineStr">
        <is>
          <t>type</t>
        </is>
      </c>
      <c r="G122" s="2" t="inlineStr">
        <is>
          <t>reference product</t>
        </is>
      </c>
      <c r="H122" s="2" t="inlineStr">
        <is>
          <t>tag</t>
        </is>
      </c>
      <c r="I122" s="2" t="inlineStr">
        <is>
          <t>comment</t>
        </is>
      </c>
      <c r="J122" s="2" t="inlineStr">
        <is>
          <t>input type</t>
        </is>
      </c>
      <c r="K122" s="2" t="inlineStr">
        <is>
          <t>dataset name</t>
        </is>
      </c>
      <c r="L122" s="2" t="inlineStr">
        <is>
          <t>uncertainty type</t>
        </is>
      </c>
      <c r="M122" s="2" t="inlineStr">
        <is>
          <t>loc</t>
        </is>
      </c>
      <c r="N122" s="2" t="inlineStr">
        <is>
          <t>u1</t>
        </is>
      </c>
      <c r="O122" s="2" t="inlineStr">
        <is>
          <t>u2</t>
        </is>
      </c>
      <c r="P122" s="2" t="inlineStr">
        <is>
          <t>u3</t>
        </is>
      </c>
      <c r="Q122" s="2" t="inlineStr">
        <is>
          <t>u4</t>
        </is>
      </c>
      <c r="R122" s="2" t="inlineStr">
        <is>
          <t>u5</t>
        </is>
      </c>
      <c r="S122" s="2" t="inlineStr">
        <is>
          <t>u6</t>
        </is>
      </c>
      <c r="T122" s="2" t="inlineStr">
        <is>
          <t>ub</t>
        </is>
      </c>
      <c r="U122" s="2" t="inlineStr">
        <is>
          <t>scale</t>
        </is>
      </c>
      <c r="V122" s="2" t="inlineStr">
        <is>
          <t>negative</t>
        </is>
      </c>
      <c r="W122" s="2" t="inlineStr">
        <is>
          <t>simapro category</t>
        </is>
      </c>
    </row>
    <row r="123" customFormat="1" s="4">
      <c r="A123" s="4" t="inlineStr">
        <is>
          <t>electricity, residential, by conversion of hydrogen using fuel cell, PEM, allocated by exergy, distributed by pipeline, produced by Electrolysis, PEM using electricity from grid</t>
        </is>
      </c>
      <c r="B123" s="5" t="n">
        <v>1</v>
      </c>
      <c r="C123" s="4" t="inlineStr">
        <is>
          <t>kilowatt hour</t>
        </is>
      </c>
      <c r="E123" s="4" t="inlineStr">
        <is>
          <t>CH</t>
        </is>
      </c>
      <c r="F123" s="4" t="inlineStr">
        <is>
          <t>production</t>
        </is>
      </c>
      <c r="G123" s="4" t="inlineStr">
        <is>
          <t>electricity, from residential heating system</t>
        </is>
      </c>
      <c r="K123" s="4" t="inlineStr">
        <is>
          <t>electricity, residential, by conversion of hydrogen using fuel cell, PEM, allocated by exergy, distributed by pipeline, produced by Electrolysis, PEM using electricity from grid</t>
        </is>
      </c>
      <c r="W123" s="4" t="inlineStr">
        <is>
          <t>Energy/Heat/Synthetic/Transformation</t>
        </is>
      </c>
    </row>
    <row r="124" customFormat="1" s="4">
      <c r="A124" s="4" t="inlineStr">
        <is>
          <t>fuel cell system assembly, 1 kWe, proton exchange membrane (PEM)</t>
        </is>
      </c>
      <c r="B124" s="7" t="n">
        <v>1.601596290297917e-05</v>
      </c>
      <c r="C124" s="4" t="inlineStr">
        <is>
          <t>unit</t>
        </is>
      </c>
      <c r="E124" s="4" t="inlineStr">
        <is>
          <t>GLO</t>
        </is>
      </c>
      <c r="F124" s="4" t="inlineStr">
        <is>
          <t>technosphere</t>
        </is>
      </c>
      <c r="G124" s="4" t="inlineStr">
        <is>
          <t>fuel cell system, 1 kWe, proton exchange membrane (PEM)</t>
        </is>
      </c>
      <c r="H124" s="4" t="inlineStr">
        <is>
          <t>infrastructure</t>
        </is>
      </c>
      <c r="I124" s="4" t="inlineStr">
        <is>
          <t>Operational time of 20,000 hours at power of 1 kWe. Due to the degradation effects the hydrogen consumption must be increased to always generate the power of 1 kWe. Because of dynamic operational regime 5 replacements of the PEMFC stack are included (lifetime of 3'800 hours per stack), while the BoP lasts the whole operational time.</t>
        </is>
      </c>
      <c r="J124" s="4" t="inlineStr">
        <is>
          <t>stationary PEMFC</t>
        </is>
      </c>
      <c r="K124" s="4" t="inlineStr">
        <is>
          <t>electricity, residential, by conversion of hydrogen using fuel cell, PEM, allocated by exergy, distributed by pipeline, produced by Electrolysis, PEM using electricity from grid</t>
        </is>
      </c>
      <c r="L124" s="4" t="n">
        <v>2</v>
      </c>
      <c r="M124" s="4" t="n">
        <v>-11.04192465164165</v>
      </c>
      <c r="N124" s="4" t="n">
        <v>1</v>
      </c>
      <c r="O124" s="8" t="n">
        <v>1.2</v>
      </c>
      <c r="P124" s="4" t="n">
        <v>1</v>
      </c>
      <c r="Q124" s="4" t="n">
        <v>1.01</v>
      </c>
      <c r="R124" s="4" t="n">
        <v>1.2</v>
      </c>
      <c r="S124" s="4" t="n">
        <v>1.2</v>
      </c>
      <c r="T124" s="4" t="n">
        <v>3</v>
      </c>
      <c r="U124" s="4" t="n">
        <v>0.5715705162339952</v>
      </c>
    </row>
    <row r="125" customFormat="1" s="4">
      <c r="A125" t="inlineStr">
        <is>
          <t>market for hydrogen, gaseous</t>
        </is>
      </c>
      <c r="B125" s="9" t="n">
        <v>0.05844421550560819</v>
      </c>
      <c r="C125" s="4" t="inlineStr">
        <is>
          <t>kilogram</t>
        </is>
      </c>
      <c r="E125" t="inlineStr">
        <is>
          <t>GLO</t>
        </is>
      </c>
      <c r="F125" s="4" t="inlineStr">
        <is>
          <t>technosphere</t>
        </is>
      </c>
      <c r="G125" t="inlineStr">
        <is>
          <t>hydrogen, gaseous</t>
        </is>
      </c>
      <c r="H125" s="4" t="inlineStr">
        <is>
          <t>hydrogen</t>
        </is>
      </c>
      <c r="I125" s="4" t="inlineStr">
        <is>
          <t>Hydrogen input. 1 [MJ H2]/120 [MJ/kg H2]/ eff.(th)</t>
        </is>
      </c>
      <c r="J125" s="4" t="inlineStr">
        <is>
          <t>AEC electrolyzer - grid</t>
        </is>
      </c>
      <c r="K125" s="4" t="inlineStr">
        <is>
          <t>electricity, residential, by conversion of hydrogen using fuel cell, PEM, allocated by exergy, distributed by pipeline, produced by Electrolysis, PEM using electricity from grid</t>
        </is>
      </c>
      <c r="L125" s="4" t="n">
        <v>2</v>
      </c>
      <c r="M125" s="4" t="n">
        <v>-2.839682560792741</v>
      </c>
      <c r="N125" s="4" t="n">
        <v>1.05</v>
      </c>
      <c r="O125" s="8" t="n">
        <v>1.2</v>
      </c>
      <c r="P125" s="4" t="n">
        <v>1</v>
      </c>
      <c r="Q125" s="4" t="n">
        <v>1.01</v>
      </c>
      <c r="R125" s="4" t="n">
        <v>1.2</v>
      </c>
      <c r="S125" s="4" t="n">
        <v>1.2</v>
      </c>
      <c r="T125" s="4" t="n">
        <v>1.05</v>
      </c>
      <c r="U125" s="4" t="n">
        <v>0.1616967992407096</v>
      </c>
    </row>
    <row r="126" customFormat="1" s="4">
      <c r="A126" t="inlineStr">
        <is>
          <t>market for hydrogen, gaseous</t>
        </is>
      </c>
      <c r="B126" s="9" t="n">
        <v>0.0003272876068314088</v>
      </c>
      <c r="C126" s="4" t="inlineStr">
        <is>
          <t>kilogram</t>
        </is>
      </c>
      <c r="E126" t="inlineStr">
        <is>
          <t>GLO</t>
        </is>
      </c>
      <c r="F126" s="4" t="inlineStr">
        <is>
          <t>technosphere</t>
        </is>
      </c>
      <c r="G126" t="inlineStr">
        <is>
          <t>hydrogen, gaseous</t>
        </is>
      </c>
      <c r="H126" s="4" t="inlineStr">
        <is>
          <t>hydrogen loss makeup</t>
        </is>
      </c>
      <c r="I126" s="4" t="inlineStr">
        <is>
          <t>((1+storage loss)*(1+use loss)-1)*hydrogen input</t>
        </is>
      </c>
      <c r="J126" s="4" t="inlineStr">
        <is>
          <t>AEC electrolyzer - grid</t>
        </is>
      </c>
      <c r="K126" s="4" t="inlineStr">
        <is>
          <t>electricity, residential, by conversion of hydrogen using fuel cell, PEM, allocated by exergy, distributed by pipeline, produced by Electrolysis, PEM using electricity from grid</t>
        </is>
      </c>
      <c r="L126" s="4" t="n">
        <v>2</v>
      </c>
      <c r="M126" s="4" t="n">
        <v>-8.024671242033765</v>
      </c>
      <c r="N126" s="4" t="n">
        <v>1.05</v>
      </c>
      <c r="O126" s="8" t="n">
        <v>1.2</v>
      </c>
      <c r="P126" s="4" t="n">
        <v>1</v>
      </c>
      <c r="Q126" s="4" t="n">
        <v>1.01</v>
      </c>
      <c r="R126" s="4" t="n">
        <v>1.2</v>
      </c>
      <c r="S126" s="4" t="n">
        <v>1.2</v>
      </c>
      <c r="T126" s="4" t="n">
        <v>1.05</v>
      </c>
      <c r="U126" s="4" t="n">
        <v>0.1616967992407096</v>
      </c>
    </row>
    <row r="127" customFormat="1" s="4">
      <c r="A127" s="4" t="inlineStr">
        <is>
          <t>Water</t>
        </is>
      </c>
      <c r="B127" s="5">
        <f>0.525997939550474/1000</f>
        <v>5.2599793955047404E-4</v>
      </c>
      <c r="C127" s="4" t="inlineStr">
        <is>
          <t>cubic meter</t>
        </is>
      </c>
      <c r="D127" s="4" t="inlineStr">
        <is>
          <t>air</t>
        </is>
      </c>
      <c r="F127" s="4" t="inlineStr">
        <is>
          <t>biosphere</t>
        </is>
      </c>
      <c r="H127" s="4" t="inlineStr">
        <is>
          <t>emissions</t>
        </is>
      </c>
      <c r="I127" s="4" t="inlineStr">
        <is>
          <t>9kg of water produced per kg of H2 combusted.</t>
        </is>
      </c>
      <c r="K127" s="4" t="inlineStr">
        <is>
          <t>electricity, residential, by conversion of hydrogen using fuel cell, PEM, allocated by exergy, distributed by pipeline, produced by Electrolysis, PEM using electricity from grid</t>
        </is>
      </c>
      <c r="L127" s="4" t="n">
        <v>2</v>
      </c>
      <c r="M127" s="4" t="n">
        <v>-0.6424579834565218</v>
      </c>
      <c r="N127" s="4" t="n">
        <v>1.05</v>
      </c>
      <c r="O127" s="8" t="n">
        <v>1.2</v>
      </c>
      <c r="P127" s="4" t="n">
        <v>1</v>
      </c>
      <c r="Q127" s="4" t="n">
        <v>1.01</v>
      </c>
      <c r="R127" s="4" t="n">
        <v>1.2</v>
      </c>
      <c r="S127" s="4" t="n">
        <v>1.2</v>
      </c>
      <c r="T127" s="4" t="n">
        <v>1.05</v>
      </c>
      <c r="U127" s="4" t="n">
        <v>0.1616967992407096</v>
      </c>
    </row>
    <row r="128" customFormat="1" s="4">
      <c r="A128" s="4" t="inlineStr">
        <is>
          <t>Hydrogen</t>
        </is>
      </c>
      <c r="B128" s="9" t="n">
        <v>0.0003272876068314088</v>
      </c>
      <c r="C128" s="4" t="inlineStr">
        <is>
          <t>kilogram</t>
        </is>
      </c>
      <c r="D128" s="4" t="inlineStr">
        <is>
          <t>air</t>
        </is>
      </c>
      <c r="F128" s="4" t="inlineStr">
        <is>
          <t>biosphere</t>
        </is>
      </c>
      <c r="H128" s="4" t="inlineStr">
        <is>
          <t>emissions</t>
        </is>
      </c>
      <c r="I128" s="4" t="inlineStr">
        <is>
          <t>Hydrogen leakage.</t>
        </is>
      </c>
      <c r="K128" s="4" t="inlineStr">
        <is>
          <t>electricity, residential, by conversion of hydrogen using fuel cell, PEM, allocated by exergy, distributed by pipeline, produced by Electrolysis, PEM using electricity from grid</t>
        </is>
      </c>
      <c r="O128" s="8" t="n"/>
    </row>
    <row r="129" customFormat="1" s="4">
      <c r="B129" s="5" t="n"/>
    </row>
    <row r="130" customFormat="1" s="4">
      <c r="A130" s="2" t="inlineStr">
        <is>
          <t>Activity</t>
        </is>
      </c>
      <c r="B130" s="3" t="inlineStr">
        <is>
          <t>electricity, residential, by conversion of hydrogen using fuel cell, SOFC, allocated by exergy, distributed by pipeline, produced by Electrolysis, PEM using electricity from grid</t>
        </is>
      </c>
    </row>
    <row r="131" customFormat="1" s="4">
      <c r="A131" s="4" t="inlineStr">
        <is>
          <t>comment</t>
        </is>
      </c>
      <c r="B131" s="5" t="inlineStr">
        <is>
          <t>This dataset represents the supply of 1 kilowatt hour of electricity in a residence, by hydrogen conversion in a fuel cell, SOFC. The hydrogen is produced by  Electrolysis, PEM, with electricity from grid as feedstock. Electricity conversion efficiency [% LHV input]: 47%. LHV [kWh/kg]: 33.3333333333333. Market price [Euro/MJ]: 0.0266666666666667. Synthesis efficiency [% LHV input]: 0%. Total cap. Input-related [kW]: 268.75. CO2 biogenic share [%]: 0%. Power [kW]: 90. Lifetime [years]: 19.5121951219512. Annual operation [hours]: 4100. Allocation factor: 0.918355110155111. On-site storage loss [%]: 0. Use loss [%]: 0.56. For more information, refer to: Sacchi, R. and Bauer, C. LCA of Power-to-X processes and applications in the residential sector. Paul Scherrer Institut, 2023.</t>
        </is>
      </c>
    </row>
    <row r="132" customFormat="1" s="4">
      <c r="A132" s="4" t="inlineStr">
        <is>
          <t>source</t>
        </is>
      </c>
      <c r="B132" s="5" t="inlineStr">
        <is>
          <t>Sacchi, R. and Bauer, C. LCA of Power-to-X processes and applications in the residential sector. Paul Scherrer Institut, 2023.</t>
        </is>
      </c>
    </row>
    <row r="133" customFormat="1" s="4">
      <c r="A133" s="4" t="inlineStr">
        <is>
          <t>location</t>
        </is>
      </c>
      <c r="B133" s="5" t="inlineStr">
        <is>
          <t>CH</t>
        </is>
      </c>
    </row>
    <row r="134" customFormat="1" s="4">
      <c r="A134" s="4" t="inlineStr">
        <is>
          <t>reference product</t>
        </is>
      </c>
      <c r="B134" s="5" t="inlineStr">
        <is>
          <t>electricity, from residential heating system</t>
        </is>
      </c>
    </row>
    <row r="135" customFormat="1" s="4">
      <c r="A135" s="4" t="inlineStr">
        <is>
          <t>unit</t>
        </is>
      </c>
      <c r="B135" s="5" t="inlineStr">
        <is>
          <t>kilowatt hour</t>
        </is>
      </c>
    </row>
    <row r="136" customFormat="1" s="4">
      <c r="B136" s="5" t="n"/>
    </row>
    <row r="137" customFormat="1" s="4">
      <c r="A137" s="6" t="inlineStr">
        <is>
          <t>Exchanges</t>
        </is>
      </c>
      <c r="B137" s="5" t="n"/>
    </row>
    <row r="138" customFormat="1" s="4">
      <c r="A138" s="2" t="inlineStr">
        <is>
          <t>name</t>
        </is>
      </c>
      <c r="B138" s="3" t="inlineStr">
        <is>
          <t>amount</t>
        </is>
      </c>
      <c r="C138" s="2" t="inlineStr">
        <is>
          <t>unit</t>
        </is>
      </c>
      <c r="D138" s="2" t="inlineStr">
        <is>
          <t>categories</t>
        </is>
      </c>
      <c r="E138" s="2" t="inlineStr">
        <is>
          <t>location</t>
        </is>
      </c>
      <c r="F138" s="2" t="inlineStr">
        <is>
          <t>type</t>
        </is>
      </c>
      <c r="G138" s="2" t="inlineStr">
        <is>
          <t>reference product</t>
        </is>
      </c>
      <c r="H138" s="2" t="inlineStr">
        <is>
          <t>tag</t>
        </is>
      </c>
      <c r="I138" s="2" t="inlineStr">
        <is>
          <t>comment</t>
        </is>
      </c>
      <c r="J138" s="2" t="inlineStr">
        <is>
          <t>input type</t>
        </is>
      </c>
      <c r="K138" s="2" t="inlineStr">
        <is>
          <t>dataset name</t>
        </is>
      </c>
      <c r="L138" s="2" t="inlineStr">
        <is>
          <t>uncertainty type</t>
        </is>
      </c>
      <c r="M138" s="2" t="inlineStr">
        <is>
          <t>loc</t>
        </is>
      </c>
      <c r="N138" s="2" t="inlineStr">
        <is>
          <t>u1</t>
        </is>
      </c>
      <c r="O138" s="2" t="inlineStr">
        <is>
          <t>u2</t>
        </is>
      </c>
      <c r="P138" s="2" t="inlineStr">
        <is>
          <t>u3</t>
        </is>
      </c>
      <c r="Q138" s="2" t="inlineStr">
        <is>
          <t>u4</t>
        </is>
      </c>
      <c r="R138" s="2" t="inlineStr">
        <is>
          <t>u5</t>
        </is>
      </c>
      <c r="S138" s="2" t="inlineStr">
        <is>
          <t>u6</t>
        </is>
      </c>
      <c r="T138" s="2" t="inlineStr">
        <is>
          <t>ub</t>
        </is>
      </c>
      <c r="U138" s="2" t="inlineStr">
        <is>
          <t>scale</t>
        </is>
      </c>
      <c r="V138" s="2" t="inlineStr">
        <is>
          <t>negative</t>
        </is>
      </c>
      <c r="W138" s="2" t="inlineStr">
        <is>
          <t>simapro category</t>
        </is>
      </c>
    </row>
    <row r="139" customFormat="1" s="4">
      <c r="A139" s="4" t="inlineStr">
        <is>
          <t>electricity, residential, by conversion of hydrogen using fuel cell, SOFC, allocated by exergy, distributed by pipeline, produced by Electrolysis, PEM using electricity from grid</t>
        </is>
      </c>
      <c r="B139" s="5" t="n">
        <v>1</v>
      </c>
      <c r="C139" s="4" t="inlineStr">
        <is>
          <t>kilowatt hour</t>
        </is>
      </c>
      <c r="E139" s="4" t="inlineStr">
        <is>
          <t>CH</t>
        </is>
      </c>
      <c r="F139" s="4" t="inlineStr">
        <is>
          <t>production</t>
        </is>
      </c>
      <c r="G139" s="4" t="inlineStr">
        <is>
          <t>electricity, from residential heating system</t>
        </is>
      </c>
      <c r="K139" s="4" t="inlineStr">
        <is>
          <t>electricity, residential, by conversion of hydrogen using fuel cell, SOFC, allocated by exergy, distributed by pipeline, produced by Electrolysis, PEM using electricity from grid</t>
        </is>
      </c>
      <c r="W139" s="4" t="inlineStr">
        <is>
          <t>Energy/Heat/Synthetic/Transformation</t>
        </is>
      </c>
    </row>
    <row r="140" customFormat="1" s="4">
      <c r="A140" s="4" t="inlineStr">
        <is>
          <t>fuel cell production, stack solid oxide, 125kW electrical, future</t>
        </is>
      </c>
      <c r="B140" s="7" t="n">
        <v>4.271419117000515e-08</v>
      </c>
      <c r="C140" s="4" t="inlineStr">
        <is>
          <t>unit</t>
        </is>
      </c>
      <c r="E140" s="4" t="inlineStr">
        <is>
          <t>CH</t>
        </is>
      </c>
      <c r="F140" s="4" t="inlineStr">
        <is>
          <t>technosphere</t>
        </is>
      </c>
      <c r="G140" s="4" t="inlineStr">
        <is>
          <t>fuel cell, stack solid oxide, 125kW electrical, future</t>
        </is>
      </c>
      <c r="H140" s="4" t="inlineStr">
        <is>
          <t>infrastructure</t>
        </is>
      </c>
      <c r="I140" s="4" t="inlineStr">
        <is>
          <t>Assumes 80000 hours of lifetime. Life Cycle Inventories of new CHP systems. Data v2.0 (2007). Alex Primas, Basler &amp; Hofmann, Zurich. 1/(Total cap. (input-related) [kW] * lifetime [y] * annual operation [h] * 1 or 3.6 [MJ/kWh])*allocation factor</t>
        </is>
      </c>
      <c r="J140" s="4" t="inlineStr">
        <is>
          <t>stationary SOFC</t>
        </is>
      </c>
      <c r="K140" s="4" t="inlineStr">
        <is>
          <t>electricity, residential, by conversion of hydrogen using fuel cell, SOFC, allocated by exergy, distributed by pipeline, produced by Electrolysis, PEM using electricity from grid</t>
        </is>
      </c>
      <c r="L140" s="4" t="n">
        <v>2</v>
      </c>
      <c r="M140" s="4" t="n">
        <v>-16.96873462602474</v>
      </c>
      <c r="N140" s="4" t="n">
        <v>1</v>
      </c>
      <c r="O140" s="8" t="n">
        <v>1.2</v>
      </c>
      <c r="P140" s="4" t="n">
        <v>1</v>
      </c>
      <c r="Q140" s="4" t="n">
        <v>1.01</v>
      </c>
      <c r="R140" s="4" t="n">
        <v>1.2</v>
      </c>
      <c r="S140" s="4" t="n">
        <v>1.2</v>
      </c>
      <c r="T140" s="4" t="n">
        <v>3</v>
      </c>
      <c r="U140" s="4" t="n">
        <v>0.5715705162339952</v>
      </c>
    </row>
    <row r="141" customFormat="1" s="4">
      <c r="A141" s="4" t="inlineStr">
        <is>
          <t>maintenance, solid oxide fuel cell 125kW electrical, future</t>
        </is>
      </c>
      <c r="B141" s="7" t="n">
        <v>4.271419117000515e-08</v>
      </c>
      <c r="C141" s="4" t="inlineStr">
        <is>
          <t>unit</t>
        </is>
      </c>
      <c r="E141" s="4" t="inlineStr">
        <is>
          <t>CH</t>
        </is>
      </c>
      <c r="F141" s="4" t="inlineStr">
        <is>
          <t>technosphere</t>
        </is>
      </c>
      <c r="G141" s="4" t="inlineStr">
        <is>
          <t>maintenance, solid oxide fuel cell, 125kW electrical, future</t>
        </is>
      </c>
      <c r="H141" s="4" t="inlineStr">
        <is>
          <t>infrastructure</t>
        </is>
      </c>
      <c r="I141" s="4" t="inlineStr">
        <is>
          <t>Assumes 80000 hours of lifetime. Life Cycle Inventories of new CHP systems. Data v2.0 (2007). Alex Primas, Basler &amp; Hofmann, Zurich. 1/(Total cap. (input-related) [kW] * lifetime [y] * annual operation [h] * 1 or 3.6 [MJ/kWh])*allocation factor</t>
        </is>
      </c>
      <c r="K141" s="4" t="inlineStr">
        <is>
          <t>electricity, residential, by conversion of hydrogen using fuel cell, SOFC, allocated by exergy, distributed by pipeline, produced by Electrolysis, PEM using electricity from grid</t>
        </is>
      </c>
      <c r="L141" s="4" t="n">
        <v>2</v>
      </c>
      <c r="M141" s="4" t="n">
        <v>-16.96873462602474</v>
      </c>
      <c r="N141" s="4" t="n">
        <v>1</v>
      </c>
      <c r="O141" s="8" t="n">
        <v>1.2</v>
      </c>
      <c r="P141" s="4" t="n">
        <v>1</v>
      </c>
      <c r="Q141" s="4" t="n">
        <v>1.01</v>
      </c>
      <c r="R141" s="4" t="n">
        <v>1.2</v>
      </c>
      <c r="S141" s="4" t="n">
        <v>1.2</v>
      </c>
      <c r="T141" s="4" t="n">
        <v>3</v>
      </c>
      <c r="U141" s="4" t="n">
        <v>0.5715705162339952</v>
      </c>
    </row>
    <row r="142" customFormat="1" s="4">
      <c r="A142" s="4" t="inlineStr">
        <is>
          <t>market for tap water</t>
        </is>
      </c>
      <c r="B142" s="7" t="n">
        <v>2.204052264372266e-05</v>
      </c>
      <c r="C142" s="4" t="inlineStr">
        <is>
          <t>kilogram</t>
        </is>
      </c>
      <c r="E142" s="4" t="inlineStr">
        <is>
          <t>CH</t>
        </is>
      </c>
      <c r="F142" s="4" t="inlineStr">
        <is>
          <t>technosphere</t>
        </is>
      </c>
      <c r="G142" s="4" t="inlineStr">
        <is>
          <t>tap water</t>
        </is>
      </c>
      <c r="H142" s="4" t="inlineStr">
        <is>
          <t>infrastructure</t>
        </is>
      </c>
      <c r="K142" s="4" t="inlineStr">
        <is>
          <t>electricity, residential, by conversion of hydrogen using fuel cell, SOFC, allocated by exergy, distributed by pipeline, produced by Electrolysis, PEM using electricity from grid</t>
        </is>
      </c>
      <c r="L142" s="4" t="n">
        <v>2</v>
      </c>
      <c r="M142" s="4" t="n">
        <v>-10.72262786054318</v>
      </c>
      <c r="N142" s="4" t="n">
        <v>1</v>
      </c>
      <c r="O142" s="8" t="n">
        <v>1.2</v>
      </c>
      <c r="P142" s="4" t="n">
        <v>1</v>
      </c>
      <c r="Q142" s="4" t="n">
        <v>1.01</v>
      </c>
      <c r="R142" s="4" t="n">
        <v>1.2</v>
      </c>
      <c r="S142" s="4" t="n">
        <v>1.2</v>
      </c>
      <c r="T142" s="4" t="n">
        <v>1.05</v>
      </c>
      <c r="U142" s="4" t="n">
        <v>0.1598459722819762</v>
      </c>
    </row>
    <row r="143" customFormat="1" s="4">
      <c r="A143" t="inlineStr">
        <is>
          <t>market for hydrogen, gaseous</t>
        </is>
      </c>
      <c r="B143" s="9" t="n">
        <v>0.05861841128649643</v>
      </c>
      <c r="C143" s="4" t="inlineStr">
        <is>
          <t>kilogram</t>
        </is>
      </c>
      <c r="E143" t="inlineStr">
        <is>
          <t>GLO</t>
        </is>
      </c>
      <c r="F143" s="4" t="inlineStr">
        <is>
          <t>technosphere</t>
        </is>
      </c>
      <c r="G143" t="inlineStr">
        <is>
          <t>hydrogen, gaseous</t>
        </is>
      </c>
      <c r="H143" s="4" t="inlineStr">
        <is>
          <t>hydrogen</t>
        </is>
      </c>
      <c r="I143" s="4" t="inlineStr">
        <is>
          <t>Hydrogen input. 1 [MJ H2]/120 [MJ/kg H2]/ eff.(th)</t>
        </is>
      </c>
      <c r="J143" s="4" t="inlineStr">
        <is>
          <t>AEC electrolyzer - grid</t>
        </is>
      </c>
      <c r="K143" s="4" t="inlineStr">
        <is>
          <t>electricity, residential, by conversion of hydrogen using fuel cell, SOFC, allocated by exergy, distributed by pipeline, produced by Electrolysis, PEM using electricity from grid</t>
        </is>
      </c>
      <c r="L143" s="4" t="n">
        <v>2</v>
      </c>
      <c r="M143" s="4" t="n">
        <v>-2.836706445968796</v>
      </c>
      <c r="N143" s="4" t="n">
        <v>1.05</v>
      </c>
      <c r="O143" s="8" t="n">
        <v>1.2</v>
      </c>
      <c r="P143" s="4" t="n">
        <v>1</v>
      </c>
      <c r="Q143" s="4" t="n">
        <v>1.01</v>
      </c>
      <c r="R143" s="4" t="n">
        <v>1.2</v>
      </c>
      <c r="S143" s="4" t="n">
        <v>1.2</v>
      </c>
      <c r="T143" s="4" t="n">
        <v>1.05</v>
      </c>
      <c r="U143" s="4" t="n">
        <v>0.1616967992407096</v>
      </c>
    </row>
    <row r="144" customFormat="1" s="4">
      <c r="A144" t="inlineStr">
        <is>
          <t>market for hydrogen, gaseous</t>
        </is>
      </c>
      <c r="B144" s="9" t="n">
        <v>0.0003282631032043829</v>
      </c>
      <c r="C144" s="4" t="inlineStr">
        <is>
          <t>kilogram</t>
        </is>
      </c>
      <c r="E144" t="inlineStr">
        <is>
          <t>GLO</t>
        </is>
      </c>
      <c r="F144" s="4" t="inlineStr">
        <is>
          <t>technosphere</t>
        </is>
      </c>
      <c r="G144" t="inlineStr">
        <is>
          <t>hydrogen, gaseous</t>
        </is>
      </c>
      <c r="H144" s="4" t="inlineStr">
        <is>
          <t>hydrogen loss makeup</t>
        </is>
      </c>
      <c r="I144" s="4" t="inlineStr">
        <is>
          <t>((1+storage loss)*(1+use loss)-1)*hydrogen input</t>
        </is>
      </c>
      <c r="J144" s="4" t="inlineStr">
        <is>
          <t>AEC electrolyzer - grid</t>
        </is>
      </c>
      <c r="K144" s="4" t="inlineStr">
        <is>
          <t>electricity, residential, by conversion of hydrogen using fuel cell, SOFC, allocated by exergy, distributed by pipeline, produced by Electrolysis, PEM using electricity from grid</t>
        </is>
      </c>
      <c r="L144" s="4" t="n">
        <v>2</v>
      </c>
      <c r="M144" s="4" t="n">
        <v>-8.021695127209821</v>
      </c>
      <c r="N144" s="4" t="n">
        <v>1.05</v>
      </c>
      <c r="O144" s="8" t="n">
        <v>1.2</v>
      </c>
      <c r="P144" s="4" t="n">
        <v>1</v>
      </c>
      <c r="Q144" s="4" t="n">
        <v>1.01</v>
      </c>
      <c r="R144" s="4" t="n">
        <v>1.2</v>
      </c>
      <c r="S144" s="4" t="n">
        <v>1.2</v>
      </c>
      <c r="T144" s="4" t="n">
        <v>1.05</v>
      </c>
      <c r="U144" s="4" t="n">
        <v>0.1616967992407096</v>
      </c>
    </row>
    <row r="145" customFormat="1" s="4">
      <c r="A145" s="4" t="inlineStr">
        <is>
          <t>Water</t>
        </is>
      </c>
      <c r="B145" s="5">
        <f>0.527565701578468/1000</f>
        <v>5.2756570157846809E-4</v>
      </c>
      <c r="C145" s="4" t="inlineStr">
        <is>
          <t>cubic meter</t>
        </is>
      </c>
      <c r="D145" s="4" t="inlineStr">
        <is>
          <t>air</t>
        </is>
      </c>
      <c r="F145" s="4" t="inlineStr">
        <is>
          <t>biosphere</t>
        </is>
      </c>
      <c r="H145" s="4" t="inlineStr">
        <is>
          <t>emissions</t>
        </is>
      </c>
      <c r="I145" s="4" t="inlineStr">
        <is>
          <t>9kg of water produced per kg of H2 combusted.</t>
        </is>
      </c>
      <c r="K145" s="4" t="inlineStr">
        <is>
          <t>electricity, residential, by conversion of hydrogen using fuel cell, SOFC, allocated by exergy, distributed by pipeline, produced by Electrolysis, PEM using electricity from grid</t>
        </is>
      </c>
      <c r="L145" s="4" t="n">
        <v>2</v>
      </c>
      <c r="M145" s="4" t="n">
        <v>-0.6394818686325766</v>
      </c>
      <c r="N145" s="4" t="n">
        <v>1.05</v>
      </c>
      <c r="O145" s="8" t="n">
        <v>1.2</v>
      </c>
      <c r="P145" s="4" t="n">
        <v>1</v>
      </c>
      <c r="Q145" s="4" t="n">
        <v>1.01</v>
      </c>
      <c r="R145" s="4" t="n">
        <v>1.2</v>
      </c>
      <c r="S145" s="4" t="n">
        <v>1.2</v>
      </c>
      <c r="T145" s="4" t="n">
        <v>1.05</v>
      </c>
      <c r="U145" s="4" t="n">
        <v>0.1616967992407096</v>
      </c>
    </row>
    <row r="146" customFormat="1" s="4">
      <c r="A146" s="4" t="inlineStr">
        <is>
          <t>Hydrogen</t>
        </is>
      </c>
      <c r="B146" s="9" t="n">
        <v>0.0003282631032043829</v>
      </c>
      <c r="C146" s="4" t="inlineStr">
        <is>
          <t>kilogram</t>
        </is>
      </c>
      <c r="D146" s="4" t="inlineStr">
        <is>
          <t>air</t>
        </is>
      </c>
      <c r="F146" s="4" t="inlineStr">
        <is>
          <t>biosphere</t>
        </is>
      </c>
      <c r="H146" s="4" t="inlineStr">
        <is>
          <t>emissions</t>
        </is>
      </c>
      <c r="I146" s="4" t="inlineStr">
        <is>
          <t>Hydrogen leakage.</t>
        </is>
      </c>
      <c r="K146" s="4" t="inlineStr">
        <is>
          <t>electricity, residential, by conversion of hydrogen using fuel cell, SOFC, allocated by exergy, distributed by pipeline, produced by Electrolysis, PEM using electricity from grid</t>
        </is>
      </c>
      <c r="O146" s="8" t="n"/>
    </row>
    <row r="147" customFormat="1" s="4">
      <c r="B147" s="5" t="n"/>
    </row>
    <row r="148">
      <c r="A148" t="inlineStr">
        <is>
          <t>Activity</t>
        </is>
      </c>
      <c r="B148" s="1" t="inlineStr">
        <is>
          <t>heat, residential, by combustion of synthetic natural gas from catalytic methanation using boiler, distributed by pipeline, produced by Electrolysis, PEM using electricity from grid and carbon sourced from DAC</t>
        </is>
      </c>
    </row>
    <row r="149">
      <c r="A149" t="inlineStr">
        <is>
          <t>comment</t>
        </is>
      </c>
      <c r="B149" t="inlineStr">
        <is>
          <t>This dataset represents the supply of 1 megajoule of heat in a residence, by synthetic natural gas from catalytic methanation combustion in a boiler.  The synthetic natural gas from catalytic methanation is produced by  Electrolysis, PEM, with electricity from grid as feedstock. The carbon is sourced from DAC. Heat conversion efficiency [% LHV input]: 109.5%. LHV [MJ/kg]: 48. Market price [Euro/MJ]: 0.0266666666666667. Distribution loss [% output]: 0.019%. Storage loss [% output]: 0%. CO2 biogenic share [%]: 100%. Power [kW]: 16.4. Lifetime [years]: 20. Annual operation [hours]: 2100. : .  For more information, refer to: Sacchi, R. and Bauer, C. LCA of Power-to-X processes and applications in the residential sector. Paul Scherrer Institut, 2023.</t>
        </is>
      </c>
    </row>
    <row r="150">
      <c r="A150" t="inlineStr">
        <is>
          <t>source</t>
        </is>
      </c>
      <c r="B150" t="inlineStr">
        <is>
          <t>Sacchi, R. and Bauer, C. LCA of Power-to-X processes and applications in the residential sector. Paul Scherrer Institut, 2023.</t>
        </is>
      </c>
    </row>
    <row r="151">
      <c r="A151" t="inlineStr">
        <is>
          <t>location</t>
        </is>
      </c>
      <c r="B151" t="inlineStr">
        <is>
          <t>RER</t>
        </is>
      </c>
    </row>
    <row r="152">
      <c r="A152" t="inlineStr">
        <is>
          <t>reference product</t>
        </is>
      </c>
      <c r="B152" t="inlineStr">
        <is>
          <t>heat, from residential heating system</t>
        </is>
      </c>
    </row>
    <row r="153">
      <c r="A153" t="inlineStr">
        <is>
          <t>unit</t>
        </is>
      </c>
      <c r="B153" t="inlineStr">
        <is>
          <t>megajoule</t>
        </is>
      </c>
    </row>
    <row r="154" customFormat="1" s="1">
      <c r="A154" s="1" t="inlineStr">
        <is>
          <t>Exchanges</t>
        </is>
      </c>
    </row>
    <row r="155" customFormat="1" s="1">
      <c r="A155" s="1" t="inlineStr">
        <is>
          <t>name</t>
        </is>
      </c>
      <c r="B155" s="1" t="inlineStr">
        <is>
          <t>amount</t>
        </is>
      </c>
      <c r="C155" s="1" t="inlineStr">
        <is>
          <t>unit</t>
        </is>
      </c>
      <c r="D155" s="1" t="inlineStr">
        <is>
          <t>categories</t>
        </is>
      </c>
      <c r="E155" s="1" t="inlineStr">
        <is>
          <t>location</t>
        </is>
      </c>
      <c r="F155" s="1" t="inlineStr">
        <is>
          <t>type</t>
        </is>
      </c>
      <c r="G155" s="1" t="inlineStr">
        <is>
          <t>reference product</t>
        </is>
      </c>
      <c r="H155" s="1" t="inlineStr">
        <is>
          <t>tag</t>
        </is>
      </c>
      <c r="I155" s="1" t="inlineStr">
        <is>
          <t>comment</t>
        </is>
      </c>
      <c r="J155" s="1" t="inlineStr">
        <is>
          <t>input type</t>
        </is>
      </c>
      <c r="K155" s="1" t="inlineStr">
        <is>
          <t>dataset name</t>
        </is>
      </c>
      <c r="L155" s="1" t="inlineStr">
        <is>
          <t>uncertainty type</t>
        </is>
      </c>
      <c r="M155" s="1" t="inlineStr">
        <is>
          <t>loc</t>
        </is>
      </c>
      <c r="N155" s="1" t="inlineStr">
        <is>
          <t>u1</t>
        </is>
      </c>
      <c r="O155" s="1" t="inlineStr">
        <is>
          <t>u2</t>
        </is>
      </c>
      <c r="P155" s="1" t="inlineStr">
        <is>
          <t>u3</t>
        </is>
      </c>
      <c r="Q155" s="1" t="inlineStr">
        <is>
          <t>u4</t>
        </is>
      </c>
      <c r="R155" s="1" t="inlineStr">
        <is>
          <t>u5</t>
        </is>
      </c>
      <c r="S155" s="1" t="inlineStr">
        <is>
          <t>u6</t>
        </is>
      </c>
      <c r="T155" s="1" t="inlineStr">
        <is>
          <t>ub</t>
        </is>
      </c>
      <c r="U155" s="1" t="inlineStr">
        <is>
          <t>scale</t>
        </is>
      </c>
      <c r="V155" s="1" t="inlineStr">
        <is>
          <t>negative</t>
        </is>
      </c>
      <c r="W155" s="1" t="inlineStr">
        <is>
          <t>simapro category</t>
        </is>
      </c>
    </row>
    <row r="156">
      <c r="A156" t="inlineStr">
        <is>
          <t>heat, residential, by combustion of synthetic natural gas from catalytic methanation using boiler, distributed by pipeline, produced by Electrolysis, PEM using electricity from grid and carbon sourced from DAC</t>
        </is>
      </c>
      <c r="B156" t="n">
        <v>1</v>
      </c>
      <c r="C156" t="inlineStr">
        <is>
          <t>megajoule</t>
        </is>
      </c>
      <c r="E156" t="inlineStr">
        <is>
          <t>RER</t>
        </is>
      </c>
      <c r="F156" t="inlineStr">
        <is>
          <t>production</t>
        </is>
      </c>
      <c r="G156" t="inlineStr">
        <is>
          <t>heat, from residential heating system</t>
        </is>
      </c>
      <c r="K156" t="inlineStr">
        <is>
          <t>heat, residential, by combustion of synthetic natural gas from catalytic methanation using boiler, distributed by pipeline, produced by Electrolysis, PEM using electricity from grid and carbon sourced from DAC</t>
        </is>
      </c>
      <c r="W156" t="inlineStr">
        <is>
          <t>Energy/Heat/Synthetic/Transformation</t>
        </is>
      </c>
    </row>
    <row r="157">
      <c r="A157" t="inlineStr">
        <is>
          <t>market for gas boiler</t>
        </is>
      </c>
      <c r="B157" t="n">
        <v>4.032778423022325e-07</v>
      </c>
      <c r="C157" t="inlineStr">
        <is>
          <t>unit</t>
        </is>
      </c>
      <c r="E157" t="inlineStr">
        <is>
          <t>GLO</t>
        </is>
      </c>
      <c r="F157" t="inlineStr">
        <is>
          <t>technosphere</t>
        </is>
      </c>
      <c r="G157" t="inlineStr">
        <is>
          <t>gas boiler</t>
        </is>
      </c>
      <c r="H157" t="inlineStr">
        <is>
          <t>infrastructure</t>
        </is>
      </c>
      <c r="I157" t="inlineStr">
        <is>
          <t>1/(Cap. [kW] * lifetime [y] * annual operation [h] * 3.6 [MJ/kWh])</t>
        </is>
      </c>
      <c r="K157" t="inlineStr">
        <is>
          <t>heat, residential, by combustion of synthetic natural gas from catalytic methanation using boiler, distributed by pipeline, produced by Electrolysis, PEM using electricity from grid and carbon sourced from DAC</t>
        </is>
      </c>
      <c r="L157" t="n">
        <v>2</v>
      </c>
      <c r="M157" t="n">
        <v>-14.72364007755772</v>
      </c>
      <c r="N157" t="n">
        <v>1.05</v>
      </c>
      <c r="O157" t="n">
        <v>1.2</v>
      </c>
      <c r="P157" t="n">
        <v>1</v>
      </c>
      <c r="Q157" t="n">
        <v>1.01</v>
      </c>
      <c r="R157" t="n">
        <v>1.2</v>
      </c>
      <c r="S157" t="n">
        <v>1.2</v>
      </c>
      <c r="T157" t="n">
        <v>3</v>
      </c>
      <c r="U157" t="n">
        <v>0.572090880068819</v>
      </c>
    </row>
    <row r="158">
      <c r="A158" t="inlineStr">
        <is>
          <t>market for chimney</t>
        </is>
      </c>
      <c r="B158" t="n">
        <v>8.82e-07</v>
      </c>
      <c r="C158" t="inlineStr">
        <is>
          <t>meter</t>
        </is>
      </c>
      <c r="E158" t="inlineStr">
        <is>
          <t>GLO</t>
        </is>
      </c>
      <c r="F158" t="inlineStr">
        <is>
          <t>technosphere</t>
        </is>
      </c>
      <c r="G158" t="inlineStr">
        <is>
          <t>chimney</t>
        </is>
      </c>
      <c r="H158" t="inlineStr">
        <is>
          <t>infrastructure</t>
        </is>
      </c>
      <c r="I158" t="inlineStr">
        <is>
          <t>To evacuate the flue gases.</t>
        </is>
      </c>
      <c r="K158" t="inlineStr">
        <is>
          <t>heat, residential, by combustion of synthetic natural gas from catalytic methanation using boiler, distributed by pipeline, produced by Electrolysis, PEM using electricity from grid and carbon sourced from DAC</t>
        </is>
      </c>
      <c r="L158" t="n">
        <v>2</v>
      </c>
      <c r="M158" t="n">
        <v>-13.94107378093962</v>
      </c>
      <c r="N158" t="n">
        <v>1.05</v>
      </c>
      <c r="O158" t="n">
        <v>1.2</v>
      </c>
      <c r="P158" t="n">
        <v>1</v>
      </c>
      <c r="Q158" t="n">
        <v>1.01</v>
      </c>
      <c r="R158" t="n">
        <v>1.2</v>
      </c>
      <c r="S158" t="n">
        <v>1.2</v>
      </c>
      <c r="T158" t="n">
        <v>3</v>
      </c>
      <c r="U158" t="n">
        <v>0.572090880068819</v>
      </c>
    </row>
    <row r="159">
      <c r="A159" t="inlineStr">
        <is>
          <t>market group for electricity, low voltage</t>
        </is>
      </c>
      <c r="B159" t="n">
        <v>0.000734</v>
      </c>
      <c r="C159" t="inlineStr">
        <is>
          <t>kilowatt hour</t>
        </is>
      </c>
      <c r="E159" t="inlineStr">
        <is>
          <t>RER</t>
        </is>
      </c>
      <c r="F159" t="inlineStr">
        <is>
          <t>technosphere</t>
        </is>
      </c>
      <c r="G159" t="inlineStr">
        <is>
          <t>electricity, low voltage</t>
        </is>
      </c>
      <c r="H159" t="inlineStr">
        <is>
          <t>electricity</t>
        </is>
      </c>
      <c r="I159" t="inlineStr">
        <is>
          <t>To operate the boiler.</t>
        </is>
      </c>
      <c r="J159" t="inlineStr">
        <is>
          <t>grid electricity</t>
        </is>
      </c>
      <c r="K159" t="inlineStr">
        <is>
          <t>heat, residential, by combustion of synthetic natural gas from catalytic methanation using boiler, distributed by pipeline, produced by Electrolysis, PEM using electricity from grid and carbon sourced from DAC</t>
        </is>
      </c>
      <c r="L159" t="n">
        <v>2</v>
      </c>
      <c r="M159" t="n">
        <v>-7.217001529349758</v>
      </c>
      <c r="N159" t="n">
        <v>1.05</v>
      </c>
      <c r="O159" t="n">
        <v>1.2</v>
      </c>
      <c r="P159" t="n">
        <v>1</v>
      </c>
      <c r="Q159" t="n">
        <v>1.01</v>
      </c>
      <c r="R159" t="n">
        <v>1.2</v>
      </c>
      <c r="S159" t="n">
        <v>1.2</v>
      </c>
      <c r="T159" t="n">
        <v>1.05</v>
      </c>
      <c r="U159" t="n">
        <v>0.1616967992407096</v>
      </c>
    </row>
    <row r="160">
      <c r="A160" t="inlineStr">
        <is>
          <t>methane, from electrochemical methanation, with carbon from atmosphere</t>
        </is>
      </c>
      <c r="B160" t="n">
        <v>0.01902587519025875</v>
      </c>
      <c r="C160" t="inlineStr">
        <is>
          <t>kilogram</t>
        </is>
      </c>
      <c r="E160" t="inlineStr">
        <is>
          <t>RER</t>
        </is>
      </c>
      <c r="F160" t="inlineStr">
        <is>
          <t>technosphere</t>
        </is>
      </c>
      <c r="G160" t="inlineStr">
        <is>
          <t>methane, from electrochemical methanation</t>
        </is>
      </c>
      <c r="H160" t="inlineStr">
        <is>
          <t>synthetic natural gas</t>
        </is>
      </c>
      <c r="I160" t="inlineStr">
        <is>
          <t>Methane input. 1 [MJ SNG]/ 47.5 [MJ/kg SNG]/ eff.(th)</t>
        </is>
      </c>
      <c r="J160" t="inlineStr">
        <is>
          <t>SNG biological - w CO2 from DAC</t>
        </is>
      </c>
      <c r="K160" t="inlineStr">
        <is>
          <t>heat, residential, by combustion of synthetic natural gas from catalytic methanation using boiler, distributed by pipeline, produced by Electrolysis, PEM using electricity from grid and carbon sourced from DAC</t>
        </is>
      </c>
      <c r="L160" t="n">
        <v>2</v>
      </c>
      <c r="M160" t="n">
        <v>-3.961955374176355</v>
      </c>
      <c r="N160" t="n">
        <v>1.05</v>
      </c>
      <c r="O160" t="n">
        <v>1.2</v>
      </c>
      <c r="P160" t="n">
        <v>1</v>
      </c>
      <c r="Q160" t="n">
        <v>1.01</v>
      </c>
      <c r="R160" t="n">
        <v>1.2</v>
      </c>
      <c r="S160" t="n">
        <v>1.2</v>
      </c>
      <c r="T160" t="n">
        <v>1.05</v>
      </c>
      <c r="U160" t="n">
        <v>0.1616967992407096</v>
      </c>
    </row>
    <row r="161">
      <c r="A161" t="inlineStr">
        <is>
          <t>Acetaldehyde</t>
        </is>
      </c>
      <c r="B161" t="n">
        <v>9.799999999999999e-10</v>
      </c>
      <c r="C161" t="inlineStr">
        <is>
          <t>kilogram</t>
        </is>
      </c>
      <c r="D161" t="inlineStr">
        <is>
          <t>air::urban air close to ground</t>
        </is>
      </c>
      <c r="F161" t="inlineStr">
        <is>
          <t>biosphere</t>
        </is>
      </c>
      <c r="H161" t="inlineStr">
        <is>
          <t>emissions</t>
        </is>
      </c>
      <c r="I161" t="inlineStr">
        <is>
          <t>Adapted from "heat production, biomethane, at boiler condensing modulating &lt;100kW"</t>
        </is>
      </c>
      <c r="K161" t="inlineStr">
        <is>
          <t>heat, residential, by combustion of synthetic natural gas from catalytic methanation using boiler, distributed by pipeline, produced by Electrolysis, PEM using electricity from grid and carbon sourced from DAC</t>
        </is>
      </c>
      <c r="L161" t="n">
        <v>2</v>
      </c>
      <c r="M161" t="n">
        <v>-20.74346854426393</v>
      </c>
      <c r="N161" t="n">
        <v>1.5</v>
      </c>
      <c r="O161" t="n">
        <v>1.2</v>
      </c>
      <c r="P161" t="n">
        <v>1.5</v>
      </c>
      <c r="Q161" t="n">
        <v>1.1</v>
      </c>
      <c r="R161" t="n">
        <v>2</v>
      </c>
      <c r="S161" t="n">
        <v>1.2</v>
      </c>
      <c r="T161" t="n">
        <v>1.5</v>
      </c>
      <c r="U161" t="n">
        <v>0.5121584730617011</v>
      </c>
    </row>
    <row r="162">
      <c r="A162" t="inlineStr">
        <is>
          <t>Acetic acid</t>
        </is>
      </c>
      <c r="B162" t="n">
        <v>1.47e-07</v>
      </c>
      <c r="C162" t="inlineStr">
        <is>
          <t>kilogram</t>
        </is>
      </c>
      <c r="D162" t="inlineStr">
        <is>
          <t>air::urban air close to ground</t>
        </is>
      </c>
      <c r="F162" t="inlineStr">
        <is>
          <t>biosphere</t>
        </is>
      </c>
      <c r="H162" t="inlineStr">
        <is>
          <t>emissions</t>
        </is>
      </c>
      <c r="I162" t="inlineStr">
        <is>
          <t>Adapted from "heat production, biomethane, at boiler condensing modulating &lt;100kW"</t>
        </is>
      </c>
      <c r="K162" t="inlineStr">
        <is>
          <t>heat, residential, by combustion of synthetic natural gas from catalytic methanation using boiler, distributed by pipeline, produced by Electrolysis, PEM using electricity from grid and carbon sourced from DAC</t>
        </is>
      </c>
      <c r="L162" t="n">
        <v>2</v>
      </c>
      <c r="M162" t="n">
        <v>-15.73283325016767</v>
      </c>
      <c r="N162" t="n">
        <v>1.5</v>
      </c>
      <c r="O162" t="n">
        <v>1.2</v>
      </c>
      <c r="P162" t="n">
        <v>1.5</v>
      </c>
      <c r="Q162" t="n">
        <v>1.1</v>
      </c>
      <c r="R162" t="n">
        <v>2</v>
      </c>
      <c r="S162" t="n">
        <v>1.2</v>
      </c>
      <c r="T162" t="n">
        <v>1.5</v>
      </c>
      <c r="U162" t="n">
        <v>0.5121584730617011</v>
      </c>
    </row>
    <row r="163">
      <c r="A163" t="inlineStr">
        <is>
          <t>Benzene</t>
        </is>
      </c>
      <c r="B163" t="n">
        <v>3.92e-07</v>
      </c>
      <c r="C163" t="inlineStr">
        <is>
          <t>kilogram</t>
        </is>
      </c>
      <c r="D163" t="inlineStr">
        <is>
          <t>air::urban air close to ground</t>
        </is>
      </c>
      <c r="F163" t="inlineStr">
        <is>
          <t>biosphere</t>
        </is>
      </c>
      <c r="H163" t="inlineStr">
        <is>
          <t>emissions</t>
        </is>
      </c>
      <c r="I163" t="inlineStr">
        <is>
          <t>Adapted from "heat production, biomethane, at boiler condensing modulating &lt;100kW"</t>
        </is>
      </c>
      <c r="K163" t="inlineStr">
        <is>
          <t>heat, residential, by combustion of synthetic natural gas from catalytic methanation using boiler, distributed by pipeline, produced by Electrolysis, PEM using electricity from grid and carbon sourced from DAC</t>
        </is>
      </c>
      <c r="L163" t="n">
        <v>2</v>
      </c>
      <c r="M163" t="n">
        <v>-14.75200399715595</v>
      </c>
      <c r="N163" t="n">
        <v>1.5</v>
      </c>
      <c r="O163" t="n">
        <v>1.2</v>
      </c>
      <c r="P163" t="n">
        <v>1.5</v>
      </c>
      <c r="Q163" t="n">
        <v>1.1</v>
      </c>
      <c r="R163" t="n">
        <v>2</v>
      </c>
      <c r="S163" t="n">
        <v>1.2</v>
      </c>
      <c r="T163" t="n">
        <v>1.5</v>
      </c>
      <c r="U163" t="n">
        <v>0.5121584730617011</v>
      </c>
    </row>
    <row r="164">
      <c r="A164" t="inlineStr">
        <is>
          <t>Benzo(a)pyrene</t>
        </is>
      </c>
      <c r="B164" t="n">
        <v>9.799999999999999e-12</v>
      </c>
      <c r="C164" t="inlineStr">
        <is>
          <t>kilogram</t>
        </is>
      </c>
      <c r="D164" t="inlineStr">
        <is>
          <t>air::urban air close to ground</t>
        </is>
      </c>
      <c r="F164" t="inlineStr">
        <is>
          <t>biosphere</t>
        </is>
      </c>
      <c r="H164" t="inlineStr">
        <is>
          <t>emissions</t>
        </is>
      </c>
      <c r="I164" t="inlineStr">
        <is>
          <t>Adapted from "heat production, biomethane, at boiler condensing modulating &lt;100kW"</t>
        </is>
      </c>
      <c r="K164" t="inlineStr">
        <is>
          <t>heat, residential, by combustion of synthetic natural gas from catalytic methanation using boiler, distributed by pipeline, produced by Electrolysis, PEM using electricity from grid and carbon sourced from DAC</t>
        </is>
      </c>
      <c r="L164" t="n">
        <v>2</v>
      </c>
      <c r="M164" t="n">
        <v>-25.34863873025202</v>
      </c>
      <c r="N164" t="n">
        <v>1.5</v>
      </c>
      <c r="O164" t="n">
        <v>1.2</v>
      </c>
      <c r="P164" t="n">
        <v>1.5</v>
      </c>
      <c r="Q164" t="n">
        <v>1.1</v>
      </c>
      <c r="R164" t="n">
        <v>2</v>
      </c>
      <c r="S164" t="n">
        <v>1.2</v>
      </c>
      <c r="T164" t="n">
        <v>1.5</v>
      </c>
      <c r="U164" t="n">
        <v>0.5121584730617011</v>
      </c>
    </row>
    <row r="165">
      <c r="A165" t="inlineStr">
        <is>
          <t>Carbon dioxide, non-fossil</t>
        </is>
      </c>
      <c r="B165">
        <f>2.74*B160</f>
        <v>5.2130898021308984E-2</v>
      </c>
      <c r="C165" t="inlineStr">
        <is>
          <t>kilogram</t>
        </is>
      </c>
      <c r="D165" t="inlineStr">
        <is>
          <t>air::urban air close to ground</t>
        </is>
      </c>
      <c r="F165" t="inlineStr">
        <is>
          <t>biosphere</t>
        </is>
      </c>
      <c r="H165" t="inlineStr">
        <is>
          <t>emissions</t>
        </is>
      </c>
      <c r="I165" t="inlineStr">
        <is>
          <t>Adapted from "heat production, biomethane, at boiler condensing modulating &lt;100kW"</t>
        </is>
      </c>
      <c r="K165" t="inlineStr">
        <is>
          <t>heat, residential, by combustion of synthetic natural gas from catalytic methanation using boiler, distributed by pipeline, produced by Electrolysis, PEM using electricity from grid and carbon sourced from DAC</t>
        </is>
      </c>
      <c r="L165" t="n">
        <v>2</v>
      </c>
      <c r="M165" t="n">
        <v>-2.953997453776376</v>
      </c>
      <c r="N165" t="n">
        <v>1.5</v>
      </c>
      <c r="O165" t="n">
        <v>1.2</v>
      </c>
      <c r="P165" t="n">
        <v>1.5</v>
      </c>
      <c r="Q165" t="n">
        <v>1.1</v>
      </c>
      <c r="R165" t="n">
        <v>2</v>
      </c>
      <c r="S165" t="n">
        <v>1.2</v>
      </c>
      <c r="T165" t="n">
        <v>1.05</v>
      </c>
      <c r="U165" t="n">
        <v>0.4709574641998169</v>
      </c>
    </row>
    <row r="166">
      <c r="A166" t="inlineStr">
        <is>
          <t>Carbon monoxide, non-fossil</t>
        </is>
      </c>
      <c r="B166" t="n">
        <v>5.782e-06</v>
      </c>
      <c r="C166" t="inlineStr">
        <is>
          <t>kilogram</t>
        </is>
      </c>
      <c r="D166" t="inlineStr">
        <is>
          <t>air::urban air close to ground</t>
        </is>
      </c>
      <c r="F166" t="inlineStr">
        <is>
          <t>biosphere</t>
        </is>
      </c>
      <c r="H166" t="inlineStr">
        <is>
          <t>emissions</t>
        </is>
      </c>
      <c r="I166" t="inlineStr">
        <is>
          <t>Adapted from "heat production, biomethane, at boiler condensing modulating &lt;100kW"</t>
        </is>
      </c>
      <c r="K166" t="inlineStr">
        <is>
          <t>heat, residential, by combustion of synthetic natural gas from catalytic methanation using boiler, distributed by pipeline, produced by Electrolysis, PEM using electricity from grid and carbon sourced from DAC</t>
        </is>
      </c>
      <c r="L166" t="n">
        <v>2</v>
      </c>
      <c r="M166" t="n">
        <v>-12.06076091437012</v>
      </c>
      <c r="N166" t="n">
        <v>1.5</v>
      </c>
      <c r="O166" t="n">
        <v>1.2</v>
      </c>
      <c r="P166" t="n">
        <v>1.5</v>
      </c>
      <c r="Q166" t="n">
        <v>1.1</v>
      </c>
      <c r="R166" t="n">
        <v>2</v>
      </c>
      <c r="S166" t="n">
        <v>1.2</v>
      </c>
      <c r="T166" t="n">
        <v>5</v>
      </c>
      <c r="U166" t="n">
        <v>0.9320828351335841</v>
      </c>
    </row>
    <row r="167">
      <c r="A167" t="inlineStr">
        <is>
          <t>Dinitrogen monoxide</t>
        </is>
      </c>
      <c r="B167" t="n">
        <v>4.9e-07</v>
      </c>
      <c r="C167" t="inlineStr">
        <is>
          <t>kilogram</t>
        </is>
      </c>
      <c r="D167" t="inlineStr">
        <is>
          <t>air::urban air close to ground</t>
        </is>
      </c>
      <c r="F167" t="inlineStr">
        <is>
          <t>biosphere</t>
        </is>
      </c>
      <c r="H167" t="inlineStr">
        <is>
          <t>emissions</t>
        </is>
      </c>
      <c r="I167" t="inlineStr">
        <is>
          <t>Adapted from "heat production, biomethane, at boiler condensing modulating &lt;100kW"</t>
        </is>
      </c>
      <c r="K167" t="inlineStr">
        <is>
          <t>heat, residential, by combustion of synthetic natural gas from catalytic methanation using boiler, distributed by pipeline, produced by Electrolysis, PEM using electricity from grid and carbon sourced from DAC</t>
        </is>
      </c>
      <c r="L167" t="n">
        <v>2</v>
      </c>
      <c r="M167" t="n">
        <v>-14.52886044584174</v>
      </c>
      <c r="N167" t="n">
        <v>1.5</v>
      </c>
      <c r="O167" t="n">
        <v>1.2</v>
      </c>
      <c r="P167" t="n">
        <v>1.5</v>
      </c>
      <c r="Q167" t="n">
        <v>1.1</v>
      </c>
      <c r="R167" t="n">
        <v>2</v>
      </c>
      <c r="S167" t="n">
        <v>1.2</v>
      </c>
      <c r="T167" t="n">
        <v>1.5</v>
      </c>
      <c r="U167" t="n">
        <v>0.5121584730617011</v>
      </c>
    </row>
    <row r="168">
      <c r="A168" t="inlineStr">
        <is>
          <t>Dioxins, measured as 2,3,7,8-tetrachlorodibenzo-p-dioxin</t>
        </is>
      </c>
      <c r="B168" t="n">
        <v>2.94e-17</v>
      </c>
      <c r="C168" t="inlineStr">
        <is>
          <t>kilogram</t>
        </is>
      </c>
      <c r="D168" t="inlineStr">
        <is>
          <t>air::urban air close to ground</t>
        </is>
      </c>
      <c r="F168" t="inlineStr">
        <is>
          <t>biosphere</t>
        </is>
      </c>
      <c r="H168" t="inlineStr">
        <is>
          <t>emissions</t>
        </is>
      </c>
      <c r="I168" t="inlineStr">
        <is>
          <t>Adapted from "heat production, biomethane, at boiler condensing modulating &lt;100kW"</t>
        </is>
      </c>
      <c r="K168" t="inlineStr">
        <is>
          <t>heat, residential, by combustion of synthetic natural gas from catalytic methanation using boiler, distributed by pipeline, produced by Electrolysis, PEM using electricity from grid and carbon sourced from DAC</t>
        </is>
      </c>
      <c r="L168" t="n">
        <v>2</v>
      </c>
      <c r="M168" t="n">
        <v>-38.06553699954819</v>
      </c>
      <c r="N168" t="n">
        <v>1.5</v>
      </c>
      <c r="O168" t="n">
        <v>1.2</v>
      </c>
      <c r="P168" t="n">
        <v>1.5</v>
      </c>
      <c r="Q168" t="n">
        <v>1.1</v>
      </c>
      <c r="R168" t="n">
        <v>2</v>
      </c>
      <c r="S168" t="n">
        <v>1.2</v>
      </c>
      <c r="T168" t="n">
        <v>1.5</v>
      </c>
      <c r="U168" t="n">
        <v>0.5121584730617011</v>
      </c>
    </row>
    <row r="169">
      <c r="A169" t="inlineStr">
        <is>
          <t>Formaldehyde</t>
        </is>
      </c>
      <c r="B169" t="n">
        <v>9.8e-08</v>
      </c>
      <c r="C169" t="inlineStr">
        <is>
          <t>kilogram</t>
        </is>
      </c>
      <c r="D169" t="inlineStr">
        <is>
          <t>air::urban air close to ground</t>
        </is>
      </c>
      <c r="F169" t="inlineStr">
        <is>
          <t>biosphere</t>
        </is>
      </c>
      <c r="H169" t="inlineStr">
        <is>
          <t>emissions</t>
        </is>
      </c>
      <c r="I169" t="inlineStr">
        <is>
          <t>Adapted from "heat production, biomethane, at boiler condensing modulating &lt;100kW"</t>
        </is>
      </c>
      <c r="K169" t="inlineStr">
        <is>
          <t>heat, residential, by combustion of synthetic natural gas from catalytic methanation using boiler, distributed by pipeline, produced by Electrolysis, PEM using electricity from grid and carbon sourced from DAC</t>
        </is>
      </c>
      <c r="L169" t="n">
        <v>2</v>
      </c>
      <c r="M169" t="n">
        <v>-16.13829835827584</v>
      </c>
      <c r="N169" t="n">
        <v>1.5</v>
      </c>
      <c r="O169" t="n">
        <v>1.2</v>
      </c>
      <c r="P169" t="n">
        <v>1.5</v>
      </c>
      <c r="Q169" t="n">
        <v>1.1</v>
      </c>
      <c r="R169" t="n">
        <v>2</v>
      </c>
      <c r="S169" t="n">
        <v>1.2</v>
      </c>
      <c r="T169" t="n">
        <v>1.5</v>
      </c>
      <c r="U169" t="n">
        <v>0.5121584730617011</v>
      </c>
    </row>
    <row r="170">
      <c r="A170" t="inlineStr">
        <is>
          <t>Mercury II</t>
        </is>
      </c>
      <c r="B170" t="n">
        <v>2.94e-11</v>
      </c>
      <c r="C170" t="inlineStr">
        <is>
          <t>kilogram</t>
        </is>
      </c>
      <c r="D170" t="inlineStr">
        <is>
          <t>air::urban air close to ground</t>
        </is>
      </c>
      <c r="F170" t="inlineStr">
        <is>
          <t>biosphere</t>
        </is>
      </c>
      <c r="H170" t="inlineStr">
        <is>
          <t>emissions</t>
        </is>
      </c>
      <c r="I170" t="inlineStr">
        <is>
          <t>Adapted from "heat production, biomethane, at boiler condensing modulating &lt;100kW"</t>
        </is>
      </c>
      <c r="K170" t="inlineStr">
        <is>
          <t>heat, residential, by combustion of synthetic natural gas from catalytic methanation using boiler, distributed by pipeline, produced by Electrolysis, PEM using electricity from grid and carbon sourced from DAC</t>
        </is>
      </c>
      <c r="L170" t="n">
        <v>2</v>
      </c>
      <c r="M170" t="n">
        <v>-24.25002644158391</v>
      </c>
      <c r="N170" t="n">
        <v>1.5</v>
      </c>
      <c r="O170" t="n">
        <v>1.2</v>
      </c>
      <c r="P170" t="n">
        <v>1.5</v>
      </c>
      <c r="Q170" t="n">
        <v>1.1</v>
      </c>
      <c r="R170" t="n">
        <v>2</v>
      </c>
      <c r="S170" t="n">
        <v>1.2</v>
      </c>
      <c r="T170" t="n">
        <v>5</v>
      </c>
      <c r="U170" t="n">
        <v>0.9320828351335841</v>
      </c>
    </row>
    <row r="171">
      <c r="A171" t="inlineStr">
        <is>
          <t>Methane, non-fossil</t>
        </is>
      </c>
      <c r="B171" t="n">
        <v>1.96e-06</v>
      </c>
      <c r="C171" t="inlineStr">
        <is>
          <t>kilogram</t>
        </is>
      </c>
      <c r="D171" t="inlineStr">
        <is>
          <t>air::urban air close to ground</t>
        </is>
      </c>
      <c r="F171" t="inlineStr">
        <is>
          <t>biosphere</t>
        </is>
      </c>
      <c r="H171" t="inlineStr">
        <is>
          <t>emissions</t>
        </is>
      </c>
      <c r="I171" t="inlineStr">
        <is>
          <t>Adapted from "heat production, biomethane, at boiler condensing modulating &lt;100kW"</t>
        </is>
      </c>
      <c r="K171" t="inlineStr">
        <is>
          <t>heat, residential, by combustion of synthetic natural gas from catalytic methanation using boiler, distributed by pipeline, produced by Electrolysis, PEM using electricity from grid and carbon sourced from DAC</t>
        </is>
      </c>
      <c r="L171" t="n">
        <v>2</v>
      </c>
      <c r="M171" t="n">
        <v>-13.14256608472185</v>
      </c>
      <c r="N171" t="n">
        <v>1.5</v>
      </c>
      <c r="O171" t="n">
        <v>1.2</v>
      </c>
      <c r="P171" t="n">
        <v>1.5</v>
      </c>
      <c r="Q171" t="n">
        <v>1.1</v>
      </c>
      <c r="R171" t="n">
        <v>2</v>
      </c>
      <c r="S171" t="n">
        <v>1.2</v>
      </c>
      <c r="T171" t="n">
        <v>1.5</v>
      </c>
      <c r="U171" t="n">
        <v>0.5121584730617011</v>
      </c>
    </row>
    <row r="172">
      <c r="A172" t="inlineStr">
        <is>
          <t>Methane, fossil</t>
        </is>
      </c>
      <c r="B172" t="n">
        <v>0</v>
      </c>
      <c r="C172" t="inlineStr">
        <is>
          <t>kilogram</t>
        </is>
      </c>
      <c r="D172" t="inlineStr">
        <is>
          <t>air::urban air close to ground</t>
        </is>
      </c>
      <c r="F172" t="inlineStr">
        <is>
          <t>biosphere</t>
        </is>
      </c>
      <c r="H172" t="inlineStr">
        <is>
          <t>emissions</t>
        </is>
      </c>
      <c r="I172" t="inlineStr">
        <is>
          <t>Adapted from "heat production, biomethane, at boiler condensing modulating &lt;100kW"</t>
        </is>
      </c>
      <c r="K172" t="inlineStr">
        <is>
          <t>heat, residential, by combustion of synthetic natural gas from catalytic methanation using boiler, distributed by pipeline, produced by Electrolysis, PEM using electricity from grid and carbon sourced from DAC</t>
        </is>
      </c>
      <c r="L172" t="n">
        <v>1</v>
      </c>
    </row>
    <row r="173">
      <c r="A173" t="inlineStr">
        <is>
          <t>Nitrogen oxides</t>
        </is>
      </c>
      <c r="B173" t="n">
        <v>9.702e-06</v>
      </c>
      <c r="C173" t="inlineStr">
        <is>
          <t>kilogram</t>
        </is>
      </c>
      <c r="D173" t="inlineStr">
        <is>
          <t>air::urban air close to ground</t>
        </is>
      </c>
      <c r="F173" t="inlineStr">
        <is>
          <t>biosphere</t>
        </is>
      </c>
      <c r="H173" t="inlineStr">
        <is>
          <t>emissions</t>
        </is>
      </c>
      <c r="I173" t="inlineStr">
        <is>
          <t>Adapted from "heat production, biomethane, at boiler condensing modulating &lt;100kW"</t>
        </is>
      </c>
      <c r="K173" t="inlineStr">
        <is>
          <t>heat, residential, by combustion of synthetic natural gas from catalytic methanation using boiler, distributed by pipeline, produced by Electrolysis, PEM using electricity from grid and carbon sourced from DAC</t>
        </is>
      </c>
      <c r="L173" t="n">
        <v>2</v>
      </c>
      <c r="M173" t="n">
        <v>-11.54317850814125</v>
      </c>
      <c r="N173" t="n">
        <v>1.5</v>
      </c>
      <c r="O173" t="n">
        <v>1.2</v>
      </c>
      <c r="P173" t="n">
        <v>1.5</v>
      </c>
      <c r="Q173" t="n">
        <v>1.1</v>
      </c>
      <c r="R173" t="n">
        <v>2</v>
      </c>
      <c r="S173" t="n">
        <v>1.2</v>
      </c>
      <c r="T173" t="n">
        <v>1.5</v>
      </c>
      <c r="U173" t="n">
        <v>0.5121584730617011</v>
      </c>
    </row>
    <row r="174">
      <c r="A174" t="inlineStr">
        <is>
          <t>PAH, polycyclic aromatic hydrocarbons</t>
        </is>
      </c>
      <c r="B174" t="n">
        <v>9.8e-09</v>
      </c>
      <c r="C174" t="inlineStr">
        <is>
          <t>kilogram</t>
        </is>
      </c>
      <c r="D174" t="inlineStr">
        <is>
          <t>air::urban air close to ground</t>
        </is>
      </c>
      <c r="F174" t="inlineStr">
        <is>
          <t>biosphere</t>
        </is>
      </c>
      <c r="H174" t="inlineStr">
        <is>
          <t>emissions</t>
        </is>
      </c>
      <c r="I174" t="inlineStr">
        <is>
          <t>Adapted from "heat production, biomethane, at boiler condensing modulating &lt;100kW"</t>
        </is>
      </c>
      <c r="K174" t="inlineStr">
        <is>
          <t>heat, residential, by combustion of synthetic natural gas from catalytic methanation using boiler, distributed by pipeline, produced by Electrolysis, PEM using electricity from grid and carbon sourced from DAC</t>
        </is>
      </c>
      <c r="L174" t="n">
        <v>2</v>
      </c>
      <c r="M174" t="n">
        <v>-18.44088345126988</v>
      </c>
      <c r="N174" t="n">
        <v>1.5</v>
      </c>
      <c r="O174" t="n">
        <v>1.2</v>
      </c>
      <c r="P174" t="n">
        <v>1.5</v>
      </c>
      <c r="Q174" t="n">
        <v>1.1</v>
      </c>
      <c r="R174" t="n">
        <v>2</v>
      </c>
      <c r="S174" t="n">
        <v>1.2</v>
      </c>
      <c r="T174" t="n">
        <v>3</v>
      </c>
      <c r="U174" t="n">
        <v>0.723148016147972</v>
      </c>
    </row>
    <row r="175">
      <c r="A175" t="inlineStr">
        <is>
          <t>Particulate Matter, &lt; 2.5 um</t>
        </is>
      </c>
      <c r="B175" t="n">
        <v>9.8e-08</v>
      </c>
      <c r="C175" t="inlineStr">
        <is>
          <t>kilogram</t>
        </is>
      </c>
      <c r="D175" t="inlineStr">
        <is>
          <t>air::urban air close to ground</t>
        </is>
      </c>
      <c r="F175" t="inlineStr">
        <is>
          <t>biosphere</t>
        </is>
      </c>
      <c r="H175" t="inlineStr">
        <is>
          <t>emissions</t>
        </is>
      </c>
      <c r="I175" t="inlineStr">
        <is>
          <t>Adapted from "heat production, biomethane, at boiler condensing modulating &lt;100kW"</t>
        </is>
      </c>
      <c r="K175" t="inlineStr">
        <is>
          <t>heat, residential, by combustion of synthetic natural gas from catalytic methanation using boiler, distributed by pipeline, produced by Electrolysis, PEM using electricity from grid and carbon sourced from DAC</t>
        </is>
      </c>
      <c r="L175" t="n">
        <v>2</v>
      </c>
      <c r="M175" t="n">
        <v>-16.13829835827584</v>
      </c>
      <c r="N175" t="n">
        <v>1.5</v>
      </c>
      <c r="O175" t="n">
        <v>1.2</v>
      </c>
      <c r="P175" t="n">
        <v>1.5</v>
      </c>
      <c r="Q175" t="n">
        <v>1.1</v>
      </c>
      <c r="R175" t="n">
        <v>2</v>
      </c>
      <c r="S175" t="n">
        <v>1.2</v>
      </c>
      <c r="T175" t="n">
        <v>3</v>
      </c>
      <c r="U175" t="n">
        <v>0.723148016147972</v>
      </c>
    </row>
    <row r="176">
      <c r="A176" t="inlineStr">
        <is>
          <t>Pentane</t>
        </is>
      </c>
      <c r="B176" t="n">
        <v>1.176e-06</v>
      </c>
      <c r="C176" t="inlineStr">
        <is>
          <t>kilogram</t>
        </is>
      </c>
      <c r="D176" t="inlineStr">
        <is>
          <t>air::urban air close to ground</t>
        </is>
      </c>
      <c r="F176" t="inlineStr">
        <is>
          <t>biosphere</t>
        </is>
      </c>
      <c r="H176" t="inlineStr">
        <is>
          <t>emissions</t>
        </is>
      </c>
      <c r="I176" t="inlineStr">
        <is>
          <t>Adapted from "heat production, biomethane, at boiler condensing modulating &lt;100kW"</t>
        </is>
      </c>
      <c r="K176" t="inlineStr">
        <is>
          <t>heat, residential, by combustion of synthetic natural gas from catalytic methanation using boiler, distributed by pipeline, produced by Electrolysis, PEM using electricity from grid and carbon sourced from DAC</t>
        </is>
      </c>
      <c r="L176" t="n">
        <v>2</v>
      </c>
      <c r="M176" t="n">
        <v>-13.65339170848784</v>
      </c>
      <c r="N176" t="n">
        <v>1.5</v>
      </c>
      <c r="O176" t="n">
        <v>1.2</v>
      </c>
      <c r="P176" t="n">
        <v>1.5</v>
      </c>
      <c r="Q176" t="n">
        <v>1.1</v>
      </c>
      <c r="R176" t="n">
        <v>2</v>
      </c>
      <c r="S176" t="n">
        <v>1.2</v>
      </c>
      <c r="T176" t="n">
        <v>1.5</v>
      </c>
      <c r="U176" t="n">
        <v>0.5121584730617011</v>
      </c>
    </row>
    <row r="177">
      <c r="A177" t="inlineStr">
        <is>
          <t>Propionic acid</t>
        </is>
      </c>
      <c r="B177" t="n">
        <v>1.96e-08</v>
      </c>
      <c r="C177" t="inlineStr">
        <is>
          <t>kilogram</t>
        </is>
      </c>
      <c r="D177" t="inlineStr">
        <is>
          <t>air::urban air close to ground</t>
        </is>
      </c>
      <c r="F177" t="inlineStr">
        <is>
          <t>biosphere</t>
        </is>
      </c>
      <c r="H177" t="inlineStr">
        <is>
          <t>emissions</t>
        </is>
      </c>
      <c r="I177" t="inlineStr">
        <is>
          <t>Adapted from "heat production, biomethane, at boiler condensing modulating &lt;100kW"</t>
        </is>
      </c>
      <c r="K177" t="inlineStr">
        <is>
          <t>heat, residential, by combustion of synthetic natural gas from catalytic methanation using boiler, distributed by pipeline, produced by Electrolysis, PEM using electricity from grid and carbon sourced from DAC</t>
        </is>
      </c>
      <c r="L177" t="n">
        <v>2</v>
      </c>
      <c r="M177" t="n">
        <v>-17.74773627070994</v>
      </c>
      <c r="N177" t="n">
        <v>1.5</v>
      </c>
      <c r="O177" t="n">
        <v>1.2</v>
      </c>
      <c r="P177" t="n">
        <v>1.5</v>
      </c>
      <c r="Q177" t="n">
        <v>1.1</v>
      </c>
      <c r="R177" t="n">
        <v>2</v>
      </c>
      <c r="S177" t="n">
        <v>1.2</v>
      </c>
      <c r="T177" t="n">
        <v>1.5</v>
      </c>
      <c r="U177" t="n">
        <v>0.5121584730617011</v>
      </c>
    </row>
    <row r="178">
      <c r="A178" t="inlineStr">
        <is>
          <t>Sulfur dioxide</t>
        </is>
      </c>
      <c r="B178" t="n">
        <v>4.9e-07</v>
      </c>
      <c r="C178" t="inlineStr">
        <is>
          <t>kilogram</t>
        </is>
      </c>
      <c r="D178" t="inlineStr">
        <is>
          <t>air::urban air close to ground</t>
        </is>
      </c>
      <c r="F178" t="inlineStr">
        <is>
          <t>biosphere</t>
        </is>
      </c>
      <c r="H178" t="inlineStr">
        <is>
          <t>emissions</t>
        </is>
      </c>
      <c r="I178" t="inlineStr">
        <is>
          <t>Adapted from "heat production, biomethane, at boiler condensing modulating &lt;100kW"</t>
        </is>
      </c>
      <c r="K178" t="inlineStr">
        <is>
          <t>heat, residential, by combustion of synthetic natural gas from catalytic methanation using boiler, distributed by pipeline, produced by Electrolysis, PEM using electricity from grid and carbon sourced from DAC</t>
        </is>
      </c>
      <c r="L178" t="n">
        <v>2</v>
      </c>
      <c r="M178" t="n">
        <v>-14.52886044584174</v>
      </c>
      <c r="N178" t="n">
        <v>1.5</v>
      </c>
      <c r="O178" t="n">
        <v>1.2</v>
      </c>
      <c r="P178" t="n">
        <v>1.5</v>
      </c>
      <c r="Q178" t="n">
        <v>1.1</v>
      </c>
      <c r="R178" t="n">
        <v>2</v>
      </c>
      <c r="S178" t="n">
        <v>1.2</v>
      </c>
      <c r="T178" t="n">
        <v>1.5</v>
      </c>
      <c r="U178" t="n">
        <v>0.5121584730617011</v>
      </c>
    </row>
    <row r="179">
      <c r="A179" t="inlineStr">
        <is>
          <t>Toluene</t>
        </is>
      </c>
      <c r="B179" t="n">
        <v>1.96e-07</v>
      </c>
      <c r="C179" t="inlineStr">
        <is>
          <t>kilogram</t>
        </is>
      </c>
      <c r="D179" t="inlineStr">
        <is>
          <t>air::urban air close to ground</t>
        </is>
      </c>
      <c r="F179" t="inlineStr">
        <is>
          <t>biosphere</t>
        </is>
      </c>
      <c r="H179" t="inlineStr">
        <is>
          <t>emissions</t>
        </is>
      </c>
      <c r="I179" t="inlineStr">
        <is>
          <t>Adapted from "heat production, biomethane, at boiler condensing modulating &lt;100kW"</t>
        </is>
      </c>
      <c r="K179" t="inlineStr">
        <is>
          <t>heat, residential, by combustion of synthetic natural gas from catalytic methanation using boiler, distributed by pipeline, produced by Electrolysis, PEM using electricity from grid and carbon sourced from DAC</t>
        </is>
      </c>
      <c r="L179" t="n">
        <v>2</v>
      </c>
      <c r="M179" t="n">
        <v>-15.44515117771589</v>
      </c>
      <c r="N179" t="n">
        <v>1.5</v>
      </c>
      <c r="O179" t="n">
        <v>1.2</v>
      </c>
      <c r="P179" t="n">
        <v>1.5</v>
      </c>
      <c r="Q179" t="n">
        <v>1.1</v>
      </c>
      <c r="R179" t="n">
        <v>2</v>
      </c>
      <c r="S179" t="n">
        <v>1.2</v>
      </c>
      <c r="T179" t="n">
        <v>1.5</v>
      </c>
      <c r="U179" t="n">
        <v>0.5121584730617011</v>
      </c>
    </row>
    <row r="180">
      <c r="A180" t="inlineStr">
        <is>
          <t>Nitrate</t>
        </is>
      </c>
      <c r="B180" t="n">
        <v>1.274e-07</v>
      </c>
      <c r="C180" t="inlineStr">
        <is>
          <t>kilogram</t>
        </is>
      </c>
      <c r="D180" t="inlineStr">
        <is>
          <t>water::surface water</t>
        </is>
      </c>
      <c r="F180" t="inlineStr">
        <is>
          <t>biosphere</t>
        </is>
      </c>
      <c r="H180" t="inlineStr">
        <is>
          <t>emissions</t>
        </is>
      </c>
      <c r="I180" t="inlineStr">
        <is>
          <t>Adapted from "heat production, biomethane, at boiler condensing modulating &lt;100kW"</t>
        </is>
      </c>
      <c r="K180" t="inlineStr">
        <is>
          <t>heat, residential, by combustion of synthetic natural gas from catalytic methanation using boiler, distributed by pipeline, produced by Electrolysis, PEM using electricity from grid and carbon sourced from DAC</t>
        </is>
      </c>
      <c r="L180" t="n">
        <v>2</v>
      </c>
      <c r="M180" t="n">
        <v>-15.87593409380835</v>
      </c>
      <c r="N180" t="n">
        <v>1.5</v>
      </c>
      <c r="O180" t="n">
        <v>1.2</v>
      </c>
      <c r="P180" t="n">
        <v>1.5</v>
      </c>
      <c r="Q180" t="n">
        <v>1.1</v>
      </c>
      <c r="R180" t="n">
        <v>2</v>
      </c>
      <c r="S180" t="n">
        <v>1.2</v>
      </c>
      <c r="T180" t="n">
        <v>1.5</v>
      </c>
      <c r="U180" t="n">
        <v>0.5121584730617011</v>
      </c>
    </row>
    <row r="181">
      <c r="A181" t="inlineStr">
        <is>
          <t>Nitrite</t>
        </is>
      </c>
      <c r="B181" t="n">
        <v>2.94e-09</v>
      </c>
      <c r="C181" t="inlineStr">
        <is>
          <t>kilogram</t>
        </is>
      </c>
      <c r="D181" t="inlineStr">
        <is>
          <t>water::surface water</t>
        </is>
      </c>
      <c r="F181" t="inlineStr">
        <is>
          <t>biosphere</t>
        </is>
      </c>
      <c r="H181" t="inlineStr">
        <is>
          <t>emissions</t>
        </is>
      </c>
      <c r="I181" t="inlineStr">
        <is>
          <t>Adapted from "heat production, biomethane, at boiler condensing modulating &lt;100kW"</t>
        </is>
      </c>
      <c r="K181" t="inlineStr">
        <is>
          <t>heat, residential, by combustion of synthetic natural gas from catalytic methanation using boiler, distributed by pipeline, produced by Electrolysis, PEM using electricity from grid and carbon sourced from DAC</t>
        </is>
      </c>
      <c r="L181" t="n">
        <v>2</v>
      </c>
      <c r="M181" t="n">
        <v>-19.64485625559582</v>
      </c>
      <c r="N181" t="n">
        <v>1.5</v>
      </c>
      <c r="O181" t="n">
        <v>1.2</v>
      </c>
      <c r="P181" t="n">
        <v>1.5</v>
      </c>
      <c r="Q181" t="n">
        <v>1.1</v>
      </c>
      <c r="R181" t="n">
        <v>2</v>
      </c>
      <c r="S181" t="n">
        <v>1.2</v>
      </c>
      <c r="T181" t="n">
        <v>1.5</v>
      </c>
      <c r="U181" t="n">
        <v>0.5121584730617011</v>
      </c>
    </row>
    <row r="182">
      <c r="A182" t="inlineStr">
        <is>
          <t>Sulfate</t>
        </is>
      </c>
      <c r="B182" t="n">
        <v>4.9e-08</v>
      </c>
      <c r="C182" t="inlineStr">
        <is>
          <t>kilogram</t>
        </is>
      </c>
      <c r="D182" t="inlineStr">
        <is>
          <t>water::surface water</t>
        </is>
      </c>
      <c r="F182" t="inlineStr">
        <is>
          <t>biosphere</t>
        </is>
      </c>
      <c r="H182" t="inlineStr">
        <is>
          <t>emissions</t>
        </is>
      </c>
      <c r="I182" t="inlineStr">
        <is>
          <t>Adapted from "heat production, biomethane, at boiler condensing modulating &lt;100kW"</t>
        </is>
      </c>
      <c r="K182" t="inlineStr">
        <is>
          <t>heat, residential, by combustion of synthetic natural gas from catalytic methanation using boiler, distributed by pipeline, produced by Electrolysis, PEM using electricity from grid and carbon sourced from DAC</t>
        </is>
      </c>
      <c r="L182" t="n">
        <v>2</v>
      </c>
      <c r="M182" t="n">
        <v>-16.83144553883578</v>
      </c>
      <c r="N182" t="n">
        <v>1.5</v>
      </c>
      <c r="O182" t="n">
        <v>1.2</v>
      </c>
      <c r="P182" t="n">
        <v>1.5</v>
      </c>
      <c r="Q182" t="n">
        <v>1.1</v>
      </c>
      <c r="R182" t="n">
        <v>2</v>
      </c>
      <c r="S182" t="n">
        <v>1.2</v>
      </c>
      <c r="T182" t="n">
        <v>1.5</v>
      </c>
      <c r="U182" t="n">
        <v>0.5121584730617011</v>
      </c>
    </row>
    <row r="183">
      <c r="A183" t="inlineStr">
        <is>
          <t>Sulfite</t>
        </is>
      </c>
      <c r="B183" t="n">
        <v>4.9e-08</v>
      </c>
      <c r="C183" t="inlineStr">
        <is>
          <t>kilogram</t>
        </is>
      </c>
      <c r="D183" t="inlineStr">
        <is>
          <t>water::surface water</t>
        </is>
      </c>
      <c r="F183" t="inlineStr">
        <is>
          <t>biosphere</t>
        </is>
      </c>
      <c r="H183" t="inlineStr">
        <is>
          <t>emissions</t>
        </is>
      </c>
      <c r="I183" t="inlineStr">
        <is>
          <t>Adapted from "heat production, biomethane, at boiler condensing modulating &lt;100kW"</t>
        </is>
      </c>
      <c r="K183" t="inlineStr">
        <is>
          <t>heat, residential, by combustion of synthetic natural gas from catalytic methanation using boiler, distributed by pipeline, produced by Electrolysis, PEM using electricity from grid and carbon sourced from DAC</t>
        </is>
      </c>
      <c r="L183" t="n">
        <v>2</v>
      </c>
      <c r="M183" t="n">
        <v>-16.83144553883578</v>
      </c>
      <c r="N183" t="n">
        <v>1.5</v>
      </c>
      <c r="O183" t="n">
        <v>1.2</v>
      </c>
      <c r="P183" t="n">
        <v>1.5</v>
      </c>
      <c r="Q183" t="n">
        <v>1.1</v>
      </c>
      <c r="R183" t="n">
        <v>2</v>
      </c>
      <c r="S183" t="n">
        <v>1.2</v>
      </c>
      <c r="T183" t="n">
        <v>1.5</v>
      </c>
      <c r="U183" t="n">
        <v>0.5121584730617011</v>
      </c>
    </row>
    <row r="184"/>
    <row r="185">
      <c r="A185" t="inlineStr">
        <is>
          <t>Activity</t>
        </is>
      </c>
      <c r="B185" s="1" t="inlineStr">
        <is>
          <t>heat, residential, by combustion of coal-based natural gas using boiler, distributed by pipeline</t>
        </is>
      </c>
    </row>
    <row r="186">
      <c r="A186" t="inlineStr">
        <is>
          <t>comment</t>
        </is>
      </c>
      <c r="B186" t="inlineStr">
        <is>
          <t>This dataset represents the supply of 1 megajoule of heat in a residence, by coal-based natural gas combustion in a boiler. Heat conversion efficiency [% LHV input]: 109.5%. LHV [MJ/kg]: 48. Market price [Euro/MJ]: 0.0266666666666667. Distribution loss [% output]: 0.019%. Storage loss [% output]: 0%. CO2 biogenic share [%]: 100%. Power [kW]: 16.4. Lifetime [years]: 20. Annual operation [hours]: 2100. : .  For more information, refer to: Sacchi, R. and Bauer, C. LCA of Power-to-X processes and applications in the residential sector. Paul Scherrer Institut, 2023.</t>
        </is>
      </c>
    </row>
    <row r="187">
      <c r="A187" t="inlineStr">
        <is>
          <t>source</t>
        </is>
      </c>
      <c r="B187" t="inlineStr">
        <is>
          <t>Sacchi, R. and Bauer, C. LCA of Power-to-X processes and applications in the residential sector. Paul Scherrer Institut, 2023.</t>
        </is>
      </c>
    </row>
    <row r="188">
      <c r="A188" t="inlineStr">
        <is>
          <t>location</t>
        </is>
      </c>
      <c r="B188" t="inlineStr">
        <is>
          <t>RER</t>
        </is>
      </c>
    </row>
    <row r="189">
      <c r="A189" t="inlineStr">
        <is>
          <t>reference product</t>
        </is>
      </c>
      <c r="B189" t="inlineStr">
        <is>
          <t>heat, from residential heating system</t>
        </is>
      </c>
    </row>
    <row r="190">
      <c r="A190" t="inlineStr">
        <is>
          <t>unit</t>
        </is>
      </c>
      <c r="B190" t="inlineStr">
        <is>
          <t>megajoule</t>
        </is>
      </c>
    </row>
    <row r="191" customFormat="1" s="1">
      <c r="A191" s="1" t="inlineStr">
        <is>
          <t>Exchanges</t>
        </is>
      </c>
    </row>
    <row r="192" customFormat="1" s="1">
      <c r="A192" s="1" t="inlineStr">
        <is>
          <t>name</t>
        </is>
      </c>
      <c r="B192" s="1" t="inlineStr">
        <is>
          <t>amount</t>
        </is>
      </c>
      <c r="C192" s="1" t="inlineStr">
        <is>
          <t>unit</t>
        </is>
      </c>
      <c r="D192" s="1" t="inlineStr">
        <is>
          <t>categories</t>
        </is>
      </c>
      <c r="E192" s="1" t="inlineStr">
        <is>
          <t>location</t>
        </is>
      </c>
      <c r="F192" s="1" t="inlineStr">
        <is>
          <t>type</t>
        </is>
      </c>
      <c r="G192" s="1" t="inlineStr">
        <is>
          <t>reference product</t>
        </is>
      </c>
      <c r="H192" s="1" t="inlineStr">
        <is>
          <t>tag</t>
        </is>
      </c>
      <c r="I192" s="1" t="inlineStr">
        <is>
          <t>comment</t>
        </is>
      </c>
      <c r="J192" s="1" t="inlineStr">
        <is>
          <t>input type</t>
        </is>
      </c>
      <c r="K192" s="1" t="inlineStr">
        <is>
          <t>dataset name</t>
        </is>
      </c>
      <c r="L192" s="1" t="inlineStr">
        <is>
          <t>uncertainty type</t>
        </is>
      </c>
      <c r="M192" s="1" t="inlineStr">
        <is>
          <t>loc</t>
        </is>
      </c>
      <c r="N192" s="1" t="inlineStr">
        <is>
          <t>u1</t>
        </is>
      </c>
      <c r="O192" s="1" t="inlineStr">
        <is>
          <t>u2</t>
        </is>
      </c>
      <c r="P192" s="1" t="inlineStr">
        <is>
          <t>u3</t>
        </is>
      </c>
      <c r="Q192" s="1" t="inlineStr">
        <is>
          <t>u4</t>
        </is>
      </c>
      <c r="R192" s="1" t="inlineStr">
        <is>
          <t>u5</t>
        </is>
      </c>
      <c r="S192" s="1" t="inlineStr">
        <is>
          <t>u6</t>
        </is>
      </c>
      <c r="T192" s="1" t="inlineStr">
        <is>
          <t>ub</t>
        </is>
      </c>
      <c r="U192" s="1" t="inlineStr">
        <is>
          <t>scale</t>
        </is>
      </c>
      <c r="V192" s="1" t="inlineStr">
        <is>
          <t>negative</t>
        </is>
      </c>
      <c r="W192" s="1" t="inlineStr">
        <is>
          <t>simapro category</t>
        </is>
      </c>
    </row>
    <row r="193">
      <c r="A193" t="inlineStr">
        <is>
          <t>heat, residential, by combustion of coal-based natural gas using boiler, distributed by pipeline</t>
        </is>
      </c>
      <c r="B193" t="n">
        <v>1</v>
      </c>
      <c r="C193" t="inlineStr">
        <is>
          <t>megajoule</t>
        </is>
      </c>
      <c r="E193" t="inlineStr">
        <is>
          <t>RER</t>
        </is>
      </c>
      <c r="F193" t="inlineStr">
        <is>
          <t>production</t>
        </is>
      </c>
      <c r="G193" t="inlineStr">
        <is>
          <t>heat, from residential heating system</t>
        </is>
      </c>
      <c r="K193" t="inlineStr">
        <is>
          <t>heat, residential, by combustion of synthetic natural gas from catalytic methanation using boiler, distributed by pipeline, produced by Electrolysis, PEM using electricity from grid and carbon sourced from DAC</t>
        </is>
      </c>
      <c r="W193" t="inlineStr">
        <is>
          <t>Energy/Heat/Synthetic/Transformation</t>
        </is>
      </c>
    </row>
    <row r="194">
      <c r="A194" t="inlineStr">
        <is>
          <t>market for gas boiler</t>
        </is>
      </c>
      <c r="B194" t="n">
        <v>4.032778423022325e-07</v>
      </c>
      <c r="C194" t="inlineStr">
        <is>
          <t>unit</t>
        </is>
      </c>
      <c r="E194" t="inlineStr">
        <is>
          <t>GLO</t>
        </is>
      </c>
      <c r="F194" t="inlineStr">
        <is>
          <t>technosphere</t>
        </is>
      </c>
      <c r="G194" t="inlineStr">
        <is>
          <t>gas boiler</t>
        </is>
      </c>
      <c r="H194" t="inlineStr">
        <is>
          <t>infrastructure</t>
        </is>
      </c>
      <c r="I194" t="inlineStr">
        <is>
          <t>1/(Cap. [kW] * lifetime [y] * annual operation [h] * 3.6 [MJ/kWh])</t>
        </is>
      </c>
      <c r="K194" t="inlineStr">
        <is>
          <t>heat, residential, by combustion of synthetic natural gas from catalytic methanation using boiler, distributed by pipeline, produced by Electrolysis, PEM using electricity from grid and carbon sourced from DAC</t>
        </is>
      </c>
      <c r="L194" t="n">
        <v>2</v>
      </c>
      <c r="M194" t="n">
        <v>-14.72364007755772</v>
      </c>
      <c r="N194" t="n">
        <v>1.05</v>
      </c>
      <c r="O194" t="n">
        <v>1.2</v>
      </c>
      <c r="P194" t="n">
        <v>1</v>
      </c>
      <c r="Q194" t="n">
        <v>1.01</v>
      </c>
      <c r="R194" t="n">
        <v>1.2</v>
      </c>
      <c r="S194" t="n">
        <v>1.2</v>
      </c>
      <c r="T194" t="n">
        <v>3</v>
      </c>
      <c r="U194" t="n">
        <v>0.572090880068819</v>
      </c>
    </row>
    <row r="195">
      <c r="A195" t="inlineStr">
        <is>
          <t>market for chimney</t>
        </is>
      </c>
      <c r="B195" t="n">
        <v>8.82e-07</v>
      </c>
      <c r="C195" t="inlineStr">
        <is>
          <t>meter</t>
        </is>
      </c>
      <c r="E195" t="inlineStr">
        <is>
          <t>GLO</t>
        </is>
      </c>
      <c r="F195" t="inlineStr">
        <is>
          <t>technosphere</t>
        </is>
      </c>
      <c r="G195" t="inlineStr">
        <is>
          <t>chimney</t>
        </is>
      </c>
      <c r="H195" t="inlineStr">
        <is>
          <t>infrastructure</t>
        </is>
      </c>
      <c r="I195" t="inlineStr">
        <is>
          <t>To evacuate the flue gases.</t>
        </is>
      </c>
      <c r="K195" t="inlineStr">
        <is>
          <t>heat, residential, by combustion of synthetic natural gas from catalytic methanation using boiler, distributed by pipeline, produced by Electrolysis, PEM using electricity from grid and carbon sourced from DAC</t>
        </is>
      </c>
      <c r="L195" t="n">
        <v>2</v>
      </c>
      <c r="M195" t="n">
        <v>-13.94107378093962</v>
      </c>
      <c r="N195" t="n">
        <v>1.05</v>
      </c>
      <c r="O195" t="n">
        <v>1.2</v>
      </c>
      <c r="P195" t="n">
        <v>1</v>
      </c>
      <c r="Q195" t="n">
        <v>1.01</v>
      </c>
      <c r="R195" t="n">
        <v>1.2</v>
      </c>
      <c r="S195" t="n">
        <v>1.2</v>
      </c>
      <c r="T195" t="n">
        <v>3</v>
      </c>
      <c r="U195" t="n">
        <v>0.572090880068819</v>
      </c>
    </row>
    <row r="196">
      <c r="A196" t="inlineStr">
        <is>
          <t>market group for electricity, low voltage</t>
        </is>
      </c>
      <c r="B196" t="n">
        <v>0.000734</v>
      </c>
      <c r="C196" t="inlineStr">
        <is>
          <t>kilowatt hour</t>
        </is>
      </c>
      <c r="E196" t="inlineStr">
        <is>
          <t>RER</t>
        </is>
      </c>
      <c r="F196" t="inlineStr">
        <is>
          <t>technosphere</t>
        </is>
      </c>
      <c r="G196" t="inlineStr">
        <is>
          <t>electricity, low voltage</t>
        </is>
      </c>
      <c r="H196" t="inlineStr">
        <is>
          <t>electricity</t>
        </is>
      </c>
      <c r="I196" t="inlineStr">
        <is>
          <t>To operate the boiler.</t>
        </is>
      </c>
      <c r="J196" t="inlineStr">
        <is>
          <t>grid electricity</t>
        </is>
      </c>
      <c r="K196" t="inlineStr">
        <is>
          <t>heat, residential, by combustion of synthetic natural gas from catalytic methanation using boiler, distributed by pipeline, produced by Electrolysis, PEM using electricity from grid and carbon sourced from DAC</t>
        </is>
      </c>
      <c r="L196" t="n">
        <v>2</v>
      </c>
      <c r="M196" t="n">
        <v>-7.217001529349758</v>
      </c>
      <c r="N196" t="n">
        <v>1.05</v>
      </c>
      <c r="O196" t="n">
        <v>1.2</v>
      </c>
      <c r="P196" t="n">
        <v>1</v>
      </c>
      <c r="Q196" t="n">
        <v>1.01</v>
      </c>
      <c r="R196" t="n">
        <v>1.2</v>
      </c>
      <c r="S196" t="n">
        <v>1.2</v>
      </c>
      <c r="T196" t="n">
        <v>1.05</v>
      </c>
      <c r="U196" t="n">
        <v>0.1616967992407096</v>
      </c>
    </row>
    <row r="197">
      <c r="A197" t="inlineStr">
        <is>
          <t>Methane, synthetic, gaseous, 5 bar, from coal-based hydrogen, at fuelling station</t>
        </is>
      </c>
      <c r="B197" t="n">
        <v>0.01902587519025875</v>
      </c>
      <c r="C197" t="inlineStr">
        <is>
          <t>kilogram</t>
        </is>
      </c>
      <c r="E197" t="inlineStr">
        <is>
          <t>RER</t>
        </is>
      </c>
      <c r="F197" t="inlineStr">
        <is>
          <t>technosphere</t>
        </is>
      </c>
      <c r="G197" t="inlineStr">
        <is>
          <t>methane, high pressure</t>
        </is>
      </c>
      <c r="H197" t="inlineStr">
        <is>
          <t>synthetic natural gas</t>
        </is>
      </c>
      <c r="I197" t="inlineStr">
        <is>
          <t>Methane input. 1 [MJ SNG]/ 47.5 [MJ/kg SNG]/ eff.(th)</t>
        </is>
      </c>
      <c r="J197" t="inlineStr">
        <is>
          <t>SNG biological - w CO2 from DAC</t>
        </is>
      </c>
      <c r="K197" t="inlineStr">
        <is>
          <t>heat, residential, by combustion of synthetic natural gas from catalytic methanation using boiler, distributed by pipeline, produced by Electrolysis, PEM using electricity from grid and carbon sourced from DAC</t>
        </is>
      </c>
      <c r="L197" t="n">
        <v>2</v>
      </c>
      <c r="M197" t="n">
        <v>-3.961955374176355</v>
      </c>
      <c r="N197" t="n">
        <v>1.05</v>
      </c>
      <c r="O197" t="n">
        <v>1.2</v>
      </c>
      <c r="P197" t="n">
        <v>1</v>
      </c>
      <c r="Q197" t="n">
        <v>1.01</v>
      </c>
      <c r="R197" t="n">
        <v>1.2</v>
      </c>
      <c r="S197" t="n">
        <v>1.2</v>
      </c>
      <c r="T197" t="n">
        <v>1.05</v>
      </c>
      <c r="U197" t="n">
        <v>0.1616967992407096</v>
      </c>
    </row>
    <row r="198">
      <c r="A198" t="inlineStr">
        <is>
          <t>Acetaldehyde</t>
        </is>
      </c>
      <c r="B198" t="n">
        <v>9.799999999999999e-10</v>
      </c>
      <c r="C198" t="inlineStr">
        <is>
          <t>kilogram</t>
        </is>
      </c>
      <c r="D198" t="inlineStr">
        <is>
          <t>air::urban air close to ground</t>
        </is>
      </c>
      <c r="F198" t="inlineStr">
        <is>
          <t>biosphere</t>
        </is>
      </c>
      <c r="H198" t="inlineStr">
        <is>
          <t>emissions</t>
        </is>
      </c>
      <c r="I198" t="inlineStr">
        <is>
          <t>Adapted from "heat production, biomethane, at boiler condensing modulating &lt;100kW"</t>
        </is>
      </c>
      <c r="K198" t="inlineStr">
        <is>
          <t>heat, residential, by combustion of synthetic natural gas from catalytic methanation using boiler, distributed by pipeline, produced by Electrolysis, PEM using electricity from grid and carbon sourced from DAC</t>
        </is>
      </c>
      <c r="L198" t="n">
        <v>2</v>
      </c>
      <c r="M198" t="n">
        <v>-20.74346854426393</v>
      </c>
      <c r="N198" t="n">
        <v>1.5</v>
      </c>
      <c r="O198" t="n">
        <v>1.2</v>
      </c>
      <c r="P198" t="n">
        <v>1.5</v>
      </c>
      <c r="Q198" t="n">
        <v>1.1</v>
      </c>
      <c r="R198" t="n">
        <v>2</v>
      </c>
      <c r="S198" t="n">
        <v>1.2</v>
      </c>
      <c r="T198" t="n">
        <v>1.5</v>
      </c>
      <c r="U198" t="n">
        <v>0.5121584730617011</v>
      </c>
    </row>
    <row r="199">
      <c r="A199" t="inlineStr">
        <is>
          <t>Acetic acid</t>
        </is>
      </c>
      <c r="B199" t="n">
        <v>1.47e-07</v>
      </c>
      <c r="C199" t="inlineStr">
        <is>
          <t>kilogram</t>
        </is>
      </c>
      <c r="D199" t="inlineStr">
        <is>
          <t>air::urban air close to ground</t>
        </is>
      </c>
      <c r="F199" t="inlineStr">
        <is>
          <t>biosphere</t>
        </is>
      </c>
      <c r="H199" t="inlineStr">
        <is>
          <t>emissions</t>
        </is>
      </c>
      <c r="I199" t="inlineStr">
        <is>
          <t>Adapted from "heat production, biomethane, at boiler condensing modulating &lt;100kW"</t>
        </is>
      </c>
      <c r="K199" t="inlineStr">
        <is>
          <t>heat, residential, by combustion of synthetic natural gas from catalytic methanation using boiler, distributed by pipeline, produced by Electrolysis, PEM using electricity from grid and carbon sourced from DAC</t>
        </is>
      </c>
      <c r="L199" t="n">
        <v>2</v>
      </c>
      <c r="M199" t="n">
        <v>-15.73283325016767</v>
      </c>
      <c r="N199" t="n">
        <v>1.5</v>
      </c>
      <c r="O199" t="n">
        <v>1.2</v>
      </c>
      <c r="P199" t="n">
        <v>1.5</v>
      </c>
      <c r="Q199" t="n">
        <v>1.1</v>
      </c>
      <c r="R199" t="n">
        <v>2</v>
      </c>
      <c r="S199" t="n">
        <v>1.2</v>
      </c>
      <c r="T199" t="n">
        <v>1.5</v>
      </c>
      <c r="U199" t="n">
        <v>0.5121584730617011</v>
      </c>
    </row>
    <row r="200">
      <c r="A200" t="inlineStr">
        <is>
          <t>Benzene</t>
        </is>
      </c>
      <c r="B200" t="n">
        <v>3.92e-07</v>
      </c>
      <c r="C200" t="inlineStr">
        <is>
          <t>kilogram</t>
        </is>
      </c>
      <c r="D200" t="inlineStr">
        <is>
          <t>air::urban air close to ground</t>
        </is>
      </c>
      <c r="F200" t="inlineStr">
        <is>
          <t>biosphere</t>
        </is>
      </c>
      <c r="H200" t="inlineStr">
        <is>
          <t>emissions</t>
        </is>
      </c>
      <c r="I200" t="inlineStr">
        <is>
          <t>Adapted from "heat production, biomethane, at boiler condensing modulating &lt;100kW"</t>
        </is>
      </c>
      <c r="K200" t="inlineStr">
        <is>
          <t>heat, residential, by combustion of synthetic natural gas from catalytic methanation using boiler, distributed by pipeline, produced by Electrolysis, PEM using electricity from grid and carbon sourced from DAC</t>
        </is>
      </c>
      <c r="L200" t="n">
        <v>2</v>
      </c>
      <c r="M200" t="n">
        <v>-14.75200399715595</v>
      </c>
      <c r="N200" t="n">
        <v>1.5</v>
      </c>
      <c r="O200" t="n">
        <v>1.2</v>
      </c>
      <c r="P200" t="n">
        <v>1.5</v>
      </c>
      <c r="Q200" t="n">
        <v>1.1</v>
      </c>
      <c r="R200" t="n">
        <v>2</v>
      </c>
      <c r="S200" t="n">
        <v>1.2</v>
      </c>
      <c r="T200" t="n">
        <v>1.5</v>
      </c>
      <c r="U200" t="n">
        <v>0.5121584730617011</v>
      </c>
    </row>
    <row r="201">
      <c r="A201" t="inlineStr">
        <is>
          <t>Benzo(a)pyrene</t>
        </is>
      </c>
      <c r="B201" t="n">
        <v>9.799999999999999e-12</v>
      </c>
      <c r="C201" t="inlineStr">
        <is>
          <t>kilogram</t>
        </is>
      </c>
      <c r="D201" t="inlineStr">
        <is>
          <t>air::urban air close to ground</t>
        </is>
      </c>
      <c r="F201" t="inlineStr">
        <is>
          <t>biosphere</t>
        </is>
      </c>
      <c r="H201" t="inlineStr">
        <is>
          <t>emissions</t>
        </is>
      </c>
      <c r="I201" t="inlineStr">
        <is>
          <t>Adapted from "heat production, biomethane, at boiler condensing modulating &lt;100kW"</t>
        </is>
      </c>
      <c r="K201" t="inlineStr">
        <is>
          <t>heat, residential, by combustion of synthetic natural gas from catalytic methanation using boiler, distributed by pipeline, produced by Electrolysis, PEM using electricity from grid and carbon sourced from DAC</t>
        </is>
      </c>
      <c r="L201" t="n">
        <v>2</v>
      </c>
      <c r="M201" t="n">
        <v>-25.34863873025202</v>
      </c>
      <c r="N201" t="n">
        <v>1.5</v>
      </c>
      <c r="O201" t="n">
        <v>1.2</v>
      </c>
      <c r="P201" t="n">
        <v>1.5</v>
      </c>
      <c r="Q201" t="n">
        <v>1.1</v>
      </c>
      <c r="R201" t="n">
        <v>2</v>
      </c>
      <c r="S201" t="n">
        <v>1.2</v>
      </c>
      <c r="T201" t="n">
        <v>1.5</v>
      </c>
      <c r="U201" t="n">
        <v>0.5121584730617011</v>
      </c>
    </row>
    <row r="202">
      <c r="A202" t="inlineStr">
        <is>
          <t>Carbon dioxide, fossil</t>
        </is>
      </c>
      <c r="B202" t="n">
        <v>0.05213089802130898</v>
      </c>
      <c r="C202" t="inlineStr">
        <is>
          <t>kilogram</t>
        </is>
      </c>
      <c r="D202" t="inlineStr">
        <is>
          <t>air::urban air close to ground</t>
        </is>
      </c>
      <c r="F202" t="inlineStr">
        <is>
          <t>biosphere</t>
        </is>
      </c>
      <c r="H202" t="inlineStr">
        <is>
          <t>emissions</t>
        </is>
      </c>
      <c r="I202" t="inlineStr">
        <is>
          <t>Adapted from "heat production, biomethane, at boiler condensing modulating &lt;100kW"</t>
        </is>
      </c>
      <c r="K202" t="inlineStr">
        <is>
          <t>heat, residential, by combustion of synthetic natural gas from catalytic methanation using boiler, distributed by pipeline, produced by Electrolysis, PEM using electricity from grid and carbon sourced from DAC</t>
        </is>
      </c>
      <c r="L202" t="n">
        <v>1</v>
      </c>
    </row>
    <row r="203">
      <c r="A203" t="inlineStr">
        <is>
          <t>Carbon monoxide, fossil</t>
        </is>
      </c>
      <c r="B203" t="n">
        <v>5.782e-06</v>
      </c>
      <c r="C203" t="inlineStr">
        <is>
          <t>kilogram</t>
        </is>
      </c>
      <c r="D203" t="inlineStr">
        <is>
          <t>air::urban air close to ground</t>
        </is>
      </c>
      <c r="F203" t="inlineStr">
        <is>
          <t>biosphere</t>
        </is>
      </c>
      <c r="H203" t="inlineStr">
        <is>
          <t>emissions</t>
        </is>
      </c>
      <c r="I203" t="inlineStr">
        <is>
          <t>Adapted from "heat production, biomethane, at boiler condensing modulating &lt;100kW"</t>
        </is>
      </c>
      <c r="K203" t="inlineStr">
        <is>
          <t>heat, residential, by combustion of synthetic natural gas from catalytic methanation using boiler, distributed by pipeline, produced by Electrolysis, PEM using electricity from grid and carbon sourced from DAC</t>
        </is>
      </c>
      <c r="L203" t="n">
        <v>2</v>
      </c>
      <c r="M203" t="n">
        <v>-12.06076091437012</v>
      </c>
      <c r="N203" t="n">
        <v>1.5</v>
      </c>
      <c r="O203" t="n">
        <v>1.2</v>
      </c>
      <c r="P203" t="n">
        <v>1.5</v>
      </c>
      <c r="Q203" t="n">
        <v>1.1</v>
      </c>
      <c r="R203" t="n">
        <v>2</v>
      </c>
      <c r="S203" t="n">
        <v>1.2</v>
      </c>
      <c r="T203" t="n">
        <v>5</v>
      </c>
      <c r="U203" t="n">
        <v>0.9320828351335841</v>
      </c>
    </row>
    <row r="204">
      <c r="A204" t="inlineStr">
        <is>
          <t>Dinitrogen monoxide</t>
        </is>
      </c>
      <c r="B204" t="n">
        <v>4.9e-07</v>
      </c>
      <c r="C204" t="inlineStr">
        <is>
          <t>kilogram</t>
        </is>
      </c>
      <c r="D204" t="inlineStr">
        <is>
          <t>air::urban air close to ground</t>
        </is>
      </c>
      <c r="F204" t="inlineStr">
        <is>
          <t>biosphere</t>
        </is>
      </c>
      <c r="H204" t="inlineStr">
        <is>
          <t>emissions</t>
        </is>
      </c>
      <c r="I204" t="inlineStr">
        <is>
          <t>Adapted from "heat production, biomethane, at boiler condensing modulating &lt;100kW"</t>
        </is>
      </c>
      <c r="K204" t="inlineStr">
        <is>
          <t>heat, residential, by combustion of synthetic natural gas from catalytic methanation using boiler, distributed by pipeline, produced by Electrolysis, PEM using electricity from grid and carbon sourced from DAC</t>
        </is>
      </c>
      <c r="L204" t="n">
        <v>2</v>
      </c>
      <c r="M204" t="n">
        <v>-14.52886044584174</v>
      </c>
      <c r="N204" t="n">
        <v>1.5</v>
      </c>
      <c r="O204" t="n">
        <v>1.2</v>
      </c>
      <c r="P204" t="n">
        <v>1.5</v>
      </c>
      <c r="Q204" t="n">
        <v>1.1</v>
      </c>
      <c r="R204" t="n">
        <v>2</v>
      </c>
      <c r="S204" t="n">
        <v>1.2</v>
      </c>
      <c r="T204" t="n">
        <v>1.5</v>
      </c>
      <c r="U204" t="n">
        <v>0.5121584730617011</v>
      </c>
    </row>
    <row r="205">
      <c r="A205" t="inlineStr">
        <is>
          <t>Dioxins, measured as 2,3,7,8-tetrachlorodibenzo-p-dioxin</t>
        </is>
      </c>
      <c r="B205" t="n">
        <v>2.94e-17</v>
      </c>
      <c r="C205" t="inlineStr">
        <is>
          <t>kilogram</t>
        </is>
      </c>
      <c r="D205" t="inlineStr">
        <is>
          <t>air::urban air close to ground</t>
        </is>
      </c>
      <c r="F205" t="inlineStr">
        <is>
          <t>biosphere</t>
        </is>
      </c>
      <c r="H205" t="inlineStr">
        <is>
          <t>emissions</t>
        </is>
      </c>
      <c r="I205" t="inlineStr">
        <is>
          <t>Adapted from "heat production, biomethane, at boiler condensing modulating &lt;100kW"</t>
        </is>
      </c>
      <c r="K205" t="inlineStr">
        <is>
          <t>heat, residential, by combustion of synthetic natural gas from catalytic methanation using boiler, distributed by pipeline, produced by Electrolysis, PEM using electricity from grid and carbon sourced from DAC</t>
        </is>
      </c>
      <c r="L205" t="n">
        <v>2</v>
      </c>
      <c r="M205" t="n">
        <v>-38.06553699954819</v>
      </c>
      <c r="N205" t="n">
        <v>1.5</v>
      </c>
      <c r="O205" t="n">
        <v>1.2</v>
      </c>
      <c r="P205" t="n">
        <v>1.5</v>
      </c>
      <c r="Q205" t="n">
        <v>1.1</v>
      </c>
      <c r="R205" t="n">
        <v>2</v>
      </c>
      <c r="S205" t="n">
        <v>1.2</v>
      </c>
      <c r="T205" t="n">
        <v>1.5</v>
      </c>
      <c r="U205" t="n">
        <v>0.5121584730617011</v>
      </c>
    </row>
    <row r="206">
      <c r="A206" t="inlineStr">
        <is>
          <t>Formaldehyde</t>
        </is>
      </c>
      <c r="B206" t="n">
        <v>9.8e-08</v>
      </c>
      <c r="C206" t="inlineStr">
        <is>
          <t>kilogram</t>
        </is>
      </c>
      <c r="D206" t="inlineStr">
        <is>
          <t>air::urban air close to ground</t>
        </is>
      </c>
      <c r="F206" t="inlineStr">
        <is>
          <t>biosphere</t>
        </is>
      </c>
      <c r="H206" t="inlineStr">
        <is>
          <t>emissions</t>
        </is>
      </c>
      <c r="I206" t="inlineStr">
        <is>
          <t>Adapted from "heat production, biomethane, at boiler condensing modulating &lt;100kW"</t>
        </is>
      </c>
      <c r="K206" t="inlineStr">
        <is>
          <t>heat, residential, by combustion of synthetic natural gas from catalytic methanation using boiler, distributed by pipeline, produced by Electrolysis, PEM using electricity from grid and carbon sourced from DAC</t>
        </is>
      </c>
      <c r="L206" t="n">
        <v>2</v>
      </c>
      <c r="M206" t="n">
        <v>-16.13829835827584</v>
      </c>
      <c r="N206" t="n">
        <v>1.5</v>
      </c>
      <c r="O206" t="n">
        <v>1.2</v>
      </c>
      <c r="P206" t="n">
        <v>1.5</v>
      </c>
      <c r="Q206" t="n">
        <v>1.1</v>
      </c>
      <c r="R206" t="n">
        <v>2</v>
      </c>
      <c r="S206" t="n">
        <v>1.2</v>
      </c>
      <c r="T206" t="n">
        <v>1.5</v>
      </c>
      <c r="U206" t="n">
        <v>0.5121584730617011</v>
      </c>
    </row>
    <row r="207">
      <c r="A207" t="inlineStr">
        <is>
          <t>Mercury II</t>
        </is>
      </c>
      <c r="B207" t="n">
        <v>2.94e-11</v>
      </c>
      <c r="C207" t="inlineStr">
        <is>
          <t>kilogram</t>
        </is>
      </c>
      <c r="D207" t="inlineStr">
        <is>
          <t>air::urban air close to ground</t>
        </is>
      </c>
      <c r="F207" t="inlineStr">
        <is>
          <t>biosphere</t>
        </is>
      </c>
      <c r="H207" t="inlineStr">
        <is>
          <t>emissions</t>
        </is>
      </c>
      <c r="I207" t="inlineStr">
        <is>
          <t>Adapted from "heat production, biomethane, at boiler condensing modulating &lt;100kW"</t>
        </is>
      </c>
      <c r="K207" t="inlineStr">
        <is>
          <t>heat, residential, by combustion of synthetic natural gas from catalytic methanation using boiler, distributed by pipeline, produced by Electrolysis, PEM using electricity from grid and carbon sourced from DAC</t>
        </is>
      </c>
      <c r="L207" t="n">
        <v>2</v>
      </c>
      <c r="M207" t="n">
        <v>-24.25002644158391</v>
      </c>
      <c r="N207" t="n">
        <v>1.5</v>
      </c>
      <c r="O207" t="n">
        <v>1.2</v>
      </c>
      <c r="P207" t="n">
        <v>1.5</v>
      </c>
      <c r="Q207" t="n">
        <v>1.1</v>
      </c>
      <c r="R207" t="n">
        <v>2</v>
      </c>
      <c r="S207" t="n">
        <v>1.2</v>
      </c>
      <c r="T207" t="n">
        <v>5</v>
      </c>
      <c r="U207" t="n">
        <v>0.9320828351335841</v>
      </c>
    </row>
    <row r="208">
      <c r="A208" t="inlineStr">
        <is>
          <t>Methane, fossil</t>
        </is>
      </c>
      <c r="B208" t="n">
        <v>1.96e-06</v>
      </c>
      <c r="C208" t="inlineStr">
        <is>
          <t>kilogram</t>
        </is>
      </c>
      <c r="D208" t="inlineStr">
        <is>
          <t>air::urban air close to ground</t>
        </is>
      </c>
      <c r="F208" t="inlineStr">
        <is>
          <t>biosphere</t>
        </is>
      </c>
      <c r="H208" t="inlineStr">
        <is>
          <t>emissions</t>
        </is>
      </c>
      <c r="I208" t="inlineStr">
        <is>
          <t>Adapted from "heat production, biomethane, at boiler condensing modulating &lt;100kW"</t>
        </is>
      </c>
      <c r="K208" t="inlineStr">
        <is>
          <t>heat, residential, by combustion of synthetic natural gas from catalytic methanation using boiler, distributed by pipeline, produced by Electrolysis, PEM using electricity from grid and carbon sourced from DAC</t>
        </is>
      </c>
      <c r="L208" t="n">
        <v>2</v>
      </c>
      <c r="M208" t="n">
        <v>-13.14256608472185</v>
      </c>
      <c r="N208" t="n">
        <v>1.5</v>
      </c>
      <c r="O208" t="n">
        <v>1.2</v>
      </c>
      <c r="P208" t="n">
        <v>1.5</v>
      </c>
      <c r="Q208" t="n">
        <v>1.1</v>
      </c>
      <c r="R208" t="n">
        <v>2</v>
      </c>
      <c r="S208" t="n">
        <v>1.2</v>
      </c>
      <c r="T208" t="n">
        <v>1.5</v>
      </c>
      <c r="U208" t="n">
        <v>0.5121584730617011</v>
      </c>
    </row>
    <row r="209">
      <c r="A209" t="inlineStr">
        <is>
          <t>Methane, fossil</t>
        </is>
      </c>
      <c r="B209" t="n">
        <v>0</v>
      </c>
      <c r="C209" t="inlineStr">
        <is>
          <t>kilogram</t>
        </is>
      </c>
      <c r="D209" t="inlineStr">
        <is>
          <t>air::urban air close to ground</t>
        </is>
      </c>
      <c r="F209" t="inlineStr">
        <is>
          <t>biosphere</t>
        </is>
      </c>
      <c r="H209" t="inlineStr">
        <is>
          <t>emissions</t>
        </is>
      </c>
      <c r="I209" t="inlineStr">
        <is>
          <t>Adapted from "heat production, biomethane, at boiler condensing modulating &lt;100kW"</t>
        </is>
      </c>
      <c r="K209" t="inlineStr">
        <is>
          <t>heat, residential, by combustion of synthetic natural gas from catalytic methanation using boiler, distributed by pipeline, produced by Electrolysis, PEM using electricity from grid and carbon sourced from DAC</t>
        </is>
      </c>
      <c r="L209" t="n">
        <v>1</v>
      </c>
    </row>
    <row r="210">
      <c r="A210" t="inlineStr">
        <is>
          <t>Nitrogen oxides</t>
        </is>
      </c>
      <c r="B210" t="n">
        <v>9.702e-06</v>
      </c>
      <c r="C210" t="inlineStr">
        <is>
          <t>kilogram</t>
        </is>
      </c>
      <c r="D210" t="inlineStr">
        <is>
          <t>air::urban air close to ground</t>
        </is>
      </c>
      <c r="F210" t="inlineStr">
        <is>
          <t>biosphere</t>
        </is>
      </c>
      <c r="H210" t="inlineStr">
        <is>
          <t>emissions</t>
        </is>
      </c>
      <c r="I210" t="inlineStr">
        <is>
          <t>Adapted from "heat production, biomethane, at boiler condensing modulating &lt;100kW"</t>
        </is>
      </c>
      <c r="K210" t="inlineStr">
        <is>
          <t>heat, residential, by combustion of synthetic natural gas from catalytic methanation using boiler, distributed by pipeline, produced by Electrolysis, PEM using electricity from grid and carbon sourced from DAC</t>
        </is>
      </c>
      <c r="L210" t="n">
        <v>2</v>
      </c>
      <c r="M210" t="n">
        <v>-11.54317850814125</v>
      </c>
      <c r="N210" t="n">
        <v>1.5</v>
      </c>
      <c r="O210" t="n">
        <v>1.2</v>
      </c>
      <c r="P210" t="n">
        <v>1.5</v>
      </c>
      <c r="Q210" t="n">
        <v>1.1</v>
      </c>
      <c r="R210" t="n">
        <v>2</v>
      </c>
      <c r="S210" t="n">
        <v>1.2</v>
      </c>
      <c r="T210" t="n">
        <v>1.5</v>
      </c>
      <c r="U210" t="n">
        <v>0.5121584730617011</v>
      </c>
    </row>
    <row r="211">
      <c r="A211" t="inlineStr">
        <is>
          <t>PAH, polycyclic aromatic hydrocarbons</t>
        </is>
      </c>
      <c r="B211" t="n">
        <v>9.8e-09</v>
      </c>
      <c r="C211" t="inlineStr">
        <is>
          <t>kilogram</t>
        </is>
      </c>
      <c r="D211" t="inlineStr">
        <is>
          <t>air::urban air close to ground</t>
        </is>
      </c>
      <c r="F211" t="inlineStr">
        <is>
          <t>biosphere</t>
        </is>
      </c>
      <c r="H211" t="inlineStr">
        <is>
          <t>emissions</t>
        </is>
      </c>
      <c r="I211" t="inlineStr">
        <is>
          <t>Adapted from "heat production, biomethane, at boiler condensing modulating &lt;100kW"</t>
        </is>
      </c>
      <c r="K211" t="inlineStr">
        <is>
          <t>heat, residential, by combustion of synthetic natural gas from catalytic methanation using boiler, distributed by pipeline, produced by Electrolysis, PEM using electricity from grid and carbon sourced from DAC</t>
        </is>
      </c>
      <c r="L211" t="n">
        <v>2</v>
      </c>
      <c r="M211" t="n">
        <v>-18.44088345126988</v>
      </c>
      <c r="N211" t="n">
        <v>1.5</v>
      </c>
      <c r="O211" t="n">
        <v>1.2</v>
      </c>
      <c r="P211" t="n">
        <v>1.5</v>
      </c>
      <c r="Q211" t="n">
        <v>1.1</v>
      </c>
      <c r="R211" t="n">
        <v>2</v>
      </c>
      <c r="S211" t="n">
        <v>1.2</v>
      </c>
      <c r="T211" t="n">
        <v>3</v>
      </c>
      <c r="U211" t="n">
        <v>0.723148016147972</v>
      </c>
    </row>
    <row r="212">
      <c r="A212" t="inlineStr">
        <is>
          <t>Particulate Matter, &lt; 2.5 um</t>
        </is>
      </c>
      <c r="B212" t="n">
        <v>9.8e-08</v>
      </c>
      <c r="C212" t="inlineStr">
        <is>
          <t>kilogram</t>
        </is>
      </c>
      <c r="D212" t="inlineStr">
        <is>
          <t>air::urban air close to ground</t>
        </is>
      </c>
      <c r="F212" t="inlineStr">
        <is>
          <t>biosphere</t>
        </is>
      </c>
      <c r="H212" t="inlineStr">
        <is>
          <t>emissions</t>
        </is>
      </c>
      <c r="I212" t="inlineStr">
        <is>
          <t>Adapted from "heat production, biomethane, at boiler condensing modulating &lt;100kW"</t>
        </is>
      </c>
      <c r="K212" t="inlineStr">
        <is>
          <t>heat, residential, by combustion of synthetic natural gas from catalytic methanation using boiler, distributed by pipeline, produced by Electrolysis, PEM using electricity from grid and carbon sourced from DAC</t>
        </is>
      </c>
      <c r="L212" t="n">
        <v>2</v>
      </c>
      <c r="M212" t="n">
        <v>-16.13829835827584</v>
      </c>
      <c r="N212" t="n">
        <v>1.5</v>
      </c>
      <c r="O212" t="n">
        <v>1.2</v>
      </c>
      <c r="P212" t="n">
        <v>1.5</v>
      </c>
      <c r="Q212" t="n">
        <v>1.1</v>
      </c>
      <c r="R212" t="n">
        <v>2</v>
      </c>
      <c r="S212" t="n">
        <v>1.2</v>
      </c>
      <c r="T212" t="n">
        <v>3</v>
      </c>
      <c r="U212" t="n">
        <v>0.723148016147972</v>
      </c>
    </row>
    <row r="213">
      <c r="A213" t="inlineStr">
        <is>
          <t>Pentane</t>
        </is>
      </c>
      <c r="B213" t="n">
        <v>1.176e-06</v>
      </c>
      <c r="C213" t="inlineStr">
        <is>
          <t>kilogram</t>
        </is>
      </c>
      <c r="D213" t="inlineStr">
        <is>
          <t>air::urban air close to ground</t>
        </is>
      </c>
      <c r="F213" t="inlineStr">
        <is>
          <t>biosphere</t>
        </is>
      </c>
      <c r="H213" t="inlineStr">
        <is>
          <t>emissions</t>
        </is>
      </c>
      <c r="I213" t="inlineStr">
        <is>
          <t>Adapted from "heat production, biomethane, at boiler condensing modulating &lt;100kW"</t>
        </is>
      </c>
      <c r="K213" t="inlineStr">
        <is>
          <t>heat, residential, by combustion of synthetic natural gas from catalytic methanation using boiler, distributed by pipeline, produced by Electrolysis, PEM using electricity from grid and carbon sourced from DAC</t>
        </is>
      </c>
      <c r="L213" t="n">
        <v>2</v>
      </c>
      <c r="M213" t="n">
        <v>-13.65339170848784</v>
      </c>
      <c r="N213" t="n">
        <v>1.5</v>
      </c>
      <c r="O213" t="n">
        <v>1.2</v>
      </c>
      <c r="P213" t="n">
        <v>1.5</v>
      </c>
      <c r="Q213" t="n">
        <v>1.1</v>
      </c>
      <c r="R213" t="n">
        <v>2</v>
      </c>
      <c r="S213" t="n">
        <v>1.2</v>
      </c>
      <c r="T213" t="n">
        <v>1.5</v>
      </c>
      <c r="U213" t="n">
        <v>0.5121584730617011</v>
      </c>
    </row>
    <row r="214">
      <c r="A214" t="inlineStr">
        <is>
          <t>Propionic acid</t>
        </is>
      </c>
      <c r="B214" t="n">
        <v>1.96e-08</v>
      </c>
      <c r="C214" t="inlineStr">
        <is>
          <t>kilogram</t>
        </is>
      </c>
      <c r="D214" t="inlineStr">
        <is>
          <t>air::urban air close to ground</t>
        </is>
      </c>
      <c r="F214" t="inlineStr">
        <is>
          <t>biosphere</t>
        </is>
      </c>
      <c r="H214" t="inlineStr">
        <is>
          <t>emissions</t>
        </is>
      </c>
      <c r="I214" t="inlineStr">
        <is>
          <t>Adapted from "heat production, biomethane, at boiler condensing modulating &lt;100kW"</t>
        </is>
      </c>
      <c r="K214" t="inlineStr">
        <is>
          <t>heat, residential, by combustion of synthetic natural gas from catalytic methanation using boiler, distributed by pipeline, produced by Electrolysis, PEM using electricity from grid and carbon sourced from DAC</t>
        </is>
      </c>
      <c r="L214" t="n">
        <v>2</v>
      </c>
      <c r="M214" t="n">
        <v>-17.74773627070994</v>
      </c>
      <c r="N214" t="n">
        <v>1.5</v>
      </c>
      <c r="O214" t="n">
        <v>1.2</v>
      </c>
      <c r="P214" t="n">
        <v>1.5</v>
      </c>
      <c r="Q214" t="n">
        <v>1.1</v>
      </c>
      <c r="R214" t="n">
        <v>2</v>
      </c>
      <c r="S214" t="n">
        <v>1.2</v>
      </c>
      <c r="T214" t="n">
        <v>1.5</v>
      </c>
      <c r="U214" t="n">
        <v>0.5121584730617011</v>
      </c>
    </row>
    <row r="215">
      <c r="A215" t="inlineStr">
        <is>
          <t>Sulfur dioxide</t>
        </is>
      </c>
      <c r="B215" t="n">
        <v>4.9e-07</v>
      </c>
      <c r="C215" t="inlineStr">
        <is>
          <t>kilogram</t>
        </is>
      </c>
      <c r="D215" t="inlineStr">
        <is>
          <t>air::urban air close to ground</t>
        </is>
      </c>
      <c r="F215" t="inlineStr">
        <is>
          <t>biosphere</t>
        </is>
      </c>
      <c r="H215" t="inlineStr">
        <is>
          <t>emissions</t>
        </is>
      </c>
      <c r="I215" t="inlineStr">
        <is>
          <t>Adapted from "heat production, biomethane, at boiler condensing modulating &lt;100kW"</t>
        </is>
      </c>
      <c r="K215" t="inlineStr">
        <is>
          <t>heat, residential, by combustion of synthetic natural gas from catalytic methanation using boiler, distributed by pipeline, produced by Electrolysis, PEM using electricity from grid and carbon sourced from DAC</t>
        </is>
      </c>
      <c r="L215" t="n">
        <v>2</v>
      </c>
      <c r="M215" t="n">
        <v>-14.52886044584174</v>
      </c>
      <c r="N215" t="n">
        <v>1.5</v>
      </c>
      <c r="O215" t="n">
        <v>1.2</v>
      </c>
      <c r="P215" t="n">
        <v>1.5</v>
      </c>
      <c r="Q215" t="n">
        <v>1.1</v>
      </c>
      <c r="R215" t="n">
        <v>2</v>
      </c>
      <c r="S215" t="n">
        <v>1.2</v>
      </c>
      <c r="T215" t="n">
        <v>1.5</v>
      </c>
      <c r="U215" t="n">
        <v>0.5121584730617011</v>
      </c>
    </row>
    <row r="216">
      <c r="A216" t="inlineStr">
        <is>
          <t>Toluene</t>
        </is>
      </c>
      <c r="B216" t="n">
        <v>1.96e-07</v>
      </c>
      <c r="C216" t="inlineStr">
        <is>
          <t>kilogram</t>
        </is>
      </c>
      <c r="D216" t="inlineStr">
        <is>
          <t>air::urban air close to ground</t>
        </is>
      </c>
      <c r="F216" t="inlineStr">
        <is>
          <t>biosphere</t>
        </is>
      </c>
      <c r="H216" t="inlineStr">
        <is>
          <t>emissions</t>
        </is>
      </c>
      <c r="I216" t="inlineStr">
        <is>
          <t>Adapted from "heat production, biomethane, at boiler condensing modulating &lt;100kW"</t>
        </is>
      </c>
      <c r="K216" t="inlineStr">
        <is>
          <t>heat, residential, by combustion of synthetic natural gas from catalytic methanation using boiler, distributed by pipeline, produced by Electrolysis, PEM using electricity from grid and carbon sourced from DAC</t>
        </is>
      </c>
      <c r="L216" t="n">
        <v>2</v>
      </c>
      <c r="M216" t="n">
        <v>-15.44515117771589</v>
      </c>
      <c r="N216" t="n">
        <v>1.5</v>
      </c>
      <c r="O216" t="n">
        <v>1.2</v>
      </c>
      <c r="P216" t="n">
        <v>1.5</v>
      </c>
      <c r="Q216" t="n">
        <v>1.1</v>
      </c>
      <c r="R216" t="n">
        <v>2</v>
      </c>
      <c r="S216" t="n">
        <v>1.2</v>
      </c>
      <c r="T216" t="n">
        <v>1.5</v>
      </c>
      <c r="U216" t="n">
        <v>0.5121584730617011</v>
      </c>
    </row>
    <row r="217">
      <c r="A217" t="inlineStr">
        <is>
          <t>Nitrate</t>
        </is>
      </c>
      <c r="B217" t="n">
        <v>1.274e-07</v>
      </c>
      <c r="C217" t="inlineStr">
        <is>
          <t>kilogram</t>
        </is>
      </c>
      <c r="D217" t="inlineStr">
        <is>
          <t>water::surface water</t>
        </is>
      </c>
      <c r="F217" t="inlineStr">
        <is>
          <t>biosphere</t>
        </is>
      </c>
      <c r="H217" t="inlineStr">
        <is>
          <t>emissions</t>
        </is>
      </c>
      <c r="I217" t="inlineStr">
        <is>
          <t>Adapted from "heat production, biomethane, at boiler condensing modulating &lt;100kW"</t>
        </is>
      </c>
      <c r="K217" t="inlineStr">
        <is>
          <t>heat, residential, by combustion of synthetic natural gas from catalytic methanation using boiler, distributed by pipeline, produced by Electrolysis, PEM using electricity from grid and carbon sourced from DAC</t>
        </is>
      </c>
      <c r="L217" t="n">
        <v>2</v>
      </c>
      <c r="M217" t="n">
        <v>-15.87593409380835</v>
      </c>
      <c r="N217" t="n">
        <v>1.5</v>
      </c>
      <c r="O217" t="n">
        <v>1.2</v>
      </c>
      <c r="P217" t="n">
        <v>1.5</v>
      </c>
      <c r="Q217" t="n">
        <v>1.1</v>
      </c>
      <c r="R217" t="n">
        <v>2</v>
      </c>
      <c r="S217" t="n">
        <v>1.2</v>
      </c>
      <c r="T217" t="n">
        <v>1.5</v>
      </c>
      <c r="U217" t="n">
        <v>0.5121584730617011</v>
      </c>
    </row>
    <row r="218">
      <c r="A218" t="inlineStr">
        <is>
          <t>Nitrite</t>
        </is>
      </c>
      <c r="B218" t="n">
        <v>2.94e-09</v>
      </c>
      <c r="C218" t="inlineStr">
        <is>
          <t>kilogram</t>
        </is>
      </c>
      <c r="D218" t="inlineStr">
        <is>
          <t>water::surface water</t>
        </is>
      </c>
      <c r="F218" t="inlineStr">
        <is>
          <t>biosphere</t>
        </is>
      </c>
      <c r="H218" t="inlineStr">
        <is>
          <t>emissions</t>
        </is>
      </c>
      <c r="I218" t="inlineStr">
        <is>
          <t>Adapted from "heat production, biomethane, at boiler condensing modulating &lt;100kW"</t>
        </is>
      </c>
      <c r="K218" t="inlineStr">
        <is>
          <t>heat, residential, by combustion of synthetic natural gas from catalytic methanation using boiler, distributed by pipeline, produced by Electrolysis, PEM using electricity from grid and carbon sourced from DAC</t>
        </is>
      </c>
      <c r="L218" t="n">
        <v>2</v>
      </c>
      <c r="M218" t="n">
        <v>-19.64485625559582</v>
      </c>
      <c r="N218" t="n">
        <v>1.5</v>
      </c>
      <c r="O218" t="n">
        <v>1.2</v>
      </c>
      <c r="P218" t="n">
        <v>1.5</v>
      </c>
      <c r="Q218" t="n">
        <v>1.1</v>
      </c>
      <c r="R218" t="n">
        <v>2</v>
      </c>
      <c r="S218" t="n">
        <v>1.2</v>
      </c>
      <c r="T218" t="n">
        <v>1.5</v>
      </c>
      <c r="U218" t="n">
        <v>0.5121584730617011</v>
      </c>
    </row>
    <row r="219">
      <c r="A219" t="inlineStr">
        <is>
          <t>Sulfate</t>
        </is>
      </c>
      <c r="B219" t="n">
        <v>4.9e-08</v>
      </c>
      <c r="C219" t="inlineStr">
        <is>
          <t>kilogram</t>
        </is>
      </c>
      <c r="D219" t="inlineStr">
        <is>
          <t>water::surface water</t>
        </is>
      </c>
      <c r="F219" t="inlineStr">
        <is>
          <t>biosphere</t>
        </is>
      </c>
      <c r="H219" t="inlineStr">
        <is>
          <t>emissions</t>
        </is>
      </c>
      <c r="I219" t="inlineStr">
        <is>
          <t>Adapted from "heat production, biomethane, at boiler condensing modulating &lt;100kW"</t>
        </is>
      </c>
      <c r="K219" t="inlineStr">
        <is>
          <t>heat, residential, by combustion of synthetic natural gas from catalytic methanation using boiler, distributed by pipeline, produced by Electrolysis, PEM using electricity from grid and carbon sourced from DAC</t>
        </is>
      </c>
      <c r="L219" t="n">
        <v>2</v>
      </c>
      <c r="M219" t="n">
        <v>-16.83144553883578</v>
      </c>
      <c r="N219" t="n">
        <v>1.5</v>
      </c>
      <c r="O219" t="n">
        <v>1.2</v>
      </c>
      <c r="P219" t="n">
        <v>1.5</v>
      </c>
      <c r="Q219" t="n">
        <v>1.1</v>
      </c>
      <c r="R219" t="n">
        <v>2</v>
      </c>
      <c r="S219" t="n">
        <v>1.2</v>
      </c>
      <c r="T219" t="n">
        <v>1.5</v>
      </c>
      <c r="U219" t="n">
        <v>0.5121584730617011</v>
      </c>
    </row>
    <row r="220">
      <c r="A220" t="inlineStr">
        <is>
          <t>Sulfite</t>
        </is>
      </c>
      <c r="B220" t="n">
        <v>4.9e-08</v>
      </c>
      <c r="C220" t="inlineStr">
        <is>
          <t>kilogram</t>
        </is>
      </c>
      <c r="D220" t="inlineStr">
        <is>
          <t>water::surface water</t>
        </is>
      </c>
      <c r="F220" t="inlineStr">
        <is>
          <t>biosphere</t>
        </is>
      </c>
      <c r="H220" t="inlineStr">
        <is>
          <t>emissions</t>
        </is>
      </c>
      <c r="I220" t="inlineStr">
        <is>
          <t>Adapted from "heat production, biomethane, at boiler condensing modulating &lt;100kW"</t>
        </is>
      </c>
      <c r="K220" t="inlineStr">
        <is>
          <t>heat, residential, by combustion of synthetic natural gas from catalytic methanation using boiler, distributed by pipeline, produced by Electrolysis, PEM using electricity from grid and carbon sourced from DAC</t>
        </is>
      </c>
      <c r="L220" t="n">
        <v>2</v>
      </c>
      <c r="M220" t="n">
        <v>-16.83144553883578</v>
      </c>
      <c r="N220" t="n">
        <v>1.5</v>
      </c>
      <c r="O220" t="n">
        <v>1.2</v>
      </c>
      <c r="P220" t="n">
        <v>1.5</v>
      </c>
      <c r="Q220" t="n">
        <v>1.1</v>
      </c>
      <c r="R220" t="n">
        <v>2</v>
      </c>
      <c r="S220" t="n">
        <v>1.2</v>
      </c>
      <c r="T220" t="n">
        <v>1.5</v>
      </c>
      <c r="U220" t="n">
        <v>0.5121584730617011</v>
      </c>
    </row>
    <row r="221"/>
    <row r="222">
      <c r="A222" t="inlineStr">
        <is>
          <t>Activity</t>
        </is>
      </c>
      <c r="B222" s="1" t="inlineStr">
        <is>
          <t>heat, residential, by combustion of biomethane using boiler, distributed by pipeline</t>
        </is>
      </c>
    </row>
    <row r="223">
      <c r="A223" t="inlineStr">
        <is>
          <t>comment</t>
        </is>
      </c>
      <c r="B223" t="inlineStr">
        <is>
          <t>This dataset represents the supply of 1 megajoule of heat in a residence, by biomethane methanation combustion in a boiler. Heat conversion efficiency [% LHV input]: 109.5%. LHV [MJ/kg]: 48. Market price [Euro/MJ]: 0.0266666666666667. Distribution loss [% output]: 0.019%. Storage loss [% output]: 0%. CO2 biogenic share [%]: 100%. Power [kW]: 16.4. Lifetime [years]: 20. Annual operation [hours]: 2100. : .  For more information, refer to: Sacchi, R. and Bauer, C. LCA of Power-to-X processes and applications in the residential sector. Paul Scherrer Institut, 2023.</t>
        </is>
      </c>
    </row>
    <row r="224">
      <c r="A224" t="inlineStr">
        <is>
          <t>source</t>
        </is>
      </c>
      <c r="B224" t="inlineStr">
        <is>
          <t>Sacchi, R. and Bauer, C. LCA of Power-to-X processes and applications in the residential sector. Paul Scherrer Institut, 2023.</t>
        </is>
      </c>
    </row>
    <row r="225">
      <c r="A225" t="inlineStr">
        <is>
          <t>location</t>
        </is>
      </c>
      <c r="B225" t="inlineStr">
        <is>
          <t>RER</t>
        </is>
      </c>
    </row>
    <row r="226">
      <c r="A226" t="inlineStr">
        <is>
          <t>reference product</t>
        </is>
      </c>
      <c r="B226" t="inlineStr">
        <is>
          <t>heat, from residential heating system</t>
        </is>
      </c>
    </row>
    <row r="227">
      <c r="A227" t="inlineStr">
        <is>
          <t>unit</t>
        </is>
      </c>
      <c r="B227" t="inlineStr">
        <is>
          <t>megajoule</t>
        </is>
      </c>
    </row>
    <row r="228" customFormat="1" s="1">
      <c r="A228" s="1" t="inlineStr">
        <is>
          <t>Exchanges</t>
        </is>
      </c>
    </row>
    <row r="229" customFormat="1" s="1">
      <c r="A229" s="1" t="inlineStr">
        <is>
          <t>name</t>
        </is>
      </c>
      <c r="B229" s="1" t="inlineStr">
        <is>
          <t>amount</t>
        </is>
      </c>
      <c r="C229" s="1" t="inlineStr">
        <is>
          <t>unit</t>
        </is>
      </c>
      <c r="D229" s="1" t="inlineStr">
        <is>
          <t>categories</t>
        </is>
      </c>
      <c r="E229" s="1" t="inlineStr">
        <is>
          <t>location</t>
        </is>
      </c>
      <c r="F229" s="1" t="inlineStr">
        <is>
          <t>type</t>
        </is>
      </c>
      <c r="G229" s="1" t="inlineStr">
        <is>
          <t>reference product</t>
        </is>
      </c>
      <c r="H229" s="1" t="inlineStr">
        <is>
          <t>tag</t>
        </is>
      </c>
      <c r="I229" s="1" t="inlineStr">
        <is>
          <t>comment</t>
        </is>
      </c>
      <c r="J229" s="1" t="inlineStr">
        <is>
          <t>input type</t>
        </is>
      </c>
      <c r="K229" s="1" t="inlineStr">
        <is>
          <t>dataset name</t>
        </is>
      </c>
      <c r="L229" s="1" t="inlineStr">
        <is>
          <t>uncertainty type</t>
        </is>
      </c>
      <c r="M229" s="1" t="inlineStr">
        <is>
          <t>loc</t>
        </is>
      </c>
      <c r="N229" s="1" t="inlineStr">
        <is>
          <t>u1</t>
        </is>
      </c>
      <c r="O229" s="1" t="inlineStr">
        <is>
          <t>u2</t>
        </is>
      </c>
      <c r="P229" s="1" t="inlineStr">
        <is>
          <t>u3</t>
        </is>
      </c>
      <c r="Q229" s="1" t="inlineStr">
        <is>
          <t>u4</t>
        </is>
      </c>
      <c r="R229" s="1" t="inlineStr">
        <is>
          <t>u5</t>
        </is>
      </c>
      <c r="S229" s="1" t="inlineStr">
        <is>
          <t>u6</t>
        </is>
      </c>
      <c r="T229" s="1" t="inlineStr">
        <is>
          <t>ub</t>
        </is>
      </c>
      <c r="U229" s="1" t="inlineStr">
        <is>
          <t>scale</t>
        </is>
      </c>
      <c r="V229" s="1" t="inlineStr">
        <is>
          <t>negative</t>
        </is>
      </c>
      <c r="W229" s="1" t="inlineStr">
        <is>
          <t>simapro category</t>
        </is>
      </c>
    </row>
    <row r="230">
      <c r="A230" t="inlineStr">
        <is>
          <t>heat, residential, by combustion of biomethane using boiler, distributed by pipeline</t>
        </is>
      </c>
      <c r="B230" t="n">
        <v>1</v>
      </c>
      <c r="C230" t="inlineStr">
        <is>
          <t>megajoule</t>
        </is>
      </c>
      <c r="E230" t="inlineStr">
        <is>
          <t>RER</t>
        </is>
      </c>
      <c r="F230" t="inlineStr">
        <is>
          <t>production</t>
        </is>
      </c>
      <c r="G230" t="inlineStr">
        <is>
          <t>heat, from residential heating system</t>
        </is>
      </c>
      <c r="K230" t="inlineStr">
        <is>
          <t>heat, residential, by combustion of synthetic natural gas from catalytic methanation using boiler, distributed by pipeline, produced by Electrolysis, PEM using electricity from grid and carbon sourced from DAC</t>
        </is>
      </c>
      <c r="W230" t="inlineStr">
        <is>
          <t>Energy/Heat/Synthetic/Transformation</t>
        </is>
      </c>
    </row>
    <row r="231">
      <c r="A231" t="inlineStr">
        <is>
          <t>market for gas boiler</t>
        </is>
      </c>
      <c r="B231" t="n">
        <v>4.032778423022325e-07</v>
      </c>
      <c r="C231" t="inlineStr">
        <is>
          <t>unit</t>
        </is>
      </c>
      <c r="E231" t="inlineStr">
        <is>
          <t>GLO</t>
        </is>
      </c>
      <c r="F231" t="inlineStr">
        <is>
          <t>technosphere</t>
        </is>
      </c>
      <c r="G231" t="inlineStr">
        <is>
          <t>gas boiler</t>
        </is>
      </c>
      <c r="H231" t="inlineStr">
        <is>
          <t>infrastructure</t>
        </is>
      </c>
      <c r="I231" t="inlineStr">
        <is>
          <t>1/(Cap. [kW] * lifetime [y] * annual operation [h] * 3.6 [MJ/kWh])</t>
        </is>
      </c>
      <c r="K231" t="inlineStr">
        <is>
          <t>heat, residential, by combustion of synthetic natural gas from catalytic methanation using boiler, distributed by pipeline, produced by Electrolysis, PEM using electricity from grid and carbon sourced from DAC</t>
        </is>
      </c>
      <c r="L231" t="n">
        <v>2</v>
      </c>
      <c r="M231" t="n">
        <v>-14.72364007755772</v>
      </c>
      <c r="N231" t="n">
        <v>1.05</v>
      </c>
      <c r="O231" t="n">
        <v>1.2</v>
      </c>
      <c r="P231" t="n">
        <v>1</v>
      </c>
      <c r="Q231" t="n">
        <v>1.01</v>
      </c>
      <c r="R231" t="n">
        <v>1.2</v>
      </c>
      <c r="S231" t="n">
        <v>1.2</v>
      </c>
      <c r="T231" t="n">
        <v>3</v>
      </c>
      <c r="U231" t="n">
        <v>0.572090880068819</v>
      </c>
    </row>
    <row r="232">
      <c r="A232" t="inlineStr">
        <is>
          <t>market for chimney</t>
        </is>
      </c>
      <c r="B232" t="n">
        <v>8.82e-07</v>
      </c>
      <c r="C232" t="inlineStr">
        <is>
          <t>meter</t>
        </is>
      </c>
      <c r="E232" t="inlineStr">
        <is>
          <t>GLO</t>
        </is>
      </c>
      <c r="F232" t="inlineStr">
        <is>
          <t>technosphere</t>
        </is>
      </c>
      <c r="G232" t="inlineStr">
        <is>
          <t>chimney</t>
        </is>
      </c>
      <c r="H232" t="inlineStr">
        <is>
          <t>infrastructure</t>
        </is>
      </c>
      <c r="I232" t="inlineStr">
        <is>
          <t>To evacuate the flue gases.</t>
        </is>
      </c>
      <c r="K232" t="inlineStr">
        <is>
          <t>heat, residential, by combustion of synthetic natural gas from catalytic methanation using boiler, distributed by pipeline, produced by Electrolysis, PEM using electricity from grid and carbon sourced from DAC</t>
        </is>
      </c>
      <c r="L232" t="n">
        <v>2</v>
      </c>
      <c r="M232" t="n">
        <v>-13.94107378093962</v>
      </c>
      <c r="N232" t="n">
        <v>1.05</v>
      </c>
      <c r="O232" t="n">
        <v>1.2</v>
      </c>
      <c r="P232" t="n">
        <v>1</v>
      </c>
      <c r="Q232" t="n">
        <v>1.01</v>
      </c>
      <c r="R232" t="n">
        <v>1.2</v>
      </c>
      <c r="S232" t="n">
        <v>1.2</v>
      </c>
      <c r="T232" t="n">
        <v>3</v>
      </c>
      <c r="U232" t="n">
        <v>0.572090880068819</v>
      </c>
    </row>
    <row r="233">
      <c r="A233" t="inlineStr">
        <is>
          <t>market group for electricity, low voltage</t>
        </is>
      </c>
      <c r="B233" t="n">
        <v>0.000734</v>
      </c>
      <c r="C233" t="inlineStr">
        <is>
          <t>kilowatt hour</t>
        </is>
      </c>
      <c r="E233" t="inlineStr">
        <is>
          <t>RER</t>
        </is>
      </c>
      <c r="F233" t="inlineStr">
        <is>
          <t>technosphere</t>
        </is>
      </c>
      <c r="G233" t="inlineStr">
        <is>
          <t>electricity, low voltage</t>
        </is>
      </c>
      <c r="H233" t="inlineStr">
        <is>
          <t>electricity</t>
        </is>
      </c>
      <c r="I233" t="inlineStr">
        <is>
          <t>To operate the boiler.</t>
        </is>
      </c>
      <c r="J233" t="inlineStr">
        <is>
          <t>grid electricity</t>
        </is>
      </c>
      <c r="K233" t="inlineStr">
        <is>
          <t>heat, residential, by combustion of synthetic natural gas from catalytic methanation using boiler, distributed by pipeline, produced by Electrolysis, PEM using electricity from grid and carbon sourced from DAC</t>
        </is>
      </c>
      <c r="L233" t="n">
        <v>2</v>
      </c>
      <c r="M233" t="n">
        <v>-7.217001529349758</v>
      </c>
      <c r="N233" t="n">
        <v>1.05</v>
      </c>
      <c r="O233" t="n">
        <v>1.2</v>
      </c>
      <c r="P233" t="n">
        <v>1</v>
      </c>
      <c r="Q233" t="n">
        <v>1.01</v>
      </c>
      <c r="R233" t="n">
        <v>1.2</v>
      </c>
      <c r="S233" t="n">
        <v>1.2</v>
      </c>
      <c r="T233" t="n">
        <v>1.05</v>
      </c>
      <c r="U233" t="n">
        <v>0.1616967992407096</v>
      </c>
    </row>
    <row r="234">
      <c r="A234" t="inlineStr">
        <is>
          <t>biomethane, gaseous, 5 bar, from sewage sludge fermentation, at fuelling station</t>
        </is>
      </c>
      <c r="B234" t="n">
        <v>0.01902587519025875</v>
      </c>
      <c r="C234" t="inlineStr">
        <is>
          <t>kilogram</t>
        </is>
      </c>
      <c r="E234" t="inlineStr">
        <is>
          <t>RER</t>
        </is>
      </c>
      <c r="F234" t="inlineStr">
        <is>
          <t>technosphere</t>
        </is>
      </c>
      <c r="G234" t="inlineStr">
        <is>
          <t>biomethane, high pressure</t>
        </is>
      </c>
      <c r="H234" t="inlineStr">
        <is>
          <t>biomethane, high pressure</t>
        </is>
      </c>
      <c r="I234" t="inlineStr">
        <is>
          <t>Methane input. 1 [MJ SNG]/ 47.5 [MJ/kg SNG]/ eff.(th)</t>
        </is>
      </c>
      <c r="J234" t="inlineStr">
        <is>
          <t>SNG biological - w CO2 from DAC</t>
        </is>
      </c>
      <c r="K234" t="inlineStr">
        <is>
          <t>heat, residential, by combustion of synthetic natural gas from catalytic methanation using boiler, distributed by pipeline, produced by Electrolysis, PEM using electricity from grid and carbon sourced from DAC</t>
        </is>
      </c>
      <c r="L234" t="n">
        <v>2</v>
      </c>
      <c r="M234" t="n">
        <v>-3.961955374176355</v>
      </c>
      <c r="N234" t="n">
        <v>1.05</v>
      </c>
      <c r="O234" t="n">
        <v>1.2</v>
      </c>
      <c r="P234" t="n">
        <v>1</v>
      </c>
      <c r="Q234" t="n">
        <v>1.01</v>
      </c>
      <c r="R234" t="n">
        <v>1.2</v>
      </c>
      <c r="S234" t="n">
        <v>1.2</v>
      </c>
      <c r="T234" t="n">
        <v>1.05</v>
      </c>
      <c r="U234" t="n">
        <v>0.1616967992407096</v>
      </c>
    </row>
    <row r="235">
      <c r="A235" t="inlineStr">
        <is>
          <t>Acetaldehyde</t>
        </is>
      </c>
      <c r="B235" t="n">
        <v>9.799999999999999e-10</v>
      </c>
      <c r="C235" t="inlineStr">
        <is>
          <t>kilogram</t>
        </is>
      </c>
      <c r="D235" t="inlineStr">
        <is>
          <t>air::urban air close to ground</t>
        </is>
      </c>
      <c r="F235" t="inlineStr">
        <is>
          <t>biosphere</t>
        </is>
      </c>
      <c r="H235" t="inlineStr">
        <is>
          <t>emissions</t>
        </is>
      </c>
      <c r="I235" t="inlineStr">
        <is>
          <t>Adapted from "heat production, biomethane, at boiler condensing modulating &lt;100kW"</t>
        </is>
      </c>
      <c r="K235" t="inlineStr">
        <is>
          <t>heat, residential, by combustion of synthetic natural gas from catalytic methanation using boiler, distributed by pipeline, produced by Electrolysis, PEM using electricity from grid and carbon sourced from DAC</t>
        </is>
      </c>
      <c r="L235" t="n">
        <v>2</v>
      </c>
      <c r="M235" t="n">
        <v>-20.74346854426393</v>
      </c>
      <c r="N235" t="n">
        <v>1.5</v>
      </c>
      <c r="O235" t="n">
        <v>1.2</v>
      </c>
      <c r="P235" t="n">
        <v>1.5</v>
      </c>
      <c r="Q235" t="n">
        <v>1.1</v>
      </c>
      <c r="R235" t="n">
        <v>2</v>
      </c>
      <c r="S235" t="n">
        <v>1.2</v>
      </c>
      <c r="T235" t="n">
        <v>1.5</v>
      </c>
      <c r="U235" t="n">
        <v>0.5121584730617011</v>
      </c>
    </row>
    <row r="236">
      <c r="A236" t="inlineStr">
        <is>
          <t>Acetic acid</t>
        </is>
      </c>
      <c r="B236" t="n">
        <v>1.47e-07</v>
      </c>
      <c r="C236" t="inlineStr">
        <is>
          <t>kilogram</t>
        </is>
      </c>
      <c r="D236" t="inlineStr">
        <is>
          <t>air::urban air close to ground</t>
        </is>
      </c>
      <c r="F236" t="inlineStr">
        <is>
          <t>biosphere</t>
        </is>
      </c>
      <c r="H236" t="inlineStr">
        <is>
          <t>emissions</t>
        </is>
      </c>
      <c r="I236" t="inlineStr">
        <is>
          <t>Adapted from "heat production, biomethane, at boiler condensing modulating &lt;100kW"</t>
        </is>
      </c>
      <c r="K236" t="inlineStr">
        <is>
          <t>heat, residential, by combustion of synthetic natural gas from catalytic methanation using boiler, distributed by pipeline, produced by Electrolysis, PEM using electricity from grid and carbon sourced from DAC</t>
        </is>
      </c>
      <c r="L236" t="n">
        <v>2</v>
      </c>
      <c r="M236" t="n">
        <v>-15.73283325016767</v>
      </c>
      <c r="N236" t="n">
        <v>1.5</v>
      </c>
      <c r="O236" t="n">
        <v>1.2</v>
      </c>
      <c r="P236" t="n">
        <v>1.5</v>
      </c>
      <c r="Q236" t="n">
        <v>1.1</v>
      </c>
      <c r="R236" t="n">
        <v>2</v>
      </c>
      <c r="S236" t="n">
        <v>1.2</v>
      </c>
      <c r="T236" t="n">
        <v>1.5</v>
      </c>
      <c r="U236" t="n">
        <v>0.5121584730617011</v>
      </c>
    </row>
    <row r="237">
      <c r="A237" t="inlineStr">
        <is>
          <t>Benzene</t>
        </is>
      </c>
      <c r="B237" t="n">
        <v>3.92e-07</v>
      </c>
      <c r="C237" t="inlineStr">
        <is>
          <t>kilogram</t>
        </is>
      </c>
      <c r="D237" t="inlineStr">
        <is>
          <t>air::urban air close to ground</t>
        </is>
      </c>
      <c r="F237" t="inlineStr">
        <is>
          <t>biosphere</t>
        </is>
      </c>
      <c r="H237" t="inlineStr">
        <is>
          <t>emissions</t>
        </is>
      </c>
      <c r="I237" t="inlineStr">
        <is>
          <t>Adapted from "heat production, biomethane, at boiler condensing modulating &lt;100kW"</t>
        </is>
      </c>
      <c r="K237" t="inlineStr">
        <is>
          <t>heat, residential, by combustion of synthetic natural gas from catalytic methanation using boiler, distributed by pipeline, produced by Electrolysis, PEM using electricity from grid and carbon sourced from DAC</t>
        </is>
      </c>
      <c r="L237" t="n">
        <v>2</v>
      </c>
      <c r="M237" t="n">
        <v>-14.75200399715595</v>
      </c>
      <c r="N237" t="n">
        <v>1.5</v>
      </c>
      <c r="O237" t="n">
        <v>1.2</v>
      </c>
      <c r="P237" t="n">
        <v>1.5</v>
      </c>
      <c r="Q237" t="n">
        <v>1.1</v>
      </c>
      <c r="R237" t="n">
        <v>2</v>
      </c>
      <c r="S237" t="n">
        <v>1.2</v>
      </c>
      <c r="T237" t="n">
        <v>1.5</v>
      </c>
      <c r="U237" t="n">
        <v>0.5121584730617011</v>
      </c>
    </row>
    <row r="238">
      <c r="A238" t="inlineStr">
        <is>
          <t>Benzo(a)pyrene</t>
        </is>
      </c>
      <c r="B238" t="n">
        <v>9.799999999999999e-12</v>
      </c>
      <c r="C238" t="inlineStr">
        <is>
          <t>kilogram</t>
        </is>
      </c>
      <c r="D238" t="inlineStr">
        <is>
          <t>air::urban air close to ground</t>
        </is>
      </c>
      <c r="F238" t="inlineStr">
        <is>
          <t>biosphere</t>
        </is>
      </c>
      <c r="H238" t="inlineStr">
        <is>
          <t>emissions</t>
        </is>
      </c>
      <c r="I238" t="inlineStr">
        <is>
          <t>Adapted from "heat production, biomethane, at boiler condensing modulating &lt;100kW"</t>
        </is>
      </c>
      <c r="K238" t="inlineStr">
        <is>
          <t>heat, residential, by combustion of synthetic natural gas from catalytic methanation using boiler, distributed by pipeline, produced by Electrolysis, PEM using electricity from grid and carbon sourced from DAC</t>
        </is>
      </c>
      <c r="L238" t="n">
        <v>2</v>
      </c>
      <c r="M238" t="n">
        <v>-25.34863873025202</v>
      </c>
      <c r="N238" t="n">
        <v>1.5</v>
      </c>
      <c r="O238" t="n">
        <v>1.2</v>
      </c>
      <c r="P238" t="n">
        <v>1.5</v>
      </c>
      <c r="Q238" t="n">
        <v>1.1</v>
      </c>
      <c r="R238" t="n">
        <v>2</v>
      </c>
      <c r="S238" t="n">
        <v>1.2</v>
      </c>
      <c r="T238" t="n">
        <v>1.5</v>
      </c>
      <c r="U238" t="n">
        <v>0.5121584730617011</v>
      </c>
    </row>
    <row r="239">
      <c r="A239" t="inlineStr">
        <is>
          <t>Carbon dioxide, non-fossil</t>
        </is>
      </c>
      <c r="B239" t="n">
        <v>0.05213089802130898</v>
      </c>
      <c r="C239" t="inlineStr">
        <is>
          <t>kilogram</t>
        </is>
      </c>
      <c r="D239" t="inlineStr">
        <is>
          <t>air::urban air close to ground</t>
        </is>
      </c>
      <c r="F239" t="inlineStr">
        <is>
          <t>biosphere</t>
        </is>
      </c>
      <c r="H239" t="inlineStr">
        <is>
          <t>emissions</t>
        </is>
      </c>
      <c r="I239" t="inlineStr">
        <is>
          <t>Adapted from "heat production, biomethane, at boiler condensing modulating &lt;100kW"</t>
        </is>
      </c>
      <c r="K239" t="inlineStr">
        <is>
          <t>heat, residential, by combustion of synthetic natural gas from catalytic methanation using boiler, distributed by pipeline, produced by Electrolysis, PEM using electricity from grid and carbon sourced from DAC</t>
        </is>
      </c>
      <c r="L239" t="n">
        <v>2</v>
      </c>
      <c r="M239" t="n">
        <v>-2.953997453776376</v>
      </c>
      <c r="N239" t="n">
        <v>1.5</v>
      </c>
      <c r="O239" t="n">
        <v>1.2</v>
      </c>
      <c r="P239" t="n">
        <v>1.5</v>
      </c>
      <c r="Q239" t="n">
        <v>1.1</v>
      </c>
      <c r="R239" t="n">
        <v>2</v>
      </c>
      <c r="S239" t="n">
        <v>1.2</v>
      </c>
      <c r="T239" t="n">
        <v>1.05</v>
      </c>
      <c r="U239" t="n">
        <v>0.4709574641998169</v>
      </c>
    </row>
    <row r="240">
      <c r="A240" t="inlineStr">
        <is>
          <t>Carbon monoxide, non-fossil</t>
        </is>
      </c>
      <c r="B240" t="n">
        <v>5.782e-06</v>
      </c>
      <c r="C240" t="inlineStr">
        <is>
          <t>kilogram</t>
        </is>
      </c>
      <c r="D240" t="inlineStr">
        <is>
          <t>air::urban air close to ground</t>
        </is>
      </c>
      <c r="F240" t="inlineStr">
        <is>
          <t>biosphere</t>
        </is>
      </c>
      <c r="H240" t="inlineStr">
        <is>
          <t>emissions</t>
        </is>
      </c>
      <c r="I240" t="inlineStr">
        <is>
          <t>Adapted from "heat production, biomethane, at boiler condensing modulating &lt;100kW"</t>
        </is>
      </c>
      <c r="K240" t="inlineStr">
        <is>
          <t>heat, residential, by combustion of synthetic natural gas from catalytic methanation using boiler, distributed by pipeline, produced by Electrolysis, PEM using electricity from grid and carbon sourced from DAC</t>
        </is>
      </c>
      <c r="L240" t="n">
        <v>2</v>
      </c>
      <c r="M240" t="n">
        <v>-12.06076091437012</v>
      </c>
      <c r="N240" t="n">
        <v>1.5</v>
      </c>
      <c r="O240" t="n">
        <v>1.2</v>
      </c>
      <c r="P240" t="n">
        <v>1.5</v>
      </c>
      <c r="Q240" t="n">
        <v>1.1</v>
      </c>
      <c r="R240" t="n">
        <v>2</v>
      </c>
      <c r="S240" t="n">
        <v>1.2</v>
      </c>
      <c r="T240" t="n">
        <v>5</v>
      </c>
      <c r="U240" t="n">
        <v>0.9320828351335841</v>
      </c>
    </row>
    <row r="241">
      <c r="A241" t="inlineStr">
        <is>
          <t>Dinitrogen monoxide</t>
        </is>
      </c>
      <c r="B241" t="n">
        <v>4.9e-07</v>
      </c>
      <c r="C241" t="inlineStr">
        <is>
          <t>kilogram</t>
        </is>
      </c>
      <c r="D241" t="inlineStr">
        <is>
          <t>air::urban air close to ground</t>
        </is>
      </c>
      <c r="F241" t="inlineStr">
        <is>
          <t>biosphere</t>
        </is>
      </c>
      <c r="H241" t="inlineStr">
        <is>
          <t>emissions</t>
        </is>
      </c>
      <c r="I241" t="inlineStr">
        <is>
          <t>Adapted from "heat production, biomethane, at boiler condensing modulating &lt;100kW"</t>
        </is>
      </c>
      <c r="K241" t="inlineStr">
        <is>
          <t>heat, residential, by combustion of synthetic natural gas from catalytic methanation using boiler, distributed by pipeline, produced by Electrolysis, PEM using electricity from grid and carbon sourced from DAC</t>
        </is>
      </c>
      <c r="L241" t="n">
        <v>2</v>
      </c>
      <c r="M241" t="n">
        <v>-14.52886044584174</v>
      </c>
      <c r="N241" t="n">
        <v>1.5</v>
      </c>
      <c r="O241" t="n">
        <v>1.2</v>
      </c>
      <c r="P241" t="n">
        <v>1.5</v>
      </c>
      <c r="Q241" t="n">
        <v>1.1</v>
      </c>
      <c r="R241" t="n">
        <v>2</v>
      </c>
      <c r="S241" t="n">
        <v>1.2</v>
      </c>
      <c r="T241" t="n">
        <v>1.5</v>
      </c>
      <c r="U241" t="n">
        <v>0.5121584730617011</v>
      </c>
    </row>
    <row r="242">
      <c r="A242" t="inlineStr">
        <is>
          <t>Dioxins, measured as 2,3,7,8-tetrachlorodibenzo-p-dioxin</t>
        </is>
      </c>
      <c r="B242" t="n">
        <v>2.94e-17</v>
      </c>
      <c r="C242" t="inlineStr">
        <is>
          <t>kilogram</t>
        </is>
      </c>
      <c r="D242" t="inlineStr">
        <is>
          <t>air::urban air close to ground</t>
        </is>
      </c>
      <c r="F242" t="inlineStr">
        <is>
          <t>biosphere</t>
        </is>
      </c>
      <c r="H242" t="inlineStr">
        <is>
          <t>emissions</t>
        </is>
      </c>
      <c r="I242" t="inlineStr">
        <is>
          <t>Adapted from "heat production, biomethane, at boiler condensing modulating &lt;100kW"</t>
        </is>
      </c>
      <c r="K242" t="inlineStr">
        <is>
          <t>heat, residential, by combustion of synthetic natural gas from catalytic methanation using boiler, distributed by pipeline, produced by Electrolysis, PEM using electricity from grid and carbon sourced from DAC</t>
        </is>
      </c>
      <c r="L242" t="n">
        <v>2</v>
      </c>
      <c r="M242" t="n">
        <v>-38.06553699954819</v>
      </c>
      <c r="N242" t="n">
        <v>1.5</v>
      </c>
      <c r="O242" t="n">
        <v>1.2</v>
      </c>
      <c r="P242" t="n">
        <v>1.5</v>
      </c>
      <c r="Q242" t="n">
        <v>1.1</v>
      </c>
      <c r="R242" t="n">
        <v>2</v>
      </c>
      <c r="S242" t="n">
        <v>1.2</v>
      </c>
      <c r="T242" t="n">
        <v>1.5</v>
      </c>
      <c r="U242" t="n">
        <v>0.5121584730617011</v>
      </c>
    </row>
    <row r="243">
      <c r="A243" t="inlineStr">
        <is>
          <t>Formaldehyde</t>
        </is>
      </c>
      <c r="B243" t="n">
        <v>9.8e-08</v>
      </c>
      <c r="C243" t="inlineStr">
        <is>
          <t>kilogram</t>
        </is>
      </c>
      <c r="D243" t="inlineStr">
        <is>
          <t>air::urban air close to ground</t>
        </is>
      </c>
      <c r="F243" t="inlineStr">
        <is>
          <t>biosphere</t>
        </is>
      </c>
      <c r="H243" t="inlineStr">
        <is>
          <t>emissions</t>
        </is>
      </c>
      <c r="I243" t="inlineStr">
        <is>
          <t>Adapted from "heat production, biomethane, at boiler condensing modulating &lt;100kW"</t>
        </is>
      </c>
      <c r="K243" t="inlineStr">
        <is>
          <t>heat, residential, by combustion of synthetic natural gas from catalytic methanation using boiler, distributed by pipeline, produced by Electrolysis, PEM using electricity from grid and carbon sourced from DAC</t>
        </is>
      </c>
      <c r="L243" t="n">
        <v>2</v>
      </c>
      <c r="M243" t="n">
        <v>-16.13829835827584</v>
      </c>
      <c r="N243" t="n">
        <v>1.5</v>
      </c>
      <c r="O243" t="n">
        <v>1.2</v>
      </c>
      <c r="P243" t="n">
        <v>1.5</v>
      </c>
      <c r="Q243" t="n">
        <v>1.1</v>
      </c>
      <c r="R243" t="n">
        <v>2</v>
      </c>
      <c r="S243" t="n">
        <v>1.2</v>
      </c>
      <c r="T243" t="n">
        <v>1.5</v>
      </c>
      <c r="U243" t="n">
        <v>0.5121584730617011</v>
      </c>
    </row>
    <row r="244">
      <c r="A244" t="inlineStr">
        <is>
          <t>Mercury II</t>
        </is>
      </c>
      <c r="B244" t="n">
        <v>2.94e-11</v>
      </c>
      <c r="C244" t="inlineStr">
        <is>
          <t>kilogram</t>
        </is>
      </c>
      <c r="D244" t="inlineStr">
        <is>
          <t>air::urban air close to ground</t>
        </is>
      </c>
      <c r="F244" t="inlineStr">
        <is>
          <t>biosphere</t>
        </is>
      </c>
      <c r="H244" t="inlineStr">
        <is>
          <t>emissions</t>
        </is>
      </c>
      <c r="I244" t="inlineStr">
        <is>
          <t>Adapted from "heat production, biomethane, at boiler condensing modulating &lt;100kW"</t>
        </is>
      </c>
      <c r="K244" t="inlineStr">
        <is>
          <t>heat, residential, by combustion of synthetic natural gas from catalytic methanation using boiler, distributed by pipeline, produced by Electrolysis, PEM using electricity from grid and carbon sourced from DAC</t>
        </is>
      </c>
      <c r="L244" t="n">
        <v>2</v>
      </c>
      <c r="M244" t="n">
        <v>-24.25002644158391</v>
      </c>
      <c r="N244" t="n">
        <v>1.5</v>
      </c>
      <c r="O244" t="n">
        <v>1.2</v>
      </c>
      <c r="P244" t="n">
        <v>1.5</v>
      </c>
      <c r="Q244" t="n">
        <v>1.1</v>
      </c>
      <c r="R244" t="n">
        <v>2</v>
      </c>
      <c r="S244" t="n">
        <v>1.2</v>
      </c>
      <c r="T244" t="n">
        <v>5</v>
      </c>
      <c r="U244" t="n">
        <v>0.9320828351335841</v>
      </c>
    </row>
    <row r="245">
      <c r="A245" t="inlineStr">
        <is>
          <t>Methane, non-fossil</t>
        </is>
      </c>
      <c r="B245" t="n">
        <v>1.96e-06</v>
      </c>
      <c r="C245" t="inlineStr">
        <is>
          <t>kilogram</t>
        </is>
      </c>
      <c r="D245" t="inlineStr">
        <is>
          <t>air::urban air close to ground</t>
        </is>
      </c>
      <c r="F245" t="inlineStr">
        <is>
          <t>biosphere</t>
        </is>
      </c>
      <c r="H245" t="inlineStr">
        <is>
          <t>emissions</t>
        </is>
      </c>
      <c r="I245" t="inlineStr">
        <is>
          <t>Adapted from "heat production, biomethane, at boiler condensing modulating &lt;100kW"</t>
        </is>
      </c>
      <c r="K245" t="inlineStr">
        <is>
          <t>heat, residential, by combustion of synthetic natural gas from catalytic methanation using boiler, distributed by pipeline, produced by Electrolysis, PEM using electricity from grid and carbon sourced from DAC</t>
        </is>
      </c>
      <c r="L245" t="n">
        <v>2</v>
      </c>
      <c r="M245" t="n">
        <v>-13.14256608472185</v>
      </c>
      <c r="N245" t="n">
        <v>1.5</v>
      </c>
      <c r="O245" t="n">
        <v>1.2</v>
      </c>
      <c r="P245" t="n">
        <v>1.5</v>
      </c>
      <c r="Q245" t="n">
        <v>1.1</v>
      </c>
      <c r="R245" t="n">
        <v>2</v>
      </c>
      <c r="S245" t="n">
        <v>1.2</v>
      </c>
      <c r="T245" t="n">
        <v>1.5</v>
      </c>
      <c r="U245" t="n">
        <v>0.5121584730617011</v>
      </c>
    </row>
    <row r="246">
      <c r="A246" t="inlineStr">
        <is>
          <t>Methane, fossil</t>
        </is>
      </c>
      <c r="B246" t="n">
        <v>0</v>
      </c>
      <c r="C246" t="inlineStr">
        <is>
          <t>kilogram</t>
        </is>
      </c>
      <c r="D246" t="inlineStr">
        <is>
          <t>air::urban air close to ground</t>
        </is>
      </c>
      <c r="F246" t="inlineStr">
        <is>
          <t>biosphere</t>
        </is>
      </c>
      <c r="H246" t="inlineStr">
        <is>
          <t>emissions</t>
        </is>
      </c>
      <c r="I246" t="inlineStr">
        <is>
          <t>Adapted from "heat production, biomethane, at boiler condensing modulating &lt;100kW"</t>
        </is>
      </c>
      <c r="K246" t="inlineStr">
        <is>
          <t>heat, residential, by combustion of synthetic natural gas from catalytic methanation using boiler, distributed by pipeline, produced by Electrolysis, PEM using electricity from grid and carbon sourced from DAC</t>
        </is>
      </c>
      <c r="L246" t="n">
        <v>1</v>
      </c>
    </row>
    <row r="247">
      <c r="A247" t="inlineStr">
        <is>
          <t>Nitrogen oxides</t>
        </is>
      </c>
      <c r="B247" t="n">
        <v>9.702e-06</v>
      </c>
      <c r="C247" t="inlineStr">
        <is>
          <t>kilogram</t>
        </is>
      </c>
      <c r="D247" t="inlineStr">
        <is>
          <t>air::urban air close to ground</t>
        </is>
      </c>
      <c r="F247" t="inlineStr">
        <is>
          <t>biosphere</t>
        </is>
      </c>
      <c r="H247" t="inlineStr">
        <is>
          <t>emissions</t>
        </is>
      </c>
      <c r="I247" t="inlineStr">
        <is>
          <t>Adapted from "heat production, biomethane, at boiler condensing modulating &lt;100kW"</t>
        </is>
      </c>
      <c r="K247" t="inlineStr">
        <is>
          <t>heat, residential, by combustion of synthetic natural gas from catalytic methanation using boiler, distributed by pipeline, produced by Electrolysis, PEM using electricity from grid and carbon sourced from DAC</t>
        </is>
      </c>
      <c r="L247" t="n">
        <v>2</v>
      </c>
      <c r="M247" t="n">
        <v>-11.54317850814125</v>
      </c>
      <c r="N247" t="n">
        <v>1.5</v>
      </c>
      <c r="O247" t="n">
        <v>1.2</v>
      </c>
      <c r="P247" t="n">
        <v>1.5</v>
      </c>
      <c r="Q247" t="n">
        <v>1.1</v>
      </c>
      <c r="R247" t="n">
        <v>2</v>
      </c>
      <c r="S247" t="n">
        <v>1.2</v>
      </c>
      <c r="T247" t="n">
        <v>1.5</v>
      </c>
      <c r="U247" t="n">
        <v>0.5121584730617011</v>
      </c>
    </row>
    <row r="248">
      <c r="A248" t="inlineStr">
        <is>
          <t>PAH, polycyclic aromatic hydrocarbons</t>
        </is>
      </c>
      <c r="B248" t="n">
        <v>9.8e-09</v>
      </c>
      <c r="C248" t="inlineStr">
        <is>
          <t>kilogram</t>
        </is>
      </c>
      <c r="D248" t="inlineStr">
        <is>
          <t>air::urban air close to ground</t>
        </is>
      </c>
      <c r="F248" t="inlineStr">
        <is>
          <t>biosphere</t>
        </is>
      </c>
      <c r="H248" t="inlineStr">
        <is>
          <t>emissions</t>
        </is>
      </c>
      <c r="I248" t="inlineStr">
        <is>
          <t>Adapted from "heat production, biomethane, at boiler condensing modulating &lt;100kW"</t>
        </is>
      </c>
      <c r="K248" t="inlineStr">
        <is>
          <t>heat, residential, by combustion of synthetic natural gas from catalytic methanation using boiler, distributed by pipeline, produced by Electrolysis, PEM using electricity from grid and carbon sourced from DAC</t>
        </is>
      </c>
      <c r="L248" t="n">
        <v>2</v>
      </c>
      <c r="M248" t="n">
        <v>-18.44088345126988</v>
      </c>
      <c r="N248" t="n">
        <v>1.5</v>
      </c>
      <c r="O248" t="n">
        <v>1.2</v>
      </c>
      <c r="P248" t="n">
        <v>1.5</v>
      </c>
      <c r="Q248" t="n">
        <v>1.1</v>
      </c>
      <c r="R248" t="n">
        <v>2</v>
      </c>
      <c r="S248" t="n">
        <v>1.2</v>
      </c>
      <c r="T248" t="n">
        <v>3</v>
      </c>
      <c r="U248" t="n">
        <v>0.723148016147972</v>
      </c>
    </row>
    <row r="249">
      <c r="A249" t="inlineStr">
        <is>
          <t>Particulate Matter, &lt; 2.5 um</t>
        </is>
      </c>
      <c r="B249" t="n">
        <v>9.8e-08</v>
      </c>
      <c r="C249" t="inlineStr">
        <is>
          <t>kilogram</t>
        </is>
      </c>
      <c r="D249" t="inlineStr">
        <is>
          <t>air::urban air close to ground</t>
        </is>
      </c>
      <c r="F249" t="inlineStr">
        <is>
          <t>biosphere</t>
        </is>
      </c>
      <c r="H249" t="inlineStr">
        <is>
          <t>emissions</t>
        </is>
      </c>
      <c r="I249" t="inlineStr">
        <is>
          <t>Adapted from "heat production, biomethane, at boiler condensing modulating &lt;100kW"</t>
        </is>
      </c>
      <c r="K249" t="inlineStr">
        <is>
          <t>heat, residential, by combustion of synthetic natural gas from catalytic methanation using boiler, distributed by pipeline, produced by Electrolysis, PEM using electricity from grid and carbon sourced from DAC</t>
        </is>
      </c>
      <c r="L249" t="n">
        <v>2</v>
      </c>
      <c r="M249" t="n">
        <v>-16.13829835827584</v>
      </c>
      <c r="N249" t="n">
        <v>1.5</v>
      </c>
      <c r="O249" t="n">
        <v>1.2</v>
      </c>
      <c r="P249" t="n">
        <v>1.5</v>
      </c>
      <c r="Q249" t="n">
        <v>1.1</v>
      </c>
      <c r="R249" t="n">
        <v>2</v>
      </c>
      <c r="S249" t="n">
        <v>1.2</v>
      </c>
      <c r="T249" t="n">
        <v>3</v>
      </c>
      <c r="U249" t="n">
        <v>0.723148016147972</v>
      </c>
    </row>
    <row r="250">
      <c r="A250" t="inlineStr">
        <is>
          <t>Pentane</t>
        </is>
      </c>
      <c r="B250" t="n">
        <v>1.176e-06</v>
      </c>
      <c r="C250" t="inlineStr">
        <is>
          <t>kilogram</t>
        </is>
      </c>
      <c r="D250" t="inlineStr">
        <is>
          <t>air::urban air close to ground</t>
        </is>
      </c>
      <c r="F250" t="inlineStr">
        <is>
          <t>biosphere</t>
        </is>
      </c>
      <c r="H250" t="inlineStr">
        <is>
          <t>emissions</t>
        </is>
      </c>
      <c r="I250" t="inlineStr">
        <is>
          <t>Adapted from "heat production, biomethane, at boiler condensing modulating &lt;100kW"</t>
        </is>
      </c>
      <c r="K250" t="inlineStr">
        <is>
          <t>heat, residential, by combustion of synthetic natural gas from catalytic methanation using boiler, distributed by pipeline, produced by Electrolysis, PEM using electricity from grid and carbon sourced from DAC</t>
        </is>
      </c>
      <c r="L250" t="n">
        <v>2</v>
      </c>
      <c r="M250" t="n">
        <v>-13.65339170848784</v>
      </c>
      <c r="N250" t="n">
        <v>1.5</v>
      </c>
      <c r="O250" t="n">
        <v>1.2</v>
      </c>
      <c r="P250" t="n">
        <v>1.5</v>
      </c>
      <c r="Q250" t="n">
        <v>1.1</v>
      </c>
      <c r="R250" t="n">
        <v>2</v>
      </c>
      <c r="S250" t="n">
        <v>1.2</v>
      </c>
      <c r="T250" t="n">
        <v>1.5</v>
      </c>
      <c r="U250" t="n">
        <v>0.5121584730617011</v>
      </c>
    </row>
    <row r="251">
      <c r="A251" t="inlineStr">
        <is>
          <t>Propionic acid</t>
        </is>
      </c>
      <c r="B251" t="n">
        <v>1.96e-08</v>
      </c>
      <c r="C251" t="inlineStr">
        <is>
          <t>kilogram</t>
        </is>
      </c>
      <c r="D251" t="inlineStr">
        <is>
          <t>air::urban air close to ground</t>
        </is>
      </c>
      <c r="F251" t="inlineStr">
        <is>
          <t>biosphere</t>
        </is>
      </c>
      <c r="H251" t="inlineStr">
        <is>
          <t>emissions</t>
        </is>
      </c>
      <c r="I251" t="inlineStr">
        <is>
          <t>Adapted from "heat production, biomethane, at boiler condensing modulating &lt;100kW"</t>
        </is>
      </c>
      <c r="K251" t="inlineStr">
        <is>
          <t>heat, residential, by combustion of synthetic natural gas from catalytic methanation using boiler, distributed by pipeline, produced by Electrolysis, PEM using electricity from grid and carbon sourced from DAC</t>
        </is>
      </c>
      <c r="L251" t="n">
        <v>2</v>
      </c>
      <c r="M251" t="n">
        <v>-17.74773627070994</v>
      </c>
      <c r="N251" t="n">
        <v>1.5</v>
      </c>
      <c r="O251" t="n">
        <v>1.2</v>
      </c>
      <c r="P251" t="n">
        <v>1.5</v>
      </c>
      <c r="Q251" t="n">
        <v>1.1</v>
      </c>
      <c r="R251" t="n">
        <v>2</v>
      </c>
      <c r="S251" t="n">
        <v>1.2</v>
      </c>
      <c r="T251" t="n">
        <v>1.5</v>
      </c>
      <c r="U251" t="n">
        <v>0.5121584730617011</v>
      </c>
    </row>
    <row r="252">
      <c r="A252" t="inlineStr">
        <is>
          <t>Sulfur dioxide</t>
        </is>
      </c>
      <c r="B252" t="n">
        <v>4.9e-07</v>
      </c>
      <c r="C252" t="inlineStr">
        <is>
          <t>kilogram</t>
        </is>
      </c>
      <c r="D252" t="inlineStr">
        <is>
          <t>air::urban air close to ground</t>
        </is>
      </c>
      <c r="F252" t="inlineStr">
        <is>
          <t>biosphere</t>
        </is>
      </c>
      <c r="H252" t="inlineStr">
        <is>
          <t>emissions</t>
        </is>
      </c>
      <c r="I252" t="inlineStr">
        <is>
          <t>Adapted from "heat production, biomethane, at boiler condensing modulating &lt;100kW"</t>
        </is>
      </c>
      <c r="K252" t="inlineStr">
        <is>
          <t>heat, residential, by combustion of synthetic natural gas from catalytic methanation using boiler, distributed by pipeline, produced by Electrolysis, PEM using electricity from grid and carbon sourced from DAC</t>
        </is>
      </c>
      <c r="L252" t="n">
        <v>2</v>
      </c>
      <c r="M252" t="n">
        <v>-14.52886044584174</v>
      </c>
      <c r="N252" t="n">
        <v>1.5</v>
      </c>
      <c r="O252" t="n">
        <v>1.2</v>
      </c>
      <c r="P252" t="n">
        <v>1.5</v>
      </c>
      <c r="Q252" t="n">
        <v>1.1</v>
      </c>
      <c r="R252" t="n">
        <v>2</v>
      </c>
      <c r="S252" t="n">
        <v>1.2</v>
      </c>
      <c r="T252" t="n">
        <v>1.5</v>
      </c>
      <c r="U252" t="n">
        <v>0.5121584730617011</v>
      </c>
    </row>
    <row r="253">
      <c r="A253" t="inlineStr">
        <is>
          <t>Toluene</t>
        </is>
      </c>
      <c r="B253" t="n">
        <v>1.96e-07</v>
      </c>
      <c r="C253" t="inlineStr">
        <is>
          <t>kilogram</t>
        </is>
      </c>
      <c r="D253" t="inlineStr">
        <is>
          <t>air::urban air close to ground</t>
        </is>
      </c>
      <c r="F253" t="inlineStr">
        <is>
          <t>biosphere</t>
        </is>
      </c>
      <c r="H253" t="inlineStr">
        <is>
          <t>emissions</t>
        </is>
      </c>
      <c r="I253" t="inlineStr">
        <is>
          <t>Adapted from "heat production, biomethane, at boiler condensing modulating &lt;100kW"</t>
        </is>
      </c>
      <c r="K253" t="inlineStr">
        <is>
          <t>heat, residential, by combustion of synthetic natural gas from catalytic methanation using boiler, distributed by pipeline, produced by Electrolysis, PEM using electricity from grid and carbon sourced from DAC</t>
        </is>
      </c>
      <c r="L253" t="n">
        <v>2</v>
      </c>
      <c r="M253" t="n">
        <v>-15.44515117771589</v>
      </c>
      <c r="N253" t="n">
        <v>1.5</v>
      </c>
      <c r="O253" t="n">
        <v>1.2</v>
      </c>
      <c r="P253" t="n">
        <v>1.5</v>
      </c>
      <c r="Q253" t="n">
        <v>1.1</v>
      </c>
      <c r="R253" t="n">
        <v>2</v>
      </c>
      <c r="S253" t="n">
        <v>1.2</v>
      </c>
      <c r="T253" t="n">
        <v>1.5</v>
      </c>
      <c r="U253" t="n">
        <v>0.5121584730617011</v>
      </c>
    </row>
    <row r="254">
      <c r="A254" t="inlineStr">
        <is>
          <t>Nitrate</t>
        </is>
      </c>
      <c r="B254" t="n">
        <v>1.274e-07</v>
      </c>
      <c r="C254" t="inlineStr">
        <is>
          <t>kilogram</t>
        </is>
      </c>
      <c r="D254" t="inlineStr">
        <is>
          <t>water::surface water</t>
        </is>
      </c>
      <c r="F254" t="inlineStr">
        <is>
          <t>biosphere</t>
        </is>
      </c>
      <c r="H254" t="inlineStr">
        <is>
          <t>emissions</t>
        </is>
      </c>
      <c r="I254" t="inlineStr">
        <is>
          <t>Adapted from "heat production, biomethane, at boiler condensing modulating &lt;100kW"</t>
        </is>
      </c>
      <c r="K254" t="inlineStr">
        <is>
          <t>heat, residential, by combustion of synthetic natural gas from catalytic methanation using boiler, distributed by pipeline, produced by Electrolysis, PEM using electricity from grid and carbon sourced from DAC</t>
        </is>
      </c>
      <c r="L254" t="n">
        <v>2</v>
      </c>
      <c r="M254" t="n">
        <v>-15.87593409380835</v>
      </c>
      <c r="N254" t="n">
        <v>1.5</v>
      </c>
      <c r="O254" t="n">
        <v>1.2</v>
      </c>
      <c r="P254" t="n">
        <v>1.5</v>
      </c>
      <c r="Q254" t="n">
        <v>1.1</v>
      </c>
      <c r="R254" t="n">
        <v>2</v>
      </c>
      <c r="S254" t="n">
        <v>1.2</v>
      </c>
      <c r="T254" t="n">
        <v>1.5</v>
      </c>
      <c r="U254" t="n">
        <v>0.5121584730617011</v>
      </c>
    </row>
    <row r="255">
      <c r="A255" t="inlineStr">
        <is>
          <t>Nitrite</t>
        </is>
      </c>
      <c r="B255" t="n">
        <v>2.94e-09</v>
      </c>
      <c r="C255" t="inlineStr">
        <is>
          <t>kilogram</t>
        </is>
      </c>
      <c r="D255" t="inlineStr">
        <is>
          <t>water::surface water</t>
        </is>
      </c>
      <c r="F255" t="inlineStr">
        <is>
          <t>biosphere</t>
        </is>
      </c>
      <c r="H255" t="inlineStr">
        <is>
          <t>emissions</t>
        </is>
      </c>
      <c r="I255" t="inlineStr">
        <is>
          <t>Adapted from "heat production, biomethane, at boiler condensing modulating &lt;100kW"</t>
        </is>
      </c>
      <c r="K255" t="inlineStr">
        <is>
          <t>heat, residential, by combustion of synthetic natural gas from catalytic methanation using boiler, distributed by pipeline, produced by Electrolysis, PEM using electricity from grid and carbon sourced from DAC</t>
        </is>
      </c>
      <c r="L255" t="n">
        <v>2</v>
      </c>
      <c r="M255" t="n">
        <v>-19.64485625559582</v>
      </c>
      <c r="N255" t="n">
        <v>1.5</v>
      </c>
      <c r="O255" t="n">
        <v>1.2</v>
      </c>
      <c r="P255" t="n">
        <v>1.5</v>
      </c>
      <c r="Q255" t="n">
        <v>1.1</v>
      </c>
      <c r="R255" t="n">
        <v>2</v>
      </c>
      <c r="S255" t="n">
        <v>1.2</v>
      </c>
      <c r="T255" t="n">
        <v>1.5</v>
      </c>
      <c r="U255" t="n">
        <v>0.5121584730617011</v>
      </c>
    </row>
    <row r="256">
      <c r="A256" t="inlineStr">
        <is>
          <t>Sulfate</t>
        </is>
      </c>
      <c r="B256" t="n">
        <v>4.9e-08</v>
      </c>
      <c r="C256" t="inlineStr">
        <is>
          <t>kilogram</t>
        </is>
      </c>
      <c r="D256" t="inlineStr">
        <is>
          <t>water::surface water</t>
        </is>
      </c>
      <c r="F256" t="inlineStr">
        <is>
          <t>biosphere</t>
        </is>
      </c>
      <c r="H256" t="inlineStr">
        <is>
          <t>emissions</t>
        </is>
      </c>
      <c r="I256" t="inlineStr">
        <is>
          <t>Adapted from "heat production, biomethane, at boiler condensing modulating &lt;100kW"</t>
        </is>
      </c>
      <c r="K256" t="inlineStr">
        <is>
          <t>heat, residential, by combustion of synthetic natural gas from catalytic methanation using boiler, distributed by pipeline, produced by Electrolysis, PEM using electricity from grid and carbon sourced from DAC</t>
        </is>
      </c>
      <c r="L256" t="n">
        <v>2</v>
      </c>
      <c r="M256" t="n">
        <v>-16.83144553883578</v>
      </c>
      <c r="N256" t="n">
        <v>1.5</v>
      </c>
      <c r="O256" t="n">
        <v>1.2</v>
      </c>
      <c r="P256" t="n">
        <v>1.5</v>
      </c>
      <c r="Q256" t="n">
        <v>1.1</v>
      </c>
      <c r="R256" t="n">
        <v>2</v>
      </c>
      <c r="S256" t="n">
        <v>1.2</v>
      </c>
      <c r="T256" t="n">
        <v>1.5</v>
      </c>
      <c r="U256" t="n">
        <v>0.5121584730617011</v>
      </c>
    </row>
    <row r="257">
      <c r="A257" t="inlineStr">
        <is>
          <t>Sulfite</t>
        </is>
      </c>
      <c r="B257" t="n">
        <v>4.9e-08</v>
      </c>
      <c r="C257" t="inlineStr">
        <is>
          <t>kilogram</t>
        </is>
      </c>
      <c r="D257" t="inlineStr">
        <is>
          <t>water::surface water</t>
        </is>
      </c>
      <c r="F257" t="inlineStr">
        <is>
          <t>biosphere</t>
        </is>
      </c>
      <c r="H257" t="inlineStr">
        <is>
          <t>emissions</t>
        </is>
      </c>
      <c r="I257" t="inlineStr">
        <is>
          <t>Adapted from "heat production, biomethane, at boiler condensing modulating &lt;100kW"</t>
        </is>
      </c>
      <c r="K257" t="inlineStr">
        <is>
          <t>heat, residential, by combustion of synthetic natural gas from catalytic methanation using boiler, distributed by pipeline, produced by Electrolysis, PEM using electricity from grid and carbon sourced from DAC</t>
        </is>
      </c>
      <c r="L257" t="n">
        <v>2</v>
      </c>
      <c r="M257" t="n">
        <v>-16.83144553883578</v>
      </c>
      <c r="N257" t="n">
        <v>1.5</v>
      </c>
      <c r="O257" t="n">
        <v>1.2</v>
      </c>
      <c r="P257" t="n">
        <v>1.5</v>
      </c>
      <c r="Q257" t="n">
        <v>1.1</v>
      </c>
      <c r="R257" t="n">
        <v>2</v>
      </c>
      <c r="S257" t="n">
        <v>1.2</v>
      </c>
      <c r="T257" t="n">
        <v>1.5</v>
      </c>
      <c r="U257" t="n">
        <v>0.5121584730617011</v>
      </c>
    </row>
    <row r="258"/>
    <row r="259">
      <c r="A259" t="inlineStr">
        <is>
          <t>Activity</t>
        </is>
      </c>
      <c r="B259" s="1" t="inlineStr">
        <is>
          <t>heat, residential, by combustion of liquefied petroleum gas using boiler, distributed by pipeline</t>
        </is>
      </c>
    </row>
    <row r="260">
      <c r="A260" t="inlineStr">
        <is>
          <t>comment</t>
        </is>
      </c>
      <c r="B260" t="inlineStr">
        <is>
          <t>This dataset represents the supply of 1 megajoule of heat in a residence, by LPG combustion in a boiler. Assumptions and perforances of a natural gas boiler used. Heat conversion efficiency [% LHV input]: 109.5%. LHV [MJ/kg]: 48. Market price [Euro/MJ]: 0.0266666666666667. Distribution loss [% output]: 0.019%. Storage loss [% output]: 0%. CO2 biogenic share [%]: 100%. Power [kW]: 16.4. Lifetime [years]: 20. Annual operation [hours]: 2100. : .  For more information, refer to: Sacchi, R. and Bauer, C. LCA of Power-to-X processes and applications in the residential sector. Paul Scherrer Institut, 2023.</t>
        </is>
      </c>
    </row>
    <row r="261">
      <c r="A261" t="inlineStr">
        <is>
          <t>source</t>
        </is>
      </c>
      <c r="B261" t="inlineStr">
        <is>
          <t>Sacchi, R. and Bauer, C. LCA of Power-to-X processes and applications in the residential sector. Paul Scherrer Institut, 2023.</t>
        </is>
      </c>
    </row>
    <row r="262">
      <c r="A262" t="inlineStr">
        <is>
          <t>location</t>
        </is>
      </c>
      <c r="B262" t="inlineStr">
        <is>
          <t>RER</t>
        </is>
      </c>
    </row>
    <row r="263">
      <c r="A263" t="inlineStr">
        <is>
          <t>reference product</t>
        </is>
      </c>
      <c r="B263" t="inlineStr">
        <is>
          <t>heat, from residential heating system</t>
        </is>
      </c>
    </row>
    <row r="264">
      <c r="A264" t="inlineStr">
        <is>
          <t>unit</t>
        </is>
      </c>
      <c r="B264" t="inlineStr">
        <is>
          <t>megajoule</t>
        </is>
      </c>
    </row>
    <row r="265" customFormat="1" s="1">
      <c r="A265" s="1" t="inlineStr">
        <is>
          <t>Exchanges</t>
        </is>
      </c>
    </row>
    <row r="266" customFormat="1" s="1">
      <c r="A266" s="1" t="inlineStr">
        <is>
          <t>name</t>
        </is>
      </c>
      <c r="B266" s="1" t="inlineStr">
        <is>
          <t>amount</t>
        </is>
      </c>
      <c r="C266" s="1" t="inlineStr">
        <is>
          <t>unit</t>
        </is>
      </c>
      <c r="D266" s="1" t="inlineStr">
        <is>
          <t>categories</t>
        </is>
      </c>
      <c r="E266" s="1" t="inlineStr">
        <is>
          <t>location</t>
        </is>
      </c>
      <c r="F266" s="1" t="inlineStr">
        <is>
          <t>type</t>
        </is>
      </c>
      <c r="G266" s="1" t="inlineStr">
        <is>
          <t>reference product</t>
        </is>
      </c>
      <c r="H266" s="1" t="inlineStr">
        <is>
          <t>tag</t>
        </is>
      </c>
      <c r="I266" s="1" t="inlineStr">
        <is>
          <t>comment</t>
        </is>
      </c>
      <c r="J266" s="1" t="inlineStr">
        <is>
          <t>input type</t>
        </is>
      </c>
      <c r="K266" s="1" t="inlineStr">
        <is>
          <t>dataset name</t>
        </is>
      </c>
      <c r="L266" s="1" t="inlineStr">
        <is>
          <t>uncertainty type</t>
        </is>
      </c>
      <c r="M266" s="1" t="inlineStr">
        <is>
          <t>loc</t>
        </is>
      </c>
      <c r="N266" s="1" t="inlineStr">
        <is>
          <t>u1</t>
        </is>
      </c>
      <c r="O266" s="1" t="inlineStr">
        <is>
          <t>u2</t>
        </is>
      </c>
      <c r="P266" s="1" t="inlineStr">
        <is>
          <t>u3</t>
        </is>
      </c>
      <c r="Q266" s="1" t="inlineStr">
        <is>
          <t>u4</t>
        </is>
      </c>
      <c r="R266" s="1" t="inlineStr">
        <is>
          <t>u5</t>
        </is>
      </c>
      <c r="S266" s="1" t="inlineStr">
        <is>
          <t>u6</t>
        </is>
      </c>
      <c r="T266" s="1" t="inlineStr">
        <is>
          <t>ub</t>
        </is>
      </c>
      <c r="U266" s="1" t="inlineStr">
        <is>
          <t>scale</t>
        </is>
      </c>
      <c r="V266" s="1" t="inlineStr">
        <is>
          <t>negative</t>
        </is>
      </c>
      <c r="W266" s="1" t="inlineStr">
        <is>
          <t>simapro category</t>
        </is>
      </c>
    </row>
    <row r="267">
      <c r="A267" t="inlineStr">
        <is>
          <t>heat, residential, by combustion of liquefied petroleum gas using boiler, distributed by pipeline</t>
        </is>
      </c>
      <c r="B267" t="n">
        <v>1</v>
      </c>
      <c r="C267" t="inlineStr">
        <is>
          <t>megajoule</t>
        </is>
      </c>
      <c r="E267" t="inlineStr">
        <is>
          <t>RER</t>
        </is>
      </c>
      <c r="F267" t="inlineStr">
        <is>
          <t>production</t>
        </is>
      </c>
      <c r="G267" t="inlineStr">
        <is>
          <t>heat, from residential heating system</t>
        </is>
      </c>
      <c r="K267" t="inlineStr">
        <is>
          <t>heat, residential, by combustion of synthetic natural gas from catalytic methanation using boiler, distributed by pipeline, produced by Electrolysis, PEM using electricity from grid and carbon sourced from DAC</t>
        </is>
      </c>
      <c r="W267" t="inlineStr">
        <is>
          <t>Energy/Heat/Synthetic/Transformation</t>
        </is>
      </c>
    </row>
    <row r="268">
      <c r="A268" t="inlineStr">
        <is>
          <t>market for gas boiler</t>
        </is>
      </c>
      <c r="B268" t="n">
        <v>4.032778423022325e-07</v>
      </c>
      <c r="C268" t="inlineStr">
        <is>
          <t>unit</t>
        </is>
      </c>
      <c r="E268" t="inlineStr">
        <is>
          <t>GLO</t>
        </is>
      </c>
      <c r="F268" t="inlineStr">
        <is>
          <t>technosphere</t>
        </is>
      </c>
      <c r="G268" t="inlineStr">
        <is>
          <t>gas boiler</t>
        </is>
      </c>
      <c r="H268" t="inlineStr">
        <is>
          <t>infrastructure</t>
        </is>
      </c>
      <c r="I268" t="inlineStr">
        <is>
          <t>1/(Cap. [kW] * lifetime [y] * annual operation [h] * 3.6 [MJ/kWh])</t>
        </is>
      </c>
      <c r="K268" t="inlineStr">
        <is>
          <t>heat, residential, by combustion of synthetic natural gas from catalytic methanation using boiler, distributed by pipeline, produced by Electrolysis, PEM using electricity from grid and carbon sourced from DAC</t>
        </is>
      </c>
      <c r="L268" t="n">
        <v>2</v>
      </c>
      <c r="M268" t="n">
        <v>-14.72364007755772</v>
      </c>
      <c r="N268" t="n">
        <v>1.05</v>
      </c>
      <c r="O268" t="n">
        <v>1.2</v>
      </c>
      <c r="P268" t="n">
        <v>1</v>
      </c>
      <c r="Q268" t="n">
        <v>1.01</v>
      </c>
      <c r="R268" t="n">
        <v>1.2</v>
      </c>
      <c r="S268" t="n">
        <v>1.2</v>
      </c>
      <c r="T268" t="n">
        <v>3</v>
      </c>
      <c r="U268" t="n">
        <v>0.572090880068819</v>
      </c>
    </row>
    <row r="269">
      <c r="A269" t="inlineStr">
        <is>
          <t>market for chimney</t>
        </is>
      </c>
      <c r="B269" t="n">
        <v>8.82e-07</v>
      </c>
      <c r="C269" t="inlineStr">
        <is>
          <t>meter</t>
        </is>
      </c>
      <c r="E269" t="inlineStr">
        <is>
          <t>GLO</t>
        </is>
      </c>
      <c r="F269" t="inlineStr">
        <is>
          <t>technosphere</t>
        </is>
      </c>
      <c r="G269" t="inlineStr">
        <is>
          <t>chimney</t>
        </is>
      </c>
      <c r="H269" t="inlineStr">
        <is>
          <t>infrastructure</t>
        </is>
      </c>
      <c r="I269" t="inlineStr">
        <is>
          <t>To evacuate the flue gases.</t>
        </is>
      </c>
      <c r="K269" t="inlineStr">
        <is>
          <t>heat, residential, by combustion of synthetic natural gas from catalytic methanation using boiler, distributed by pipeline, produced by Electrolysis, PEM using electricity from grid and carbon sourced from DAC</t>
        </is>
      </c>
      <c r="L269" t="n">
        <v>2</v>
      </c>
      <c r="M269" t="n">
        <v>-13.94107378093962</v>
      </c>
      <c r="N269" t="n">
        <v>1.05</v>
      </c>
      <c r="O269" t="n">
        <v>1.2</v>
      </c>
      <c r="P269" t="n">
        <v>1</v>
      </c>
      <c r="Q269" t="n">
        <v>1.01</v>
      </c>
      <c r="R269" t="n">
        <v>1.2</v>
      </c>
      <c r="S269" t="n">
        <v>1.2</v>
      </c>
      <c r="T269" t="n">
        <v>3</v>
      </c>
      <c r="U269" t="n">
        <v>0.572090880068819</v>
      </c>
    </row>
    <row r="270">
      <c r="A270" t="inlineStr">
        <is>
          <t>market group for electricity, low voltage</t>
        </is>
      </c>
      <c r="B270" t="n">
        <v>0.000734</v>
      </c>
      <c r="C270" t="inlineStr">
        <is>
          <t>kilowatt hour</t>
        </is>
      </c>
      <c r="E270" t="inlineStr">
        <is>
          <t>RER</t>
        </is>
      </c>
      <c r="F270" t="inlineStr">
        <is>
          <t>technosphere</t>
        </is>
      </c>
      <c r="G270" t="inlineStr">
        <is>
          <t>electricity, low voltage</t>
        </is>
      </c>
      <c r="H270" t="inlineStr">
        <is>
          <t>electricity</t>
        </is>
      </c>
      <c r="I270" t="inlineStr">
        <is>
          <t>To operate the boiler.</t>
        </is>
      </c>
      <c r="J270" t="inlineStr">
        <is>
          <t>grid electricity</t>
        </is>
      </c>
      <c r="K270" t="inlineStr">
        <is>
          <t>heat, residential, by combustion of synthetic natural gas from catalytic methanation using boiler, distributed by pipeline, produced by Electrolysis, PEM using electricity from grid and carbon sourced from DAC</t>
        </is>
      </c>
      <c r="L270" t="n">
        <v>2</v>
      </c>
      <c r="M270" t="n">
        <v>-7.217001529349758</v>
      </c>
      <c r="N270" t="n">
        <v>1.05</v>
      </c>
      <c r="O270" t="n">
        <v>1.2</v>
      </c>
      <c r="P270" t="n">
        <v>1</v>
      </c>
      <c r="Q270" t="n">
        <v>1.01</v>
      </c>
      <c r="R270" t="n">
        <v>1.2</v>
      </c>
      <c r="S270" t="n">
        <v>1.2</v>
      </c>
      <c r="T270" t="n">
        <v>1.05</v>
      </c>
      <c r="U270" t="n">
        <v>0.1616967992407096</v>
      </c>
    </row>
    <row r="271">
      <c r="A271" t="inlineStr">
        <is>
          <t>market for liquefied petroleum gas</t>
        </is>
      </c>
      <c r="B271" t="n">
        <v>0.01902587519025875</v>
      </c>
      <c r="C271" t="inlineStr">
        <is>
          <t>kilogram</t>
        </is>
      </c>
      <c r="E271" t="inlineStr">
        <is>
          <t>Europe without Switzerland</t>
        </is>
      </c>
      <c r="F271" t="inlineStr">
        <is>
          <t>technosphere</t>
        </is>
      </c>
      <c r="G271" t="inlineStr">
        <is>
          <t>liquefied petroleum gas</t>
        </is>
      </c>
      <c r="H271" t="inlineStr">
        <is>
          <t>synthetic natural gas</t>
        </is>
      </c>
      <c r="I271" t="inlineStr">
        <is>
          <t>Methane input. 1 [MJ SNG]/ 47.5 [MJ/kg SNG]/ eff.(th)</t>
        </is>
      </c>
      <c r="J271" t="inlineStr">
        <is>
          <t>SNG biological - w CO2 from DAC</t>
        </is>
      </c>
      <c r="K271" t="inlineStr">
        <is>
          <t>heat, residential, by combustion of synthetic natural gas from catalytic methanation using boiler, distributed by pipeline, produced by Electrolysis, PEM using electricity from grid and carbon sourced from DAC</t>
        </is>
      </c>
      <c r="L271" t="n">
        <v>2</v>
      </c>
      <c r="M271" t="n">
        <v>-3.961955374176355</v>
      </c>
      <c r="N271" t="n">
        <v>1.05</v>
      </c>
      <c r="O271" t="n">
        <v>1.2</v>
      </c>
      <c r="P271" t="n">
        <v>1</v>
      </c>
      <c r="Q271" t="n">
        <v>1.01</v>
      </c>
      <c r="R271" t="n">
        <v>1.2</v>
      </c>
      <c r="S271" t="n">
        <v>1.2</v>
      </c>
      <c r="T271" t="n">
        <v>1.05</v>
      </c>
      <c r="U271" t="n">
        <v>0.1616967992407096</v>
      </c>
    </row>
    <row r="272">
      <c r="A272" t="inlineStr">
        <is>
          <t>Acetaldehyde</t>
        </is>
      </c>
      <c r="B272" t="n">
        <v>9.799999999999999e-10</v>
      </c>
      <c r="C272" t="inlineStr">
        <is>
          <t>kilogram</t>
        </is>
      </c>
      <c r="D272" t="inlineStr">
        <is>
          <t>air::urban air close to ground</t>
        </is>
      </c>
      <c r="F272" t="inlineStr">
        <is>
          <t>biosphere</t>
        </is>
      </c>
      <c r="H272" t="inlineStr">
        <is>
          <t>emissions</t>
        </is>
      </c>
      <c r="I272" t="inlineStr">
        <is>
          <t>Adapted from "heat production, biomethane, at boiler condensing modulating &lt;100kW"</t>
        </is>
      </c>
      <c r="K272" t="inlineStr">
        <is>
          <t>heat, residential, by combustion of synthetic natural gas from catalytic methanation using boiler, distributed by pipeline, produced by Electrolysis, PEM using electricity from grid and carbon sourced from DAC</t>
        </is>
      </c>
      <c r="L272" t="n">
        <v>2</v>
      </c>
      <c r="M272" t="n">
        <v>-20.74346854426393</v>
      </c>
      <c r="N272" t="n">
        <v>1.5</v>
      </c>
      <c r="O272" t="n">
        <v>1.2</v>
      </c>
      <c r="P272" t="n">
        <v>1.5</v>
      </c>
      <c r="Q272" t="n">
        <v>1.1</v>
      </c>
      <c r="R272" t="n">
        <v>2</v>
      </c>
      <c r="S272" t="n">
        <v>1.2</v>
      </c>
      <c r="T272" t="n">
        <v>1.5</v>
      </c>
      <c r="U272" t="n">
        <v>0.5121584730617011</v>
      </c>
    </row>
    <row r="273">
      <c r="A273" t="inlineStr">
        <is>
          <t>Acetic acid</t>
        </is>
      </c>
      <c r="B273" t="n">
        <v>1.47e-07</v>
      </c>
      <c r="C273" t="inlineStr">
        <is>
          <t>kilogram</t>
        </is>
      </c>
      <c r="D273" t="inlineStr">
        <is>
          <t>air::urban air close to ground</t>
        </is>
      </c>
      <c r="F273" t="inlineStr">
        <is>
          <t>biosphere</t>
        </is>
      </c>
      <c r="H273" t="inlineStr">
        <is>
          <t>emissions</t>
        </is>
      </c>
      <c r="I273" t="inlineStr">
        <is>
          <t>Adapted from "heat production, biomethane, at boiler condensing modulating &lt;100kW"</t>
        </is>
      </c>
      <c r="K273" t="inlineStr">
        <is>
          <t>heat, residential, by combustion of synthetic natural gas from catalytic methanation using boiler, distributed by pipeline, produced by Electrolysis, PEM using electricity from grid and carbon sourced from DAC</t>
        </is>
      </c>
      <c r="L273" t="n">
        <v>2</v>
      </c>
      <c r="M273" t="n">
        <v>-15.73283325016767</v>
      </c>
      <c r="N273" t="n">
        <v>1.5</v>
      </c>
      <c r="O273" t="n">
        <v>1.2</v>
      </c>
      <c r="P273" t="n">
        <v>1.5</v>
      </c>
      <c r="Q273" t="n">
        <v>1.1</v>
      </c>
      <c r="R273" t="n">
        <v>2</v>
      </c>
      <c r="S273" t="n">
        <v>1.2</v>
      </c>
      <c r="T273" t="n">
        <v>1.5</v>
      </c>
      <c r="U273" t="n">
        <v>0.5121584730617011</v>
      </c>
    </row>
    <row r="274">
      <c r="A274" t="inlineStr">
        <is>
          <t>Benzene</t>
        </is>
      </c>
      <c r="B274" t="n">
        <v>3.92e-07</v>
      </c>
      <c r="C274" t="inlineStr">
        <is>
          <t>kilogram</t>
        </is>
      </c>
      <c r="D274" t="inlineStr">
        <is>
          <t>air::urban air close to ground</t>
        </is>
      </c>
      <c r="F274" t="inlineStr">
        <is>
          <t>biosphere</t>
        </is>
      </c>
      <c r="H274" t="inlineStr">
        <is>
          <t>emissions</t>
        </is>
      </c>
      <c r="I274" t="inlineStr">
        <is>
          <t>Adapted from "heat production, biomethane, at boiler condensing modulating &lt;100kW"</t>
        </is>
      </c>
      <c r="K274" t="inlineStr">
        <is>
          <t>heat, residential, by combustion of synthetic natural gas from catalytic methanation using boiler, distributed by pipeline, produced by Electrolysis, PEM using electricity from grid and carbon sourced from DAC</t>
        </is>
      </c>
      <c r="L274" t="n">
        <v>2</v>
      </c>
      <c r="M274" t="n">
        <v>-14.75200399715595</v>
      </c>
      <c r="N274" t="n">
        <v>1.5</v>
      </c>
      <c r="O274" t="n">
        <v>1.2</v>
      </c>
      <c r="P274" t="n">
        <v>1.5</v>
      </c>
      <c r="Q274" t="n">
        <v>1.1</v>
      </c>
      <c r="R274" t="n">
        <v>2</v>
      </c>
      <c r="S274" t="n">
        <v>1.2</v>
      </c>
      <c r="T274" t="n">
        <v>1.5</v>
      </c>
      <c r="U274" t="n">
        <v>0.5121584730617011</v>
      </c>
    </row>
    <row r="275">
      <c r="A275" t="inlineStr">
        <is>
          <t>Benzo(a)pyrene</t>
        </is>
      </c>
      <c r="B275" t="n">
        <v>9.799999999999999e-12</v>
      </c>
      <c r="C275" t="inlineStr">
        <is>
          <t>kilogram</t>
        </is>
      </c>
      <c r="D275" t="inlineStr">
        <is>
          <t>air::urban air close to ground</t>
        </is>
      </c>
      <c r="F275" t="inlineStr">
        <is>
          <t>biosphere</t>
        </is>
      </c>
      <c r="H275" t="inlineStr">
        <is>
          <t>emissions</t>
        </is>
      </c>
      <c r="I275" t="inlineStr">
        <is>
          <t>Adapted from "heat production, biomethane, at boiler condensing modulating &lt;100kW"</t>
        </is>
      </c>
      <c r="K275" t="inlineStr">
        <is>
          <t>heat, residential, by combustion of synthetic natural gas from catalytic methanation using boiler, distributed by pipeline, produced by Electrolysis, PEM using electricity from grid and carbon sourced from DAC</t>
        </is>
      </c>
      <c r="L275" t="n">
        <v>2</v>
      </c>
      <c r="M275" t="n">
        <v>-25.34863873025202</v>
      </c>
      <c r="N275" t="n">
        <v>1.5</v>
      </c>
      <c r="O275" t="n">
        <v>1.2</v>
      </c>
      <c r="P275" t="n">
        <v>1.5</v>
      </c>
      <c r="Q275" t="n">
        <v>1.1</v>
      </c>
      <c r="R275" t="n">
        <v>2</v>
      </c>
      <c r="S275" t="n">
        <v>1.2</v>
      </c>
      <c r="T275" t="n">
        <v>1.5</v>
      </c>
      <c r="U275" t="n">
        <v>0.5121584730617011</v>
      </c>
    </row>
    <row r="276">
      <c r="A276" t="inlineStr">
        <is>
          <t>Carbon dioxide, fossil</t>
        </is>
      </c>
      <c r="B276" t="n">
        <v>0.05213089802130898</v>
      </c>
      <c r="C276" t="inlineStr">
        <is>
          <t>kilogram</t>
        </is>
      </c>
      <c r="D276" t="inlineStr">
        <is>
          <t>air::urban air close to ground</t>
        </is>
      </c>
      <c r="F276" t="inlineStr">
        <is>
          <t>biosphere</t>
        </is>
      </c>
      <c r="H276" t="inlineStr">
        <is>
          <t>emissions</t>
        </is>
      </c>
      <c r="I276" t="inlineStr">
        <is>
          <t>Adapted from "heat production, biomethane, at boiler condensing modulating &lt;100kW"</t>
        </is>
      </c>
      <c r="K276" t="inlineStr">
        <is>
          <t>heat, residential, by combustion of synthetic natural gas from catalytic methanation using boiler, distributed by pipeline, produced by Electrolysis, PEM using electricity from grid and carbon sourced from DAC</t>
        </is>
      </c>
      <c r="L276" t="n">
        <v>1</v>
      </c>
    </row>
    <row r="277">
      <c r="A277" t="inlineStr">
        <is>
          <t>Carbon monoxide, fossil</t>
        </is>
      </c>
      <c r="B277" t="n">
        <v>5.782e-06</v>
      </c>
      <c r="C277" t="inlineStr">
        <is>
          <t>kilogram</t>
        </is>
      </c>
      <c r="D277" t="inlineStr">
        <is>
          <t>air::urban air close to ground</t>
        </is>
      </c>
      <c r="F277" t="inlineStr">
        <is>
          <t>biosphere</t>
        </is>
      </c>
      <c r="H277" t="inlineStr">
        <is>
          <t>emissions</t>
        </is>
      </c>
      <c r="I277" t="inlineStr">
        <is>
          <t>Adapted from "heat production, biomethane, at boiler condensing modulating &lt;100kW"</t>
        </is>
      </c>
      <c r="K277" t="inlineStr">
        <is>
          <t>heat, residential, by combustion of synthetic natural gas from catalytic methanation using boiler, distributed by pipeline, produced by Electrolysis, PEM using electricity from grid and carbon sourced from DAC</t>
        </is>
      </c>
      <c r="L277" t="n">
        <v>2</v>
      </c>
      <c r="M277" t="n">
        <v>-12.06076091437012</v>
      </c>
      <c r="N277" t="n">
        <v>1.5</v>
      </c>
      <c r="O277" t="n">
        <v>1.2</v>
      </c>
      <c r="P277" t="n">
        <v>1.5</v>
      </c>
      <c r="Q277" t="n">
        <v>1.1</v>
      </c>
      <c r="R277" t="n">
        <v>2</v>
      </c>
      <c r="S277" t="n">
        <v>1.2</v>
      </c>
      <c r="T277" t="n">
        <v>5</v>
      </c>
      <c r="U277" t="n">
        <v>0.9320828351335841</v>
      </c>
    </row>
    <row r="278">
      <c r="A278" t="inlineStr">
        <is>
          <t>Dinitrogen monoxide</t>
        </is>
      </c>
      <c r="B278" t="n">
        <v>4.9e-07</v>
      </c>
      <c r="C278" t="inlineStr">
        <is>
          <t>kilogram</t>
        </is>
      </c>
      <c r="D278" t="inlineStr">
        <is>
          <t>air::urban air close to ground</t>
        </is>
      </c>
      <c r="F278" t="inlineStr">
        <is>
          <t>biosphere</t>
        </is>
      </c>
      <c r="H278" t="inlineStr">
        <is>
          <t>emissions</t>
        </is>
      </c>
      <c r="I278" t="inlineStr">
        <is>
          <t>Adapted from "heat production, biomethane, at boiler condensing modulating &lt;100kW"</t>
        </is>
      </c>
      <c r="K278" t="inlineStr">
        <is>
          <t>heat, residential, by combustion of synthetic natural gas from catalytic methanation using boiler, distributed by pipeline, produced by Electrolysis, PEM using electricity from grid and carbon sourced from DAC</t>
        </is>
      </c>
      <c r="L278" t="n">
        <v>2</v>
      </c>
      <c r="M278" t="n">
        <v>-14.52886044584174</v>
      </c>
      <c r="N278" t="n">
        <v>1.5</v>
      </c>
      <c r="O278" t="n">
        <v>1.2</v>
      </c>
      <c r="P278" t="n">
        <v>1.5</v>
      </c>
      <c r="Q278" t="n">
        <v>1.1</v>
      </c>
      <c r="R278" t="n">
        <v>2</v>
      </c>
      <c r="S278" t="n">
        <v>1.2</v>
      </c>
      <c r="T278" t="n">
        <v>1.5</v>
      </c>
      <c r="U278" t="n">
        <v>0.5121584730617011</v>
      </c>
    </row>
    <row r="279">
      <c r="A279" t="inlineStr">
        <is>
          <t>Dioxins, measured as 2,3,7,8-tetrachlorodibenzo-p-dioxin</t>
        </is>
      </c>
      <c r="B279" t="n">
        <v>2.94e-17</v>
      </c>
      <c r="C279" t="inlineStr">
        <is>
          <t>kilogram</t>
        </is>
      </c>
      <c r="D279" t="inlineStr">
        <is>
          <t>air::urban air close to ground</t>
        </is>
      </c>
      <c r="F279" t="inlineStr">
        <is>
          <t>biosphere</t>
        </is>
      </c>
      <c r="H279" t="inlineStr">
        <is>
          <t>emissions</t>
        </is>
      </c>
      <c r="I279" t="inlineStr">
        <is>
          <t>Adapted from "heat production, biomethane, at boiler condensing modulating &lt;100kW"</t>
        </is>
      </c>
      <c r="K279" t="inlineStr">
        <is>
          <t>heat, residential, by combustion of synthetic natural gas from catalytic methanation using boiler, distributed by pipeline, produced by Electrolysis, PEM using electricity from grid and carbon sourced from DAC</t>
        </is>
      </c>
      <c r="L279" t="n">
        <v>2</v>
      </c>
      <c r="M279" t="n">
        <v>-38.06553699954819</v>
      </c>
      <c r="N279" t="n">
        <v>1.5</v>
      </c>
      <c r="O279" t="n">
        <v>1.2</v>
      </c>
      <c r="P279" t="n">
        <v>1.5</v>
      </c>
      <c r="Q279" t="n">
        <v>1.1</v>
      </c>
      <c r="R279" t="n">
        <v>2</v>
      </c>
      <c r="S279" t="n">
        <v>1.2</v>
      </c>
      <c r="T279" t="n">
        <v>1.5</v>
      </c>
      <c r="U279" t="n">
        <v>0.5121584730617011</v>
      </c>
    </row>
    <row r="280">
      <c r="A280" t="inlineStr">
        <is>
          <t>Formaldehyde</t>
        </is>
      </c>
      <c r="B280" t="n">
        <v>9.8e-08</v>
      </c>
      <c r="C280" t="inlineStr">
        <is>
          <t>kilogram</t>
        </is>
      </c>
      <c r="D280" t="inlineStr">
        <is>
          <t>air::urban air close to ground</t>
        </is>
      </c>
      <c r="F280" t="inlineStr">
        <is>
          <t>biosphere</t>
        </is>
      </c>
      <c r="H280" t="inlineStr">
        <is>
          <t>emissions</t>
        </is>
      </c>
      <c r="I280" t="inlineStr">
        <is>
          <t>Adapted from "heat production, biomethane, at boiler condensing modulating &lt;100kW"</t>
        </is>
      </c>
      <c r="K280" t="inlineStr">
        <is>
          <t>heat, residential, by combustion of synthetic natural gas from catalytic methanation using boiler, distributed by pipeline, produced by Electrolysis, PEM using electricity from grid and carbon sourced from DAC</t>
        </is>
      </c>
      <c r="L280" t="n">
        <v>2</v>
      </c>
      <c r="M280" t="n">
        <v>-16.13829835827584</v>
      </c>
      <c r="N280" t="n">
        <v>1.5</v>
      </c>
      <c r="O280" t="n">
        <v>1.2</v>
      </c>
      <c r="P280" t="n">
        <v>1.5</v>
      </c>
      <c r="Q280" t="n">
        <v>1.1</v>
      </c>
      <c r="R280" t="n">
        <v>2</v>
      </c>
      <c r="S280" t="n">
        <v>1.2</v>
      </c>
      <c r="T280" t="n">
        <v>1.5</v>
      </c>
      <c r="U280" t="n">
        <v>0.5121584730617011</v>
      </c>
    </row>
    <row r="281">
      <c r="A281" t="inlineStr">
        <is>
          <t>Mercury II</t>
        </is>
      </c>
      <c r="B281" t="n">
        <v>2.94e-11</v>
      </c>
      <c r="C281" t="inlineStr">
        <is>
          <t>kilogram</t>
        </is>
      </c>
      <c r="D281" t="inlineStr">
        <is>
          <t>air::urban air close to ground</t>
        </is>
      </c>
      <c r="F281" t="inlineStr">
        <is>
          <t>biosphere</t>
        </is>
      </c>
      <c r="H281" t="inlineStr">
        <is>
          <t>emissions</t>
        </is>
      </c>
      <c r="I281" t="inlineStr">
        <is>
          <t>Adapted from "heat production, biomethane, at boiler condensing modulating &lt;100kW"</t>
        </is>
      </c>
      <c r="K281" t="inlineStr">
        <is>
          <t>heat, residential, by combustion of synthetic natural gas from catalytic methanation using boiler, distributed by pipeline, produced by Electrolysis, PEM using electricity from grid and carbon sourced from DAC</t>
        </is>
      </c>
      <c r="L281" t="n">
        <v>2</v>
      </c>
      <c r="M281" t="n">
        <v>-24.25002644158391</v>
      </c>
      <c r="N281" t="n">
        <v>1.5</v>
      </c>
      <c r="O281" t="n">
        <v>1.2</v>
      </c>
      <c r="P281" t="n">
        <v>1.5</v>
      </c>
      <c r="Q281" t="n">
        <v>1.1</v>
      </c>
      <c r="R281" t="n">
        <v>2</v>
      </c>
      <c r="S281" t="n">
        <v>1.2</v>
      </c>
      <c r="T281" t="n">
        <v>5</v>
      </c>
      <c r="U281" t="n">
        <v>0.9320828351335841</v>
      </c>
    </row>
    <row r="282">
      <c r="A282" t="inlineStr">
        <is>
          <t>Methane, fossil</t>
        </is>
      </c>
      <c r="B282" t="n">
        <v>1.96e-06</v>
      </c>
      <c r="C282" t="inlineStr">
        <is>
          <t>kilogram</t>
        </is>
      </c>
      <c r="D282" t="inlineStr">
        <is>
          <t>air::urban air close to ground</t>
        </is>
      </c>
      <c r="F282" t="inlineStr">
        <is>
          <t>biosphere</t>
        </is>
      </c>
      <c r="H282" t="inlineStr">
        <is>
          <t>emissions</t>
        </is>
      </c>
      <c r="I282" t="inlineStr">
        <is>
          <t>Adapted from "heat production, biomethane, at boiler condensing modulating &lt;100kW"</t>
        </is>
      </c>
      <c r="K282" t="inlineStr">
        <is>
          <t>heat, residential, by combustion of synthetic natural gas from catalytic methanation using boiler, distributed by pipeline, produced by Electrolysis, PEM using electricity from grid and carbon sourced from DAC</t>
        </is>
      </c>
      <c r="L282" t="n">
        <v>2</v>
      </c>
      <c r="M282" t="n">
        <v>-13.14256608472185</v>
      </c>
      <c r="N282" t="n">
        <v>1.5</v>
      </c>
      <c r="O282" t="n">
        <v>1.2</v>
      </c>
      <c r="P282" t="n">
        <v>1.5</v>
      </c>
      <c r="Q282" t="n">
        <v>1.1</v>
      </c>
      <c r="R282" t="n">
        <v>2</v>
      </c>
      <c r="S282" t="n">
        <v>1.2</v>
      </c>
      <c r="T282" t="n">
        <v>1.5</v>
      </c>
      <c r="U282" t="n">
        <v>0.5121584730617011</v>
      </c>
    </row>
    <row r="283">
      <c r="A283" t="inlineStr">
        <is>
          <t>Methane, fossil</t>
        </is>
      </c>
      <c r="B283" t="n">
        <v>0</v>
      </c>
      <c r="C283" t="inlineStr">
        <is>
          <t>kilogram</t>
        </is>
      </c>
      <c r="D283" t="inlineStr">
        <is>
          <t>air::urban air close to ground</t>
        </is>
      </c>
      <c r="F283" t="inlineStr">
        <is>
          <t>biosphere</t>
        </is>
      </c>
      <c r="H283" t="inlineStr">
        <is>
          <t>emissions</t>
        </is>
      </c>
      <c r="I283" t="inlineStr">
        <is>
          <t>Adapted from "heat production, biomethane, at boiler condensing modulating &lt;100kW"</t>
        </is>
      </c>
      <c r="K283" t="inlineStr">
        <is>
          <t>heat, residential, by combustion of synthetic natural gas from catalytic methanation using boiler, distributed by pipeline, produced by Electrolysis, PEM using electricity from grid and carbon sourced from DAC</t>
        </is>
      </c>
      <c r="L283" t="n">
        <v>1</v>
      </c>
    </row>
    <row r="284">
      <c r="A284" t="inlineStr">
        <is>
          <t>Nitrogen oxides</t>
        </is>
      </c>
      <c r="B284" t="n">
        <v>9.702e-06</v>
      </c>
      <c r="C284" t="inlineStr">
        <is>
          <t>kilogram</t>
        </is>
      </c>
      <c r="D284" t="inlineStr">
        <is>
          <t>air::urban air close to ground</t>
        </is>
      </c>
      <c r="F284" t="inlineStr">
        <is>
          <t>biosphere</t>
        </is>
      </c>
      <c r="H284" t="inlineStr">
        <is>
          <t>emissions</t>
        </is>
      </c>
      <c r="I284" t="inlineStr">
        <is>
          <t>Adapted from "heat production, biomethane, at boiler condensing modulating &lt;100kW"</t>
        </is>
      </c>
      <c r="K284" t="inlineStr">
        <is>
          <t>heat, residential, by combustion of synthetic natural gas from catalytic methanation using boiler, distributed by pipeline, produced by Electrolysis, PEM using electricity from grid and carbon sourced from DAC</t>
        </is>
      </c>
      <c r="L284" t="n">
        <v>2</v>
      </c>
      <c r="M284" t="n">
        <v>-11.54317850814125</v>
      </c>
      <c r="N284" t="n">
        <v>1.5</v>
      </c>
      <c r="O284" t="n">
        <v>1.2</v>
      </c>
      <c r="P284" t="n">
        <v>1.5</v>
      </c>
      <c r="Q284" t="n">
        <v>1.1</v>
      </c>
      <c r="R284" t="n">
        <v>2</v>
      </c>
      <c r="S284" t="n">
        <v>1.2</v>
      </c>
      <c r="T284" t="n">
        <v>1.5</v>
      </c>
      <c r="U284" t="n">
        <v>0.5121584730617011</v>
      </c>
    </row>
    <row r="285">
      <c r="A285" t="inlineStr">
        <is>
          <t>PAH, polycyclic aromatic hydrocarbons</t>
        </is>
      </c>
      <c r="B285" t="n">
        <v>9.8e-09</v>
      </c>
      <c r="C285" t="inlineStr">
        <is>
          <t>kilogram</t>
        </is>
      </c>
      <c r="D285" t="inlineStr">
        <is>
          <t>air::urban air close to ground</t>
        </is>
      </c>
      <c r="F285" t="inlineStr">
        <is>
          <t>biosphere</t>
        </is>
      </c>
      <c r="H285" t="inlineStr">
        <is>
          <t>emissions</t>
        </is>
      </c>
      <c r="I285" t="inlineStr">
        <is>
          <t>Adapted from "heat production, biomethane, at boiler condensing modulating &lt;100kW"</t>
        </is>
      </c>
      <c r="K285" t="inlineStr">
        <is>
          <t>heat, residential, by combustion of synthetic natural gas from catalytic methanation using boiler, distributed by pipeline, produced by Electrolysis, PEM using electricity from grid and carbon sourced from DAC</t>
        </is>
      </c>
      <c r="L285" t="n">
        <v>2</v>
      </c>
      <c r="M285" t="n">
        <v>-18.44088345126988</v>
      </c>
      <c r="N285" t="n">
        <v>1.5</v>
      </c>
      <c r="O285" t="n">
        <v>1.2</v>
      </c>
      <c r="P285" t="n">
        <v>1.5</v>
      </c>
      <c r="Q285" t="n">
        <v>1.1</v>
      </c>
      <c r="R285" t="n">
        <v>2</v>
      </c>
      <c r="S285" t="n">
        <v>1.2</v>
      </c>
      <c r="T285" t="n">
        <v>3</v>
      </c>
      <c r="U285" t="n">
        <v>0.723148016147972</v>
      </c>
    </row>
    <row r="286">
      <c r="A286" t="inlineStr">
        <is>
          <t>Particulate Matter, &lt; 2.5 um</t>
        </is>
      </c>
      <c r="B286" t="n">
        <v>9.8e-08</v>
      </c>
      <c r="C286" t="inlineStr">
        <is>
          <t>kilogram</t>
        </is>
      </c>
      <c r="D286" t="inlineStr">
        <is>
          <t>air::urban air close to ground</t>
        </is>
      </c>
      <c r="F286" t="inlineStr">
        <is>
          <t>biosphere</t>
        </is>
      </c>
      <c r="H286" t="inlineStr">
        <is>
          <t>emissions</t>
        </is>
      </c>
      <c r="I286" t="inlineStr">
        <is>
          <t>Adapted from "heat production, biomethane, at boiler condensing modulating &lt;100kW"</t>
        </is>
      </c>
      <c r="K286" t="inlineStr">
        <is>
          <t>heat, residential, by combustion of synthetic natural gas from catalytic methanation using boiler, distributed by pipeline, produced by Electrolysis, PEM using electricity from grid and carbon sourced from DAC</t>
        </is>
      </c>
      <c r="L286" t="n">
        <v>2</v>
      </c>
      <c r="M286" t="n">
        <v>-16.13829835827584</v>
      </c>
      <c r="N286" t="n">
        <v>1.5</v>
      </c>
      <c r="O286" t="n">
        <v>1.2</v>
      </c>
      <c r="P286" t="n">
        <v>1.5</v>
      </c>
      <c r="Q286" t="n">
        <v>1.1</v>
      </c>
      <c r="R286" t="n">
        <v>2</v>
      </c>
      <c r="S286" t="n">
        <v>1.2</v>
      </c>
      <c r="T286" t="n">
        <v>3</v>
      </c>
      <c r="U286" t="n">
        <v>0.723148016147972</v>
      </c>
    </row>
    <row r="287">
      <c r="A287" t="inlineStr">
        <is>
          <t>Pentane</t>
        </is>
      </c>
      <c r="B287" t="n">
        <v>1.176e-06</v>
      </c>
      <c r="C287" t="inlineStr">
        <is>
          <t>kilogram</t>
        </is>
      </c>
      <c r="D287" t="inlineStr">
        <is>
          <t>air::urban air close to ground</t>
        </is>
      </c>
      <c r="F287" t="inlineStr">
        <is>
          <t>biosphere</t>
        </is>
      </c>
      <c r="H287" t="inlineStr">
        <is>
          <t>emissions</t>
        </is>
      </c>
      <c r="I287" t="inlineStr">
        <is>
          <t>Adapted from "heat production, biomethane, at boiler condensing modulating &lt;100kW"</t>
        </is>
      </c>
      <c r="K287" t="inlineStr">
        <is>
          <t>heat, residential, by combustion of synthetic natural gas from catalytic methanation using boiler, distributed by pipeline, produced by Electrolysis, PEM using electricity from grid and carbon sourced from DAC</t>
        </is>
      </c>
      <c r="L287" t="n">
        <v>2</v>
      </c>
      <c r="M287" t="n">
        <v>-13.65339170848784</v>
      </c>
      <c r="N287" t="n">
        <v>1.5</v>
      </c>
      <c r="O287" t="n">
        <v>1.2</v>
      </c>
      <c r="P287" t="n">
        <v>1.5</v>
      </c>
      <c r="Q287" t="n">
        <v>1.1</v>
      </c>
      <c r="R287" t="n">
        <v>2</v>
      </c>
      <c r="S287" t="n">
        <v>1.2</v>
      </c>
      <c r="T287" t="n">
        <v>1.5</v>
      </c>
      <c r="U287" t="n">
        <v>0.5121584730617011</v>
      </c>
    </row>
    <row r="288">
      <c r="A288" t="inlineStr">
        <is>
          <t>Propionic acid</t>
        </is>
      </c>
      <c r="B288" t="n">
        <v>1.96e-08</v>
      </c>
      <c r="C288" t="inlineStr">
        <is>
          <t>kilogram</t>
        </is>
      </c>
      <c r="D288" t="inlineStr">
        <is>
          <t>air::urban air close to ground</t>
        </is>
      </c>
      <c r="F288" t="inlineStr">
        <is>
          <t>biosphere</t>
        </is>
      </c>
      <c r="H288" t="inlineStr">
        <is>
          <t>emissions</t>
        </is>
      </c>
      <c r="I288" t="inlineStr">
        <is>
          <t>Adapted from "heat production, biomethane, at boiler condensing modulating &lt;100kW"</t>
        </is>
      </c>
      <c r="K288" t="inlineStr">
        <is>
          <t>heat, residential, by combustion of synthetic natural gas from catalytic methanation using boiler, distributed by pipeline, produced by Electrolysis, PEM using electricity from grid and carbon sourced from DAC</t>
        </is>
      </c>
      <c r="L288" t="n">
        <v>2</v>
      </c>
      <c r="M288" t="n">
        <v>-17.74773627070994</v>
      </c>
      <c r="N288" t="n">
        <v>1.5</v>
      </c>
      <c r="O288" t="n">
        <v>1.2</v>
      </c>
      <c r="P288" t="n">
        <v>1.5</v>
      </c>
      <c r="Q288" t="n">
        <v>1.1</v>
      </c>
      <c r="R288" t="n">
        <v>2</v>
      </c>
      <c r="S288" t="n">
        <v>1.2</v>
      </c>
      <c r="T288" t="n">
        <v>1.5</v>
      </c>
      <c r="U288" t="n">
        <v>0.5121584730617011</v>
      </c>
    </row>
    <row r="289">
      <c r="A289" t="inlineStr">
        <is>
          <t>Sulfur dioxide</t>
        </is>
      </c>
      <c r="B289" t="n">
        <v>4.9e-07</v>
      </c>
      <c r="C289" t="inlineStr">
        <is>
          <t>kilogram</t>
        </is>
      </c>
      <c r="D289" t="inlineStr">
        <is>
          <t>air::urban air close to ground</t>
        </is>
      </c>
      <c r="F289" t="inlineStr">
        <is>
          <t>biosphere</t>
        </is>
      </c>
      <c r="H289" t="inlineStr">
        <is>
          <t>emissions</t>
        </is>
      </c>
      <c r="I289" t="inlineStr">
        <is>
          <t>Adapted from "heat production, biomethane, at boiler condensing modulating &lt;100kW"</t>
        </is>
      </c>
      <c r="K289" t="inlineStr">
        <is>
          <t>heat, residential, by combustion of synthetic natural gas from catalytic methanation using boiler, distributed by pipeline, produced by Electrolysis, PEM using electricity from grid and carbon sourced from DAC</t>
        </is>
      </c>
      <c r="L289" t="n">
        <v>2</v>
      </c>
      <c r="M289" t="n">
        <v>-14.52886044584174</v>
      </c>
      <c r="N289" t="n">
        <v>1.5</v>
      </c>
      <c r="O289" t="n">
        <v>1.2</v>
      </c>
      <c r="P289" t="n">
        <v>1.5</v>
      </c>
      <c r="Q289" t="n">
        <v>1.1</v>
      </c>
      <c r="R289" t="n">
        <v>2</v>
      </c>
      <c r="S289" t="n">
        <v>1.2</v>
      </c>
      <c r="T289" t="n">
        <v>1.5</v>
      </c>
      <c r="U289" t="n">
        <v>0.5121584730617011</v>
      </c>
    </row>
    <row r="290">
      <c r="A290" t="inlineStr">
        <is>
          <t>Toluene</t>
        </is>
      </c>
      <c r="B290" t="n">
        <v>1.96e-07</v>
      </c>
      <c r="C290" t="inlineStr">
        <is>
          <t>kilogram</t>
        </is>
      </c>
      <c r="D290" t="inlineStr">
        <is>
          <t>air::urban air close to ground</t>
        </is>
      </c>
      <c r="F290" t="inlineStr">
        <is>
          <t>biosphere</t>
        </is>
      </c>
      <c r="H290" t="inlineStr">
        <is>
          <t>emissions</t>
        </is>
      </c>
      <c r="I290" t="inlineStr">
        <is>
          <t>Adapted from "heat production, biomethane, at boiler condensing modulating &lt;100kW"</t>
        </is>
      </c>
      <c r="K290" t="inlineStr">
        <is>
          <t>heat, residential, by combustion of synthetic natural gas from catalytic methanation using boiler, distributed by pipeline, produced by Electrolysis, PEM using electricity from grid and carbon sourced from DAC</t>
        </is>
      </c>
      <c r="L290" t="n">
        <v>2</v>
      </c>
      <c r="M290" t="n">
        <v>-15.44515117771589</v>
      </c>
      <c r="N290" t="n">
        <v>1.5</v>
      </c>
      <c r="O290" t="n">
        <v>1.2</v>
      </c>
      <c r="P290" t="n">
        <v>1.5</v>
      </c>
      <c r="Q290" t="n">
        <v>1.1</v>
      </c>
      <c r="R290" t="n">
        <v>2</v>
      </c>
      <c r="S290" t="n">
        <v>1.2</v>
      </c>
      <c r="T290" t="n">
        <v>1.5</v>
      </c>
      <c r="U290" t="n">
        <v>0.5121584730617011</v>
      </c>
    </row>
    <row r="291">
      <c r="A291" t="inlineStr">
        <is>
          <t>Nitrate</t>
        </is>
      </c>
      <c r="B291" t="n">
        <v>1.274e-07</v>
      </c>
      <c r="C291" t="inlineStr">
        <is>
          <t>kilogram</t>
        </is>
      </c>
      <c r="D291" t="inlineStr">
        <is>
          <t>water::surface water</t>
        </is>
      </c>
      <c r="F291" t="inlineStr">
        <is>
          <t>biosphere</t>
        </is>
      </c>
      <c r="H291" t="inlineStr">
        <is>
          <t>emissions</t>
        </is>
      </c>
      <c r="I291" t="inlineStr">
        <is>
          <t>Adapted from "heat production, biomethane, at boiler condensing modulating &lt;100kW"</t>
        </is>
      </c>
      <c r="K291" t="inlineStr">
        <is>
          <t>heat, residential, by combustion of synthetic natural gas from catalytic methanation using boiler, distributed by pipeline, produced by Electrolysis, PEM using electricity from grid and carbon sourced from DAC</t>
        </is>
      </c>
      <c r="L291" t="n">
        <v>2</v>
      </c>
      <c r="M291" t="n">
        <v>-15.87593409380835</v>
      </c>
      <c r="N291" t="n">
        <v>1.5</v>
      </c>
      <c r="O291" t="n">
        <v>1.2</v>
      </c>
      <c r="P291" t="n">
        <v>1.5</v>
      </c>
      <c r="Q291" t="n">
        <v>1.1</v>
      </c>
      <c r="R291" t="n">
        <v>2</v>
      </c>
      <c r="S291" t="n">
        <v>1.2</v>
      </c>
      <c r="T291" t="n">
        <v>1.5</v>
      </c>
      <c r="U291" t="n">
        <v>0.5121584730617011</v>
      </c>
    </row>
    <row r="292">
      <c r="A292" t="inlineStr">
        <is>
          <t>Nitrite</t>
        </is>
      </c>
      <c r="B292" t="n">
        <v>2.94e-09</v>
      </c>
      <c r="C292" t="inlineStr">
        <is>
          <t>kilogram</t>
        </is>
      </c>
      <c r="D292" t="inlineStr">
        <is>
          <t>water::surface water</t>
        </is>
      </c>
      <c r="F292" t="inlineStr">
        <is>
          <t>biosphere</t>
        </is>
      </c>
      <c r="H292" t="inlineStr">
        <is>
          <t>emissions</t>
        </is>
      </c>
      <c r="I292" t="inlineStr">
        <is>
          <t>Adapted from "heat production, biomethane, at boiler condensing modulating &lt;100kW"</t>
        </is>
      </c>
      <c r="K292" t="inlineStr">
        <is>
          <t>heat, residential, by combustion of synthetic natural gas from catalytic methanation using boiler, distributed by pipeline, produced by Electrolysis, PEM using electricity from grid and carbon sourced from DAC</t>
        </is>
      </c>
      <c r="L292" t="n">
        <v>2</v>
      </c>
      <c r="M292" t="n">
        <v>-19.64485625559582</v>
      </c>
      <c r="N292" t="n">
        <v>1.5</v>
      </c>
      <c r="O292" t="n">
        <v>1.2</v>
      </c>
      <c r="P292" t="n">
        <v>1.5</v>
      </c>
      <c r="Q292" t="n">
        <v>1.1</v>
      </c>
      <c r="R292" t="n">
        <v>2</v>
      </c>
      <c r="S292" t="n">
        <v>1.2</v>
      </c>
      <c r="T292" t="n">
        <v>1.5</v>
      </c>
      <c r="U292" t="n">
        <v>0.5121584730617011</v>
      </c>
    </row>
    <row r="293">
      <c r="A293" t="inlineStr">
        <is>
          <t>Sulfate</t>
        </is>
      </c>
      <c r="B293" t="n">
        <v>4.9e-08</v>
      </c>
      <c r="C293" t="inlineStr">
        <is>
          <t>kilogram</t>
        </is>
      </c>
      <c r="D293" t="inlineStr">
        <is>
          <t>water::surface water</t>
        </is>
      </c>
      <c r="F293" t="inlineStr">
        <is>
          <t>biosphere</t>
        </is>
      </c>
      <c r="H293" t="inlineStr">
        <is>
          <t>emissions</t>
        </is>
      </c>
      <c r="I293" t="inlineStr">
        <is>
          <t>Adapted from "heat production, biomethane, at boiler condensing modulating &lt;100kW"</t>
        </is>
      </c>
      <c r="K293" t="inlineStr">
        <is>
          <t>heat, residential, by combustion of synthetic natural gas from catalytic methanation using boiler, distributed by pipeline, produced by Electrolysis, PEM using electricity from grid and carbon sourced from DAC</t>
        </is>
      </c>
      <c r="L293" t="n">
        <v>2</v>
      </c>
      <c r="M293" t="n">
        <v>-16.83144553883578</v>
      </c>
      <c r="N293" t="n">
        <v>1.5</v>
      </c>
      <c r="O293" t="n">
        <v>1.2</v>
      </c>
      <c r="P293" t="n">
        <v>1.5</v>
      </c>
      <c r="Q293" t="n">
        <v>1.1</v>
      </c>
      <c r="R293" t="n">
        <v>2</v>
      </c>
      <c r="S293" t="n">
        <v>1.2</v>
      </c>
      <c r="T293" t="n">
        <v>1.5</v>
      </c>
      <c r="U293" t="n">
        <v>0.5121584730617011</v>
      </c>
    </row>
    <row r="294">
      <c r="A294" t="inlineStr">
        <is>
          <t>Sulfite</t>
        </is>
      </c>
      <c r="B294" t="n">
        <v>4.9e-08</v>
      </c>
      <c r="C294" t="inlineStr">
        <is>
          <t>kilogram</t>
        </is>
      </c>
      <c r="D294" t="inlineStr">
        <is>
          <t>water::surface water</t>
        </is>
      </c>
      <c r="F294" t="inlineStr">
        <is>
          <t>biosphere</t>
        </is>
      </c>
      <c r="H294" t="inlineStr">
        <is>
          <t>emissions</t>
        </is>
      </c>
      <c r="I294" t="inlineStr">
        <is>
          <t>Adapted from "heat production, biomethane, at boiler condensing modulating &lt;100kW"</t>
        </is>
      </c>
      <c r="K294" t="inlineStr">
        <is>
          <t>heat, residential, by combustion of synthetic natural gas from catalytic methanation using boiler, distributed by pipeline, produced by Electrolysis, PEM using electricity from grid and carbon sourced from DAC</t>
        </is>
      </c>
      <c r="L294" t="n">
        <v>2</v>
      </c>
      <c r="M294" t="n">
        <v>-16.83144553883578</v>
      </c>
      <c r="N294" t="n">
        <v>1.5</v>
      </c>
      <c r="O294" t="n">
        <v>1.2</v>
      </c>
      <c r="P294" t="n">
        <v>1.5</v>
      </c>
      <c r="Q294" t="n">
        <v>1.1</v>
      </c>
      <c r="R294" t="n">
        <v>2</v>
      </c>
      <c r="S294" t="n">
        <v>1.2</v>
      </c>
      <c r="T294" t="n">
        <v>1.5</v>
      </c>
      <c r="U294" t="n">
        <v>0.5121584730617011</v>
      </c>
    </row>
  </sheetData>
  <autoFilter ref="A1:W294"/>
  <pageMargins left="0.7" right="0.7" top="0.75" bottom="0.75" header="0.3" footer="0.3"/>
  <pageSetup orientation="portrait" paperSize="9" horizontalDpi="0" verticalDpi="0"/>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Romain Sacchi</dc:creator>
  <dcterms:created xmlns:dcterms="http://purl.org/dc/terms/" xmlns:xsi="http://www.w3.org/2001/XMLSchema-instance" xsi:type="dcterms:W3CDTF">2023-11-02T09:47:18Z</dcterms:created>
  <dcterms:modified xmlns:dcterms="http://purl.org/dc/terms/" xmlns:xsi="http://www.w3.org/2001/XMLSchema-instance" xsi:type="dcterms:W3CDTF">2026-07-07T14:16:30Z</dcterms:modified>
  <cp:lastModifiedBy>Romain Sacchi</cp:lastModifiedBy>
</cp:coreProperties>
</file>