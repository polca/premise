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166925"/>
  <mc:AlternateContent xmlns:mc="http://schemas.openxmlformats.org/markup-compatibility/2006">
    <mc:Choice Requires="x15">
      <x15ac:absPath xmlns:x15ac="http://schemas.microsoft.com/office/spreadsheetml/2010/11/ac" url="/Users/romain/GitHub/premise/premise/data/additional_inventories/"/>
    </mc:Choice>
  </mc:AlternateContent>
  <xr:revisionPtr revIDLastSave="0" documentId="13_ncr:1_{CBFD2C97-861D-1F45-942B-B18D3E09D009}" xr6:coauthVersionLast="47" xr6:coauthVersionMax="47" xr10:uidLastSave="{00000000-0000-0000-0000-000000000000}"/>
  <bookViews>
    <workbookView xWindow="0" yWindow="760" windowWidth="29040" windowHeight="17640" xr2:uid="{26241F67-8618-094B-AD38-E491C9570B84}"/>
  </bookViews>
  <sheets>
    <sheet name="Sheet1" sheetId="1" r:id="rId1"/>
  </sheets>
  <definedNames>
    <definedName name="_xlnm._FilterDatabase" localSheetId="0" hidden="1">Sheet1!$A$1:$P$444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71" i="1"/>
  <c r="D471" i="1"/>
  <c r="A471" i="1"/>
  <c r="G456" i="1" l="1"/>
  <c r="D456" i="1"/>
  <c r="A456" i="1"/>
  <c r="B210" i="1"/>
  <c r="B48" i="1"/>
  <c r="G397" i="1"/>
  <c r="D397" i="1"/>
  <c r="A397" i="1"/>
  <c r="G416" i="1"/>
  <c r="D416" i="1"/>
  <c r="A416" i="1"/>
  <c r="D437" i="1"/>
  <c r="G437" i="1"/>
  <c r="A437" i="1"/>
  <c r="G379" i="1"/>
  <c r="A379" i="1"/>
  <c r="G366" i="1"/>
  <c r="A366" i="1"/>
  <c r="G352" i="1"/>
  <c r="A352" i="1"/>
  <c r="G334" i="1"/>
  <c r="A334" i="1"/>
  <c r="G321" i="1"/>
  <c r="A321" i="1"/>
  <c r="G303" i="1"/>
  <c r="A303" i="1"/>
  <c r="G282" i="1" l="1"/>
  <c r="A282" i="1"/>
  <c r="B267" i="1"/>
  <c r="G264" i="1"/>
  <c r="A264" i="1"/>
  <c r="G247" i="1"/>
  <c r="A247" i="1"/>
  <c r="G223" i="1"/>
  <c r="A223" i="1"/>
  <c r="G199" i="1"/>
  <c r="A199" i="1"/>
  <c r="G181" i="1"/>
  <c r="A181" i="1"/>
  <c r="G165" i="1"/>
  <c r="A165" i="1"/>
  <c r="G148" i="1"/>
  <c r="A148" i="1"/>
  <c r="G126" i="1"/>
  <c r="A126" i="1"/>
  <c r="G105" i="1" l="1"/>
  <c r="A105" i="1"/>
  <c r="G88" i="1"/>
  <c r="A88" i="1"/>
  <c r="G60" i="1"/>
  <c r="A60" i="1"/>
  <c r="G41" i="1"/>
  <c r="A41" i="1"/>
</calcChain>
</file>

<file path=xl/sharedStrings.xml><?xml version="1.0" encoding="utf-8"?>
<sst xmlns="http://schemas.openxmlformats.org/spreadsheetml/2006/main" count="1847" uniqueCount="368">
  <si>
    <t>database</t>
  </si>
  <si>
    <t>Activity</t>
  </si>
  <si>
    <t/>
  </si>
  <si>
    <t>location</t>
  </si>
  <si>
    <t>RER</t>
  </si>
  <si>
    <t>production amount</t>
  </si>
  <si>
    <t>comment</t>
  </si>
  <si>
    <t>source</t>
  </si>
  <si>
    <t>reference product</t>
  </si>
  <si>
    <t>type</t>
  </si>
  <si>
    <t>process</t>
  </si>
  <si>
    <t>unit</t>
  </si>
  <si>
    <t>Exchanges</t>
  </si>
  <si>
    <t>name</t>
  </si>
  <si>
    <t>amount</t>
  </si>
  <si>
    <t>categories</t>
  </si>
  <si>
    <t>The Vanadium Redox Flow Battery (VRFB) system is divided into two subsystems - a power and an energy sub-system - in accordance with the cell area related to the power and the electrolyte volume related to the energy storage capacity. Remaining components are assigned to the periphery. The considered VRFB system shows a rated power of 1 MW and an energy capacity of 8.3 MWh. The principal battery layout is derived from published literature, majorly a recent publication on stationary VRFB (Minke, C. Techno-ökonomische Modellierung Und Bewertung von Stationären, Vanadium-Redox-Flow-Batterien Im Industriellen Maßstab, 40th ed.; Cuvillier Verlag: Göttingen, 2016). The dimensions of the different parts provided there allow for calculating the battery composition on a mass basis. An 8.3 MWh system requires an electrolyte volume of 194 m3 and, assuming a void volume of 50%, a tank capacity of 300 m3. For a nominal power of 1 MW, two stacks with a total of 155 cells are required. Each stack is composed of a 105 membrane, a bipolar plates, two carbon felt electrodes, two current collector and the two associated gaskets.</t>
  </si>
  <si>
    <t>Life Cycle Assessment of a Vanadium Redox Flow Battery, Selina Weber, Jens F. Peters, Manuel Baumann, and Marcel Weil, Environ. Sci. Technol. 2018, 52, 10864−10873, DOI: 10.1021/acs.est.8b02073</t>
  </si>
  <si>
    <t>nafion membrane production</t>
  </si>
  <si>
    <t>nafion membrane</t>
  </si>
  <si>
    <t>Tetrafluoroethylene (C2F4) </t>
  </si>
  <si>
    <t>Sulfur trioxide (SO3) </t>
  </si>
  <si>
    <t>Hexafluoropropene (C3F6) </t>
  </si>
  <si>
    <t>Sodium hypochlorite (NaOCl) </t>
  </si>
  <si>
    <t>Sodium hydroxide (NaOH) </t>
  </si>
  <si>
    <r>
      <t>Sodium carbonate (Na</t>
    </r>
    <r>
      <rPr>
        <sz val="7"/>
        <color theme="1"/>
        <rFont val="Calibri"/>
        <family val="2"/>
        <scheme val="minor"/>
      </rPr>
      <t>2</t>
    </r>
    <r>
      <rPr>
        <sz val="11"/>
        <color theme="1"/>
        <rFont val="Calibri"/>
        <family val="2"/>
        <scheme val="minor"/>
      </rPr>
      <t>CO</t>
    </r>
    <r>
      <rPr>
        <sz val="7"/>
        <color theme="1"/>
        <rFont val="Calibri"/>
        <family val="2"/>
        <scheme val="minor"/>
      </rPr>
      <t>3</t>
    </r>
    <r>
      <rPr>
        <sz val="11"/>
        <color theme="1"/>
        <rFont val="Calibri"/>
        <family val="2"/>
        <scheme val="minor"/>
      </rPr>
      <t>) </t>
    </r>
  </si>
  <si>
    <t>Infrastructure </t>
  </si>
  <si>
    <t>Process heat </t>
  </si>
  <si>
    <t>GLO</t>
  </si>
  <si>
    <t>Europe without Switzerland</t>
  </si>
  <si>
    <t>technosphere</t>
  </si>
  <si>
    <t>kilogram</t>
  </si>
  <si>
    <t>megajoule</t>
  </si>
  <si>
    <t>production</t>
  </si>
  <si>
    <t>market for tetrafluoroethylene</t>
  </si>
  <si>
    <t>market for sulfur trioxide</t>
  </si>
  <si>
    <t>market for hexafluoroethane</t>
  </si>
  <si>
    <t>market for soda ash, dense</t>
  </si>
  <si>
    <t>chemical factory, organics</t>
  </si>
  <si>
    <t>tetrafluoroethylene</t>
  </si>
  <si>
    <t>sulfur trioxide</t>
  </si>
  <si>
    <t>hexafluoroethane</t>
  </si>
  <si>
    <t>soda ash, dense</t>
  </si>
  <si>
    <t>NaCl </t>
  </si>
  <si>
    <t>NaOH, aqueous solution </t>
  </si>
  <si>
    <t>CO2 </t>
  </si>
  <si>
    <t>Organic residue </t>
  </si>
  <si>
    <t>Plastic residue </t>
  </si>
  <si>
    <t>Oily residue </t>
  </si>
  <si>
    <t>ton kilometer</t>
  </si>
  <si>
    <t>Carbon dioxide, fossil</t>
  </si>
  <si>
    <t>air</t>
  </si>
  <si>
    <t>water</t>
  </si>
  <si>
    <t>spent solvent mixture </t>
  </si>
  <si>
    <t>bilge oil </t>
  </si>
  <si>
    <t>Sodium hydroxide</t>
  </si>
  <si>
    <t>biosphere</t>
  </si>
  <si>
    <t>vanadium-redox-flow-battery</t>
  </si>
  <si>
    <t>The subsequent steps for the production of PAN-based carbon felt, oxidation and carbonization are modelled explicitly and therefore examined more closely since there are no suitable reference processes in ecoinvent. Mass balances are calculated according to stoichiometry. First, the thermal treatment (oxidation) and thus the stabilization of the felt is carried out. Under air oxidation, the PAN raw felt is treated at 300 °C for about one hour. The goal is to transform the felt into an infusible form by stretching and cyclizing the fibres. The heat input of the oxidation process is calculated by means of the heat capacity of polyacrylonitrile. The polyacrylonitrile is heated up from ambient temperature to 300 °C, requiring 0.87 MJ of energy. An efficiency of 85 % of the furnace is assumed. In the following processing step, carbonization is carried out in an inert nitrogen atmosphere at temperatures of up to 1500 °C.</t>
  </si>
  <si>
    <t>Raw carbon felt </t>
  </si>
  <si>
    <t>Heat, Oxidation </t>
  </si>
  <si>
    <t>Heat, Carbonization </t>
  </si>
  <si>
    <t>Fuel demand, RTO </t>
  </si>
  <si>
    <t>N2 </t>
  </si>
  <si>
    <t>H2O </t>
  </si>
  <si>
    <t>Nitrogen</t>
  </si>
  <si>
    <t>Water</t>
  </si>
  <si>
    <t>polyacrylonitrile-based electrode production, for VRFB system</t>
  </si>
  <si>
    <t>polyacrylonitrile-based electrode, for VFRB system</t>
  </si>
  <si>
    <t>The materials of the bipolar plate must have particular properties because of its multiple responsibilities and the challenging environment in which the VRFB operates. This study focuses on a compound material consisting of synthetic graphite and polypropylene as a binder since these compound components are particularly suitable for redox flow batteries. The mass balance is based on a data sheet from a manufacturer of bipolar plates.</t>
  </si>
  <si>
    <t>Synthetic graphite </t>
  </si>
  <si>
    <t>Polypropylene </t>
  </si>
  <si>
    <t>Oil </t>
  </si>
  <si>
    <t>Particle board </t>
  </si>
  <si>
    <t>Core board </t>
  </si>
  <si>
    <t>Pallet </t>
  </si>
  <si>
    <t>Bleached board </t>
  </si>
  <si>
    <t>Water </t>
  </si>
  <si>
    <t>Steam </t>
  </si>
  <si>
    <t>Heat </t>
  </si>
  <si>
    <t>Electricity </t>
  </si>
  <si>
    <t>Transport, lorry </t>
  </si>
  <si>
    <t>Transport, train </t>
  </si>
  <si>
    <t>Bipolar plate </t>
  </si>
  <si>
    <t>kilowatt hour</t>
  </si>
  <si>
    <t>cubic meter</t>
  </si>
  <si>
    <t>market for graphite, battery grade</t>
  </si>
  <si>
    <t>market for lubricating oil</t>
  </si>
  <si>
    <t>market for packaging box factory</t>
  </si>
  <si>
    <t>market for core board</t>
  </si>
  <si>
    <t>market for EUR-flat pallet</t>
  </si>
  <si>
    <t>market for steam, in chemical industry</t>
  </si>
  <si>
    <t>graphite, battery grade</t>
  </si>
  <si>
    <t>lubricating oil</t>
  </si>
  <si>
    <t>packaging box factory</t>
  </si>
  <si>
    <t>core board</t>
  </si>
  <si>
    <t>EUR-flat pallet</t>
  </si>
  <si>
    <t>steam, in chemical industry</t>
  </si>
  <si>
    <t>electricity, medium voltage</t>
  </si>
  <si>
    <t>waste plastic, mixture</t>
  </si>
  <si>
    <t>stack frame assembly, for VRFB system</t>
  </si>
  <si>
    <t>stack frame, for VRFB system</t>
  </si>
  <si>
    <t>The stack frame is a steel structure consisting of two double T-profiles which correspond to the dimensions of the stack. The dimension and weight are estimated based on a technical datasheet for a representative steel profile.</t>
  </si>
  <si>
    <t>Steel frame, material </t>
  </si>
  <si>
    <t>Steel frame, processing </t>
  </si>
  <si>
    <t>T-Profile welding </t>
  </si>
  <si>
    <t>Transport, lorry, steel </t>
  </si>
  <si>
    <t>Transport, train, steel </t>
  </si>
  <si>
    <t>meter</t>
  </si>
  <si>
    <t>market for steel, low-alloyed</t>
  </si>
  <si>
    <t>market for welding, arc, steel</t>
  </si>
  <si>
    <t>vanadium electrolyte solution</t>
  </si>
  <si>
    <t>vanadium electrolyte solution production</t>
  </si>
  <si>
    <t>The electrolyte composition is derived from technical data sheet of the manufacturer Gfe GmbH, and is confirmed by private correspondence with experts. The vanadium concentration within the electrolyte is 1.6 mol / L and the sulfate concentration 2 mol / L. Additionally, 0.05 mol / L of phosphoric acid is used as a stabilizer. The mass fractions of the four components vanadium, sulfuric acid, phosphoric acid and water are calculated taking into account the molar mass as well as the density of the electrolyte. The density of the electrolyte consequently corresponds to 1.35 kg / L.</t>
  </si>
  <si>
    <t>Vanadium pentoxide </t>
  </si>
  <si>
    <t>Sulfuric acid </t>
  </si>
  <si>
    <t>Phosphoric acid </t>
  </si>
  <si>
    <t>Transport, ship overseas </t>
  </si>
  <si>
    <t>Transport, barge </t>
  </si>
  <si>
    <t>Transport lorry (ZA) </t>
  </si>
  <si>
    <t>market for sulfuric acid</t>
  </si>
  <si>
    <t>sulfuric acid</t>
  </si>
  <si>
    <t>vanadium pentoxide production</t>
  </si>
  <si>
    <t>vanadium pentoxide</t>
  </si>
  <si>
    <t>ZA</t>
  </si>
  <si>
    <t>electrolyte tank</t>
  </si>
  <si>
    <t>PVC </t>
  </si>
  <si>
    <t>Extrusion </t>
  </si>
  <si>
    <t>Disposal </t>
  </si>
  <si>
    <t>Hydrocarbons, aromatic</t>
  </si>
  <si>
    <t>market for polyester resin, unsaturated</t>
  </si>
  <si>
    <t>market for chemical, organic</t>
  </si>
  <si>
    <t>polyester resin, unsaturated</t>
  </si>
  <si>
    <t>chemical, organic</t>
  </si>
  <si>
    <t>electrolyte tank production, for VRFB system</t>
  </si>
  <si>
    <t>current collector production, for VRFB system</t>
  </si>
  <si>
    <t>As a current collector, copper plates with a thickness of 20 mm are used at both ends of the stack. It is assumed that 1 kg of copper is required for the production of 1 kg of current collector. The processing of the plate is assumed to be sheet rolled. Accordingly, the ecoinvent dataset “sheet rolling, copper” is applied.</t>
  </si>
  <si>
    <t>The vanadium electrolyte is stored in plastic tanks. These tanks must be composed of materials which are resistant to corrosion in the very low pH environment. Glass fiber with a PVC inline is selected as a particularly suitable material. It is assumed that each tank has a volume of 50 m3. According to the literature, the total tank volume for a VRFB configuration with a rated power of 1 MW and an energy capacity of 8.3 MWh is 300 m3. Therefore, six tanks for the stated total tank volume are required.</t>
  </si>
  <si>
    <t>Copper plate, material </t>
  </si>
  <si>
    <t>Copper plate, processing </t>
  </si>
  <si>
    <t>Current collector </t>
  </si>
  <si>
    <t>market for sheet rolling, copper </t>
  </si>
  <si>
    <t>sheet rolling, copper </t>
  </si>
  <si>
    <t>polyvinylchloride cell frame production, for VRFB system</t>
  </si>
  <si>
    <t>current collector, for VRFB system</t>
  </si>
  <si>
    <t>polyvinylchloride cell frame, for VRFB system</t>
  </si>
  <si>
    <t>Each cell is surrounded by an extruded polyvinylchloride (PVC) frame. Thus, the corresponding ecoinvent dataset for polyvinylchloride is used. Since the frame is shaped by extrusion, the corresponding ecoinvent dataset is applied.</t>
  </si>
  <si>
    <t>Polyvinylchloride </t>
  </si>
  <si>
    <t>gasket production, FKM, for VRFB system</t>
  </si>
  <si>
    <t>gasket, FKM</t>
  </si>
  <si>
    <t>FKM gaskets represent the first modeled variant. An important type of FKM is the terpolymer consisting of vinylidene fluoride (VDF), hexafluoropropylene (HFP) and tetrafluoroethylene (TFE). The respective ecoinvent datasets of the chemicals are used in which HFE is approximated by HFP and VFD by polyvinyl fluoride. As a forming process, the reference process “extrusion, plastic pipes” is used.</t>
  </si>
  <si>
    <t>HFE </t>
  </si>
  <si>
    <t>TFE </t>
  </si>
  <si>
    <t>Polyvinyl fluoride </t>
  </si>
  <si>
    <t>Extrusion, plastic pipes </t>
  </si>
  <si>
    <t>Transport, rail </t>
  </si>
  <si>
    <t>market for hexafluoroethane </t>
  </si>
  <si>
    <t>market for tetrafluoroethylene </t>
  </si>
  <si>
    <t>market for extrusion, plastic pipes </t>
  </si>
  <si>
    <t>hexafluoroethane </t>
  </si>
  <si>
    <t>tetrafluoroethylene </t>
  </si>
  <si>
    <t>extrusion, plastic pipes </t>
  </si>
  <si>
    <t>copper cable production, for VRFB system</t>
  </si>
  <si>
    <t>copper cable, for VRFB system</t>
  </si>
  <si>
    <t>Tap water </t>
  </si>
  <si>
    <t>Copper </t>
  </si>
  <si>
    <t>Wire drawing </t>
  </si>
  <si>
    <t>market for tap water</t>
  </si>
  <si>
    <t>tap water</t>
  </si>
  <si>
    <t>pipes assembly, for VRFB system</t>
  </si>
  <si>
    <t>pipes, for VRFB system</t>
  </si>
  <si>
    <t>Two centrifugal pumps are required to pump the electrolyte into the cells. In addition, in each electrolyte circuit, two pumps are arranged redundantly. For the design of the pump it is assumed that the effective volume flow is 200 m3/h. The required size and mass of the pump can be derived from the data given in the technical data sheets from commercial providers of centrifugal pumps. Here, the flow rate is used as the basis for further calculations. As a result, the weight per pump is calculated to be 145 kg. Since there is no further information on the exact composition of the various materials for the production of the centrifugal pump, a reference process from ecoinvent is used for 408 assistance (pump production, 40 W). The required masses of the raw materials are adapted correspondingly, since the modeled VRFB pumps have a higher power.</t>
  </si>
  <si>
    <t>Aluminum </t>
  </si>
  <si>
    <t>Iron </t>
  </si>
  <si>
    <t>Stainless steel </t>
  </si>
  <si>
    <t>Rubber </t>
  </si>
  <si>
    <t>market for cast iron</t>
  </si>
  <si>
    <t>cast iron</t>
  </si>
  <si>
    <t>waste polyvinylchloride product </t>
  </si>
  <si>
    <t>pumps assembly, for VRFB system</t>
  </si>
  <si>
    <t>pumps, for VRFB system</t>
  </si>
  <si>
    <t>The pipes are steel pipes with a Teflon® lining. The required length of the cables is derived from the stack geometry so that a length of 30 meters is required for each electrolyte circuit. In addition, 5 meters of pipeline per stack are required. It is assumed that a standard pipe with the diameter DN 418 50 (60.3 mm) is used and that the Teflon® lining is 1 mm. By means of the density and the 419 dimensions, the required quantity of steel and Teflon® can be calculated. Since there is no ecoinvent dataset for Teflon®, TFE is used as approximation. The ecoinvent standard distances are applied for steel and plastics respectively.</t>
  </si>
  <si>
    <t>Steel, material </t>
  </si>
  <si>
    <t>Teflon® lining </t>
  </si>
  <si>
    <t>Processing, steel </t>
  </si>
  <si>
    <t>Pipes </t>
  </si>
  <si>
    <t>market for steel, chromium steel 18/8 </t>
  </si>
  <si>
    <t>market for drawing of pipe, steel </t>
  </si>
  <si>
    <t>steel, chromium steel 18/8 </t>
  </si>
  <si>
    <t>drawing of pipe, steel </t>
  </si>
  <si>
    <t>heat exchanger, for VRFB system</t>
  </si>
  <si>
    <t>The heat exchanger used is a plate heat exchanger whose design is based on the heat exchange surface and the needed capacity of 1 MW. Since there is no information available regarding the heat exchanger, data from a heat exchanger from a secondary publication are used and scaled accordingly. The technical design of the heat exchanger for the VRFB is based on C. Minke. The required quantities of raw materials, as well as the energy and heat demand, are adjusted by means of the heat flow. It is assumed that the whole heat exchanger is made of stainless steel since other materials account for a very small mass32. Furthermore, the production of the heat exchanger is assumed to take place in Sweden and thus, transport distances from Sweden to Germany are applied.</t>
  </si>
  <si>
    <t>Processing, stainless steel </t>
  </si>
  <si>
    <t>market for hot rolling, steel</t>
  </si>
  <si>
    <t>hot rolling, steel</t>
  </si>
  <si>
    <t>heat exchanger production, for VRFB system</t>
  </si>
  <si>
    <t>stack monitoring interface assembly, for VRFB system</t>
  </si>
  <si>
    <t>Here, it is assumed that a monitoring system is required per stack and thus one BMS is required to control them. It must be noted that this is assumed to be major simplification, while the process control system is a relevant component. In fact, the modeling of the process control system is a crucial aspect since electronics potentially show high impacts in several categories. Therefore, this major gap needs to be fulfilled by future research.</t>
  </si>
  <si>
    <t>stack monitoring interface, for VRFB system</t>
  </si>
  <si>
    <t>Steel housing, material </t>
  </si>
  <si>
    <t>Electronics, control </t>
  </si>
  <si>
    <t>Sensor cable </t>
  </si>
  <si>
    <t>Data cable </t>
  </si>
  <si>
    <t>Plastic parts and isolation </t>
  </si>
  <si>
    <t>Processing, steel housing </t>
  </si>
  <si>
    <t>Processing, plastic parts </t>
  </si>
  <si>
    <t>market for electronics, for control units </t>
  </si>
  <si>
    <t>market for cable, unspecified </t>
  </si>
  <si>
    <t>market for cable, data cable in infrastructure </t>
  </si>
  <si>
    <t>market for sheet rolling, steel </t>
  </si>
  <si>
    <t>market for polypropylene, granulate</t>
  </si>
  <si>
    <t>electronics, for control units </t>
  </si>
  <si>
    <t>cable, unspecified </t>
  </si>
  <si>
    <t>cable, data cable in infrastructure </t>
  </si>
  <si>
    <t>polypropylene, granulate</t>
  </si>
  <si>
    <t>sheet rolling, steel </t>
  </si>
  <si>
    <t>battery management system assembly, for VRFB system</t>
  </si>
  <si>
    <t>battery management system, for VRFB system</t>
  </si>
  <si>
    <t>PP housing, material </t>
  </si>
  <si>
    <t>PP housing, production </t>
  </si>
  <si>
    <t>Display </t>
  </si>
  <si>
    <t>Electronics </t>
  </si>
  <si>
    <t>market for liquid crystal display, unmounted</t>
  </si>
  <si>
    <t>market for electronics, for control units</t>
  </si>
  <si>
    <t>liquid crystal display, unmounted</t>
  </si>
  <si>
    <t>electronics, for control units</t>
  </si>
  <si>
    <t>process control system assembly, for VRFB system</t>
  </si>
  <si>
    <t>process control system, for VRFB system</t>
  </si>
  <si>
    <t>Monitoring </t>
  </si>
  <si>
    <t>Battery management system </t>
  </si>
  <si>
    <t>treatment of stack, for VRFB system</t>
  </si>
  <si>
    <t>used stack, for VRFB system</t>
  </si>
  <si>
    <t>market group for electricity, low voltage</t>
  </si>
  <si>
    <t>electricity, low voltage</t>
  </si>
  <si>
    <t>market for diesel, burned in building machine</t>
  </si>
  <si>
    <t>diesel, burned in building machine</t>
  </si>
  <si>
    <t>treatment of electrolyte tank, for VRFB system</t>
  </si>
  <si>
    <t>used electrolyte tank, for VRFB system</t>
  </si>
  <si>
    <t>treatment of electrolyte solution, for VRFB system</t>
  </si>
  <si>
    <t>used electrolyte solution, for VRFB system</t>
  </si>
  <si>
    <t>treatment of periphericals, for VRFB system</t>
  </si>
  <si>
    <t>used periphericals, for VRFB system</t>
  </si>
  <si>
    <t>Cables </t>
  </si>
  <si>
    <t>treatment of used cable</t>
  </si>
  <si>
    <t>used cable</t>
  </si>
  <si>
    <t>treatment of waste electric and electronic equipment, shredding</t>
  </si>
  <si>
    <t>electricity, high voltage</t>
  </si>
  <si>
    <t>electricity supply, high voltage, from vanadium-redox flow battery system</t>
  </si>
  <si>
    <t>The power capacity for this application is 1MW and the net storage capacity 6 MWh. The net capacity considers the internal inefficiencies of the batteries and the min SoC, requiring a certain oversizing of the batteries. For providing net 6 MWh, a nominal capacity of 8.3 MWh is required for the VRFB with the assumed operation parameters. The assumed lifetime of the stack is 10 years. The lifetimeof the system is 20 years or 8176 cycle-lifes (49,000 MWh).</t>
  </si>
  <si>
    <t>Membrane </t>
  </si>
  <si>
    <t>Electrode </t>
  </si>
  <si>
    <t>Cell frame </t>
  </si>
  <si>
    <t>Gaskets </t>
  </si>
  <si>
    <t>Stack frame </t>
  </si>
  <si>
    <t>Electrolyte </t>
  </si>
  <si>
    <t>Tank </t>
  </si>
  <si>
    <t>Pumps </t>
  </si>
  <si>
    <t>Inverter </t>
  </si>
  <si>
    <t>PCS </t>
  </si>
  <si>
    <t>Heat exchanger </t>
  </si>
  <si>
    <t>vanadium-redox flow battery system</t>
  </si>
  <si>
    <t>market for inverter, 500kW</t>
  </si>
  <si>
    <t>inverter, 500kW</t>
  </si>
  <si>
    <t>The power capacity for this application is 1MW and the net storage capacity 6 MWh. The net capacity considers the internal inefficiencies of the batteries and the min SoC, requiring a certain oversizing of the batteries. For providing net 6 MWh, a nominal capacity of 8.3 MWh is required for the VRFB with the assumed operation parameters. The assumed lifetime of the stack is 10 years. The lifetime of the system is 20 years or 8176 cycle-lifes (49,000 MWh).</t>
  </si>
  <si>
    <t>vanadium-redox flow battery system assembly, 8.3 megawatt hour</t>
  </si>
  <si>
    <t>vanadium-redox flow battery stack assembly</t>
  </si>
  <si>
    <t>vanadium-redox flow battery stack</t>
  </si>
  <si>
    <t>Stack</t>
  </si>
  <si>
    <t>Replacement stack</t>
  </si>
  <si>
    <t>market group for electricity, high voltage</t>
  </si>
  <si>
    <t>EoL of both stack</t>
  </si>
  <si>
    <t>Electrolyte tank EoL</t>
  </si>
  <si>
    <t>Electrolyte EoL</t>
  </si>
  <si>
    <t>Peripherals EoL</t>
  </si>
  <si>
    <t>Infrastructure requirements 1/49000 MWh</t>
  </si>
  <si>
    <t>Electricity input plus losses</t>
  </si>
  <si>
    <t>Sodium chlorate</t>
  </si>
  <si>
    <t>market for sodium hypochlorite, without water, in 15% solution state</t>
  </si>
  <si>
    <t>sodium hypochlorite, without water, in 15% solution state</t>
  </si>
  <si>
    <t>market for sodium hydroxide, without water, in 50% solution state</t>
  </si>
  <si>
    <t>sodium hydroxide, without water, in 50% solution state</t>
  </si>
  <si>
    <t>chemical factory construction, organics</t>
  </si>
  <si>
    <t>market for heat, district or industrial, natural gas</t>
  </si>
  <si>
    <t>heat, district or industrial, natural gas</t>
  </si>
  <si>
    <t>market for transport, freight, lorry, unspecified</t>
  </si>
  <si>
    <t>transport, freight, lorry, unspecified</t>
  </si>
  <si>
    <t>market for transport, freight train</t>
  </si>
  <si>
    <t>transport, freight train</t>
  </si>
  <si>
    <t>treatment of spent solvent mixture, hazardous waste incineration, with energy recovery</t>
  </si>
  <si>
    <t>treatment of waste plastic, mixture, municipal incineration</t>
  </si>
  <si>
    <t>CH</t>
  </si>
  <si>
    <t>treatment of bilge oil, hazardous waste incineration</t>
  </si>
  <si>
    <t>carbon fiber production, weaved, at factory</t>
  </si>
  <si>
    <t>carbon fiber, weaved</t>
  </si>
  <si>
    <t>market for injection moulding </t>
  </si>
  <si>
    <t>injection moulding </t>
  </si>
  <si>
    <t>steel, low-alloyed</t>
  </si>
  <si>
    <t>welding, arc, steel</t>
  </si>
  <si>
    <t>steel, chromium steel 18/8, hot rolled </t>
  </si>
  <si>
    <t>steel, chromium steel 18/8</t>
  </si>
  <si>
    <t>waste electric and electronic equipment</t>
  </si>
  <si>
    <t>treatment of municipal solid waste, incineration</t>
  </si>
  <si>
    <t>market for copper scrap, sorted, pressed</t>
  </si>
  <si>
    <t>copper scrap, sorted, pressed</t>
  </si>
  <si>
    <t>market for iron scrap, unsorted</t>
  </si>
  <si>
    <t>iron scrap, unsorted</t>
  </si>
  <si>
    <t>market group for waste plastic, mixture</t>
  </si>
  <si>
    <t>market for waste polyvinylfluoride</t>
  </si>
  <si>
    <t>waste polyvinylfluoride</t>
  </si>
  <si>
    <t>market for tetrafluoroethylene film, on glass</t>
  </si>
  <si>
    <t>tetrafluoroethylene film, on glass</t>
  </si>
  <si>
    <t>market for waste polyvinylchloride product</t>
  </si>
  <si>
    <t>hot water tank factory </t>
  </si>
  <si>
    <t>wire drawing, copper </t>
  </si>
  <si>
    <t>rolling mill </t>
  </si>
  <si>
    <t>synthetic rubber </t>
  </si>
  <si>
    <t>municipal solid waste</t>
  </si>
  <si>
    <t>market for hot water tank factory </t>
  </si>
  <si>
    <t>market for synthetic rubber </t>
  </si>
  <si>
    <t>market for steel, chromium steel 18/8, hot rolled </t>
  </si>
  <si>
    <t>market for rolling mill </t>
  </si>
  <si>
    <t>market for wire drawing, copper </t>
  </si>
  <si>
    <t>market for solid bleached and unbleached board carton</t>
  </si>
  <si>
    <t>solid bleached and unbleached board carton</t>
  </si>
  <si>
    <t>market for copper, cathode</t>
  </si>
  <si>
    <t>copper, cathode</t>
  </si>
  <si>
    <t>market for polyvinylchloride, suspension polymerised</t>
  </si>
  <si>
    <t>polyvinylchloride, suspension polymerised</t>
  </si>
  <si>
    <t>market for aluminium, wrought alloy</t>
  </si>
  <si>
    <t>aluminium, wrought alloy</t>
  </si>
  <si>
    <t>treatment of hazardous waste, hazardous waste incineration</t>
  </si>
  <si>
    <t>hazardous waste, for incineration</t>
  </si>
  <si>
    <t>market for glass fibre</t>
  </si>
  <si>
    <t>glass fibre</t>
  </si>
  <si>
    <t>market for polyvinylfluoride</t>
  </si>
  <si>
    <t>polyvinylfluoride</t>
  </si>
  <si>
    <t>treatment of waste mineral wool, collection for final disposal</t>
  </si>
  <si>
    <t>waste mineral wool</t>
  </si>
  <si>
    <t>market for natural gas, burned in gas turbine</t>
  </si>
  <si>
    <t>natural gas, burned in gas turbine</t>
  </si>
  <si>
    <t>market for laminated timber element, transversally prestressed, for outdoor use</t>
  </si>
  <si>
    <t>laminated timber element, transversally prestressed, for outdoor use</t>
  </si>
  <si>
    <t>market for water, deionised</t>
  </si>
  <si>
    <t>water, deionised</t>
  </si>
  <si>
    <t>market for transport, freight, lorry 16-32 metric ton, EURO5</t>
  </si>
  <si>
    <t>transport, freight, lorry 16-32 metric ton, EURO5</t>
  </si>
  <si>
    <t>market for metal working, average for steel product manufacturing</t>
  </si>
  <si>
    <t>metal working, average for steel product manufacturing</t>
  </si>
  <si>
    <t>market for phosphoric acid, industrial grade, without water, in 85% solution state</t>
  </si>
  <si>
    <t>phosphoric acid, industrial grade, without water, in 85% solution state</t>
  </si>
  <si>
    <t>market for transport, freight, sea, container ship</t>
  </si>
  <si>
    <t>transport, freight, sea, container ship</t>
  </si>
  <si>
    <t>market for transport, freight, inland waterways, barge</t>
  </si>
  <si>
    <t>transport, freight, inland waterways, barge</t>
  </si>
  <si>
    <t>market for polyvinylchloride, emulsion polymerised </t>
  </si>
  <si>
    <t>polyvinylchloride, emulsion polymerised </t>
  </si>
  <si>
    <t>market for metal working factory</t>
  </si>
  <si>
    <t>metal working factory</t>
  </si>
  <si>
    <t>market group for electricity, medium voltage</t>
  </si>
  <si>
    <t>market for steel, chromium steel 18/8</t>
  </si>
  <si>
    <t>market for battery, redox-flow, Vanadium</t>
  </si>
  <si>
    <t>battery, redox-flow, Vanadium</t>
  </si>
  <si>
    <t>Effective energy density: 19.4 W h/kg. Net capacity: 6 MWh</t>
  </si>
  <si>
    <t>bipolar plate production, for VRFB system</t>
  </si>
  <si>
    <t>bipolar plate, for VRFB system</t>
  </si>
  <si>
    <t>Table S1</t>
  </si>
  <si>
    <t>market for used redox-flow battery</t>
  </si>
  <si>
    <t>used redox-flow battery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</si>
</sst>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E+00"/>
  </numFmts>
  <fonts count="8" x14ac:knownFonts="1">
    <font>
      <sz val="12"/>
      <color theme="1"/>
      <name val="Calibri"/>
      <family val="2"/>
      <scheme val="minor"/>
    </font>
    <font>
      <sz val="11"/>
      <color theme="1"/>
      <name val="Calibri"/>
      <family val="2"/>
      <scheme val="minor"/>
    </font>
    <font>
      <b/>
      <sz val="12"/>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sz val="7"/>
      <color theme="1"/>
      <name val="Calibri"/>
      <family val="2"/>
      <scheme val="minor"/>
    </font>
    <font>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2" fillId="0" borderId="0" xfId="0" applyFont="1"/>
    <xf numFmtId="0" fontId="4" fillId="0" borderId="0" xfId="0" applyFont="1"/>
    <xf numFmtId="0" fontId="3" fillId="0" borderId="0" xfId="0" applyFont="1"/>
    <xf numFmtId="0" fontId="5" fillId="0" borderId="0" xfId="0" applyFont="1"/>
    <xf numFmtId="2" fontId="3" fillId="0" borderId="0" xfId="0" applyNumberFormat="1" applyFont="1"/>
    <xf numFmtId="11" fontId="3" fillId="0" borderId="0" xfId="0" applyNumberFormat="1" applyFont="1"/>
    <xf numFmtId="0" fontId="7" fillId="0" borderId="0" xfId="0" applyFont="1"/>
    <xf numFmtId="11"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4="http://schemas.openxmlformats.org/officeDocument/2006/relationships" ns1:Ignorable="x14ac xr xr2 xr3" ns2:uid="{2F1C5B3A-29A3-3D4D-87B5-E2283E6AD55F}">
  <dimension ref="A1:H490"/>
  <sheetViews>
    <sheetView tabSelected="1" topLeftCell="A446" workbookViewId="0">
      <selection activeCell="B472" sqref="B472"/>
    </sheetView>
  </sheetViews>
  <sheetFormatPr baseColWidth="10" defaultColWidth="11" defaultRowHeight="16" ns3:dyDescent="0.2"/>
  <cols>
    <col min="1" max="1" width="63" customWidth="1"/>
    <col min="2" max="2" width="12.1640625" bestFit="1" customWidth="1"/>
    <col min="3" max="3" width="34.33203125" customWidth="1"/>
    <col min="6" max="6" width="11.5" bestFit="1" customWidth="1"/>
    <col min="7" max="7" width="28.1640625" bestFit="1" customWidth="1"/>
    <col min="8" max="8" width="23.6640625" bestFit="1" customWidth="1"/>
  </cols>
  <sheetData>
    <row r="1" spans="1:15" ns3:dyDescent="0.2">
      <c r="A1" s="1" t="s">
        <v>0</v>
      </c>
      <c r="B1" s="1" t="s">
        <v>57</v>
      </c>
    </row>
    <row r="3" spans="1:15" ns3:dyDescent="0.2">
      <c r="A3" s="1" t="s">
        <v>1</v>
      </c>
      <c r="B3" s="1" t="s">
        <v>18</v>
      </c>
      <c r="M3" t="s">
        <v>2</v>
      </c>
    </row>
    <row r="4" spans="1:15" ns3:dyDescent="0.2">
      <c r="A4" t="s">
        <v>3</v>
      </c>
      <c r="B4" t="s">
        <v>4</v>
      </c>
      <c r="M4" t="s">
        <v>2</v>
      </c>
    </row>
    <row r="5" spans="1:15" ns3:dyDescent="0.2">
      <c r="A5" t="s">
        <v>5</v>
      </c>
      <c r="B5">
        <v>1</v>
      </c>
      <c r="M5" t="s">
        <v>2</v>
      </c>
    </row>
    <row r="6" spans="1:15" ns3:dyDescent="0.2">
      <c r="A6" t="s">
        <v>6</v>
      </c>
      <c r="B6" t="s">
        <v>16</v>
      </c>
    </row>
    <row r="7" spans="1:15" ns3:dyDescent="0.2">
      <c r="A7" t="s">
        <v>7</v>
      </c>
      <c r="B7" t="s">
        <v>17</v>
      </c>
    </row>
    <row r="8" spans="1:15" ns3:dyDescent="0.2">
      <c r="A8" t="s">
        <v>8</v>
      </c>
      <c r="B8" t="s">
        <v>19</v>
      </c>
      <c r="M8" t="s">
        <v>2</v>
      </c>
    </row>
    <row r="9" spans="1:15" ns3:dyDescent="0.2">
      <c r="A9" t="s">
        <v>9</v>
      </c>
      <c r="B9" t="s">
        <v>10</v>
      </c>
      <c r="M9" t="s">
        <v>2</v>
      </c>
    </row>
    <row r="10" spans="1:15" ns3:dyDescent="0.2">
      <c r="A10" t="s">
        <v>11</v>
      </c>
      <c r="B10" t="s">
        <v>31</v>
      </c>
      <c r="M10" t="s">
        <v>2</v>
      </c>
    </row>
    <row r="11" spans="1:15" ns3:dyDescent="0.2">
      <c r="A11" s="1" t="s">
        <v>12</v>
      </c>
      <c r="M11" t="s">
        <v>2</v>
      </c>
    </row>
    <row r="12" spans="1:15" ns3:dyDescent="0.2">
      <c r="A12" s="1" t="s">
        <v>13</v>
      </c>
      <c r="B12" s="1" t="s">
        <v>14</v>
      </c>
      <c r="C12" s="1" t="s">
        <v>3</v>
      </c>
      <c r="D12" s="1" t="s">
        <v>11</v>
      </c>
      <c r="E12" s="1" t="s">
        <v>15</v>
      </c>
      <c r="F12" s="1" t="s">
        <v>9</v>
      </c>
      <c r="G12" s="1" t="s">
        <v>8</v>
      </c>
      <c r="H12" s="1" t="s">
        <v>6</v>
      </c>
    </row>
    <row r="13" spans="1:15" ns3:dyDescent="0.2">
      <c r="A13" t="s">
        <v>18</v>
      </c>
      <c r="B13">
        <v>1</v>
      </c>
      <c r="C13" t="s">
        <v>4</v>
      </c>
      <c r="D13" s="3" t="s">
        <v>31</v>
      </c>
      <c r="F13" t="s">
        <v>33</v>
      </c>
      <c r="G13" t="s">
        <v>19</v>
      </c>
    </row>
    <row r="14" spans="1:15" ns3:dyDescent="0.2">
      <c r="A14" s="3" t="s">
        <v>34</v>
      </c>
      <c r="B14" s="5">
        <v>1.3</v>
      </c>
      <c r="C14" t="s">
        <v>28</v>
      </c>
      <c r="D14" s="3" t="s">
        <v>31</v>
      </c>
      <c r="F14" s="3" t="s">
        <v>30</v>
      </c>
      <c r="G14" s="3" t="s">
        <v>39</v>
      </c>
      <c r="H14" s="3" t="s">
        <v>20</v>
      </c>
      <c r="I14" s="2"/>
      <c r="J14" s="2"/>
      <c r="K14" s="2"/>
      <c r="L14" s="2"/>
      <c r="M14" s="2"/>
      <c r="N14" s="2"/>
      <c r="O14" s="2"/>
    </row>
    <row r="15" spans="1:15" ns3:dyDescent="0.2">
      <c r="A15" s="3" t="s">
        <v>35</v>
      </c>
      <c r="B15" s="5">
        <v>0.5</v>
      </c>
      <c r="C15" t="s">
        <v>4</v>
      </c>
      <c r="D15" s="3" t="s">
        <v>31</v>
      </c>
      <c r="F15" s="3" t="s">
        <v>30</v>
      </c>
      <c r="G15" s="3" t="s">
        <v>40</v>
      </c>
      <c r="H15" s="3" t="s">
        <v>21</v>
      </c>
      <c r="I15" s="4"/>
      <c r="M15" s="3"/>
      <c r="N15" s="3"/>
      <c r="O15" s="3"/>
    </row>
    <row r="16" spans="1:15" ns3:dyDescent="0.2">
      <c r="A16" s="3" t="s">
        <v>36</v>
      </c>
      <c r="B16" s="5">
        <v>3.2</v>
      </c>
      <c r="C16" t="s">
        <v>28</v>
      </c>
      <c r="D16" s="3" t="s">
        <v>31</v>
      </c>
      <c r="F16" s="3" t="s">
        <v>30</v>
      </c>
      <c r="G16" s="3" t="s">
        <v>41</v>
      </c>
      <c r="H16" s="3" t="s">
        <v>22</v>
      </c>
      <c r="M16" s="3"/>
      <c r="N16" s="3"/>
    </row>
    <row r="17" spans="1:15" ns3:dyDescent="0.2">
      <c r="A17" s="3" t="s">
        <v>277</v>
      </c>
      <c r="B17" s="5">
        <v>3</v>
      </c>
      <c r="C17" t="s">
        <v>4</v>
      </c>
      <c r="D17" s="3" t="s">
        <v>31</v>
      </c>
      <c r="F17" s="3" t="s">
        <v>30</v>
      </c>
      <c r="G17" s="3" t="s">
        <v>278</v>
      </c>
      <c r="H17" s="3" t="s">
        <v>23</v>
      </c>
      <c r="M17" s="3"/>
      <c r="N17" s="3"/>
    </row>
    <row r="18" spans="1:15" ns3:dyDescent="0.2">
      <c r="A18" s="3" t="s">
        <v>279</v>
      </c>
      <c r="B18" s="5">
        <v>0.6</v>
      </c>
      <c r="C18" t="s">
        <v>28</v>
      </c>
      <c r="D18" s="3" t="s">
        <v>31</v>
      </c>
      <c r="F18" s="3" t="s">
        <v>30</v>
      </c>
      <c r="G18" s="3" t="s">
        <v>280</v>
      </c>
      <c r="H18" s="3" t="s">
        <v>24</v>
      </c>
      <c r="M18" s="3"/>
      <c r="N18" s="3"/>
    </row>
    <row r="19" spans="1:15" ns3:dyDescent="0.2">
      <c r="A19" s="3" t="s">
        <v>37</v>
      </c>
      <c r="B19" s="5">
        <v>0.11</v>
      </c>
      <c r="C19" t="s">
        <v>28</v>
      </c>
      <c r="D19" s="3" t="s">
        <v>31</v>
      </c>
      <c r="F19" s="3" t="s">
        <v>30</v>
      </c>
      <c r="G19" s="3" t="s">
        <v>42</v>
      </c>
      <c r="H19" s="3" t="s">
        <v>25</v>
      </c>
      <c r="M19" s="3"/>
      <c r="N19" s="3"/>
    </row>
    <row r="20" spans="1:15" ns3:dyDescent="0.2">
      <c r="A20" s="3" t="s">
        <v>281</v>
      </c>
      <c r="B20" s="5">
        <v>4.0000000000000001E-10</v>
      </c>
      <c r="C20" t="s">
        <v>4</v>
      </c>
      <c r="D20" s="3" t="s">
        <v>11</v>
      </c>
      <c r="F20" s="3" t="s">
        <v>30</v>
      </c>
      <c r="G20" s="3" t="s">
        <v>38</v>
      </c>
      <c r="H20" s="3" t="s">
        <v>26</v>
      </c>
      <c r="M20" s="3"/>
      <c r="N20" s="3"/>
    </row>
    <row r="21" spans="1:15" ns3:dyDescent="0.2">
      <c r="A21" s="3" t="s">
        <v>282</v>
      </c>
      <c r="B21" s="5">
        <v>39.31</v>
      </c>
      <c r="C21" t="s">
        <v>29</v>
      </c>
      <c r="D21" s="3" t="s">
        <v>32</v>
      </c>
      <c r="F21" s="3" t="s">
        <v>30</v>
      </c>
      <c r="G21" s="3" t="s">
        <v>283</v>
      </c>
      <c r="H21" s="3" t="s">
        <v>27</v>
      </c>
      <c r="M21" s="3"/>
      <c r="N21" s="3"/>
    </row>
    <row r="22" spans="1:15" ns3:dyDescent="0.2">
      <c r="A22" s="3" t="s">
        <v>284</v>
      </c>
      <c r="B22" s="3">
        <v>0.87</v>
      </c>
      <c r="C22" t="s">
        <v>4</v>
      </c>
      <c r="D22" s="3" t="s">
        <v>49</v>
      </c>
      <c r="F22" s="3" t="s">
        <v>30</v>
      </c>
      <c r="G22" s="3" t="s">
        <v>285</v>
      </c>
      <c r="K22" s="3"/>
      <c r="L22" s="3"/>
      <c r="M22" s="3"/>
      <c r="N22" s="3"/>
      <c r="O22" s="3"/>
    </row>
    <row r="23" spans="1:15" ns3:dyDescent="0.2">
      <c r="A23" s="3" t="s">
        <v>286</v>
      </c>
      <c r="B23" s="3">
        <v>5.22</v>
      </c>
      <c r="C23" t="s">
        <v>29</v>
      </c>
      <c r="D23" s="3" t="s">
        <v>49</v>
      </c>
      <c r="F23" s="3" t="s">
        <v>30</v>
      </c>
      <c r="G23" s="3" t="s">
        <v>287</v>
      </c>
      <c r="K23" s="3"/>
      <c r="L23" s="3"/>
      <c r="M23" s="3"/>
      <c r="N23" s="3"/>
    </row>
    <row r="24" spans="1:15" ns3:dyDescent="0.2">
      <c r="A24" s="3" t="s">
        <v>276</v>
      </c>
      <c r="B24" s="3">
        <v>2.36</v>
      </c>
      <c r="D24" s="3" t="s">
        <v>31</v>
      </c>
      <c r="E24" t="s">
        <v>52</v>
      </c>
      <c r="F24" s="3" t="s">
        <v>56</v>
      </c>
      <c r="H24" s="3" t="s">
        <v>43</v>
      </c>
      <c r="I24" s="2"/>
      <c r="J24" s="3"/>
      <c r="K24" s="4"/>
      <c r="O24" s="3"/>
    </row>
    <row r="25" spans="1:15" ns3:dyDescent="0.2">
      <c r="A25" s="3" t="s">
        <v>55</v>
      </c>
      <c r="B25" s="3">
        <v>1.87</v>
      </c>
      <c r="D25" s="3" t="s">
        <v>31</v>
      </c>
      <c r="E25" t="s">
        <v>51</v>
      </c>
      <c r="F25" s="3" t="s">
        <v>56</v>
      </c>
      <c r="H25" s="3" t="s">
        <v>44</v>
      </c>
      <c r="I25" s="3"/>
      <c r="J25" s="3"/>
      <c r="K25" s="3"/>
      <c r="L25" s="3"/>
      <c r="M25" s="3"/>
      <c r="N25" s="3"/>
    </row>
    <row r="26" spans="1:15" ns3:dyDescent="0.2">
      <c r="A26" s="3" t="s">
        <v>50</v>
      </c>
      <c r="B26" s="6">
        <v>8.8800000000000004E-2</v>
      </c>
      <c r="D26" s="3" t="s">
        <v>31</v>
      </c>
      <c r="E26" t="s">
        <v>51</v>
      </c>
      <c r="F26" s="3" t="s">
        <v>56</v>
      </c>
      <c r="H26" s="3" t="s">
        <v>45</v>
      </c>
      <c r="I26" s="3"/>
      <c r="J26" s="3"/>
      <c r="K26" s="3"/>
      <c r="L26" s="3"/>
      <c r="M26" s="3"/>
      <c r="N26" s="3"/>
    </row>
    <row r="27" spans="1:15" ns3:dyDescent="0.2">
      <c r="A27" s="3" t="s">
        <v>288</v>
      </c>
      <c r="B27" s="3">
        <v>-2.81</v>
      </c>
      <c r="C27" t="s">
        <v>29</v>
      </c>
      <c r="D27" s="3" t="s">
        <v>31</v>
      </c>
      <c r="F27" s="3" t="s">
        <v>30</v>
      </c>
      <c r="G27" s="3" t="s">
        <v>53</v>
      </c>
      <c r="H27" s="3" t="s">
        <v>46</v>
      </c>
      <c r="I27" s="3"/>
      <c r="J27" s="3"/>
      <c r="K27" s="3"/>
      <c r="L27" s="3"/>
      <c r="M27" s="3"/>
      <c r="N27" s="3"/>
    </row>
    <row r="28" spans="1:15" ns3:dyDescent="0.2">
      <c r="A28" s="3" t="s">
        <v>289</v>
      </c>
      <c r="B28" s="3">
        <v>-0.11</v>
      </c>
      <c r="C28" t="s">
        <v>290</v>
      </c>
      <c r="D28" s="3" t="s">
        <v>31</v>
      </c>
      <c r="F28" s="3" t="s">
        <v>30</v>
      </c>
      <c r="G28" s="3" t="s">
        <v>99</v>
      </c>
      <c r="H28" s="3" t="s">
        <v>47</v>
      </c>
      <c r="I28" s="3"/>
      <c r="J28" s="3"/>
      <c r="K28" s="3"/>
      <c r="L28" s="3"/>
      <c r="M28" s="3"/>
      <c r="N28" s="3"/>
    </row>
    <row r="29" spans="1:15" ns3:dyDescent="0.2">
      <c r="A29" s="3" t="s">
        <v>291</v>
      </c>
      <c r="B29" s="3">
        <v>-0.38</v>
      </c>
      <c r="C29" t="s">
        <v>29</v>
      </c>
      <c r="D29" s="3" t="s">
        <v>31</v>
      </c>
      <c r="F29" s="3" t="s">
        <v>30</v>
      </c>
      <c r="G29" s="3" t="s">
        <v>54</v>
      </c>
      <c r="H29" s="3" t="s">
        <v>48</v>
      </c>
      <c r="I29" s="2"/>
      <c r="J29" s="2"/>
      <c r="K29" s="3"/>
      <c r="L29" s="3"/>
      <c r="M29" s="3"/>
      <c r="N29" s="3"/>
    </row>
    <row r="30" spans="1:15" ns3:dyDescent="0.2">
      <c r="K30" s="3"/>
      <c r="L30" s="3"/>
      <c r="M30" s="3"/>
      <c r="N30" s="3"/>
    </row>
    <row r="31" spans="1:15" ns3:dyDescent="0.2">
      <c r="A31" s="1" t="s">
        <v>1</v>
      </c>
      <c r="B31" s="1" t="s">
        <v>67</v>
      </c>
      <c r="M31" t="s">
        <v>2</v>
      </c>
    </row>
    <row r="32" spans="1:15" ns3:dyDescent="0.2">
      <c r="A32" t="s">
        <v>3</v>
      </c>
      <c r="B32" t="s">
        <v>4</v>
      </c>
      <c r="M32" t="s">
        <v>2</v>
      </c>
    </row>
    <row r="33" spans="1:13" ns3:dyDescent="0.2">
      <c r="A33" t="s">
        <v>5</v>
      </c>
      <c r="B33">
        <v>1</v>
      </c>
      <c r="M33" t="s">
        <v>2</v>
      </c>
    </row>
    <row r="34" spans="1:13" ns3:dyDescent="0.2">
      <c r="A34" t="s">
        <v>6</v>
      </c>
      <c r="B34" t="s">
        <v>58</v>
      </c>
    </row>
    <row r="35" spans="1:13" ns3:dyDescent="0.2">
      <c r="A35" t="s">
        <v>7</v>
      </c>
      <c r="B35" t="s">
        <v>17</v>
      </c>
    </row>
    <row r="36" spans="1:13" ns3:dyDescent="0.2">
      <c r="A36" t="s">
        <v>8</v>
      </c>
      <c r="B36" t="s">
        <v>68</v>
      </c>
      <c r="M36" t="s">
        <v>2</v>
      </c>
    </row>
    <row r="37" spans="1:13" ns3:dyDescent="0.2">
      <c r="A37" t="s">
        <v>9</v>
      </c>
      <c r="B37" t="s">
        <v>10</v>
      </c>
      <c r="M37" t="s">
        <v>2</v>
      </c>
    </row>
    <row r="38" spans="1:13" ns3:dyDescent="0.2">
      <c r="A38" t="s">
        <v>11</v>
      </c>
      <c r="B38" t="s">
        <v>31</v>
      </c>
      <c r="M38" t="s">
        <v>2</v>
      </c>
    </row>
    <row r="39" spans="1:13" ns3:dyDescent="0.2">
      <c r="A39" s="1" t="s">
        <v>12</v>
      </c>
      <c r="M39" t="s">
        <v>2</v>
      </c>
    </row>
    <row r="40" spans="1:13" ns3:dyDescent="0.2">
      <c r="A40" s="1" t="s">
        <v>13</v>
      </c>
      <c r="B40" s="1" t="s">
        <v>14</v>
      </c>
      <c r="C40" s="1" t="s">
        <v>3</v>
      </c>
      <c r="D40" s="1" t="s">
        <v>11</v>
      </c>
      <c r="E40" s="1" t="s">
        <v>15</v>
      </c>
      <c r="F40" s="1" t="s">
        <v>9</v>
      </c>
      <c r="G40" s="1" t="s">
        <v>8</v>
      </c>
      <c r="H40" s="1" t="s">
        <v>6</v>
      </c>
    </row>
    <row r="41" spans="1:13" ns3:dyDescent="0.2">
      <c r="A41" t="str">
        <f>B31</f>
        <v>polyacrylonitrile-based electrode production, for VRFB system</v>
      </c>
      <c r="B41">
        <v>1</v>
      </c>
      <c r="C41" t="s">
        <v>4</v>
      </c>
      <c r="D41" t="s">
        <v>31</v>
      </c>
      <c r="F41" t="s">
        <v>33</v>
      </c>
      <c r="G41" t="str">
        <f>B36</f>
        <v>polyacrylonitrile-based electrode, for VFRB system</v>
      </c>
      <c r="I41" s="4"/>
    </row>
    <row r="42" spans="1:13" ns3:dyDescent="0.2">
      <c r="A42" s="3" t="s">
        <v>292</v>
      </c>
      <c r="B42" s="3">
        <v>2</v>
      </c>
      <c r="C42" t="s">
        <v>4</v>
      </c>
      <c r="D42" t="s">
        <v>31</v>
      </c>
      <c r="F42" t="s">
        <v>30</v>
      </c>
      <c r="G42" t="s">
        <v>293</v>
      </c>
      <c r="H42" s="3" t="s">
        <v>59</v>
      </c>
      <c r="I42" s="3"/>
      <c r="J42" s="3"/>
      <c r="K42" s="3"/>
      <c r="L42" s="3"/>
    </row>
    <row r="43" spans="1:13" ns3:dyDescent="0.2">
      <c r="A43" s="3" t="s">
        <v>282</v>
      </c>
      <c r="B43" s="3">
        <v>0.87</v>
      </c>
      <c r="C43" t="s">
        <v>29</v>
      </c>
      <c r="D43" t="s">
        <v>32</v>
      </c>
      <c r="F43" t="s">
        <v>30</v>
      </c>
      <c r="G43" s="3" t="s">
        <v>283</v>
      </c>
      <c r="H43" s="3" t="s">
        <v>60</v>
      </c>
      <c r="I43" s="3"/>
      <c r="J43" s="3"/>
      <c r="K43" s="3"/>
      <c r="L43" s="3"/>
    </row>
    <row r="44" spans="1:13" ns3:dyDescent="0.2">
      <c r="A44" s="3" t="s">
        <v>282</v>
      </c>
      <c r="B44" s="3">
        <v>5.25</v>
      </c>
      <c r="C44" t="s">
        <v>29</v>
      </c>
      <c r="D44" t="s">
        <v>32</v>
      </c>
      <c r="F44" t="s">
        <v>30</v>
      </c>
      <c r="G44" s="3" t="s">
        <v>283</v>
      </c>
      <c r="H44" s="3" t="s">
        <v>61</v>
      </c>
      <c r="I44" s="3"/>
      <c r="J44" s="3"/>
      <c r="K44" s="3"/>
      <c r="L44" s="3"/>
    </row>
    <row r="45" spans="1:13" ns3:dyDescent="0.2">
      <c r="A45" s="3" t="s">
        <v>338</v>
      </c>
      <c r="B45" s="6">
        <v>7.9600000000000004E-2</v>
      </c>
      <c r="C45" t="s">
        <v>28</v>
      </c>
      <c r="D45" t="s">
        <v>32</v>
      </c>
      <c r="F45" t="s">
        <v>30</v>
      </c>
      <c r="G45" s="3" t="s">
        <v>339</v>
      </c>
      <c r="H45" s="3" t="s">
        <v>62</v>
      </c>
      <c r="I45" s="3"/>
      <c r="J45" s="3"/>
      <c r="K45" s="3"/>
      <c r="L45" s="3"/>
    </row>
    <row r="46" spans="1:13" ns3:dyDescent="0.2">
      <c r="A46" s="3" t="s">
        <v>50</v>
      </c>
      <c r="B46" s="3">
        <v>1.31</v>
      </c>
      <c r="D46" t="s">
        <v>31</v>
      </c>
      <c r="E46" t="s">
        <v>51</v>
      </c>
      <c r="F46" t="s">
        <v>56</v>
      </c>
      <c r="H46" s="3" t="s">
        <v>45</v>
      </c>
      <c r="I46" s="4"/>
    </row>
    <row r="47" spans="1:13" ns3:dyDescent="0.2">
      <c r="A47" s="3" t="s">
        <v>65</v>
      </c>
      <c r="B47" s="3">
        <v>0.67</v>
      </c>
      <c r="D47" t="s">
        <v>31</v>
      </c>
      <c r="E47" t="s">
        <v>51</v>
      </c>
      <c r="F47" t="s">
        <v>56</v>
      </c>
      <c r="H47" s="3" t="s">
        <v>63</v>
      </c>
      <c r="I47" s="3"/>
      <c r="J47" s="3"/>
      <c r="K47" s="3"/>
      <c r="L47" s="3"/>
    </row>
    <row r="48" spans="1:13" ns3:dyDescent="0.2">
      <c r="A48" s="3" t="s">
        <v>66</v>
      </c>
      <c r="B48" s="3">
        <f>0.66/1000</f>
        <v>6.6E-4</v>
      </c>
      <c r="D48" t="s">
        <v>85</v>
      </c>
      <c r="E48" t="s">
        <v>51</v>
      </c>
      <c r="F48" t="s">
        <v>56</v>
      </c>
      <c r="H48" s="3" t="s">
        <v>64</v>
      </c>
      <c r="I48" s="3"/>
      <c r="J48" s="3"/>
      <c r="K48" s="3"/>
      <c r="L48" s="3"/>
    </row>
    <row r="49" spans="1:13" ns3:dyDescent="0.2">
      <c r="I49" s="3"/>
      <c r="J49" s="3"/>
      <c r="K49" s="3"/>
      <c r="L49" s="3"/>
    </row>
    <row r="50" spans="1:13" ns3:dyDescent="0.2">
      <c r="A50" s="1" t="s">
        <v>1</v>
      </c>
      <c r="B50" s="1" t="s">
        <v>363</v>
      </c>
      <c r="M50" t="s">
        <v>2</v>
      </c>
    </row>
    <row r="51" spans="1:13" ns3:dyDescent="0.2">
      <c r="A51" t="s">
        <v>3</v>
      </c>
      <c r="B51" t="s">
        <v>4</v>
      </c>
      <c r="M51" t="s">
        <v>2</v>
      </c>
    </row>
    <row r="52" spans="1:13" ns3:dyDescent="0.2">
      <c r="A52" t="s">
        <v>5</v>
      </c>
      <c r="B52">
        <v>1</v>
      </c>
      <c r="M52" t="s">
        <v>2</v>
      </c>
    </row>
    <row r="53" spans="1:13" ns3:dyDescent="0.2">
      <c r="A53" t="s">
        <v>6</v>
      </c>
      <c r="B53" t="s">
        <v>69</v>
      </c>
    </row>
    <row r="54" spans="1:13" ns3:dyDescent="0.2">
      <c r="A54" t="s">
        <v>7</v>
      </c>
      <c r="B54" t="s">
        <v>17</v>
      </c>
    </row>
    <row r="55" spans="1:13" ns3:dyDescent="0.2">
      <c r="A55" t="s">
        <v>8</v>
      </c>
      <c r="B55" t="s">
        <v>364</v>
      </c>
      <c r="M55" t="s">
        <v>2</v>
      </c>
    </row>
    <row r="56" spans="1:13" ns3:dyDescent="0.2">
      <c r="A56" t="s">
        <v>9</v>
      </c>
      <c r="B56" t="s">
        <v>10</v>
      </c>
      <c r="M56" t="s">
        <v>2</v>
      </c>
    </row>
    <row r="57" spans="1:13" ns3:dyDescent="0.2">
      <c r="A57" t="s">
        <v>11</v>
      </c>
      <c r="B57" t="s">
        <v>31</v>
      </c>
      <c r="M57" t="s">
        <v>2</v>
      </c>
    </row>
    <row r="58" spans="1:13" ns3:dyDescent="0.2">
      <c r="A58" s="1" t="s">
        <v>12</v>
      </c>
      <c r="M58" t="s">
        <v>2</v>
      </c>
    </row>
    <row r="59" spans="1:13" ns3:dyDescent="0.2">
      <c r="A59" s="1" t="s">
        <v>13</v>
      </c>
      <c r="B59" s="1" t="s">
        <v>14</v>
      </c>
      <c r="C59" s="1" t="s">
        <v>3</v>
      </c>
      <c r="D59" s="1" t="s">
        <v>11</v>
      </c>
      <c r="E59" s="1" t="s">
        <v>15</v>
      </c>
      <c r="F59" s="1" t="s">
        <v>9</v>
      </c>
      <c r="G59" s="1" t="s">
        <v>8</v>
      </c>
      <c r="H59" s="1" t="s">
        <v>6</v>
      </c>
    </row>
    <row r="60" spans="1:13" ns3:dyDescent="0.2">
      <c r="A60" t="str">
        <f>B50</f>
        <v>bipolar plate production, for VRFB system</v>
      </c>
      <c r="B60">
        <v>1</v>
      </c>
      <c r="C60" t="s">
        <v>4</v>
      </c>
      <c r="D60" t="s">
        <v>31</v>
      </c>
      <c r="F60" t="s">
        <v>33</v>
      </c>
      <c r="G60" t="str">
        <f>B55</f>
        <v>bipolar plate, for VRFB system</v>
      </c>
      <c r="I60" s="4"/>
    </row>
    <row r="61" spans="1:13" ns3:dyDescent="0.2">
      <c r="A61" s="3" t="s">
        <v>86</v>
      </c>
      <c r="B61" s="3">
        <v>0.88</v>
      </c>
      <c r="C61" t="s">
        <v>28</v>
      </c>
      <c r="D61" t="s">
        <v>31</v>
      </c>
      <c r="F61" s="3" t="s">
        <v>30</v>
      </c>
      <c r="G61" s="3" t="s">
        <v>92</v>
      </c>
      <c r="H61" s="3" t="s">
        <v>70</v>
      </c>
      <c r="I61" s="3"/>
      <c r="J61" s="3"/>
      <c r="K61" s="3"/>
      <c r="L61" s="3"/>
    </row>
    <row r="62" spans="1:13" ns3:dyDescent="0.2">
      <c r="A62" s="3" t="s">
        <v>210</v>
      </c>
      <c r="B62" s="3">
        <v>0.14000000000000001</v>
      </c>
      <c r="C62" t="s">
        <v>28</v>
      </c>
      <c r="D62" t="s">
        <v>31</v>
      </c>
      <c r="F62" s="3" t="s">
        <v>30</v>
      </c>
      <c r="G62" s="3" t="s">
        <v>214</v>
      </c>
      <c r="H62" s="3" t="s">
        <v>71</v>
      </c>
      <c r="I62" s="3"/>
      <c r="J62" s="3"/>
      <c r="K62" s="3"/>
      <c r="L62" s="3"/>
    </row>
    <row r="63" spans="1:13" ns3:dyDescent="0.2">
      <c r="A63" s="3" t="s">
        <v>87</v>
      </c>
      <c r="B63" s="6">
        <v>2.2000000000000001E-4</v>
      </c>
      <c r="C63" t="s">
        <v>4</v>
      </c>
      <c r="D63" t="s">
        <v>31</v>
      </c>
      <c r="F63" s="3" t="s">
        <v>30</v>
      </c>
      <c r="G63" s="3" t="s">
        <v>93</v>
      </c>
      <c r="H63" s="3" t="s">
        <v>72</v>
      </c>
      <c r="I63" s="3"/>
      <c r="J63" s="3"/>
      <c r="K63" s="3"/>
      <c r="L63" s="3"/>
    </row>
    <row r="64" spans="1:13" ns3:dyDescent="0.2">
      <c r="A64" s="3" t="s">
        <v>88</v>
      </c>
      <c r="B64" s="6">
        <v>2.7999999999999998E-9</v>
      </c>
      <c r="C64" t="s">
        <v>28</v>
      </c>
      <c r="D64" s="3" t="s">
        <v>11</v>
      </c>
      <c r="F64" s="3" t="s">
        <v>30</v>
      </c>
      <c r="G64" s="3" t="s">
        <v>94</v>
      </c>
      <c r="H64" s="3" t="s">
        <v>26</v>
      </c>
      <c r="I64" s="3"/>
      <c r="J64" s="3"/>
      <c r="K64" s="3"/>
      <c r="L64" s="3"/>
    </row>
    <row r="65" spans="1:13" ns3:dyDescent="0.2">
      <c r="A65" s="3" t="s">
        <v>340</v>
      </c>
      <c r="B65" s="6">
        <v>4.3000000000000002E-5</v>
      </c>
      <c r="C65" t="s">
        <v>4</v>
      </c>
      <c r="D65" s="3" t="s">
        <v>85</v>
      </c>
      <c r="F65" s="3" t="s">
        <v>30</v>
      </c>
      <c r="G65" s="3" t="s">
        <v>341</v>
      </c>
      <c r="H65" s="3" t="s">
        <v>73</v>
      </c>
      <c r="I65" s="3"/>
      <c r="J65" s="3"/>
      <c r="K65" s="3"/>
      <c r="L65" s="3"/>
    </row>
    <row r="66" spans="1:13" ns3:dyDescent="0.2">
      <c r="A66" s="3" t="s">
        <v>89</v>
      </c>
      <c r="B66" s="6">
        <v>1.46E-2</v>
      </c>
      <c r="C66" t="s">
        <v>28</v>
      </c>
      <c r="D66" t="s">
        <v>31</v>
      </c>
      <c r="F66" s="3" t="s">
        <v>30</v>
      </c>
      <c r="G66" s="3" t="s">
        <v>95</v>
      </c>
      <c r="H66" s="3" t="s">
        <v>74</v>
      </c>
      <c r="I66" s="3"/>
      <c r="J66" s="3"/>
      <c r="K66" s="3"/>
      <c r="L66" s="3"/>
    </row>
    <row r="67" spans="1:13" ns3:dyDescent="0.2">
      <c r="A67" s="3" t="s">
        <v>90</v>
      </c>
      <c r="B67" s="6">
        <v>2.8800000000000002E-3</v>
      </c>
      <c r="C67" t="s">
        <v>4</v>
      </c>
      <c r="D67" s="3" t="s">
        <v>11</v>
      </c>
      <c r="F67" s="3" t="s">
        <v>30</v>
      </c>
      <c r="G67" s="3" t="s">
        <v>96</v>
      </c>
      <c r="H67" s="3" t="s">
        <v>75</v>
      </c>
      <c r="I67" s="3"/>
      <c r="J67" s="3"/>
      <c r="K67" s="3"/>
      <c r="L67" s="3"/>
    </row>
    <row r="68" spans="1:13" ns3:dyDescent="0.2">
      <c r="A68" s="3" t="s">
        <v>322</v>
      </c>
      <c r="B68" s="6">
        <v>1.9599999999999999E-3</v>
      </c>
      <c r="C68" t="s">
        <v>4</v>
      </c>
      <c r="D68" t="s">
        <v>31</v>
      </c>
      <c r="F68" s="3" t="s">
        <v>30</v>
      </c>
      <c r="G68" s="3" t="s">
        <v>323</v>
      </c>
      <c r="H68" s="3" t="s">
        <v>76</v>
      </c>
      <c r="I68" s="3"/>
      <c r="J68" s="3"/>
      <c r="K68" s="3"/>
      <c r="L68" s="3"/>
    </row>
    <row r="69" spans="1:13" ns3:dyDescent="0.2">
      <c r="A69" s="3" t="s">
        <v>342</v>
      </c>
      <c r="B69" s="6">
        <v>8.7400000000000005E-2</v>
      </c>
      <c r="C69" t="s">
        <v>29</v>
      </c>
      <c r="D69" t="s">
        <v>31</v>
      </c>
      <c r="F69" s="3" t="s">
        <v>30</v>
      </c>
      <c r="G69" s="3" t="s">
        <v>343</v>
      </c>
      <c r="H69" s="3" t="s">
        <v>77</v>
      </c>
      <c r="I69" s="3"/>
      <c r="J69" s="3"/>
      <c r="K69" s="3"/>
      <c r="L69" s="3"/>
    </row>
    <row r="70" spans="1:13" ns3:dyDescent="0.2">
      <c r="A70" s="3" t="s">
        <v>91</v>
      </c>
      <c r="B70" s="3">
        <v>0.12</v>
      </c>
      <c r="C70" t="s">
        <v>4</v>
      </c>
      <c r="D70" t="s">
        <v>31</v>
      </c>
      <c r="F70" s="3" t="s">
        <v>30</v>
      </c>
      <c r="G70" s="3" t="s">
        <v>97</v>
      </c>
      <c r="H70" s="3" t="s">
        <v>78</v>
      </c>
      <c r="I70" s="3"/>
      <c r="J70" s="3"/>
      <c r="K70" s="3"/>
      <c r="L70" s="3"/>
    </row>
    <row r="71" spans="1:13" ns3:dyDescent="0.2">
      <c r="A71" s="3" t="s">
        <v>282</v>
      </c>
      <c r="B71" s="3">
        <v>0.42</v>
      </c>
      <c r="C71" t="s">
        <v>29</v>
      </c>
      <c r="D71" s="3" t="s">
        <v>32</v>
      </c>
      <c r="F71" s="3" t="s">
        <v>30</v>
      </c>
      <c r="G71" s="3" t="s">
        <v>283</v>
      </c>
      <c r="H71" s="3" t="s">
        <v>79</v>
      </c>
      <c r="I71" s="3"/>
      <c r="J71" s="3"/>
      <c r="K71" s="3"/>
      <c r="L71" s="3"/>
    </row>
    <row r="72" spans="1:13" ns3:dyDescent="0.2">
      <c r="A72" s="3" t="s">
        <v>282</v>
      </c>
      <c r="B72" s="3">
        <v>1.2</v>
      </c>
      <c r="C72" t="s">
        <v>29</v>
      </c>
      <c r="D72" s="3" t="s">
        <v>32</v>
      </c>
      <c r="F72" s="3" t="s">
        <v>30</v>
      </c>
      <c r="G72" s="3" t="s">
        <v>283</v>
      </c>
      <c r="H72" s="3" t="s">
        <v>79</v>
      </c>
      <c r="I72" s="3"/>
      <c r="J72" s="3"/>
      <c r="K72" s="3"/>
      <c r="L72" s="3"/>
    </row>
    <row r="73" spans="1:13" ns3:dyDescent="0.2">
      <c r="A73" s="3" t="s">
        <v>358</v>
      </c>
      <c r="B73" s="3">
        <v>1.32</v>
      </c>
      <c r="C73" s="7" t="s">
        <v>4</v>
      </c>
      <c r="D73" s="3" t="s">
        <v>84</v>
      </c>
      <c r="F73" s="3" t="s">
        <v>30</v>
      </c>
      <c r="G73" s="3" t="s">
        <v>98</v>
      </c>
      <c r="H73" s="3" t="s">
        <v>80</v>
      </c>
      <c r="I73" s="3"/>
      <c r="J73" s="3"/>
      <c r="K73" s="3"/>
      <c r="L73" s="3"/>
    </row>
    <row r="74" spans="1:13" ns3:dyDescent="0.2">
      <c r="A74" s="3" t="s">
        <v>344</v>
      </c>
      <c r="B74" s="3">
        <v>0.1</v>
      </c>
      <c r="C74" t="s">
        <v>4</v>
      </c>
      <c r="D74" s="3" t="s">
        <v>49</v>
      </c>
      <c r="F74" s="3" t="s">
        <v>30</v>
      </c>
      <c r="G74" s="3" t="s">
        <v>345</v>
      </c>
      <c r="H74" s="3" t="s">
        <v>81</v>
      </c>
      <c r="I74" s="3"/>
      <c r="J74" s="3"/>
      <c r="K74" s="3"/>
      <c r="L74" s="3"/>
    </row>
    <row r="75" spans="1:13" ns3:dyDescent="0.2">
      <c r="A75" s="3" t="s">
        <v>286</v>
      </c>
      <c r="B75" s="3">
        <v>0.21</v>
      </c>
      <c r="C75" s="7" t="s">
        <v>29</v>
      </c>
      <c r="D75" s="3" t="s">
        <v>49</v>
      </c>
      <c r="F75" s="3" t="s">
        <v>30</v>
      </c>
      <c r="G75" s="3" t="s">
        <v>287</v>
      </c>
      <c r="H75" s="3" t="s">
        <v>82</v>
      </c>
      <c r="I75" s="3"/>
      <c r="J75" s="3"/>
      <c r="K75" s="3"/>
      <c r="L75" s="3"/>
    </row>
    <row r="76" spans="1:13" ns3:dyDescent="0.2">
      <c r="A76" s="3" t="s">
        <v>289</v>
      </c>
      <c r="B76" s="6">
        <v>-2.5000000000000001E-2</v>
      </c>
      <c r="C76" t="s">
        <v>290</v>
      </c>
      <c r="D76" t="s">
        <v>31</v>
      </c>
      <c r="F76" s="3" t="s">
        <v>30</v>
      </c>
      <c r="G76" s="3" t="s">
        <v>99</v>
      </c>
      <c r="H76" s="3" t="s">
        <v>47</v>
      </c>
      <c r="I76" s="4"/>
    </row>
    <row r="77" spans="1:13" ns3:dyDescent="0.2">
      <c r="I77" s="3"/>
      <c r="J77" s="3"/>
      <c r="K77" s="3"/>
      <c r="L77" s="3"/>
    </row>
    <row r="78" spans="1:13" ns3:dyDescent="0.2">
      <c r="A78" s="1" t="s">
        <v>1</v>
      </c>
      <c r="B78" s="1" t="s">
        <v>100</v>
      </c>
      <c r="M78" t="s">
        <v>2</v>
      </c>
    </row>
    <row r="79" spans="1:13" ns3:dyDescent="0.2">
      <c r="A79" t="s">
        <v>3</v>
      </c>
      <c r="B79" t="s">
        <v>4</v>
      </c>
      <c r="M79" t="s">
        <v>2</v>
      </c>
    </row>
    <row r="80" spans="1:13" ns3:dyDescent="0.2">
      <c r="A80" t="s">
        <v>5</v>
      </c>
      <c r="B80">
        <v>1</v>
      </c>
      <c r="M80" t="s">
        <v>2</v>
      </c>
    </row>
    <row r="81" spans="1:13" ns3:dyDescent="0.2">
      <c r="A81" t="s">
        <v>6</v>
      </c>
      <c r="B81" t="s">
        <v>102</v>
      </c>
    </row>
    <row r="82" spans="1:13" ns3:dyDescent="0.2">
      <c r="A82" t="s">
        <v>7</v>
      </c>
      <c r="B82" t="s">
        <v>17</v>
      </c>
    </row>
    <row r="83" spans="1:13" ns3:dyDescent="0.2">
      <c r="A83" t="s">
        <v>8</v>
      </c>
      <c r="B83" t="s">
        <v>101</v>
      </c>
      <c r="M83" t="s">
        <v>2</v>
      </c>
    </row>
    <row r="84" spans="1:13" ns3:dyDescent="0.2">
      <c r="A84" t="s">
        <v>9</v>
      </c>
      <c r="B84" t="s">
        <v>10</v>
      </c>
      <c r="M84" t="s">
        <v>2</v>
      </c>
    </row>
    <row r="85" spans="1:13" ns3:dyDescent="0.2">
      <c r="A85" t="s">
        <v>11</v>
      </c>
      <c r="B85" t="s">
        <v>31</v>
      </c>
      <c r="M85" t="s">
        <v>2</v>
      </c>
    </row>
    <row r="86" spans="1:13" ns3:dyDescent="0.2">
      <c r="A86" s="1" t="s">
        <v>12</v>
      </c>
      <c r="M86" t="s">
        <v>2</v>
      </c>
    </row>
    <row r="87" spans="1:13" ns3:dyDescent="0.2">
      <c r="A87" s="1" t="s">
        <v>13</v>
      </c>
      <c r="B87" s="1" t="s">
        <v>14</v>
      </c>
      <c r="C87" s="1" t="s">
        <v>3</v>
      </c>
      <c r="D87" s="1" t="s">
        <v>11</v>
      </c>
      <c r="E87" s="1" t="s">
        <v>15</v>
      </c>
      <c r="F87" s="1" t="s">
        <v>9</v>
      </c>
      <c r="G87" s="1" t="s">
        <v>8</v>
      </c>
      <c r="H87" s="1" t="s">
        <v>6</v>
      </c>
    </row>
    <row r="88" spans="1:13" ns3:dyDescent="0.2">
      <c r="A88" t="str">
        <f>B78</f>
        <v>stack frame assembly, for VRFB system</v>
      </c>
      <c r="B88">
        <v>1</v>
      </c>
      <c r="C88" t="s">
        <v>4</v>
      </c>
      <c r="D88" t="s">
        <v>31</v>
      </c>
      <c r="F88" t="s">
        <v>33</v>
      </c>
      <c r="G88" t="str">
        <f>B83</f>
        <v>stack frame, for VRFB system</v>
      </c>
      <c r="I88" s="4"/>
    </row>
    <row r="89" spans="1:13" ns3:dyDescent="0.2">
      <c r="A89" s="3" t="s">
        <v>109</v>
      </c>
      <c r="B89" s="3">
        <v>1</v>
      </c>
      <c r="C89" t="s">
        <v>28</v>
      </c>
      <c r="D89" t="s">
        <v>31</v>
      </c>
      <c r="F89" t="s">
        <v>30</v>
      </c>
      <c r="G89" s="3" t="s">
        <v>296</v>
      </c>
      <c r="H89" s="3" t="s">
        <v>103</v>
      </c>
      <c r="I89" s="3"/>
      <c r="J89" s="3"/>
      <c r="K89" s="3"/>
      <c r="L89" s="3"/>
    </row>
    <row r="90" spans="1:13" ns3:dyDescent="0.2">
      <c r="A90" s="3" t="s">
        <v>346</v>
      </c>
      <c r="B90" s="3">
        <v>1</v>
      </c>
      <c r="C90" t="s">
        <v>28</v>
      </c>
      <c r="D90" t="s">
        <v>31</v>
      </c>
      <c r="F90" t="s">
        <v>30</v>
      </c>
      <c r="G90" s="3" t="s">
        <v>347</v>
      </c>
      <c r="H90" s="3" t="s">
        <v>104</v>
      </c>
      <c r="I90" s="3"/>
      <c r="J90" s="3"/>
      <c r="K90" s="3"/>
      <c r="L90" s="3"/>
    </row>
    <row r="91" spans="1:13" ns3:dyDescent="0.2">
      <c r="A91" s="3" t="s">
        <v>110</v>
      </c>
      <c r="B91" s="6">
        <v>3.2599999999999997E-2</v>
      </c>
      <c r="C91" t="s">
        <v>28</v>
      </c>
      <c r="D91" t="s">
        <v>108</v>
      </c>
      <c r="F91" t="s">
        <v>30</v>
      </c>
      <c r="G91" s="3" t="s">
        <v>297</v>
      </c>
      <c r="H91" s="3" t="s">
        <v>105</v>
      </c>
      <c r="I91" s="3"/>
      <c r="J91" s="3"/>
      <c r="K91" s="3"/>
      <c r="L91" s="3"/>
    </row>
    <row r="92" spans="1:13" ns3:dyDescent="0.2">
      <c r="A92" s="3" t="s">
        <v>344</v>
      </c>
      <c r="B92" s="3">
        <v>0.1</v>
      </c>
      <c r="C92" t="s">
        <v>4</v>
      </c>
      <c r="D92" t="s">
        <v>49</v>
      </c>
      <c r="F92" t="s">
        <v>30</v>
      </c>
      <c r="G92" s="3" t="s">
        <v>345</v>
      </c>
      <c r="H92" s="3" t="s">
        <v>106</v>
      </c>
      <c r="I92" s="3"/>
      <c r="J92" s="3"/>
      <c r="K92" s="3"/>
      <c r="L92" s="3"/>
    </row>
    <row r="93" spans="1:13" ns3:dyDescent="0.2">
      <c r="A93" s="3" t="s">
        <v>286</v>
      </c>
      <c r="B93" s="3">
        <v>0.2</v>
      </c>
      <c r="C93" t="s">
        <v>29</v>
      </c>
      <c r="D93" t="s">
        <v>49</v>
      </c>
      <c r="F93" t="s">
        <v>30</v>
      </c>
      <c r="G93" s="3" t="s">
        <v>287</v>
      </c>
      <c r="H93" s="3" t="s">
        <v>107</v>
      </c>
      <c r="I93" s="3"/>
      <c r="J93" s="3"/>
      <c r="K93" s="3"/>
      <c r="L93" s="3"/>
    </row>
    <row r="95" spans="1:13" ns3:dyDescent="0.2">
      <c r="A95" s="1" t="s">
        <v>1</v>
      </c>
      <c r="B95" s="1" t="s">
        <v>112</v>
      </c>
      <c r="M95" t="s">
        <v>2</v>
      </c>
    </row>
    <row r="96" spans="1:13" ns3:dyDescent="0.2">
      <c r="A96" t="s">
        <v>3</v>
      </c>
      <c r="B96" t="s">
        <v>4</v>
      </c>
      <c r="M96" t="s">
        <v>2</v>
      </c>
    </row>
    <row r="97" spans="1:13" ns3:dyDescent="0.2">
      <c r="A97" t="s">
        <v>5</v>
      </c>
      <c r="B97">
        <v>1</v>
      </c>
      <c r="M97" t="s">
        <v>2</v>
      </c>
    </row>
    <row r="98" spans="1:13" ns3:dyDescent="0.2">
      <c r="A98" t="s">
        <v>6</v>
      </c>
      <c r="B98" t="inlineStr">
        <is>
          <t>VRFB reference correction v1 (2026-10-17). Independent reconstruction: Oxkem VOS16 2024 electrolyte; Martin 2020 electrochemical reduction; Weber 2018 hardware and lifetime. Nominal capacity uses paired one-electron V charge at Li 2011's 1.25 V standard potential, an explicit reference assumption, not a measured discharge average. Legacy '8.3 MWh' activity name is an identifier, not the reconstructed capacity. The source archive's unspecified remaining-error warning is unresolved; no archive processes are copied. See data/battery/vanadium_reference_design.json and stationary battery documentation for calculations and coverage gaps. Fixed design at all years, no imposed primary/secondary-share change.</t>
        </is>
      </c>
    </row>
    <row r="99" spans="1:13" ns3:dyDescent="0.2">
      <c r="A99" t="s">
        <v>7</v>
      </c>
      <c r="B99" t="s">
        <v>17</v>
      </c>
    </row>
    <row r="100" spans="1:13" ns3:dyDescent="0.2">
      <c r="A100" t="s">
        <v>8</v>
      </c>
      <c r="B100" t="s">
        <v>111</v>
      </c>
      <c r="M100" t="s">
        <v>2</v>
      </c>
    </row>
    <row r="101" spans="1:13" ns3:dyDescent="0.2">
      <c r="A101" t="s">
        <v>9</v>
      </c>
      <c r="B101" t="s">
        <v>10</v>
      </c>
      <c r="M101" t="s">
        <v>2</v>
      </c>
    </row>
    <row r="102" spans="1:13" ns3:dyDescent="0.2">
      <c r="A102" t="s">
        <v>11</v>
      </c>
      <c r="B102" t="s">
        <v>31</v>
      </c>
      <c r="M102" t="s">
        <v>2</v>
      </c>
    </row>
    <row r="103" spans="1:13" ns3:dyDescent="0.2">
      <c r="A103" s="1" t="s">
        <v>12</v>
      </c>
      <c r="M103" t="s">
        <v>2</v>
      </c>
    </row>
    <row r="104" spans="1:13" ns3:dyDescent="0.2">
      <c r="A104" s="1" t="s">
        <v>13</v>
      </c>
      <c r="B104" s="1" t="s">
        <v>14</v>
      </c>
      <c r="C104" s="1" t="s">
        <v>3</v>
      </c>
      <c r="D104" s="1" t="s">
        <v>11</v>
      </c>
      <c r="E104" s="1" t="s">
        <v>15</v>
      </c>
      <c r="F104" s="1" t="s">
        <v>9</v>
      </c>
      <c r="G104" s="1" t="s">
        <v>8</v>
      </c>
      <c r="H104" s="1" t="s">
        <v>6</v>
      </c>
    </row>
    <row r="105" spans="1:13" ns3:dyDescent="0.2">
      <c r="A105" t="str">
        <f>B95</f>
        <v>vanadium electrolyte solution production</v>
      </c>
      <c r="B105">
        <v>1</v>
      </c>
      <c r="C105" t="s">
        <v>4</v>
      </c>
      <c r="D105" t="s">
        <v>31</v>
      </c>
      <c r="F105" t="s">
        <v>33</v>
      </c>
      <c r="G105" t="str">
        <f>B100</f>
        <v>vanadium electrolyte solution</v>
      </c>
      <c r="I105" s="3"/>
      <c r="J105" s="3"/>
      <c r="K105" s="3"/>
      <c r="L105" s="3"/>
    </row>
    <row r="106" spans="1:13" ns3:dyDescent="0.2">
      <c r="A106" s="3" t="s">
        <v>122</v>
      </c>
      <c r="B106" s="3">
        <v>0.10698705882352941</v>
      </c>
      <c r="C106" t="s">
        <v>124</v>
      </c>
      <c r="D106" t="s">
        <v>31</v>
      </c>
      <c r="F106" t="s">
        <v>30</v>
      </c>
      <c r="G106" s="3" t="s">
        <v>123</v>
      </c>
      <c r="H106" s="3" t="s">
        <v>114</v>
      </c>
      <c r="I106" s="3"/>
      <c r="J106" s="3"/>
      <c r="K106" s="3"/>
      <c r="L106" s="3"/>
    </row>
    <row r="107" spans="1:13" ns3:dyDescent="0.2">
      <c r="A107" s="3" t="s">
        <v>120</v>
      </c>
      <c r="B107" s="3">
        <v>0.3028910294117647</v>
      </c>
      <c r="C107" t="s">
        <v>4</v>
      </c>
      <c r="D107" t="s">
        <v>31</v>
      </c>
      <c r="F107" t="s">
        <v>30</v>
      </c>
      <c r="G107" s="3" t="s">
        <v>121</v>
      </c>
      <c r="H107" s="3" t="s">
        <v>115</v>
      </c>
      <c r="I107" s="3"/>
      <c r="J107" s="3"/>
      <c r="K107" s="3"/>
      <c r="L107" s="3"/>
    </row>
    <row r="108" spans="1:13" ns3:dyDescent="0.2">
      <c r="A108" s="3" t="s">
        <v>348</v>
      </c>
      <c r="B108" s="6">
        <v>0.0036027205882352936</v>
      </c>
      <c r="C108" t="s">
        <v>28</v>
      </c>
      <c r="D108" t="s">
        <v>31</v>
      </c>
      <c r="F108" t="s">
        <v>30</v>
      </c>
      <c r="G108" s="3" t="s">
        <v>349</v>
      </c>
      <c r="H108" s="3" t="s">
        <v>116</v>
      </c>
      <c r="I108" s="3"/>
      <c r="J108" s="3"/>
      <c r="K108" s="3"/>
      <c r="L108" s="3"/>
    </row>
    <row r="109" spans="1:13" ns3:dyDescent="0.2">
      <c r="A109" s="3" t="inlineStr">
        <is>
          <t>vanadium electrolyte conditioning, reference design</t>
        </is>
      </c>
      <c r="B109" s="3">
        <v>1</v>
      </c>
      <c r="C109" t="inlineStr">
        <is>
          <t>RER</t>
        </is>
      </c>
      <c r="D109" t="inlineStr">
        <is>
          <t>unit</t>
        </is>
      </c>
      <c r="F109" t="s">
        <v>30</v>
      </c>
      <c r="G109" s="3" t="inlineStr">
        <is>
          <t>vanadium electrolyte conditioning, reference design</t>
        </is>
      </c>
      <c r="H109" s="3" t="inlineStr">
        <is>
          <t>Conditioning service per kg final electrolyte: make-up water, V reduction electricity and O2 output. Materials remain separate.</t>
        </is>
      </c>
      <c r="I109" s="3"/>
      <c r="J109" s="3"/>
      <c r="K109" s="3"/>
      <c r="L109" s="3"/>
    </row>
    <row r="110" spans="1:13" ns3:dyDescent="0.2">
      <c r="A110" s="3" t="s">
        <v>344</v>
      </c>
      <c r="B110" s="3">
        <v>0.007481612505141917</v>
      </c>
      <c r="C110" t="s">
        <v>4</v>
      </c>
      <c r="D110" s="3" t="s">
        <v>49</v>
      </c>
      <c r="F110" t="s">
        <v>30</v>
      </c>
      <c r="G110" s="3" t="s">
        <v>345</v>
      </c>
      <c r="H110" s="3" t="inlineStr">
        <is>
          <t>Historical S8 route-distance proxy, scaled with the corrected V2O5 shipment mass, per kg final solution.</t>
        </is>
      </c>
      <c r="I110" s="3"/>
      <c r="J110" s="3"/>
      <c r="K110" s="3"/>
      <c r="L110" s="3"/>
    </row>
    <row r="111" spans="1:13" ns3:dyDescent="0.2">
      <c r="A111" s="3" t="s">
        <v>286</v>
      </c>
      <c r="B111" s="3">
        <v>0.045263755656108594</v>
      </c>
      <c r="C111" t="s">
        <v>29</v>
      </c>
      <c r="D111" s="3" t="s">
        <v>49</v>
      </c>
      <c r="F111" t="s">
        <v>30</v>
      </c>
      <c r="G111" s="3" t="s">
        <v>287</v>
      </c>
      <c r="H111" s="3" t="inlineStr">
        <is>
          <t>Historical S8 route-distance proxy, scaled with the corrected V2O5 shipment mass, per kg final solution.</t>
        </is>
      </c>
      <c r="I111" s="3"/>
      <c r="J111" s="3"/>
      <c r="K111" s="3"/>
      <c r="L111" s="3"/>
    </row>
    <row r="112" spans="1:13" ns3:dyDescent="0.2">
      <c r="A112" s="3" t="s">
        <v>350</v>
      </c>
      <c r="B112" s="3">
        <v>1.4263694241053064</v>
      </c>
      <c r="C112" t="s">
        <v>28</v>
      </c>
      <c r="D112" s="3" t="s">
        <v>49</v>
      </c>
      <c r="F112" t="s">
        <v>30</v>
      </c>
      <c r="G112" s="3" t="s">
        <v>351</v>
      </c>
      <c r="H112" s="3" t="inlineStr">
        <is>
          <t>Historical S8 route-distance proxy, scaled with the corrected V2O5 shipment mass, per kg final solution.</t>
        </is>
      </c>
      <c r="I112" s="3"/>
      <c r="J112" s="3"/>
      <c r="K112" s="3"/>
      <c r="L112" s="3"/>
    </row>
    <row r="113" spans="1:13" ns3:dyDescent="0.2">
      <c r="A113" s="3" t="s">
        <v>352</v>
      </c>
      <c r="B113" s="3">
        <v>0.06471594816947758</v>
      </c>
      <c r="C113" t="s">
        <v>4</v>
      </c>
      <c r="D113" s="3" t="s">
        <v>49</v>
      </c>
      <c r="F113" t="s">
        <v>30</v>
      </c>
      <c r="G113" s="3" t="s">
        <v>353</v>
      </c>
      <c r="H113" s="3" t="inlineStr">
        <is>
          <t>Historical S8 route-distance proxy, scaled with the corrected V2O5 shipment mass, per kg final solution.</t>
        </is>
      </c>
      <c r="I113" s="3"/>
      <c r="J113" s="3"/>
      <c r="K113" s="3"/>
      <c r="L113" s="3"/>
    </row>
    <row r="114" spans="1:13" ns3:dyDescent="0.2">
      <c r="A114" s="3" t="s">
        <v>284</v>
      </c>
      <c r="B114" s="3">
        <v>0.06995307692307692</v>
      </c>
      <c r="C114" t="s">
        <v>4</v>
      </c>
      <c r="D114" s="3" t="s">
        <v>49</v>
      </c>
      <c r="F114" t="s">
        <v>30</v>
      </c>
      <c r="G114" s="3" t="s">
        <v>285</v>
      </c>
      <c r="H114" s="3" t="inlineStr">
        <is>
          <t>Historical S8 route-distance proxy, scaled with the corrected V2O5 shipment mass, per kg final solution.</t>
        </is>
      </c>
    </row>
    <row r="116" spans="1:13" ns3:dyDescent="0.2">
      <c r="A116" s="1" t="s">
        <v>1</v>
      </c>
      <c r="B116" s="1" t="s">
        <v>134</v>
      </c>
      <c r="M116" t="s">
        <v>2</v>
      </c>
    </row>
    <row r="117" spans="1:13" ns3:dyDescent="0.2">
      <c r="A117" t="s">
        <v>3</v>
      </c>
      <c r="B117" t="s">
        <v>4</v>
      </c>
      <c r="M117" t="s">
        <v>2</v>
      </c>
    </row>
    <row r="118" spans="1:13" ns3:dyDescent="0.2">
      <c r="A118" t="s">
        <v>5</v>
      </c>
      <c r="B118">
        <v>1</v>
      </c>
      <c r="M118" t="s">
        <v>2</v>
      </c>
    </row>
    <row r="119" spans="1:13" ns3:dyDescent="0.2">
      <c r="A119" t="s">
        <v>6</v>
      </c>
      <c r="B119" t="s">
        <v>137</v>
      </c>
    </row>
    <row r="120" spans="1:13" ns3:dyDescent="0.2">
      <c r="A120" t="s">
        <v>7</v>
      </c>
      <c r="B120" t="s">
        <v>17</v>
      </c>
    </row>
    <row r="121" spans="1:13" ns3:dyDescent="0.2">
      <c r="A121" t="s">
        <v>8</v>
      </c>
      <c r="B121" t="s">
        <v>125</v>
      </c>
      <c r="M121" t="s">
        <v>2</v>
      </c>
    </row>
    <row r="122" spans="1:13" ns3:dyDescent="0.2">
      <c r="A122" t="s">
        <v>9</v>
      </c>
      <c r="B122" t="s">
        <v>10</v>
      </c>
      <c r="M122" t="s">
        <v>2</v>
      </c>
    </row>
    <row r="123" spans="1:13" ns3:dyDescent="0.2">
      <c r="A123" t="s">
        <v>11</v>
      </c>
      <c r="B123" t="s">
        <v>31</v>
      </c>
      <c r="M123" t="s">
        <v>2</v>
      </c>
    </row>
    <row r="124" spans="1:13" ns3:dyDescent="0.2">
      <c r="A124" s="1" t="s">
        <v>12</v>
      </c>
      <c r="M124" t="s">
        <v>2</v>
      </c>
    </row>
    <row r="125" spans="1:13" ns3:dyDescent="0.2">
      <c r="A125" s="1" t="s">
        <v>13</v>
      </c>
      <c r="B125" s="1" t="s">
        <v>14</v>
      </c>
      <c r="C125" s="1" t="s">
        <v>3</v>
      </c>
      <c r="D125" s="1" t="s">
        <v>11</v>
      </c>
      <c r="E125" s="1" t="s">
        <v>15</v>
      </c>
      <c r="F125" s="1" t="s">
        <v>9</v>
      </c>
      <c r="G125" s="1" t="s">
        <v>8</v>
      </c>
      <c r="H125" s="1" t="s">
        <v>6</v>
      </c>
    </row>
    <row r="126" spans="1:13" ns3:dyDescent="0.2">
      <c r="A126" t="str">
        <f>B116</f>
        <v>electrolyte tank production, for VRFB system</v>
      </c>
      <c r="B126">
        <v>1</v>
      </c>
      <c r="C126" t="s">
        <v>4</v>
      </c>
      <c r="D126" t="s">
        <v>31</v>
      </c>
      <c r="F126" t="s">
        <v>33</v>
      </c>
      <c r="G126" t="str">
        <f>B121</f>
        <v>electrolyte tank</v>
      </c>
      <c r="I126" s="3"/>
      <c r="J126" s="3"/>
      <c r="K126" s="3"/>
      <c r="L126" s="3"/>
    </row>
    <row r="127" spans="1:13" ns3:dyDescent="0.2">
      <c r="A127" s="3" t="s">
        <v>130</v>
      </c>
      <c r="B127" s="3">
        <v>0.41</v>
      </c>
      <c r="C127" t="s">
        <v>4</v>
      </c>
      <c r="D127" t="s">
        <v>31</v>
      </c>
      <c r="F127" t="s">
        <v>30</v>
      </c>
      <c r="G127" s="3" t="s">
        <v>132</v>
      </c>
      <c r="I127" s="3"/>
      <c r="J127" s="3"/>
      <c r="K127" s="3"/>
      <c r="L127" s="3"/>
    </row>
    <row r="128" spans="1:13" ns3:dyDescent="0.2">
      <c r="A128" s="3" t="s">
        <v>332</v>
      </c>
      <c r="B128" s="3">
        <v>0.62</v>
      </c>
      <c r="C128" t="s">
        <v>28</v>
      </c>
      <c r="D128" t="s">
        <v>31</v>
      </c>
      <c r="F128" t="s">
        <v>30</v>
      </c>
      <c r="G128" s="3" t="s">
        <v>333</v>
      </c>
      <c r="I128" s="3"/>
      <c r="J128" s="3"/>
      <c r="K128" s="3"/>
      <c r="L128" s="3"/>
    </row>
    <row r="129" spans="1:13" ns3:dyDescent="0.2">
      <c r="A129" s="3" t="s">
        <v>131</v>
      </c>
      <c r="B129" s="6">
        <v>2.4500000000000001E-2</v>
      </c>
      <c r="C129" t="s">
        <v>28</v>
      </c>
      <c r="D129" t="s">
        <v>31</v>
      </c>
      <c r="F129" t="s">
        <v>30</v>
      </c>
      <c r="G129" s="3" t="s">
        <v>133</v>
      </c>
      <c r="I129" s="3"/>
      <c r="J129" s="3"/>
      <c r="K129" s="3"/>
      <c r="L129" s="3"/>
    </row>
    <row r="130" spans="1:13" ns3:dyDescent="0.2">
      <c r="A130" s="3" t="s">
        <v>354</v>
      </c>
      <c r="B130" s="6">
        <v>2.1899999999999999E-2</v>
      </c>
      <c r="C130" t="s">
        <v>28</v>
      </c>
      <c r="D130" t="s">
        <v>31</v>
      </c>
      <c r="F130" t="s">
        <v>30</v>
      </c>
      <c r="G130" s="3" t="s">
        <v>355</v>
      </c>
      <c r="I130" s="3"/>
      <c r="J130" s="3"/>
      <c r="K130" s="3"/>
      <c r="L130" s="3"/>
    </row>
    <row r="131" spans="1:13" ns3:dyDescent="0.2">
      <c r="A131" s="3" t="s">
        <v>158</v>
      </c>
      <c r="B131" s="6">
        <v>2.1899999999999999E-2</v>
      </c>
      <c r="C131" t="s">
        <v>28</v>
      </c>
      <c r="D131" t="s">
        <v>31</v>
      </c>
      <c r="F131" t="s">
        <v>30</v>
      </c>
      <c r="G131" s="3" t="s">
        <v>161</v>
      </c>
      <c r="I131" s="3"/>
      <c r="J131" s="3"/>
      <c r="K131" s="3"/>
      <c r="L131" s="3"/>
    </row>
    <row r="132" spans="1:13" ns3:dyDescent="0.2">
      <c r="A132" s="3" t="s">
        <v>286</v>
      </c>
      <c r="B132" s="3">
        <v>0.21</v>
      </c>
      <c r="C132" t="s">
        <v>29</v>
      </c>
      <c r="D132" s="3" t="s">
        <v>49</v>
      </c>
      <c r="F132" t="s">
        <v>30</v>
      </c>
      <c r="G132" s="3" t="s">
        <v>287</v>
      </c>
      <c r="H132" s="3" t="s">
        <v>82</v>
      </c>
      <c r="I132" s="3"/>
      <c r="J132" s="3"/>
      <c r="K132" s="3"/>
      <c r="L132" s="3"/>
    </row>
    <row r="133" spans="1:13" ns3:dyDescent="0.2">
      <c r="A133" s="3" t="s">
        <v>344</v>
      </c>
      <c r="B133" s="3">
        <v>0.11</v>
      </c>
      <c r="C133" t="s">
        <v>4</v>
      </c>
      <c r="D133" s="3" t="s">
        <v>49</v>
      </c>
      <c r="F133" t="s">
        <v>30</v>
      </c>
      <c r="G133" s="3" t="s">
        <v>345</v>
      </c>
      <c r="I133" s="3"/>
      <c r="J133" s="3"/>
      <c r="K133" s="3"/>
      <c r="L133" s="3"/>
    </row>
    <row r="134" spans="1:13" ns3:dyDescent="0.2">
      <c r="A134" s="3" t="s">
        <v>350</v>
      </c>
      <c r="B134" s="3">
        <v>1.06</v>
      </c>
      <c r="C134" t="s">
        <v>28</v>
      </c>
      <c r="D134" s="3" t="s">
        <v>49</v>
      </c>
      <c r="F134" t="s">
        <v>30</v>
      </c>
      <c r="G134" s="3" t="s">
        <v>351</v>
      </c>
      <c r="I134" s="3"/>
      <c r="J134" s="3"/>
      <c r="K134" s="3"/>
      <c r="L134" s="3"/>
    </row>
    <row r="135" spans="1:13" ns3:dyDescent="0.2">
      <c r="A135" s="3" t="s">
        <v>336</v>
      </c>
      <c r="B135" s="6">
        <v>-5.1400000000000001E-2</v>
      </c>
      <c r="C135" t="s">
        <v>29</v>
      </c>
      <c r="D135" t="s">
        <v>31</v>
      </c>
      <c r="F135" t="s">
        <v>30</v>
      </c>
      <c r="G135" s="3" t="s">
        <v>337</v>
      </c>
      <c r="I135" s="4"/>
    </row>
    <row r="136" spans="1:13" ns3:dyDescent="0.2">
      <c r="A136" s="3" t="s">
        <v>129</v>
      </c>
      <c r="B136" s="6">
        <v>6.2500000000000001E-5</v>
      </c>
      <c r="D136" t="s">
        <v>31</v>
      </c>
      <c r="E136" t="s">
        <v>51</v>
      </c>
      <c r="F136" t="s">
        <v>56</v>
      </c>
      <c r="I136" s="3"/>
      <c r="J136" s="3"/>
      <c r="K136" s="3"/>
      <c r="L136" s="3"/>
    </row>
    <row r="137" spans="1:13" ns3:dyDescent="0.2">
      <c r="I137" s="3"/>
      <c r="J137" s="3"/>
      <c r="K137" s="3"/>
      <c r="L137" s="3"/>
    </row>
    <row r="138" spans="1:13" ns3:dyDescent="0.2">
      <c r="A138" s="1" t="s">
        <v>1</v>
      </c>
      <c r="B138" s="1" t="s">
        <v>135</v>
      </c>
      <c r="M138" t="s">
        <v>2</v>
      </c>
    </row>
    <row r="139" spans="1:13" ns3:dyDescent="0.2">
      <c r="A139" t="s">
        <v>3</v>
      </c>
      <c r="B139" t="s">
        <v>4</v>
      </c>
      <c r="M139" t="s">
        <v>2</v>
      </c>
    </row>
    <row r="140" spans="1:13" ns3:dyDescent="0.2">
      <c r="A140" t="s">
        <v>5</v>
      </c>
      <c r="B140">
        <v>1</v>
      </c>
      <c r="M140" t="s">
        <v>2</v>
      </c>
    </row>
    <row r="141" spans="1:13" ns3:dyDescent="0.2">
      <c r="A141" t="s">
        <v>6</v>
      </c>
      <c r="B141" t="s">
        <v>136</v>
      </c>
    </row>
    <row r="142" spans="1:13" ns3:dyDescent="0.2">
      <c r="A142" t="s">
        <v>7</v>
      </c>
      <c r="B142" t="s">
        <v>17</v>
      </c>
    </row>
    <row r="143" spans="1:13" ns3:dyDescent="0.2">
      <c r="A143" t="s">
        <v>8</v>
      </c>
      <c r="B143" t="s">
        <v>144</v>
      </c>
      <c r="M143" t="s">
        <v>2</v>
      </c>
    </row>
    <row r="144" spans="1:13" ns3:dyDescent="0.2">
      <c r="A144" t="s">
        <v>9</v>
      </c>
      <c r="B144" t="s">
        <v>10</v>
      </c>
      <c r="M144" t="s">
        <v>2</v>
      </c>
    </row>
    <row r="145" spans="1:13" ns3:dyDescent="0.2">
      <c r="A145" t="s">
        <v>11</v>
      </c>
      <c r="B145" t="s">
        <v>31</v>
      </c>
      <c r="M145" t="s">
        <v>2</v>
      </c>
    </row>
    <row r="146" spans="1:13" ns3:dyDescent="0.2">
      <c r="A146" s="1" t="s">
        <v>12</v>
      </c>
      <c r="M146" t="s">
        <v>2</v>
      </c>
    </row>
    <row r="147" spans="1:13" ns3:dyDescent="0.2">
      <c r="A147" s="1" t="s">
        <v>13</v>
      </c>
      <c r="B147" s="1" t="s">
        <v>14</v>
      </c>
      <c r="C147" s="1" t="s">
        <v>3</v>
      </c>
      <c r="D147" s="1" t="s">
        <v>11</v>
      </c>
      <c r="E147" s="1" t="s">
        <v>15</v>
      </c>
      <c r="F147" s="1" t="s">
        <v>9</v>
      </c>
      <c r="G147" s="1" t="s">
        <v>8</v>
      </c>
      <c r="H147" s="1" t="s">
        <v>6</v>
      </c>
      <c r="I147" s="4"/>
    </row>
    <row r="148" spans="1:13" ns3:dyDescent="0.2">
      <c r="A148" t="str">
        <f>B138</f>
        <v>current collector production, for VRFB system</v>
      </c>
      <c r="B148">
        <v>1</v>
      </c>
      <c r="C148" t="s">
        <v>4</v>
      </c>
      <c r="D148" t="s">
        <v>31</v>
      </c>
      <c r="F148" t="s">
        <v>33</v>
      </c>
      <c r="G148" t="str">
        <f>B143</f>
        <v>current collector, for VRFB system</v>
      </c>
      <c r="I148" s="3"/>
      <c r="J148" s="3"/>
      <c r="K148" s="3"/>
      <c r="L148" s="3"/>
    </row>
    <row r="149" spans="1:13" ns3:dyDescent="0.2">
      <c r="A149" s="3" t="s">
        <v>324</v>
      </c>
      <c r="B149" s="3">
        <v>1</v>
      </c>
      <c r="C149" t="s">
        <v>28</v>
      </c>
      <c r="D149" t="s">
        <v>31</v>
      </c>
      <c r="F149" t="s">
        <v>30</v>
      </c>
      <c r="G149" s="3" t="s">
        <v>325</v>
      </c>
      <c r="H149" s="3" t="s">
        <v>138</v>
      </c>
      <c r="I149" s="3"/>
      <c r="J149" s="3"/>
      <c r="K149" s="3"/>
      <c r="L149" s="3"/>
    </row>
    <row r="150" spans="1:13" ns3:dyDescent="0.2">
      <c r="A150" s="3" t="s">
        <v>141</v>
      </c>
      <c r="B150" s="3">
        <v>1</v>
      </c>
      <c r="C150" t="s">
        <v>28</v>
      </c>
      <c r="D150" t="s">
        <v>31</v>
      </c>
      <c r="F150" t="s">
        <v>30</v>
      </c>
      <c r="G150" s="3" t="s">
        <v>142</v>
      </c>
      <c r="H150" s="3" t="s">
        <v>139</v>
      </c>
      <c r="I150" s="3"/>
      <c r="J150" s="3"/>
      <c r="K150" s="3"/>
      <c r="L150" s="3"/>
    </row>
    <row r="151" spans="1:13" ns3:dyDescent="0.2">
      <c r="A151" s="3" t="s">
        <v>356</v>
      </c>
      <c r="B151" s="6">
        <v>4.0000000000000001E-10</v>
      </c>
      <c r="C151" t="s">
        <v>28</v>
      </c>
      <c r="D151" s="3" t="s">
        <v>11</v>
      </c>
      <c r="F151" t="s">
        <v>30</v>
      </c>
      <c r="G151" s="3" t="s">
        <v>357</v>
      </c>
      <c r="H151" s="3" t="s">
        <v>26</v>
      </c>
      <c r="I151" s="3"/>
      <c r="J151" s="3"/>
      <c r="K151" s="3"/>
      <c r="L151" s="3"/>
    </row>
    <row r="152" spans="1:13" ns3:dyDescent="0.2">
      <c r="A152" s="3" t="s">
        <v>344</v>
      </c>
      <c r="B152" s="3">
        <v>0.1</v>
      </c>
      <c r="C152" t="s">
        <v>4</v>
      </c>
      <c r="D152" s="3" t="s">
        <v>49</v>
      </c>
      <c r="F152" t="s">
        <v>30</v>
      </c>
      <c r="G152" s="3" t="s">
        <v>345</v>
      </c>
      <c r="H152" s="3" t="s">
        <v>81</v>
      </c>
      <c r="I152" s="3"/>
      <c r="J152" s="3"/>
      <c r="K152" s="3"/>
      <c r="L152" s="3"/>
    </row>
    <row r="153" spans="1:13" ns3:dyDescent="0.2">
      <c r="A153" s="3" t="s">
        <v>286</v>
      </c>
      <c r="B153" s="3">
        <v>0.2</v>
      </c>
      <c r="C153" t="s">
        <v>29</v>
      </c>
      <c r="D153" s="3" t="s">
        <v>49</v>
      </c>
      <c r="F153" t="s">
        <v>30</v>
      </c>
      <c r="G153" s="3" t="s">
        <v>287</v>
      </c>
      <c r="H153" s="3" t="s">
        <v>82</v>
      </c>
      <c r="I153" s="4"/>
    </row>
    <row r="154" spans="1:13" ns3:dyDescent="0.2">
      <c r="I154" s="3"/>
      <c r="J154" s="3"/>
      <c r="K154" s="3"/>
      <c r="L154" s="3"/>
    </row>
    <row r="155" spans="1:13" ns3:dyDescent="0.2">
      <c r="A155" s="1" t="s">
        <v>1</v>
      </c>
      <c r="B155" s="1" t="s">
        <v>143</v>
      </c>
      <c r="M155" t="s">
        <v>2</v>
      </c>
    </row>
    <row r="156" spans="1:13" ns3:dyDescent="0.2">
      <c r="A156" t="s">
        <v>3</v>
      </c>
      <c r="B156" t="s">
        <v>4</v>
      </c>
      <c r="M156" t="s">
        <v>2</v>
      </c>
    </row>
    <row r="157" spans="1:13" ns3:dyDescent="0.2">
      <c r="A157" t="s">
        <v>5</v>
      </c>
      <c r="B157">
        <v>1</v>
      </c>
      <c r="M157" t="s">
        <v>2</v>
      </c>
    </row>
    <row r="158" spans="1:13" ns3:dyDescent="0.2">
      <c r="A158" t="s">
        <v>6</v>
      </c>
      <c r="B158" t="s">
        <v>146</v>
      </c>
    </row>
    <row r="159" spans="1:13" ns3:dyDescent="0.2">
      <c r="A159" t="s">
        <v>7</v>
      </c>
      <c r="B159" t="s">
        <v>17</v>
      </c>
    </row>
    <row r="160" spans="1:13" ns3:dyDescent="0.2">
      <c r="A160" t="s">
        <v>8</v>
      </c>
      <c r="B160" t="s">
        <v>145</v>
      </c>
      <c r="M160" t="s">
        <v>2</v>
      </c>
    </row>
    <row r="161" spans="1:13" ns3:dyDescent="0.2">
      <c r="A161" t="s">
        <v>9</v>
      </c>
      <c r="B161" t="s">
        <v>10</v>
      </c>
      <c r="M161" t="s">
        <v>2</v>
      </c>
    </row>
    <row r="162" spans="1:13" ns3:dyDescent="0.2">
      <c r="A162" t="s">
        <v>11</v>
      </c>
      <c r="B162" t="s">
        <v>31</v>
      </c>
      <c r="M162" t="s">
        <v>2</v>
      </c>
    </row>
    <row r="163" spans="1:13" ns3:dyDescent="0.2">
      <c r="A163" s="1" t="s">
        <v>12</v>
      </c>
      <c r="M163" t="s">
        <v>2</v>
      </c>
    </row>
    <row r="164" spans="1:13" ns3:dyDescent="0.2">
      <c r="A164" s="1" t="s">
        <v>13</v>
      </c>
      <c r="B164" s="1" t="s">
        <v>14</v>
      </c>
      <c r="C164" s="1" t="s">
        <v>3</v>
      </c>
      <c r="D164" s="1" t="s">
        <v>11</v>
      </c>
      <c r="E164" s="1" t="s">
        <v>15</v>
      </c>
      <c r="F164" s="1" t="s">
        <v>9</v>
      </c>
      <c r="G164" s="1" t="s">
        <v>8</v>
      </c>
      <c r="H164" s="1" t="s">
        <v>6</v>
      </c>
      <c r="I164" s="4"/>
    </row>
    <row r="165" spans="1:13" ns3:dyDescent="0.2">
      <c r="A165" t="str">
        <f>B155</f>
        <v>polyvinylchloride cell frame production, for VRFB system</v>
      </c>
      <c r="B165">
        <v>1</v>
      </c>
      <c r="C165" t="s">
        <v>4</v>
      </c>
      <c r="D165" t="s">
        <v>31</v>
      </c>
      <c r="F165" t="s">
        <v>33</v>
      </c>
      <c r="G165" t="str">
        <f>B160</f>
        <v>polyvinylchloride cell frame, for VRFB system</v>
      </c>
      <c r="I165" s="4"/>
    </row>
    <row r="166" spans="1:13" ns3:dyDescent="0.2">
      <c r="A166" s="3" t="s">
        <v>354</v>
      </c>
      <c r="B166" s="3">
        <v>1</v>
      </c>
      <c r="C166" t="s">
        <v>28</v>
      </c>
      <c r="D166" t="s">
        <v>31</v>
      </c>
      <c r="F166" s="3" t="s">
        <v>30</v>
      </c>
      <c r="G166" s="3" t="s">
        <v>355</v>
      </c>
      <c r="H166" s="3" t="s">
        <v>147</v>
      </c>
      <c r="K166" s="3"/>
      <c r="L166" s="3"/>
    </row>
    <row r="167" spans="1:13" ns3:dyDescent="0.2">
      <c r="A167" s="3" t="s">
        <v>158</v>
      </c>
      <c r="B167" s="3">
        <v>1</v>
      </c>
      <c r="C167" t="s">
        <v>28</v>
      </c>
      <c r="D167" t="s">
        <v>31</v>
      </c>
      <c r="F167" s="3" t="s">
        <v>30</v>
      </c>
      <c r="G167" s="3" t="s">
        <v>161</v>
      </c>
      <c r="H167" s="3" t="s">
        <v>127</v>
      </c>
      <c r="K167" s="3"/>
      <c r="L167" s="3"/>
    </row>
    <row r="168" spans="1:13" ns3:dyDescent="0.2">
      <c r="A168" s="3" t="s">
        <v>286</v>
      </c>
      <c r="B168" s="3">
        <v>0.2</v>
      </c>
      <c r="C168" t="s">
        <v>29</v>
      </c>
      <c r="D168" s="3" t="s">
        <v>49</v>
      </c>
      <c r="F168" s="3" t="s">
        <v>30</v>
      </c>
      <c r="G168" s="3" t="s">
        <v>287</v>
      </c>
      <c r="H168" s="3" t="s">
        <v>82</v>
      </c>
      <c r="K168" s="3"/>
      <c r="L168" s="3"/>
    </row>
    <row r="169" spans="1:13" ns3:dyDescent="0.2">
      <c r="A169" s="3" t="s">
        <v>344</v>
      </c>
      <c r="B169" s="3">
        <v>0.1</v>
      </c>
      <c r="C169" t="s">
        <v>4</v>
      </c>
      <c r="D169" s="3" t="s">
        <v>49</v>
      </c>
      <c r="F169" s="3" t="s">
        <v>30</v>
      </c>
      <c r="G169" s="3" t="s">
        <v>345</v>
      </c>
      <c r="H169" s="3" t="s">
        <v>81</v>
      </c>
      <c r="K169" s="3"/>
      <c r="L169" s="3"/>
    </row>
    <row r="171" spans="1:13" ns3:dyDescent="0.2">
      <c r="A171" s="1" t="s">
        <v>1</v>
      </c>
      <c r="B171" s="1" t="s">
        <v>148</v>
      </c>
      <c r="M171" t="s">
        <v>2</v>
      </c>
    </row>
    <row r="172" spans="1:13" ns3:dyDescent="0.2">
      <c r="A172" t="s">
        <v>3</v>
      </c>
      <c r="B172" t="s">
        <v>4</v>
      </c>
      <c r="M172" t="s">
        <v>2</v>
      </c>
    </row>
    <row r="173" spans="1:13" ns3:dyDescent="0.2">
      <c r="A173" t="s">
        <v>5</v>
      </c>
      <c r="B173">
        <v>1</v>
      </c>
      <c r="M173" t="s">
        <v>2</v>
      </c>
    </row>
    <row r="174" spans="1:13" ns3:dyDescent="0.2">
      <c r="A174" t="s">
        <v>6</v>
      </c>
      <c r="B174" t="s">
        <v>150</v>
      </c>
    </row>
    <row r="175" spans="1:13" ns3:dyDescent="0.2">
      <c r="A175" t="s">
        <v>7</v>
      </c>
      <c r="B175" t="s">
        <v>17</v>
      </c>
    </row>
    <row r="176" spans="1:13" ns3:dyDescent="0.2">
      <c r="A176" t="s">
        <v>8</v>
      </c>
      <c r="B176" t="s">
        <v>149</v>
      </c>
      <c r="M176" t="s">
        <v>2</v>
      </c>
    </row>
    <row r="177" spans="1:13" ns3:dyDescent="0.2">
      <c r="A177" t="s">
        <v>9</v>
      </c>
      <c r="B177" t="s">
        <v>10</v>
      </c>
      <c r="M177" t="s">
        <v>2</v>
      </c>
    </row>
    <row r="178" spans="1:13" ns3:dyDescent="0.2">
      <c r="A178" t="s">
        <v>11</v>
      </c>
      <c r="B178" t="s">
        <v>31</v>
      </c>
      <c r="M178" t="s">
        <v>2</v>
      </c>
    </row>
    <row r="179" spans="1:13" ns3:dyDescent="0.2">
      <c r="A179" s="1" t="s">
        <v>12</v>
      </c>
      <c r="M179" t="s">
        <v>2</v>
      </c>
    </row>
    <row r="180" spans="1:13" ns3:dyDescent="0.2">
      <c r="A180" s="1" t="s">
        <v>13</v>
      </c>
      <c r="B180" s="1" t="s">
        <v>14</v>
      </c>
      <c r="C180" s="1" t="s">
        <v>3</v>
      </c>
      <c r="D180" s="1" t="s">
        <v>11</v>
      </c>
      <c r="E180" s="1" t="s">
        <v>15</v>
      </c>
      <c r="F180" s="1" t="s">
        <v>9</v>
      </c>
      <c r="G180" s="1" t="s">
        <v>8</v>
      </c>
      <c r="H180" s="1" t="s">
        <v>6</v>
      </c>
      <c r="I180" s="4"/>
    </row>
    <row r="181" spans="1:13" ns3:dyDescent="0.2">
      <c r="A181" t="str">
        <f>B171</f>
        <v>gasket production, FKM, for VRFB system</v>
      </c>
      <c r="B181">
        <v>1</v>
      </c>
      <c r="C181" t="s">
        <v>4</v>
      </c>
      <c r="D181" t="s">
        <v>31</v>
      </c>
      <c r="F181" t="s">
        <v>33</v>
      </c>
      <c r="G181" t="str">
        <f>B176</f>
        <v>gasket, FKM</v>
      </c>
    </row>
    <row r="182" spans="1:13" ns3:dyDescent="0.2">
      <c r="A182" s="3" t="s">
        <v>156</v>
      </c>
      <c r="B182" s="3">
        <v>0.33</v>
      </c>
      <c r="C182" t="s">
        <v>28</v>
      </c>
      <c r="D182" t="s">
        <v>31</v>
      </c>
      <c r="F182" s="3" t="s">
        <v>30</v>
      </c>
      <c r="G182" s="3" t="s">
        <v>159</v>
      </c>
      <c r="H182" s="3" t="s">
        <v>151</v>
      </c>
    </row>
    <row r="183" spans="1:13" ns3:dyDescent="0.2">
      <c r="A183" s="3" t="s">
        <v>157</v>
      </c>
      <c r="B183" s="3">
        <v>0.33</v>
      </c>
      <c r="C183" t="s">
        <v>28</v>
      </c>
      <c r="D183" t="s">
        <v>31</v>
      </c>
      <c r="F183" s="3" t="s">
        <v>30</v>
      </c>
      <c r="G183" s="3" t="s">
        <v>160</v>
      </c>
      <c r="H183" s="3" t="s">
        <v>152</v>
      </c>
    </row>
    <row r="184" spans="1:13" ns3:dyDescent="0.2">
      <c r="A184" s="3" t="s">
        <v>334</v>
      </c>
      <c r="B184" s="3">
        <v>0.33</v>
      </c>
      <c r="C184" t="s">
        <v>28</v>
      </c>
      <c r="D184" t="s">
        <v>31</v>
      </c>
      <c r="F184" s="3" t="s">
        <v>30</v>
      </c>
      <c r="G184" s="3" t="s">
        <v>335</v>
      </c>
      <c r="H184" s="3" t="s">
        <v>153</v>
      </c>
    </row>
    <row r="185" spans="1:13" ns3:dyDescent="0.2">
      <c r="A185" s="3" t="s">
        <v>158</v>
      </c>
      <c r="B185" s="3">
        <v>1</v>
      </c>
      <c r="C185" t="s">
        <v>28</v>
      </c>
      <c r="D185" t="s">
        <v>31</v>
      </c>
      <c r="F185" s="3" t="s">
        <v>30</v>
      </c>
      <c r="G185" s="3" t="s">
        <v>161</v>
      </c>
      <c r="H185" s="3" t="s">
        <v>154</v>
      </c>
    </row>
    <row r="186" spans="1:13" ns3:dyDescent="0.2">
      <c r="A186" s="3" t="s">
        <v>286</v>
      </c>
      <c r="B186" s="3">
        <v>0.2</v>
      </c>
      <c r="C186" t="s">
        <v>29</v>
      </c>
      <c r="D186" s="3" t="s">
        <v>49</v>
      </c>
      <c r="F186" s="3" t="s">
        <v>30</v>
      </c>
      <c r="G186" s="3" t="s">
        <v>287</v>
      </c>
      <c r="H186" s="3" t="s">
        <v>155</v>
      </c>
    </row>
    <row r="187" spans="1:13" ns3:dyDescent="0.2">
      <c r="A187" s="3" t="s">
        <v>344</v>
      </c>
      <c r="B187" s="3">
        <v>0.1</v>
      </c>
      <c r="C187" t="s">
        <v>4</v>
      </c>
      <c r="D187" s="3" t="s">
        <v>49</v>
      </c>
      <c r="F187" s="3" t="s">
        <v>30</v>
      </c>
      <c r="G187" s="3" t="s">
        <v>345</v>
      </c>
      <c r="H187" s="3" t="s">
        <v>81</v>
      </c>
    </row>
    <row r="189" spans="1:13" ns3:dyDescent="0.2">
      <c r="A189" s="1" t="s">
        <v>1</v>
      </c>
      <c r="B189" s="1" t="s">
        <v>162</v>
      </c>
      <c r="M189" t="s">
        <v>2</v>
      </c>
    </row>
    <row r="190" spans="1:13" ns3:dyDescent="0.2">
      <c r="A190" t="s">
        <v>3</v>
      </c>
      <c r="B190" t="s">
        <v>4</v>
      </c>
      <c r="M190" t="s">
        <v>2</v>
      </c>
    </row>
    <row r="191" spans="1:13" ns3:dyDescent="0.2">
      <c r="A191" t="s">
        <v>5</v>
      </c>
      <c r="B191">
        <v>1</v>
      </c>
      <c r="M191" t="s">
        <v>2</v>
      </c>
    </row>
    <row r="192" spans="1:13" ns3:dyDescent="0.2">
      <c r="A192" t="s">
        <v>6</v>
      </c>
      <c r="B192" t="s">
        <v>150</v>
      </c>
    </row>
    <row r="193" spans="1:13" ns3:dyDescent="0.2">
      <c r="A193" t="s">
        <v>7</v>
      </c>
      <c r="B193" t="s">
        <v>17</v>
      </c>
    </row>
    <row r="194" spans="1:13" ns3:dyDescent="0.2">
      <c r="A194" t="s">
        <v>8</v>
      </c>
      <c r="B194" t="s">
        <v>163</v>
      </c>
      <c r="M194" t="s">
        <v>2</v>
      </c>
    </row>
    <row r="195" spans="1:13" ns3:dyDescent="0.2">
      <c r="A195" t="s">
        <v>9</v>
      </c>
      <c r="B195" t="s">
        <v>10</v>
      </c>
      <c r="M195" t="s">
        <v>2</v>
      </c>
    </row>
    <row r="196" spans="1:13" ns3:dyDescent="0.2">
      <c r="A196" t="s">
        <v>11</v>
      </c>
      <c r="B196" t="s">
        <v>31</v>
      </c>
      <c r="M196" t="s">
        <v>2</v>
      </c>
    </row>
    <row r="197" spans="1:13" ns3:dyDescent="0.2">
      <c r="A197" s="1" t="s">
        <v>12</v>
      </c>
      <c r="M197" t="s">
        <v>2</v>
      </c>
    </row>
    <row r="198" spans="1:13" ns3:dyDescent="0.2">
      <c r="A198" s="1" t="s">
        <v>13</v>
      </c>
      <c r="B198" s="1" t="s">
        <v>14</v>
      </c>
      <c r="C198" s="1" t="s">
        <v>3</v>
      </c>
      <c r="D198" s="1" t="s">
        <v>11</v>
      </c>
      <c r="E198" s="1" t="s">
        <v>15</v>
      </c>
      <c r="F198" s="1" t="s">
        <v>9</v>
      </c>
      <c r="G198" s="1" t="s">
        <v>8</v>
      </c>
      <c r="H198" s="1" t="s">
        <v>6</v>
      </c>
      <c r="I198" s="4"/>
    </row>
    <row r="199" spans="1:13" ns3:dyDescent="0.2">
      <c r="A199" t="str">
        <f>B189</f>
        <v>copper cable production, for VRFB system</v>
      </c>
      <c r="B199">
        <v>1</v>
      </c>
      <c r="C199" t="s">
        <v>4</v>
      </c>
      <c r="D199" t="s">
        <v>31</v>
      </c>
      <c r="F199" t="s">
        <v>33</v>
      </c>
      <c r="G199" t="str">
        <f>B194</f>
        <v>copper cable, for VRFB system</v>
      </c>
    </row>
    <row r="200" spans="1:13" ns3:dyDescent="0.2">
      <c r="A200" s="3" t="s">
        <v>167</v>
      </c>
      <c r="B200" s="3">
        <v>1.45</v>
      </c>
      <c r="C200" t="s">
        <v>29</v>
      </c>
      <c r="D200" t="s">
        <v>31</v>
      </c>
      <c r="F200" s="3" t="s">
        <v>30</v>
      </c>
      <c r="G200" s="3" t="s">
        <v>168</v>
      </c>
      <c r="H200" s="3" t="s">
        <v>164</v>
      </c>
    </row>
    <row r="201" spans="1:13" ns3:dyDescent="0.2">
      <c r="A201" s="3" t="s">
        <v>324</v>
      </c>
      <c r="B201" s="3">
        <v>0.94</v>
      </c>
      <c r="C201" t="s">
        <v>28</v>
      </c>
      <c r="D201" t="s">
        <v>31</v>
      </c>
      <c r="F201" s="3" t="s">
        <v>30</v>
      </c>
      <c r="G201" s="3" t="s">
        <v>325</v>
      </c>
      <c r="H201" s="3" t="s">
        <v>165</v>
      </c>
    </row>
    <row r="202" spans="1:13" ns3:dyDescent="0.2">
      <c r="A202" s="3" t="s">
        <v>354</v>
      </c>
      <c r="B202" s="6">
        <v>6.2600000000000003E-2</v>
      </c>
      <c r="C202" t="s">
        <v>28</v>
      </c>
      <c r="D202" t="s">
        <v>31</v>
      </c>
      <c r="F202" s="3" t="s">
        <v>30</v>
      </c>
      <c r="G202" s="3" t="s">
        <v>355</v>
      </c>
      <c r="H202" s="3" t="s">
        <v>126</v>
      </c>
    </row>
    <row r="203" spans="1:13" ns3:dyDescent="0.2">
      <c r="A203" s="3" t="s">
        <v>321</v>
      </c>
      <c r="B203" s="3">
        <v>0.94</v>
      </c>
      <c r="C203" t="s">
        <v>28</v>
      </c>
      <c r="D203" t="s">
        <v>31</v>
      </c>
      <c r="F203" s="3" t="s">
        <v>30</v>
      </c>
      <c r="G203" s="3" t="s">
        <v>313</v>
      </c>
      <c r="H203" s="3" t="s">
        <v>166</v>
      </c>
    </row>
    <row r="204" spans="1:13" ns3:dyDescent="0.2">
      <c r="A204" s="3" t="s">
        <v>158</v>
      </c>
      <c r="B204" s="6">
        <v>6.2600000000000003E-2</v>
      </c>
      <c r="C204" t="s">
        <v>28</v>
      </c>
      <c r="D204" t="s">
        <v>31</v>
      </c>
      <c r="F204" s="3" t="s">
        <v>30</v>
      </c>
      <c r="G204" s="3" t="s">
        <v>161</v>
      </c>
      <c r="H204" s="3" t="s">
        <v>127</v>
      </c>
    </row>
    <row r="205" spans="1:13" ns3:dyDescent="0.2">
      <c r="A205" s="3" t="s">
        <v>320</v>
      </c>
      <c r="B205" s="6">
        <v>1.7699999999999999E-12</v>
      </c>
      <c r="C205" t="s">
        <v>28</v>
      </c>
      <c r="D205" s="3" t="s">
        <v>11</v>
      </c>
      <c r="F205" s="3" t="s">
        <v>30</v>
      </c>
      <c r="G205" s="3" t="s">
        <v>314</v>
      </c>
      <c r="H205" s="3" t="s">
        <v>26</v>
      </c>
    </row>
    <row r="206" spans="1:13" ns3:dyDescent="0.2">
      <c r="A206" s="3" t="s">
        <v>344</v>
      </c>
      <c r="B206" s="6">
        <v>9.3700000000000006E-2</v>
      </c>
      <c r="C206" t="s">
        <v>4</v>
      </c>
      <c r="D206" s="3" t="s">
        <v>49</v>
      </c>
      <c r="F206" s="3" t="s">
        <v>30</v>
      </c>
      <c r="G206" s="3" t="s">
        <v>345</v>
      </c>
      <c r="H206" s="3" t="s">
        <v>81</v>
      </c>
    </row>
    <row r="207" spans="1:13" ns3:dyDescent="0.2">
      <c r="A207" s="3" t="s">
        <v>286</v>
      </c>
      <c r="B207" s="3">
        <v>0.19</v>
      </c>
      <c r="C207" t="s">
        <v>29</v>
      </c>
      <c r="D207" s="3" t="s">
        <v>49</v>
      </c>
      <c r="F207" s="3" t="s">
        <v>30</v>
      </c>
      <c r="G207" s="3" t="s">
        <v>287</v>
      </c>
      <c r="H207" s="3" t="s">
        <v>82</v>
      </c>
    </row>
    <row r="208" spans="1:13" ns3:dyDescent="0.2">
      <c r="A208" s="3" t="s">
        <v>330</v>
      </c>
      <c r="B208" s="6">
        <v>-3.1700000000000001E-4</v>
      </c>
      <c r="C208" t="s">
        <v>29</v>
      </c>
      <c r="D208" t="s">
        <v>31</v>
      </c>
      <c r="F208" s="3" t="s">
        <v>30</v>
      </c>
      <c r="G208" s="3" t="s">
        <v>331</v>
      </c>
      <c r="H208" s="3" t="s">
        <v>128</v>
      </c>
    </row>
    <row r="209" spans="1:13" ns3:dyDescent="0.2">
      <c r="A209" s="3" t="s">
        <v>289</v>
      </c>
      <c r="B209" s="6">
        <v>-3.3700000000000001E-4</v>
      </c>
      <c r="C209" t="s">
        <v>290</v>
      </c>
      <c r="D209" t="s">
        <v>31</v>
      </c>
      <c r="F209" s="3" t="s">
        <v>30</v>
      </c>
      <c r="G209" s="3" t="s">
        <v>99</v>
      </c>
      <c r="H209" s="3" t="s">
        <v>128</v>
      </c>
    </row>
    <row r="210" spans="1:13" ns3:dyDescent="0.2">
      <c r="A210" s="3" t="s">
        <v>77</v>
      </c>
      <c r="B210" s="6">
        <f>0.0886/1000</f>
        <v>8.8599999999999999E-5</v>
      </c>
      <c r="D210" t="s">
        <v>85</v>
      </c>
      <c r="E210" t="s">
        <v>51</v>
      </c>
      <c r="F210" s="3" t="s">
        <v>56</v>
      </c>
      <c r="H210" s="3" t="s">
        <v>77</v>
      </c>
    </row>
    <row r="211" spans="1:13" ns3:dyDescent="0.2">
      <c r="A211" s="3" t="s">
        <v>77</v>
      </c>
      <c r="B211" s="6">
        <v>1.3600000000000001E-3</v>
      </c>
      <c r="D211" s="3" t="s">
        <v>85</v>
      </c>
      <c r="E211" t="s">
        <v>52</v>
      </c>
      <c r="F211" s="3" t="s">
        <v>56</v>
      </c>
      <c r="H211" s="3" t="s">
        <v>77</v>
      </c>
    </row>
    <row r="213" spans="1:13" ns3:dyDescent="0.2">
      <c r="A213" s="1" t="s">
        <v>1</v>
      </c>
      <c r="B213" s="1" t="s">
        <v>179</v>
      </c>
      <c r="M213" t="s">
        <v>2</v>
      </c>
    </row>
    <row r="214" spans="1:13" ns3:dyDescent="0.2">
      <c r="A214" t="s">
        <v>3</v>
      </c>
      <c r="B214" t="s">
        <v>4</v>
      </c>
      <c r="M214" t="s">
        <v>2</v>
      </c>
    </row>
    <row r="215" spans="1:13" ns3:dyDescent="0.2">
      <c r="A215" t="s">
        <v>5</v>
      </c>
      <c r="B215">
        <v>1</v>
      </c>
      <c r="M215" t="s">
        <v>2</v>
      </c>
    </row>
    <row r="216" spans="1:13" ns3:dyDescent="0.2">
      <c r="A216" t="s">
        <v>6</v>
      </c>
      <c r="B216" t="s">
        <v>171</v>
      </c>
    </row>
    <row r="217" spans="1:13" ns3:dyDescent="0.2">
      <c r="A217" t="s">
        <v>7</v>
      </c>
      <c r="B217" t="s">
        <v>17</v>
      </c>
    </row>
    <row r="218" spans="1:13" ns3:dyDescent="0.2">
      <c r="A218" t="s">
        <v>8</v>
      </c>
      <c r="B218" t="s">
        <v>180</v>
      </c>
      <c r="M218" t="s">
        <v>2</v>
      </c>
    </row>
    <row r="219" spans="1:13" ns3:dyDescent="0.2">
      <c r="A219" t="s">
        <v>9</v>
      </c>
      <c r="B219" t="s">
        <v>10</v>
      </c>
      <c r="M219" t="s">
        <v>2</v>
      </c>
    </row>
    <row r="220" spans="1:13" ns3:dyDescent="0.2">
      <c r="A220" t="s">
        <v>11</v>
      </c>
      <c r="B220" t="s">
        <v>31</v>
      </c>
      <c r="M220" t="s">
        <v>2</v>
      </c>
    </row>
    <row r="221" spans="1:13" ns3:dyDescent="0.2">
      <c r="A221" s="1" t="s">
        <v>12</v>
      </c>
      <c r="M221" t="s">
        <v>2</v>
      </c>
    </row>
    <row r="222" spans="1:13" ns3:dyDescent="0.2">
      <c r="A222" s="1" t="s">
        <v>13</v>
      </c>
      <c r="B222" s="1" t="s">
        <v>14</v>
      </c>
      <c r="C222" s="1" t="s">
        <v>3</v>
      </c>
      <c r="D222" s="1" t="s">
        <v>11</v>
      </c>
      <c r="E222" s="1" t="s">
        <v>15</v>
      </c>
      <c r="F222" s="1" t="s">
        <v>9</v>
      </c>
      <c r="G222" s="1" t="s">
        <v>8</v>
      </c>
      <c r="H222" s="1" t="s">
        <v>6</v>
      </c>
      <c r="I222" s="4"/>
    </row>
    <row r="223" spans="1:13" ns3:dyDescent="0.2">
      <c r="A223" t="str">
        <f>B213</f>
        <v>pumps assembly, for VRFB system</v>
      </c>
      <c r="B223">
        <v>1</v>
      </c>
      <c r="C223" t="s">
        <v>4</v>
      </c>
      <c r="D223" t="s">
        <v>31</v>
      </c>
      <c r="F223" t="s">
        <v>33</v>
      </c>
      <c r="G223" t="str">
        <f>B218</f>
        <v>pumps, for VRFB system</v>
      </c>
      <c r="I223" s="3"/>
      <c r="J223" s="3"/>
      <c r="K223" s="3"/>
      <c r="L223" s="3"/>
    </row>
    <row r="224" spans="1:13" ns3:dyDescent="0.2">
      <c r="A224" s="3" t="s">
        <v>328</v>
      </c>
      <c r="B224" s="6">
        <v>8.2500000000000004E-3</v>
      </c>
      <c r="C224" t="s">
        <v>28</v>
      </c>
      <c r="D224" t="s">
        <v>31</v>
      </c>
      <c r="F224" s="3" t="s">
        <v>30</v>
      </c>
      <c r="G224" s="3" t="s">
        <v>329</v>
      </c>
      <c r="H224" s="3" t="s">
        <v>172</v>
      </c>
      <c r="I224" s="3"/>
      <c r="J224" s="3"/>
      <c r="K224" s="3"/>
      <c r="L224" s="3"/>
    </row>
    <row r="225" spans="1:13" ns3:dyDescent="0.2">
      <c r="A225" s="3" t="s">
        <v>176</v>
      </c>
      <c r="B225" s="3">
        <v>0.49</v>
      </c>
      <c r="C225" t="s">
        <v>28</v>
      </c>
      <c r="D225" t="s">
        <v>31</v>
      </c>
      <c r="F225" s="3" t="s">
        <v>30</v>
      </c>
      <c r="G225" s="3" t="s">
        <v>177</v>
      </c>
      <c r="H225" s="3" t="s">
        <v>173</v>
      </c>
      <c r="I225" s="3"/>
      <c r="J225" s="3"/>
      <c r="K225" s="3"/>
      <c r="L225" s="3"/>
    </row>
    <row r="226" spans="1:13" ns3:dyDescent="0.2">
      <c r="A226" s="3" t="s">
        <v>324</v>
      </c>
      <c r="B226" s="3">
        <v>0.1</v>
      </c>
      <c r="C226" t="s">
        <v>28</v>
      </c>
      <c r="D226" t="s">
        <v>31</v>
      </c>
      <c r="F226" s="3" t="s">
        <v>30</v>
      </c>
      <c r="G226" s="3" t="s">
        <v>325</v>
      </c>
      <c r="H226" s="3" t="s">
        <v>165</v>
      </c>
      <c r="I226" s="3"/>
      <c r="J226" s="3"/>
      <c r="K226" s="3"/>
      <c r="L226" s="3"/>
    </row>
    <row r="227" spans="1:13" ns3:dyDescent="0.2">
      <c r="A227" s="3" t="s">
        <v>354</v>
      </c>
      <c r="B227" s="6">
        <v>1.58E-3</v>
      </c>
      <c r="C227" t="s">
        <v>28</v>
      </c>
      <c r="D227" t="s">
        <v>31</v>
      </c>
      <c r="F227" s="3" t="s">
        <v>30</v>
      </c>
      <c r="G227" s="3" t="s">
        <v>355</v>
      </c>
      <c r="H227" s="3" t="s">
        <v>126</v>
      </c>
      <c r="I227" s="3"/>
      <c r="J227" s="3"/>
      <c r="K227" s="3"/>
      <c r="L227" s="3"/>
    </row>
    <row r="228" spans="1:13" ns3:dyDescent="0.2">
      <c r="A228" s="3" t="s">
        <v>326</v>
      </c>
      <c r="B228" s="6">
        <v>1.0800000000000001E-2</v>
      </c>
      <c r="C228" t="s">
        <v>28</v>
      </c>
      <c r="D228" t="s">
        <v>31</v>
      </c>
      <c r="F228" s="3" t="s">
        <v>30</v>
      </c>
      <c r="G228" s="3" t="s">
        <v>327</v>
      </c>
      <c r="H228" s="3" t="s">
        <v>126</v>
      </c>
      <c r="I228" s="3"/>
      <c r="J228" s="3"/>
      <c r="K228" s="3"/>
      <c r="L228" s="3"/>
    </row>
    <row r="229" spans="1:13" ns3:dyDescent="0.2">
      <c r="A229" s="3" t="s">
        <v>319</v>
      </c>
      <c r="B229" s="3">
        <v>0.38</v>
      </c>
      <c r="C229" t="s">
        <v>28</v>
      </c>
      <c r="D229" t="s">
        <v>31</v>
      </c>
      <c r="F229" s="3" t="s">
        <v>30</v>
      </c>
      <c r="G229" s="3" t="s">
        <v>298</v>
      </c>
      <c r="H229" s="3" t="s">
        <v>174</v>
      </c>
      <c r="I229" s="3"/>
      <c r="J229" s="3"/>
      <c r="K229" s="3"/>
      <c r="L229" s="3"/>
    </row>
    <row r="230" spans="1:13" ns3:dyDescent="0.2">
      <c r="A230" s="3" t="s">
        <v>318</v>
      </c>
      <c r="B230" s="6">
        <v>2.8900000000000002E-3</v>
      </c>
      <c r="C230" t="s">
        <v>28</v>
      </c>
      <c r="D230" t="s">
        <v>31</v>
      </c>
      <c r="F230" s="3" t="s">
        <v>30</v>
      </c>
      <c r="G230" s="3" t="s">
        <v>315</v>
      </c>
      <c r="H230" s="3" t="s">
        <v>175</v>
      </c>
      <c r="I230" s="3"/>
      <c r="J230" s="3"/>
      <c r="K230" s="3"/>
      <c r="L230" s="3"/>
    </row>
    <row r="231" spans="1:13" ns3:dyDescent="0.2">
      <c r="A231" s="3" t="s">
        <v>317</v>
      </c>
      <c r="B231" s="6">
        <v>1.9999999999999999E-7</v>
      </c>
      <c r="C231" t="s">
        <v>28</v>
      </c>
      <c r="D231" s="3" t="s">
        <v>11</v>
      </c>
      <c r="F231" s="3" t="s">
        <v>30</v>
      </c>
      <c r="G231" s="3" t="s">
        <v>312</v>
      </c>
      <c r="H231" s="3" t="s">
        <v>26</v>
      </c>
      <c r="I231" s="3"/>
      <c r="J231" s="3"/>
      <c r="K231" s="3"/>
      <c r="L231" s="3"/>
    </row>
    <row r="232" spans="1:13" ns3:dyDescent="0.2">
      <c r="A232" s="3" t="s">
        <v>344</v>
      </c>
      <c r="B232" s="3">
        <v>0.1</v>
      </c>
      <c r="C232" t="s">
        <v>4</v>
      </c>
      <c r="D232" s="3" t="s">
        <v>49</v>
      </c>
      <c r="F232" s="3" t="s">
        <v>30</v>
      </c>
      <c r="G232" s="3" t="s">
        <v>345</v>
      </c>
      <c r="H232" s="3" t="s">
        <v>81</v>
      </c>
      <c r="I232" s="3"/>
      <c r="J232" s="3"/>
      <c r="K232" s="3"/>
      <c r="L232" s="3"/>
    </row>
    <row r="233" spans="1:13" ns3:dyDescent="0.2">
      <c r="A233" s="3" t="s">
        <v>286</v>
      </c>
      <c r="B233" s="3">
        <v>0.2</v>
      </c>
      <c r="C233" t="s">
        <v>29</v>
      </c>
      <c r="D233" s="3" t="s">
        <v>49</v>
      </c>
      <c r="F233" s="3" t="s">
        <v>30</v>
      </c>
      <c r="G233" s="3" t="s">
        <v>287</v>
      </c>
      <c r="H233" s="3" t="s">
        <v>82</v>
      </c>
      <c r="I233" s="4"/>
    </row>
    <row r="234" spans="1:13" ns3:dyDescent="0.2">
      <c r="A234" s="3" t="s">
        <v>289</v>
      </c>
      <c r="B234" s="6">
        <v>-2.8900000000000002E-3</v>
      </c>
      <c r="C234" t="s">
        <v>290</v>
      </c>
      <c r="D234" t="s">
        <v>31</v>
      </c>
      <c r="F234" s="3" t="s">
        <v>30</v>
      </c>
      <c r="G234" s="3" t="s">
        <v>99</v>
      </c>
      <c r="H234" s="3" t="s">
        <v>128</v>
      </c>
      <c r="I234" s="3"/>
      <c r="J234" s="3"/>
      <c r="K234" s="3"/>
      <c r="L234" s="3"/>
    </row>
    <row r="235" spans="1:13" ns3:dyDescent="0.2">
      <c r="A235" s="3" t="s">
        <v>311</v>
      </c>
      <c r="B235" s="6">
        <v>-1.24E-2</v>
      </c>
      <c r="C235" t="s">
        <v>29</v>
      </c>
      <c r="D235" t="s">
        <v>31</v>
      </c>
      <c r="F235" s="3" t="s">
        <v>30</v>
      </c>
      <c r="G235" s="3" t="s">
        <v>178</v>
      </c>
      <c r="H235" s="3" t="s">
        <v>128</v>
      </c>
      <c r="I235" s="3"/>
      <c r="J235" s="3"/>
      <c r="K235" s="3"/>
      <c r="L235" s="3"/>
    </row>
    <row r="236" spans="1:13" ns3:dyDescent="0.2">
      <c r="I236" s="3"/>
      <c r="J236" s="3"/>
      <c r="K236" s="3"/>
      <c r="L236" s="3"/>
    </row>
    <row r="237" spans="1:13" ns3:dyDescent="0.2">
      <c r="A237" s="1" t="s">
        <v>1</v>
      </c>
      <c r="B237" s="1" t="s">
        <v>169</v>
      </c>
      <c r="M237" t="s">
        <v>2</v>
      </c>
    </row>
    <row r="238" spans="1:13" ns3:dyDescent="0.2">
      <c r="A238" t="s">
        <v>3</v>
      </c>
      <c r="B238" t="s">
        <v>4</v>
      </c>
      <c r="M238" t="s">
        <v>2</v>
      </c>
    </row>
    <row r="239" spans="1:13" ns3:dyDescent="0.2">
      <c r="A239" t="s">
        <v>5</v>
      </c>
      <c r="B239">
        <v>1</v>
      </c>
      <c r="M239" t="s">
        <v>2</v>
      </c>
    </row>
    <row r="240" spans="1:13" ns3:dyDescent="0.2">
      <c r="A240" t="s">
        <v>6</v>
      </c>
      <c r="B240" t="s">
        <v>181</v>
      </c>
    </row>
    <row r="241" spans="1:13" ns3:dyDescent="0.2">
      <c r="A241" t="s">
        <v>7</v>
      </c>
      <c r="B241" t="s">
        <v>17</v>
      </c>
    </row>
    <row r="242" spans="1:13" ns3:dyDescent="0.2">
      <c r="A242" t="s">
        <v>8</v>
      </c>
      <c r="B242" t="s">
        <v>170</v>
      </c>
      <c r="M242" t="s">
        <v>2</v>
      </c>
    </row>
    <row r="243" spans="1:13" ns3:dyDescent="0.2">
      <c r="A243" t="s">
        <v>9</v>
      </c>
      <c r="B243" t="s">
        <v>10</v>
      </c>
      <c r="M243" t="s">
        <v>2</v>
      </c>
    </row>
    <row r="244" spans="1:13" ns3:dyDescent="0.2">
      <c r="A244" t="s">
        <v>11</v>
      </c>
      <c r="B244" t="s">
        <v>31</v>
      </c>
      <c r="M244" t="s">
        <v>2</v>
      </c>
    </row>
    <row r="245" spans="1:13" ns3:dyDescent="0.2">
      <c r="A245" s="1" t="s">
        <v>12</v>
      </c>
      <c r="M245" t="s">
        <v>2</v>
      </c>
    </row>
    <row r="246" spans="1:13" ns3:dyDescent="0.2">
      <c r="A246" s="1" t="s">
        <v>13</v>
      </c>
      <c r="B246" s="1" t="s">
        <v>14</v>
      </c>
      <c r="C246" s="1" t="s">
        <v>3</v>
      </c>
      <c r="D246" s="1" t="s">
        <v>11</v>
      </c>
      <c r="E246" s="1" t="s">
        <v>15</v>
      </c>
      <c r="F246" s="1" t="s">
        <v>9</v>
      </c>
      <c r="G246" s="1" t="s">
        <v>8</v>
      </c>
      <c r="H246" s="1" t="s">
        <v>6</v>
      </c>
      <c r="I246" s="4"/>
    </row>
    <row r="247" spans="1:13" ns3:dyDescent="0.2">
      <c r="A247" t="str">
        <f>B237</f>
        <v>pipes assembly, for VRFB system</v>
      </c>
      <c r="B247">
        <v>1</v>
      </c>
      <c r="C247" t="s">
        <v>4</v>
      </c>
      <c r="D247" t="s">
        <v>31</v>
      </c>
      <c r="F247" t="s">
        <v>33</v>
      </c>
      <c r="G247" t="str">
        <f>B242</f>
        <v>pipes, for VRFB system</v>
      </c>
      <c r="I247" s="3"/>
      <c r="J247" s="3"/>
      <c r="K247" s="3"/>
      <c r="L247" s="3"/>
    </row>
    <row r="248" spans="1:13" ns3:dyDescent="0.2">
      <c r="A248" s="3" t="s">
        <v>186</v>
      </c>
      <c r="B248" s="3">
        <v>0.87</v>
      </c>
      <c r="C248" t="s">
        <v>28</v>
      </c>
      <c r="D248" t="s">
        <v>31</v>
      </c>
      <c r="F248" t="s">
        <v>30</v>
      </c>
      <c r="G248" s="3" t="s">
        <v>188</v>
      </c>
      <c r="H248" s="3" t="s">
        <v>182</v>
      </c>
      <c r="I248" s="3"/>
      <c r="J248" s="3"/>
      <c r="K248" s="3"/>
      <c r="L248" s="3"/>
    </row>
    <row r="249" spans="1:13" ns3:dyDescent="0.2">
      <c r="A249" s="3" t="s">
        <v>309</v>
      </c>
      <c r="B249" s="3">
        <v>0.13</v>
      </c>
      <c r="C249" t="s">
        <v>28</v>
      </c>
      <c r="D249" t="s">
        <v>31</v>
      </c>
      <c r="F249" t="s">
        <v>30</v>
      </c>
      <c r="G249" s="3" t="s">
        <v>310</v>
      </c>
      <c r="H249" s="3" t="s">
        <v>183</v>
      </c>
      <c r="I249" s="3"/>
      <c r="J249" s="3"/>
      <c r="K249" s="3"/>
      <c r="L249" s="3"/>
    </row>
    <row r="250" spans="1:13" ns3:dyDescent="0.2">
      <c r="A250" s="3" t="s">
        <v>187</v>
      </c>
      <c r="B250" s="3">
        <v>0.87</v>
      </c>
      <c r="C250" t="s">
        <v>28</v>
      </c>
      <c r="D250" t="s">
        <v>31</v>
      </c>
      <c r="F250" t="s">
        <v>30</v>
      </c>
      <c r="G250" s="3" t="s">
        <v>189</v>
      </c>
      <c r="H250" s="3" t="s">
        <v>184</v>
      </c>
      <c r="I250" s="3"/>
      <c r="J250" s="3"/>
      <c r="K250" s="3"/>
      <c r="L250" s="3"/>
    </row>
    <row r="251" spans="1:13" ns3:dyDescent="0.2">
      <c r="A251" s="3" t="s">
        <v>344</v>
      </c>
      <c r="B251" s="3">
        <v>0.1</v>
      </c>
      <c r="C251" t="s">
        <v>4</v>
      </c>
      <c r="D251" s="3" t="s">
        <v>49</v>
      </c>
      <c r="F251" t="s">
        <v>30</v>
      </c>
      <c r="G251" s="3" t="s">
        <v>345</v>
      </c>
      <c r="H251" s="3" t="s">
        <v>81</v>
      </c>
      <c r="I251" s="3"/>
      <c r="J251" s="3"/>
      <c r="K251" s="3"/>
      <c r="L251" s="3"/>
    </row>
    <row r="252" spans="1:13" ns3:dyDescent="0.2">
      <c r="A252" s="3" t="s">
        <v>286</v>
      </c>
      <c r="B252" s="3">
        <v>0.2</v>
      </c>
      <c r="C252" t="s">
        <v>29</v>
      </c>
      <c r="D252" s="3" t="s">
        <v>49</v>
      </c>
      <c r="F252" t="s">
        <v>30</v>
      </c>
      <c r="G252" s="3" t="s">
        <v>287</v>
      </c>
      <c r="H252" s="3" t="s">
        <v>82</v>
      </c>
      <c r="I252" s="4"/>
    </row>
    <row r="253" spans="1:13" ns3:dyDescent="0.2">
      <c r="I253" s="3"/>
      <c r="J253" s="3"/>
      <c r="K253" s="3"/>
      <c r="L253" s="3"/>
    </row>
    <row r="254" spans="1:13" ns3:dyDescent="0.2">
      <c r="A254" s="1" t="s">
        <v>1</v>
      </c>
      <c r="B254" s="1" t="s">
        <v>195</v>
      </c>
      <c r="M254" t="s">
        <v>2</v>
      </c>
    </row>
    <row r="255" spans="1:13" ns3:dyDescent="0.2">
      <c r="A255" t="s">
        <v>3</v>
      </c>
      <c r="B255" t="s">
        <v>4</v>
      </c>
      <c r="M255" t="s">
        <v>2</v>
      </c>
    </row>
    <row r="256" spans="1:13" ns3:dyDescent="0.2">
      <c r="A256" t="s">
        <v>5</v>
      </c>
      <c r="B256">
        <v>1</v>
      </c>
      <c r="M256" t="s">
        <v>2</v>
      </c>
    </row>
    <row r="257" spans="1:13" ns3:dyDescent="0.2">
      <c r="A257" t="s">
        <v>6</v>
      </c>
      <c r="B257" t="s">
        <v>191</v>
      </c>
    </row>
    <row r="258" spans="1:13" ns3:dyDescent="0.2">
      <c r="A258" t="s">
        <v>7</v>
      </c>
      <c r="B258" t="s">
        <v>17</v>
      </c>
    </row>
    <row r="259" spans="1:13" ns3:dyDescent="0.2">
      <c r="A259" t="s">
        <v>8</v>
      </c>
      <c r="B259" t="s">
        <v>190</v>
      </c>
      <c r="M259" t="s">
        <v>2</v>
      </c>
    </row>
    <row r="260" spans="1:13" ns3:dyDescent="0.2">
      <c r="A260" t="s">
        <v>9</v>
      </c>
      <c r="B260" t="s">
        <v>10</v>
      </c>
      <c r="M260" t="s">
        <v>2</v>
      </c>
    </row>
    <row r="261" spans="1:13" ns3:dyDescent="0.2">
      <c r="A261" t="s">
        <v>11</v>
      </c>
      <c r="B261" t="s">
        <v>31</v>
      </c>
      <c r="M261" t="s">
        <v>2</v>
      </c>
    </row>
    <row r="262" spans="1:13" ns3:dyDescent="0.2">
      <c r="A262" s="1" t="s">
        <v>12</v>
      </c>
      <c r="M262" t="s">
        <v>2</v>
      </c>
    </row>
    <row r="263" spans="1:13" ns3:dyDescent="0.2">
      <c r="A263" s="1" t="s">
        <v>13</v>
      </c>
      <c r="B263" s="1" t="s">
        <v>14</v>
      </c>
      <c r="C263" s="1" t="s">
        <v>3</v>
      </c>
      <c r="D263" s="1" t="s">
        <v>11</v>
      </c>
      <c r="E263" s="1" t="s">
        <v>15</v>
      </c>
      <c r="F263" s="1" t="s">
        <v>9</v>
      </c>
      <c r="G263" s="1" t="s">
        <v>8</v>
      </c>
      <c r="H263" s="1" t="s">
        <v>6</v>
      </c>
      <c r="I263" s="4"/>
    </row>
    <row r="264" spans="1:13" ns3:dyDescent="0.2">
      <c r="A264" t="str">
        <f>B254</f>
        <v>heat exchanger production, for VRFB system</v>
      </c>
      <c r="B264">
        <v>1</v>
      </c>
      <c r="C264" t="s">
        <v>4</v>
      </c>
      <c r="D264" t="s">
        <v>31</v>
      </c>
      <c r="F264" t="s">
        <v>33</v>
      </c>
      <c r="G264" t="str">
        <f>B259</f>
        <v>heat exchanger, for VRFB system</v>
      </c>
      <c r="I264" s="3"/>
      <c r="J264" s="3"/>
      <c r="K264" s="3"/>
      <c r="L264" s="3"/>
    </row>
    <row r="265" spans="1:13" ns3:dyDescent="0.2">
      <c r="A265" s="3" t="s">
        <v>359</v>
      </c>
      <c r="B265" s="3">
        <v>1</v>
      </c>
      <c r="C265" t="s">
        <v>28</v>
      </c>
      <c r="D265" t="s">
        <v>31</v>
      </c>
      <c r="F265" t="s">
        <v>30</v>
      </c>
      <c r="G265" s="3" t="s">
        <v>299</v>
      </c>
      <c r="H265" s="3" t="s">
        <v>174</v>
      </c>
    </row>
    <row r="266" spans="1:13" ns3:dyDescent="0.2">
      <c r="A266" s="3" t="s">
        <v>193</v>
      </c>
      <c r="B266" s="3">
        <v>1</v>
      </c>
      <c r="C266" t="s">
        <v>28</v>
      </c>
      <c r="D266" t="s">
        <v>31</v>
      </c>
      <c r="F266" t="s">
        <v>30</v>
      </c>
      <c r="G266" s="3" t="s">
        <v>194</v>
      </c>
      <c r="H266" s="3" t="s">
        <v>192</v>
      </c>
    </row>
    <row r="267" spans="1:13" ns3:dyDescent="0.2">
      <c r="A267" s="3" t="s">
        <v>358</v>
      </c>
      <c r="B267" s="3">
        <f>0.27/3.6</f>
        <v>7.4999999999999997E-2</v>
      </c>
      <c r="C267" s="7" t="s">
        <v>4</v>
      </c>
      <c r="D267" s="3" t="s">
        <v>84</v>
      </c>
      <c r="F267" t="s">
        <v>30</v>
      </c>
      <c r="G267" s="3" t="s">
        <v>98</v>
      </c>
      <c r="H267" s="3" t="s">
        <v>80</v>
      </c>
    </row>
    <row r="268" spans="1:13" ns3:dyDescent="0.2">
      <c r="A268" s="3" t="s">
        <v>282</v>
      </c>
      <c r="B268" s="3">
        <v>0.54</v>
      </c>
      <c r="C268" t="s">
        <v>29</v>
      </c>
      <c r="D268" s="3" t="s">
        <v>32</v>
      </c>
      <c r="F268" t="s">
        <v>30</v>
      </c>
      <c r="G268" s="3" t="s">
        <v>283</v>
      </c>
      <c r="H268" s="3" t="s">
        <v>79</v>
      </c>
    </row>
    <row r="269" spans="1:13" ns3:dyDescent="0.2">
      <c r="A269" s="3" t="s">
        <v>344</v>
      </c>
      <c r="B269" s="3">
        <v>0.05</v>
      </c>
      <c r="C269" t="s">
        <v>4</v>
      </c>
      <c r="D269" s="3" t="s">
        <v>49</v>
      </c>
      <c r="F269" t="s">
        <v>30</v>
      </c>
      <c r="G269" s="3" t="s">
        <v>345</v>
      </c>
      <c r="H269" s="3" t="s">
        <v>81</v>
      </c>
    </row>
    <row r="270" spans="1:13" ns3:dyDescent="0.2">
      <c r="A270" s="3" t="s">
        <v>286</v>
      </c>
      <c r="B270" s="3">
        <v>1.1599999999999999</v>
      </c>
      <c r="C270" t="s">
        <v>29</v>
      </c>
      <c r="D270" s="3" t="s">
        <v>49</v>
      </c>
      <c r="F270" t="s">
        <v>30</v>
      </c>
      <c r="G270" s="3" t="s">
        <v>287</v>
      </c>
      <c r="H270" s="3" t="s">
        <v>82</v>
      </c>
    </row>
    <row r="272" spans="1:13" ns3:dyDescent="0.2">
      <c r="A272" s="1" t="s">
        <v>1</v>
      </c>
      <c r="B272" s="1" t="s">
        <v>196</v>
      </c>
      <c r="M272" t="s">
        <v>2</v>
      </c>
    </row>
    <row r="273" spans="1:13" ns3:dyDescent="0.2">
      <c r="A273" t="s">
        <v>3</v>
      </c>
      <c r="B273" t="s">
        <v>4</v>
      </c>
      <c r="M273" t="s">
        <v>2</v>
      </c>
    </row>
    <row r="274" spans="1:13" ns3:dyDescent="0.2">
      <c r="A274" t="s">
        <v>5</v>
      </c>
      <c r="B274">
        <v>1</v>
      </c>
      <c r="M274" t="s">
        <v>2</v>
      </c>
    </row>
    <row r="275" spans="1:13" ns3:dyDescent="0.2">
      <c r="A275" t="s">
        <v>6</v>
      </c>
      <c r="B275" t="s">
        <v>197</v>
      </c>
    </row>
    <row r="276" spans="1:13" ns3:dyDescent="0.2">
      <c r="A276" t="s">
        <v>7</v>
      </c>
      <c r="B276" t="s">
        <v>17</v>
      </c>
    </row>
    <row r="277" spans="1:13" ns3:dyDescent="0.2">
      <c r="A277" t="s">
        <v>8</v>
      </c>
      <c r="B277" t="s">
        <v>198</v>
      </c>
      <c r="M277" t="s">
        <v>2</v>
      </c>
    </row>
    <row r="278" spans="1:13" ns3:dyDescent="0.2">
      <c r="A278" t="s">
        <v>9</v>
      </c>
      <c r="B278" t="s">
        <v>10</v>
      </c>
      <c r="M278" t="s">
        <v>2</v>
      </c>
    </row>
    <row r="279" spans="1:13" ns3:dyDescent="0.2">
      <c r="A279" t="s">
        <v>11</v>
      </c>
      <c r="B279" t="s">
        <v>31</v>
      </c>
      <c r="M279" t="s">
        <v>2</v>
      </c>
    </row>
    <row r="280" spans="1:13" ns3:dyDescent="0.2">
      <c r="A280" s="1" t="s">
        <v>12</v>
      </c>
      <c r="M280" t="s">
        <v>2</v>
      </c>
    </row>
    <row r="281" spans="1:13" ns3:dyDescent="0.2">
      <c r="A281" s="1" t="s">
        <v>13</v>
      </c>
      <c r="B281" s="1" t="s">
        <v>14</v>
      </c>
      <c r="C281" s="1" t="s">
        <v>3</v>
      </c>
      <c r="D281" s="1" t="s">
        <v>11</v>
      </c>
      <c r="E281" s="1" t="s">
        <v>15</v>
      </c>
      <c r="F281" s="1" t="s">
        <v>9</v>
      </c>
      <c r="G281" s="1" t="s">
        <v>8</v>
      </c>
      <c r="H281" s="1" t="s">
        <v>6</v>
      </c>
      <c r="I281" s="4"/>
    </row>
    <row r="282" spans="1:13" ns3:dyDescent="0.2">
      <c r="A282" t="str">
        <f>B272</f>
        <v>stack monitoring interface assembly, for VRFB system</v>
      </c>
      <c r="B282">
        <v>1</v>
      </c>
      <c r="C282" t="s">
        <v>4</v>
      </c>
      <c r="D282" t="s">
        <v>31</v>
      </c>
      <c r="F282" t="s">
        <v>33</v>
      </c>
      <c r="G282" t="str">
        <f>B277</f>
        <v>stack monitoring interface, for VRFB system</v>
      </c>
      <c r="I282" s="3"/>
      <c r="J282" s="3"/>
      <c r="K282" s="3"/>
      <c r="L282" s="3"/>
    </row>
    <row r="283" spans="1:13" ns3:dyDescent="0.2">
      <c r="A283" s="3" t="s">
        <v>109</v>
      </c>
      <c r="B283" s="3">
        <v>0.77</v>
      </c>
      <c r="C283" t="s">
        <v>28</v>
      </c>
      <c r="D283" t="s">
        <v>31</v>
      </c>
      <c r="F283" s="3" t="s">
        <v>30</v>
      </c>
      <c r="G283" s="3" t="s">
        <v>296</v>
      </c>
      <c r="H283" s="3" t="s">
        <v>199</v>
      </c>
    </row>
    <row r="284" spans="1:13" ns3:dyDescent="0.2">
      <c r="A284" s="3" t="s">
        <v>206</v>
      </c>
      <c r="B284" s="3">
        <v>0.15</v>
      </c>
      <c r="C284" t="s">
        <v>28</v>
      </c>
      <c r="D284" t="s">
        <v>31</v>
      </c>
      <c r="F284" s="3" t="s">
        <v>30</v>
      </c>
      <c r="G284" s="3" t="s">
        <v>211</v>
      </c>
      <c r="H284" s="3" t="s">
        <v>200</v>
      </c>
    </row>
    <row r="285" spans="1:13" ns3:dyDescent="0.2">
      <c r="A285" s="3" t="s">
        <v>207</v>
      </c>
      <c r="B285" s="6">
        <v>1.9300000000000001E-2</v>
      </c>
      <c r="C285" t="s">
        <v>28</v>
      </c>
      <c r="D285" t="s">
        <v>31</v>
      </c>
      <c r="F285" s="3" t="s">
        <v>30</v>
      </c>
      <c r="G285" s="3" t="s">
        <v>212</v>
      </c>
      <c r="H285" s="3" t="s">
        <v>201</v>
      </c>
    </row>
    <row r="286" spans="1:13" ns3:dyDescent="0.2">
      <c r="A286" s="3" t="s">
        <v>208</v>
      </c>
      <c r="B286" s="3">
        <v>0.33</v>
      </c>
      <c r="C286" t="s">
        <v>28</v>
      </c>
      <c r="D286" s="3" t="s">
        <v>108</v>
      </c>
      <c r="F286" s="3" t="s">
        <v>30</v>
      </c>
      <c r="G286" s="3" t="s">
        <v>213</v>
      </c>
      <c r="H286" s="3" t="s">
        <v>202</v>
      </c>
    </row>
    <row r="287" spans="1:13" ns3:dyDescent="0.2">
      <c r="A287" s="3" t="s">
        <v>210</v>
      </c>
      <c r="B287" s="6">
        <v>0.05</v>
      </c>
      <c r="C287" t="s">
        <v>28</v>
      </c>
      <c r="D287" t="s">
        <v>31</v>
      </c>
      <c r="F287" s="3" t="s">
        <v>30</v>
      </c>
      <c r="G287" s="3" t="s">
        <v>214</v>
      </c>
      <c r="H287" s="3" t="s">
        <v>203</v>
      </c>
    </row>
    <row r="288" spans="1:13" ns3:dyDescent="0.2">
      <c r="A288" s="3" t="s">
        <v>209</v>
      </c>
      <c r="B288" s="3">
        <v>0.77</v>
      </c>
      <c r="C288" t="s">
        <v>28</v>
      </c>
      <c r="D288" t="s">
        <v>31</v>
      </c>
      <c r="F288" s="3" t="s">
        <v>30</v>
      </c>
      <c r="G288" s="3" t="s">
        <v>215</v>
      </c>
      <c r="H288" s="3" t="s">
        <v>204</v>
      </c>
    </row>
    <row r="289" spans="1:13" ns3:dyDescent="0.2">
      <c r="A289" s="3" t="s">
        <v>294</v>
      </c>
      <c r="B289" s="6">
        <v>0.05</v>
      </c>
      <c r="C289" t="s">
        <v>28</v>
      </c>
      <c r="D289" t="s">
        <v>31</v>
      </c>
      <c r="F289" s="3" t="s">
        <v>30</v>
      </c>
      <c r="G289" s="3" t="s">
        <v>295</v>
      </c>
      <c r="H289" s="3" t="s">
        <v>205</v>
      </c>
    </row>
    <row r="290" spans="1:13" ns3:dyDescent="0.2">
      <c r="A290" s="3" t="s">
        <v>344</v>
      </c>
      <c r="B290" s="3">
        <v>0.1</v>
      </c>
      <c r="C290" t="s">
        <v>4</v>
      </c>
      <c r="D290" s="3" t="s">
        <v>49</v>
      </c>
      <c r="F290" s="3" t="s">
        <v>30</v>
      </c>
      <c r="G290" s="3" t="s">
        <v>345</v>
      </c>
      <c r="H290" s="3" t="s">
        <v>81</v>
      </c>
    </row>
    <row r="291" spans="1:13" ns3:dyDescent="0.2">
      <c r="A291" s="3" t="s">
        <v>286</v>
      </c>
      <c r="B291" s="3">
        <v>0.6</v>
      </c>
      <c r="C291" t="s">
        <v>29</v>
      </c>
      <c r="D291" s="3" t="s">
        <v>49</v>
      </c>
      <c r="F291" s="3" t="s">
        <v>30</v>
      </c>
      <c r="G291" s="3" t="s">
        <v>287</v>
      </c>
      <c r="H291" s="3" t="s">
        <v>82</v>
      </c>
    </row>
    <row r="292" spans="1:13" ns3:dyDescent="0.2">
      <c r="H292" s="4"/>
    </row>
    <row r="293" spans="1:13" ns3:dyDescent="0.2">
      <c r="A293" s="1" t="s">
        <v>1</v>
      </c>
      <c r="B293" s="1" t="s">
        <v>216</v>
      </c>
      <c r="M293" t="s">
        <v>2</v>
      </c>
    </row>
    <row r="294" spans="1:13" ns3:dyDescent="0.2">
      <c r="A294" t="s">
        <v>3</v>
      </c>
      <c r="B294" t="s">
        <v>4</v>
      </c>
      <c r="M294" t="s">
        <v>2</v>
      </c>
    </row>
    <row r="295" spans="1:13" ns3:dyDescent="0.2">
      <c r="A295" t="s">
        <v>5</v>
      </c>
      <c r="B295">
        <v>1</v>
      </c>
      <c r="M295" t="s">
        <v>2</v>
      </c>
    </row>
    <row r="296" spans="1:13" ns3:dyDescent="0.2">
      <c r="A296" t="s">
        <v>6</v>
      </c>
      <c r="B296" t="s">
        <v>197</v>
      </c>
    </row>
    <row r="297" spans="1:13" ns3:dyDescent="0.2">
      <c r="A297" t="s">
        <v>7</v>
      </c>
      <c r="B297" t="s">
        <v>17</v>
      </c>
    </row>
    <row r="298" spans="1:13" ns3:dyDescent="0.2">
      <c r="A298" t="s">
        <v>8</v>
      </c>
      <c r="B298" t="s">
        <v>217</v>
      </c>
      <c r="M298" t="s">
        <v>2</v>
      </c>
    </row>
    <row r="299" spans="1:13" ns3:dyDescent="0.2">
      <c r="A299" t="s">
        <v>9</v>
      </c>
      <c r="B299" t="s">
        <v>10</v>
      </c>
      <c r="M299" t="s">
        <v>2</v>
      </c>
    </row>
    <row r="300" spans="1:13" ns3:dyDescent="0.2">
      <c r="A300" t="s">
        <v>11</v>
      </c>
      <c r="B300" t="s">
        <v>31</v>
      </c>
      <c r="M300" t="s">
        <v>2</v>
      </c>
    </row>
    <row r="301" spans="1:13" ns3:dyDescent="0.2">
      <c r="A301" s="1" t="s">
        <v>12</v>
      </c>
      <c r="M301" t="s">
        <v>2</v>
      </c>
    </row>
    <row r="302" spans="1:13" ns3:dyDescent="0.2">
      <c r="A302" s="1" t="s">
        <v>13</v>
      </c>
      <c r="B302" s="1" t="s">
        <v>14</v>
      </c>
      <c r="C302" s="1" t="s">
        <v>3</v>
      </c>
      <c r="D302" s="1" t="s">
        <v>11</v>
      </c>
      <c r="E302" s="1" t="s">
        <v>15</v>
      </c>
      <c r="F302" s="1" t="s">
        <v>9</v>
      </c>
      <c r="G302" s="1" t="s">
        <v>8</v>
      </c>
      <c r="H302" s="1" t="s">
        <v>6</v>
      </c>
      <c r="I302" s="4"/>
    </row>
    <row r="303" spans="1:13" ns3:dyDescent="0.2">
      <c r="A303" t="str">
        <f>B293</f>
        <v>battery management system assembly, for VRFB system</v>
      </c>
      <c r="B303">
        <v>1</v>
      </c>
      <c r="C303" t="s">
        <v>4</v>
      </c>
      <c r="D303" t="s">
        <v>31</v>
      </c>
      <c r="F303" t="s">
        <v>33</v>
      </c>
      <c r="G303" t="str">
        <f>B298</f>
        <v>battery management system, for VRFB system</v>
      </c>
      <c r="I303" s="3"/>
      <c r="J303" s="3"/>
      <c r="K303" s="3"/>
      <c r="L303" s="3"/>
    </row>
    <row r="304" spans="1:13" ns3:dyDescent="0.2">
      <c r="A304" s="3" t="s">
        <v>210</v>
      </c>
      <c r="B304" s="3">
        <v>0.18</v>
      </c>
      <c r="C304" t="s">
        <v>28</v>
      </c>
      <c r="D304" t="s">
        <v>31</v>
      </c>
      <c r="F304" s="3" t="s">
        <v>30</v>
      </c>
      <c r="G304" s="3" t="s">
        <v>214</v>
      </c>
      <c r="H304" s="3" t="s">
        <v>218</v>
      </c>
    </row>
    <row r="305" spans="1:13" ns3:dyDescent="0.2">
      <c r="A305" s="3" t="s">
        <v>294</v>
      </c>
      <c r="B305" s="3">
        <v>0.18</v>
      </c>
      <c r="C305" t="s">
        <v>28</v>
      </c>
      <c r="D305" t="s">
        <v>31</v>
      </c>
      <c r="F305" s="3" t="s">
        <v>30</v>
      </c>
      <c r="G305" s="3" t="s">
        <v>295</v>
      </c>
      <c r="H305" s="3" t="s">
        <v>219</v>
      </c>
    </row>
    <row r="306" spans="1:13" ns3:dyDescent="0.2">
      <c r="A306" s="3" t="s">
        <v>222</v>
      </c>
      <c r="B306" s="3">
        <v>0.68</v>
      </c>
      <c r="C306" t="s">
        <v>28</v>
      </c>
      <c r="D306" t="s">
        <v>31</v>
      </c>
      <c r="F306" s="3" t="s">
        <v>30</v>
      </c>
      <c r="G306" s="3" t="s">
        <v>224</v>
      </c>
      <c r="H306" s="3" t="s">
        <v>220</v>
      </c>
    </row>
    <row r="307" spans="1:13" ns3:dyDescent="0.2">
      <c r="A307" s="3" t="s">
        <v>223</v>
      </c>
      <c r="B307" s="3">
        <v>0.32</v>
      </c>
      <c r="C307" t="s">
        <v>28</v>
      </c>
      <c r="D307" t="s">
        <v>31</v>
      </c>
      <c r="F307" s="3" t="s">
        <v>30</v>
      </c>
      <c r="G307" s="3" t="s">
        <v>225</v>
      </c>
      <c r="H307" s="3" t="s">
        <v>221</v>
      </c>
    </row>
    <row r="308" spans="1:13" ns3:dyDescent="0.2">
      <c r="A308" s="3" t="s">
        <v>344</v>
      </c>
      <c r="B308" s="3">
        <v>0.1</v>
      </c>
      <c r="C308" t="s">
        <v>4</v>
      </c>
      <c r="D308" s="3" t="s">
        <v>49</v>
      </c>
      <c r="F308" s="3" t="s">
        <v>30</v>
      </c>
      <c r="G308" s="3" t="s">
        <v>345</v>
      </c>
      <c r="H308" s="3" t="s">
        <v>81</v>
      </c>
    </row>
    <row r="309" spans="1:13" ns3:dyDescent="0.2">
      <c r="A309" s="3" t="s">
        <v>286</v>
      </c>
      <c r="B309" s="3">
        <v>0.6</v>
      </c>
      <c r="C309" t="s">
        <v>29</v>
      </c>
      <c r="D309" s="3" t="s">
        <v>49</v>
      </c>
      <c r="F309" s="3" t="s">
        <v>30</v>
      </c>
      <c r="G309" s="3" t="s">
        <v>287</v>
      </c>
      <c r="H309" s="3" t="s">
        <v>82</v>
      </c>
    </row>
    <row r="311" spans="1:13" ns3:dyDescent="0.2">
      <c r="A311" s="1" t="s">
        <v>1</v>
      </c>
      <c r="B311" s="1" t="s">
        <v>226</v>
      </c>
      <c r="M311" t="s">
        <v>2</v>
      </c>
    </row>
    <row r="312" spans="1:13" ns3:dyDescent="0.2">
      <c r="A312" t="s">
        <v>3</v>
      </c>
      <c r="B312" t="s">
        <v>4</v>
      </c>
      <c r="M312" t="s">
        <v>2</v>
      </c>
    </row>
    <row r="313" spans="1:13" ns3:dyDescent="0.2">
      <c r="A313" t="s">
        <v>5</v>
      </c>
      <c r="B313">
        <v>1</v>
      </c>
      <c r="M313" t="s">
        <v>2</v>
      </c>
    </row>
    <row r="314" spans="1:13" ns3:dyDescent="0.2">
      <c r="A314" t="s">
        <v>6</v>
      </c>
      <c r="B314" t="s">
        <v>197</v>
      </c>
    </row>
    <row r="315" spans="1:13" ns3:dyDescent="0.2">
      <c r="A315" t="s">
        <v>7</v>
      </c>
      <c r="B315" t="s">
        <v>17</v>
      </c>
    </row>
    <row r="316" spans="1:13" ns3:dyDescent="0.2">
      <c r="A316" t="s">
        <v>8</v>
      </c>
      <c r="B316" t="s">
        <v>227</v>
      </c>
      <c r="M316" t="s">
        <v>2</v>
      </c>
    </row>
    <row r="317" spans="1:13" ns3:dyDescent="0.2">
      <c r="A317" t="s">
        <v>9</v>
      </c>
      <c r="B317" t="s">
        <v>10</v>
      </c>
      <c r="M317" t="s">
        <v>2</v>
      </c>
    </row>
    <row r="318" spans="1:13" ns3:dyDescent="0.2">
      <c r="A318" t="s">
        <v>11</v>
      </c>
      <c r="B318" t="s">
        <v>31</v>
      </c>
      <c r="M318" t="s">
        <v>2</v>
      </c>
    </row>
    <row r="319" spans="1:13" ns3:dyDescent="0.2">
      <c r="A319" s="1" t="s">
        <v>12</v>
      </c>
      <c r="M319" t="s">
        <v>2</v>
      </c>
    </row>
    <row r="320" spans="1:13" ns3:dyDescent="0.2">
      <c r="A320" s="1" t="s">
        <v>13</v>
      </c>
      <c r="B320" s="1" t="s">
        <v>14</v>
      </c>
      <c r="C320" s="1" t="s">
        <v>3</v>
      </c>
      <c r="D320" s="1" t="s">
        <v>11</v>
      </c>
      <c r="E320" s="1" t="s">
        <v>15</v>
      </c>
      <c r="F320" s="1" t="s">
        <v>9</v>
      </c>
      <c r="G320" s="1" t="s">
        <v>8</v>
      </c>
      <c r="H320" s="1" t="s">
        <v>6</v>
      </c>
      <c r="I320" s="4"/>
    </row>
    <row r="321" spans="1:13" ns3:dyDescent="0.2">
      <c r="A321" t="str">
        <f>B311</f>
        <v>process control system assembly, for VRFB system</v>
      </c>
      <c r="B321">
        <v>1</v>
      </c>
      <c r="C321" t="s">
        <v>4</v>
      </c>
      <c r="D321" t="s">
        <v>31</v>
      </c>
      <c r="F321" t="s">
        <v>33</v>
      </c>
      <c r="G321" t="str">
        <f>B316</f>
        <v>process control system, for VRFB system</v>
      </c>
      <c r="I321" s="3"/>
      <c r="J321" s="3"/>
      <c r="K321" s="3"/>
      <c r="L321" s="3"/>
    </row>
    <row r="322" spans="1:13" ns3:dyDescent="0.2">
      <c r="A322" t="s">
        <v>196</v>
      </c>
      <c r="B322" s="3">
        <v>0.91</v>
      </c>
      <c r="C322" t="s">
        <v>4</v>
      </c>
      <c r="D322" t="s">
        <v>31</v>
      </c>
      <c r="F322" t="s">
        <v>30</v>
      </c>
      <c r="G322" t="s">
        <v>198</v>
      </c>
      <c r="H322" s="3" t="s">
        <v>228</v>
      </c>
      <c r="L322" s="3"/>
    </row>
    <row r="323" spans="1:13" ns3:dyDescent="0.2">
      <c r="A323" t="s">
        <v>216</v>
      </c>
      <c r="B323" s="3">
        <v>0.09</v>
      </c>
      <c r="C323" t="s">
        <v>4</v>
      </c>
      <c r="D323" t="s">
        <v>31</v>
      </c>
      <c r="F323" t="s">
        <v>30</v>
      </c>
      <c r="G323" t="s">
        <v>217</v>
      </c>
      <c r="H323" s="3" t="s">
        <v>229</v>
      </c>
      <c r="L323" s="3"/>
    </row>
    <row r="325" spans="1:13" ns3:dyDescent="0.2">
      <c r="A325" s="1" t="s">
        <v>1</v>
      </c>
      <c r="B325" s="1" t="s">
        <v>230</v>
      </c>
      <c r="M325" t="s">
        <v>2</v>
      </c>
    </row>
    <row r="326" spans="1:13" ns3:dyDescent="0.2">
      <c r="A326" t="s">
        <v>3</v>
      </c>
      <c r="B326" t="s">
        <v>4</v>
      </c>
      <c r="M326" t="s">
        <v>2</v>
      </c>
    </row>
    <row r="327" spans="1:13" ns3:dyDescent="0.2">
      <c r="A327" t="s">
        <v>5</v>
      </c>
      <c r="B327">
        <v>1</v>
      </c>
      <c r="M327" t="s">
        <v>2</v>
      </c>
    </row>
    <row r="328" spans="1:13" ns3:dyDescent="0.2">
      <c r="A328" t="s">
        <v>7</v>
      </c>
      <c r="B328" t="s">
        <v>17</v>
      </c>
    </row>
    <row r="329" spans="1:13" ns3:dyDescent="0.2">
      <c r="A329" t="s">
        <v>8</v>
      </c>
      <c r="B329" t="s">
        <v>231</v>
      </c>
      <c r="M329" t="s">
        <v>2</v>
      </c>
    </row>
    <row r="330" spans="1:13" ns3:dyDescent="0.2">
      <c r="A330" t="s">
        <v>9</v>
      </c>
      <c r="B330" t="s">
        <v>10</v>
      </c>
      <c r="M330" t="s">
        <v>2</v>
      </c>
    </row>
    <row r="331" spans="1:13" ns3:dyDescent="0.2">
      <c r="A331" t="s">
        <v>11</v>
      </c>
      <c r="B331" t="s">
        <v>31</v>
      </c>
      <c r="M331" t="s">
        <v>2</v>
      </c>
    </row>
    <row r="332" spans="1:13" ns3:dyDescent="0.2">
      <c r="A332" s="1" t="s">
        <v>12</v>
      </c>
      <c r="M332" t="s">
        <v>2</v>
      </c>
    </row>
    <row r="333" spans="1:13" ns3:dyDescent="0.2">
      <c r="A333" s="1" t="s">
        <v>13</v>
      </c>
      <c r="B333" s="1" t="s">
        <v>14</v>
      </c>
      <c r="C333" s="1" t="s">
        <v>3</v>
      </c>
      <c r="D333" s="1" t="s">
        <v>11</v>
      </c>
      <c r="E333" s="1" t="s">
        <v>15</v>
      </c>
      <c r="F333" s="1" t="s">
        <v>9</v>
      </c>
      <c r="G333" s="1" t="s">
        <v>8</v>
      </c>
      <c r="H333" s="1" t="s">
        <v>6</v>
      </c>
      <c r="I333" s="4"/>
    </row>
    <row r="334" spans="1:13" ns3:dyDescent="0.2">
      <c r="A334" t="str">
        <f>B325</f>
        <v>treatment of stack, for VRFB system</v>
      </c>
      <c r="B334">
        <v>-1</v>
      </c>
      <c r="C334" t="s">
        <v>4</v>
      </c>
      <c r="D334" t="s">
        <v>31</v>
      </c>
      <c r="F334" t="s">
        <v>33</v>
      </c>
      <c r="G334" t="str">
        <f>B329</f>
        <v>used stack, for VRFB system</v>
      </c>
      <c r="I334" s="3"/>
      <c r="J334" s="3"/>
      <c r="K334" s="3"/>
      <c r="L334" s="3"/>
    </row>
    <row r="335" spans="1:13" ns3:dyDescent="0.2">
      <c r="A335" t="s">
        <v>307</v>
      </c>
      <c r="B335" s="8">
        <v>-8.3799999999999999E-2</v>
      </c>
      <c r="C335" t="s">
        <v>290</v>
      </c>
      <c r="D335" t="s">
        <v>31</v>
      </c>
      <c r="F335" t="s">
        <v>30</v>
      </c>
      <c r="G335" t="s">
        <v>308</v>
      </c>
    </row>
    <row r="336" spans="1:13" ns3:dyDescent="0.2">
      <c r="A336" t="s">
        <v>306</v>
      </c>
      <c r="B336">
        <v>-0.56000000000000005</v>
      </c>
      <c r="C336" t="s">
        <v>29</v>
      </c>
      <c r="D336" t="s">
        <v>31</v>
      </c>
      <c r="F336" t="s">
        <v>30</v>
      </c>
      <c r="G336" t="s">
        <v>99</v>
      </c>
    </row>
    <row r="337" spans="1:13" ns3:dyDescent="0.2">
      <c r="A337" t="s">
        <v>304</v>
      </c>
      <c r="B337">
        <v>-0.13</v>
      </c>
      <c r="C337" t="s">
        <v>28</v>
      </c>
      <c r="D337" t="s">
        <v>31</v>
      </c>
      <c r="F337" t="s">
        <v>30</v>
      </c>
      <c r="G337" t="s">
        <v>305</v>
      </c>
    </row>
    <row r="338" spans="1:13" ns3:dyDescent="0.2">
      <c r="A338" t="s">
        <v>302</v>
      </c>
      <c r="B338">
        <v>-0.2</v>
      </c>
      <c r="C338" t="s">
        <v>28</v>
      </c>
      <c r="D338" t="s">
        <v>31</v>
      </c>
      <c r="F338" t="s">
        <v>30</v>
      </c>
      <c r="G338" t="s">
        <v>303</v>
      </c>
    </row>
    <row r="339" spans="1:13" ns3:dyDescent="0.2">
      <c r="A339" t="s">
        <v>301</v>
      </c>
      <c r="B339" s="8">
        <v>-3.39E-2</v>
      </c>
      <c r="C339" t="s">
        <v>290</v>
      </c>
      <c r="D339" t="s">
        <v>31</v>
      </c>
      <c r="F339" t="s">
        <v>30</v>
      </c>
      <c r="G339" t="s">
        <v>316</v>
      </c>
    </row>
    <row r="340" spans="1:13" ns3:dyDescent="0.2">
      <c r="A340" t="s">
        <v>232</v>
      </c>
      <c r="B340">
        <v>0.01</v>
      </c>
      <c r="C340" t="s">
        <v>4</v>
      </c>
      <c r="D340" t="s">
        <v>84</v>
      </c>
      <c r="F340" t="s">
        <v>30</v>
      </c>
      <c r="G340" t="s">
        <v>233</v>
      </c>
    </row>
    <row r="341" spans="1:13" ns3:dyDescent="0.2">
      <c r="A341" t="s">
        <v>234</v>
      </c>
      <c r="B341">
        <v>0.1</v>
      </c>
      <c r="C341" t="s">
        <v>28</v>
      </c>
      <c r="D341" t="s">
        <v>32</v>
      </c>
      <c r="F341" t="s">
        <v>30</v>
      </c>
      <c r="G341" t="s">
        <v>235</v>
      </c>
    </row>
    <row r="343" spans="1:13" ns3:dyDescent="0.2">
      <c r="A343" s="1" t="s">
        <v>1</v>
      </c>
      <c r="B343" s="1" t="s">
        <v>236</v>
      </c>
      <c r="M343" t="s">
        <v>2</v>
      </c>
    </row>
    <row r="344" spans="1:13" ns3:dyDescent="0.2">
      <c r="A344" t="s">
        <v>3</v>
      </c>
      <c r="B344" t="s">
        <v>4</v>
      </c>
      <c r="M344" t="s">
        <v>2</v>
      </c>
    </row>
    <row r="345" spans="1:13" ns3:dyDescent="0.2">
      <c r="A345" t="s">
        <v>5</v>
      </c>
      <c r="B345">
        <v>1</v>
      </c>
      <c r="M345" t="s">
        <v>2</v>
      </c>
    </row>
    <row r="346" spans="1:13" ns3:dyDescent="0.2">
      <c r="A346" t="s">
        <v>7</v>
      </c>
      <c r="B346" t="s">
        <v>17</v>
      </c>
    </row>
    <row r="347" spans="1:13" ns3:dyDescent="0.2">
      <c r="A347" t="s">
        <v>8</v>
      </c>
      <c r="B347" t="s">
        <v>237</v>
      </c>
      <c r="M347" t="s">
        <v>2</v>
      </c>
    </row>
    <row r="348" spans="1:13" ns3:dyDescent="0.2">
      <c r="A348" t="s">
        <v>9</v>
      </c>
      <c r="B348" t="s">
        <v>10</v>
      </c>
      <c r="M348" t="s">
        <v>2</v>
      </c>
    </row>
    <row r="349" spans="1:13" ns3:dyDescent="0.2">
      <c r="A349" t="s">
        <v>11</v>
      </c>
      <c r="B349" t="s">
        <v>31</v>
      </c>
      <c r="M349" t="s">
        <v>2</v>
      </c>
    </row>
    <row r="350" spans="1:13" ns3:dyDescent="0.2">
      <c r="A350" s="1" t="s">
        <v>12</v>
      </c>
      <c r="M350" t="s">
        <v>2</v>
      </c>
    </row>
    <row r="351" spans="1:13" ns3:dyDescent="0.2">
      <c r="A351" s="1" t="s">
        <v>13</v>
      </c>
      <c r="B351" s="1" t="s">
        <v>14</v>
      </c>
      <c r="C351" s="1" t="s">
        <v>3</v>
      </c>
      <c r="D351" s="1" t="s">
        <v>11</v>
      </c>
      <c r="E351" s="1" t="s">
        <v>15</v>
      </c>
      <c r="F351" s="1" t="s">
        <v>9</v>
      </c>
      <c r="G351" s="1" t="s">
        <v>8</v>
      </c>
      <c r="H351" s="1" t="s">
        <v>6</v>
      </c>
      <c r="I351" s="4"/>
    </row>
    <row r="352" spans="1:13" ns3:dyDescent="0.2">
      <c r="A352" t="str">
        <f>B343</f>
        <v>treatment of electrolyte tank, for VRFB system</v>
      </c>
      <c r="B352">
        <v>-1</v>
      </c>
      <c r="C352" t="s">
        <v>4</v>
      </c>
      <c r="D352" t="s">
        <v>31</v>
      </c>
      <c r="F352" t="s">
        <v>33</v>
      </c>
      <c r="G352" t="str">
        <f>B347</f>
        <v>used electrolyte tank, for VRFB system</v>
      </c>
      <c r="I352" s="3"/>
      <c r="J352" s="3"/>
      <c r="K352" s="3"/>
      <c r="L352" s="3"/>
    </row>
    <row r="353" spans="1:13" ns3:dyDescent="0.2">
      <c r="A353" t="s">
        <v>232</v>
      </c>
      <c r="B353">
        <v>0.01</v>
      </c>
      <c r="C353" t="s">
        <v>4</v>
      </c>
      <c r="D353" t="s">
        <v>84</v>
      </c>
      <c r="F353" t="s">
        <v>30</v>
      </c>
      <c r="G353" t="s">
        <v>233</v>
      </c>
    </row>
    <row r="354" spans="1:13" ns3:dyDescent="0.2">
      <c r="A354" s="3" t="s">
        <v>344</v>
      </c>
      <c r="B354" s="3">
        <v>0.05</v>
      </c>
      <c r="C354" t="s">
        <v>4</v>
      </c>
      <c r="D354" s="3" t="s">
        <v>49</v>
      </c>
      <c r="F354" s="3" t="s">
        <v>30</v>
      </c>
      <c r="G354" s="3" t="s">
        <v>345</v>
      </c>
      <c r="H354" s="3" t="s">
        <v>81</v>
      </c>
    </row>
    <row r="355" spans="1:13" ns3:dyDescent="0.2">
      <c r="A355" t="s">
        <v>306</v>
      </c>
      <c r="B355">
        <v>-1</v>
      </c>
      <c r="C355" t="s">
        <v>29</v>
      </c>
      <c r="D355" t="s">
        <v>31</v>
      </c>
      <c r="F355" t="s">
        <v>30</v>
      </c>
      <c r="G355" t="s">
        <v>99</v>
      </c>
    </row>
    <row r="357" spans="1:13" ns3:dyDescent="0.2">
      <c r="A357" s="1" t="s">
        <v>1</v>
      </c>
      <c r="B357" s="1" t="s">
        <v>238</v>
      </c>
      <c r="M357" t="s">
        <v>2</v>
      </c>
    </row>
    <row r="358" spans="1:13" ns3:dyDescent="0.2">
      <c r="A358" t="s">
        <v>3</v>
      </c>
      <c r="B358" t="s">
        <v>4</v>
      </c>
      <c r="M358" t="s">
        <v>2</v>
      </c>
    </row>
    <row r="359" spans="1:13" ns3:dyDescent="0.2">
      <c r="A359" t="s">
        <v>5</v>
      </c>
      <c r="B359">
        <v>1</v>
      </c>
      <c r="M359" t="s">
        <v>2</v>
      </c>
    </row>
    <row r="360" spans="1:13" ns3:dyDescent="0.2">
      <c r="A360" t="s">
        <v>7</v>
      </c>
      <c r="B360" t="s">
        <v>17</v>
      </c>
    </row>
    <row r="361" spans="1:13" ns3:dyDescent="0.2">
      <c r="A361" t="s">
        <v>8</v>
      </c>
      <c r="B361" t="s">
        <v>239</v>
      </c>
      <c r="M361" t="s">
        <v>2</v>
      </c>
    </row>
    <row r="362" spans="1:13" ns3:dyDescent="0.2">
      <c r="A362" t="s">
        <v>9</v>
      </c>
      <c r="B362" t="s">
        <v>10</v>
      </c>
      <c r="M362" t="s">
        <v>2</v>
      </c>
    </row>
    <row r="363" spans="1:13" ns3:dyDescent="0.2">
      <c r="A363" t="s">
        <v>11</v>
      </c>
      <c r="B363" t="s">
        <v>31</v>
      </c>
      <c r="M363" t="s">
        <v>2</v>
      </c>
    </row>
    <row r="364" spans="1:13" ns3:dyDescent="0.2">
      <c r="A364" s="1" t="s">
        <v>12</v>
      </c>
      <c r="M364" t="s">
        <v>2</v>
      </c>
    </row>
    <row r="365" spans="1:13" ns3:dyDescent="0.2">
      <c r="A365" s="1" t="s">
        <v>13</v>
      </c>
      <c r="B365" s="1" t="s">
        <v>14</v>
      </c>
      <c r="C365" s="1" t="s">
        <v>3</v>
      </c>
      <c r="D365" s="1" t="s">
        <v>11</v>
      </c>
      <c r="E365" s="1" t="s">
        <v>15</v>
      </c>
      <c r="F365" s="1" t="s">
        <v>9</v>
      </c>
      <c r="G365" s="1" t="s">
        <v>8</v>
      </c>
      <c r="H365" s="1" t="s">
        <v>6</v>
      </c>
      <c r="I365" s="4"/>
    </row>
    <row r="366" spans="1:13" ns3:dyDescent="0.2">
      <c r="A366" t="str">
        <f>B357</f>
        <v>treatment of electrolyte solution, for VRFB system</v>
      </c>
      <c r="B366">
        <v>-1</v>
      </c>
      <c r="C366" t="s">
        <v>4</v>
      </c>
      <c r="D366" t="s">
        <v>31</v>
      </c>
      <c r="F366" t="s">
        <v>33</v>
      </c>
      <c r="G366" t="str">
        <f>B361</f>
        <v>used electrolyte solution, for VRFB system</v>
      </c>
      <c r="I366" s="3"/>
      <c r="J366" s="3"/>
      <c r="K366" s="3"/>
      <c r="L366" s="3"/>
    </row>
    <row r="367" spans="1:13" ns3:dyDescent="0.2">
      <c r="A367" t="s">
        <v>232</v>
      </c>
      <c r="B367" s="8">
        <v>4.4499999999999998E-2</v>
      </c>
      <c r="C367" t="s">
        <v>4</v>
      </c>
      <c r="D367" t="s">
        <v>84</v>
      </c>
      <c r="F367" t="s">
        <v>30</v>
      </c>
      <c r="G367" t="s">
        <v>233</v>
      </c>
    </row>
    <row r="368" spans="1:13" ns3:dyDescent="0.2">
      <c r="A368" s="3" t="s">
        <v>344</v>
      </c>
      <c r="B368" s="3">
        <v>0.6</v>
      </c>
      <c r="C368" t="s">
        <v>4</v>
      </c>
      <c r="D368" s="3" t="s">
        <v>49</v>
      </c>
      <c r="F368" s="3" t="s">
        <v>30</v>
      </c>
      <c r="G368" s="3" t="s">
        <v>345</v>
      </c>
      <c r="H368" s="3" t="s">
        <v>81</v>
      </c>
    </row>
    <row r="370" spans="1:14" ns3:dyDescent="0.2">
      <c r="A370" s="1" t="s">
        <v>1</v>
      </c>
      <c r="B370" s="1" t="s">
        <v>240</v>
      </c>
      <c r="M370" t="s">
        <v>2</v>
      </c>
    </row>
    <row r="371" spans="1:14" ns3:dyDescent="0.2">
      <c r="A371" t="s">
        <v>3</v>
      </c>
      <c r="B371" t="s">
        <v>4</v>
      </c>
      <c r="M371" t="s">
        <v>2</v>
      </c>
    </row>
    <row r="372" spans="1:14" ns3:dyDescent="0.2">
      <c r="A372" t="s">
        <v>5</v>
      </c>
      <c r="B372">
        <v>1</v>
      </c>
      <c r="M372" t="s">
        <v>2</v>
      </c>
    </row>
    <row r="373" spans="1:14" ns3:dyDescent="0.2">
      <c r="A373" t="s">
        <v>7</v>
      </c>
      <c r="B373" t="s">
        <v>17</v>
      </c>
    </row>
    <row r="374" spans="1:14" ns3:dyDescent="0.2">
      <c r="A374" t="s">
        <v>8</v>
      </c>
      <c r="B374" t="s">
        <v>241</v>
      </c>
      <c r="M374" t="s">
        <v>2</v>
      </c>
    </row>
    <row r="375" spans="1:14" ns3:dyDescent="0.2">
      <c r="A375" t="s">
        <v>9</v>
      </c>
      <c r="B375" t="s">
        <v>10</v>
      </c>
      <c r="M375" t="s">
        <v>2</v>
      </c>
    </row>
    <row r="376" spans="1:14" ns3:dyDescent="0.2">
      <c r="A376" t="s">
        <v>11</v>
      </c>
      <c r="B376" t="s">
        <v>31</v>
      </c>
      <c r="M376" t="s">
        <v>2</v>
      </c>
    </row>
    <row r="377" spans="1:14" ns3:dyDescent="0.2">
      <c r="A377" s="1" t="s">
        <v>12</v>
      </c>
      <c r="M377" t="s">
        <v>2</v>
      </c>
    </row>
    <row r="378" spans="1:14" ns3:dyDescent="0.2">
      <c r="A378" s="1" t="s">
        <v>13</v>
      </c>
      <c r="B378" s="1" t="s">
        <v>14</v>
      </c>
      <c r="C378" s="1" t="s">
        <v>3</v>
      </c>
      <c r="D378" s="1" t="s">
        <v>11</v>
      </c>
      <c r="E378" s="1" t="s">
        <v>15</v>
      </c>
      <c r="F378" s="1" t="s">
        <v>9</v>
      </c>
      <c r="G378" s="1" t="s">
        <v>8</v>
      </c>
      <c r="H378" s="1" t="s">
        <v>6</v>
      </c>
      <c r="I378" s="4"/>
    </row>
    <row r="379" spans="1:14" ns3:dyDescent="0.2">
      <c r="A379" t="str">
        <f>B370</f>
        <v>treatment of periphericals, for VRFB system</v>
      </c>
      <c r="B379">
        <v>-1</v>
      </c>
      <c r="C379" t="s">
        <v>4</v>
      </c>
      <c r="D379" t="s">
        <v>31</v>
      </c>
      <c r="F379" t="s">
        <v>33</v>
      </c>
      <c r="G379" t="str">
        <f>B374</f>
        <v>used periphericals, for VRFB system</v>
      </c>
      <c r="I379" s="3"/>
      <c r="J379" s="3"/>
      <c r="K379" s="3"/>
      <c r="L379" s="3"/>
      <c r="M379" s="3"/>
      <c r="N379" s="3"/>
    </row>
    <row r="380" spans="1:14" ns3:dyDescent="0.2">
      <c r="A380" t="s">
        <v>232</v>
      </c>
      <c r="B380">
        <v>0.01</v>
      </c>
      <c r="C380" t="s">
        <v>4</v>
      </c>
      <c r="D380" t="s">
        <v>84</v>
      </c>
      <c r="F380" t="s">
        <v>30</v>
      </c>
      <c r="G380" t="s">
        <v>233</v>
      </c>
      <c r="K380" s="3"/>
      <c r="L380" s="3"/>
      <c r="M380" s="3"/>
      <c r="N380" s="3"/>
    </row>
    <row r="381" spans="1:14" ns3:dyDescent="0.2">
      <c r="A381" t="s">
        <v>234</v>
      </c>
      <c r="B381">
        <v>0.1</v>
      </c>
      <c r="C381" t="s">
        <v>28</v>
      </c>
      <c r="D381" t="s">
        <v>32</v>
      </c>
      <c r="F381" t="s">
        <v>30</v>
      </c>
      <c r="G381" t="s">
        <v>235</v>
      </c>
      <c r="K381" s="3"/>
      <c r="L381" s="3"/>
      <c r="M381" s="3"/>
      <c r="N381" s="3"/>
    </row>
    <row r="382" spans="1:14" ns3:dyDescent="0.2">
      <c r="A382" t="s">
        <v>302</v>
      </c>
      <c r="B382">
        <v>-1.0999999999999999E-2</v>
      </c>
      <c r="C382" t="s">
        <v>28</v>
      </c>
      <c r="D382" t="s">
        <v>31</v>
      </c>
      <c r="F382" t="s">
        <v>30</v>
      </c>
      <c r="G382" t="s">
        <v>303</v>
      </c>
      <c r="K382" s="4"/>
    </row>
    <row r="383" spans="1:14" ns3:dyDescent="0.2">
      <c r="A383" t="s">
        <v>243</v>
      </c>
      <c r="B383">
        <v>-3.3000000000000002E-2</v>
      </c>
      <c r="C383" t="s">
        <v>28</v>
      </c>
      <c r="D383" t="s">
        <v>31</v>
      </c>
      <c r="F383" t="s">
        <v>30</v>
      </c>
      <c r="G383" t="s">
        <v>244</v>
      </c>
      <c r="K383" s="3"/>
      <c r="L383" s="3"/>
      <c r="M383" s="3"/>
      <c r="N383" s="3"/>
    </row>
    <row r="384" spans="1:14" ns3:dyDescent="0.2">
      <c r="A384" t="s">
        <v>245</v>
      </c>
      <c r="B384">
        <v>-0.59</v>
      </c>
      <c r="C384" t="s">
        <v>28</v>
      </c>
      <c r="D384" t="s">
        <v>31</v>
      </c>
      <c r="F384" t="s">
        <v>30</v>
      </c>
      <c r="G384" t="s">
        <v>300</v>
      </c>
      <c r="K384" s="3"/>
      <c r="L384" s="3"/>
      <c r="M384" s="3"/>
      <c r="N384" s="3"/>
    </row>
    <row r="385" spans="1:16" ns3:dyDescent="0.2">
      <c r="A385" t="s">
        <v>306</v>
      </c>
      <c r="B385">
        <v>-0.22</v>
      </c>
      <c r="C385" t="s">
        <v>29</v>
      </c>
      <c r="D385" t="s">
        <v>31</v>
      </c>
      <c r="F385" t="s">
        <v>30</v>
      </c>
      <c r="G385" t="s">
        <v>99</v>
      </c>
      <c r="K385" s="3"/>
      <c r="L385" s="3"/>
      <c r="M385" s="3"/>
      <c r="N385" s="3"/>
    </row>
    <row r="386" spans="1:16" ns3:dyDescent="0.2">
      <c r="K386" s="3"/>
      <c r="L386" s="3"/>
      <c r="M386" s="3"/>
      <c r="N386" s="3"/>
    </row>
    <row r="387" spans="1:16" ns3:dyDescent="0.2">
      <c r="A387" s="1" t="s">
        <v>1</v>
      </c>
      <c r="B387" s="1" t="s">
        <v>265</v>
      </c>
      <c r="M387" t="s">
        <v>2</v>
      </c>
    </row>
    <row r="388" spans="1:16" ns3:dyDescent="0.2">
      <c r="A388" t="s">
        <v>3</v>
      </c>
      <c r="B388" t="s">
        <v>4</v>
      </c>
      <c r="M388" t="s">
        <v>2</v>
      </c>
    </row>
    <row r="389" spans="1:16" ns3:dyDescent="0.2">
      <c r="A389" t="s">
        <v>6</v>
      </c>
      <c r="B389" t="s">
        <v>263</v>
      </c>
    </row>
    <row r="390" spans="1:16" ns3:dyDescent="0.2">
      <c r="A390" t="s">
        <v>5</v>
      </c>
      <c r="B390">
        <v>1</v>
      </c>
      <c r="M390" t="s">
        <v>2</v>
      </c>
    </row>
    <row r="391" spans="1:16" ns3:dyDescent="0.2">
      <c r="A391" t="s">
        <v>7</v>
      </c>
      <c r="B391" t="s">
        <v>17</v>
      </c>
    </row>
    <row r="392" spans="1:16" ns3:dyDescent="0.2">
      <c r="A392" t="s">
        <v>8</v>
      </c>
      <c r="B392" t="s">
        <v>266</v>
      </c>
      <c r="M392" t="s">
        <v>2</v>
      </c>
    </row>
    <row r="393" spans="1:16" ns3:dyDescent="0.2">
      <c r="A393" t="s">
        <v>9</v>
      </c>
      <c r="B393" t="s">
        <v>10</v>
      </c>
      <c r="M393" t="s">
        <v>2</v>
      </c>
    </row>
    <row r="394" spans="1:16" ns3:dyDescent="0.2">
      <c r="A394" t="s">
        <v>11</v>
      </c>
      <c r="B394" t="s">
        <v>11</v>
      </c>
      <c r="M394" t="s">
        <v>2</v>
      </c>
    </row>
    <row r="395" spans="1:16" ns3:dyDescent="0.2">
      <c r="A395" s="1" t="s">
        <v>12</v>
      </c>
      <c r="M395" t="s">
        <v>2</v>
      </c>
    </row>
    <row r="396" spans="1:16" ns3:dyDescent="0.2">
      <c r="A396" s="1" t="s">
        <v>13</v>
      </c>
      <c r="B396" s="1" t="s">
        <v>14</v>
      </c>
      <c r="C396" s="1" t="s">
        <v>3</v>
      </c>
      <c r="D396" s="1" t="s">
        <v>11</v>
      </c>
      <c r="E396" s="1" t="s">
        <v>15</v>
      </c>
      <c r="F396" s="1" t="s">
        <v>9</v>
      </c>
      <c r="G396" s="1" t="s">
        <v>8</v>
      </c>
      <c r="H396" s="1" t="s">
        <v>6</v>
      </c>
      <c r="I396" s="4"/>
    </row>
    <row r="397" spans="1:16" ns3:dyDescent="0.2">
      <c r="A397" t="str">
        <f>B387</f>
        <v>vanadium-redox flow battery stack assembly</v>
      </c>
      <c r="B397">
        <v>1</v>
      </c>
      <c r="C397" t="s">
        <v>4</v>
      </c>
      <c r="D397" t="str">
        <f>B394</f>
        <v>unit</v>
      </c>
      <c r="F397" t="s">
        <v>33</v>
      </c>
      <c r="G397" t="str">
        <f>B392</f>
        <v>vanadium-redox flow battery stack</v>
      </c>
      <c r="I397" s="3"/>
      <c r="J397" s="3"/>
      <c r="K397" s="3"/>
      <c r="L397" s="3"/>
      <c r="M397" s="3"/>
      <c r="N397" s="3"/>
    </row>
    <row r="398" spans="1:16" ns3:dyDescent="0.2">
      <c r="A398" t="s">
        <v>18</v>
      </c>
      <c r="B398" s="3">
        <v>150</v>
      </c>
      <c r="C398" t="s">
        <v>4</v>
      </c>
      <c r="D398" t="s">
        <v>31</v>
      </c>
      <c r="F398" t="s">
        <v>30</v>
      </c>
      <c r="G398" t="s">
        <v>19</v>
      </c>
      <c r="H398" s="3" t="s">
        <v>249</v>
      </c>
      <c r="I398" s="3"/>
      <c r="J398" s="2"/>
      <c r="K398" s="2"/>
      <c r="L398" s="2"/>
      <c r="M398" s="2"/>
      <c r="N398" s="2"/>
      <c r="O398" s="2"/>
      <c r="P398" s="2"/>
    </row>
    <row r="399" spans="1:16" ns3:dyDescent="0.2">
      <c r="A399" t="s">
        <v>67</v>
      </c>
      <c r="B399" s="3">
        <v>419</v>
      </c>
      <c r="C399" t="s">
        <v>4</v>
      </c>
      <c r="D399" t="s">
        <v>31</v>
      </c>
      <c r="F399" t="s">
        <v>30</v>
      </c>
      <c r="G399" t="s">
        <v>68</v>
      </c>
      <c r="H399" s="3" t="s">
        <v>250</v>
      </c>
      <c r="I399" s="3"/>
      <c r="K399" s="3"/>
      <c r="L399" s="3"/>
      <c r="M399" s="3"/>
      <c r="N399" s="3"/>
      <c r="O399" s="3"/>
    </row>
    <row r="400" spans="1:16" ns3:dyDescent="0.2">
      <c r="A400" t="s">
        <v>363</v>
      </c>
      <c r="B400" s="3">
        <v>5490</v>
      </c>
      <c r="C400" t="s">
        <v>4</v>
      </c>
      <c r="D400" t="s">
        <v>31</v>
      </c>
      <c r="F400" t="s">
        <v>30</v>
      </c>
      <c r="G400" t="s">
        <v>364</v>
      </c>
      <c r="H400" s="3" t="s">
        <v>83</v>
      </c>
      <c r="I400" s="3"/>
      <c r="K400" s="3"/>
      <c r="L400" s="3"/>
      <c r="M400" s="3"/>
      <c r="N400" s="3"/>
      <c r="O400" s="3"/>
    </row>
    <row r="401" spans="1:15" ns3:dyDescent="0.2">
      <c r="A401" t="s">
        <v>135</v>
      </c>
      <c r="B401" s="3">
        <v>1970</v>
      </c>
      <c r="C401" t="s">
        <v>4</v>
      </c>
      <c r="D401" t="s">
        <v>31</v>
      </c>
      <c r="F401" t="s">
        <v>30</v>
      </c>
      <c r="G401" t="s">
        <v>144</v>
      </c>
      <c r="H401" s="3" t="s">
        <v>140</v>
      </c>
      <c r="I401" s="3"/>
      <c r="K401" s="3"/>
      <c r="L401" s="3"/>
      <c r="M401" s="3"/>
      <c r="N401" s="3"/>
      <c r="O401" s="3"/>
    </row>
    <row r="402" spans="1:15" ns3:dyDescent="0.2">
      <c r="A402" t="s">
        <v>143</v>
      </c>
      <c r="B402" s="3">
        <v>306</v>
      </c>
      <c r="C402" t="s">
        <v>4</v>
      </c>
      <c r="D402" t="s">
        <v>31</v>
      </c>
      <c r="F402" t="s">
        <v>30</v>
      </c>
      <c r="G402" t="s">
        <v>145</v>
      </c>
      <c r="H402" s="3" t="s">
        <v>251</v>
      </c>
      <c r="I402" s="3"/>
      <c r="K402" s="3"/>
      <c r="L402" s="3"/>
      <c r="M402" s="3"/>
      <c r="N402" s="3"/>
      <c r="O402" s="3"/>
    </row>
    <row r="403" spans="1:15" ns3:dyDescent="0.2">
      <c r="A403" t="s">
        <v>148</v>
      </c>
      <c r="B403" s="3">
        <v>428</v>
      </c>
      <c r="C403" t="s">
        <v>4</v>
      </c>
      <c r="D403" t="s">
        <v>31</v>
      </c>
      <c r="F403" t="s">
        <v>30</v>
      </c>
      <c r="G403" t="s">
        <v>149</v>
      </c>
      <c r="H403" s="3" t="s">
        <v>252</v>
      </c>
      <c r="I403" s="3"/>
      <c r="K403" s="3"/>
      <c r="L403" s="3"/>
      <c r="M403" s="3"/>
      <c r="N403" s="3"/>
      <c r="O403" s="3"/>
    </row>
    <row r="404" spans="1:15" ns3:dyDescent="0.2">
      <c r="A404" t="s">
        <v>100</v>
      </c>
      <c r="B404" s="3">
        <v>1253</v>
      </c>
      <c r="C404" t="s">
        <v>4</v>
      </c>
      <c r="D404" t="s">
        <v>31</v>
      </c>
      <c r="F404" t="s">
        <v>30</v>
      </c>
      <c r="G404" t="s">
        <v>101</v>
      </c>
      <c r="H404" s="3" t="s">
        <v>253</v>
      </c>
      <c r="I404" s="3"/>
      <c r="K404" s="3"/>
      <c r="L404" s="3"/>
      <c r="M404" s="3"/>
      <c r="N404" s="3"/>
      <c r="O404" s="3"/>
    </row>
    <row r="405" spans="1:15" ns3:dyDescent="0.2">
      <c r="B405" s="3"/>
      <c r="H405" s="3"/>
      <c r="I405" s="3"/>
      <c r="K405" s="3"/>
      <c r="L405" s="3"/>
      <c r="M405" s="3"/>
      <c r="N405" s="3"/>
      <c r="O405" s="3"/>
    </row>
    <row r="406" spans="1:15" ns3:dyDescent="0.2">
      <c r="A406" s="1" t="s">
        <v>1</v>
      </c>
      <c r="B406" s="1" t="s">
        <v>264</v>
      </c>
      <c r="M406" t="s">
        <v>2</v>
      </c>
    </row>
    <row r="407" spans="1:15" ns3:dyDescent="0.2">
      <c r="A407" t="s">
        <v>3</v>
      </c>
      <c r="B407" t="s">
        <v>4</v>
      </c>
      <c r="M407" t="s">
        <v>2</v>
      </c>
    </row>
    <row r="408" spans="1:15" ns3:dyDescent="0.2">
      <c r="A408" t="s">
        <v>6</v>
      </c>
      <c r="B408" t="inlineStr">
        <is>
          <t>VRFB reference correction v1 (2026-10-17). Independent reconstruction: Oxkem VOS16 2024 electrolyte; Martin 2020 electrochemical reduction; Weber 2018 hardware and lifetime. Nominal capacity uses paired one-electron V charge at Li 2011's 1.25 V standard potential, an explicit reference assumption, not a measured discharge average. Legacy '8.3 MWh' activity name is an identifier, not the reconstructed capacity. The source archive's unspecified remaining-error warning is unresolved; no archive processes are copied. See data/battery/vanadium_reference_design.json and stationary battery documentation for calculations and coverage gaps. Fixed design at all years, no imposed primary/secondary-share change.</t>
        </is>
      </c>
    </row>
    <row r="409" spans="1:15" ns3:dyDescent="0.2">
      <c r="A409" t="s">
        <v>5</v>
      </c>
      <c r="B409">
        <v>1</v>
      </c>
      <c r="M409" t="s">
        <v>2</v>
      </c>
    </row>
    <row r="410" spans="1:15" ns3:dyDescent="0.2">
      <c r="A410" t="s">
        <v>7</v>
      </c>
      <c r="B410" t="s">
        <v>17</v>
      </c>
    </row>
    <row r="411" spans="1:15" ns3:dyDescent="0.2">
      <c r="A411" t="s">
        <v>8</v>
      </c>
      <c r="B411" t="s">
        <v>260</v>
      </c>
      <c r="M411" t="s">
        <v>2</v>
      </c>
    </row>
    <row r="412" spans="1:15" ns3:dyDescent="0.2">
      <c r="A412" t="s">
        <v>9</v>
      </c>
      <c r="B412" t="s">
        <v>10</v>
      </c>
      <c r="M412" t="s">
        <v>2</v>
      </c>
    </row>
    <row r="413" spans="1:15" ns3:dyDescent="0.2">
      <c r="A413" t="s">
        <v>11</v>
      </c>
      <c r="B413" t="s">
        <v>11</v>
      </c>
      <c r="M413" t="s">
        <v>2</v>
      </c>
    </row>
    <row r="414" spans="1:15" ns3:dyDescent="0.2">
      <c r="A414" s="1" t="s">
        <v>12</v>
      </c>
      <c r="M414" t="s">
        <v>2</v>
      </c>
    </row>
    <row r="415" spans="1:15" ns3:dyDescent="0.2">
      <c r="A415" s="1" t="s">
        <v>13</v>
      </c>
      <c r="B415" s="1" t="s">
        <v>14</v>
      </c>
      <c r="C415" s="1" t="s">
        <v>3</v>
      </c>
      <c r="D415" s="1" t="s">
        <v>11</v>
      </c>
      <c r="E415" s="1" t="s">
        <v>15</v>
      </c>
      <c r="F415" s="1" t="s">
        <v>9</v>
      </c>
      <c r="G415" s="1" t="s">
        <v>8</v>
      </c>
      <c r="H415" s="1" t="s">
        <v>6</v>
      </c>
      <c r="I415" s="4"/>
    </row>
    <row r="416" spans="1:15" ns3:dyDescent="0.2">
      <c r="A416" t="str">
        <f>B406</f>
        <v>vanadium-redox flow battery system assembly, 8.3 megawatt hour</v>
      </c>
      <c r="B416">
        <v>1</v>
      </c>
      <c r="C416" t="s">
        <v>4</v>
      </c>
      <c r="D416" t="str">
        <f>B413</f>
        <v>unit</v>
      </c>
      <c r="F416" t="s">
        <v>33</v>
      </c>
      <c r="G416" t="str">
        <f>B411</f>
        <v>vanadium-redox flow battery system</v>
      </c>
      <c r="I416" s="3"/>
      <c r="J416" s="3"/>
      <c r="K416" s="3"/>
      <c r="L416" s="3"/>
      <c r="M416" s="3"/>
      <c r="N416" s="3"/>
    </row>
    <row r="417" spans="1:16" ns3:dyDescent="0.2">
      <c r="A417" t="s">
        <v>265</v>
      </c>
      <c r="B417" s="3">
        <v>1</v>
      </c>
      <c r="C417" t="s">
        <v>4</v>
      </c>
      <c r="D417" t="s">
        <v>11</v>
      </c>
      <c r="F417" t="s">
        <v>30</v>
      </c>
      <c r="G417" t="s">
        <v>266</v>
      </c>
      <c r="H417" s="3" t="s">
        <v>267</v>
      </c>
      <c r="I417" s="3"/>
      <c r="J417" s="2"/>
      <c r="K417" s="2"/>
      <c r="L417" s="2"/>
      <c r="M417" s="2"/>
      <c r="N417" s="2"/>
      <c r="O417" s="2"/>
      <c r="P417" s="2"/>
    </row>
    <row r="418" spans="1:16" ns3:dyDescent="0.2">
      <c r="A418" t="s">
        <v>112</v>
      </c>
      <c r="B418" s="3">
        <v>272220</v>
      </c>
      <c r="C418" t="s">
        <v>4</v>
      </c>
      <c r="D418" t="s">
        <v>31</v>
      </c>
      <c r="F418" t="s">
        <v>30</v>
      </c>
      <c r="G418" t="s">
        <v>111</v>
      </c>
      <c r="H418" s="3" t="s">
        <v>254</v>
      </c>
      <c r="I418" s="3"/>
      <c r="K418" s="3"/>
      <c r="L418" s="3"/>
      <c r="M418" s="3"/>
      <c r="N418" s="3"/>
      <c r="O418" s="3"/>
    </row>
    <row r="419" spans="1:16" ns3:dyDescent="0.2">
      <c r="A419" t="s">
        <v>134</v>
      </c>
      <c r="B419" s="3">
        <v>32589</v>
      </c>
      <c r="C419" t="s">
        <v>4</v>
      </c>
      <c r="D419" t="s">
        <v>31</v>
      </c>
      <c r="F419" t="s">
        <v>30</v>
      </c>
      <c r="G419" t="s">
        <v>125</v>
      </c>
      <c r="H419" s="3" t="s">
        <v>255</v>
      </c>
      <c r="I419" s="3"/>
      <c r="K419" s="3"/>
      <c r="L419" s="3"/>
      <c r="M419" s="3"/>
      <c r="N419" s="3"/>
      <c r="O419" s="3"/>
    </row>
    <row r="420" spans="1:16" ns3:dyDescent="0.2">
      <c r="A420" t="s">
        <v>179</v>
      </c>
      <c r="B420" s="3">
        <v>580</v>
      </c>
      <c r="C420" t="s">
        <v>4</v>
      </c>
      <c r="D420" t="s">
        <v>31</v>
      </c>
      <c r="F420" t="s">
        <v>30</v>
      </c>
      <c r="G420" t="s">
        <v>180</v>
      </c>
      <c r="H420" s="3" t="s">
        <v>256</v>
      </c>
      <c r="I420" s="3"/>
      <c r="K420" s="3"/>
      <c r="L420" s="3"/>
      <c r="M420" s="3"/>
      <c r="N420" s="3"/>
      <c r="O420" s="3"/>
    </row>
    <row r="421" spans="1:16" ns3:dyDescent="0.2">
      <c r="A421" t="s">
        <v>169</v>
      </c>
      <c r="B421" s="3">
        <v>332</v>
      </c>
      <c r="C421" t="s">
        <v>4</v>
      </c>
      <c r="D421" t="s">
        <v>31</v>
      </c>
      <c r="F421" t="s">
        <v>30</v>
      </c>
      <c r="G421" t="s">
        <v>170</v>
      </c>
      <c r="H421" s="3" t="s">
        <v>185</v>
      </c>
      <c r="I421" s="3"/>
      <c r="K421" s="3"/>
      <c r="L421" s="3"/>
      <c r="M421" s="3"/>
      <c r="N421" s="3"/>
      <c r="O421" s="3"/>
    </row>
    <row r="422" spans="1:16" ns3:dyDescent="0.2">
      <c r="A422" t="s">
        <v>261</v>
      </c>
      <c r="B422" s="3">
        <v>2</v>
      </c>
      <c r="C422" t="s">
        <v>28</v>
      </c>
      <c r="D422" t="s">
        <v>11</v>
      </c>
      <c r="F422" t="s">
        <v>30</v>
      </c>
      <c r="G422" t="s">
        <v>262</v>
      </c>
      <c r="H422" s="3" t="s">
        <v>257</v>
      </c>
      <c r="I422" s="3"/>
      <c r="K422" s="3"/>
      <c r="L422" s="3"/>
      <c r="M422" s="3"/>
      <c r="N422" s="3"/>
      <c r="O422" s="3"/>
    </row>
    <row r="423" spans="1:16" ns3:dyDescent="0.2">
      <c r="A423" t="s">
        <v>162</v>
      </c>
      <c r="B423" s="3">
        <v>177</v>
      </c>
      <c r="C423" t="s">
        <v>4</v>
      </c>
      <c r="D423" t="s">
        <v>31</v>
      </c>
      <c r="F423" t="s">
        <v>30</v>
      </c>
      <c r="G423" t="s">
        <v>163</v>
      </c>
      <c r="H423" s="3" t="s">
        <v>242</v>
      </c>
      <c r="I423" s="3"/>
      <c r="K423" s="3"/>
      <c r="L423" s="3"/>
      <c r="M423" s="3"/>
      <c r="N423" s="3"/>
      <c r="O423" s="3"/>
    </row>
    <row r="424" spans="1:16" ns3:dyDescent="0.2">
      <c r="A424" t="s">
        <v>226</v>
      </c>
      <c r="B424" s="3">
        <v>13</v>
      </c>
      <c r="C424" t="s">
        <v>4</v>
      </c>
      <c r="D424" t="s">
        <v>31</v>
      </c>
      <c r="F424" t="s">
        <v>30</v>
      </c>
      <c r="G424" t="s">
        <v>227</v>
      </c>
      <c r="H424" s="3" t="s">
        <v>258</v>
      </c>
      <c r="I424" s="3"/>
      <c r="K424" s="3"/>
      <c r="L424" s="3"/>
      <c r="M424" s="3"/>
      <c r="N424" s="3"/>
      <c r="O424" s="3"/>
    </row>
    <row r="425" spans="1:16" ns3:dyDescent="0.2">
      <c r="A425" t="s">
        <v>195</v>
      </c>
      <c r="B425" s="3">
        <v>1023</v>
      </c>
      <c r="C425" t="s">
        <v>4</v>
      </c>
      <c r="D425" t="s">
        <v>31</v>
      </c>
      <c r="F425" t="s">
        <v>30</v>
      </c>
      <c r="G425" t="s">
        <v>190</v>
      </c>
      <c r="H425" s="3" t="s">
        <v>259</v>
      </c>
      <c r="I425" s="3"/>
      <c r="K425" s="3"/>
      <c r="L425" s="3"/>
      <c r="M425" s="3"/>
      <c r="N425" s="3"/>
      <c r="O425" s="3"/>
    </row>
    <row r="426" spans="1:16" ns3:dyDescent="0.2">
      <c r="I426" s="3"/>
      <c r="J426" s="3"/>
      <c r="K426" s="3"/>
      <c r="L426" s="3"/>
      <c r="M426" s="3"/>
      <c r="N426" s="3"/>
      <c r="O426" s="3"/>
    </row>
    <row r="427" spans="1:16" ns3:dyDescent="0.2">
      <c r="A427" s="1" t="s">
        <v>1</v>
      </c>
      <c r="B427" s="1" t="s">
        <v>247</v>
      </c>
      <c r="M427" t="s">
        <v>2</v>
      </c>
    </row>
    <row r="428" spans="1:16" ns3:dyDescent="0.2">
      <c r="A428" t="s">
        <v>3</v>
      </c>
      <c r="B428" t="s">
        <v>4</v>
      </c>
      <c r="M428" t="s">
        <v>2</v>
      </c>
    </row>
    <row r="429" spans="1:16" ns3:dyDescent="0.2">
      <c r="A429" t="s">
        <v>6</v>
      </c>
      <c r="B429" t="inlineStr">
        <is>
          <t>VRFB reference correction v1 (2026-10-17). Independent reconstruction: Oxkem VOS16 2024 electrolyte; Martin 2020 electrochemical reduction; Weber 2018 hardware and lifetime. Nominal capacity uses paired one-electron V charge at Li 2011's 1.25 V standard potential, an explicit reference assumption, not a measured discharge average. Legacy '8.3 MWh' activity name is an identifier, not the reconstructed capacity. The source archive's unspecified remaining-error warning is unresolved; no archive processes are copied. See data/battery/vanadium_reference_design.json and stationary battery documentation for calculations and coverage gaps. Fixed design at all years, no imposed primary/secondary-share change.</t>
        </is>
      </c>
    </row>
    <row r="430" spans="1:16" ns3:dyDescent="0.2">
      <c r="A430" t="s">
        <v>5</v>
      </c>
      <c r="B430">
        <v>1</v>
      </c>
      <c r="M430" t="s">
        <v>2</v>
      </c>
    </row>
    <row r="431" spans="1:16" ns3:dyDescent="0.2">
      <c r="A431" t="s">
        <v>7</v>
      </c>
      <c r="B431" t="s">
        <v>17</v>
      </c>
    </row>
    <row r="432" spans="1:16" ns3:dyDescent="0.2">
      <c r="A432" t="s">
        <v>8</v>
      </c>
      <c r="B432" t="s">
        <v>246</v>
      </c>
      <c r="M432" t="s">
        <v>2</v>
      </c>
    </row>
    <row r="433" spans="1:14" ns3:dyDescent="0.2">
      <c r="A433" t="s">
        <v>9</v>
      </c>
      <c r="B433" t="s">
        <v>10</v>
      </c>
      <c r="M433" t="s">
        <v>2</v>
      </c>
    </row>
    <row r="434" spans="1:14" ns3:dyDescent="0.2">
      <c r="A434" t="s">
        <v>11</v>
      </c>
      <c r="B434" t="s">
        <v>84</v>
      </c>
      <c r="M434" t="s">
        <v>2</v>
      </c>
    </row>
    <row r="435" spans="1:14" ns3:dyDescent="0.2">
      <c r="A435" s="1" t="s">
        <v>12</v>
      </c>
      <c r="M435" t="s">
        <v>2</v>
      </c>
    </row>
    <row r="436" spans="1:14" ns3:dyDescent="0.2">
      <c r="A436" s="1" t="s">
        <v>13</v>
      </c>
      <c r="B436" s="1" t="s">
        <v>14</v>
      </c>
      <c r="C436" s="1" t="s">
        <v>3</v>
      </c>
      <c r="D436" s="1" t="s">
        <v>11</v>
      </c>
      <c r="E436" s="1" t="s">
        <v>15</v>
      </c>
      <c r="F436" s="1" t="s">
        <v>9</v>
      </c>
      <c r="G436" s="1" t="s">
        <v>8</v>
      </c>
      <c r="H436" s="1" t="s">
        <v>6</v>
      </c>
      <c r="I436" s="4"/>
    </row>
    <row r="437" spans="1:14" ns3:dyDescent="0.2">
      <c r="A437" t="str">
        <f>B427</f>
        <v>electricity supply, high voltage, from vanadium-redox flow battery system</v>
      </c>
      <c r="B437">
        <v>1</v>
      </c>
      <c r="C437" t="s">
        <v>4</v>
      </c>
      <c r="D437" t="str">
        <f>B434</f>
        <v>kilowatt hour</v>
      </c>
      <c r="F437" t="s">
        <v>33</v>
      </c>
      <c r="G437" t="str">
        <f>B432</f>
        <v>electricity, high voltage</v>
      </c>
      <c r="I437" s="3"/>
      <c r="J437" s="3"/>
      <c r="K437" s="3"/>
      <c r="L437" s="3"/>
      <c r="M437" s="3"/>
      <c r="N437" s="3"/>
    </row>
    <row r="438" spans="1:14" ns3:dyDescent="0.2">
      <c r="A438" t="s">
        <v>269</v>
      </c>
      <c r="B438">
        <v>1.3333333333333333</v>
      </c>
      <c r="C438" t="s">
        <v>4</v>
      </c>
      <c r="D438" t="s">
        <v>84</v>
      </c>
      <c r="F438" t="s">
        <v>30</v>
      </c>
      <c r="G438" t="s">
        <v>246</v>
      </c>
      <c r="H438" t="s">
        <v>275</v>
      </c>
      <c r="I438" s="3"/>
      <c r="J438" s="3"/>
      <c r="K438" s="3"/>
      <c r="L438" s="3"/>
      <c r="M438" s="3"/>
      <c r="N438" s="3"/>
    </row>
    <row r="439" spans="1:14" ns3:dyDescent="0.2">
      <c r="A439" t="s">
        <v>264</v>
      </c>
      <c r="B439" s="9">
        <v>2.3999135363090813e-08</v>
      </c>
      <c r="C439" t="s">
        <v>4</v>
      </c>
      <c r="D439" t="s">
        <v>11</v>
      </c>
      <c r="F439" t="s">
        <v>30</v>
      </c>
      <c r="G439" t="s">
        <v>260</v>
      </c>
      <c r="H439" t="inlineStr">
        <is>
          <t>One installed system per reference lifetime delivered kWh, at 95% usable SOC; see reference design.</t>
        </is>
      </c>
    </row>
    <row r="440" spans="1:14" ns3:dyDescent="0.2">
      <c r="A440" t="s">
        <v>265</v>
      </c>
      <c r="B440" s="9">
        <v>2.3999135363090813e-08</v>
      </c>
      <c r="C440" t="s">
        <v>4</v>
      </c>
      <c r="D440" t="s">
        <v>11</v>
      </c>
      <c r="F440" t="s">
        <v>30</v>
      </c>
      <c r="G440" t="s">
        <v>266</v>
      </c>
      <c r="H440" t="s">
        <v>268</v>
      </c>
    </row>
    <row r="441" spans="1:14" ns3:dyDescent="0.2">
      <c r="A441" t="s">
        <v>230</v>
      </c>
      <c r="B441" s="9">
        <v>-0.00048075067959343513</v>
      </c>
      <c r="C441" t="s">
        <v>4</v>
      </c>
      <c r="D441" t="s">
        <v>31</v>
      </c>
      <c r="F441" t="s">
        <v>30</v>
      </c>
      <c r="G441" t="s">
        <v>231</v>
      </c>
      <c r="H441" t="s">
        <v>270</v>
      </c>
    </row>
    <row r="442" spans="1:14" ns3:dyDescent="0.2">
      <c r="A442" t="s">
        <v>236</v>
      </c>
      <c r="B442">
        <v>-0.0007821078223477665</v>
      </c>
      <c r="C442" t="s">
        <v>4</v>
      </c>
      <c r="D442" t="s">
        <v>31</v>
      </c>
      <c r="F442" t="s">
        <v>30</v>
      </c>
      <c r="G442" t="s">
        <v>237</v>
      </c>
      <c r="H442" t="s">
        <v>271</v>
      </c>
    </row>
    <row r="443" spans="1:14" ns3:dyDescent="0.2">
      <c r="A443" t="s">
        <v>238</v>
      </c>
      <c r="B443">
        <v>-0.006533044628540581</v>
      </c>
      <c r="C443" t="s">
        <v>4</v>
      </c>
      <c r="D443" t="s">
        <v>31</v>
      </c>
      <c r="F443" t="s">
        <v>30</v>
      </c>
      <c r="G443" t="s">
        <v>239</v>
      </c>
      <c r="H443" t="s">
        <v>272</v>
      </c>
    </row>
    <row r="444" spans="1:14" ns3:dyDescent="0.2">
      <c r="A444" t="s">
        <v>240</v>
      </c>
      <c r="B444">
        <v>-0.00012299556873584042</v>
      </c>
      <c r="C444" t="s">
        <v>4</v>
      </c>
      <c r="D444" t="s">
        <v>31</v>
      </c>
      <c r="F444" t="s">
        <v>30</v>
      </c>
      <c r="G444" t="s">
        <v>241</v>
      </c>
      <c r="H444" t="s">
        <v>273</v>
      </c>
    </row>
    <row r="446" spans="1:14" ns3:dyDescent="0.2">
      <c r="A446" s="1" t="s">
        <v>1</v>
      </c>
      <c r="B446" s="1" t="s">
        <v>360</v>
      </c>
    </row>
    <row r="447" spans="1:14" ns3:dyDescent="0.2">
      <c r="A447" t="s">
        <v>3</v>
      </c>
      <c r="B447" t="s">
        <v>28</v>
      </c>
    </row>
    <row r="448" spans="1:14" ns3:dyDescent="0.2">
      <c r="A448" t="s">
        <v>6</v>
      </c>
      <c r="B448" t="inlineStr">
        <is>
          <t>VRFB reference correction v1 (2026-10-17). Independent reconstruction: Oxkem VOS16 2024 electrolyte; Martin 2020 electrochemical reduction; Weber 2018 hardware and lifetime. Nominal capacity uses paired one-electron V charge at Li 2011's 1.25 V standard potential, an explicit reference assumption, not a measured discharge average. Legacy '8.3 MWh' activity name is an identifier, not the reconstructed capacity. The source archive's unspecified remaining-error warning is unresolved; no archive processes are copied. See data/battery/vanadium_reference_design.json and stationary battery documentation for calculations and coverage gaps. Fixed design at all years, no imposed primary/secondary-share change.</t>
        </is>
      </c>
    </row>
    <row r="449" spans="1:9" ns3:dyDescent="0.2">
      <c r="A449" t="s">
        <v>5</v>
      </c>
      <c r="B449">
        <v>1</v>
      </c>
    </row>
    <row r="450" spans="1:9" ns3:dyDescent="0.2">
      <c r="A450" t="s">
        <v>7</v>
      </c>
      <c r="B450" t="s">
        <v>17</v>
      </c>
    </row>
    <row r="451" spans="1:9" ns3:dyDescent="0.2">
      <c r="A451" t="s">
        <v>8</v>
      </c>
      <c r="B451" t="s">
        <v>361</v>
      </c>
    </row>
    <row r="452" spans="1:9" ns3:dyDescent="0.2">
      <c r="A452" t="s">
        <v>9</v>
      </c>
      <c r="B452" t="s">
        <v>10</v>
      </c>
    </row>
    <row r="453" spans="1:9" ns3:dyDescent="0.2">
      <c r="A453" t="s">
        <v>11</v>
      </c>
      <c r="B453" t="s">
        <v>31</v>
      </c>
    </row>
    <row r="454" spans="1:9" ns3:dyDescent="0.2">
      <c r="A454" s="1" t="s">
        <v>12</v>
      </c>
      <c r="I454" s="9"/>
    </row>
    <row r="455" spans="1:9" ns3:dyDescent="0.2">
      <c r="A455" s="1" t="s">
        <v>13</v>
      </c>
      <c r="B455" s="1" t="s">
        <v>14</v>
      </c>
      <c r="C455" s="1" t="s">
        <v>3</v>
      </c>
      <c r="D455" s="1" t="s">
        <v>11</v>
      </c>
      <c r="E455" s="1" t="s">
        <v>15</v>
      </c>
      <c r="F455" s="1" t="s">
        <v>9</v>
      </c>
      <c r="G455" s="1" t="s">
        <v>8</v>
      </c>
      <c r="H455" s="1" t="s">
        <v>6</v>
      </c>
    </row>
    <row r="456" spans="1:9" ns3:dyDescent="0.2">
      <c r="A456" t="str">
        <f>B446</f>
        <v>market for battery, redox-flow, Vanadium</v>
      </c>
      <c r="B456">
        <v>1</v>
      </c>
      <c r="C456" t="s">
        <v>28</v>
      </c>
      <c r="D456" t="str">
        <f>B453</f>
        <v>kilogram</v>
      </c>
      <c r="F456" t="s">
        <v>33</v>
      </c>
      <c r="G456" t="str">
        <f>B451</f>
        <v>battery, redox-flow, Vanadium</v>
      </c>
    </row>
    <row r="457" spans="1:9" ns3:dyDescent="0.2">
      <c r="A457" t="s">
        <v>264</v>
      </c>
      <c r="B457" s="9">
        <v>3.125488357555868e-06</v>
      </c>
      <c r="C457" t="s">
        <v>4</v>
      </c>
      <c r="D457" t="s">
        <v>11</v>
      </c>
      <c r="F457" t="s">
        <v>30</v>
      </c>
      <c r="G457" t="s">
        <v>260</v>
      </c>
      <c r="H457" t="inlineStr">
        <is>
          <t>319950 kg = sum of S1 component rows (printed total differs by 2 kg).</t>
        </is>
      </c>
    </row>
    <row r="458" spans="1:9" ns3:dyDescent="0.2">
      <c r="A458" t="s">
        <v>265</v>
      </c>
      <c r="B458" s="9">
        <v>3.125488357555868e-06</v>
      </c>
      <c r="C458" t="s">
        <v>4</v>
      </c>
      <c r="D458" t="s">
        <v>11</v>
      </c>
      <c r="F458" t="s">
        <v>30</v>
      </c>
      <c r="G458" t="s">
        <v>266</v>
      </c>
      <c r="I458" s="9"/>
      <c r="H458" t="inlineStr">
        <is>
          <t>One replacement stack over 20 years; reference installed mass is not doubled.</t>
        </is>
      </c>
    </row>
    <row r="459" spans="1:9" ns3:dyDescent="0.2">
      <c r="B459" s="9"/>
    </row>
    <row r="461" spans="1:9" ns3:dyDescent="0.2">
      <c r="A461" s="1" t="s">
        <v>1</v>
      </c>
      <c r="B461" s="1" t="s">
        <v>366</v>
      </c>
    </row>
    <row r="462" spans="1:9" ns3:dyDescent="0.2">
      <c r="A462" t="s">
        <v>3</v>
      </c>
      <c r="B462" t="s">
        <v>28</v>
      </c>
    </row>
    <row r="463" spans="1:9" ns3:dyDescent="0.2">
      <c r="A463" t="s">
        <v>6</v>
      </c>
    </row>
    <row r="464" spans="1:9" ns3:dyDescent="0.2">
      <c r="A464" t="s">
        <v>5</v>
      </c>
      <c r="B464">
        <v>1</v>
      </c>
    </row>
    <row r="465" spans="1:8" ns3:dyDescent="0.2">
      <c r="A465" t="s">
        <v>7</v>
      </c>
      <c r="B465" t="s">
        <v>17</v>
      </c>
    </row>
    <row r="466" spans="1:8" ns3:dyDescent="0.2">
      <c r="A466" t="s">
        <v>8</v>
      </c>
      <c r="B466" t="s">
        <v>367</v>
      </c>
    </row>
    <row r="467" spans="1:8" ns3:dyDescent="0.2">
      <c r="A467" t="s">
        <v>9</v>
      </c>
      <c r="B467" t="s">
        <v>10</v>
      </c>
    </row>
    <row r="468" spans="1:8" ns3:dyDescent="0.2">
      <c r="A468" t="s">
        <v>11</v>
      </c>
      <c r="B468" t="s">
        <v>31</v>
      </c>
    </row>
    <row r="469" spans="1:8" ns3:dyDescent="0.2">
      <c r="A469" s="1" t="s">
        <v>12</v>
      </c>
    </row>
    <row r="470" spans="1:8" ns3:dyDescent="0.2">
      <c r="A470" s="1" t="s">
        <v>13</v>
      </c>
      <c r="B470" s="1" t="s">
        <v>14</v>
      </c>
      <c r="C470" s="1" t="s">
        <v>3</v>
      </c>
      <c r="D470" s="1" t="s">
        <v>11</v>
      </c>
      <c r="E470" s="1" t="s">
        <v>15</v>
      </c>
      <c r="F470" s="1" t="s">
        <v>9</v>
      </c>
      <c r="G470" s="1" t="s">
        <v>8</v>
      </c>
      <c r="H470" s="1" t="s">
        <v>6</v>
      </c>
    </row>
    <row r="471" spans="1:8" ns3:dyDescent="0.2">
      <c r="A471" t="str">
        <f>B461</f>
        <v>market for used redox-flow battery</v>
      </c>
      <c r="B471">
        <v>-1</v>
      </c>
      <c r="C471" t="s">
        <v>28</v>
      </c>
      <c r="D471" t="str">
        <f>B468</f>
        <v>kilogram</v>
      </c>
      <c r="F471" t="s">
        <v>33</v>
      </c>
      <c r="G471" t="str">
        <f>B466</f>
        <v>used redox-flow battery</v>
      </c>
    </row>
    <row r="472" spans="1:8" ns3:dyDescent="0.2">
      <c r="A472" t="s">
        <v>230</v>
      </c>
      <c r="B472" s="9">
        <v>-0.06279145361121181</v>
      </c>
      <c r="C472" t="s">
        <v>4</v>
      </c>
      <c r="D472" t="s">
        <v>31</v>
      </c>
      <c r="F472" t="s">
        <v>30</v>
      </c>
      <c r="G472" t="s">
        <v>231</v>
      </c>
    </row>
    <row r="473" spans="1:8" ns3:dyDescent="0.2">
      <c r="A473" t="s">
        <v>236</v>
      </c>
      <c r="B473" s="9">
        <v>-0.10107892532536537</v>
      </c>
      <c r="C473" t="s">
        <v>4</v>
      </c>
      <c r="D473" t="s">
        <v>31</v>
      </c>
      <c r="F473" t="s">
        <v>30</v>
      </c>
      <c r="G473" t="s">
        <v>237</v>
      </c>
    </row>
    <row r="474" spans="1:8" ns3:dyDescent="0.2">
      <c r="A474" t="s">
        <v>238</v>
      </c>
      <c r="B474" s="9">
        <v>-0.8499818720542087</v>
      </c>
      <c r="C474" t="s">
        <v>4</v>
      </c>
      <c r="D474" t="s">
        <v>31</v>
      </c>
      <c r="F474" t="s">
        <v>30</v>
      </c>
      <c r="G474" t="s">
        <v>239</v>
      </c>
    </row>
    <row r="475" spans="1:8" ns3:dyDescent="0.2">
      <c r="A475" t="s">
        <v>240</v>
      </c>
      <c r="B475" s="9">
        <v>-0.01531498868566142</v>
      </c>
      <c r="C475" t="s">
        <v>4</v>
      </c>
      <c r="D475" t="s">
        <v>31</v>
      </c>
      <c r="F475" t="s">
        <v>30</v>
      </c>
      <c r="G475" t="s">
        <v>241</v>
      </c>
    </row>
    <row r="477">
      <c r="A477" t="inlineStr">
        <is>
          <t>Activity</t>
        </is>
      </c>
      <c r="B477" t="inlineStr">
        <is>
          <t>market for used redox-flow battery, Vanadium, reference design</t>
        </is>
      </c>
    </row>
    <row r="478">
      <c r="A478" t="inlineStr">
        <is>
          <t>reference product</t>
        </is>
      </c>
      <c r="B478" t="inlineStr">
        <is>
          <t>used redox-flow battery, Vanadium, reference design</t>
        </is>
      </c>
    </row>
    <row r="479">
      <c r="A479" t="inlineStr">
        <is>
          <t>location</t>
        </is>
      </c>
      <c r="B479" t="inlineStr">
        <is>
          <t>GLO</t>
        </is>
      </c>
    </row>
    <row r="480">
      <c r="A480" t="inlineStr">
        <is>
          <t>unit</t>
        </is>
      </c>
      <c r="B480" t="inlineStr">
        <is>
          <t>kilogram</t>
        </is>
      </c>
    </row>
    <row r="481">
      <c r="A481" t="inlineStr">
        <is>
          <t>production amount</t>
        </is>
      </c>
      <c r="B481">
        <v>-1</v>
      </c>
    </row>
    <row r="482">
      <c r="A482" t="inlineStr">
        <is>
          <t>type</t>
        </is>
      </c>
      <c r="B482" t="inlineStr">
        <is>
          <t>process</t>
        </is>
      </c>
    </row>
    <row r="483">
      <c r="A483" t="inlineStr">
        <is>
          <t>comment</t>
        </is>
      </c>
      <c r="B483" t="inlineStr">
        <is>
          <t>VRFB reference correction v1 (2026-10-17). Independent reconstruction: Oxkem VOS16 2024 electrolyte; Martin 2020 electrochemical reduction; Weber 2018 hardware and lifetime. Nominal capacity uses paired one-electron V charge at Li 2011's 1.25 V standard potential, an explicit reference assumption, not a measured discharge average. Legacy '8.3 MWh' activity name is an identifier, not the reconstructed capacity. The source archive's unspecified remaining-error warning is unresolved; no archive processes are copied. See data/battery/vanadium_reference_design.json and stationary battery documentation for calculations and coverage gaps. Fixed design at all years, no imposed primary/secondary-share change. Per kg nominal installed system; includes treatment of one replacement stack over 20 years. No substitution or recovery-credit changes.</t>
        </is>
      </c>
    </row>
    <row r="484">
      <c r="A484" t="inlineStr">
        <is>
          <t>Exchanges</t>
        </is>
      </c>
    </row>
    <row r="485">
      <c r="A485" t="inlineStr">
        <is>
          <t>name</t>
        </is>
      </c>
      <c r="B485" t="inlineStr">
        <is>
          <t>amount</t>
        </is>
      </c>
      <c r="C485" t="inlineStr">
        <is>
          <t>location</t>
        </is>
      </c>
      <c r="D485" t="inlineStr">
        <is>
          <t>unit</t>
        </is>
      </c>
      <c r="E485" t="inlineStr">
        <is>
          <t>categories</t>
        </is>
      </c>
      <c r="F485" t="inlineStr">
        <is>
          <t>type</t>
        </is>
      </c>
      <c r="G485" t="inlineStr">
        <is>
          <t>reference product</t>
        </is>
      </c>
      <c r="H485" t="inlineStr">
        <is>
          <t>comment</t>
        </is>
      </c>
    </row>
    <row r="486">
      <c r="A486" t="inlineStr">
        <is>
          <t>market for used redox-flow battery, Vanadium, reference design</t>
        </is>
      </c>
      <c r="B486">
        <v>-1</v>
      </c>
      <c r="C486" t="inlineStr">
        <is>
          <t>GLO</t>
        </is>
      </c>
      <c r="D486" t="inlineStr">
        <is>
          <t>kilogram</t>
        </is>
      </c>
      <c r="E486"/>
      <c r="F486" t="inlineStr">
        <is>
          <t>production</t>
        </is>
      </c>
      <c r="G486" t="inlineStr">
        <is>
          <t>used redox-flow battery, Vanadium, reference design</t>
        </is>
      </c>
      <c r="H486"/>
    </row>
    <row r="487">
      <c r="A487" t="inlineStr">
        <is>
          <t>treatment of stack, for VRFB system</t>
        </is>
      </c>
      <c r="B487">
        <v>-0.06260978277855915</v>
      </c>
      <c r="C487" t="inlineStr">
        <is>
          <t>RER</t>
        </is>
      </c>
      <c r="D487" t="inlineStr">
        <is>
          <t>kilogram</t>
        </is>
      </c>
      <c r="E487"/>
      <c r="F487" t="inlineStr">
        <is>
          <t>technosphere</t>
        </is>
      </c>
      <c r="G487" t="inlineStr">
        <is>
          <t>used stack, for VRFB system</t>
        </is>
      </c>
      <c r="H487"/>
    </row>
    <row r="488">
      <c r="A488" t="inlineStr">
        <is>
          <t>treatment of electrolyte tank, for VRFB system</t>
        </is>
      </c>
      <c r="B488">
        <v>-0.10185654008438819</v>
      </c>
      <c r="C488" t="inlineStr">
        <is>
          <t>RER</t>
        </is>
      </c>
      <c r="D488" t="inlineStr">
        <is>
          <t>kilogram</t>
        </is>
      </c>
      <c r="E488"/>
      <c r="F488" t="inlineStr">
        <is>
          <t>technosphere</t>
        </is>
      </c>
      <c r="G488" t="inlineStr">
        <is>
          <t>used electrolyte tank, for VRFB system</t>
        </is>
      </c>
      <c r="H488"/>
    </row>
    <row r="489">
      <c r="A489" t="inlineStr">
        <is>
          <t>treatment of electrolyte solution, for VRFB system</t>
        </is>
      </c>
      <c r="B489">
        <v>-0.8508204406938584</v>
      </c>
      <c r="C489" t="inlineStr">
        <is>
          <t>RER</t>
        </is>
      </c>
      <c r="D489" t="inlineStr">
        <is>
          <t>kilogram</t>
        </is>
      </c>
      <c r="E489"/>
      <c r="F489" t="inlineStr">
        <is>
          <t>technosphere</t>
        </is>
      </c>
      <c r="G489" t="inlineStr">
        <is>
          <t>used electrolyte solution, for VRFB system</t>
        </is>
      </c>
      <c r="H489"/>
    </row>
    <row r="490">
      <c r="A490" t="inlineStr">
        <is>
          <t>treatment of periphericals, for VRFB system</t>
        </is>
      </c>
      <c r="B490">
        <v>-0.016018127832473823</v>
      </c>
      <c r="C490" t="inlineStr">
        <is>
          <t>RER</t>
        </is>
      </c>
      <c r="D490" t="inlineStr">
        <is>
          <t>kilogram</t>
        </is>
      </c>
      <c r="E490"/>
      <c r="F490" t="inlineStr">
        <is>
          <t>technosphere</t>
        </is>
      </c>
      <c r="G490" t="inlineStr">
        <is>
          <t>used periphericals, for VRFB system</t>
        </is>
      </c>
      <c r="H490"/>
    </row>
  </sheetData>
  <autoFilter ref="A1:P444" ns2:uid="{2F1C5B3A-29A3-3D4D-87B5-E2283E6AD55F}"/>
  <pageMargins left="0.7" right="0.7" top="0.75" bottom="0.75" header="0.3" footer="0.3"/>
  <pageSetup paperSize="9" orientation="portrait" ns4: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Romain Sacchi</dc:creator>
  <cp:lastModifiedBy>Romain Sacchi</cp:lastModifiedBy>
  <dcterms:created xsi:type="dcterms:W3CDTF">2023-10-03T13:38:00Z</dcterms:created>
  <dcterms:modified xsi:type="dcterms:W3CDTF">2024-08-06T16:52:03Z</dcterms:modified>
</cp:coreProperties>
</file>