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0" yWindow="2820" windowWidth="26440" windowHeight="15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 (Body)"/>
      <b val="1"/>
      <sz val="12"/>
    </font>
    <font>
      <name val="Calibri (Body)"/>
      <sz val="12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/>
    <xf numFmtId="0" fontId="3" fillId="0" borderId="0"/>
    <xf numFmtId="0" fontId="3" fillId="0" borderId="0"/>
  </cellStyleXfs>
  <cellXfs count="18">
    <xf numFmtId="0" fontId="0" fillId="0" borderId="0" pivotButton="0" quotePrefix="0" xfId="0"/>
    <xf numFmtId="0" fontId="4" fillId="0" borderId="0" pivotButton="0" quotePrefix="0" xfId="2"/>
    <xf numFmtId="11" fontId="4" fillId="0" borderId="0" pivotButton="0" quotePrefix="0" xfId="2"/>
    <xf numFmtId="0" fontId="3" fillId="0" borderId="0" pivotButton="0" quotePrefix="0" xfId="2"/>
    <xf numFmtId="0" fontId="3" fillId="0" borderId="1" pivotButton="0" quotePrefix="0" xfId="2"/>
    <xf numFmtId="0" fontId="3" fillId="0" borderId="0" pivotButton="0" quotePrefix="0" xfId="0"/>
    <xf numFmtId="0" fontId="5" fillId="0" borderId="0" pivotButton="0" quotePrefix="0" xfId="2"/>
    <xf numFmtId="11" fontId="5" fillId="0" borderId="0" pivotButton="0" quotePrefix="0" xfId="0"/>
    <xf numFmtId="0" fontId="6" fillId="0" borderId="0" pivotButton="0" quotePrefix="0" xfId="3"/>
    <xf numFmtId="0" fontId="6" fillId="0" borderId="0" pivotButton="0" quotePrefix="0" xfId="0"/>
    <xf numFmtId="2" fontId="6" fillId="0" borderId="0" pivotButton="0" quotePrefix="0" xfId="0"/>
    <xf numFmtId="0" fontId="6" fillId="0" borderId="0" pivotButton="0" quotePrefix="0" xfId="2"/>
    <xf numFmtId="11" fontId="6" fillId="0" borderId="0" applyAlignment="1" pivotButton="0" quotePrefix="0" xfId="2">
      <alignment horizontal="left"/>
    </xf>
    <xf numFmtId="11" fontId="6" fillId="0" borderId="0" pivotButton="0" quotePrefix="0" xfId="1"/>
    <xf numFmtId="11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4">
    <cellStyle name="Normal" xfId="0" builtinId="0"/>
    <cellStyle name="Neutral" xfId="1" builtinId="28"/>
    <cellStyle name="Normal 11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tabSelected="1" workbookViewId="0">
      <selection activeCell="G14" sqref="G14"/>
    </sheetView>
  </sheetViews>
  <sheetFormatPr baseColWidth="10" defaultRowHeight="16"/>
  <cols>
    <col width="59.83203125" bestFit="1" customWidth="1" min="1" max="1"/>
  </cols>
  <sheetData>
    <row r="1" ht="15" customHeight="1">
      <c r="A1" s="1" t="inlineStr">
        <is>
          <t>Database</t>
        </is>
      </c>
      <c r="B1" s="2" t="inlineStr">
        <is>
          <t>hydrogen from oil</t>
        </is>
      </c>
      <c r="C1" s="3" t="n"/>
      <c r="D1" s="3" t="n"/>
      <c r="E1" s="3" t="n"/>
      <c r="F1" s="3" t="n"/>
      <c r="G1" s="3" t="n"/>
      <c r="H1" s="3" t="n"/>
      <c r="I1" s="4" t="n"/>
      <c r="K1" s="5" t="n"/>
    </row>
    <row r="2" ht="15" customHeight="1">
      <c r="A2" s="1" t="n"/>
      <c r="B2" s="2" t="n"/>
      <c r="C2" s="3" t="n"/>
      <c r="D2" s="3" t="n"/>
      <c r="E2" s="3" t="n"/>
      <c r="F2" s="3" t="n"/>
      <c r="G2" s="3" t="n"/>
      <c r="H2" s="3" t="n"/>
      <c r="I2" s="4" t="n"/>
      <c r="K2" s="5" t="n"/>
    </row>
    <row r="3" customFormat="1" s="9">
      <c r="A3" s="6" t="inlineStr">
        <is>
          <t>Activity</t>
        </is>
      </c>
      <c r="B3" s="7" t="inlineStr">
        <is>
          <t>hydrogen production, gaseous, petroleum refinery operation, with CCS</t>
        </is>
      </c>
      <c r="C3" s="8" t="n"/>
      <c r="K3" s="10" t="n"/>
      <c r="L3" s="10" t="n"/>
      <c r="M3" s="10" t="n"/>
      <c r="N3" s="10" t="n"/>
      <c r="O3" s="10" t="n"/>
      <c r="P3" s="10" t="n"/>
    </row>
    <row r="4" customFormat="1" s="9">
      <c r="A4" s="11" t="inlineStr">
        <is>
          <t>production amount</t>
        </is>
      </c>
      <c r="B4" s="12" t="n">
        <v>1</v>
      </c>
      <c r="K4" s="10" t="n"/>
      <c r="L4" s="10" t="n"/>
      <c r="M4" s="10" t="n"/>
      <c r="N4" s="10" t="n"/>
      <c r="O4" s="10" t="n"/>
      <c r="P4" s="10" t="n"/>
    </row>
    <row r="5" customFormat="1" s="9">
      <c r="A5" s="11" t="inlineStr">
        <is>
          <t>comment</t>
        </is>
      </c>
      <c r="B5" s="12" t="inlineStr">
        <is>
          <t>1 kg H2 produced at an oil refinery. Uses ecoinvent's dataset "hydrogen production, gaseous, petroleum refinery operation" as input and adds CCS to it.</t>
        </is>
      </c>
      <c r="K5" s="10" t="n"/>
      <c r="L5" s="10" t="n"/>
      <c r="M5" s="10" t="n"/>
      <c r="N5" s="10" t="n"/>
      <c r="O5" s="10" t="n"/>
      <c r="P5" s="10" t="n"/>
    </row>
    <row r="6" customFormat="1" s="9">
      <c r="A6" s="11" t="inlineStr">
        <is>
          <t>reference product</t>
        </is>
      </c>
      <c r="B6" s="13" t="inlineStr">
        <is>
          <t>hydrogen, gaseous, 30 bar</t>
        </is>
      </c>
      <c r="K6" s="10" t="n"/>
      <c r="L6" s="10" t="n"/>
      <c r="M6" s="10" t="n"/>
      <c r="N6" s="10" t="n"/>
      <c r="O6" s="10" t="n"/>
      <c r="P6" s="10" t="n"/>
    </row>
    <row r="7" customFormat="1" s="9">
      <c r="A7" s="11" t="inlineStr">
        <is>
          <t>location</t>
        </is>
      </c>
      <c r="B7" s="12" t="inlineStr">
        <is>
          <t>RER</t>
        </is>
      </c>
      <c r="K7" s="10" t="n"/>
      <c r="L7" s="10" t="n"/>
      <c r="M7" s="10" t="n"/>
      <c r="N7" s="10" t="n"/>
      <c r="O7" s="10" t="n"/>
      <c r="P7" s="10" t="n"/>
    </row>
    <row r="8" customFormat="1" s="9">
      <c r="A8" s="11" t="inlineStr">
        <is>
          <t>unit</t>
        </is>
      </c>
      <c r="B8" s="14" t="inlineStr">
        <is>
          <t>kilogram</t>
        </is>
      </c>
      <c r="H8" s="15" t="n"/>
      <c r="I8" s="15" t="n"/>
      <c r="J8" s="15" t="n"/>
      <c r="K8" s="10" t="n"/>
      <c r="L8" s="10" t="n"/>
      <c r="M8" s="10" t="n"/>
      <c r="N8" s="10" t="n"/>
      <c r="O8" s="10" t="n"/>
      <c r="P8" s="10" t="n"/>
    </row>
    <row r="9" customFormat="1" s="9">
      <c r="A9" s="15" t="inlineStr">
        <is>
          <t>Exchanges</t>
        </is>
      </c>
      <c r="B9" s="7" t="n"/>
      <c r="C9" s="15" t="n"/>
      <c r="D9" s="15" t="n"/>
      <c r="E9" s="15" t="n"/>
      <c r="F9" s="15" t="n"/>
      <c r="G9" s="15" t="n"/>
      <c r="H9" s="8" t="n"/>
      <c r="I9" s="8" t="n"/>
      <c r="J9" s="8" t="n"/>
      <c r="K9" s="10" t="n"/>
      <c r="L9" s="10" t="n"/>
      <c r="M9" s="10" t="n"/>
      <c r="N9" s="10" t="n"/>
      <c r="O9" s="10" t="n"/>
      <c r="P9" s="10" t="n"/>
    </row>
    <row r="10" customFormat="1" s="9">
      <c r="A10" s="15" t="inlineStr">
        <is>
          <t>name</t>
        </is>
      </c>
      <c r="B10" s="15" t="inlineStr">
        <is>
          <t>amount</t>
        </is>
      </c>
      <c r="C10" s="15" t="inlineStr">
        <is>
          <t>location</t>
        </is>
      </c>
      <c r="D10" s="15" t="inlineStr">
        <is>
          <t>unit</t>
        </is>
      </c>
      <c r="E10" s="15" t="inlineStr">
        <is>
          <t>categories</t>
        </is>
      </c>
      <c r="F10" s="15" t="inlineStr">
        <is>
          <t>type</t>
        </is>
      </c>
      <c r="G10" s="15" t="inlineStr">
        <is>
          <t>reference product</t>
        </is>
      </c>
      <c r="H10" s="15" t="n"/>
      <c r="I10" s="15" t="n"/>
      <c r="J10" s="16" t="n"/>
      <c r="K10" s="17" t="n"/>
      <c r="L10" s="17" t="n"/>
      <c r="M10" s="17" t="n"/>
      <c r="N10" s="17" t="n"/>
      <c r="O10" s="17" t="n"/>
      <c r="P10" s="17" t="n"/>
      <c r="Q10" s="16" t="n"/>
      <c r="R10" s="16" t="n"/>
      <c r="S10" s="15" t="n"/>
      <c r="T10" s="16" t="n"/>
      <c r="U10" s="15" t="n"/>
    </row>
    <row r="11" customFormat="1" s="9">
      <c r="A11" s="14" t="inlineStr">
        <is>
          <t>hydrogen production, gaseous, petroleum refinery operation, with CCS</t>
        </is>
      </c>
      <c r="B11" s="14" t="n">
        <v>1</v>
      </c>
      <c r="C11" s="9" t="inlineStr">
        <is>
          <t>RER</t>
        </is>
      </c>
      <c r="D11" s="9" t="inlineStr">
        <is>
          <t>kilogram</t>
        </is>
      </c>
      <c r="E11" s="8" t="n"/>
      <c r="F11" s="9" t="inlineStr">
        <is>
          <t>production</t>
        </is>
      </c>
      <c r="G11" s="9" t="inlineStr">
        <is>
          <t>hydrogen, gaseous, 30 bar</t>
        </is>
      </c>
      <c r="H11" s="8" t="n"/>
      <c r="I11" s="8" t="n"/>
      <c r="K11" s="10" t="n"/>
      <c r="L11" s="10" t="n"/>
      <c r="M11" s="10" t="n"/>
      <c r="N11" s="10" t="n"/>
      <c r="O11" s="10" t="n"/>
      <c r="P11" s="10" t="n"/>
    </row>
    <row r="12">
      <c r="A12" t="inlineStr">
        <is>
          <t>hydrogen production, gaseous, petroleum refinery operation</t>
        </is>
      </c>
      <c r="B12" t="n">
        <v>1</v>
      </c>
      <c r="C12" t="inlineStr">
        <is>
          <t>Europe without Switzerland</t>
        </is>
      </c>
      <c r="D12" s="9" t="inlineStr">
        <is>
          <t>kilogram</t>
        </is>
      </c>
      <c r="F12" t="inlineStr">
        <is>
          <t>technosphere</t>
        </is>
      </c>
      <c r="G12" t="inlineStr">
        <is>
          <t>hydrogen, gaseous, low pressure</t>
        </is>
      </c>
    </row>
    <row r="13">
      <c r="A13" t="inlineStr">
        <is>
          <t>carbon dioxide, captured at hydrogen production plant, pre, pipeline 200km, storage 1000m</t>
        </is>
      </c>
      <c r="B13" t="n">
        <v>0.86</v>
      </c>
      <c r="C13" t="inlineStr">
        <is>
          <t>RER</t>
        </is>
      </c>
      <c r="D13" s="9" t="inlineStr">
        <is>
          <t>kilogram</t>
        </is>
      </c>
      <c r="F13" t="inlineStr">
        <is>
          <t>technosphere</t>
        </is>
      </c>
      <c r="G13" t="inlineStr">
        <is>
          <t>carbon dioxide, captured at hydrogen production plant, pre, pipeline 200km, storage 1000m</t>
        </is>
      </c>
    </row>
    <row r="14">
      <c r="A14" t="inlineStr">
        <is>
          <t>Carbon dioxide, fossil</t>
        </is>
      </c>
      <c r="B14">
        <f>B13*-1</f>
        <v>-0.86</v>
      </c>
      <c r="D14" s="9" t="inlineStr">
        <is>
          <t>kilogram</t>
        </is>
      </c>
      <c r="E14" t="inlineStr">
        <is>
          <t>air</t>
        </is>
      </c>
      <c r="F14" t="inlineStr">
        <is>
          <t>biosphere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2025-03-30T11:39:47Z</dcterms:created>
  <dcterms:modified xmlns:dcterms="http://purl.org/dc/terms/" xmlns:xsi="http://www.w3.org/2001/XMLSchema-instance" xsi:type="dcterms:W3CDTF">2026-07-07T14:16:30Z</dcterms:modified>
  <cp:lastModifiedBy>Romain Sacchi</cp:lastModifiedBy>
</cp:coreProperties>
</file>