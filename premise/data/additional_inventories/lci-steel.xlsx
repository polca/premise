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7640" yWindow="-360" windowWidth="25800" windowHeight="18880" tabRatio="900" firstSheet="0" activeTab="5" autoFilterDateGrouping="1"/>
  </bookViews>
  <sheets>
    <sheet xmlns:r="http://schemas.openxmlformats.org/officeDocument/2006/relationships" name="BF-BOF" sheetId="1" state="visible" r:id="rId1"/>
    <sheet xmlns:r="http://schemas.openxmlformats.org/officeDocument/2006/relationships" name="BF-BOF+CCS" sheetId="2" state="visible" r:id="rId2"/>
    <sheet xmlns:r="http://schemas.openxmlformats.org/officeDocument/2006/relationships" name="TGR-BF-BOF" sheetId="3" state="visible" r:id="rId3"/>
    <sheet xmlns:r="http://schemas.openxmlformats.org/officeDocument/2006/relationships" name="TGR-BF-BOF+CCS" sheetId="4" state="visible" r:id="rId4"/>
    <sheet xmlns:r="http://schemas.openxmlformats.org/officeDocument/2006/relationships" name="NG-DRI" sheetId="5" state="visible" r:id="rId5"/>
    <sheet xmlns:r="http://schemas.openxmlformats.org/officeDocument/2006/relationships" name="NG-DRI+CCS" sheetId="6" state="visible" r:id="rId6"/>
    <sheet xmlns:r="http://schemas.openxmlformats.org/officeDocument/2006/relationships" name="H2-DRI-EAF" sheetId="7" state="visible" r:id="rId7"/>
    <sheet xmlns:r="http://schemas.openxmlformats.org/officeDocument/2006/relationships" name="EW-EAF" sheetId="8" state="visible" r:id="rId8"/>
    <sheet xmlns:r="http://schemas.openxmlformats.org/officeDocument/2006/relationships" name="metadata" sheetId="9" state="visible" r:id="rId9"/>
  </sheets>
  <definedNames>
    <definedName name="_xlnm._FilterDatabase" localSheetId="0" hidden="1">'BF-BOF'!$A$1:$Q$107</definedName>
    <definedName name="_xlnm._FilterDatabase" localSheetId="1" hidden="1">'BF-BOF+CCS'!$A$1:$Q$157</definedName>
    <definedName name="_xlnm._FilterDatabase" localSheetId="2" hidden="1">'TGR-BF-BOF'!$A$1:$Q$139</definedName>
    <definedName name="_xlnm._FilterDatabase" localSheetId="3" hidden="1">'TGR-BF-BOF+CCS'!$A$1:$Q$48</definedName>
    <definedName name="_xlnm._FilterDatabase" localSheetId="4" hidden="1">'NG-DRI'!$A$1:$R$122</definedName>
    <definedName name="_xlnm._FilterDatabase" localSheetId="5" hidden="1">'NG-DRI+CCS'!$A$1:$R$139</definedName>
    <definedName name="_xlnm._FilterDatabase" localSheetId="6" hidden="1">'H2-DRI-EAF'!$A$1:$R$151</definedName>
    <definedName name="_xlnm._FilterDatabase" localSheetId="7" hidden="1">'EW-EAF'!$A$1:$R$202</definedName>
  </definedNames>
  <calcPr calcId="191029" fullCalcOnLoad="1"/>
</workbook>
</file>

<file path=xl/styles.xml><?xml version="1.0" encoding="utf-8"?>
<styleSheet xmlns="http://schemas.openxmlformats.org/spreadsheetml/2006/main">
  <numFmts count="2">
    <numFmt numFmtId="164" formatCode="0.000"/>
    <numFmt numFmtId="165" formatCode="0.00000"/>
  </numFmts>
  <fonts count="17">
    <font>
      <name val="Calibri"/>
      <family val="2"/>
      <color theme="1"/>
      <sz val="11"/>
      <scheme val="minor"/>
    </font>
    <font>
      <name val="Calibri"/>
      <family val="2"/>
      <b val="1"/>
      <color rgb="FF000000"/>
      <sz val="12"/>
      <scheme val="minor"/>
    </font>
    <font>
      <name val="Calibri"/>
      <family val="2"/>
      <color rgb="FF000000"/>
      <sz val="11"/>
      <scheme val="minor"/>
    </font>
    <font>
      <name val="Calibri"/>
      <family val="2"/>
      <sz val="11"/>
      <scheme val="minor"/>
    </font>
    <font>
      <name val="Calibri"/>
      <family val="2"/>
      <b val="1"/>
      <sz val="11"/>
      <scheme val="minor"/>
    </font>
    <font>
      <name val="Calibri"/>
      <family val="2"/>
      <b val="1"/>
      <color theme="1"/>
      <sz val="11"/>
      <scheme val="minor"/>
    </font>
    <font>
      <name val="Calibri"/>
      <family val="2"/>
      <b val="1"/>
      <color theme="1"/>
      <sz val="12"/>
      <scheme val="minor"/>
    </font>
    <font>
      <name val="Calibri"/>
      <family val="2"/>
      <b val="1"/>
      <sz val="12"/>
      <scheme val="minor"/>
    </font>
    <font>
      <name val="Calibri"/>
      <family val="2"/>
      <color rgb="FF0070C0"/>
      <sz val="11"/>
      <scheme val="minor"/>
    </font>
    <font>
      <name val="Calibri"/>
      <family val="2"/>
      <color theme="1"/>
      <sz val="11"/>
    </font>
    <font>
      <name val="Arial"/>
      <family val="2"/>
      <b val="1"/>
      <i val="1"/>
      <color theme="1"/>
      <sz val="8"/>
    </font>
    <font>
      <name val="Calibri"/>
      <family val="2"/>
      <color rgb="FF006100"/>
      <sz val="11"/>
      <scheme val="minor"/>
    </font>
    <font>
      <name val="Calibri"/>
      <family val="2"/>
      <color rgb="FF9C0006"/>
      <sz val="11"/>
      <scheme val="minor"/>
    </font>
    <font>
      <name val="Calibri"/>
      <family val="2"/>
      <color theme="1"/>
      <sz val="11"/>
      <scheme val="minor"/>
    </font>
    <font>
      <name val="Calibri"/>
      <family val="2"/>
      <color rgb="FF9C5700"/>
      <sz val="11"/>
      <scheme val="minor"/>
    </font>
    <font>
      <name val="Calibri"/>
      <family val="2"/>
      <b val="1"/>
      <color rgb="FF000000"/>
      <sz val="11"/>
    </font>
    <font>
      <name val="Calibri"/>
      <family val="2"/>
      <b val="1"/>
      <color rgb="FF000000"/>
      <sz val="11"/>
      <scheme val="minor"/>
    </font>
  </fonts>
  <fills count="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
        <bgColor indexed="65"/>
      </patternFill>
    </fill>
    <fill>
      <patternFill patternType="solid">
        <fgColor theme="0"/>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theme="0"/>
      </left>
      <right style="thin">
        <color theme="0"/>
      </right>
      <top style="thin">
        <color theme="0"/>
      </top>
      <bottom style="thin">
        <color theme="0"/>
      </bottom>
      <diagonal/>
    </border>
  </borders>
  <cellStyleXfs count="7">
    <xf numFmtId="0" fontId="13" fillId="0" borderId="0"/>
    <xf numFmtId="0" fontId="11" fillId="2" borderId="0"/>
    <xf numFmtId="0" fontId="12" fillId="3" borderId="0"/>
    <xf numFmtId="0" fontId="14" fillId="4" borderId="0"/>
    <xf numFmtId="0" fontId="13" fillId="5" borderId="0"/>
    <xf numFmtId="0" fontId="13" fillId="0" borderId="0"/>
    <xf numFmtId="0" fontId="13" fillId="0" borderId="0"/>
  </cellStyleXfs>
  <cellXfs count="72">
    <xf numFmtId="0" fontId="0" fillId="0" borderId="0" pivotButton="0" quotePrefix="0" xfId="0"/>
    <xf numFmtId="0" fontId="0" fillId="0" borderId="0" applyAlignment="1" pivotButton="0" quotePrefix="0" xfId="0">
      <alignment horizontal="left" vertical="top"/>
    </xf>
    <xf numFmtId="0" fontId="0" fillId="6" borderId="0" pivotButton="0" quotePrefix="0" xfId="0"/>
    <xf numFmtId="0" fontId="0" fillId="6" borderId="0" applyAlignment="1" pivotButton="0" quotePrefix="0" xfId="0">
      <alignment horizontal="left" vertical="top"/>
    </xf>
    <xf numFmtId="0" fontId="0" fillId="6" borderId="0" applyAlignment="1" pivotButton="0" quotePrefix="0" xfId="0">
      <alignment horizontal="left" vertical="top" wrapText="1"/>
    </xf>
    <xf numFmtId="14" fontId="15" fillId="6" borderId="1" applyAlignment="1" pivotButton="0" quotePrefix="0" xfId="0">
      <alignment horizontal="left" vertical="top"/>
    </xf>
    <xf numFmtId="14" fontId="9" fillId="6" borderId="1" applyAlignment="1" pivotButton="0" quotePrefix="0" xfId="0">
      <alignment horizontal="left" vertical="top" wrapText="1"/>
    </xf>
    <xf numFmtId="14" fontId="0" fillId="6" borderId="0" applyAlignment="1" pivotButton="0" quotePrefix="0" xfId="0">
      <alignment horizontal="left" vertical="top"/>
    </xf>
    <xf numFmtId="14" fontId="9" fillId="6" borderId="1" applyAlignment="1" pivotButton="0" quotePrefix="0" xfId="0">
      <alignment horizontal="left" vertical="top"/>
    </xf>
    <xf numFmtId="0" fontId="0" fillId="0" borderId="0" applyAlignment="1" pivotButton="0" quotePrefix="0" xfId="0">
      <alignment horizontal="left" vertical="top" wrapText="1"/>
    </xf>
    <xf numFmtId="0" fontId="0" fillId="0" borderId="2" pivotButton="0" quotePrefix="0" xfId="0"/>
    <xf numFmtId="14" fontId="15" fillId="6" borderId="0" applyAlignment="1" pivotButton="0" quotePrefix="0" xfId="0">
      <alignment horizontal="left" vertical="top"/>
    </xf>
    <xf numFmtId="0" fontId="13" fillId="0" borderId="0" applyAlignment="1" pivotButton="0" quotePrefix="0" xfId="4">
      <alignment horizontal="left" vertical="center"/>
    </xf>
    <xf numFmtId="0" fontId="13" fillId="0" borderId="0" pivotButton="0" quotePrefix="0" xfId="4"/>
    <xf numFmtId="164" fontId="13" fillId="0" borderId="0" pivotButton="0" quotePrefix="0" xfId="4"/>
    <xf numFmtId="0" fontId="3" fillId="0" borderId="0" pivotButton="0" quotePrefix="0" xfId="2"/>
    <xf numFmtId="0" fontId="3" fillId="0" borderId="0" pivotButton="0" quotePrefix="0" xfId="1"/>
    <xf numFmtId="11" fontId="13" fillId="0" borderId="0" pivotButton="0" quotePrefix="0" xfId="4"/>
    <xf numFmtId="2" fontId="13" fillId="0" borderId="0" pivotButton="0" quotePrefix="0" xfId="4"/>
    <xf numFmtId="0" fontId="1" fillId="0" borderId="0" applyAlignment="1" pivotButton="0" quotePrefix="0" xfId="0">
      <alignment horizontal="left" vertical="center"/>
    </xf>
    <xf numFmtId="0" fontId="5" fillId="0" borderId="0" pivotButton="0" quotePrefix="0" xfId="0"/>
    <xf numFmtId="0" fontId="2" fillId="0" borderId="0" pivotButton="0" quotePrefix="0" xfId="0"/>
    <xf numFmtId="0" fontId="2" fillId="0" borderId="0" applyAlignment="1" pivotButton="0" quotePrefix="0" xfId="0">
      <alignment horizontal="left" vertical="center"/>
    </xf>
    <xf numFmtId="0" fontId="1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pivotButton="0" quotePrefix="0" xfId="0"/>
    <xf numFmtId="0" fontId="3" fillId="0" borderId="0" applyAlignment="1" pivotButton="0" quotePrefix="0" xfId="0">
      <alignment vertical="top"/>
    </xf>
    <xf numFmtId="0" fontId="8" fillId="0" borderId="0" pivotButton="0" quotePrefix="0" xfId="0"/>
    <xf numFmtId="0" fontId="2" fillId="0" borderId="0" applyAlignment="1" pivotButton="0" quotePrefix="0" xfId="0">
      <alignment horizontal="right" vertical="center"/>
    </xf>
    <xf numFmtId="11" fontId="0" fillId="0" borderId="0" pivotButton="0" quotePrefix="0" xfId="0"/>
    <xf numFmtId="11" fontId="3" fillId="0" borderId="0" pivotButton="0" quotePrefix="0" xfId="2"/>
    <xf numFmtId="165" fontId="0" fillId="0" borderId="0" pivotButton="0" quotePrefix="0" xfId="0"/>
    <xf numFmtId="0" fontId="3" fillId="0" borderId="0" pivotButton="0" quotePrefix="0" xfId="2"/>
    <xf numFmtId="0" fontId="7" fillId="0" borderId="0" pivotButton="0" quotePrefix="0" xfId="0"/>
    <xf numFmtId="0" fontId="4" fillId="0" borderId="0" pivotButton="0" quotePrefix="0" xfId="0"/>
    <xf numFmtId="164" fontId="0" fillId="0" borderId="0" pivotButton="0" quotePrefix="0" xfId="0"/>
    <xf numFmtId="164" fontId="3" fillId="0" borderId="0" pivotButton="0" quotePrefix="0" xfId="2"/>
    <xf numFmtId="11" fontId="3" fillId="0" borderId="0" pivotButton="0" quotePrefix="0" xfId="0"/>
    <xf numFmtId="164" fontId="3" fillId="0" borderId="0" pivotButton="0" quotePrefix="0" xfId="1"/>
    <xf numFmtId="164" fontId="3" fillId="0" borderId="0" pivotButton="0" quotePrefix="0" xfId="1"/>
    <xf numFmtId="11" fontId="3" fillId="0" borderId="0" pivotButton="0" quotePrefix="0" xfId="2"/>
    <xf numFmtId="11" fontId="3" fillId="0" borderId="0" pivotButton="0" quotePrefix="0" xfId="3"/>
    <xf numFmtId="0" fontId="0" fillId="0" borderId="0" applyAlignment="1" pivotButton="0" quotePrefix="0" xfId="0">
      <alignment horizontal="right"/>
    </xf>
    <xf numFmtId="0" fontId="2" fillId="0" borderId="0" applyAlignment="1" pivotButton="0" quotePrefix="0" xfId="0">
      <alignment horizontal="left" vertical="center" wrapText="1"/>
    </xf>
    <xf numFmtId="0" fontId="3" fillId="0" borderId="0" pivotButton="0" quotePrefix="0" xfId="1"/>
    <xf numFmtId="0" fontId="3" fillId="0" borderId="0" pivotButton="0" quotePrefix="0" xfId="1"/>
    <xf numFmtId="164" fontId="3" fillId="0" borderId="0" pivotButton="0" quotePrefix="0" xfId="2"/>
    <xf numFmtId="0" fontId="3" fillId="0" borderId="0" applyAlignment="1" pivotButton="0" quotePrefix="0" xfId="0">
      <alignment horizontal="left"/>
    </xf>
    <xf numFmtId="0" fontId="10" fillId="0" borderId="0" pivotButton="0" quotePrefix="0" xfId="0"/>
    <xf numFmtId="0" fontId="3" fillId="0" borderId="0" applyAlignment="1" pivotButton="0" quotePrefix="0" xfId="0">
      <alignment horizontal="right" vertical="center"/>
    </xf>
    <xf numFmtId="0" fontId="6" fillId="0" borderId="0" pivotButton="0" quotePrefix="0" xfId="0"/>
    <xf numFmtId="0" fontId="3" fillId="0" borderId="0" applyAlignment="1" pivotButton="0" quotePrefix="0" xfId="0">
      <alignment horizontal="left" vertical="top"/>
    </xf>
    <xf numFmtId="11" fontId="13" fillId="0" borderId="0" applyAlignment="1" pivotButton="0" quotePrefix="0" xfId="4">
      <alignment horizontal="right"/>
    </xf>
    <xf numFmtId="2" fontId="3" fillId="0" borderId="0" applyAlignment="1" pivotButton="0" quotePrefix="0" xfId="0">
      <alignment horizontal="right" vertical="center"/>
    </xf>
    <xf numFmtId="2" fontId="3" fillId="0" borderId="0" pivotButton="0" quotePrefix="0" xfId="2"/>
    <xf numFmtId="0" fontId="3" fillId="0" borderId="0" applyAlignment="1" pivotButton="0" quotePrefix="0" xfId="0">
      <alignment wrapText="1"/>
    </xf>
    <xf numFmtId="0" fontId="3" fillId="0" borderId="0" applyAlignment="1" pivotButton="0" quotePrefix="0" xfId="0">
      <alignment horizontal="left" vertical="top" wrapText="1"/>
    </xf>
    <xf numFmtId="0" fontId="0" fillId="0" borderId="0" applyAlignment="1" pivotButton="0" quotePrefix="0" xfId="0">
      <alignment wrapText="1"/>
    </xf>
    <xf numFmtId="0" fontId="2" fillId="0" borderId="0" applyAlignment="1" pivotButton="0" quotePrefix="0" xfId="0">
      <alignment horizontal="left" vertical="top" wrapText="1"/>
    </xf>
    <xf numFmtId="11" fontId="2" fillId="0" borderId="0" applyAlignment="1" pivotButton="0" quotePrefix="0" xfId="0">
      <alignment horizontal="left" vertical="center"/>
    </xf>
    <xf numFmtId="0" fontId="0" fillId="0" borderId="0" applyAlignment="1" pivotButton="0" quotePrefix="0" xfId="0">
      <alignment horizontal="left" wrapText="1"/>
    </xf>
    <xf numFmtId="0" fontId="2" fillId="0" borderId="0" applyAlignment="1" pivotButton="0" quotePrefix="0" xfId="0">
      <alignment horizontal="left"/>
    </xf>
    <xf numFmtId="2"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vertical="top" wrapText="1"/>
    </xf>
    <xf numFmtId="0" fontId="9" fillId="0" borderId="0" pivotButton="0" quotePrefix="0" xfId="0"/>
    <xf numFmtId="0" fontId="9" fillId="0" borderId="0" applyAlignment="1" pivotButton="0" quotePrefix="0" xfId="0">
      <alignment wrapText="1"/>
    </xf>
    <xf numFmtId="165" fontId="0" fillId="0" borderId="0" pivotButton="0" quotePrefix="0" xfId="0"/>
    <xf numFmtId="164" fontId="0" fillId="0" borderId="0" pivotButton="0" quotePrefix="0" xfId="0"/>
    <xf numFmtId="164" fontId="13" fillId="0" borderId="0" pivotButton="0" quotePrefix="0" xfId="4"/>
    <xf numFmtId="164" fontId="3" fillId="0" borderId="0" pivotButton="0" quotePrefix="0" xfId="2"/>
    <xf numFmtId="164" fontId="3" fillId="0" borderId="0" pivotButton="0" quotePrefix="0" xfId="1"/>
  </cellXfs>
  <cellStyles count="7">
    <cellStyle name="Normal" xfId="0" builtinId="0"/>
    <cellStyle name="Good" xfId="1" builtinId="26"/>
    <cellStyle name="Bad" xfId="2" builtinId="27"/>
    <cellStyle name="Neutral" xfId="3" builtinId="28"/>
    <cellStyle name="20% - Accent4" xfId="4" builtinId="42"/>
    <cellStyle name="Normal 11 3" xfId="5"/>
    <cellStyle name="Normal 2" xfId="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07"/>
  <sheetViews>
    <sheetView zoomScale="150" zoomScaleNormal="70" workbookViewId="0">
      <selection activeCell="C1" sqref="C1"/>
    </sheetView>
  </sheetViews>
  <sheetFormatPr baseColWidth="10" defaultColWidth="8.83203125" defaultRowHeight="15"/>
  <cols>
    <col width="40.5" customWidth="1" min="1" max="1"/>
    <col width="26.83203125" customWidth="1" min="2" max="2"/>
    <col width="15.5" customWidth="1" min="8" max="8"/>
    <col width="19" customWidth="1" min="9" max="9"/>
  </cols>
  <sheetData>
    <row r="1" ht="16" customHeight="1">
      <c r="A1" s="19" t="inlineStr">
        <is>
          <t>Database</t>
        </is>
      </c>
      <c r="B1" s="19" t="inlineStr">
        <is>
          <t>steel_paper</t>
        </is>
      </c>
    </row>
    <row r="2">
      <c r="A2" s="20" t="inlineStr">
        <is>
          <t>Format</t>
        </is>
      </c>
      <c r="B2" s="20" t="inlineStr">
        <is>
          <t>Excel</t>
        </is>
      </c>
    </row>
    <row r="3">
      <c r="A3" s="20" t="n"/>
      <c r="B3" s="20" t="n"/>
    </row>
    <row r="4"/>
    <row r="5" ht="16" customHeight="1">
      <c r="A5" s="19" t="inlineStr">
        <is>
          <t>Activity</t>
        </is>
      </c>
      <c r="B5" s="20" t="inlineStr">
        <is>
          <t>steel production, blast furnace-basic oxygen furnace, low-alloyed</t>
        </is>
      </c>
      <c r="C5" s="21" t="n"/>
      <c r="D5" s="21" t="n"/>
      <c r="E5" s="21" t="n"/>
      <c r="F5" s="21" t="n"/>
      <c r="G5" s="21" t="n"/>
      <c r="H5" s="21" t="n"/>
    </row>
    <row r="6">
      <c r="A6" s="22" t="inlineStr">
        <is>
          <t>production amount</t>
        </is>
      </c>
      <c r="B6" s="22" t="n">
        <v>1</v>
      </c>
      <c r="C6" s="21" t="n"/>
      <c r="D6" s="21" t="n"/>
      <c r="E6" s="21" t="n"/>
      <c r="F6" s="21" t="n"/>
      <c r="G6" s="21" t="n"/>
      <c r="H6" s="21" t="n"/>
    </row>
    <row r="7">
      <c r="A7" s="22" t="inlineStr">
        <is>
          <t>location</t>
        </is>
      </c>
      <c r="B7" s="22" t="inlineStr">
        <is>
          <t>GLO</t>
        </is>
      </c>
      <c r="C7" s="21" t="n"/>
      <c r="D7" s="21" t="n"/>
      <c r="E7" s="21" t="n"/>
      <c r="F7" s="21" t="n"/>
      <c r="G7" s="21" t="n"/>
      <c r="H7" s="21" t="n"/>
    </row>
    <row r="8">
      <c r="A8" s="22" t="inlineStr">
        <is>
          <t>reference product</t>
        </is>
      </c>
      <c r="B8" s="22" t="inlineStr">
        <is>
          <t>steel, low-alloyed</t>
        </is>
      </c>
      <c r="C8" s="21" t="n"/>
      <c r="D8" s="21" t="n"/>
      <c r="E8" s="21" t="n"/>
      <c r="F8" s="21" t="n"/>
      <c r="G8" s="21" t="n"/>
      <c r="H8" s="21" t="n"/>
    </row>
    <row r="9">
      <c r="A9" s="22" t="inlineStr">
        <is>
          <t>unit</t>
        </is>
      </c>
      <c r="B9" s="22" t="inlineStr">
        <is>
          <t>kilogram</t>
        </is>
      </c>
      <c r="C9" s="21" t="n"/>
      <c r="D9" s="21" t="n"/>
      <c r="E9" s="21" t="n"/>
      <c r="F9" s="21" t="n"/>
      <c r="G9" s="21" t="n"/>
      <c r="H9" s="21" t="n"/>
    </row>
    <row r="10">
      <c r="A10" s="22" t="inlineStr">
        <is>
          <t>comment</t>
        </is>
      </c>
      <c r="B10" s="22" t="inlineStr">
        <is>
          <t>This dataset is based on the ecoinvent 3.8 cutoff process "steel production, converter, low-alloyed" for the RER region, and was modified by Harpprecht et al. (2025) to represent steel production entirely from primary iron via blast furnace (BF) input. The original process included a mix of pig iron and scrap; the modified version increases the primary iron input to 100% by combining the original pig iron and scrap quantities (totaling 1.07 kg), removes the scrap input, and adjusts slag inputs by replacing secondary metallurgy slag with an equivalent amount of regular slag. Exchanges values set to zero are later populated by Premise.</t>
        </is>
      </c>
      <c r="C10" s="21" t="n"/>
      <c r="D10" s="21" t="n"/>
      <c r="E10" s="21" t="n"/>
      <c r="F10" s="21" t="n"/>
      <c r="G10" s="21" t="n"/>
      <c r="H10" s="21" t="n"/>
    </row>
    <row r="11">
      <c r="A11" s="22" t="inlineStr">
        <is>
          <t>source</t>
        </is>
      </c>
      <c r="B11" s="22" t="inlineStr">
        <is>
          <t>Harpprecht C., Sacchi R., Naegler T., et al. "Future environmental impacts of global iron and steel production". Energy Environ Sci. (2025). doi: 10.1039/D5EE01356A</t>
        </is>
      </c>
      <c r="C11" s="21" t="n"/>
      <c r="D11" s="21" t="n"/>
      <c r="E11" s="21" t="n"/>
      <c r="F11" s="21" t="n"/>
      <c r="G11" s="21" t="n"/>
      <c r="H11" s="21" t="n"/>
    </row>
    <row r="12" ht="16" customHeight="1">
      <c r="A12" s="19" t="inlineStr">
        <is>
          <t>Exchanges</t>
        </is>
      </c>
      <c r="B12" s="22" t="n"/>
      <c r="C12" s="21" t="n"/>
      <c r="D12" s="21" t="n"/>
      <c r="E12" s="21" t="n"/>
      <c r="F12" s="21" t="n"/>
      <c r="G12" s="21" t="n"/>
      <c r="H12" s="21" t="n"/>
    </row>
    <row r="13">
      <c r="A13" s="23" t="inlineStr">
        <is>
          <t>name</t>
        </is>
      </c>
      <c r="B13" s="23" t="inlineStr">
        <is>
          <t>amount</t>
        </is>
      </c>
      <c r="C13" s="23" t="inlineStr">
        <is>
          <t>database</t>
        </is>
      </c>
      <c r="D13" s="23" t="inlineStr">
        <is>
          <t>location</t>
        </is>
      </c>
      <c r="E13" s="23" t="inlineStr">
        <is>
          <t>unit</t>
        </is>
      </c>
      <c r="F13" s="23" t="inlineStr">
        <is>
          <t>categories</t>
        </is>
      </c>
      <c r="G13" s="23" t="inlineStr">
        <is>
          <t>type</t>
        </is>
      </c>
      <c r="H13" s="23" t="inlineStr">
        <is>
          <t>reference product</t>
        </is>
      </c>
      <c r="I13" s="23" t="inlineStr">
        <is>
          <t>comment</t>
        </is>
      </c>
      <c r="J13" s="20" t="inlineStr">
        <is>
          <t>uncertainty type</t>
        </is>
      </c>
      <c r="K13" s="20" t="inlineStr">
        <is>
          <t>pedigree</t>
        </is>
      </c>
      <c r="L13" s="20" t="inlineStr">
        <is>
          <t>loc</t>
        </is>
      </c>
      <c r="M13" s="20" t="inlineStr">
        <is>
          <t>scale</t>
        </is>
      </c>
      <c r="N13" s="20" t="inlineStr">
        <is>
          <t>formula</t>
        </is>
      </c>
      <c r="O13" s="20" t="inlineStr">
        <is>
          <t>replacement name</t>
        </is>
      </c>
      <c r="P13" s="20" t="inlineStr">
        <is>
          <t>replacement product</t>
        </is>
      </c>
      <c r="Q13" s="20" t="inlineStr">
        <is>
          <t>replacement location</t>
        </is>
      </c>
      <c r="R13" s="20" t="inlineStr">
        <is>
          <t>negative</t>
        </is>
      </c>
    </row>
    <row r="14">
      <c r="A14" s="24" t="inlineStr">
        <is>
          <t>steel production, blast furnace-basic oxygen furnace, low-alloyed</t>
        </is>
      </c>
      <c r="B14" s="22" t="n">
        <v>1</v>
      </c>
      <c r="C14" s="22" t="inlineStr">
        <is>
          <t>steel_paper</t>
        </is>
      </c>
      <c r="D14" s="22" t="inlineStr">
        <is>
          <t>GLO</t>
        </is>
      </c>
      <c r="E14" s="22" t="inlineStr">
        <is>
          <t>kilogram</t>
        </is>
      </c>
      <c r="F14" s="22" t="n"/>
      <c r="G14" s="22" t="inlineStr">
        <is>
          <t>production</t>
        </is>
      </c>
      <c r="H14" s="22" t="inlineStr">
        <is>
          <t>steel, low-alloyed</t>
        </is>
      </c>
    </row>
    <row r="15">
      <c r="A15" t="inlineStr">
        <is>
          <t>market for basic oxygen furnace dust</t>
        </is>
      </c>
      <c r="B15" t="n">
        <v>0</v>
      </c>
      <c r="C15" t="inlineStr">
        <is>
          <t>cutoff391</t>
        </is>
      </c>
      <c r="D15" t="inlineStr">
        <is>
          <t>RER</t>
        </is>
      </c>
      <c r="E15" t="inlineStr">
        <is>
          <t>kilogram</t>
        </is>
      </c>
      <c r="G15" s="22" t="inlineStr">
        <is>
          <t>technosphere</t>
        </is>
      </c>
      <c r="H15" t="inlineStr">
        <is>
          <t>basic oxygen furnace dust</t>
        </is>
      </c>
      <c r="I15"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15" t="inlineStr">
        <is>
          <t>steel production, converter, low-alloyed</t>
        </is>
      </c>
      <c r="P15" t="inlineStr">
        <is>
          <t>steel, low-alloyed</t>
        </is>
      </c>
      <c r="Q15" t="inlineStr">
        <is>
          <t>RER</t>
        </is>
      </c>
    </row>
    <row r="16">
      <c r="A16" t="inlineStr">
        <is>
          <t>market for basic oxygen furnace slag</t>
        </is>
      </c>
      <c r="B16">
        <f>-0.1048976-0.0003008</f>
        <v>-0.1051984</v>
      </c>
      <c r="C16" t="inlineStr">
        <is>
          <t>cutoff391</t>
        </is>
      </c>
      <c r="D16" t="inlineStr">
        <is>
          <t>RER</t>
        </is>
      </c>
      <c r="E16" t="inlineStr">
        <is>
          <t>kilogram</t>
        </is>
      </c>
      <c r="G16" s="22" t="inlineStr">
        <is>
          <t>technosphere</t>
        </is>
      </c>
      <c r="H16" t="inlineStr">
        <is>
          <t>basic oxygen furnace slag</t>
        </is>
      </c>
      <c r="I16" t="inlineStr">
        <is>
          <t>&gt; Modifications (2025): added the value of the secondary metallurgy slag, which was set to zero
&lt;Original ecoinvent 3.8 comment: &gt;
Amount reported by worldsteel (2010) and is representative of the average global situation in 2009. Also based on worldsteel (2010), an internal recovery (recycling) rate of 14% is assumed. Source: Worldsteel (2010). Steel industry by-products. World Steel Association: Brussels, Belgium.</t>
        </is>
      </c>
      <c r="J16" t="n">
        <v>2</v>
      </c>
      <c r="K16" t="inlineStr">
        <is>
          <t>(2, 3, 3, 2, 2, 1)</t>
        </is>
      </c>
      <c r="L16" t="n">
        <v>-2.25477064277392</v>
      </c>
      <c r="M16" t="n">
        <v>0.0665206734782503</v>
      </c>
      <c r="R16" t="b">
        <v>1</v>
      </c>
    </row>
    <row r="17">
      <c r="A17" t="inlineStr">
        <is>
          <t>market for basic oxygen furnace sludge</t>
        </is>
      </c>
      <c r="B17" t="n">
        <v>0</v>
      </c>
      <c r="C17" t="inlineStr">
        <is>
          <t>cutoff391</t>
        </is>
      </c>
      <c r="D17" t="inlineStr">
        <is>
          <t>RER</t>
        </is>
      </c>
      <c r="E17" t="inlineStr">
        <is>
          <t>kilogram</t>
        </is>
      </c>
      <c r="G17" s="22" t="inlineStr">
        <is>
          <t>technosphere</t>
        </is>
      </c>
      <c r="H17" t="inlineStr">
        <is>
          <t>basic oxygen furnace sludge</t>
        </is>
      </c>
      <c r="I17"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17" t="inlineStr">
        <is>
          <t>steel production, converter, low-alloyed</t>
        </is>
      </c>
      <c r="P17" t="inlineStr">
        <is>
          <t>steel, low-alloyed</t>
        </is>
      </c>
      <c r="Q17" t="inlineStr">
        <is>
          <t>RER</t>
        </is>
      </c>
    </row>
    <row r="18">
      <c r="A18" t="inlineStr">
        <is>
          <t>market for blast oxygen furnace converter</t>
        </is>
      </c>
      <c r="B18" t="n">
        <v>0</v>
      </c>
      <c r="C18" t="inlineStr">
        <is>
          <t>cutoff391</t>
        </is>
      </c>
      <c r="D18" t="inlineStr">
        <is>
          <t>GLO</t>
        </is>
      </c>
      <c r="E18" t="inlineStr">
        <is>
          <t>unit</t>
        </is>
      </c>
      <c r="G18" s="22" t="inlineStr">
        <is>
          <t>technosphere</t>
        </is>
      </c>
      <c r="H18" t="inlineStr">
        <is>
          <t>blast oxygen furnace converter</t>
        </is>
      </c>
      <c r="I18" t="inlineStr">
        <is>
          <t>Source: Classen et al. (2009)</t>
        </is>
      </c>
      <c r="O18" t="inlineStr">
        <is>
          <t>steel production, converter, low-alloyed</t>
        </is>
      </c>
      <c r="P18" t="inlineStr">
        <is>
          <t>steel, low-alloyed</t>
        </is>
      </c>
      <c r="Q18" t="inlineStr">
        <is>
          <t>RER</t>
        </is>
      </c>
    </row>
    <row r="19">
      <c r="A19" t="inlineStr">
        <is>
          <t>market for coke</t>
        </is>
      </c>
      <c r="B19" t="n">
        <v>0</v>
      </c>
      <c r="C19" t="inlineStr">
        <is>
          <t>cutoff391</t>
        </is>
      </c>
      <c r="D19" t="inlineStr">
        <is>
          <t>GLO</t>
        </is>
      </c>
      <c r="E19" t="inlineStr">
        <is>
          <t>megajoule</t>
        </is>
      </c>
      <c r="G19" s="22" t="inlineStr">
        <is>
          <t>technosphere</t>
        </is>
      </c>
      <c r="H19" t="inlineStr">
        <is>
          <t>coke</t>
        </is>
      </c>
      <c r="I19" t="inlineStr">
        <is>
          <t>geometric mean of Remus et al. (2013) data range</t>
        </is>
      </c>
      <c r="O19" t="inlineStr">
        <is>
          <t>steel production, converter, low-alloyed</t>
        </is>
      </c>
      <c r="P19" t="inlineStr">
        <is>
          <t>steel, low-alloyed</t>
        </is>
      </c>
      <c r="Q19" t="inlineStr">
        <is>
          <t>RER</t>
        </is>
      </c>
    </row>
    <row r="20">
      <c r="A20" t="inlineStr">
        <is>
          <t>market for compressed air, 600 kPa gauge</t>
        </is>
      </c>
      <c r="B20" t="n">
        <v>0</v>
      </c>
      <c r="C20" t="inlineStr">
        <is>
          <t>cutoff391</t>
        </is>
      </c>
      <c r="D20" t="inlineStr">
        <is>
          <t>RER</t>
        </is>
      </c>
      <c r="E20" t="inlineStr">
        <is>
          <t>cubic meter</t>
        </is>
      </c>
      <c r="G20" s="22" t="inlineStr">
        <is>
          <t>technosphere</t>
        </is>
      </c>
      <c r="H20" t="inlineStr">
        <is>
          <t>compressed air, 600 kPa gauge</t>
        </is>
      </c>
      <c r="I20" t="inlineStr">
        <is>
          <t>geometric mean of Remus et al. (2013) data range</t>
        </is>
      </c>
      <c r="O20" t="inlineStr">
        <is>
          <t>steel production, converter, low-alloyed</t>
        </is>
      </c>
      <c r="P20" t="inlineStr">
        <is>
          <t>steel, low-alloyed</t>
        </is>
      </c>
      <c r="Q20" t="inlineStr">
        <is>
          <t>RER</t>
        </is>
      </c>
    </row>
    <row r="21">
      <c r="A21" t="inlineStr">
        <is>
          <t>market for dolomite</t>
        </is>
      </c>
      <c r="B21" t="n">
        <v>0</v>
      </c>
      <c r="C21" t="inlineStr">
        <is>
          <t>cutoff391</t>
        </is>
      </c>
      <c r="D21" t="inlineStr">
        <is>
          <t>RER</t>
        </is>
      </c>
      <c r="E21" t="inlineStr">
        <is>
          <t>kilogram</t>
        </is>
      </c>
      <c r="G21" s="22" t="inlineStr">
        <is>
          <t>technosphere</t>
        </is>
      </c>
      <c r="H21" t="inlineStr">
        <is>
          <t>dolomite</t>
        </is>
      </c>
      <c r="I21" t="inlineStr">
        <is>
          <t>geometric mean of Remus et al. (2013) data range</t>
        </is>
      </c>
      <c r="O21" t="inlineStr">
        <is>
          <t>steel production, converter, low-alloyed</t>
        </is>
      </c>
      <c r="P21" t="inlineStr">
        <is>
          <t>steel, low-alloyed</t>
        </is>
      </c>
      <c r="Q21" t="inlineStr">
        <is>
          <t>RER</t>
        </is>
      </c>
    </row>
    <row r="22">
      <c r="A22" t="inlineStr">
        <is>
          <t>market group for electricity, medium voltage</t>
        </is>
      </c>
      <c r="B22" t="n">
        <v>0</v>
      </c>
      <c r="C22" t="inlineStr">
        <is>
          <t>cutoff391</t>
        </is>
      </c>
      <c r="D22" t="inlineStr">
        <is>
          <t>RER</t>
        </is>
      </c>
      <c r="E22" t="inlineStr">
        <is>
          <t>kilowatt hour</t>
        </is>
      </c>
      <c r="G22" s="22" t="inlineStr">
        <is>
          <t>technosphere</t>
        </is>
      </c>
      <c r="H22" t="inlineStr">
        <is>
          <t>electricity, medium voltage</t>
        </is>
      </c>
      <c r="I22" t="inlineStr">
        <is>
          <t>geometric mean of Remus et al. (2013) data range</t>
        </is>
      </c>
      <c r="O22" t="inlineStr">
        <is>
          <t>steel production, converter, low-alloyed</t>
        </is>
      </c>
      <c r="P22" t="inlineStr">
        <is>
          <t>steel, low-alloyed</t>
        </is>
      </c>
      <c r="Q22" t="inlineStr">
        <is>
          <t>RER</t>
        </is>
      </c>
    </row>
    <row r="23">
      <c r="A23" t="inlineStr">
        <is>
          <t>market for ferromanganese, high-coal, 74.5% Mn</t>
        </is>
      </c>
      <c r="B23" t="n">
        <v>0</v>
      </c>
      <c r="C23" t="inlineStr">
        <is>
          <t>cutoff391</t>
        </is>
      </c>
      <c r="D23" t="inlineStr">
        <is>
          <t>GLO</t>
        </is>
      </c>
      <c r="E23" t="inlineStr">
        <is>
          <t>kilogram</t>
        </is>
      </c>
      <c r="G23" s="22" t="inlineStr">
        <is>
          <t>technosphere</t>
        </is>
      </c>
      <c r="H23" t="inlineStr">
        <is>
          <t>ferromanganese, high-coal, 74.5% Mn</t>
        </is>
      </c>
      <c r="I23" t="inlineStr">
        <is>
          <t>Source: Classen et al. (2009)</t>
        </is>
      </c>
      <c r="O23" t="inlineStr">
        <is>
          <t>steel production, converter, low-alloyed</t>
        </is>
      </c>
      <c r="P23" t="inlineStr">
        <is>
          <t>steel, low-alloyed</t>
        </is>
      </c>
      <c r="Q23" t="inlineStr">
        <is>
          <t>RER</t>
        </is>
      </c>
    </row>
    <row r="24">
      <c r="A24" t="inlineStr">
        <is>
          <t>market for ferronickel</t>
        </is>
      </c>
      <c r="B24" t="n">
        <v>0</v>
      </c>
      <c r="C24" t="inlineStr">
        <is>
          <t>cutoff391</t>
        </is>
      </c>
      <c r="D24" t="inlineStr">
        <is>
          <t>GLO</t>
        </is>
      </c>
      <c r="E24" t="inlineStr">
        <is>
          <t>kilogram</t>
        </is>
      </c>
      <c r="G24" s="22" t="inlineStr">
        <is>
          <t>technosphere</t>
        </is>
      </c>
      <c r="H24" t="inlineStr">
        <is>
          <t>ferronickel</t>
        </is>
      </c>
      <c r="I24" t="inlineStr">
        <is>
          <t>Source: Classen et al. (2009)</t>
        </is>
      </c>
      <c r="O24" t="inlineStr">
        <is>
          <t>steel production, converter, low-alloyed</t>
        </is>
      </c>
      <c r="P24" t="inlineStr">
        <is>
          <t>steel, low-alloyed</t>
        </is>
      </c>
      <c r="Q24" t="inlineStr">
        <is>
          <t>RER</t>
        </is>
      </c>
    </row>
    <row r="25">
      <c r="A25" t="inlineStr">
        <is>
          <t>market for inert waste, for final disposal</t>
        </is>
      </c>
      <c r="B25" t="n">
        <v>0</v>
      </c>
      <c r="C25" t="inlineStr">
        <is>
          <t>cutoff391</t>
        </is>
      </c>
      <c r="D25" t="inlineStr">
        <is>
          <t>CH</t>
        </is>
      </c>
      <c r="E25" t="inlineStr">
        <is>
          <t>kilogram</t>
        </is>
      </c>
      <c r="G25" s="22" t="inlineStr">
        <is>
          <t>technosphere</t>
        </is>
      </c>
      <c r="H25" t="inlineStr">
        <is>
          <t>inert waste, for final disposal</t>
        </is>
      </c>
      <c r="I25" t="inlineStr">
        <is>
          <t>Represents used refractories, etc.</t>
        </is>
      </c>
      <c r="O25" t="inlineStr">
        <is>
          <t>steel production, converter, low-alloyed</t>
        </is>
      </c>
      <c r="P25" t="inlineStr">
        <is>
          <t>steel, low-alloyed</t>
        </is>
      </c>
      <c r="Q25" t="inlineStr">
        <is>
          <t>RER</t>
        </is>
      </c>
    </row>
    <row r="26">
      <c r="A26" t="inlineStr">
        <is>
          <t>market for iron ore concentrate</t>
        </is>
      </c>
      <c r="B26" t="n">
        <v>0</v>
      </c>
      <c r="C26" t="inlineStr">
        <is>
          <t>cutoff391</t>
        </is>
      </c>
      <c r="D26" t="inlineStr">
        <is>
          <t>GLO</t>
        </is>
      </c>
      <c r="E26" t="inlineStr">
        <is>
          <t>kilogram</t>
        </is>
      </c>
      <c r="G26" s="22" t="inlineStr">
        <is>
          <t>technosphere</t>
        </is>
      </c>
      <c r="H26" t="inlineStr">
        <is>
          <t>iron ore concentrate</t>
        </is>
      </c>
      <c r="I26" t="inlineStr">
        <is>
          <t>geometric mean of Remus et al. (2013) data range</t>
        </is>
      </c>
      <c r="O26" t="inlineStr">
        <is>
          <t>steel production, converter, low-alloyed</t>
        </is>
      </c>
      <c r="P26" t="inlineStr">
        <is>
          <t>steel, low-alloyed</t>
        </is>
      </c>
      <c r="Q26" t="inlineStr">
        <is>
          <t>RER</t>
        </is>
      </c>
    </row>
    <row r="27">
      <c r="A27" t="inlineStr">
        <is>
          <t>market for mill scale</t>
        </is>
      </c>
      <c r="B27" t="n">
        <v>0</v>
      </c>
      <c r="C27" t="inlineStr">
        <is>
          <t>cutoff391</t>
        </is>
      </c>
      <c r="D27" t="inlineStr">
        <is>
          <t>RER</t>
        </is>
      </c>
      <c r="E27" t="inlineStr">
        <is>
          <t>kilogram</t>
        </is>
      </c>
      <c r="G27" s="22" t="inlineStr">
        <is>
          <t>technosphere</t>
        </is>
      </c>
      <c r="H27" t="inlineStr">
        <is>
          <t>mill scale</t>
        </is>
      </c>
      <c r="I27" t="inlineStr">
        <is>
          <t>Amount reported by worldsteel (2010) and is representative of the average global situation in 2009. Also based on worldsteel (2010), an internal recovery (recycling) rate of 89% is assumed. Source: Worldsteel (2010). Steel industry by-products. World Steel Association: Brussels, Belgium.</t>
        </is>
      </c>
      <c r="O27" t="inlineStr">
        <is>
          <t>steel production, converter, low-alloyed</t>
        </is>
      </c>
      <c r="P27" t="inlineStr">
        <is>
          <t>steel, low-alloyed</t>
        </is>
      </c>
      <c r="Q27" t="inlineStr">
        <is>
          <t>RER</t>
        </is>
      </c>
    </row>
    <row r="28">
      <c r="A28" t="inlineStr">
        <is>
          <t>market for molybdenite</t>
        </is>
      </c>
      <c r="B28" t="n">
        <v>0</v>
      </c>
      <c r="C28" t="inlineStr">
        <is>
          <t>cutoff391</t>
        </is>
      </c>
      <c r="D28" t="inlineStr">
        <is>
          <t>GLO</t>
        </is>
      </c>
      <c r="E28" t="inlineStr">
        <is>
          <t>kilogram</t>
        </is>
      </c>
      <c r="G28" s="22" t="inlineStr">
        <is>
          <t>technosphere</t>
        </is>
      </c>
      <c r="H28" t="inlineStr">
        <is>
          <t>molybdenite</t>
        </is>
      </c>
      <c r="I28" t="inlineStr">
        <is>
          <t>Source: Classen et al. (2009)</t>
        </is>
      </c>
      <c r="O28" t="inlineStr">
        <is>
          <t>steel production, converter, low-alloyed</t>
        </is>
      </c>
      <c r="P28" t="inlineStr">
        <is>
          <t>steel, low-alloyed</t>
        </is>
      </c>
      <c r="Q28" t="inlineStr">
        <is>
          <t>RER</t>
        </is>
      </c>
    </row>
    <row r="29">
      <c r="A29" t="inlineStr">
        <is>
          <t>market group for natural gas, high pressure</t>
        </is>
      </c>
      <c r="B29" t="n">
        <v>0</v>
      </c>
      <c r="C29" t="inlineStr">
        <is>
          <t>cutoff391</t>
        </is>
      </c>
      <c r="D29" t="inlineStr">
        <is>
          <t>Europe without Switzerland</t>
        </is>
      </c>
      <c r="E29" t="inlineStr">
        <is>
          <t>cubic meter</t>
        </is>
      </c>
      <c r="G29" s="22" t="inlineStr">
        <is>
          <t>technosphere</t>
        </is>
      </c>
      <c r="H29" t="inlineStr">
        <is>
          <t>natural gas, high pressure</t>
        </is>
      </c>
      <c r="I29" t="inlineStr">
        <is>
          <t>geometric mean of Remus et al. (2013) data range</t>
        </is>
      </c>
      <c r="O29" t="inlineStr">
        <is>
          <t>steel production, converter, low-alloyed</t>
        </is>
      </c>
      <c r="P29" t="inlineStr">
        <is>
          <t>steel, low-alloyed</t>
        </is>
      </c>
      <c r="Q29" t="inlineStr">
        <is>
          <t>RER</t>
        </is>
      </c>
    </row>
    <row r="30">
      <c r="A30" t="inlineStr">
        <is>
          <t>market for natural gas, high pressure</t>
        </is>
      </c>
      <c r="B30" t="n">
        <v>0</v>
      </c>
      <c r="C30" t="inlineStr">
        <is>
          <t>cutoff391</t>
        </is>
      </c>
      <c r="D30" t="inlineStr">
        <is>
          <t>CH</t>
        </is>
      </c>
      <c r="E30" t="inlineStr">
        <is>
          <t>cubic meter</t>
        </is>
      </c>
      <c r="G30" s="22" t="inlineStr">
        <is>
          <t>technosphere</t>
        </is>
      </c>
      <c r="H30" t="inlineStr">
        <is>
          <t>natural gas, high pressure</t>
        </is>
      </c>
      <c r="I30" t="inlineStr">
        <is>
          <t>geometric mean of Remus et al. (2013) data range</t>
        </is>
      </c>
      <c r="O30" t="inlineStr">
        <is>
          <t>steel production, converter, low-alloyed</t>
        </is>
      </c>
      <c r="P30" t="inlineStr">
        <is>
          <t>steel, low-alloyed</t>
        </is>
      </c>
      <c r="Q30" t="inlineStr">
        <is>
          <t>RER</t>
        </is>
      </c>
    </row>
    <row r="31">
      <c r="A31" t="inlineStr">
        <is>
          <t>market for oxygen, liquid</t>
        </is>
      </c>
      <c r="B31" t="n">
        <v>0</v>
      </c>
      <c r="C31" t="inlineStr">
        <is>
          <t>cutoff391</t>
        </is>
      </c>
      <c r="D31" t="inlineStr">
        <is>
          <t>RER</t>
        </is>
      </c>
      <c r="E31" t="inlineStr">
        <is>
          <t>kilogram</t>
        </is>
      </c>
      <c r="G31" s="22" t="inlineStr">
        <is>
          <t>technosphere</t>
        </is>
      </c>
      <c r="H31" t="inlineStr">
        <is>
          <t>oxygen, liquid</t>
        </is>
      </c>
      <c r="I31" t="inlineStr">
        <is>
          <t>geometric mean of Remus et al. (2013) data range</t>
        </is>
      </c>
      <c r="O31" t="inlineStr">
        <is>
          <t>steel production, converter, low-alloyed</t>
        </is>
      </c>
      <c r="P31" t="inlineStr">
        <is>
          <t>steel, low-alloyed</t>
        </is>
      </c>
      <c r="Q31" t="inlineStr">
        <is>
          <t>RER</t>
        </is>
      </c>
    </row>
    <row r="32">
      <c r="A32" t="inlineStr">
        <is>
          <t>pig iron production</t>
        </is>
      </c>
      <c r="B32">
        <f>0.867944612+0.198864791</f>
        <v>1.0668094029999999</v>
      </c>
      <c r="C32" t="inlineStr">
        <is>
          <t>cutoff391</t>
        </is>
      </c>
      <c r="D32" t="inlineStr">
        <is>
          <t>RER</t>
        </is>
      </c>
      <c r="E32" t="inlineStr">
        <is>
          <t>kilogram</t>
        </is>
      </c>
      <c r="G32" s="22" t="inlineStr">
        <is>
          <t>technosphere</t>
        </is>
      </c>
      <c r="H32" t="inlineStr">
        <is>
          <t>pig iron</t>
        </is>
      </c>
      <c r="I32" t="inlineStr">
        <is>
          <t xml:space="preserve">&gt; Modifications (2025): Value is the sum of the original ecoinvent values of scrap input (0.199 kg) and pig iron input (0.868 kg). 
&gt; assumption: zero scrap input
&lt;Original ecoinvent 3.8 comment: &gt;
geometric mean of Remus et al. (2013) data range.  Adjusted with RMS to balance Fe-Content.Note that the ratio of pig iron to iron scrap inputs was based on average data from European steelmakers. The values were then adjusted to ensure Fe balance. This ratio is, however, highly variable among regions, globally, and the value used may not be representative of a) the average global situation or b) the situation in other regions. We advise caution when appliying these data elsewhere. </t>
        </is>
      </c>
      <c r="J32" t="n">
        <v>2</v>
      </c>
      <c r="K32" t="inlineStr">
        <is>
          <t>(2, 3, 2, 5, 1, 1)</t>
        </is>
      </c>
      <c r="L32" t="n">
        <v>-0.141627377417707</v>
      </c>
      <c r="M32" t="n">
        <v>0.058309518948453</v>
      </c>
    </row>
    <row r="33">
      <c r="A33" t="inlineStr">
        <is>
          <t>market for quicklime, in pieces, loose</t>
        </is>
      </c>
      <c r="B33" t="n">
        <v>0</v>
      </c>
      <c r="C33" t="inlineStr">
        <is>
          <t>cutoff391</t>
        </is>
      </c>
      <c r="D33" t="inlineStr">
        <is>
          <t>CH</t>
        </is>
      </c>
      <c r="E33" t="inlineStr">
        <is>
          <t>kilogram</t>
        </is>
      </c>
      <c r="G33" s="22" t="inlineStr">
        <is>
          <t>technosphere</t>
        </is>
      </c>
      <c r="H33" t="inlineStr">
        <is>
          <t>quicklime, in pieces, loose</t>
        </is>
      </c>
      <c r="I33" t="inlineStr">
        <is>
          <t>geometric mean of Remus et al. (2013) data range</t>
        </is>
      </c>
      <c r="O33" t="inlineStr">
        <is>
          <t>steel production, converter, low-alloyed</t>
        </is>
      </c>
      <c r="P33" t="inlineStr">
        <is>
          <t>steel, low-alloyed</t>
        </is>
      </c>
      <c r="Q33" t="inlineStr">
        <is>
          <t>RER</t>
        </is>
      </c>
    </row>
    <row r="34">
      <c r="A34" t="inlineStr">
        <is>
          <t>market for wastewater from pig iron production</t>
        </is>
      </c>
      <c r="B34" t="n">
        <v>0</v>
      </c>
      <c r="C34" t="inlineStr">
        <is>
          <t>cutoff391</t>
        </is>
      </c>
      <c r="D34" t="inlineStr">
        <is>
          <t>Europe without Switzerland</t>
        </is>
      </c>
      <c r="E34" t="inlineStr">
        <is>
          <t>cubic meter</t>
        </is>
      </c>
      <c r="G34" s="22" t="inlineStr">
        <is>
          <t>technosphere</t>
        </is>
      </c>
      <c r="H34" t="inlineStr">
        <is>
          <t>wastewater from pig iron production</t>
        </is>
      </c>
      <c r="I34" t="inlineStr">
        <is>
          <t>geometric mean of Remus et al. (2013) data range</t>
        </is>
      </c>
      <c r="O34" t="inlineStr">
        <is>
          <t>steel production, converter, low-alloyed</t>
        </is>
      </c>
      <c r="P34" t="inlineStr">
        <is>
          <t>steel, low-alloyed</t>
        </is>
      </c>
      <c r="Q34" t="inlineStr">
        <is>
          <t>RER</t>
        </is>
      </c>
    </row>
    <row r="35">
      <c r="A35" t="inlineStr">
        <is>
          <t>market for wastewater from pig iron production</t>
        </is>
      </c>
      <c r="B35" t="n">
        <v>0</v>
      </c>
      <c r="C35" t="inlineStr">
        <is>
          <t>cutoff391</t>
        </is>
      </c>
      <c r="D35" t="inlineStr">
        <is>
          <t>CH</t>
        </is>
      </c>
      <c r="E35" t="inlineStr">
        <is>
          <t>cubic meter</t>
        </is>
      </c>
      <c r="G35" s="22" t="inlineStr">
        <is>
          <t>technosphere</t>
        </is>
      </c>
      <c r="H35" t="inlineStr">
        <is>
          <t>wastewater from pig iron production</t>
        </is>
      </c>
      <c r="I35" t="inlineStr">
        <is>
          <t>geometric mean of Remus et al. (2013) data range</t>
        </is>
      </c>
      <c r="O35" t="inlineStr">
        <is>
          <t>steel production, converter, low-alloyed</t>
        </is>
      </c>
      <c r="P35" t="inlineStr">
        <is>
          <t>steel, low-alloyed</t>
        </is>
      </c>
      <c r="Q35" t="inlineStr">
        <is>
          <t>RER</t>
        </is>
      </c>
    </row>
    <row r="36">
      <c r="A36" t="inlineStr">
        <is>
          <t>Chromium</t>
        </is>
      </c>
      <c r="B36" t="n">
        <v>0</v>
      </c>
      <c r="C36" t="inlineStr">
        <is>
          <t>biosphere3</t>
        </is>
      </c>
      <c r="E36" t="inlineStr">
        <is>
          <t>kilogram</t>
        </is>
      </c>
      <c r="F36" t="inlineStr">
        <is>
          <t>air</t>
        </is>
      </c>
      <c r="G36" s="22" t="inlineStr">
        <is>
          <t>biosphere</t>
        </is>
      </c>
      <c r="I36" t="inlineStr">
        <is>
          <t>geometric mean of Remus et al. (2013) data range</t>
        </is>
      </c>
      <c r="N36" t="inlineStr">
        <is>
          <t>Cr</t>
        </is>
      </c>
      <c r="O36" t="inlineStr">
        <is>
          <t>steel production, converter, low-alloyed</t>
        </is>
      </c>
      <c r="P36" t="inlineStr">
        <is>
          <t>steel, low-alloyed</t>
        </is>
      </c>
      <c r="Q36" t="inlineStr">
        <is>
          <t>RER</t>
        </is>
      </c>
    </row>
    <row r="37">
      <c r="A37" t="inlineStr">
        <is>
          <t>Water, cooling, unspecified natural origin</t>
        </is>
      </c>
      <c r="B37" t="n">
        <v>0</v>
      </c>
      <c r="C37" t="inlineStr">
        <is>
          <t>biosphere3</t>
        </is>
      </c>
      <c r="E37" t="inlineStr">
        <is>
          <t>cubic meter</t>
        </is>
      </c>
      <c r="F37" t="inlineStr">
        <is>
          <t>natural resource::in water</t>
        </is>
      </c>
      <c r="G37" s="22" t="inlineStr">
        <is>
          <t>biosphere</t>
        </is>
      </c>
      <c r="I37" t="inlineStr">
        <is>
          <t>geometric mean of Remus et al. (2013) data range</t>
        </is>
      </c>
      <c r="N37" t="inlineStr">
        <is>
          <t>H2O</t>
        </is>
      </c>
      <c r="O37" t="inlineStr">
        <is>
          <t>steel production, converter, low-alloyed</t>
        </is>
      </c>
      <c r="P37" t="inlineStr">
        <is>
          <t>steel, low-alloyed</t>
        </is>
      </c>
      <c r="Q37" t="inlineStr">
        <is>
          <t>RER</t>
        </is>
      </c>
    </row>
    <row r="38">
      <c r="A38" t="inlineStr">
        <is>
          <t>PAH, polycyclic aromatic hydrocarbons</t>
        </is>
      </c>
      <c r="B38" t="n">
        <v>0</v>
      </c>
      <c r="C38" t="inlineStr">
        <is>
          <t>biosphere3</t>
        </is>
      </c>
      <c r="E38" t="inlineStr">
        <is>
          <t>kilogram</t>
        </is>
      </c>
      <c r="F38" t="inlineStr">
        <is>
          <t>air</t>
        </is>
      </c>
      <c r="G38" s="22" t="inlineStr">
        <is>
          <t>biosphere</t>
        </is>
      </c>
      <c r="I38" t="inlineStr">
        <is>
          <t>geometric mean of Remus et al. (2013) data range</t>
        </is>
      </c>
      <c r="O38" t="inlineStr">
        <is>
          <t>steel production, converter, low-alloyed</t>
        </is>
      </c>
      <c r="P38" t="inlineStr">
        <is>
          <t>steel, low-alloyed</t>
        </is>
      </c>
      <c r="Q38" t="inlineStr">
        <is>
          <t>RER</t>
        </is>
      </c>
    </row>
    <row r="39">
      <c r="A39" t="inlineStr">
        <is>
          <t>Copper ion</t>
        </is>
      </c>
      <c r="B39" t="n">
        <v>0</v>
      </c>
      <c r="C39" t="inlineStr">
        <is>
          <t>biosphere3</t>
        </is>
      </c>
      <c r="E39" t="inlineStr">
        <is>
          <t>kilogram</t>
        </is>
      </c>
      <c r="F39" t="inlineStr">
        <is>
          <t>air</t>
        </is>
      </c>
      <c r="G39" s="22" t="inlineStr">
        <is>
          <t>biosphere</t>
        </is>
      </c>
      <c r="I39" t="inlineStr">
        <is>
          <t>geometric mean of Remus et al. (2013) data range</t>
        </is>
      </c>
      <c r="N39" t="inlineStr">
        <is>
          <t>Cu</t>
        </is>
      </c>
      <c r="O39" t="inlineStr">
        <is>
          <t>steel production, converter, low-alloyed</t>
        </is>
      </c>
      <c r="P39" t="inlineStr">
        <is>
          <t>steel, low-alloyed</t>
        </is>
      </c>
      <c r="Q39" t="inlineStr">
        <is>
          <t>RER</t>
        </is>
      </c>
    </row>
    <row r="40">
      <c r="A40" t="inlineStr">
        <is>
          <t>Nitrogen oxides</t>
        </is>
      </c>
      <c r="B40" t="n">
        <v>0</v>
      </c>
      <c r="C40" t="inlineStr">
        <is>
          <t>biosphere3</t>
        </is>
      </c>
      <c r="E40" t="inlineStr">
        <is>
          <t>kilogram</t>
        </is>
      </c>
      <c r="F40" t="inlineStr">
        <is>
          <t>air</t>
        </is>
      </c>
      <c r="G40" s="22" t="inlineStr">
        <is>
          <t>biosphere</t>
        </is>
      </c>
      <c r="I40" t="inlineStr">
        <is>
          <t>geometric mean of Remus et al. (2013) data range</t>
        </is>
      </c>
      <c r="N40" t="inlineStr">
        <is>
          <t>H3NO</t>
        </is>
      </c>
      <c r="O40" t="inlineStr">
        <is>
          <t>steel production, converter, low-alloyed</t>
        </is>
      </c>
      <c r="P40" t="inlineStr">
        <is>
          <t>steel, low-alloyed</t>
        </is>
      </c>
      <c r="Q40" t="inlineStr">
        <is>
          <t>RER</t>
        </is>
      </c>
    </row>
    <row r="41">
      <c r="A41" t="inlineStr">
        <is>
          <t>Particulates, &lt; 2.5 um</t>
        </is>
      </c>
      <c r="B41" t="n">
        <v>0</v>
      </c>
      <c r="C41" t="inlineStr">
        <is>
          <t>biosphere3</t>
        </is>
      </c>
      <c r="E41" t="inlineStr">
        <is>
          <t>kilogram</t>
        </is>
      </c>
      <c r="F41" t="inlineStr">
        <is>
          <t>air</t>
        </is>
      </c>
      <c r="G41" s="22" t="inlineStr">
        <is>
          <t>biosphere</t>
        </is>
      </c>
      <c r="I41" t="inlineStr">
        <is>
          <t>geometric mean of Remus et al. (2013) data range</t>
        </is>
      </c>
      <c r="O41" t="inlineStr">
        <is>
          <t>steel production, converter, low-alloyed</t>
        </is>
      </c>
      <c r="P41" t="inlineStr">
        <is>
          <t>steel, low-alloyed</t>
        </is>
      </c>
      <c r="Q41" t="inlineStr">
        <is>
          <t>RER</t>
        </is>
      </c>
    </row>
    <row r="42">
      <c r="A42" t="inlineStr">
        <is>
          <t>Dioxins, measured as 2,3,7,8-tetrachlorodibenzo-p-dioxin</t>
        </is>
      </c>
      <c r="B42" t="n">
        <v>0</v>
      </c>
      <c r="C42" t="inlineStr">
        <is>
          <t>biosphere3</t>
        </is>
      </c>
      <c r="E42" t="inlineStr">
        <is>
          <t>kilogram</t>
        </is>
      </c>
      <c r="F42" t="inlineStr">
        <is>
          <t>air</t>
        </is>
      </c>
      <c r="G42" s="22" t="inlineStr">
        <is>
          <t>biosphere</t>
        </is>
      </c>
      <c r="I42" t="inlineStr">
        <is>
          <t>geometric mean of Remus et al. (2013) data range</t>
        </is>
      </c>
      <c r="N42" t="inlineStr">
        <is>
          <t>C12H4Cl4O2</t>
        </is>
      </c>
      <c r="O42" t="inlineStr">
        <is>
          <t>steel production, converter, low-alloyed</t>
        </is>
      </c>
      <c r="P42" t="inlineStr">
        <is>
          <t>steel, low-alloyed</t>
        </is>
      </c>
      <c r="Q42" t="inlineStr">
        <is>
          <t>RER</t>
        </is>
      </c>
    </row>
    <row r="43">
      <c r="A43" t="inlineStr">
        <is>
          <t>Manganese</t>
        </is>
      </c>
      <c r="B43" t="n">
        <v>0</v>
      </c>
      <c r="C43" t="inlineStr">
        <is>
          <t>biosphere3</t>
        </is>
      </c>
      <c r="E43" t="inlineStr">
        <is>
          <t>kilogram</t>
        </is>
      </c>
      <c r="F43" t="inlineStr">
        <is>
          <t>air</t>
        </is>
      </c>
      <c r="G43" s="22" t="inlineStr">
        <is>
          <t>biosphere</t>
        </is>
      </c>
      <c r="I43" t="inlineStr">
        <is>
          <t>geometric mean of Remus et al. (2013) data range</t>
        </is>
      </c>
      <c r="N43" t="inlineStr">
        <is>
          <t>Mn</t>
        </is>
      </c>
      <c r="O43" t="inlineStr">
        <is>
          <t>steel production, converter, low-alloyed</t>
        </is>
      </c>
      <c r="P43" t="inlineStr">
        <is>
          <t>steel, low-alloyed</t>
        </is>
      </c>
      <c r="Q43" t="inlineStr">
        <is>
          <t>RER</t>
        </is>
      </c>
    </row>
    <row r="44">
      <c r="A44" t="inlineStr">
        <is>
          <t>Iron</t>
        </is>
      </c>
      <c r="B44" t="n">
        <v>0</v>
      </c>
      <c r="C44" t="inlineStr">
        <is>
          <t>biosphere3</t>
        </is>
      </c>
      <c r="E44" t="inlineStr">
        <is>
          <t>kilogram</t>
        </is>
      </c>
      <c r="F44" t="inlineStr">
        <is>
          <t>air</t>
        </is>
      </c>
      <c r="G44" s="22" t="inlineStr">
        <is>
          <t>biosphere</t>
        </is>
      </c>
      <c r="I44" t="inlineStr">
        <is>
          <t>geometric mean of Remus et al. (2013) data range</t>
        </is>
      </c>
      <c r="N44" t="inlineStr">
        <is>
          <t>Fe</t>
        </is>
      </c>
      <c r="O44" t="inlineStr">
        <is>
          <t>steel production, converter, low-alloyed</t>
        </is>
      </c>
      <c r="P44" t="inlineStr">
        <is>
          <t>steel, low-alloyed</t>
        </is>
      </c>
      <c r="Q44" t="inlineStr">
        <is>
          <t>RER</t>
        </is>
      </c>
    </row>
    <row r="45">
      <c r="A45" t="inlineStr">
        <is>
          <t>Lead</t>
        </is>
      </c>
      <c r="B45" t="n">
        <v>0</v>
      </c>
      <c r="C45" t="inlineStr">
        <is>
          <t>biosphere3</t>
        </is>
      </c>
      <c r="E45" t="inlineStr">
        <is>
          <t>kilogram</t>
        </is>
      </c>
      <c r="F45" t="inlineStr">
        <is>
          <t>air</t>
        </is>
      </c>
      <c r="G45" s="22" t="inlineStr">
        <is>
          <t>biosphere</t>
        </is>
      </c>
      <c r="I45" t="inlineStr">
        <is>
          <t>geometric mean of Remus et al. (2013) data range</t>
        </is>
      </c>
      <c r="N45" t="inlineStr">
        <is>
          <t>Pb</t>
        </is>
      </c>
      <c r="O45" t="inlineStr">
        <is>
          <t>steel production, converter, low-alloyed</t>
        </is>
      </c>
      <c r="P45" t="inlineStr">
        <is>
          <t>steel, low-alloyed</t>
        </is>
      </c>
      <c r="Q45" t="inlineStr">
        <is>
          <t>RER</t>
        </is>
      </c>
    </row>
    <row r="46">
      <c r="A46" t="inlineStr">
        <is>
          <t>Water</t>
        </is>
      </c>
      <c r="B46" t="n">
        <v>0</v>
      </c>
      <c r="C46" t="inlineStr">
        <is>
          <t>biosphere3</t>
        </is>
      </c>
      <c r="E46" t="inlineStr">
        <is>
          <t>cubic meter</t>
        </is>
      </c>
      <c r="F46" t="inlineStr">
        <is>
          <t>air</t>
        </is>
      </c>
      <c r="G46" s="22" t="inlineStr">
        <is>
          <t>biosphere</t>
        </is>
      </c>
      <c r="I46" t="inlineStr">
        <is>
          <t>Source: Classen et al. (2009)</t>
        </is>
      </c>
      <c r="N46" t="inlineStr">
        <is>
          <t>H2O</t>
        </is>
      </c>
      <c r="O46" t="inlineStr">
        <is>
          <t>steel production, converter, low-alloyed</t>
        </is>
      </c>
      <c r="P46" t="inlineStr">
        <is>
          <t>steel, low-alloyed</t>
        </is>
      </c>
      <c r="Q46" t="inlineStr">
        <is>
          <t>RER</t>
        </is>
      </c>
    </row>
    <row r="47">
      <c r="A47" t="inlineStr">
        <is>
          <t>Heat, waste</t>
        </is>
      </c>
      <c r="B47" t="n">
        <v>0</v>
      </c>
      <c r="C47" t="inlineStr">
        <is>
          <t>biosphere3</t>
        </is>
      </c>
      <c r="E47" t="inlineStr">
        <is>
          <t>megajoule</t>
        </is>
      </c>
      <c r="F47" t="inlineStr">
        <is>
          <t>air</t>
        </is>
      </c>
      <c r="G47" s="22" t="inlineStr">
        <is>
          <t>biosphere</t>
        </is>
      </c>
      <c r="I47" t="inlineStr">
        <is>
          <t>Calculated from energy balanced model</t>
        </is>
      </c>
      <c r="O47" t="inlineStr">
        <is>
          <t>steel production, converter, low-alloyed</t>
        </is>
      </c>
      <c r="P47" t="inlineStr">
        <is>
          <t>steel, low-alloyed</t>
        </is>
      </c>
      <c r="Q47" t="inlineStr">
        <is>
          <t>RER</t>
        </is>
      </c>
    </row>
    <row r="48">
      <c r="A48" t="inlineStr">
        <is>
          <t>Carbon monoxide, fossil</t>
        </is>
      </c>
      <c r="B48" t="n">
        <v>0</v>
      </c>
      <c r="C48" t="inlineStr">
        <is>
          <t>biosphere3</t>
        </is>
      </c>
      <c r="E48" t="inlineStr">
        <is>
          <t>kilogram</t>
        </is>
      </c>
      <c r="F48" t="inlineStr">
        <is>
          <t>air</t>
        </is>
      </c>
      <c r="G48" s="22" t="inlineStr">
        <is>
          <t>biosphere</t>
        </is>
      </c>
      <c r="I48" t="inlineStr">
        <is>
          <t>geometric mean of Remus et al. (2013) data range</t>
        </is>
      </c>
      <c r="N48" t="inlineStr">
        <is>
          <t>CO</t>
        </is>
      </c>
      <c r="O48" t="inlineStr">
        <is>
          <t>steel production, converter, low-alloyed</t>
        </is>
      </c>
      <c r="P48" t="inlineStr">
        <is>
          <t>steel, low-alloyed</t>
        </is>
      </c>
      <c r="Q48" t="inlineStr">
        <is>
          <t>RER</t>
        </is>
      </c>
    </row>
    <row r="49">
      <c r="A49" t="inlineStr">
        <is>
          <t>Carbon dioxide, fossil</t>
        </is>
      </c>
      <c r="B49" t="n">
        <v>0</v>
      </c>
      <c r="C49" t="inlineStr">
        <is>
          <t>biosphere3</t>
        </is>
      </c>
      <c r="E49" t="inlineStr">
        <is>
          <t>kilogram</t>
        </is>
      </c>
      <c r="F49" t="inlineStr">
        <is>
          <t>air</t>
        </is>
      </c>
      <c r="G49" s="22" t="inlineStr">
        <is>
          <t>biosphere</t>
        </is>
      </c>
      <c r="I49" t="inlineStr">
        <is>
          <t>geometric mean of Remus et al. (2013) data range</t>
        </is>
      </c>
      <c r="N49" t="inlineStr">
        <is>
          <t>CO2</t>
        </is>
      </c>
      <c r="O49" t="inlineStr">
        <is>
          <t>steel production, converter, low-alloyed</t>
        </is>
      </c>
      <c r="P49" t="inlineStr">
        <is>
          <t>steel, low-alloyed</t>
        </is>
      </c>
      <c r="Q49" t="inlineStr">
        <is>
          <t>RER</t>
        </is>
      </c>
    </row>
    <row r="50"/>
    <row r="51" ht="16" customHeight="1">
      <c r="A51" s="19" t="inlineStr">
        <is>
          <t>Activity</t>
        </is>
      </c>
      <c r="B51" s="20" t="inlineStr">
        <is>
          <t>steel production, blast furnace-basic oxygen furnace, unalloyed</t>
        </is>
      </c>
      <c r="C51" s="21" t="n"/>
      <c r="D51" s="21" t="n"/>
      <c r="E51" s="21" t="n"/>
      <c r="F51" s="21" t="n"/>
      <c r="G51" s="21" t="n"/>
      <c r="H51" s="21" t="n"/>
    </row>
    <row r="52">
      <c r="A52" s="22" t="inlineStr">
        <is>
          <t>production amount</t>
        </is>
      </c>
      <c r="B52" s="22" t="n">
        <v>1</v>
      </c>
      <c r="C52" s="21" t="n"/>
      <c r="D52" s="21" t="n"/>
      <c r="E52" s="21" t="n"/>
      <c r="F52" s="21" t="n"/>
      <c r="G52" s="21" t="n"/>
      <c r="H52" s="21" t="n"/>
    </row>
    <row r="53">
      <c r="A53" s="22" t="inlineStr">
        <is>
          <t>location</t>
        </is>
      </c>
      <c r="B53" s="22" t="inlineStr">
        <is>
          <t>GLO</t>
        </is>
      </c>
      <c r="C53" s="21" t="n"/>
      <c r="D53" s="21" t="n"/>
      <c r="E53" s="21" t="n"/>
      <c r="F53" s="21" t="n"/>
      <c r="G53" s="21" t="n"/>
      <c r="H53" s="21" t="n"/>
    </row>
    <row r="54">
      <c r="A54" s="22" t="inlineStr">
        <is>
          <t>reference product</t>
        </is>
      </c>
      <c r="B54" s="22" t="inlineStr">
        <is>
          <t>steel, unalloyed</t>
        </is>
      </c>
      <c r="C54" s="21" t="n"/>
      <c r="D54" s="21" t="n"/>
      <c r="E54" s="21" t="n"/>
      <c r="F54" s="21" t="n"/>
      <c r="G54" s="21" t="n"/>
      <c r="H54" s="21" t="n"/>
    </row>
    <row r="55">
      <c r="A55" s="22" t="inlineStr">
        <is>
          <t>unit</t>
        </is>
      </c>
      <c r="B55" s="22" t="inlineStr">
        <is>
          <t>kilogram</t>
        </is>
      </c>
      <c r="C55" s="21" t="n"/>
      <c r="D55" s="21" t="n"/>
      <c r="E55" s="21" t="n"/>
      <c r="F55" s="21" t="n"/>
      <c r="G55" s="21" t="n"/>
      <c r="H55" s="21" t="n"/>
    </row>
    <row r="56">
      <c r="A56" s="22" t="inlineStr">
        <is>
          <t>comment</t>
        </is>
      </c>
      <c r="B56" s="22" t="inlineStr">
        <is>
          <t>This dataset, originally based on the ecoinvent 3.8 cutoff process "steel production, converter, unalloyed" for the RER region, was modified by Harpprecht et al. (2025) to reflect steel production exclusively from primary iron via blast furnace (BF). The modifications include increasing the primary iron input to 1.1 kg (sum of the original pig iron and scrap inputs), removing the scrap input entirely, and replacing the secondary metallurgy slag with an equivalent amount of regular slag.  Exchanges values set to zero are later populated by Premise.</t>
        </is>
      </c>
      <c r="C56" s="21" t="n"/>
      <c r="D56" s="21" t="n"/>
      <c r="E56" s="21" t="n"/>
      <c r="F56" s="21" t="n"/>
      <c r="G56" s="21" t="n"/>
      <c r="H56" s="21" t="n"/>
    </row>
    <row r="57">
      <c r="A57" s="22" t="inlineStr">
        <is>
          <t>source</t>
        </is>
      </c>
      <c r="B57" s="22" t="inlineStr">
        <is>
          <t>Harpprecht C., Sacchi R., Naegler T., et al. "Future environmental impacts of global iron and steel production". Energy Environ Sci. (2025). doi: 10.1039/D5EE01356A</t>
        </is>
      </c>
      <c r="C57" s="21" t="n"/>
      <c r="D57" s="21" t="n"/>
      <c r="E57" s="21" t="n"/>
      <c r="F57" s="21" t="n"/>
      <c r="G57" s="21" t="n"/>
      <c r="H57" s="21" t="n"/>
    </row>
    <row r="58" ht="16" customHeight="1">
      <c r="A58" s="19" t="inlineStr">
        <is>
          <t>Exchanges</t>
        </is>
      </c>
      <c r="B58" s="22" t="n"/>
      <c r="C58" s="21" t="n"/>
      <c r="D58" s="21" t="n"/>
      <c r="E58" s="21" t="n"/>
      <c r="F58" s="21" t="n"/>
      <c r="G58" s="21" t="n"/>
      <c r="H58" s="21" t="n"/>
    </row>
    <row r="59">
      <c r="A59" s="23" t="inlineStr">
        <is>
          <t>name</t>
        </is>
      </c>
      <c r="B59" s="23" t="inlineStr">
        <is>
          <t>amount</t>
        </is>
      </c>
      <c r="C59" s="23" t="inlineStr">
        <is>
          <t>database</t>
        </is>
      </c>
      <c r="D59" s="23" t="inlineStr">
        <is>
          <t>location</t>
        </is>
      </c>
      <c r="E59" s="23" t="inlineStr">
        <is>
          <t>unit</t>
        </is>
      </c>
      <c r="F59" s="23" t="inlineStr">
        <is>
          <t>categories</t>
        </is>
      </c>
      <c r="G59" s="23" t="inlineStr">
        <is>
          <t>type</t>
        </is>
      </c>
      <c r="H59" s="23" t="inlineStr">
        <is>
          <t>reference product</t>
        </is>
      </c>
      <c r="I59" s="23" t="inlineStr">
        <is>
          <t>comment</t>
        </is>
      </c>
      <c r="J59" s="20" t="inlineStr">
        <is>
          <t>uncertainty type</t>
        </is>
      </c>
      <c r="K59" s="20" t="inlineStr">
        <is>
          <t>pedigree</t>
        </is>
      </c>
      <c r="L59" s="20" t="inlineStr">
        <is>
          <t>loc</t>
        </is>
      </c>
      <c r="M59" s="20" t="inlineStr">
        <is>
          <t>scale</t>
        </is>
      </c>
      <c r="N59" s="20" t="inlineStr">
        <is>
          <t>formula</t>
        </is>
      </c>
      <c r="O59" s="20" t="inlineStr">
        <is>
          <t>replacement name</t>
        </is>
      </c>
      <c r="P59" s="20" t="inlineStr">
        <is>
          <t>replacement product</t>
        </is>
      </c>
      <c r="Q59" s="20" t="inlineStr">
        <is>
          <t>replacement location</t>
        </is>
      </c>
      <c r="R59" s="20" t="inlineStr">
        <is>
          <t>negative</t>
        </is>
      </c>
    </row>
    <row r="60">
      <c r="A60" s="24" t="inlineStr">
        <is>
          <t>steel production, blast furnace-basic oxygen furnace, unalloyed</t>
        </is>
      </c>
      <c r="B60" s="22" t="n">
        <v>1</v>
      </c>
      <c r="C60" s="22" t="inlineStr">
        <is>
          <t>steel_paper</t>
        </is>
      </c>
      <c r="D60" s="22" t="inlineStr">
        <is>
          <t>GLO</t>
        </is>
      </c>
      <c r="E60" s="22" t="inlineStr">
        <is>
          <t>kilogram</t>
        </is>
      </c>
      <c r="F60" s="22" t="n"/>
      <c r="G60" s="22" t="inlineStr">
        <is>
          <t>production</t>
        </is>
      </c>
      <c r="H60" s="22" t="inlineStr">
        <is>
          <t>steel, unalloyed</t>
        </is>
      </c>
    </row>
    <row r="61">
      <c r="A61" t="inlineStr">
        <is>
          <t>market for basic oxygen furnace dust</t>
        </is>
      </c>
      <c r="B61" t="n">
        <v>0</v>
      </c>
      <c r="C61" t="inlineStr">
        <is>
          <t>cutoff391</t>
        </is>
      </c>
      <c r="D61" t="inlineStr">
        <is>
          <t>RER</t>
        </is>
      </c>
      <c r="E61" t="inlineStr">
        <is>
          <t>kilogram</t>
        </is>
      </c>
      <c r="G61" s="22" t="inlineStr">
        <is>
          <t>technosphere</t>
        </is>
      </c>
      <c r="H61" t="inlineStr">
        <is>
          <t>basic oxygen furnace dust</t>
        </is>
      </c>
      <c r="I61"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61" t="inlineStr">
        <is>
          <t>steel production, converter, unalloyed</t>
        </is>
      </c>
      <c r="P61" t="inlineStr">
        <is>
          <t>steel, converter, unalloyed</t>
        </is>
      </c>
      <c r="Q61" t="inlineStr">
        <is>
          <t>RER</t>
        </is>
      </c>
    </row>
    <row r="62">
      <c r="A62" t="inlineStr">
        <is>
          <t>market for basic oxygen furnace slag</t>
        </is>
      </c>
      <c r="B62">
        <f>-0.1048976-0.0003008</f>
        <v>-0.1051984</v>
      </c>
      <c r="C62" t="inlineStr">
        <is>
          <t>cutoff391</t>
        </is>
      </c>
      <c r="D62" t="inlineStr">
        <is>
          <t>RER</t>
        </is>
      </c>
      <c r="E62" t="inlineStr">
        <is>
          <t>kilogram</t>
        </is>
      </c>
      <c r="G62" s="22" t="inlineStr">
        <is>
          <t>technosphere</t>
        </is>
      </c>
      <c r="H62" t="inlineStr">
        <is>
          <t>basic oxygen furnace slag</t>
        </is>
      </c>
      <c r="I62" t="inlineStr">
        <is>
          <t>&gt; Modifications (2025): added the value of the secondary metallurgy slag, which was set to zero
&lt;Original ecoinvent 3.8 comment: &gt;
Amount reported by worldsteel (2010) and is representative of the average global situation in 2009. Also based on worldsteel (2010), an internal recovery (recycling) rate of 14% is assumed. Source: Worldsteel (2010). Steel industry by-products. World Steel Association: Brussels, Belgium.</t>
        </is>
      </c>
      <c r="J62" t="n">
        <v>2</v>
      </c>
      <c r="K62" t="inlineStr">
        <is>
          <t>(2, 3, 3, 2, 2, 1)</t>
        </is>
      </c>
      <c r="L62" t="n">
        <v>-2.25477064277392</v>
      </c>
      <c r="M62" t="n">
        <v>0.0665206734782503</v>
      </c>
      <c r="R62" t="b">
        <v>1</v>
      </c>
    </row>
    <row r="63">
      <c r="A63" t="inlineStr">
        <is>
          <t>market for basic oxygen furnace sludge</t>
        </is>
      </c>
      <c r="B63" t="n">
        <v>0</v>
      </c>
      <c r="C63" t="inlineStr">
        <is>
          <t>cutoff391</t>
        </is>
      </c>
      <c r="D63" t="inlineStr">
        <is>
          <t>RER</t>
        </is>
      </c>
      <c r="E63" t="inlineStr">
        <is>
          <t>kilogram</t>
        </is>
      </c>
      <c r="G63" s="22" t="inlineStr">
        <is>
          <t>technosphere</t>
        </is>
      </c>
      <c r="H63" t="inlineStr">
        <is>
          <t>basic oxygen furnace sludge</t>
        </is>
      </c>
      <c r="I63"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63" t="inlineStr">
        <is>
          <t>steel production, converter, unalloyed</t>
        </is>
      </c>
      <c r="P63" t="inlineStr">
        <is>
          <t>steel, unalloyed</t>
        </is>
      </c>
      <c r="Q63" t="inlineStr">
        <is>
          <t>RER</t>
        </is>
      </c>
    </row>
    <row r="64">
      <c r="A64" t="inlineStr">
        <is>
          <t>market for blast oxygen furnace converter</t>
        </is>
      </c>
      <c r="B64" t="n">
        <v>0</v>
      </c>
      <c r="C64" t="inlineStr">
        <is>
          <t>cutoff391</t>
        </is>
      </c>
      <c r="D64" t="inlineStr">
        <is>
          <t>GLO</t>
        </is>
      </c>
      <c r="E64" t="inlineStr">
        <is>
          <t>unit</t>
        </is>
      </c>
      <c r="G64" s="22" t="inlineStr">
        <is>
          <t>technosphere</t>
        </is>
      </c>
      <c r="H64" t="inlineStr">
        <is>
          <t>blast oxygen furnace converter</t>
        </is>
      </c>
      <c r="I64" t="inlineStr">
        <is>
          <t>Source: Classen et al. (2009)</t>
        </is>
      </c>
      <c r="O64" t="inlineStr">
        <is>
          <t>steel production, converter, unalloyed</t>
        </is>
      </c>
      <c r="P64" t="inlineStr">
        <is>
          <t>steel, unalloyed</t>
        </is>
      </c>
      <c r="Q64" t="inlineStr">
        <is>
          <t>RER</t>
        </is>
      </c>
    </row>
    <row r="65">
      <c r="A65" t="inlineStr">
        <is>
          <t>market for coke</t>
        </is>
      </c>
      <c r="B65" t="n">
        <v>0</v>
      </c>
      <c r="C65" t="inlineStr">
        <is>
          <t>cutoff391</t>
        </is>
      </c>
      <c r="D65" t="inlineStr">
        <is>
          <t>GLO</t>
        </is>
      </c>
      <c r="E65" t="inlineStr">
        <is>
          <t>megajoule</t>
        </is>
      </c>
      <c r="G65" s="22" t="inlineStr">
        <is>
          <t>technosphere</t>
        </is>
      </c>
      <c r="H65" t="inlineStr">
        <is>
          <t>coke</t>
        </is>
      </c>
      <c r="I65" t="inlineStr">
        <is>
          <t>geometric mean of Remus et al. (2013) data range</t>
        </is>
      </c>
      <c r="O65" t="inlineStr">
        <is>
          <t>steel production, converter, unalloyed</t>
        </is>
      </c>
      <c r="P65" t="inlineStr">
        <is>
          <t>steel, unalloyed</t>
        </is>
      </c>
      <c r="Q65" t="inlineStr">
        <is>
          <t>RER</t>
        </is>
      </c>
    </row>
    <row r="66">
      <c r="A66" t="inlineStr">
        <is>
          <t>market for compressed air, 600 kPa gauge</t>
        </is>
      </c>
      <c r="B66" t="n">
        <v>0</v>
      </c>
      <c r="C66" t="inlineStr">
        <is>
          <t>cutoff391</t>
        </is>
      </c>
      <c r="D66" t="inlineStr">
        <is>
          <t>RER</t>
        </is>
      </c>
      <c r="E66" t="inlineStr">
        <is>
          <t>cubic meter</t>
        </is>
      </c>
      <c r="G66" s="22" t="inlineStr">
        <is>
          <t>technosphere</t>
        </is>
      </c>
      <c r="H66" t="inlineStr">
        <is>
          <t>compressed air, 600 kPa gauge</t>
        </is>
      </c>
      <c r="I66" t="inlineStr">
        <is>
          <t>geometric mean of Remus et al. (2013) data range</t>
        </is>
      </c>
      <c r="O66" t="inlineStr">
        <is>
          <t>steel production, converter, unalloyed</t>
        </is>
      </c>
      <c r="P66" t="inlineStr">
        <is>
          <t>steel, unalloyed</t>
        </is>
      </c>
      <c r="Q66" t="inlineStr">
        <is>
          <t>RER</t>
        </is>
      </c>
    </row>
    <row r="67">
      <c r="A67" t="inlineStr">
        <is>
          <t>market for dolomite</t>
        </is>
      </c>
      <c r="B67" t="n">
        <v>0</v>
      </c>
      <c r="C67" t="inlineStr">
        <is>
          <t>cutoff391</t>
        </is>
      </c>
      <c r="D67" t="inlineStr">
        <is>
          <t>RER</t>
        </is>
      </c>
      <c r="E67" t="inlineStr">
        <is>
          <t>kilogram</t>
        </is>
      </c>
      <c r="G67" s="22" t="inlineStr">
        <is>
          <t>technosphere</t>
        </is>
      </c>
      <c r="H67" t="inlineStr">
        <is>
          <t>dolomite</t>
        </is>
      </c>
      <c r="I67" t="inlineStr">
        <is>
          <t>geometric mean of Remus et al. (2013) data range</t>
        </is>
      </c>
      <c r="O67" t="inlineStr">
        <is>
          <t>steel production, converter, unalloyed</t>
        </is>
      </c>
      <c r="P67" t="inlineStr">
        <is>
          <t>steel, unalloyed</t>
        </is>
      </c>
      <c r="Q67" t="inlineStr">
        <is>
          <t>RER</t>
        </is>
      </c>
    </row>
    <row r="68">
      <c r="A68" t="inlineStr">
        <is>
          <t>market group for electricity, medium voltage</t>
        </is>
      </c>
      <c r="B68" t="n">
        <v>0</v>
      </c>
      <c r="C68" t="inlineStr">
        <is>
          <t>cutoff391</t>
        </is>
      </c>
      <c r="D68" t="inlineStr">
        <is>
          <t>RER</t>
        </is>
      </c>
      <c r="E68" t="inlineStr">
        <is>
          <t>kilowatt hour</t>
        </is>
      </c>
      <c r="G68" s="22" t="inlineStr">
        <is>
          <t>technosphere</t>
        </is>
      </c>
      <c r="H68" t="inlineStr">
        <is>
          <t>electricity, medium voltage</t>
        </is>
      </c>
      <c r="I68" t="inlineStr">
        <is>
          <t>geometric mean of Remus et al. (2013) data range</t>
        </is>
      </c>
      <c r="O68" t="inlineStr">
        <is>
          <t>steel production, converter, unalloyed</t>
        </is>
      </c>
      <c r="P68" t="inlineStr">
        <is>
          <t>steel, unalloyed</t>
        </is>
      </c>
      <c r="Q68" t="inlineStr">
        <is>
          <t>RER</t>
        </is>
      </c>
    </row>
    <row r="69">
      <c r="A69" t="inlineStr">
        <is>
          <t>market for ferromanganese, high-coal, 74.5% Mn</t>
        </is>
      </c>
      <c r="B69" t="n">
        <v>0</v>
      </c>
      <c r="C69" t="inlineStr">
        <is>
          <t>cutoff391</t>
        </is>
      </c>
      <c r="D69" t="inlineStr">
        <is>
          <t>GLO</t>
        </is>
      </c>
      <c r="E69" t="inlineStr">
        <is>
          <t>kilogram</t>
        </is>
      </c>
      <c r="G69" s="22" t="inlineStr">
        <is>
          <t>technosphere</t>
        </is>
      </c>
      <c r="H69" t="inlineStr">
        <is>
          <t>ferromanganese, high-coal, 74.5% Mn</t>
        </is>
      </c>
      <c r="I69" t="inlineStr">
        <is>
          <t>Source: Classen et al. (2009)</t>
        </is>
      </c>
      <c r="O69" t="inlineStr">
        <is>
          <t>steel production, converter, unalloyed</t>
        </is>
      </c>
      <c r="P69" t="inlineStr">
        <is>
          <t>steel, unalloyed</t>
        </is>
      </c>
      <c r="Q69" t="inlineStr">
        <is>
          <t>RER</t>
        </is>
      </c>
    </row>
    <row r="70">
      <c r="A70" t="inlineStr">
        <is>
          <t>market for inert waste, for final disposal</t>
        </is>
      </c>
      <c r="B70" t="n">
        <v>0</v>
      </c>
      <c r="C70" t="inlineStr">
        <is>
          <t>cutoff391</t>
        </is>
      </c>
      <c r="D70" t="inlineStr">
        <is>
          <t>CH</t>
        </is>
      </c>
      <c r="E70" t="inlineStr">
        <is>
          <t>kilogram</t>
        </is>
      </c>
      <c r="G70" s="22" t="inlineStr">
        <is>
          <t>technosphere</t>
        </is>
      </c>
      <c r="H70" t="inlineStr">
        <is>
          <t>inert waste, for final disposal</t>
        </is>
      </c>
      <c r="I70" t="inlineStr">
        <is>
          <t>Represents used refractories, etc.</t>
        </is>
      </c>
      <c r="O70" t="inlineStr">
        <is>
          <t>steel production, converter, unalloyed</t>
        </is>
      </c>
      <c r="P70" t="inlineStr">
        <is>
          <t>steel, unalloyed</t>
        </is>
      </c>
      <c r="Q70" t="inlineStr">
        <is>
          <t>RER</t>
        </is>
      </c>
    </row>
    <row r="71">
      <c r="A71" t="inlineStr">
        <is>
          <t>market for iron ore concentrate</t>
        </is>
      </c>
      <c r="B71" t="n">
        <v>0</v>
      </c>
      <c r="C71" t="inlineStr">
        <is>
          <t>cutoff391</t>
        </is>
      </c>
      <c r="D71" t="inlineStr">
        <is>
          <t>GLO</t>
        </is>
      </c>
      <c r="E71" t="inlineStr">
        <is>
          <t>kilogram</t>
        </is>
      </c>
      <c r="G71" s="22" t="inlineStr">
        <is>
          <t>technosphere</t>
        </is>
      </c>
      <c r="H71" t="inlineStr">
        <is>
          <t>iron ore concentrate</t>
        </is>
      </c>
      <c r="I71" t="inlineStr">
        <is>
          <t>geometric mean of Remus et al. (2013) data range</t>
        </is>
      </c>
      <c r="O71" t="inlineStr">
        <is>
          <t>steel production, converter, unalloyed</t>
        </is>
      </c>
      <c r="P71" t="inlineStr">
        <is>
          <t>steel, unalloyed</t>
        </is>
      </c>
      <c r="Q71" t="inlineStr">
        <is>
          <t>RER</t>
        </is>
      </c>
    </row>
    <row r="72">
      <c r="A72" t="inlineStr">
        <is>
          <t>market for mill scale</t>
        </is>
      </c>
      <c r="B72" t="n">
        <v>0</v>
      </c>
      <c r="C72" t="inlineStr">
        <is>
          <t>cutoff391</t>
        </is>
      </c>
      <c r="D72" t="inlineStr">
        <is>
          <t>RER</t>
        </is>
      </c>
      <c r="E72" t="inlineStr">
        <is>
          <t>kilogram</t>
        </is>
      </c>
      <c r="G72" s="22" t="inlineStr">
        <is>
          <t>technosphere</t>
        </is>
      </c>
      <c r="H72" t="inlineStr">
        <is>
          <t>mill scale</t>
        </is>
      </c>
      <c r="I72" t="inlineStr">
        <is>
          <t>Amount reported by worldsteel (2010) and is representative of the average global situation in 2009. Also based on worldsteel (2010), an internal recovery (recycling) rate of 89% is assumed. Source: Worldsteel (2010). Steel industry by-products. World Steel Association: Brussels, Belgium.</t>
        </is>
      </c>
      <c r="O72" t="inlineStr">
        <is>
          <t>steel production, converter, unalloyed</t>
        </is>
      </c>
      <c r="P72" t="inlineStr">
        <is>
          <t>steel, unalloyed</t>
        </is>
      </c>
      <c r="Q72" t="inlineStr">
        <is>
          <t>RER</t>
        </is>
      </c>
    </row>
    <row r="73">
      <c r="A73" t="inlineStr">
        <is>
          <t>market group for natural gas, high pressure</t>
        </is>
      </c>
      <c r="B73" t="n">
        <v>0</v>
      </c>
      <c r="C73" t="inlineStr">
        <is>
          <t>cutoff391</t>
        </is>
      </c>
      <c r="D73" t="inlineStr">
        <is>
          <t>Europe without Switzerland</t>
        </is>
      </c>
      <c r="E73" t="inlineStr">
        <is>
          <t>cubic meter</t>
        </is>
      </c>
      <c r="G73" s="22" t="inlineStr">
        <is>
          <t>technosphere</t>
        </is>
      </c>
      <c r="H73" t="inlineStr">
        <is>
          <t>natural gas, high pressure</t>
        </is>
      </c>
      <c r="I73" t="inlineStr">
        <is>
          <t>geometric mean of Remus et al. (2013) data range</t>
        </is>
      </c>
      <c r="O73" t="inlineStr">
        <is>
          <t>steel production, converter, unalloyed</t>
        </is>
      </c>
      <c r="P73" t="inlineStr">
        <is>
          <t>steel, unalloyed</t>
        </is>
      </c>
      <c r="Q73" t="inlineStr">
        <is>
          <t>RER</t>
        </is>
      </c>
    </row>
    <row r="74">
      <c r="A74" t="inlineStr">
        <is>
          <t>market for natural gas, high pressure</t>
        </is>
      </c>
      <c r="B74" t="n">
        <v>0</v>
      </c>
      <c r="C74" t="inlineStr">
        <is>
          <t>cutoff391</t>
        </is>
      </c>
      <c r="D74" t="inlineStr">
        <is>
          <t>CH</t>
        </is>
      </c>
      <c r="E74" t="inlineStr">
        <is>
          <t>cubic meter</t>
        </is>
      </c>
      <c r="G74" s="22" t="inlineStr">
        <is>
          <t>technosphere</t>
        </is>
      </c>
      <c r="H74" t="inlineStr">
        <is>
          <t>natural gas, high pressure</t>
        </is>
      </c>
      <c r="I74" t="inlineStr">
        <is>
          <t>geometric mean of Remus et al. (2013) data range</t>
        </is>
      </c>
      <c r="O74" t="inlineStr">
        <is>
          <t>steel production, converter, unalloyed</t>
        </is>
      </c>
      <c r="P74" t="inlineStr">
        <is>
          <t>steel, unalloyed</t>
        </is>
      </c>
      <c r="Q74" t="inlineStr">
        <is>
          <t>RER</t>
        </is>
      </c>
    </row>
    <row r="75">
      <c r="A75" t="inlineStr">
        <is>
          <t>market for oxygen, liquid</t>
        </is>
      </c>
      <c r="B75" t="n">
        <v>0</v>
      </c>
      <c r="C75" t="inlineStr">
        <is>
          <t>cutoff391</t>
        </is>
      </c>
      <c r="D75" t="inlineStr">
        <is>
          <t>RER</t>
        </is>
      </c>
      <c r="E75" t="inlineStr">
        <is>
          <t>kilogram</t>
        </is>
      </c>
      <c r="G75" s="22" t="inlineStr">
        <is>
          <t>technosphere</t>
        </is>
      </c>
      <c r="H75" t="inlineStr">
        <is>
          <t>oxygen, liquid</t>
        </is>
      </c>
      <c r="I75" t="inlineStr">
        <is>
          <t>geometric mean of Remus et al. (2013) data range</t>
        </is>
      </c>
      <c r="O75" t="inlineStr">
        <is>
          <t>steel production, converter, unalloyed</t>
        </is>
      </c>
      <c r="P75" t="inlineStr">
        <is>
          <t>steel, unalloyed</t>
        </is>
      </c>
      <c r="Q75" t="inlineStr">
        <is>
          <t>RER</t>
        </is>
      </c>
    </row>
    <row r="76">
      <c r="A76" t="inlineStr">
        <is>
          <t>pig iron production</t>
        </is>
      </c>
      <c r="B76">
        <f>0.86462087+0.23211055</f>
        <v>1.09673142</v>
      </c>
      <c r="C76" t="inlineStr">
        <is>
          <t>cutoff391</t>
        </is>
      </c>
      <c r="D76" t="inlineStr">
        <is>
          <t>RER</t>
        </is>
      </c>
      <c r="E76" t="inlineStr">
        <is>
          <t>kilogram</t>
        </is>
      </c>
      <c r="G76" s="22" t="inlineStr">
        <is>
          <t>technosphere</t>
        </is>
      </c>
      <c r="H76" t="inlineStr">
        <is>
          <t>pig iron</t>
        </is>
      </c>
      <c r="I76" t="inlineStr">
        <is>
          <t xml:space="preserve">&gt; Modifications (2025): Value is the sum of the original ecoinvent values of scrap input (0.232 kg) and pig iron input (0.865 kg)
&gt; assumption: zero scrap input, 100% pig iron input
&lt;Original ecoinvent 3.8 comment: &gt;
geometric mean of Remus et al. (2013) data range. Adjusted with RMS to balance Fe-Content. Note that the ratio of pig iron to iron scrap inputs was based on average data from European steelmakers. The values were then adjusted to ensure Fe balance. This ratio is, however, highly variable among regions, globally, and the value used may not be representative of a) the average global situation or b) the situation in other regions. We advise caution when appliying these data elsewhere. </t>
        </is>
      </c>
      <c r="J76" t="n">
        <v>2</v>
      </c>
      <c r="K76" t="inlineStr">
        <is>
          <t>(2, 3, 2, 5, 1, 1)</t>
        </is>
      </c>
      <c r="L76" t="n">
        <v>-0.145464168710066</v>
      </c>
      <c r="M76" t="n">
        <v>0.058309518948453</v>
      </c>
    </row>
    <row r="77">
      <c r="A77" t="inlineStr">
        <is>
          <t>market for quicklime, in pieces, loose</t>
        </is>
      </c>
      <c r="B77" t="n">
        <v>0</v>
      </c>
      <c r="C77" t="inlineStr">
        <is>
          <t>cutoff391</t>
        </is>
      </c>
      <c r="D77" t="inlineStr">
        <is>
          <t>CH</t>
        </is>
      </c>
      <c r="E77" t="inlineStr">
        <is>
          <t>kilogram</t>
        </is>
      </c>
      <c r="G77" s="22" t="inlineStr">
        <is>
          <t>technosphere</t>
        </is>
      </c>
      <c r="H77" t="inlineStr">
        <is>
          <t>quicklime, in pieces, loose</t>
        </is>
      </c>
      <c r="I77" t="inlineStr">
        <is>
          <t>geometric mean of Remus et al. (2013) data range</t>
        </is>
      </c>
      <c r="O77" t="inlineStr">
        <is>
          <t>steel production, converter, unalloyed</t>
        </is>
      </c>
      <c r="P77" t="inlineStr">
        <is>
          <t>steel, unalloyed</t>
        </is>
      </c>
      <c r="Q77" t="inlineStr">
        <is>
          <t>RER</t>
        </is>
      </c>
    </row>
    <row r="78">
      <c r="A78" t="inlineStr">
        <is>
          <t>market for wastewater from pig iron production</t>
        </is>
      </c>
      <c r="B78" t="n">
        <v>0</v>
      </c>
      <c r="C78" t="inlineStr">
        <is>
          <t>cutoff391</t>
        </is>
      </c>
      <c r="D78" t="inlineStr">
        <is>
          <t>Europe without Switzerland</t>
        </is>
      </c>
      <c r="E78" t="inlineStr">
        <is>
          <t>cubic meter</t>
        </is>
      </c>
      <c r="G78" s="22" t="inlineStr">
        <is>
          <t>technosphere</t>
        </is>
      </c>
      <c r="H78" t="inlineStr">
        <is>
          <t>wastewater from pig iron production</t>
        </is>
      </c>
      <c r="I78" t="inlineStr">
        <is>
          <t>geometric mean of Remus et al. (2013) data range</t>
        </is>
      </c>
      <c r="O78" t="inlineStr">
        <is>
          <t>steel production, converter, unalloyed</t>
        </is>
      </c>
      <c r="P78" t="inlineStr">
        <is>
          <t>steel, unalloyed</t>
        </is>
      </c>
      <c r="Q78" t="inlineStr">
        <is>
          <t>RER</t>
        </is>
      </c>
    </row>
    <row r="79">
      <c r="A79" t="inlineStr">
        <is>
          <t>market for wastewater from pig iron production</t>
        </is>
      </c>
      <c r="B79" t="n">
        <v>0</v>
      </c>
      <c r="C79" t="inlineStr">
        <is>
          <t>cutoff391</t>
        </is>
      </c>
      <c r="D79" t="inlineStr">
        <is>
          <t>CH</t>
        </is>
      </c>
      <c r="E79" t="inlineStr">
        <is>
          <t>cubic meter</t>
        </is>
      </c>
      <c r="G79" s="22" t="inlineStr">
        <is>
          <t>technosphere</t>
        </is>
      </c>
      <c r="H79" t="inlineStr">
        <is>
          <t>wastewater from pig iron production</t>
        </is>
      </c>
      <c r="I79" t="inlineStr">
        <is>
          <t>geometric mean of Remus et al. (2013) data range</t>
        </is>
      </c>
      <c r="O79" t="inlineStr">
        <is>
          <t>steel production, converter, unalloyed</t>
        </is>
      </c>
      <c r="P79" t="inlineStr">
        <is>
          <t>steel, unalloyed</t>
        </is>
      </c>
      <c r="Q79" t="inlineStr">
        <is>
          <t>RER</t>
        </is>
      </c>
    </row>
    <row r="80">
      <c r="A80" t="inlineStr">
        <is>
          <t>Carbon dioxide, fossil</t>
        </is>
      </c>
      <c r="B80" t="n">
        <v>0</v>
      </c>
      <c r="C80" t="inlineStr">
        <is>
          <t>biosphere3</t>
        </is>
      </c>
      <c r="E80" t="inlineStr">
        <is>
          <t>kilogram</t>
        </is>
      </c>
      <c r="F80" t="inlineStr">
        <is>
          <t>air</t>
        </is>
      </c>
      <c r="G80" s="22" t="inlineStr">
        <is>
          <t>biosphere</t>
        </is>
      </c>
      <c r="I80" t="inlineStr">
        <is>
          <t>geometric mean of Remus et al. (2013) data range</t>
        </is>
      </c>
      <c r="N80" t="inlineStr">
        <is>
          <t>CO2</t>
        </is>
      </c>
      <c r="O80" t="inlineStr">
        <is>
          <t>steel production, converter, unalloyed</t>
        </is>
      </c>
      <c r="P80" t="inlineStr">
        <is>
          <t>steel, unalloyed</t>
        </is>
      </c>
      <c r="Q80" t="inlineStr">
        <is>
          <t>RER</t>
        </is>
      </c>
    </row>
    <row r="81">
      <c r="A81" t="inlineStr">
        <is>
          <t>Carbon monoxide, fossil</t>
        </is>
      </c>
      <c r="B81" t="n">
        <v>0</v>
      </c>
      <c r="C81" t="inlineStr">
        <is>
          <t>biosphere3</t>
        </is>
      </c>
      <c r="E81" t="inlineStr">
        <is>
          <t>kilogram</t>
        </is>
      </c>
      <c r="F81" t="inlineStr">
        <is>
          <t>air</t>
        </is>
      </c>
      <c r="G81" s="22" t="inlineStr">
        <is>
          <t>biosphere</t>
        </is>
      </c>
      <c r="I81" t="inlineStr">
        <is>
          <t>geometric mean of Remus et al. (2013) data range</t>
        </is>
      </c>
      <c r="N81" t="inlineStr">
        <is>
          <t>CO</t>
        </is>
      </c>
      <c r="O81" t="inlineStr">
        <is>
          <t>steel production, converter, unalloyed</t>
        </is>
      </c>
      <c r="P81" t="inlineStr">
        <is>
          <t>steel, unalloyed</t>
        </is>
      </c>
      <c r="Q81" t="inlineStr">
        <is>
          <t>RER</t>
        </is>
      </c>
    </row>
    <row r="82">
      <c r="A82" t="inlineStr">
        <is>
          <t>Chromium</t>
        </is>
      </c>
      <c r="B82" t="n">
        <v>0</v>
      </c>
      <c r="C82" t="inlineStr">
        <is>
          <t>biosphere3</t>
        </is>
      </c>
      <c r="E82" t="inlineStr">
        <is>
          <t>kilogram</t>
        </is>
      </c>
      <c r="F82" t="inlineStr">
        <is>
          <t>air</t>
        </is>
      </c>
      <c r="G82" s="22" t="inlineStr">
        <is>
          <t>biosphere</t>
        </is>
      </c>
      <c r="I82" t="inlineStr">
        <is>
          <t>geometric mean of Remus et al. (2013) data range</t>
        </is>
      </c>
      <c r="N82" t="inlineStr">
        <is>
          <t>Cr</t>
        </is>
      </c>
      <c r="O82" t="inlineStr">
        <is>
          <t>steel production, converter, unalloyed</t>
        </is>
      </c>
      <c r="P82" t="inlineStr">
        <is>
          <t>steel, unalloyed</t>
        </is>
      </c>
      <c r="Q82" t="inlineStr">
        <is>
          <t>RER</t>
        </is>
      </c>
    </row>
    <row r="83">
      <c r="A83" t="inlineStr">
        <is>
          <t>Copper ion</t>
        </is>
      </c>
      <c r="B83" t="n">
        <v>0</v>
      </c>
      <c r="C83" t="inlineStr">
        <is>
          <t>biosphere3</t>
        </is>
      </c>
      <c r="E83" t="inlineStr">
        <is>
          <t>kilogram</t>
        </is>
      </c>
      <c r="F83" t="inlineStr">
        <is>
          <t>air</t>
        </is>
      </c>
      <c r="G83" s="22" t="inlineStr">
        <is>
          <t>biosphere</t>
        </is>
      </c>
      <c r="I83" t="inlineStr">
        <is>
          <t>geometric mean of Remus et al. (2013) data range</t>
        </is>
      </c>
      <c r="N83" t="inlineStr">
        <is>
          <t>Cu</t>
        </is>
      </c>
      <c r="O83" t="inlineStr">
        <is>
          <t>steel production, converter, unalloyed</t>
        </is>
      </c>
      <c r="P83" t="inlineStr">
        <is>
          <t>steel, unalloyed</t>
        </is>
      </c>
      <c r="Q83" t="inlineStr">
        <is>
          <t>RER</t>
        </is>
      </c>
    </row>
    <row r="84">
      <c r="A84" t="inlineStr">
        <is>
          <t>Dioxins, measured as 2,3,7,8-tetrachlorodibenzo-p-dioxin</t>
        </is>
      </c>
      <c r="B84" t="n">
        <v>0</v>
      </c>
      <c r="C84" t="inlineStr">
        <is>
          <t>biosphere3</t>
        </is>
      </c>
      <c r="E84" t="inlineStr">
        <is>
          <t>kilogram</t>
        </is>
      </c>
      <c r="F84" t="inlineStr">
        <is>
          <t>air</t>
        </is>
      </c>
      <c r="G84" s="22" t="inlineStr">
        <is>
          <t>biosphere</t>
        </is>
      </c>
      <c r="I84" t="inlineStr">
        <is>
          <t>geometric mean of Remus et al. (2013) data range</t>
        </is>
      </c>
      <c r="N84" t="inlineStr">
        <is>
          <t>C12H4Cl4O2</t>
        </is>
      </c>
      <c r="O84" t="inlineStr">
        <is>
          <t>steel production, converter, unalloyed</t>
        </is>
      </c>
      <c r="P84" t="inlineStr">
        <is>
          <t>steel, unalloyed</t>
        </is>
      </c>
      <c r="Q84" t="inlineStr">
        <is>
          <t>RER</t>
        </is>
      </c>
    </row>
    <row r="85">
      <c r="A85" t="inlineStr">
        <is>
          <t>Heat, waste</t>
        </is>
      </c>
      <c r="B85" t="n">
        <v>0</v>
      </c>
      <c r="C85" t="inlineStr">
        <is>
          <t>biosphere3</t>
        </is>
      </c>
      <c r="E85" t="inlineStr">
        <is>
          <t>megajoule</t>
        </is>
      </c>
      <c r="F85" t="inlineStr">
        <is>
          <t>air</t>
        </is>
      </c>
      <c r="G85" s="22" t="inlineStr">
        <is>
          <t>biosphere</t>
        </is>
      </c>
      <c r="I85" t="inlineStr">
        <is>
          <t>Calculated from energy balanced model</t>
        </is>
      </c>
      <c r="O85" t="inlineStr">
        <is>
          <t>steel production, converter, unalloyed</t>
        </is>
      </c>
      <c r="P85" t="inlineStr">
        <is>
          <t>steel, unalloyed</t>
        </is>
      </c>
      <c r="Q85" t="inlineStr">
        <is>
          <t>RER</t>
        </is>
      </c>
    </row>
    <row r="86">
      <c r="A86" t="inlineStr">
        <is>
          <t>Iron</t>
        </is>
      </c>
      <c r="B86" t="n">
        <v>0</v>
      </c>
      <c r="C86" t="inlineStr">
        <is>
          <t>biosphere3</t>
        </is>
      </c>
      <c r="E86" t="inlineStr">
        <is>
          <t>kilogram</t>
        </is>
      </c>
      <c r="F86" t="inlineStr">
        <is>
          <t>air</t>
        </is>
      </c>
      <c r="G86" s="22" t="inlineStr">
        <is>
          <t>biosphere</t>
        </is>
      </c>
      <c r="I86" t="inlineStr">
        <is>
          <t>geometric mean of Remus et al. (2013) data range</t>
        </is>
      </c>
      <c r="N86" t="inlineStr">
        <is>
          <t>Fe</t>
        </is>
      </c>
      <c r="O86" t="inlineStr">
        <is>
          <t>steel production, converter, unalloyed</t>
        </is>
      </c>
      <c r="P86" t="inlineStr">
        <is>
          <t>steel, unalloyed</t>
        </is>
      </c>
      <c r="Q86" t="inlineStr">
        <is>
          <t>RER</t>
        </is>
      </c>
    </row>
    <row r="87">
      <c r="A87" t="inlineStr">
        <is>
          <t>Lead</t>
        </is>
      </c>
      <c r="B87" t="n">
        <v>0</v>
      </c>
      <c r="C87" t="inlineStr">
        <is>
          <t>biosphere3</t>
        </is>
      </c>
      <c r="E87" t="inlineStr">
        <is>
          <t>kilogram</t>
        </is>
      </c>
      <c r="F87" t="inlineStr">
        <is>
          <t>air</t>
        </is>
      </c>
      <c r="G87" s="22" t="inlineStr">
        <is>
          <t>biosphere</t>
        </is>
      </c>
      <c r="I87" t="inlineStr">
        <is>
          <t>geometric mean of Remus et al. (2013) data range</t>
        </is>
      </c>
      <c r="N87" t="inlineStr">
        <is>
          <t>Pb</t>
        </is>
      </c>
      <c r="O87" t="inlineStr">
        <is>
          <t>steel production, converter, unalloyed</t>
        </is>
      </c>
      <c r="P87" t="inlineStr">
        <is>
          <t>steel, unalloyed</t>
        </is>
      </c>
      <c r="Q87" t="inlineStr">
        <is>
          <t>RER</t>
        </is>
      </c>
    </row>
    <row r="88">
      <c r="A88" t="inlineStr">
        <is>
          <t>Manganese</t>
        </is>
      </c>
      <c r="B88" t="n">
        <v>0</v>
      </c>
      <c r="C88" t="inlineStr">
        <is>
          <t>biosphere3</t>
        </is>
      </c>
      <c r="E88" t="inlineStr">
        <is>
          <t>kilogram</t>
        </is>
      </c>
      <c r="F88" t="inlineStr">
        <is>
          <t>air</t>
        </is>
      </c>
      <c r="G88" s="22" t="inlineStr">
        <is>
          <t>biosphere</t>
        </is>
      </c>
      <c r="I88" t="inlineStr">
        <is>
          <t>geometric mean of Remus et al. (2013) data range</t>
        </is>
      </c>
      <c r="N88" t="inlineStr">
        <is>
          <t>Mn</t>
        </is>
      </c>
      <c r="O88" t="inlineStr">
        <is>
          <t>steel production, converter, unalloyed</t>
        </is>
      </c>
      <c r="P88" t="inlineStr">
        <is>
          <t>steel, unalloyed</t>
        </is>
      </c>
      <c r="Q88" t="inlineStr">
        <is>
          <t>RER</t>
        </is>
      </c>
    </row>
    <row r="89">
      <c r="A89" t="inlineStr">
        <is>
          <t>Nitrogen oxides</t>
        </is>
      </c>
      <c r="B89" t="n">
        <v>0</v>
      </c>
      <c r="C89" t="inlineStr">
        <is>
          <t>biosphere3</t>
        </is>
      </c>
      <c r="E89" t="inlineStr">
        <is>
          <t>kilogram</t>
        </is>
      </c>
      <c r="F89" t="inlineStr">
        <is>
          <t>air</t>
        </is>
      </c>
      <c r="G89" s="22" t="inlineStr">
        <is>
          <t>biosphere</t>
        </is>
      </c>
      <c r="I89" t="inlineStr">
        <is>
          <t>geometric mean of Remus et al. (2013) data range</t>
        </is>
      </c>
      <c r="N89" t="inlineStr">
        <is>
          <t>H3NO</t>
        </is>
      </c>
      <c r="O89" t="inlineStr">
        <is>
          <t>steel production, converter, unalloyed</t>
        </is>
      </c>
      <c r="P89" t="inlineStr">
        <is>
          <t>steel, unalloyed</t>
        </is>
      </c>
      <c r="Q89" t="inlineStr">
        <is>
          <t>RER</t>
        </is>
      </c>
    </row>
    <row r="90">
      <c r="A90" t="inlineStr">
        <is>
          <t>PAH, polycyclic aromatic hydrocarbons</t>
        </is>
      </c>
      <c r="B90" t="n">
        <v>0</v>
      </c>
      <c r="C90" t="inlineStr">
        <is>
          <t>biosphere3</t>
        </is>
      </c>
      <c r="E90" t="inlineStr">
        <is>
          <t>kilogram</t>
        </is>
      </c>
      <c r="F90" t="inlineStr">
        <is>
          <t>air</t>
        </is>
      </c>
      <c r="G90" s="22" t="inlineStr">
        <is>
          <t>biosphere</t>
        </is>
      </c>
      <c r="I90" t="inlineStr">
        <is>
          <t>geometric mean of Remus et al. (2013) data range</t>
        </is>
      </c>
      <c r="O90" t="inlineStr">
        <is>
          <t>steel production, converter, unalloyed</t>
        </is>
      </c>
      <c r="P90" t="inlineStr">
        <is>
          <t>steel, unalloyed</t>
        </is>
      </c>
      <c r="Q90" t="inlineStr">
        <is>
          <t>RER</t>
        </is>
      </c>
    </row>
    <row r="91">
      <c r="A91" t="inlineStr">
        <is>
          <t>Particulates, &lt; 2.5 um</t>
        </is>
      </c>
      <c r="B91" t="n">
        <v>0</v>
      </c>
      <c r="C91" t="inlineStr">
        <is>
          <t>biosphere3</t>
        </is>
      </c>
      <c r="E91" t="inlineStr">
        <is>
          <t>kilogram</t>
        </is>
      </c>
      <c r="F91" t="inlineStr">
        <is>
          <t>air</t>
        </is>
      </c>
      <c r="G91" s="22" t="inlineStr">
        <is>
          <t>biosphere</t>
        </is>
      </c>
      <c r="I91" t="inlineStr">
        <is>
          <t>geometric mean of Remus et al. (2013) data range</t>
        </is>
      </c>
      <c r="O91" t="inlineStr">
        <is>
          <t>steel production, converter, unalloyed</t>
        </is>
      </c>
      <c r="P91" t="inlineStr">
        <is>
          <t>steel, unalloyed</t>
        </is>
      </c>
      <c r="Q91" t="inlineStr">
        <is>
          <t>RER</t>
        </is>
      </c>
    </row>
    <row r="92">
      <c r="A92" t="inlineStr">
        <is>
          <t>Water</t>
        </is>
      </c>
      <c r="B92" t="n">
        <v>0</v>
      </c>
      <c r="C92" t="inlineStr">
        <is>
          <t>biosphere3</t>
        </is>
      </c>
      <c r="E92" t="inlineStr">
        <is>
          <t>cubic meter</t>
        </is>
      </c>
      <c r="F92" t="inlineStr">
        <is>
          <t>air</t>
        </is>
      </c>
      <c r="G92" s="22" t="inlineStr">
        <is>
          <t>biosphere</t>
        </is>
      </c>
      <c r="I92" t="inlineStr">
        <is>
          <t>Source: Classen et al. (2009)</t>
        </is>
      </c>
      <c r="N92" t="inlineStr">
        <is>
          <t>H2O</t>
        </is>
      </c>
      <c r="O92" t="inlineStr">
        <is>
          <t>steel production, converter, unalloyed</t>
        </is>
      </c>
      <c r="P92" t="inlineStr">
        <is>
          <t>steel, unalloyed</t>
        </is>
      </c>
      <c r="Q92" t="inlineStr">
        <is>
          <t>RER</t>
        </is>
      </c>
    </row>
    <row r="93">
      <c r="A93" t="inlineStr">
        <is>
          <t>Water, cooling, unspecified natural origin</t>
        </is>
      </c>
      <c r="B93" t="n">
        <v>0</v>
      </c>
      <c r="C93" t="inlineStr">
        <is>
          <t>biosphere3</t>
        </is>
      </c>
      <c r="E93" t="inlineStr">
        <is>
          <t>cubic meter</t>
        </is>
      </c>
      <c r="F93" t="inlineStr">
        <is>
          <t>natural resource::in water</t>
        </is>
      </c>
      <c r="G93" s="22" t="inlineStr">
        <is>
          <t>biosphere</t>
        </is>
      </c>
      <c r="I93" t="inlineStr">
        <is>
          <t>geometric mean of Remus et al. (2013) data range</t>
        </is>
      </c>
      <c r="N93" t="inlineStr">
        <is>
          <t>H2O</t>
        </is>
      </c>
      <c r="O93" t="inlineStr">
        <is>
          <t>steel production, converter, unalloyed</t>
        </is>
      </c>
      <c r="P93" t="inlineStr">
        <is>
          <t>steel, unalloyed</t>
        </is>
      </c>
      <c r="Q93" t="inlineStr">
        <is>
          <t>RER</t>
        </is>
      </c>
    </row>
    <row r="94"/>
    <row r="95">
      <c r="A95" s="20" t="inlineStr">
        <is>
          <t>Activity</t>
        </is>
      </c>
      <c r="B95" s="20" t="inlineStr">
        <is>
          <t>alloys production, for low-alloyed steel</t>
        </is>
      </c>
      <c r="C95" s="25" t="n"/>
      <c r="D95" s="25" t="n"/>
      <c r="E95" s="25" t="n"/>
      <c r="F95" s="25" t="n"/>
      <c r="G95" s="25" t="n"/>
      <c r="H95" s="25" t="n"/>
      <c r="I95" s="25" t="n"/>
    </row>
    <row r="96">
      <c r="A96" t="inlineStr">
        <is>
          <t>reference product</t>
        </is>
      </c>
      <c r="B96" t="inlineStr">
        <is>
          <t>alloys, for low-alloyed steel</t>
        </is>
      </c>
      <c r="C96" s="25" t="n"/>
      <c r="D96" s="25" t="n"/>
      <c r="E96" s="25" t="n"/>
      <c r="F96" s="25" t="n"/>
      <c r="G96" s="25" t="n"/>
      <c r="H96" s="25" t="n"/>
      <c r="I96" s="25" t="n"/>
    </row>
    <row r="97">
      <c r="A97" t="inlineStr">
        <is>
          <t>location</t>
        </is>
      </c>
      <c r="B97" t="inlineStr">
        <is>
          <t>GLO</t>
        </is>
      </c>
      <c r="C97" s="25" t="n"/>
      <c r="D97" s="25" t="n"/>
      <c r="E97" s="25" t="n"/>
      <c r="F97" s="25" t="n"/>
      <c r="G97" s="25" t="n"/>
      <c r="H97" s="25" t="n"/>
      <c r="I97" s="25" t="n"/>
    </row>
    <row r="98">
      <c r="A98" t="inlineStr">
        <is>
          <t>comment</t>
        </is>
      </c>
      <c r="B98" s="26" t="inlineStr">
        <is>
          <t xml:space="preserve">This dataset, developed by Harpprecht et al. (2025), represents the alloying elements required to produce 1 kg of low-alloyed steel using a converter, based on data from the ecoinvent 3.8 cutoff process "steel production, converter, low-alloyed" in the RER region. It extracts only the three relevant alloying inputs—FeMn (for carbon control and deoxidation), FeNi (for heat-resistant properties), and molybdenite (for strength and corrosion resistance)—from the original process. This dataset is intended for use as an alloy input in other processes modeling low-alloyed steel production.
</t>
        </is>
      </c>
      <c r="C98" s="25" t="n"/>
      <c r="D98" s="25" t="n"/>
      <c r="E98" s="25" t="n"/>
      <c r="F98" s="25" t="n"/>
      <c r="G98" s="25" t="n"/>
      <c r="H98" s="25" t="n"/>
      <c r="I98" s="25" t="n"/>
    </row>
    <row r="99">
      <c r="A99" s="22" t="inlineStr">
        <is>
          <t>source</t>
        </is>
      </c>
      <c r="B99" s="22" t="inlineStr">
        <is>
          <t>Harpprecht C., Sacchi R., Naegler T., et al. "Future environmental impacts of global iron and steel production". Energy Environ Sci. (2025). doi: 10.1039/D5EE01356A</t>
        </is>
      </c>
      <c r="C99" s="21" t="n"/>
      <c r="D99" s="21" t="n"/>
      <c r="E99" s="21" t="n"/>
      <c r="F99" s="21" t="n"/>
      <c r="G99" s="21" t="n"/>
      <c r="H99" s="21" t="n"/>
    </row>
    <row r="100">
      <c r="A100" t="inlineStr">
        <is>
          <t>production amount</t>
        </is>
      </c>
      <c r="B100" t="n">
        <v>1</v>
      </c>
      <c r="C100" s="25" t="n"/>
      <c r="D100" s="25" t="n"/>
      <c r="E100" s="25" t="n"/>
      <c r="F100" s="25" t="n"/>
      <c r="G100" s="25" t="n"/>
      <c r="H100" s="25" t="n"/>
      <c r="I100" s="25" t="n"/>
    </row>
    <row r="101">
      <c r="A101" t="inlineStr">
        <is>
          <t>unit</t>
        </is>
      </c>
      <c r="B101" t="inlineStr">
        <is>
          <t>kilogram</t>
        </is>
      </c>
      <c r="C101" s="25" t="n"/>
      <c r="D101" s="25" t="n"/>
      <c r="E101" s="25" t="n"/>
      <c r="F101" s="25" t="n"/>
      <c r="G101" s="25" t="n"/>
      <c r="H101" s="25" t="n"/>
      <c r="I101" s="25" t="n"/>
    </row>
    <row r="102">
      <c r="A102" t="inlineStr">
        <is>
          <t>Exchanges</t>
        </is>
      </c>
      <c r="I102" s="25" t="n"/>
    </row>
    <row r="103">
      <c r="A103" s="20" t="inlineStr">
        <is>
          <t>name</t>
        </is>
      </c>
      <c r="B103" s="20" t="inlineStr">
        <is>
          <t>amount</t>
        </is>
      </c>
      <c r="C103" s="20" t="inlineStr">
        <is>
          <t>database</t>
        </is>
      </c>
      <c r="D103" s="20" t="inlineStr">
        <is>
          <t>location</t>
        </is>
      </c>
      <c r="E103" s="20" t="inlineStr">
        <is>
          <t>unit</t>
        </is>
      </c>
      <c r="F103" s="20" t="inlineStr">
        <is>
          <t>categories</t>
        </is>
      </c>
      <c r="G103" s="20" t="inlineStr">
        <is>
          <t>type</t>
        </is>
      </c>
      <c r="H103" s="20" t="inlineStr">
        <is>
          <t>reference product</t>
        </is>
      </c>
      <c r="I103" s="20" t="inlineStr">
        <is>
          <t>comment</t>
        </is>
      </c>
      <c r="J103" s="20" t="inlineStr">
        <is>
          <t>replacement name</t>
        </is>
      </c>
      <c r="K103" s="20" t="inlineStr">
        <is>
          <t>replacement product</t>
        </is>
      </c>
      <c r="L103" s="20" t="inlineStr">
        <is>
          <t>replacement location</t>
        </is>
      </c>
    </row>
    <row r="104">
      <c r="A104" t="inlineStr">
        <is>
          <t>alloys production, for low-alloyed steel</t>
        </is>
      </c>
      <c r="B104" t="n">
        <v>1</v>
      </c>
      <c r="C104" s="22" t="inlineStr">
        <is>
          <t>steel_paper</t>
        </is>
      </c>
      <c r="D104" t="inlineStr">
        <is>
          <t>GLO</t>
        </is>
      </c>
      <c r="E104" t="inlineStr">
        <is>
          <t>kilogram</t>
        </is>
      </c>
      <c r="G104" t="inlineStr">
        <is>
          <t>production</t>
        </is>
      </c>
      <c r="H104" t="inlineStr">
        <is>
          <t>alloys, for low-alloyed steel</t>
        </is>
      </c>
      <c r="J104" s="27" t="n"/>
    </row>
    <row r="105">
      <c r="A105" t="inlineStr">
        <is>
          <t>market for ferromanganese, high-coal, 74.5% Mn</t>
        </is>
      </c>
      <c r="B105" t="n">
        <v>0</v>
      </c>
      <c r="C105" t="inlineStr">
        <is>
          <t>cutoff391</t>
        </is>
      </c>
      <c r="D105" t="inlineStr">
        <is>
          <t>GLO</t>
        </is>
      </c>
      <c r="E105" t="inlineStr">
        <is>
          <t>kilogram</t>
        </is>
      </c>
      <c r="G105" s="25" t="inlineStr">
        <is>
          <t>technosphere</t>
        </is>
      </c>
      <c r="H105" t="inlineStr">
        <is>
          <t>ferromanganese, high-coal, 74.5% Mn</t>
        </is>
      </c>
      <c r="I105" s="1" t="inlineStr">
        <is>
          <t>&gt; assumption: control the amount of carbon in the resultant steel + deoxidizing agent (removal of oxygen in steel)
&gt; original ecoinvent process: steel production, converter, low-alloyed, RER</t>
        </is>
      </c>
      <c r="J105" t="inlineStr">
        <is>
          <t>steel production, converter, low-alloyed</t>
        </is>
      </c>
      <c r="K105" t="inlineStr">
        <is>
          <t>steel, low-alloyed</t>
        </is>
      </c>
      <c r="L105" t="inlineStr">
        <is>
          <t>RER</t>
        </is>
      </c>
    </row>
    <row r="106">
      <c r="A106" t="inlineStr">
        <is>
          <t>market for ferronickel</t>
        </is>
      </c>
      <c r="B106" t="n">
        <v>0</v>
      </c>
      <c r="C106" t="inlineStr">
        <is>
          <t>cutoff391</t>
        </is>
      </c>
      <c r="D106" t="inlineStr">
        <is>
          <t>GLO</t>
        </is>
      </c>
      <c r="E106" t="inlineStr">
        <is>
          <t>kilogram</t>
        </is>
      </c>
      <c r="G106" s="25" t="inlineStr">
        <is>
          <t>technosphere</t>
        </is>
      </c>
      <c r="H106" t="inlineStr">
        <is>
          <t>ferronickel</t>
        </is>
      </c>
      <c r="I106" s="1" t="inlineStr">
        <is>
          <t>&gt; assumption: added e.g. for heat-resistant steels
&gt; original ecoinvent process: steel production, converter, low-alloyed, RER</t>
        </is>
      </c>
      <c r="J106" t="inlineStr">
        <is>
          <t>steel production, converter, low-alloyed</t>
        </is>
      </c>
      <c r="K106" t="inlineStr">
        <is>
          <t>steel, low-alloyed</t>
        </is>
      </c>
      <c r="L106" t="inlineStr">
        <is>
          <t>RER</t>
        </is>
      </c>
    </row>
    <row r="107">
      <c r="A107" t="inlineStr">
        <is>
          <t>market for molybdenite</t>
        </is>
      </c>
      <c r="B107" t="n">
        <v>0</v>
      </c>
      <c r="C107" t="inlineStr">
        <is>
          <t>cutoff391</t>
        </is>
      </c>
      <c r="D107" t="inlineStr">
        <is>
          <t>GLO</t>
        </is>
      </c>
      <c r="E107" t="inlineStr">
        <is>
          <t>kilogram</t>
        </is>
      </c>
      <c r="G107" s="25" t="inlineStr">
        <is>
          <t>technosphere</t>
        </is>
      </c>
      <c r="H107" t="inlineStr">
        <is>
          <t>molybdenite</t>
        </is>
      </c>
      <c r="I107" s="1" t="inlineStr">
        <is>
          <t>&gt; assumption: for alloying, high strength and corrosion-resistant steel
&gt; original ecoinvent process: steel production, converter, low-alloyed, RER</t>
        </is>
      </c>
      <c r="J107" t="inlineStr">
        <is>
          <t>steel production, converter, low-alloyed</t>
        </is>
      </c>
      <c r="K107" t="inlineStr">
        <is>
          <t>steel, low-alloyed</t>
        </is>
      </c>
      <c r="L107" t="inlineStr">
        <is>
          <t>RER</t>
        </is>
      </c>
    </row>
  </sheetData>
  <autoFilter ref="A1:Q107"/>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R157"/>
  <sheetViews>
    <sheetView zoomScale="91" zoomScaleNormal="70" workbookViewId="0">
      <selection activeCell="R18" sqref="R18"/>
    </sheetView>
  </sheetViews>
  <sheetFormatPr baseColWidth="10" defaultColWidth="8.83203125" defaultRowHeight="15"/>
  <cols>
    <col width="40.5" customWidth="1" min="1" max="1"/>
    <col width="48.1640625" customWidth="1" min="2" max="2"/>
    <col width="15.5" customWidth="1" min="8" max="8"/>
    <col width="19" customWidth="1" min="9" max="9"/>
  </cols>
  <sheetData>
    <row r="1" ht="16" customHeight="1">
      <c r="A1" s="19" t="inlineStr">
        <is>
          <t>Activity</t>
        </is>
      </c>
      <c r="B1" s="19" t="inlineStr">
        <is>
          <t>pig iron production, blast furnace, with carbon capture and storage</t>
        </is>
      </c>
      <c r="C1" s="21" t="n"/>
      <c r="D1" s="21" t="n"/>
      <c r="E1" s="21" t="n"/>
      <c r="F1" s="21" t="n"/>
      <c r="G1" s="21" t="n"/>
      <c r="H1" s="21" t="n"/>
    </row>
    <row r="2">
      <c r="A2" s="22" t="inlineStr">
        <is>
          <t>production amount</t>
        </is>
      </c>
      <c r="B2" s="22" t="n">
        <v>1</v>
      </c>
      <c r="C2" s="21" t="n"/>
      <c r="D2" s="21" t="n"/>
      <c r="E2" s="21" t="n"/>
      <c r="F2" s="21" t="n"/>
      <c r="G2" s="21" t="n"/>
      <c r="H2" s="21" t="n"/>
    </row>
    <row r="3">
      <c r="A3" s="22" t="inlineStr">
        <is>
          <t>location</t>
        </is>
      </c>
      <c r="B3" s="22" t="inlineStr">
        <is>
          <t>GLO</t>
        </is>
      </c>
      <c r="C3" s="21" t="n"/>
      <c r="D3" s="21" t="n"/>
      <c r="E3" s="21" t="n"/>
      <c r="F3" s="21" t="n"/>
      <c r="G3" s="21" t="n"/>
      <c r="H3" s="21" t="n"/>
    </row>
    <row r="4">
      <c r="A4" s="22" t="inlineStr">
        <is>
          <t>reference product</t>
        </is>
      </c>
      <c r="B4" s="22" t="inlineStr">
        <is>
          <t>pig iron</t>
        </is>
      </c>
      <c r="C4" s="21" t="n"/>
      <c r="D4" s="21" t="n"/>
      <c r="E4" s="21" t="n"/>
      <c r="F4" s="21" t="n"/>
      <c r="G4" s="21" t="n"/>
      <c r="H4" s="21" t="n"/>
    </row>
    <row r="5">
      <c r="A5" s="22" t="inlineStr">
        <is>
          <t>unit</t>
        </is>
      </c>
      <c r="B5" s="22" t="inlineStr">
        <is>
          <t>kilogram</t>
        </is>
      </c>
      <c r="C5" s="21" t="n"/>
      <c r="D5" s="21" t="n"/>
      <c r="E5" s="21" t="n"/>
      <c r="F5" s="21" t="n"/>
      <c r="G5" s="21" t="n"/>
      <c r="H5" s="21" t="n"/>
    </row>
    <row r="6">
      <c r="A6" s="22" t="inlineStr">
        <is>
          <t>comment</t>
        </is>
      </c>
      <c r="B6" s="22" t="inlineStr">
        <is>
          <t>This dataset, adapted from the ecoinvent 3.8 cutoff process "pig iron production" for the RER region, was modified by Harpprecht et al. (2025) to represent iron production via the blast furnace–basic oxygen furnace (BF-BOF) route with carbon capture using MEA-CCS. Based on parameters from IEAGHG (2013), 54% of CO₂ emissions are captured through MEA, corresponding to 0.71 kg CO₂ captured per kg of steel produced from the BF-BOF-CCS system. Additional modifications reduce particulate matter emissions by 50%, reflecting co-capture effects (Choi, 2013; Singh et al., 2011), eliminate SO₂ emissions through NaOH gas pretreatment (−100%), and reduce NOₓ emissions by 80% using ammonia scrubbing (Voldsund et al., 2019). These modifications reflect updates from Müller et al. (2024) and result in a more climate- and air-quality-friendly dataset, while maintaining compatibility with the original ecoinvent framework. Exchanges values set to zero are later populated by Premise.
References
Choi, H. D. (2013). Hybrid life cycle assessment of steel production with carbon capture and storage. NTNU. Link
IEAGHG (2013). Iron and Steel CCS Study (Techno-Economics Integrated Steel Mill). Report 2013/04.
Müller, A., Harpprecht, C., Sacchi, R., et al. (2024). Decarbonizing the cement industry: Findings from coupling prospective life cycle assessment of clinker with integrated assessment model scenarios. Journal of Cleaner Production, 450, 141884.
Singh, B., Strømman, A. H., &amp; Hertwich, E. G. (2011). Comparative life cycle environmental assessment of CCS technologies. International Journal of Greenhouse Gas Control, 5(4), 911–921. https://doi.org/10.1016/j.ijggc.2011.03.012
Voldsund, M. et al. (2019). CEMCAP Comparative Techno-Economic Analysis of CO₂ Capture in Cement Plants (D4.6).</t>
        </is>
      </c>
      <c r="C6" s="21" t="n"/>
      <c r="D6" s="21" t="n"/>
      <c r="E6" s="21" t="n"/>
      <c r="F6" s="21" t="n"/>
      <c r="G6" s="21" t="n"/>
      <c r="H6" s="21" t="n"/>
    </row>
    <row r="7">
      <c r="A7" s="22" t="inlineStr">
        <is>
          <t>source</t>
        </is>
      </c>
      <c r="B7" s="22" t="inlineStr">
        <is>
          <t>Harpprecht C., Sacchi R., Naegler T., et al. "Future environmental impacts of global iron and steel production". Energy Environ Sci. (2025). doi: 10.1039/D5EE01356A</t>
        </is>
      </c>
      <c r="C7" s="21" t="n"/>
      <c r="D7" s="21" t="n"/>
      <c r="E7" s="21" t="n"/>
      <c r="F7" s="21" t="n"/>
      <c r="G7" s="21" t="n"/>
      <c r="H7" s="21" t="n"/>
    </row>
    <row r="8" ht="16" customHeight="1">
      <c r="A8" s="19" t="inlineStr">
        <is>
          <t>Exchanges</t>
        </is>
      </c>
      <c r="B8" s="22" t="n"/>
      <c r="C8" s="21" t="n"/>
      <c r="D8" s="21" t="n"/>
      <c r="E8" s="21" t="n"/>
      <c r="F8" s="21" t="n"/>
      <c r="G8" s="21" t="n"/>
      <c r="H8" s="21" t="n"/>
    </row>
    <row r="9">
      <c r="A9" s="23" t="inlineStr">
        <is>
          <t>name</t>
        </is>
      </c>
      <c r="B9" s="23" t="inlineStr">
        <is>
          <t>amount</t>
        </is>
      </c>
      <c r="C9" s="23" t="inlineStr">
        <is>
          <t>database</t>
        </is>
      </c>
      <c r="D9" s="23" t="inlineStr">
        <is>
          <t>location</t>
        </is>
      </c>
      <c r="E9" s="23" t="inlineStr">
        <is>
          <t>unit</t>
        </is>
      </c>
      <c r="F9" s="23" t="inlineStr">
        <is>
          <t>categories</t>
        </is>
      </c>
      <c r="G9" s="23" t="inlineStr">
        <is>
          <t>type</t>
        </is>
      </c>
      <c r="H9" s="23" t="inlineStr">
        <is>
          <t>reference product</t>
        </is>
      </c>
      <c r="I9" s="23" t="inlineStr">
        <is>
          <t>comment</t>
        </is>
      </c>
      <c r="J9" s="20" t="inlineStr">
        <is>
          <t>uncertainty type</t>
        </is>
      </c>
      <c r="K9" s="20" t="inlineStr">
        <is>
          <t>pedigree</t>
        </is>
      </c>
      <c r="L9" s="20" t="inlineStr">
        <is>
          <t>loc</t>
        </is>
      </c>
      <c r="M9" s="20" t="inlineStr">
        <is>
          <t>scale</t>
        </is>
      </c>
      <c r="N9" s="20" t="inlineStr">
        <is>
          <t>formula</t>
        </is>
      </c>
      <c r="O9" s="20" t="inlineStr">
        <is>
          <t>replacement name</t>
        </is>
      </c>
      <c r="P9" s="20" t="inlineStr">
        <is>
          <t>replacement product</t>
        </is>
      </c>
      <c r="Q9" s="20" t="inlineStr">
        <is>
          <t>replacement location</t>
        </is>
      </c>
    </row>
    <row r="10">
      <c r="A10" s="24" t="inlineStr">
        <is>
          <t>pig iron production, blast furnace, with carbon capture and storage</t>
        </is>
      </c>
      <c r="B10" s="28" t="n">
        <v>1</v>
      </c>
      <c r="C10" s="22" t="inlineStr">
        <is>
          <t>steel_paper</t>
        </is>
      </c>
      <c r="D10" s="22" t="inlineStr">
        <is>
          <t>GLO</t>
        </is>
      </c>
      <c r="E10" s="22" t="inlineStr">
        <is>
          <t>kilogram</t>
        </is>
      </c>
      <c r="F10" s="22" t="n"/>
      <c r="G10" s="22" t="inlineStr">
        <is>
          <t>production</t>
        </is>
      </c>
      <c r="H10" s="22" t="inlineStr">
        <is>
          <t>pig iron</t>
        </is>
      </c>
    </row>
    <row r="11">
      <c r="A11" t="inlineStr">
        <is>
          <t>market for blast furnace</t>
        </is>
      </c>
      <c r="B11" s="29" t="n">
        <v>0</v>
      </c>
      <c r="C11" s="24" t="inlineStr">
        <is>
          <t>cutoff391</t>
        </is>
      </c>
      <c r="D11" t="inlineStr">
        <is>
          <t>GLO</t>
        </is>
      </c>
      <c r="E11" t="inlineStr">
        <is>
          <t>unit</t>
        </is>
      </c>
      <c r="G11" t="inlineStr">
        <is>
          <t>technosphere</t>
        </is>
      </c>
      <c r="H11" t="inlineStr">
        <is>
          <t>blast furnace</t>
        </is>
      </c>
      <c r="I1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11" t="inlineStr">
        <is>
          <t>pig iron production</t>
        </is>
      </c>
      <c r="P11" t="inlineStr">
        <is>
          <t>pig iron</t>
        </is>
      </c>
      <c r="Q11" t="inlineStr">
        <is>
          <t>RER</t>
        </is>
      </c>
    </row>
    <row r="12">
      <c r="A12" t="inlineStr">
        <is>
          <t>market for blast furnace dust</t>
        </is>
      </c>
      <c r="B12" s="29" t="n">
        <v>0</v>
      </c>
      <c r="C12" s="24" t="inlineStr">
        <is>
          <t>cutoff391</t>
        </is>
      </c>
      <c r="D12" t="inlineStr">
        <is>
          <t>RER</t>
        </is>
      </c>
      <c r="E12" t="inlineStr">
        <is>
          <t>kilogram</t>
        </is>
      </c>
      <c r="G12" t="inlineStr">
        <is>
          <t>technosphere</t>
        </is>
      </c>
      <c r="H12" t="inlineStr">
        <is>
          <t>blast furnace dust</t>
        </is>
      </c>
      <c r="I12"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2" t="inlineStr">
        <is>
          <t>pig iron production</t>
        </is>
      </c>
      <c r="P12" t="inlineStr">
        <is>
          <t>pig iron</t>
        </is>
      </c>
      <c r="Q12" t="inlineStr">
        <is>
          <t>RER</t>
        </is>
      </c>
    </row>
    <row r="13">
      <c r="A13" t="inlineStr">
        <is>
          <t>market for blast furnace slag</t>
        </is>
      </c>
      <c r="B13" s="29" t="n">
        <v>0.275</v>
      </c>
      <c r="C13" s="24" t="inlineStr">
        <is>
          <t>cutoff391</t>
        </is>
      </c>
      <c r="D13" t="inlineStr">
        <is>
          <t>GLO</t>
        </is>
      </c>
      <c r="E13" t="inlineStr">
        <is>
          <t>kilogram</t>
        </is>
      </c>
      <c r="G13" t="inlineStr">
        <is>
          <t>technosphere</t>
        </is>
      </c>
      <c r="H13" t="inlineStr">
        <is>
          <t>blast furnace slag</t>
        </is>
      </c>
      <c r="I13" t="inlineStr">
        <is>
          <t>Amount reported by worldsteel (2010) and is representative of the average global situation in 2009. Also based on worldsteel (2010), an internal recovery (recycling) rate of 0% is assumed. Source: Worldsteel (2010). Steel industry by-products. World Steel Association: Brussels, Belgium.</t>
        </is>
      </c>
    </row>
    <row r="14">
      <c r="A14" t="inlineStr">
        <is>
          <t>market for blast furnace sludge</t>
        </is>
      </c>
      <c r="B14" s="29" t="n">
        <v>0</v>
      </c>
      <c r="C14" s="24" t="inlineStr">
        <is>
          <t>cutoff391</t>
        </is>
      </c>
      <c r="D14" t="inlineStr">
        <is>
          <t>Europe without Switzerland</t>
        </is>
      </c>
      <c r="E14" t="inlineStr">
        <is>
          <t>kilogram</t>
        </is>
      </c>
      <c r="G14" t="inlineStr">
        <is>
          <t>technosphere</t>
        </is>
      </c>
      <c r="H14" t="inlineStr">
        <is>
          <t>blast furnace sludge</t>
        </is>
      </c>
      <c r="I14"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4" t="inlineStr">
        <is>
          <t>pig iron production</t>
        </is>
      </c>
      <c r="P14" t="inlineStr">
        <is>
          <t>pig iron</t>
        </is>
      </c>
      <c r="Q14" t="inlineStr">
        <is>
          <t>RER</t>
        </is>
      </c>
    </row>
    <row r="15">
      <c r="A15" t="inlineStr">
        <is>
          <t>market for blast furnace sludge</t>
        </is>
      </c>
      <c r="B15" s="29" t="n">
        <v>0</v>
      </c>
      <c r="C15" s="24" t="inlineStr">
        <is>
          <t>cutoff391</t>
        </is>
      </c>
      <c r="D15" t="inlineStr">
        <is>
          <t>CH</t>
        </is>
      </c>
      <c r="E15" t="inlineStr">
        <is>
          <t>kilogram</t>
        </is>
      </c>
      <c r="G15" t="inlineStr">
        <is>
          <t>technosphere</t>
        </is>
      </c>
      <c r="H15" t="inlineStr">
        <is>
          <t>blast furnace sludge</t>
        </is>
      </c>
      <c r="I15"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5" t="inlineStr">
        <is>
          <t>pig iron production</t>
        </is>
      </c>
      <c r="P15" t="inlineStr">
        <is>
          <t>pig iron</t>
        </is>
      </c>
      <c r="Q15" t="inlineStr">
        <is>
          <t>RER</t>
        </is>
      </c>
    </row>
    <row r="16">
      <c r="A16" t="inlineStr">
        <is>
          <t>market for coke</t>
        </is>
      </c>
      <c r="B16" s="29" t="n">
        <v>0</v>
      </c>
      <c r="C16" s="24" t="inlineStr">
        <is>
          <t>cutoff391</t>
        </is>
      </c>
      <c r="D16" t="inlineStr">
        <is>
          <t>GLO</t>
        </is>
      </c>
      <c r="E16" t="inlineStr">
        <is>
          <t>megajoule</t>
        </is>
      </c>
      <c r="G16" t="inlineStr">
        <is>
          <t>technosphere</t>
        </is>
      </c>
      <c r="H16" t="inlineStr">
        <is>
          <t>coke</t>
        </is>
      </c>
      <c r="I16"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16" t="inlineStr">
        <is>
          <t>pig iron production</t>
        </is>
      </c>
      <c r="P16" t="inlineStr">
        <is>
          <t>pig iron</t>
        </is>
      </c>
      <c r="Q16" t="inlineStr">
        <is>
          <t>RER</t>
        </is>
      </c>
    </row>
    <row r="17">
      <c r="A17" t="inlineStr">
        <is>
          <t>market for hard coal</t>
        </is>
      </c>
      <c r="B17" s="29" t="n">
        <v>0</v>
      </c>
      <c r="C17" s="24" t="inlineStr">
        <is>
          <t>cutoff391</t>
        </is>
      </c>
      <c r="D17" t="inlineStr">
        <is>
          <t>Europe, without Russia and Turkey</t>
        </is>
      </c>
      <c r="E17" t="inlineStr">
        <is>
          <t>kilogram</t>
        </is>
      </c>
      <c r="G17" t="inlineStr">
        <is>
          <t>technosphere</t>
        </is>
      </c>
      <c r="H17" t="inlineStr">
        <is>
          <t>hard coal</t>
        </is>
      </c>
      <c r="I17"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17" t="inlineStr">
        <is>
          <t>pig iron production</t>
        </is>
      </c>
      <c r="P17" t="inlineStr">
        <is>
          <t>pig iron</t>
        </is>
      </c>
      <c r="Q17" t="inlineStr">
        <is>
          <t>RER</t>
        </is>
      </c>
    </row>
    <row r="18">
      <c r="A18" t="inlineStr">
        <is>
          <t>market for inert waste, for final disposal</t>
        </is>
      </c>
      <c r="B18" s="29" t="n">
        <v>0</v>
      </c>
      <c r="C18" s="24" t="inlineStr">
        <is>
          <t>cutoff391</t>
        </is>
      </c>
      <c r="D18" t="inlineStr">
        <is>
          <t>CH</t>
        </is>
      </c>
      <c r="E18" t="inlineStr">
        <is>
          <t>kilogram</t>
        </is>
      </c>
      <c r="G18" t="inlineStr">
        <is>
          <t>technosphere</t>
        </is>
      </c>
      <c r="H18" t="inlineStr">
        <is>
          <t>inert waste, for final disposal</t>
        </is>
      </c>
      <c r="I18" t="inlineStr">
        <is>
          <t>geometric mean of Remus et al. (2013) data range</t>
        </is>
      </c>
      <c r="O18" t="inlineStr">
        <is>
          <t>pig iron production</t>
        </is>
      </c>
      <c r="P18" t="inlineStr">
        <is>
          <t>pig iron</t>
        </is>
      </c>
      <c r="Q18" t="inlineStr">
        <is>
          <t>RER</t>
        </is>
      </c>
    </row>
    <row r="19">
      <c r="A19" t="inlineStr">
        <is>
          <t>market for iron ore concentrate</t>
        </is>
      </c>
      <c r="B19" s="29" t="n">
        <v>0</v>
      </c>
      <c r="C19" s="24" t="inlineStr">
        <is>
          <t>cutoff391</t>
        </is>
      </c>
      <c r="D19" t="inlineStr">
        <is>
          <t>GLO</t>
        </is>
      </c>
      <c r="E19" t="inlineStr">
        <is>
          <t>kilogram</t>
        </is>
      </c>
      <c r="G19" t="inlineStr">
        <is>
          <t>technosphere</t>
        </is>
      </c>
      <c r="H19" t="inlineStr">
        <is>
          <t>iron ore concentrate</t>
        </is>
      </c>
      <c r="I19"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19" t="inlineStr">
        <is>
          <t>pig iron production</t>
        </is>
      </c>
      <c r="P19" t="inlineStr">
        <is>
          <t>pig iron</t>
        </is>
      </c>
      <c r="Q19" t="inlineStr">
        <is>
          <t>RER</t>
        </is>
      </c>
    </row>
    <row r="20">
      <c r="A20" t="inlineStr">
        <is>
          <t>market for iron pellet</t>
        </is>
      </c>
      <c r="B20" s="29" t="n">
        <v>0</v>
      </c>
      <c r="C20" s="24" t="inlineStr">
        <is>
          <t>cutoff391</t>
        </is>
      </c>
      <c r="D20" t="inlineStr">
        <is>
          <t>GLO</t>
        </is>
      </c>
      <c r="E20" t="inlineStr">
        <is>
          <t>kilogram</t>
        </is>
      </c>
      <c r="G20" t="inlineStr">
        <is>
          <t>technosphere</t>
        </is>
      </c>
      <c r="H20" t="inlineStr">
        <is>
          <t>iron pellet</t>
        </is>
      </c>
      <c r="I20"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0" t="inlineStr">
        <is>
          <t>pig iron production</t>
        </is>
      </c>
      <c r="P20" t="inlineStr">
        <is>
          <t>pig iron</t>
        </is>
      </c>
      <c r="Q20" t="inlineStr">
        <is>
          <t>RER</t>
        </is>
      </c>
    </row>
    <row r="21">
      <c r="A21" t="inlineStr">
        <is>
          <t>iron sinter production</t>
        </is>
      </c>
      <c r="B21" s="29" t="n">
        <v>0</v>
      </c>
      <c r="C21" s="24" t="inlineStr">
        <is>
          <t>cutoff391</t>
        </is>
      </c>
      <c r="D21" t="inlineStr">
        <is>
          <t>RER</t>
        </is>
      </c>
      <c r="E21" t="inlineStr">
        <is>
          <t>kilogram</t>
        </is>
      </c>
      <c r="G21" t="inlineStr">
        <is>
          <t>technosphere</t>
        </is>
      </c>
      <c r="H21" t="inlineStr">
        <is>
          <t>iron sinter</t>
        </is>
      </c>
      <c r="I2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1" t="inlineStr">
        <is>
          <t>pig iron production</t>
        </is>
      </c>
      <c r="P21" t="inlineStr">
        <is>
          <t>pig iron</t>
        </is>
      </c>
      <c r="Q21" t="inlineStr">
        <is>
          <t>RER</t>
        </is>
      </c>
    </row>
    <row r="22">
      <c r="A22" t="inlineStr">
        <is>
          <t>market for limestone, unprocessed</t>
        </is>
      </c>
      <c r="B22" s="29" t="n">
        <v>0</v>
      </c>
      <c r="C22" s="24" t="inlineStr">
        <is>
          <t>cutoff391</t>
        </is>
      </c>
      <c r="D22" t="inlineStr">
        <is>
          <t>CH</t>
        </is>
      </c>
      <c r="E22" t="inlineStr">
        <is>
          <t>kilogram</t>
        </is>
      </c>
      <c r="G22" t="inlineStr">
        <is>
          <t>technosphere</t>
        </is>
      </c>
      <c r="H22" t="inlineStr">
        <is>
          <t>limestone, unprocessed</t>
        </is>
      </c>
      <c r="I22"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2" t="inlineStr">
        <is>
          <t>pig iron production</t>
        </is>
      </c>
      <c r="P22" t="inlineStr">
        <is>
          <t>pig iron</t>
        </is>
      </c>
      <c r="Q22" t="inlineStr">
        <is>
          <t>RER</t>
        </is>
      </c>
    </row>
    <row r="23">
      <c r="A23" t="inlineStr">
        <is>
          <t>market group for natural gas, high pressure</t>
        </is>
      </c>
      <c r="B23" s="29" t="n">
        <v>0</v>
      </c>
      <c r="C23" s="24" t="inlineStr">
        <is>
          <t>cutoff391</t>
        </is>
      </c>
      <c r="D23" t="inlineStr">
        <is>
          <t>Europe without Switzerland</t>
        </is>
      </c>
      <c r="E23" t="inlineStr">
        <is>
          <t>cubic meter</t>
        </is>
      </c>
      <c r="G23" t="inlineStr">
        <is>
          <t>technosphere</t>
        </is>
      </c>
      <c r="H23" t="inlineStr">
        <is>
          <t>natural gas, high pressure</t>
        </is>
      </c>
      <c r="I23"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3" t="inlineStr">
        <is>
          <t>pig iron production</t>
        </is>
      </c>
      <c r="P23" t="inlineStr">
        <is>
          <t>pig iron</t>
        </is>
      </c>
      <c r="Q23" t="inlineStr">
        <is>
          <t>RER</t>
        </is>
      </c>
    </row>
    <row r="24">
      <c r="A24" t="inlineStr">
        <is>
          <t>market for natural gas, high pressure</t>
        </is>
      </c>
      <c r="B24" s="29" t="n">
        <v>0</v>
      </c>
      <c r="C24" s="24" t="inlineStr">
        <is>
          <t>cutoff391</t>
        </is>
      </c>
      <c r="D24" t="inlineStr">
        <is>
          <t>CH</t>
        </is>
      </c>
      <c r="E24" t="inlineStr">
        <is>
          <t>cubic meter</t>
        </is>
      </c>
      <c r="G24" t="inlineStr">
        <is>
          <t>technosphere</t>
        </is>
      </c>
      <c r="H24" t="inlineStr">
        <is>
          <t>natural gas, high pressure</t>
        </is>
      </c>
      <c r="I24"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4" t="inlineStr">
        <is>
          <t>pig iron production</t>
        </is>
      </c>
      <c r="P24" t="inlineStr">
        <is>
          <t>pig iron</t>
        </is>
      </c>
      <c r="Q24" t="inlineStr">
        <is>
          <t>RER</t>
        </is>
      </c>
    </row>
    <row r="25">
      <c r="A25" t="inlineStr">
        <is>
          <t>market for refractory, fireclay, packed</t>
        </is>
      </c>
      <c r="B25" s="29" t="n">
        <v>0</v>
      </c>
      <c r="C25" s="24" t="inlineStr">
        <is>
          <t>cutoff391</t>
        </is>
      </c>
      <c r="D25" t="inlineStr">
        <is>
          <t>GLO</t>
        </is>
      </c>
      <c r="E25" t="inlineStr">
        <is>
          <t>kilogram</t>
        </is>
      </c>
      <c r="G25" t="inlineStr">
        <is>
          <t>technosphere</t>
        </is>
      </c>
      <c r="H25" t="inlineStr">
        <is>
          <t>refractory, fireclay, packed</t>
        </is>
      </c>
      <c r="I25"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5" t="inlineStr">
        <is>
          <t>pig iron production</t>
        </is>
      </c>
      <c r="P25" t="inlineStr">
        <is>
          <t>pig iron</t>
        </is>
      </c>
      <c r="Q25" t="inlineStr">
        <is>
          <t>RER</t>
        </is>
      </c>
    </row>
    <row r="26">
      <c r="A26" t="inlineStr">
        <is>
          <t>market for wastewater from pig iron production</t>
        </is>
      </c>
      <c r="B26" s="29" t="n">
        <v>0</v>
      </c>
      <c r="C26" s="24" t="inlineStr">
        <is>
          <t>cutoff391</t>
        </is>
      </c>
      <c r="D26" t="inlineStr">
        <is>
          <t>Europe without Switzerland</t>
        </is>
      </c>
      <c r="E26" t="inlineStr">
        <is>
          <t>cubic meter</t>
        </is>
      </c>
      <c r="G26" t="inlineStr">
        <is>
          <t>technosphere</t>
        </is>
      </c>
      <c r="H26" t="inlineStr">
        <is>
          <t>wastewater from pig iron production</t>
        </is>
      </c>
      <c r="I26" t="inlineStr">
        <is>
          <t>geometric mean of Remus et al. (2013) data range</t>
        </is>
      </c>
      <c r="O26" t="inlineStr">
        <is>
          <t>pig iron production</t>
        </is>
      </c>
      <c r="P26" t="inlineStr">
        <is>
          <t>pig iron</t>
        </is>
      </c>
      <c r="Q26" t="inlineStr">
        <is>
          <t>RER</t>
        </is>
      </c>
    </row>
    <row r="27">
      <c r="A27" t="inlineStr">
        <is>
          <t>market for wastewater from pig iron production</t>
        </is>
      </c>
      <c r="B27" s="29" t="n">
        <v>0</v>
      </c>
      <c r="C27" s="24" t="inlineStr">
        <is>
          <t>cutoff391</t>
        </is>
      </c>
      <c r="D27" t="inlineStr">
        <is>
          <t>CH</t>
        </is>
      </c>
      <c r="E27" t="inlineStr">
        <is>
          <t>cubic meter</t>
        </is>
      </c>
      <c r="G27" t="inlineStr">
        <is>
          <t>technosphere</t>
        </is>
      </c>
      <c r="H27" t="inlineStr">
        <is>
          <t>wastewater from pig iron production</t>
        </is>
      </c>
      <c r="I27" t="inlineStr">
        <is>
          <t>geometric mean of Remus et al. (2013) data range</t>
        </is>
      </c>
      <c r="O27" t="inlineStr">
        <is>
          <t>pig iron production</t>
        </is>
      </c>
      <c r="P27" t="inlineStr">
        <is>
          <t>pig iron</t>
        </is>
      </c>
      <c r="Q27" t="inlineStr">
        <is>
          <t>RER</t>
        </is>
      </c>
    </row>
    <row r="28">
      <c r="A28" t="inlineStr">
        <is>
          <t>Carbon dioxide, fossil</t>
        </is>
      </c>
      <c r="B28" s="29" t="n">
        <v>0</v>
      </c>
      <c r="C28" t="inlineStr">
        <is>
          <t>biosphere3</t>
        </is>
      </c>
      <c r="E28" t="inlineStr">
        <is>
          <t>kilogram</t>
        </is>
      </c>
      <c r="F28" t="inlineStr">
        <is>
          <t>air</t>
        </is>
      </c>
      <c r="G28" t="inlineStr">
        <is>
          <t>biosphere</t>
        </is>
      </c>
      <c r="I28"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28" t="inlineStr">
        <is>
          <t>CO2</t>
        </is>
      </c>
      <c r="O28" t="inlineStr">
        <is>
          <t>pig iron production</t>
        </is>
      </c>
      <c r="P28" t="inlineStr">
        <is>
          <t>pig iron</t>
        </is>
      </c>
      <c r="Q28" t="inlineStr">
        <is>
          <t>RER</t>
        </is>
      </c>
    </row>
    <row r="29">
      <c r="A29" t="inlineStr">
        <is>
          <t>Carbon monoxide, fossil</t>
        </is>
      </c>
      <c r="B29" s="29" t="n">
        <v>0</v>
      </c>
      <c r="C29" t="inlineStr">
        <is>
          <t>biosphere3</t>
        </is>
      </c>
      <c r="E29" t="inlineStr">
        <is>
          <t>kilogram</t>
        </is>
      </c>
      <c r="F29" t="inlineStr">
        <is>
          <t>air</t>
        </is>
      </c>
      <c r="G29" t="inlineStr">
        <is>
          <t>biosphere</t>
        </is>
      </c>
      <c r="I29"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29" t="inlineStr">
        <is>
          <t>CO</t>
        </is>
      </c>
      <c r="O29" t="inlineStr">
        <is>
          <t>pig iron production</t>
        </is>
      </c>
      <c r="P29" t="inlineStr">
        <is>
          <t>pig iron</t>
        </is>
      </c>
      <c r="Q29" t="inlineStr">
        <is>
          <t>RER</t>
        </is>
      </c>
    </row>
    <row r="30">
      <c r="A30" t="inlineStr">
        <is>
          <t>Dioxins, measured as 2,3,7,8-tetrachlorodibenzo-p-dioxin</t>
        </is>
      </c>
      <c r="B30" s="29" t="n">
        <v>0</v>
      </c>
      <c r="C30" t="inlineStr">
        <is>
          <t>biosphere3</t>
        </is>
      </c>
      <c r="E30" t="inlineStr">
        <is>
          <t>kilogram</t>
        </is>
      </c>
      <c r="F30" t="inlineStr">
        <is>
          <t>air</t>
        </is>
      </c>
      <c r="G30" t="inlineStr">
        <is>
          <t>biosphere</t>
        </is>
      </c>
      <c r="I30"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0" t="inlineStr">
        <is>
          <t>C12H4Cl4O2</t>
        </is>
      </c>
      <c r="O30" t="inlineStr">
        <is>
          <t>pig iron production</t>
        </is>
      </c>
      <c r="P30" t="inlineStr">
        <is>
          <t>pig iron</t>
        </is>
      </c>
      <c r="Q30" t="inlineStr">
        <is>
          <t>RER</t>
        </is>
      </c>
    </row>
    <row r="31">
      <c r="A31" t="inlineStr">
        <is>
          <t>Hydrogen sulfide</t>
        </is>
      </c>
      <c r="B31" s="29" t="n">
        <v>0</v>
      </c>
      <c r="C31" t="inlineStr">
        <is>
          <t>biosphere3</t>
        </is>
      </c>
      <c r="E31" t="inlineStr">
        <is>
          <t>kilogram</t>
        </is>
      </c>
      <c r="F31" t="inlineStr">
        <is>
          <t>air</t>
        </is>
      </c>
      <c r="G31" t="inlineStr">
        <is>
          <t>biosphere</t>
        </is>
      </c>
      <c r="I3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1" t="inlineStr">
        <is>
          <t>H2S</t>
        </is>
      </c>
      <c r="O31" t="inlineStr">
        <is>
          <t>pig iron production</t>
        </is>
      </c>
      <c r="P31" t="inlineStr">
        <is>
          <t>pig iron</t>
        </is>
      </c>
      <c r="Q31" t="inlineStr">
        <is>
          <t>RER</t>
        </is>
      </c>
    </row>
    <row r="32">
      <c r="A32" t="inlineStr">
        <is>
          <t>Lead</t>
        </is>
      </c>
      <c r="B32" s="29" t="n">
        <v>0</v>
      </c>
      <c r="C32" t="inlineStr">
        <is>
          <t>biosphere3</t>
        </is>
      </c>
      <c r="E32" t="inlineStr">
        <is>
          <t>kilogram</t>
        </is>
      </c>
      <c r="F32" t="inlineStr">
        <is>
          <t>air</t>
        </is>
      </c>
      <c r="G32" t="inlineStr">
        <is>
          <t>biosphere</t>
        </is>
      </c>
      <c r="I32"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2" t="inlineStr">
        <is>
          <t>Pb</t>
        </is>
      </c>
      <c r="O32" t="inlineStr">
        <is>
          <t>pig iron production</t>
        </is>
      </c>
      <c r="P32" t="inlineStr">
        <is>
          <t>pig iron</t>
        </is>
      </c>
      <c r="Q32" t="inlineStr">
        <is>
          <t>RER</t>
        </is>
      </c>
    </row>
    <row r="33">
      <c r="A33" t="inlineStr">
        <is>
          <t>Manganese</t>
        </is>
      </c>
      <c r="B33" s="29" t="n">
        <v>0</v>
      </c>
      <c r="C33" t="inlineStr">
        <is>
          <t>biosphere3</t>
        </is>
      </c>
      <c r="E33" t="inlineStr">
        <is>
          <t>kilogram</t>
        </is>
      </c>
      <c r="F33" t="inlineStr">
        <is>
          <t>air</t>
        </is>
      </c>
      <c r="G33" t="inlineStr">
        <is>
          <t>biosphere</t>
        </is>
      </c>
      <c r="I33"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3" t="inlineStr">
        <is>
          <t>Mn</t>
        </is>
      </c>
      <c r="O33" t="inlineStr">
        <is>
          <t>pig iron production</t>
        </is>
      </c>
      <c r="P33" t="inlineStr">
        <is>
          <t>pig iron</t>
        </is>
      </c>
      <c r="Q33" t="inlineStr">
        <is>
          <t>RER</t>
        </is>
      </c>
    </row>
    <row r="34">
      <c r="A34" t="inlineStr">
        <is>
          <t>Nickel</t>
        </is>
      </c>
      <c r="B34" s="29" t="n">
        <v>0</v>
      </c>
      <c r="C34" t="inlineStr">
        <is>
          <t>biosphere3</t>
        </is>
      </c>
      <c r="E34" t="inlineStr">
        <is>
          <t>kilogram</t>
        </is>
      </c>
      <c r="F34" t="inlineStr">
        <is>
          <t>air</t>
        </is>
      </c>
      <c r="G34" t="inlineStr">
        <is>
          <t>biosphere</t>
        </is>
      </c>
      <c r="I34"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4" t="inlineStr">
        <is>
          <t>Ni</t>
        </is>
      </c>
      <c r="O34" t="inlineStr">
        <is>
          <t>pig iron production</t>
        </is>
      </c>
      <c r="P34" t="inlineStr">
        <is>
          <t>pig iron</t>
        </is>
      </c>
      <c r="Q34" t="inlineStr">
        <is>
          <t>RER</t>
        </is>
      </c>
    </row>
    <row r="35" ht="14" customHeight="1">
      <c r="A35" t="inlineStr">
        <is>
          <t>Nitrogen oxides</t>
        </is>
      </c>
      <c r="B35" s="40">
        <f>0.000079787*(1-0.8)</f>
        <v>1.5957399999999997E-5</v>
      </c>
      <c r="C35" t="inlineStr">
        <is>
          <t>biosphere3</t>
        </is>
      </c>
      <c r="E35" t="inlineStr">
        <is>
          <t>kilogram</t>
        </is>
      </c>
      <c r="F35" t="inlineStr">
        <is>
          <t>air</t>
        </is>
      </c>
      <c r="G35" t="inlineStr">
        <is>
          <t>biosphere</t>
        </is>
      </c>
      <c r="I35" t="inlineStr">
        <is>
          <t>&gt; Modifications (2025): reduced by 80% due to gas treatment of CCS using ammonia (Voldsund et al. 2019, page 93: 80% NOx reduction)
&gt; original was: 0.000079787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5" t="n">
        <v>2</v>
      </c>
      <c r="K35" t="inlineStr">
        <is>
          <t>(2, 3, 2, 3, 1, 1)</t>
        </is>
      </c>
      <c r="L35" t="n">
        <v>-9.43614997404751</v>
      </c>
      <c r="M35" t="n">
        <v>0.203715487874633</v>
      </c>
      <c r="N35" t="inlineStr">
        <is>
          <t>H3NO</t>
        </is>
      </c>
    </row>
    <row r="36" ht="14" customHeight="1">
      <c r="A36" t="inlineStr">
        <is>
          <t>Particulates, &lt; 2.5 um</t>
        </is>
      </c>
      <c r="B36" s="40">
        <f>0.000028723*(1-0.5)</f>
        <v>1.43615E-5</v>
      </c>
      <c r="C36" t="inlineStr">
        <is>
          <t>biosphere3</t>
        </is>
      </c>
      <c r="E36" t="inlineStr">
        <is>
          <t>kilogram</t>
        </is>
      </c>
      <c r="F36" t="inlineStr">
        <is>
          <t>air</t>
        </is>
      </c>
      <c r="G36" t="inlineStr">
        <is>
          <t>biosphere</t>
        </is>
      </c>
      <c r="I36" t="inlineStr">
        <is>
          <t>&gt; Modifications (2025): reduced by 50% due to CCS which also co-captures particulates (Choi 2013, Table 5 based on (Singh et al. 2011))
&gt; original was: 0.000028723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6" t="n">
        <v>2</v>
      </c>
      <c r="K36" t="inlineStr">
        <is>
          <t>(2, 3, 2, 3, 1, 1)</t>
        </is>
      </c>
      <c r="L36" t="n">
        <v>-10.4578123624149</v>
      </c>
      <c r="M36" t="n">
        <v>0.549090156531693</v>
      </c>
    </row>
    <row r="37" ht="14" customHeight="1">
      <c r="A37" t="inlineStr">
        <is>
          <t>Particulates, &gt; 10 um</t>
        </is>
      </c>
      <c r="B37" s="40">
        <f>0.0000015957*(1-0.5)</f>
        <v>7.9785000000000001E-7</v>
      </c>
      <c r="C37" t="inlineStr">
        <is>
          <t>biosphere3</t>
        </is>
      </c>
      <c r="E37" t="inlineStr">
        <is>
          <t>kilogram</t>
        </is>
      </c>
      <c r="F37" t="inlineStr">
        <is>
          <t>air</t>
        </is>
      </c>
      <c r="G37" t="inlineStr">
        <is>
          <t>biosphere</t>
        </is>
      </c>
      <c r="I37" t="inlineStr">
        <is>
          <t>&gt; Modifications (2025): reduced by 50% due to CCS which also co-captures particulates (Choi 2013, Table 5 based on (Singh et al. 2011))
&gt; original was: 0.0000015957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7" t="n">
        <v>2</v>
      </c>
      <c r="K37" t="inlineStr">
        <is>
          <t>(2, 3, 2, 3, 1, 1)</t>
        </is>
      </c>
      <c r="L37" t="n">
        <v>-13.34819804653</v>
      </c>
      <c r="M37" t="n">
        <v>0.203715487874633</v>
      </c>
    </row>
    <row r="38" ht="14" customHeight="1">
      <c r="A38" t="inlineStr">
        <is>
          <t>Particulates, &gt; 2.5 um, and &lt; 10um</t>
        </is>
      </c>
      <c r="B38" s="40">
        <f>0.0000015957*(1-0.5)</f>
        <v>7.9785000000000001E-7</v>
      </c>
      <c r="C38" t="inlineStr">
        <is>
          <t>biosphere3</t>
        </is>
      </c>
      <c r="E38" t="inlineStr">
        <is>
          <t>kilogram</t>
        </is>
      </c>
      <c r="F38" t="inlineStr">
        <is>
          <t>air</t>
        </is>
      </c>
      <c r="G38" t="inlineStr">
        <is>
          <t>biosphere</t>
        </is>
      </c>
      <c r="I38" t="inlineStr">
        <is>
          <t>&gt; Modifications (2025): reduced by 50% due to CCS which also co-captures particulates (Choi 2013, Table 5 based on (Singh et al. 2011))
&gt; original was: 0.0000015957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8" t="n">
        <v>2</v>
      </c>
      <c r="K38" t="inlineStr">
        <is>
          <t>(2, 3, 2, 3, 1, 1)</t>
        </is>
      </c>
      <c r="L38" t="n">
        <v>-13.34819804653</v>
      </c>
      <c r="M38" t="n">
        <v>0.348568501158667</v>
      </c>
    </row>
    <row r="39" ht="14" customHeight="1">
      <c r="A39" t="inlineStr">
        <is>
          <t>Water</t>
        </is>
      </c>
      <c r="B39" s="29" t="n">
        <v>0</v>
      </c>
      <c r="C39" t="inlineStr">
        <is>
          <t>biosphere3</t>
        </is>
      </c>
      <c r="E39" t="inlineStr">
        <is>
          <t>cubic meter</t>
        </is>
      </c>
      <c r="F39" t="inlineStr">
        <is>
          <t>air</t>
        </is>
      </c>
      <c r="G39" t="inlineStr">
        <is>
          <t>biosphere</t>
        </is>
      </c>
      <c r="I39" t="inlineStr">
        <is>
          <t>Calculated value based on literature values and expert opinion. See comments in the parametres' comment field.</t>
        </is>
      </c>
      <c r="N39" t="inlineStr">
        <is>
          <t>H2O</t>
        </is>
      </c>
      <c r="O39" t="inlineStr">
        <is>
          <t>pig iron production</t>
        </is>
      </c>
      <c r="P39" t="inlineStr">
        <is>
          <t>pig iron</t>
        </is>
      </c>
      <c r="Q39" t="inlineStr">
        <is>
          <t>RER</t>
        </is>
      </c>
    </row>
    <row r="40" ht="14" customHeight="1">
      <c r="A40" t="inlineStr">
        <is>
          <t>Water</t>
        </is>
      </c>
      <c r="B40" s="29" t="n">
        <v>0</v>
      </c>
      <c r="C40" t="inlineStr">
        <is>
          <t>biosphere3</t>
        </is>
      </c>
      <c r="E40" t="inlineStr">
        <is>
          <t>cubic meter</t>
        </is>
      </c>
      <c r="F40" t="inlineStr">
        <is>
          <t>water</t>
        </is>
      </c>
      <c r="G40" t="inlineStr">
        <is>
          <t>biosphere</t>
        </is>
      </c>
      <c r="I40" t="inlineStr">
        <is>
          <t>Calculated value based on literature values and expert opinion. See comments in the parametres' comment field.</t>
        </is>
      </c>
      <c r="N40" t="inlineStr">
        <is>
          <t>H2O</t>
        </is>
      </c>
      <c r="O40" t="inlineStr">
        <is>
          <t>pig iron production</t>
        </is>
      </c>
      <c r="P40" t="inlineStr">
        <is>
          <t>pig iron</t>
        </is>
      </c>
      <c r="Q40" t="inlineStr">
        <is>
          <t>RER</t>
        </is>
      </c>
    </row>
    <row r="41" ht="14" customHeight="1">
      <c r="A41" t="inlineStr">
        <is>
          <t>Water, cooling, unspecified natural origin</t>
        </is>
      </c>
      <c r="B41" s="29" t="n">
        <v>0</v>
      </c>
      <c r="C41" t="inlineStr">
        <is>
          <t>biosphere3</t>
        </is>
      </c>
      <c r="E41" t="inlineStr">
        <is>
          <t>cubic meter</t>
        </is>
      </c>
      <c r="F41" t="inlineStr">
        <is>
          <t>natural resource::in water</t>
        </is>
      </c>
      <c r="G41" t="inlineStr">
        <is>
          <t>biosphere</t>
        </is>
      </c>
      <c r="I41" t="inlineStr">
        <is>
          <t>Calculated based on literature, (Vionnet, S., Quantis Water Database - Technical Report, 2012).</t>
        </is>
      </c>
      <c r="N41" t="inlineStr">
        <is>
          <t>H2O</t>
        </is>
      </c>
      <c r="O41" t="inlineStr">
        <is>
          <t>pig iron production</t>
        </is>
      </c>
      <c r="P41" t="inlineStr">
        <is>
          <t>pig iron</t>
        </is>
      </c>
      <c r="Q41" t="inlineStr">
        <is>
          <t>RER</t>
        </is>
      </c>
    </row>
    <row r="42" ht="14" customHeight="1">
      <c r="A42" t="inlineStr">
        <is>
          <t>Water, unspecified natural origin</t>
        </is>
      </c>
      <c r="B42" s="29" t="n">
        <v>0</v>
      </c>
      <c r="C42" t="inlineStr">
        <is>
          <t>biosphere3</t>
        </is>
      </c>
      <c r="E42" t="inlineStr">
        <is>
          <t>cubic meter</t>
        </is>
      </c>
      <c r="F42" t="inlineStr">
        <is>
          <t>natural resource::in water</t>
        </is>
      </c>
      <c r="G42" t="inlineStr">
        <is>
          <t>biosphere</t>
        </is>
      </c>
      <c r="I42" t="inlineStr">
        <is>
          <t>Based on literature, (Vionnet, S., Quantis Water Database - Technical Report, 2012). based on literature, (Vionnet, S., Quantis Water Database - Technical Report, 2012).</t>
        </is>
      </c>
      <c r="N42" t="inlineStr">
        <is>
          <t>H2O</t>
        </is>
      </c>
      <c r="O42" t="inlineStr">
        <is>
          <t>pig iron production</t>
        </is>
      </c>
      <c r="P42" t="inlineStr">
        <is>
          <t>pig iron</t>
        </is>
      </c>
      <c r="Q42" t="inlineStr">
        <is>
          <t>RER</t>
        </is>
      </c>
    </row>
    <row r="43" ht="14" customHeight="1">
      <c r="A43" t="inlineStr">
        <is>
          <t>carbon dioxide, captured at pig iron production plant, using monoethanolamine</t>
        </is>
      </c>
      <c r="B43" s="67">
        <f>(0.5*1.322*0.54/(1-0.54))/1.1</f>
        <v>0.70541501976284593</v>
      </c>
      <c r="C43" t="inlineStr">
        <is>
          <t>steel_paper</t>
        </is>
      </c>
      <c r="D43" t="inlineStr">
        <is>
          <t>GLO</t>
        </is>
      </c>
      <c r="E43" t="inlineStr">
        <is>
          <t>kilogram</t>
        </is>
      </c>
      <c r="G43" t="inlineStr">
        <is>
          <t>technosphere</t>
        </is>
      </c>
      <c r="H43" t="inlineStr">
        <is>
          <t>carbon dioxide, captured</t>
        </is>
      </c>
      <c r="I43" s="32" t="inlineStr">
        <is>
          <t xml:space="preserve"> &gt; Modifications (2025): added the process of MEA-CCS: 0.85 kg CO2 emitted in original BF ecoinvent process and 1.32 kg CO2/kg steel from BOF; if only major emission sources within the system boundary of IEAGHG 2013 are considered. 1.1 kg pig iron / kg steel from BOF. BF-BOF-CCS are assumed to be reduced by 54% through CCS via MEA (IEAGHG 2013)  = [0.5*1.32*0.54/(1-0.54)]/1.1 = 0.71 kg CO2 captured in BF/kg steel from BF-BOF-CCS.
&gt; original was: 0 </t>
        </is>
      </c>
    </row>
    <row r="44" ht="13.5" customHeight="1"/>
    <row r="45">
      <c r="A45" s="20" t="inlineStr">
        <is>
          <t>Activity</t>
        </is>
      </c>
      <c r="B45" s="20" t="inlineStr">
        <is>
          <t>carbon dioxide, captured at pig iron production plant, using monoethanolamine</t>
        </is>
      </c>
      <c r="C45" s="25" t="n"/>
      <c r="D45" s="25" t="n"/>
      <c r="E45" s="25" t="n"/>
      <c r="F45" s="25" t="n"/>
      <c r="G45" s="25" t="n"/>
      <c r="H45" s="25" t="n"/>
      <c r="I45" s="25" t="n"/>
      <c r="J45" s="25" t="n"/>
    </row>
    <row r="46">
      <c r="A46" s="25" t="inlineStr">
        <is>
          <t>comment</t>
        </is>
      </c>
      <c r="B46" s="25" t="inlineStr">
        <is>
          <t>This dataset, reused and modified by Harpprecht et al. (2025), is based on Müller et al. (2024), which in turn draws on data from Voldsund et al. (2019), and describes the capture of 1 kg of CO₂ from two point sources—blast furnace hot stoves and a dedicated steam generation plant—using post-combustion MEA capture, following Case 2A from IEAGHG (2013). Notably, the steam generation plant exists only in the CCS scenario, where it provides the additional energy needed for capture (IEAGHG, 2013, Table 1, p.13). Transport and storage steps are sourced from Premise inventories. Relative to Müller et al. (2024), Harpprecht et al. (2025) modified the dataset by relocating all auxiliary inputs and outputs into a separate process labeled "auxiliary inputs for CCS via MEA." This structure enables greater modularity and transparency in modeling. Supporting references include data on co-capture of trace elements and emissions from Choi (2013), Singh et al. (2011), and Moser et al. (2011), ensuring a consistent and comprehensive LCA representation.  Exchanges values set to zero are later populated by Premise.
References
Choi, H. D. (2013). Hybrid life cycle assessment of steel production with carbon capture and storage. NTNU. Link
IEAGHG (2013). Iron and Steel CCS Study (Techno-Economics Integrated Steel Mill). Report 2013/04.
Moser, P., Schmidt, S., &amp; Stahl, K. (2011). Investigation of trace elements in the inlet and outlet streams of a MEA-based post-combustion capture process: results from the test programme at the Niederaussem pilot plant. Energy Procedia, 4, 473–479. https://doi.org/10.1016/j.egypro.2011.01.007
Müller, A., Harpprecht, C., Sacchi, R., et al. (2024). Decarbonizing the cement industry: Findings from coupling prospective life cycle assessment of clinker with integrated assessment model scenarios. Journal of Cleaner Production, 450, 141884.
Singh, B., Strømman, A. H., &amp; Hertwich, E. G. (2011). Comparative life cycle environmental assessment of CCS technologies. International Journal of Greenhouse Gas Control, 5(4), 911–921. https://doi.org/10.1016/j.ijggc.2011.03.012
Voldsund, M. et al. (2019). CEMCAP Comparative Techno-Economic Analysis of CO₂ Capture in Cement Plants (D4.6).</t>
        </is>
      </c>
      <c r="C46" s="25" t="n"/>
      <c r="D46" s="25" t="n"/>
      <c r="E46" s="25" t="n"/>
      <c r="F46" s="25" t="n"/>
      <c r="G46" s="25" t="n"/>
      <c r="H46" s="25" t="n"/>
      <c r="I46" s="25" t="n"/>
      <c r="J46" s="25" t="n"/>
    </row>
    <row r="47">
      <c r="A47" s="22" t="inlineStr">
        <is>
          <t>source</t>
        </is>
      </c>
      <c r="B47" s="22" t="inlineStr">
        <is>
          <t>Harpprecht C., Sacchi R., Naegler T., et al. "Future environmental impacts of global iron and steel production". Energy Environ Sci. (2025). doi: 10.1039/D5EE01356A</t>
        </is>
      </c>
      <c r="C47" s="21" t="n"/>
      <c r="D47" s="21" t="n"/>
      <c r="E47" s="21" t="n"/>
      <c r="F47" s="21" t="n"/>
      <c r="G47" s="21" t="n"/>
      <c r="H47" s="21" t="n"/>
    </row>
    <row r="48">
      <c r="A48" s="25" t="inlineStr">
        <is>
          <t>location</t>
        </is>
      </c>
      <c r="B48" s="25" t="inlineStr">
        <is>
          <t>GLO</t>
        </is>
      </c>
      <c r="C48" s="25" t="n"/>
      <c r="D48" s="25" t="n"/>
      <c r="E48" s="25" t="n"/>
      <c r="F48" s="25" t="n"/>
      <c r="G48" s="25" t="n"/>
      <c r="H48" s="25" t="n"/>
      <c r="I48" s="25" t="n"/>
      <c r="J48" s="25" t="n"/>
    </row>
    <row r="49">
      <c r="A49" s="25" t="inlineStr">
        <is>
          <t>reference product</t>
        </is>
      </c>
      <c r="B49" s="25" t="inlineStr">
        <is>
          <t>carbon dioxide, captured</t>
        </is>
      </c>
      <c r="C49" s="25" t="n"/>
      <c r="D49" s="25" t="n"/>
      <c r="E49" s="25" t="n"/>
      <c r="F49" s="25" t="n"/>
      <c r="G49" s="25" t="n"/>
      <c r="H49" s="25" t="n"/>
      <c r="I49" s="25" t="n"/>
      <c r="J49" s="25" t="n"/>
    </row>
    <row r="50">
      <c r="A50" s="25" t="inlineStr">
        <is>
          <t>unit</t>
        </is>
      </c>
      <c r="B50" s="25" t="inlineStr">
        <is>
          <t>kilogram</t>
        </is>
      </c>
      <c r="C50" s="25" t="n"/>
      <c r="D50" s="25" t="n"/>
      <c r="E50" s="25" t="n"/>
      <c r="F50" s="25" t="n"/>
      <c r="G50" s="25" t="n"/>
      <c r="H50" s="25" t="n"/>
      <c r="I50" s="25" t="n"/>
      <c r="J50" s="25" t="n"/>
    </row>
    <row r="51" ht="16" customHeight="1">
      <c r="A51" s="33" t="inlineStr">
        <is>
          <t>Exchanges</t>
        </is>
      </c>
      <c r="B51" s="25" t="n"/>
      <c r="C51" s="25" t="n"/>
      <c r="D51" s="25" t="n"/>
      <c r="E51" s="25" t="n"/>
      <c r="F51" s="25" t="n"/>
      <c r="G51" s="25" t="n"/>
      <c r="H51" s="25" t="n"/>
      <c r="I51" s="25" t="n"/>
      <c r="J51" s="25" t="n"/>
    </row>
    <row r="52">
      <c r="A52" s="34" t="inlineStr">
        <is>
          <t>name</t>
        </is>
      </c>
      <c r="B52" s="34" t="inlineStr">
        <is>
          <t>amount</t>
        </is>
      </c>
      <c r="C52" s="34" t="inlineStr">
        <is>
          <t>database</t>
        </is>
      </c>
      <c r="D52" s="34" t="inlineStr">
        <is>
          <t>location</t>
        </is>
      </c>
      <c r="E52" s="34" t="inlineStr">
        <is>
          <t>unit</t>
        </is>
      </c>
      <c r="F52" s="34" t="inlineStr">
        <is>
          <t>categories</t>
        </is>
      </c>
      <c r="G52" s="34" t="inlineStr">
        <is>
          <t>type</t>
        </is>
      </c>
      <c r="H52" s="34" t="inlineStr">
        <is>
          <t>reference product</t>
        </is>
      </c>
      <c r="I52" s="34" t="inlineStr">
        <is>
          <t>comment</t>
        </is>
      </c>
      <c r="J52" s="25" t="n"/>
    </row>
    <row r="53">
      <c r="A53" t="inlineStr">
        <is>
          <t>carbon dioxide, captured at pig iron production plant, using monoethanolamine</t>
        </is>
      </c>
      <c r="B53" s="68" t="n">
        <v>1</v>
      </c>
      <c r="C53" s="22" t="inlineStr">
        <is>
          <t>steel_paper</t>
        </is>
      </c>
      <c r="D53" s="25" t="inlineStr">
        <is>
          <t>GLO</t>
        </is>
      </c>
      <c r="E53" s="25" t="inlineStr">
        <is>
          <t>kilogram</t>
        </is>
      </c>
      <c r="F53" s="25" t="n"/>
      <c r="G53" s="25" t="inlineStr">
        <is>
          <t>production</t>
        </is>
      </c>
      <c r="H53" s="25" t="inlineStr">
        <is>
          <t>carbon dioxide, captured</t>
        </is>
      </c>
      <c r="I53" s="25" t="n"/>
      <c r="J53" s="25" t="n"/>
    </row>
    <row r="54">
      <c r="A54" t="inlineStr">
        <is>
          <t>carbon dioxide storage from hard coal, post, pipeline 400km, storage 3000m</t>
        </is>
      </c>
      <c r="B54" s="68" t="n">
        <v>1</v>
      </c>
      <c r="D54" t="inlineStr">
        <is>
          <t>RER</t>
        </is>
      </c>
      <c r="E54" t="inlineStr">
        <is>
          <t>kilogram</t>
        </is>
      </c>
      <c r="G54" t="inlineStr">
        <is>
          <t>technosphere</t>
        </is>
      </c>
      <c r="H54" t="inlineStr">
        <is>
          <t>carbon dioxide storage from hard coal, post, pipeline 400km, storage 3000m</t>
        </is>
      </c>
      <c r="I54" s="32" t="inlineStr">
        <is>
          <t>&gt; assumption: Process from premise (lci-carma-ccs.xlsx). We use the most conservative CO2 transport &amp; storage from Premise. previous name was: CO2 storage/hard coal, post, pipeline 400km, storage 3000m. This includes tranpsort, injection, storage, recompression along the pipeline and CO2 leakages. Note that this process "carbon dioxide storage from hard coal, post, pipeline 400km, storage 3000m" only gets regionalized if you run "update electricity" scenarios in premise</t>
        </is>
      </c>
      <c r="J54" s="25" t="n"/>
    </row>
    <row r="55">
      <c r="A55" s="13" t="inlineStr">
        <is>
          <t>Carbon dioxide, fossil</t>
        </is>
      </c>
      <c r="B55" s="69" t="n">
        <v>-1</v>
      </c>
      <c r="C55" s="25" t="inlineStr">
        <is>
          <t>biosphere3</t>
        </is>
      </c>
      <c r="D55" s="25" t="n"/>
      <c r="E55" s="25" t="inlineStr">
        <is>
          <t>kilogram</t>
        </is>
      </c>
      <c r="F55" s="25" t="inlineStr">
        <is>
          <t>air</t>
        </is>
      </c>
      <c r="G55" s="25" t="inlineStr">
        <is>
          <t>biosphere</t>
        </is>
      </c>
      <c r="H55" s="25" t="n"/>
      <c r="I55" s="25" t="inlineStr">
        <is>
          <t>CO2 captured</t>
        </is>
      </c>
    </row>
    <row r="56">
      <c r="A56" s="13" t="inlineStr">
        <is>
          <t>market for monoethanolamine</t>
        </is>
      </c>
      <c r="B56" s="69">
        <f>1.4/1000</f>
        <v>1.4E-3</v>
      </c>
      <c r="C56" s="25" t="inlineStr">
        <is>
          <t>cutoff391</t>
        </is>
      </c>
      <c r="D56" s="25" t="inlineStr">
        <is>
          <t>GLO</t>
        </is>
      </c>
      <c r="E56" s="25" t="inlineStr">
        <is>
          <t>kilogram</t>
        </is>
      </c>
      <c r="F56" s="25" t="n"/>
      <c r="G56" s="25" t="inlineStr">
        <is>
          <t>technosphere</t>
        </is>
      </c>
      <c r="H56" s="25" t="inlineStr">
        <is>
          <t>monoethanolamine</t>
        </is>
      </c>
      <c r="I56" t="inlineStr">
        <is>
          <t>MEA mark-up, lost in reclaimer (1.4 kg MEA/tCO2) (Voldsund et al. (2019), p. 26)</t>
        </is>
      </c>
    </row>
    <row r="57" ht="14.75" customHeight="1">
      <c r="A57" s="45" t="inlineStr">
        <is>
          <t>market group for natural gas, high pressure</t>
        </is>
      </c>
      <c r="B57" s="70">
        <f>2.71/39</f>
        <v>6.9487179487179487E-2</v>
      </c>
      <c r="C57" s="25" t="inlineStr">
        <is>
          <t>cutoff391</t>
        </is>
      </c>
      <c r="D57" s="25" t="inlineStr">
        <is>
          <t>GLO</t>
        </is>
      </c>
      <c r="E57" s="25" t="inlineStr">
        <is>
          <t>cubic meter</t>
        </is>
      </c>
      <c r="F57" s="25" t="n"/>
      <c r="G57" s="25" t="inlineStr">
        <is>
          <t>technosphere</t>
        </is>
      </c>
      <c r="H57" s="25" t="inlineStr">
        <is>
          <t>natural gas, high pressure</t>
        </is>
      </c>
      <c r="I57" t="inlineStr">
        <is>
          <t>&gt; Modifications (2025): 
2.71 MJ natural gas/kg CO2 captured from IEAGHG 2013 (table 5, case 2A, Table C-7): energy for MEA-CCS: 3.37 GJ/ tHRC (additional natural gas/t HRC for MEA carbon capture and CO2 compression (table 2, case2A); or 2.71 GJ / t CO2 to capture 1.243 t CO2 / t HRC from Table 5, table C-7); calorific value of 39 MJ/m3 (ecoinvent 3.8, 2021). This additional natural gas covers all additional energy requirements for the MEA-CCS process, including CO2 capture, cooling, fans, pumps,  compression + liquifaction. Thus, no additional energy requirements, e.g. electricity, are required, since the natural gas is not only used for steam generation but also as additional fuel for additional electricity generation in the captive power plant on-site (IEAGHG, 2013).
&gt; original was: 
4.06 MJ fuel mix/kg CO2 captured</t>
        </is>
      </c>
    </row>
    <row r="58">
      <c r="A58" s="13" t="inlineStr">
        <is>
          <t>market group for tap water</t>
        </is>
      </c>
      <c r="B58" s="69">
        <f>0.473</f>
        <v>0.47299999999999998</v>
      </c>
      <c r="C58" s="25" t="inlineStr">
        <is>
          <t>cutoff391</t>
        </is>
      </c>
      <c r="D58" s="25" t="inlineStr">
        <is>
          <t>GLO</t>
        </is>
      </c>
      <c r="E58" s="25" t="inlineStr">
        <is>
          <t>kilogram</t>
        </is>
      </c>
      <c r="F58" s="25" t="n"/>
      <c r="G58" s="25" t="inlineStr">
        <is>
          <t>technosphere</t>
        </is>
      </c>
      <c r="H58" s="25" t="inlineStr">
        <is>
          <t>tap water</t>
        </is>
      </c>
      <c r="I58" t="inlineStr">
        <is>
          <t>Process water make-up (Voldsund et al. (2019), Table 5.1)</t>
        </is>
      </c>
    </row>
    <row r="59">
      <c r="A59" s="13" t="inlineStr">
        <is>
          <t>treatment of spent solvent mixture, hazardous waste incineration</t>
        </is>
      </c>
      <c r="B59" s="69">
        <f>-B56*0.227/(0.227+0.006)</f>
        <v>-1.3639484978540772E-3</v>
      </c>
      <c r="C59" s="25" t="inlineStr">
        <is>
          <t>cutoff391</t>
        </is>
      </c>
      <c r="D59" s="25" t="inlineStr">
        <is>
          <t>Europe without Switzerland</t>
        </is>
      </c>
      <c r="E59" s="25" t="inlineStr">
        <is>
          <t>kilogram</t>
        </is>
      </c>
      <c r="F59" s="25" t="n"/>
      <c r="G59" s="25" t="inlineStr">
        <is>
          <t>technosphere</t>
        </is>
      </c>
      <c r="H59" s="25" t="inlineStr">
        <is>
          <t>spent solvent mixture</t>
        </is>
      </c>
      <c r="I59" s="25" t="inlineStr">
        <is>
          <t>MEA input is split up into 2 types of emissions (airborne and solid emission for waste treatment, which is spent MEA solvent). Share of airborne emission (0.006 kg /t CO2) and solid emissions (0.227 kg /t CO2) from Moser et al. 2011, Table 1</t>
        </is>
      </c>
    </row>
    <row r="60">
      <c r="A60" s="13" t="inlineStr">
        <is>
          <t>Monoethanolamine</t>
        </is>
      </c>
      <c r="B60" s="17">
        <f>1.4/1000*(0.006/0.227+0.006)</f>
        <v>4.5404405286343617E-5</v>
      </c>
      <c r="C60" s="25" t="inlineStr">
        <is>
          <t>biosphere3</t>
        </is>
      </c>
      <c r="D60" s="25" t="n"/>
      <c r="E60" s="25" t="inlineStr">
        <is>
          <t>kilogram</t>
        </is>
      </c>
      <c r="F60" s="25" t="inlineStr">
        <is>
          <t>air</t>
        </is>
      </c>
      <c r="G60" s="25" t="inlineStr">
        <is>
          <t>biosphere</t>
        </is>
      </c>
      <c r="H60" s="25" t="n"/>
      <c r="I60" s="25" t="inlineStr">
        <is>
          <t xml:space="preserve">MEA emissions, rest is regenerated. MEA input is split up into 2 types of emissions (airborne and solid emission for waste treatment, which is spent MEA solvent). Share of airborne emission (0.006 kg /t CO2) and solid emissions (0.227 kg /t CO2) from Moser et al. 2011, Table 1. </t>
        </is>
      </c>
    </row>
    <row r="61">
      <c r="A61" s="13" t="inlineStr">
        <is>
          <t>Water</t>
        </is>
      </c>
      <c r="B61" s="17">
        <f>B58/1000</f>
        <v>4.7299999999999995E-4</v>
      </c>
      <c r="C61" s="25" t="inlineStr">
        <is>
          <t>biosphere3</t>
        </is>
      </c>
      <c r="D61" s="25" t="n"/>
      <c r="E61" s="25" t="inlineStr">
        <is>
          <t>cubic meter</t>
        </is>
      </c>
      <c r="F61" s="25" t="inlineStr">
        <is>
          <t>air</t>
        </is>
      </c>
      <c r="G61" s="25" t="inlineStr">
        <is>
          <t>biosphere</t>
        </is>
      </c>
      <c r="H61" s="37" t="n"/>
      <c r="I61" s="25" t="inlineStr">
        <is>
          <t>Process water make-up (Voldsund et al. (2019), Table 5.1)</t>
        </is>
      </c>
    </row>
    <row r="62">
      <c r="A62" t="inlineStr">
        <is>
          <t>market for activated carbon, granular</t>
        </is>
      </c>
      <c r="B62" s="71">
        <f>0.06/1000</f>
        <v>5.9999999999999995E-5</v>
      </c>
      <c r="C62" s="25" t="inlineStr">
        <is>
          <t>cutoff391</t>
        </is>
      </c>
      <c r="D62" s="25" t="inlineStr">
        <is>
          <t>GLO</t>
        </is>
      </c>
      <c r="E62" s="25" t="inlineStr">
        <is>
          <t>kilogram</t>
        </is>
      </c>
      <c r="G62" s="25" t="inlineStr">
        <is>
          <t>technosphere</t>
        </is>
      </c>
      <c r="H62" t="inlineStr">
        <is>
          <t>activated carbon, granular</t>
        </is>
      </c>
      <c r="I62" t="inlineStr">
        <is>
          <t>&gt; Modifications (2025): added the input of activated carbon for the removal of degraded amine (Singh et al. 2011). 0.06 kg/t CO2 from Choi (2013), Table 5 based on (Singh 2011)</t>
        </is>
      </c>
    </row>
    <row r="63">
      <c r="A63" s="45" t="inlineStr">
        <is>
          <t>Carbon dioxide, fossil</t>
        </is>
      </c>
      <c r="B63" s="71">
        <f>B57*39*0.056</f>
        <v>0.15176000000000001</v>
      </c>
      <c r="C63" s="25" t="inlineStr">
        <is>
          <t>biosphere3</t>
        </is>
      </c>
      <c r="D63" s="25" t="n"/>
      <c r="E63" s="25" t="inlineStr">
        <is>
          <t>kilogram</t>
        </is>
      </c>
      <c r="F63" s="25" t="inlineStr">
        <is>
          <t>air</t>
        </is>
      </c>
      <c r="G63" s="25" t="inlineStr">
        <is>
          <t>biosphere</t>
        </is>
      </c>
      <c r="H63" s="25" t="n"/>
      <c r="I63" s="32" t="inlineStr">
        <is>
          <t>&gt; Modifications (2025): CO2 emissions of natural gas due to natural gas consumption for MEA regeneration. 2.71 MJ natural gas/kg CO2 captured (IEAGHG 2013). Specific CO2 emissions of natural gas: 0.056 kg CO2/MJ natural gas (Voldsund et al. 2019, Table 2.2 (same as in Müller et al. 2024))</t>
        </is>
      </c>
    </row>
    <row r="64">
      <c r="A64" s="32" t="inlineStr">
        <is>
          <t>market for ammonia, anhydrous, liquid</t>
        </is>
      </c>
      <c r="B64" s="40">
        <f>0.85*0.000079787/0.70542</f>
        <v>9.6139817413739312E-5</v>
      </c>
      <c r="C64" s="25" t="inlineStr">
        <is>
          <t>cutoff391</t>
        </is>
      </c>
      <c r="D64" s="25" t="inlineStr">
        <is>
          <t>RER</t>
        </is>
      </c>
      <c r="E64" s="25" t="inlineStr">
        <is>
          <t>kilogram</t>
        </is>
      </c>
      <c r="F64" s="25" t="n"/>
      <c r="G64" s="25" t="inlineStr">
        <is>
          <t>technosphere</t>
        </is>
      </c>
      <c r="H64" s="25" t="inlineStr">
        <is>
          <t>ammonia, anhydrous, liquid</t>
        </is>
      </c>
      <c r="I64" s="25" t="inlineStr">
        <is>
          <t>&gt; Modifications (2025):
- adjusted the amount of NH3 needed based on the NOx emissions in the BF dataset in ecoinvent (0.000079787 kg NOx/kg pig iron). 
Ammonia is needed for NOx removal.  1.5 times the stochiometric amount is required (Voldsund et al. 2019, p. 93) which is 0.85kg ammonia per kg NOx. 
- scaled to the input of 0.70542 kg CO2 captured/kg pig iron</t>
        </is>
      </c>
    </row>
    <row r="65">
      <c r="A65" s="45" t="inlineStr">
        <is>
          <t>market for sodium hydroxide, without water, in 50% solution state</t>
        </is>
      </c>
      <c r="B65" s="41">
        <f>0.00013298*1.25/0.70542</f>
        <v>2.3563976070993165E-4</v>
      </c>
      <c r="C65" s="25" t="inlineStr">
        <is>
          <t>cutoff391</t>
        </is>
      </c>
      <c r="D65" s="25" t="inlineStr">
        <is>
          <t>GLO</t>
        </is>
      </c>
      <c r="E65" s="25" t="inlineStr">
        <is>
          <t>kilogram</t>
        </is>
      </c>
      <c r="F65" s="25" t="n"/>
      <c r="G65" s="25" t="inlineStr">
        <is>
          <t>technosphere</t>
        </is>
      </c>
      <c r="H65" s="25" t="inlineStr">
        <is>
          <t>sodium hydroxide, without water, in 50% solution state</t>
        </is>
      </c>
      <c r="I65" s="32" t="inlineStr">
        <is>
          <t>&gt; Modifications (2025):
- moved to auxiliary inputs dataset + adjusted value 
- Stochiometric amount of 1.25 kg NaOH/kg SOx is sufficient (Cempcap 4.6). 0.00013298 kg SOx/kg pig iron (ecoinvent)
- scaled to the input of 0.70542 kg CO2 captured/kg pig iron
SOx removal via NaOH is needed that MEA doesn't form amine salts. Stochiometric amount of 1.25 kg NaOH/kg SOx is sufficient (Voldsund et al. 2019, p. 93). 0.00013298 kg SOx/kg pig iron (ecoinvent)</t>
        </is>
      </c>
    </row>
    <row r="66" ht="16" customHeight="1">
      <c r="A66" s="19" t="n"/>
      <c r="B66" s="20" t="n"/>
      <c r="C66" s="21" t="n"/>
      <c r="D66" s="21" t="n"/>
      <c r="E66" s="21" t="n"/>
      <c r="F66" s="21" t="n"/>
      <c r="G66" s="21" t="n"/>
      <c r="H66" s="21" t="n"/>
    </row>
    <row r="67" ht="16" customHeight="1">
      <c r="A67" s="19" t="inlineStr">
        <is>
          <t>Activity</t>
        </is>
      </c>
      <c r="B67" s="20" t="inlineStr">
        <is>
          <t>steel production, blast furnace-basic oxygen furnace, with carbon capture and storage, low-alloyed</t>
        </is>
      </c>
      <c r="C67" s="21" t="n"/>
      <c r="D67" s="21" t="n"/>
      <c r="E67" s="21" t="n"/>
      <c r="F67" s="21" t="n"/>
      <c r="G67" s="21" t="n"/>
      <c r="H67" s="21" t="n"/>
    </row>
    <row r="68">
      <c r="A68" s="22" t="inlineStr">
        <is>
          <t>production amount</t>
        </is>
      </c>
      <c r="B68" s="22" t="n">
        <v>1</v>
      </c>
      <c r="C68" s="21" t="n"/>
      <c r="D68" s="21" t="n"/>
      <c r="E68" s="21" t="n"/>
      <c r="F68" s="21" t="n"/>
      <c r="G68" s="21" t="n"/>
      <c r="H68" s="21" t="n"/>
    </row>
    <row r="69">
      <c r="A69" s="22" t="inlineStr">
        <is>
          <t>location</t>
        </is>
      </c>
      <c r="B69" s="22" t="inlineStr">
        <is>
          <t>GLO</t>
        </is>
      </c>
      <c r="C69" s="21" t="n"/>
      <c r="D69" s="21" t="n"/>
      <c r="E69" s="21" t="n"/>
      <c r="F69" s="21" t="n"/>
      <c r="G69" s="21" t="n"/>
      <c r="H69" s="21" t="n"/>
    </row>
    <row r="70">
      <c r="A70" s="22" t="inlineStr">
        <is>
          <t>reference product</t>
        </is>
      </c>
      <c r="B70" s="22" t="inlineStr">
        <is>
          <t>steel, low-alloyed</t>
        </is>
      </c>
      <c r="C70" s="21" t="n"/>
      <c r="D70" s="21" t="n"/>
      <c r="E70" s="21" t="n"/>
      <c r="F70" s="21" t="n"/>
      <c r="G70" s="21" t="n"/>
      <c r="H70" s="21" t="n"/>
    </row>
    <row r="71">
      <c r="A71" s="22" t="inlineStr">
        <is>
          <t>unit</t>
        </is>
      </c>
      <c r="B71" s="22" t="inlineStr">
        <is>
          <t>kilogram</t>
        </is>
      </c>
      <c r="C71" s="21" t="n"/>
      <c r="D71" s="21" t="n"/>
      <c r="E71" s="21" t="n"/>
      <c r="F71" s="21" t="n"/>
      <c r="G71" s="21" t="n"/>
      <c r="H71" s="21" t="n"/>
    </row>
    <row r="72">
      <c r="A72" s="22" t="inlineStr">
        <is>
          <t>comment</t>
        </is>
      </c>
      <c r="B72" s="22" t="inlineStr">
        <is>
          <t>This dataset, adapted by Harpprecht et al. (2025) from the ecoinvent 3.8 cutoff process "steel production, converter, low-alloyed" (RER region), represents steel production using iron sourced from a blast furnace with MEA carbon capture (BF-CCS). The original ecoinvent process was modified by replacing the inputs of scrap and conventional pig iron with an equivalent amount of BF-CCS iron, aligning the steel production route with a decarbonized upstream supply. Additionally, the input of secondary metallurgy slag was removed and its quantity added to the normal slag input. These modifications reflect a low-alloyed steel production pathway compatible with upstream carbon capture efforts and are intended to support prospective assessments of low-carbon steelmaking.  Exchanges values set to zero are later populated by Premise.</t>
        </is>
      </c>
      <c r="C72" s="21" t="n"/>
      <c r="D72" s="21" t="n"/>
      <c r="E72" s="21" t="n"/>
      <c r="F72" s="21" t="n"/>
      <c r="G72" s="21" t="n"/>
      <c r="H72" s="21" t="n"/>
    </row>
    <row r="73">
      <c r="A73" s="22" t="inlineStr">
        <is>
          <t>source</t>
        </is>
      </c>
      <c r="B73" s="22" t="inlineStr">
        <is>
          <t>Harpprecht C., Sacchi R., Naegler T., et al. "Future environmental impacts of global iron and steel production". Energy Environ Sci. (2025). doi: 10.1039/D5EE01356A</t>
        </is>
      </c>
      <c r="C73" s="21" t="n"/>
      <c r="D73" s="21" t="n"/>
      <c r="E73" s="21" t="n"/>
      <c r="F73" s="21" t="n"/>
      <c r="G73" s="21" t="n"/>
      <c r="H73" s="21" t="n"/>
    </row>
    <row r="74" ht="16" customHeight="1">
      <c r="A74" s="19" t="inlineStr">
        <is>
          <t>Exchanges</t>
        </is>
      </c>
      <c r="B74" s="22" t="n"/>
      <c r="C74" s="21" t="n"/>
      <c r="D74" s="21" t="n"/>
      <c r="E74" s="21" t="n"/>
      <c r="F74" s="21" t="n"/>
      <c r="G74" s="21" t="n"/>
      <c r="H74" s="21" t="n"/>
    </row>
    <row r="75">
      <c r="A75" s="23" t="inlineStr">
        <is>
          <t>name</t>
        </is>
      </c>
      <c r="B75" s="23" t="inlineStr">
        <is>
          <t>amount</t>
        </is>
      </c>
      <c r="C75" s="23" t="inlineStr">
        <is>
          <t>database</t>
        </is>
      </c>
      <c r="D75" s="23" t="inlineStr">
        <is>
          <t>location</t>
        </is>
      </c>
      <c r="E75" s="23" t="inlineStr">
        <is>
          <t>unit</t>
        </is>
      </c>
      <c r="F75" s="23" t="inlineStr">
        <is>
          <t>categories</t>
        </is>
      </c>
      <c r="G75" s="23" t="inlineStr">
        <is>
          <t>type</t>
        </is>
      </c>
      <c r="H75" s="23" t="inlineStr">
        <is>
          <t>reference product</t>
        </is>
      </c>
      <c r="I75" s="23" t="inlineStr">
        <is>
          <t>comment</t>
        </is>
      </c>
      <c r="J75" s="20" t="inlineStr">
        <is>
          <t>uncertainty type</t>
        </is>
      </c>
      <c r="K75" s="20" t="inlineStr">
        <is>
          <t>pedigree</t>
        </is>
      </c>
      <c r="L75" s="20" t="inlineStr">
        <is>
          <t>loc</t>
        </is>
      </c>
      <c r="M75" s="20" t="inlineStr">
        <is>
          <t>scale</t>
        </is>
      </c>
      <c r="N75" s="20" t="inlineStr">
        <is>
          <t>formula</t>
        </is>
      </c>
      <c r="O75" s="20" t="inlineStr">
        <is>
          <t>replacement name</t>
        </is>
      </c>
      <c r="P75" s="20" t="inlineStr">
        <is>
          <t>replacement product</t>
        </is>
      </c>
      <c r="Q75" s="20" t="inlineStr">
        <is>
          <t>replacement location</t>
        </is>
      </c>
      <c r="R75" s="20" t="inlineStr">
        <is>
          <t>negative</t>
        </is>
      </c>
    </row>
    <row r="76">
      <c r="A76" s="24" t="inlineStr">
        <is>
          <t>steel production, blast furnace-basic oxygen furnace, with carbon capture and storage, low-alloyed</t>
        </is>
      </c>
      <c r="B76" s="22" t="n">
        <v>1</v>
      </c>
      <c r="C76" s="22" t="inlineStr">
        <is>
          <t>steel_paper</t>
        </is>
      </c>
      <c r="D76" s="22" t="inlineStr">
        <is>
          <t>GLO</t>
        </is>
      </c>
      <c r="E76" s="22" t="inlineStr">
        <is>
          <t>kilogram</t>
        </is>
      </c>
      <c r="F76" s="22" t="n"/>
      <c r="G76" s="22" t="inlineStr">
        <is>
          <t>production</t>
        </is>
      </c>
      <c r="H76" s="22" t="inlineStr">
        <is>
          <t>steel, low-alloyed</t>
        </is>
      </c>
    </row>
    <row r="77">
      <c r="A77" s="24" t="inlineStr">
        <is>
          <t>pig iron production, blast furnace, with carbon capture and storage</t>
        </is>
      </c>
      <c r="B77" s="22">
        <f>0+0.198864791+0.867944612</f>
        <v>1.0668094029999999</v>
      </c>
      <c r="C77" s="22" t="inlineStr">
        <is>
          <t>steel_paper</t>
        </is>
      </c>
      <c r="D77" s="22" t="inlineStr">
        <is>
          <t>GLO</t>
        </is>
      </c>
      <c r="E77" s="22" t="inlineStr">
        <is>
          <t>kilogram</t>
        </is>
      </c>
      <c r="F77" s="22" t="n"/>
      <c r="G77" s="22" t="inlineStr">
        <is>
          <t>technosphere</t>
        </is>
      </c>
      <c r="H77" s="22" t="inlineStr">
        <is>
          <t>pig iron</t>
        </is>
      </c>
      <c r="I77" t="inlineStr">
        <is>
          <t xml:space="preserve">&gt; Modifications (2025): added this input. Value is the sum of the original ecoinvent values of scrap input (0.199 kg) and pig iron input (0.868 kg)
</t>
        </is>
      </c>
    </row>
    <row r="78">
      <c r="A78" t="inlineStr">
        <is>
          <t>market for basic oxygen furnace dust</t>
        </is>
      </c>
      <c r="B78" t="n">
        <v>0</v>
      </c>
      <c r="C78" t="inlineStr">
        <is>
          <t>cutoff391</t>
        </is>
      </c>
      <c r="D78" t="inlineStr">
        <is>
          <t>RER</t>
        </is>
      </c>
      <c r="E78" t="inlineStr">
        <is>
          <t>kilogram</t>
        </is>
      </c>
      <c r="G78" s="22" t="inlineStr">
        <is>
          <t>technosphere</t>
        </is>
      </c>
      <c r="H78" t="inlineStr">
        <is>
          <t>basic oxygen furnace dust</t>
        </is>
      </c>
      <c r="I78"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78" t="inlineStr">
        <is>
          <t>steel production, converter, low-alloyed</t>
        </is>
      </c>
      <c r="P78" t="inlineStr">
        <is>
          <t>steel, low-alloyed</t>
        </is>
      </c>
      <c r="Q78" t="inlineStr">
        <is>
          <t>RER</t>
        </is>
      </c>
    </row>
    <row r="79">
      <c r="A79" t="inlineStr">
        <is>
          <t>market for basic oxygen furnace slag</t>
        </is>
      </c>
      <c r="B79">
        <f>-0.1048976-0.0003008</f>
        <v>-0.1051984</v>
      </c>
      <c r="C79" t="inlineStr">
        <is>
          <t>cutoff391</t>
        </is>
      </c>
      <c r="D79" t="inlineStr">
        <is>
          <t>RER</t>
        </is>
      </c>
      <c r="E79" t="inlineStr">
        <is>
          <t>kilogram</t>
        </is>
      </c>
      <c r="G79" s="22" t="inlineStr">
        <is>
          <t>technosphere</t>
        </is>
      </c>
      <c r="H79" t="inlineStr">
        <is>
          <t>basic oxygen furnace slag</t>
        </is>
      </c>
      <c r="I79" t="inlineStr">
        <is>
          <t>&gt; Modifications (2025): added the value of the secondary metallurgy slag, which was set to zero
&lt;Original ecoinvent 3.8 comment: &gt;
Amount reported by worldsteel (2010) and is representative of the average global situation in 2009. Also based on worldsteel (2010), an internal recovery (recycling) rate of 14% is assumed. Source: Worldsteel (2010). Steel industry by-products. World Steel Association: Brussels, Belgium.</t>
        </is>
      </c>
      <c r="J79" t="n">
        <v>2</v>
      </c>
      <c r="K79" t="inlineStr">
        <is>
          <t>(2, 3, 3, 2, 2, 1)</t>
        </is>
      </c>
      <c r="L79" t="n">
        <v>-2.25477064277392</v>
      </c>
      <c r="M79" t="n">
        <v>0.0665206734782503</v>
      </c>
      <c r="R79" t="b">
        <v>1</v>
      </c>
    </row>
    <row r="80">
      <c r="A80" t="inlineStr">
        <is>
          <t>market for basic oxygen furnace sludge</t>
        </is>
      </c>
      <c r="B80" t="n">
        <v>0</v>
      </c>
      <c r="C80" t="inlineStr">
        <is>
          <t>cutoff391</t>
        </is>
      </c>
      <c r="D80" t="inlineStr">
        <is>
          <t>RER</t>
        </is>
      </c>
      <c r="E80" t="inlineStr">
        <is>
          <t>kilogram</t>
        </is>
      </c>
      <c r="G80" s="22" t="inlineStr">
        <is>
          <t>technosphere</t>
        </is>
      </c>
      <c r="H80" t="inlineStr">
        <is>
          <t>basic oxygen furnace sludge</t>
        </is>
      </c>
      <c r="I80"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80" t="inlineStr">
        <is>
          <t>steel production, converter, low-alloyed</t>
        </is>
      </c>
      <c r="P80" t="inlineStr">
        <is>
          <t>steel, low-alloyed</t>
        </is>
      </c>
      <c r="Q80" t="inlineStr">
        <is>
          <t>RER</t>
        </is>
      </c>
    </row>
    <row r="81">
      <c r="A81" t="inlineStr">
        <is>
          <t>market for blast oxygen furnace converter</t>
        </is>
      </c>
      <c r="B81" t="n">
        <v>0</v>
      </c>
      <c r="C81" t="inlineStr">
        <is>
          <t>cutoff391</t>
        </is>
      </c>
      <c r="D81" t="inlineStr">
        <is>
          <t>GLO</t>
        </is>
      </c>
      <c r="E81" t="inlineStr">
        <is>
          <t>unit</t>
        </is>
      </c>
      <c r="G81" s="22" t="inlineStr">
        <is>
          <t>technosphere</t>
        </is>
      </c>
      <c r="H81" t="inlineStr">
        <is>
          <t>blast oxygen furnace converter</t>
        </is>
      </c>
      <c r="I81" t="inlineStr">
        <is>
          <t>Source: Classen et al. (2009)</t>
        </is>
      </c>
      <c r="O81" t="inlineStr">
        <is>
          <t>steel production, converter, low-alloyed</t>
        </is>
      </c>
      <c r="P81" t="inlineStr">
        <is>
          <t>steel, low-alloyed</t>
        </is>
      </c>
      <c r="Q81" t="inlineStr">
        <is>
          <t>RER</t>
        </is>
      </c>
    </row>
    <row r="82">
      <c r="A82" t="inlineStr">
        <is>
          <t>market for coke</t>
        </is>
      </c>
      <c r="B82" t="n">
        <v>0</v>
      </c>
      <c r="C82" t="inlineStr">
        <is>
          <t>cutoff391</t>
        </is>
      </c>
      <c r="D82" t="inlineStr">
        <is>
          <t>GLO</t>
        </is>
      </c>
      <c r="E82" t="inlineStr">
        <is>
          <t>megajoule</t>
        </is>
      </c>
      <c r="G82" s="22" t="inlineStr">
        <is>
          <t>technosphere</t>
        </is>
      </c>
      <c r="H82" t="inlineStr">
        <is>
          <t>coke</t>
        </is>
      </c>
      <c r="I82" t="inlineStr">
        <is>
          <t>geometric mean of Remus et al. (2013) data range</t>
        </is>
      </c>
      <c r="O82" t="inlineStr">
        <is>
          <t>steel production, converter, low-alloyed</t>
        </is>
      </c>
      <c r="P82" t="inlineStr">
        <is>
          <t>steel, low-alloyed</t>
        </is>
      </c>
      <c r="Q82" t="inlineStr">
        <is>
          <t>RER</t>
        </is>
      </c>
    </row>
    <row r="83">
      <c r="A83" t="inlineStr">
        <is>
          <t>market for compressed air, 600 kPa gauge</t>
        </is>
      </c>
      <c r="B83" t="n">
        <v>0</v>
      </c>
      <c r="C83" t="inlineStr">
        <is>
          <t>cutoff391</t>
        </is>
      </c>
      <c r="D83" t="inlineStr">
        <is>
          <t>RER</t>
        </is>
      </c>
      <c r="E83" t="inlineStr">
        <is>
          <t>cubic meter</t>
        </is>
      </c>
      <c r="G83" s="22" t="inlineStr">
        <is>
          <t>technosphere</t>
        </is>
      </c>
      <c r="H83" t="inlineStr">
        <is>
          <t>compressed air, 600 kPa gauge</t>
        </is>
      </c>
      <c r="I83" t="inlineStr">
        <is>
          <t>geometric mean of Remus et al. (2013) data range</t>
        </is>
      </c>
      <c r="O83" t="inlineStr">
        <is>
          <t>steel production, converter, low-alloyed</t>
        </is>
      </c>
      <c r="P83" t="inlineStr">
        <is>
          <t>steel, low-alloyed</t>
        </is>
      </c>
      <c r="Q83" t="inlineStr">
        <is>
          <t>RER</t>
        </is>
      </c>
    </row>
    <row r="84">
      <c r="A84" t="inlineStr">
        <is>
          <t>market for dolomite</t>
        </is>
      </c>
      <c r="B84" t="n">
        <v>0</v>
      </c>
      <c r="C84" t="inlineStr">
        <is>
          <t>cutoff391</t>
        </is>
      </c>
      <c r="D84" t="inlineStr">
        <is>
          <t>RER</t>
        </is>
      </c>
      <c r="E84" t="inlineStr">
        <is>
          <t>kilogram</t>
        </is>
      </c>
      <c r="G84" s="22" t="inlineStr">
        <is>
          <t>technosphere</t>
        </is>
      </c>
      <c r="H84" t="inlineStr">
        <is>
          <t>dolomite</t>
        </is>
      </c>
      <c r="I84" t="inlineStr">
        <is>
          <t>geometric mean of Remus et al. (2013) data range</t>
        </is>
      </c>
      <c r="O84" t="inlineStr">
        <is>
          <t>steel production, converter, low-alloyed</t>
        </is>
      </c>
      <c r="P84" t="inlineStr">
        <is>
          <t>steel, low-alloyed</t>
        </is>
      </c>
      <c r="Q84" t="inlineStr">
        <is>
          <t>RER</t>
        </is>
      </c>
    </row>
    <row r="85">
      <c r="A85" t="inlineStr">
        <is>
          <t>market group for electricity, medium voltage</t>
        </is>
      </c>
      <c r="B85" t="n">
        <v>0</v>
      </c>
      <c r="C85" t="inlineStr">
        <is>
          <t>cutoff391</t>
        </is>
      </c>
      <c r="D85" t="inlineStr">
        <is>
          <t>RER</t>
        </is>
      </c>
      <c r="E85" t="inlineStr">
        <is>
          <t>kilowatt hour</t>
        </is>
      </c>
      <c r="G85" s="22" t="inlineStr">
        <is>
          <t>technosphere</t>
        </is>
      </c>
      <c r="H85" t="inlineStr">
        <is>
          <t>electricity, medium voltage</t>
        </is>
      </c>
      <c r="I85" t="inlineStr">
        <is>
          <t>geometric mean of Remus et al. (2013) data range</t>
        </is>
      </c>
      <c r="O85" t="inlineStr">
        <is>
          <t>steel production, converter, low-alloyed</t>
        </is>
      </c>
      <c r="P85" t="inlineStr">
        <is>
          <t>steel, low-alloyed</t>
        </is>
      </c>
      <c r="Q85" t="inlineStr">
        <is>
          <t>RER</t>
        </is>
      </c>
    </row>
    <row r="86">
      <c r="A86" t="inlineStr">
        <is>
          <t>market for ferromanganese, high-coal, 74.5% Mn</t>
        </is>
      </c>
      <c r="B86" t="n">
        <v>0</v>
      </c>
      <c r="C86" t="inlineStr">
        <is>
          <t>cutoff391</t>
        </is>
      </c>
      <c r="D86" t="inlineStr">
        <is>
          <t>GLO</t>
        </is>
      </c>
      <c r="E86" t="inlineStr">
        <is>
          <t>kilogram</t>
        </is>
      </c>
      <c r="G86" s="22" t="inlineStr">
        <is>
          <t>technosphere</t>
        </is>
      </c>
      <c r="H86" t="inlineStr">
        <is>
          <t>ferromanganese, high-coal, 74.5% Mn</t>
        </is>
      </c>
      <c r="I86" t="inlineStr">
        <is>
          <t>Source: Classen et al. (2009)</t>
        </is>
      </c>
      <c r="O86" t="inlineStr">
        <is>
          <t>steel production, converter, low-alloyed</t>
        </is>
      </c>
      <c r="P86" t="inlineStr">
        <is>
          <t>steel, low-alloyed</t>
        </is>
      </c>
      <c r="Q86" t="inlineStr">
        <is>
          <t>RER</t>
        </is>
      </c>
    </row>
    <row r="87">
      <c r="A87" t="inlineStr">
        <is>
          <t>market for ferronickel</t>
        </is>
      </c>
      <c r="B87" t="n">
        <v>0</v>
      </c>
      <c r="C87" t="inlineStr">
        <is>
          <t>cutoff391</t>
        </is>
      </c>
      <c r="D87" t="inlineStr">
        <is>
          <t>GLO</t>
        </is>
      </c>
      <c r="E87" t="inlineStr">
        <is>
          <t>kilogram</t>
        </is>
      </c>
      <c r="G87" s="22" t="inlineStr">
        <is>
          <t>technosphere</t>
        </is>
      </c>
      <c r="H87" t="inlineStr">
        <is>
          <t>ferronickel</t>
        </is>
      </c>
      <c r="I87" t="inlineStr">
        <is>
          <t>Source: Classen et al. (2009)</t>
        </is>
      </c>
      <c r="O87" t="inlineStr">
        <is>
          <t>steel production, converter, low-alloyed</t>
        </is>
      </c>
      <c r="P87" t="inlineStr">
        <is>
          <t>steel, low-alloyed</t>
        </is>
      </c>
      <c r="Q87" t="inlineStr">
        <is>
          <t>RER</t>
        </is>
      </c>
    </row>
    <row r="88">
      <c r="A88" t="inlineStr">
        <is>
          <t>market for inert waste, for final disposal</t>
        </is>
      </c>
      <c r="B88" t="n">
        <v>0</v>
      </c>
      <c r="C88" t="inlineStr">
        <is>
          <t>cutoff391</t>
        </is>
      </c>
      <c r="D88" t="inlineStr">
        <is>
          <t>CH</t>
        </is>
      </c>
      <c r="E88" t="inlineStr">
        <is>
          <t>kilogram</t>
        </is>
      </c>
      <c r="G88" s="22" t="inlineStr">
        <is>
          <t>technosphere</t>
        </is>
      </c>
      <c r="H88" t="inlineStr">
        <is>
          <t>inert waste, for final disposal</t>
        </is>
      </c>
      <c r="I88" t="inlineStr">
        <is>
          <t>Represents used refractories, etc.</t>
        </is>
      </c>
      <c r="O88" t="inlineStr">
        <is>
          <t>steel production, converter, low-alloyed</t>
        </is>
      </c>
      <c r="P88" t="inlineStr">
        <is>
          <t>steel, low-alloyed</t>
        </is>
      </c>
      <c r="Q88" t="inlineStr">
        <is>
          <t>RER</t>
        </is>
      </c>
    </row>
    <row r="89">
      <c r="A89" t="inlineStr">
        <is>
          <t>market for iron ore concentrate</t>
        </is>
      </c>
      <c r="B89" t="n">
        <v>0</v>
      </c>
      <c r="C89" t="inlineStr">
        <is>
          <t>cutoff391</t>
        </is>
      </c>
      <c r="D89" t="inlineStr">
        <is>
          <t>GLO</t>
        </is>
      </c>
      <c r="E89" t="inlineStr">
        <is>
          <t>kilogram</t>
        </is>
      </c>
      <c r="G89" s="22" t="inlineStr">
        <is>
          <t>technosphere</t>
        </is>
      </c>
      <c r="H89" t="inlineStr">
        <is>
          <t>iron ore concentrate</t>
        </is>
      </c>
      <c r="I89" t="inlineStr">
        <is>
          <t>geometric mean of Remus et al. (2013) data range</t>
        </is>
      </c>
      <c r="O89" t="inlineStr">
        <is>
          <t>steel production, converter, low-alloyed</t>
        </is>
      </c>
      <c r="P89" t="inlineStr">
        <is>
          <t>steel, low-alloyed</t>
        </is>
      </c>
      <c r="Q89" t="inlineStr">
        <is>
          <t>RER</t>
        </is>
      </c>
    </row>
    <row r="90">
      <c r="A90" t="inlineStr">
        <is>
          <t>market for mill scale</t>
        </is>
      </c>
      <c r="B90" t="n">
        <v>0</v>
      </c>
      <c r="C90" t="inlineStr">
        <is>
          <t>cutoff391</t>
        </is>
      </c>
      <c r="D90" t="inlineStr">
        <is>
          <t>RER</t>
        </is>
      </c>
      <c r="E90" t="inlineStr">
        <is>
          <t>kilogram</t>
        </is>
      </c>
      <c r="G90" s="22" t="inlineStr">
        <is>
          <t>technosphere</t>
        </is>
      </c>
      <c r="H90" t="inlineStr">
        <is>
          <t>mill scale</t>
        </is>
      </c>
      <c r="I90" t="inlineStr">
        <is>
          <t>Amount reported by worldsteel (2010) and is representative of the average global situation in 2009. Also based on worldsteel (2010), an internal recovery (recycling) rate of 89% is assumed. Source: Worldsteel (2010). Steel industry by-products. World Steel Association: Brussels, Belgium.</t>
        </is>
      </c>
      <c r="O90" t="inlineStr">
        <is>
          <t>steel production, converter, low-alloyed</t>
        </is>
      </c>
      <c r="P90" t="inlineStr">
        <is>
          <t>steel, low-alloyed</t>
        </is>
      </c>
      <c r="Q90" t="inlineStr">
        <is>
          <t>RER</t>
        </is>
      </c>
    </row>
    <row r="91">
      <c r="A91" t="inlineStr">
        <is>
          <t>market for molybdenite</t>
        </is>
      </c>
      <c r="B91" t="n">
        <v>0</v>
      </c>
      <c r="C91" t="inlineStr">
        <is>
          <t>cutoff391</t>
        </is>
      </c>
      <c r="D91" t="inlineStr">
        <is>
          <t>GLO</t>
        </is>
      </c>
      <c r="E91" t="inlineStr">
        <is>
          <t>kilogram</t>
        </is>
      </c>
      <c r="G91" s="22" t="inlineStr">
        <is>
          <t>technosphere</t>
        </is>
      </c>
      <c r="H91" t="inlineStr">
        <is>
          <t>molybdenite</t>
        </is>
      </c>
      <c r="I91" t="inlineStr">
        <is>
          <t>Source: Classen et al. (2009)</t>
        </is>
      </c>
      <c r="O91" t="inlineStr">
        <is>
          <t>steel production, converter, low-alloyed</t>
        </is>
      </c>
      <c r="P91" t="inlineStr">
        <is>
          <t>steel, low-alloyed</t>
        </is>
      </c>
      <c r="Q91" t="inlineStr">
        <is>
          <t>RER</t>
        </is>
      </c>
    </row>
    <row r="92">
      <c r="A92" t="inlineStr">
        <is>
          <t>market group for natural gas, high pressure</t>
        </is>
      </c>
      <c r="B92" t="n">
        <v>0</v>
      </c>
      <c r="C92" t="inlineStr">
        <is>
          <t>cutoff391</t>
        </is>
      </c>
      <c r="D92" t="inlineStr">
        <is>
          <t>Europe without Switzerland</t>
        </is>
      </c>
      <c r="E92" t="inlineStr">
        <is>
          <t>cubic meter</t>
        </is>
      </c>
      <c r="G92" s="22" t="inlineStr">
        <is>
          <t>technosphere</t>
        </is>
      </c>
      <c r="H92" t="inlineStr">
        <is>
          <t>natural gas, high pressure</t>
        </is>
      </c>
      <c r="I92" t="inlineStr">
        <is>
          <t>geometric mean of Remus et al. (2013) data range</t>
        </is>
      </c>
      <c r="O92" t="inlineStr">
        <is>
          <t>steel production, converter, low-alloyed</t>
        </is>
      </c>
      <c r="P92" t="inlineStr">
        <is>
          <t>steel, low-alloyed</t>
        </is>
      </c>
      <c r="Q92" t="inlineStr">
        <is>
          <t>RER</t>
        </is>
      </c>
    </row>
    <row r="93">
      <c r="A93" t="inlineStr">
        <is>
          <t>market for natural gas, high pressure</t>
        </is>
      </c>
      <c r="B93" t="n">
        <v>0</v>
      </c>
      <c r="C93" t="inlineStr">
        <is>
          <t>cutoff391</t>
        </is>
      </c>
      <c r="D93" t="inlineStr">
        <is>
          <t>CH</t>
        </is>
      </c>
      <c r="E93" t="inlineStr">
        <is>
          <t>cubic meter</t>
        </is>
      </c>
      <c r="G93" s="22" t="inlineStr">
        <is>
          <t>technosphere</t>
        </is>
      </c>
      <c r="H93" t="inlineStr">
        <is>
          <t>natural gas, high pressure</t>
        </is>
      </c>
      <c r="I93" t="inlineStr">
        <is>
          <t>geometric mean of Remus et al. (2013) data range</t>
        </is>
      </c>
      <c r="O93" t="inlineStr">
        <is>
          <t>steel production, converter, low-alloyed</t>
        </is>
      </c>
      <c r="P93" t="inlineStr">
        <is>
          <t>steel, low-alloyed</t>
        </is>
      </c>
      <c r="Q93" t="inlineStr">
        <is>
          <t>RER</t>
        </is>
      </c>
    </row>
    <row r="94">
      <c r="A94" t="inlineStr">
        <is>
          <t>market for oxygen, liquid</t>
        </is>
      </c>
      <c r="B94" t="n">
        <v>0</v>
      </c>
      <c r="C94" t="inlineStr">
        <is>
          <t>cutoff391</t>
        </is>
      </c>
      <c r="D94" t="inlineStr">
        <is>
          <t>RER</t>
        </is>
      </c>
      <c r="E94" t="inlineStr">
        <is>
          <t>kilogram</t>
        </is>
      </c>
      <c r="G94" s="22" t="inlineStr">
        <is>
          <t>technosphere</t>
        </is>
      </c>
      <c r="H94" t="inlineStr">
        <is>
          <t>oxygen, liquid</t>
        </is>
      </c>
      <c r="I94" t="inlineStr">
        <is>
          <t>geometric mean of Remus et al. (2013) data range</t>
        </is>
      </c>
      <c r="O94" t="inlineStr">
        <is>
          <t>steel production, converter, low-alloyed</t>
        </is>
      </c>
      <c r="P94" t="inlineStr">
        <is>
          <t>steel, low-alloyed</t>
        </is>
      </c>
      <c r="Q94" t="inlineStr">
        <is>
          <t>RER</t>
        </is>
      </c>
    </row>
    <row r="95">
      <c r="A95" t="inlineStr">
        <is>
          <t>market for quicklime, in pieces, loose</t>
        </is>
      </c>
      <c r="B95" t="n">
        <v>0</v>
      </c>
      <c r="C95" t="inlineStr">
        <is>
          <t>cutoff391</t>
        </is>
      </c>
      <c r="D95" t="inlineStr">
        <is>
          <t>CH</t>
        </is>
      </c>
      <c r="E95" t="inlineStr">
        <is>
          <t>kilogram</t>
        </is>
      </c>
      <c r="G95" s="22" t="inlineStr">
        <is>
          <t>technosphere</t>
        </is>
      </c>
      <c r="H95" t="inlineStr">
        <is>
          <t>quicklime, in pieces, loose</t>
        </is>
      </c>
      <c r="I95" t="inlineStr">
        <is>
          <t>geometric mean of Remus et al. (2013) data range</t>
        </is>
      </c>
      <c r="O95" t="inlineStr">
        <is>
          <t>steel production, converter, low-alloyed</t>
        </is>
      </c>
      <c r="P95" t="inlineStr">
        <is>
          <t>steel, low-alloyed</t>
        </is>
      </c>
      <c r="Q95" t="inlineStr">
        <is>
          <t>RER</t>
        </is>
      </c>
    </row>
    <row r="96">
      <c r="A96" t="inlineStr">
        <is>
          <t>market for wastewater from pig iron production</t>
        </is>
      </c>
      <c r="B96" t="n">
        <v>0</v>
      </c>
      <c r="C96" t="inlineStr">
        <is>
          <t>cutoff391</t>
        </is>
      </c>
      <c r="D96" t="inlineStr">
        <is>
          <t>Europe without Switzerland</t>
        </is>
      </c>
      <c r="E96" t="inlineStr">
        <is>
          <t>cubic meter</t>
        </is>
      </c>
      <c r="G96" s="22" t="inlineStr">
        <is>
          <t>technosphere</t>
        </is>
      </c>
      <c r="H96" t="inlineStr">
        <is>
          <t>wastewater from pig iron production</t>
        </is>
      </c>
      <c r="I96" t="inlineStr">
        <is>
          <t>geometric mean of Remus et al. (2013) data range</t>
        </is>
      </c>
      <c r="O96" t="inlineStr">
        <is>
          <t>steel production, converter, low-alloyed</t>
        </is>
      </c>
      <c r="P96" t="inlineStr">
        <is>
          <t>steel, low-alloyed</t>
        </is>
      </c>
      <c r="Q96" t="inlineStr">
        <is>
          <t>RER</t>
        </is>
      </c>
    </row>
    <row r="97">
      <c r="A97" t="inlineStr">
        <is>
          <t>market for wastewater from pig iron production</t>
        </is>
      </c>
      <c r="B97" t="n">
        <v>0</v>
      </c>
      <c r="C97" t="inlineStr">
        <is>
          <t>cutoff391</t>
        </is>
      </c>
      <c r="D97" t="inlineStr">
        <is>
          <t>CH</t>
        </is>
      </c>
      <c r="E97" t="inlineStr">
        <is>
          <t>cubic meter</t>
        </is>
      </c>
      <c r="G97" s="22" t="inlineStr">
        <is>
          <t>technosphere</t>
        </is>
      </c>
      <c r="H97" t="inlineStr">
        <is>
          <t>wastewater from pig iron production</t>
        </is>
      </c>
      <c r="I97" t="inlineStr">
        <is>
          <t>geometric mean of Remus et al. (2013) data range</t>
        </is>
      </c>
      <c r="O97" t="inlineStr">
        <is>
          <t>steel production, converter, low-alloyed</t>
        </is>
      </c>
      <c r="P97" t="inlineStr">
        <is>
          <t>steel, low-alloyed</t>
        </is>
      </c>
      <c r="Q97" t="inlineStr">
        <is>
          <t>RER</t>
        </is>
      </c>
    </row>
    <row r="98">
      <c r="A98" t="inlineStr">
        <is>
          <t>Chromium</t>
        </is>
      </c>
      <c r="B98" t="n">
        <v>0</v>
      </c>
      <c r="C98" t="inlineStr">
        <is>
          <t>biosphere3</t>
        </is>
      </c>
      <c r="E98" t="inlineStr">
        <is>
          <t>kilogram</t>
        </is>
      </c>
      <c r="F98" t="inlineStr">
        <is>
          <t>air</t>
        </is>
      </c>
      <c r="G98" s="22" t="inlineStr">
        <is>
          <t>biosphere</t>
        </is>
      </c>
      <c r="I98" t="inlineStr">
        <is>
          <t>geometric mean of Remus et al. (2013) data range</t>
        </is>
      </c>
      <c r="N98" t="inlineStr">
        <is>
          <t>Cr</t>
        </is>
      </c>
      <c r="O98" t="inlineStr">
        <is>
          <t>steel production, converter, low-alloyed</t>
        </is>
      </c>
      <c r="P98" t="inlineStr">
        <is>
          <t>steel, low-alloyed</t>
        </is>
      </c>
      <c r="Q98" t="inlineStr">
        <is>
          <t>RER</t>
        </is>
      </c>
    </row>
    <row r="99">
      <c r="A99" t="inlineStr">
        <is>
          <t>Water, cooling, unspecified natural origin</t>
        </is>
      </c>
      <c r="B99" t="n">
        <v>0</v>
      </c>
      <c r="C99" t="inlineStr">
        <is>
          <t>biosphere3</t>
        </is>
      </c>
      <c r="E99" t="inlineStr">
        <is>
          <t>cubic meter</t>
        </is>
      </c>
      <c r="F99" t="inlineStr">
        <is>
          <t>natural resource::in water</t>
        </is>
      </c>
      <c r="G99" s="22" t="inlineStr">
        <is>
          <t>biosphere</t>
        </is>
      </c>
      <c r="I99" t="inlineStr">
        <is>
          <t>geometric mean of Remus et al. (2013) data range</t>
        </is>
      </c>
      <c r="N99" t="inlineStr">
        <is>
          <t>H2O</t>
        </is>
      </c>
      <c r="O99" t="inlineStr">
        <is>
          <t>steel production, converter, low-alloyed</t>
        </is>
      </c>
      <c r="P99" t="inlineStr">
        <is>
          <t>steel, low-alloyed</t>
        </is>
      </c>
      <c r="Q99" t="inlineStr">
        <is>
          <t>RER</t>
        </is>
      </c>
    </row>
    <row r="100">
      <c r="A100" t="inlineStr">
        <is>
          <t>PAH, polycyclic aromatic hydrocarbons</t>
        </is>
      </c>
      <c r="B100" t="n">
        <v>0</v>
      </c>
      <c r="C100" t="inlineStr">
        <is>
          <t>biosphere3</t>
        </is>
      </c>
      <c r="E100" t="inlineStr">
        <is>
          <t>kilogram</t>
        </is>
      </c>
      <c r="F100" t="inlineStr">
        <is>
          <t>air</t>
        </is>
      </c>
      <c r="G100" s="22" t="inlineStr">
        <is>
          <t>biosphere</t>
        </is>
      </c>
      <c r="I100" t="inlineStr">
        <is>
          <t>geometric mean of Remus et al. (2013) data range</t>
        </is>
      </c>
      <c r="O100" t="inlineStr">
        <is>
          <t>steel production, converter, low-alloyed</t>
        </is>
      </c>
      <c r="P100" t="inlineStr">
        <is>
          <t>steel, low-alloyed</t>
        </is>
      </c>
      <c r="Q100" t="inlineStr">
        <is>
          <t>RER</t>
        </is>
      </c>
    </row>
    <row r="101">
      <c r="A101" t="inlineStr">
        <is>
          <t>Copper ion</t>
        </is>
      </c>
      <c r="B101" t="n">
        <v>0</v>
      </c>
      <c r="C101" t="inlineStr">
        <is>
          <t>biosphere3</t>
        </is>
      </c>
      <c r="E101" t="inlineStr">
        <is>
          <t>kilogram</t>
        </is>
      </c>
      <c r="F101" t="inlineStr">
        <is>
          <t>air</t>
        </is>
      </c>
      <c r="G101" s="22" t="inlineStr">
        <is>
          <t>biosphere</t>
        </is>
      </c>
      <c r="I101" t="inlineStr">
        <is>
          <t>geometric mean of Remus et al. (2013) data range</t>
        </is>
      </c>
      <c r="N101" t="inlineStr">
        <is>
          <t>Cu</t>
        </is>
      </c>
      <c r="O101" t="inlineStr">
        <is>
          <t>steel production, converter, low-alloyed</t>
        </is>
      </c>
      <c r="P101" t="inlineStr">
        <is>
          <t>steel, low-alloyed</t>
        </is>
      </c>
      <c r="Q101" t="inlineStr">
        <is>
          <t>RER</t>
        </is>
      </c>
    </row>
    <row r="102">
      <c r="A102" t="inlineStr">
        <is>
          <t>Nitrogen oxides</t>
        </is>
      </c>
      <c r="B102" t="n">
        <v>0</v>
      </c>
      <c r="C102" t="inlineStr">
        <is>
          <t>biosphere3</t>
        </is>
      </c>
      <c r="E102" t="inlineStr">
        <is>
          <t>kilogram</t>
        </is>
      </c>
      <c r="F102" t="inlineStr">
        <is>
          <t>air</t>
        </is>
      </c>
      <c r="G102" s="22" t="inlineStr">
        <is>
          <t>biosphere</t>
        </is>
      </c>
      <c r="I102" t="inlineStr">
        <is>
          <t>geometric mean of Remus et al. (2013) data range</t>
        </is>
      </c>
      <c r="N102" t="inlineStr">
        <is>
          <t>H3NO</t>
        </is>
      </c>
      <c r="O102" t="inlineStr">
        <is>
          <t>steel production, converter, low-alloyed</t>
        </is>
      </c>
      <c r="P102" t="inlineStr">
        <is>
          <t>steel, low-alloyed</t>
        </is>
      </c>
      <c r="Q102" t="inlineStr">
        <is>
          <t>RER</t>
        </is>
      </c>
    </row>
    <row r="103">
      <c r="A103" t="inlineStr">
        <is>
          <t>Particulates, &lt; 2.5 um</t>
        </is>
      </c>
      <c r="B103" t="n">
        <v>0</v>
      </c>
      <c r="C103" t="inlineStr">
        <is>
          <t>biosphere3</t>
        </is>
      </c>
      <c r="E103" t="inlineStr">
        <is>
          <t>kilogram</t>
        </is>
      </c>
      <c r="F103" t="inlineStr">
        <is>
          <t>air</t>
        </is>
      </c>
      <c r="G103" s="22" t="inlineStr">
        <is>
          <t>biosphere</t>
        </is>
      </c>
      <c r="I103" t="inlineStr">
        <is>
          <t>geometric mean of Remus et al. (2013) data range</t>
        </is>
      </c>
      <c r="O103" t="inlineStr">
        <is>
          <t>steel production, converter, low-alloyed</t>
        </is>
      </c>
      <c r="P103" t="inlineStr">
        <is>
          <t>steel, low-alloyed</t>
        </is>
      </c>
      <c r="Q103" t="inlineStr">
        <is>
          <t>RER</t>
        </is>
      </c>
    </row>
    <row r="104">
      <c r="A104" t="inlineStr">
        <is>
          <t>Dioxins, measured as 2,3,7,8-tetrachlorodibenzo-p-dioxin</t>
        </is>
      </c>
      <c r="B104" t="n">
        <v>0</v>
      </c>
      <c r="C104" t="inlineStr">
        <is>
          <t>biosphere3</t>
        </is>
      </c>
      <c r="E104" t="inlineStr">
        <is>
          <t>kilogram</t>
        </is>
      </c>
      <c r="F104" t="inlineStr">
        <is>
          <t>air</t>
        </is>
      </c>
      <c r="G104" s="22" t="inlineStr">
        <is>
          <t>biosphere</t>
        </is>
      </c>
      <c r="I104" t="inlineStr">
        <is>
          <t>geometric mean of Remus et al. (2013) data range</t>
        </is>
      </c>
      <c r="N104" t="inlineStr">
        <is>
          <t>C12H4Cl4O2</t>
        </is>
      </c>
      <c r="O104" t="inlineStr">
        <is>
          <t>steel production, converter, low-alloyed</t>
        </is>
      </c>
      <c r="P104" t="inlineStr">
        <is>
          <t>steel, low-alloyed</t>
        </is>
      </c>
      <c r="Q104" t="inlineStr">
        <is>
          <t>RER</t>
        </is>
      </c>
    </row>
    <row r="105">
      <c r="A105" t="inlineStr">
        <is>
          <t>Manganese</t>
        </is>
      </c>
      <c r="B105" t="n">
        <v>0</v>
      </c>
      <c r="C105" t="inlineStr">
        <is>
          <t>biosphere3</t>
        </is>
      </c>
      <c r="E105" t="inlineStr">
        <is>
          <t>kilogram</t>
        </is>
      </c>
      <c r="F105" t="inlineStr">
        <is>
          <t>air</t>
        </is>
      </c>
      <c r="G105" s="22" t="inlineStr">
        <is>
          <t>biosphere</t>
        </is>
      </c>
      <c r="I105" t="inlineStr">
        <is>
          <t>geometric mean of Remus et al. (2013) data range</t>
        </is>
      </c>
      <c r="N105" t="inlineStr">
        <is>
          <t>Mn</t>
        </is>
      </c>
      <c r="O105" t="inlineStr">
        <is>
          <t>steel production, converter, low-alloyed</t>
        </is>
      </c>
      <c r="P105" t="inlineStr">
        <is>
          <t>steel, low-alloyed</t>
        </is>
      </c>
      <c r="Q105" t="inlineStr">
        <is>
          <t>RER</t>
        </is>
      </c>
    </row>
    <row r="106">
      <c r="A106" t="inlineStr">
        <is>
          <t>Iron</t>
        </is>
      </c>
      <c r="B106" t="n">
        <v>0</v>
      </c>
      <c r="C106" t="inlineStr">
        <is>
          <t>biosphere3</t>
        </is>
      </c>
      <c r="E106" t="inlineStr">
        <is>
          <t>kilogram</t>
        </is>
      </c>
      <c r="F106" t="inlineStr">
        <is>
          <t>air</t>
        </is>
      </c>
      <c r="G106" s="22" t="inlineStr">
        <is>
          <t>biosphere</t>
        </is>
      </c>
      <c r="I106" t="inlineStr">
        <is>
          <t>geometric mean of Remus et al. (2013) data range</t>
        </is>
      </c>
      <c r="N106" t="inlineStr">
        <is>
          <t>Fe</t>
        </is>
      </c>
      <c r="O106" t="inlineStr">
        <is>
          <t>steel production, converter, low-alloyed</t>
        </is>
      </c>
      <c r="P106" t="inlineStr">
        <is>
          <t>steel, low-alloyed</t>
        </is>
      </c>
      <c r="Q106" t="inlineStr">
        <is>
          <t>RER</t>
        </is>
      </c>
    </row>
    <row r="107">
      <c r="A107" t="inlineStr">
        <is>
          <t>Lead</t>
        </is>
      </c>
      <c r="B107" t="n">
        <v>0</v>
      </c>
      <c r="C107" t="inlineStr">
        <is>
          <t>biosphere3</t>
        </is>
      </c>
      <c r="E107" t="inlineStr">
        <is>
          <t>kilogram</t>
        </is>
      </c>
      <c r="F107" t="inlineStr">
        <is>
          <t>air</t>
        </is>
      </c>
      <c r="G107" s="22" t="inlineStr">
        <is>
          <t>biosphere</t>
        </is>
      </c>
      <c r="I107" t="inlineStr">
        <is>
          <t>geometric mean of Remus et al. (2013) data range</t>
        </is>
      </c>
      <c r="N107" t="inlineStr">
        <is>
          <t>Pb</t>
        </is>
      </c>
      <c r="O107" t="inlineStr">
        <is>
          <t>steel production, converter, low-alloyed</t>
        </is>
      </c>
      <c r="P107" t="inlineStr">
        <is>
          <t>steel, low-alloyed</t>
        </is>
      </c>
      <c r="Q107" t="inlineStr">
        <is>
          <t>RER</t>
        </is>
      </c>
    </row>
    <row r="108">
      <c r="A108" t="inlineStr">
        <is>
          <t>Water</t>
        </is>
      </c>
      <c r="B108" t="n">
        <v>0</v>
      </c>
      <c r="C108" t="inlineStr">
        <is>
          <t>biosphere3</t>
        </is>
      </c>
      <c r="E108" t="inlineStr">
        <is>
          <t>cubic meter</t>
        </is>
      </c>
      <c r="F108" t="inlineStr">
        <is>
          <t>air</t>
        </is>
      </c>
      <c r="G108" s="22" t="inlineStr">
        <is>
          <t>biosphere</t>
        </is>
      </c>
      <c r="I108" t="inlineStr">
        <is>
          <t>Source: Classen et al. (2009)</t>
        </is>
      </c>
      <c r="N108" t="inlineStr">
        <is>
          <t>H2O</t>
        </is>
      </c>
      <c r="O108" t="inlineStr">
        <is>
          <t>steel production, converter, low-alloyed</t>
        </is>
      </c>
      <c r="P108" t="inlineStr">
        <is>
          <t>steel, low-alloyed</t>
        </is>
      </c>
      <c r="Q108" t="inlineStr">
        <is>
          <t>RER</t>
        </is>
      </c>
    </row>
    <row r="109">
      <c r="A109" t="inlineStr">
        <is>
          <t>Heat, waste</t>
        </is>
      </c>
      <c r="B109" t="n">
        <v>0</v>
      </c>
      <c r="C109" t="inlineStr">
        <is>
          <t>biosphere3</t>
        </is>
      </c>
      <c r="E109" t="inlineStr">
        <is>
          <t>megajoule</t>
        </is>
      </c>
      <c r="F109" t="inlineStr">
        <is>
          <t>air</t>
        </is>
      </c>
      <c r="G109" s="22" t="inlineStr">
        <is>
          <t>biosphere</t>
        </is>
      </c>
      <c r="I109" t="inlineStr">
        <is>
          <t>Calculated from energy balanced model</t>
        </is>
      </c>
      <c r="O109" t="inlineStr">
        <is>
          <t>steel production, converter, low-alloyed</t>
        </is>
      </c>
      <c r="P109" t="inlineStr">
        <is>
          <t>steel, low-alloyed</t>
        </is>
      </c>
      <c r="Q109" t="inlineStr">
        <is>
          <t>RER</t>
        </is>
      </c>
    </row>
    <row r="110">
      <c r="A110" t="inlineStr">
        <is>
          <t>Carbon monoxide, fossil</t>
        </is>
      </c>
      <c r="B110" t="n">
        <v>0</v>
      </c>
      <c r="C110" t="inlineStr">
        <is>
          <t>biosphere3</t>
        </is>
      </c>
      <c r="E110" t="inlineStr">
        <is>
          <t>kilogram</t>
        </is>
      </c>
      <c r="F110" t="inlineStr">
        <is>
          <t>air</t>
        </is>
      </c>
      <c r="G110" s="22" t="inlineStr">
        <is>
          <t>biosphere</t>
        </is>
      </c>
      <c r="I110" t="inlineStr">
        <is>
          <t>geometric mean of Remus et al. (2013) data range</t>
        </is>
      </c>
      <c r="N110" t="inlineStr">
        <is>
          <t>CO</t>
        </is>
      </c>
      <c r="O110" t="inlineStr">
        <is>
          <t>steel production, converter, low-alloyed</t>
        </is>
      </c>
      <c r="P110" t="inlineStr">
        <is>
          <t>steel, low-alloyed</t>
        </is>
      </c>
      <c r="Q110" t="inlineStr">
        <is>
          <t>RER</t>
        </is>
      </c>
    </row>
    <row r="111">
      <c r="A111" t="inlineStr">
        <is>
          <t>Carbon dioxide, fossil</t>
        </is>
      </c>
      <c r="B111" t="n">
        <v>0</v>
      </c>
      <c r="C111" t="inlineStr">
        <is>
          <t>biosphere3</t>
        </is>
      </c>
      <c r="E111" t="inlineStr">
        <is>
          <t>kilogram</t>
        </is>
      </c>
      <c r="F111" t="inlineStr">
        <is>
          <t>air</t>
        </is>
      </c>
      <c r="G111" s="22" t="inlineStr">
        <is>
          <t>biosphere</t>
        </is>
      </c>
      <c r="I111" t="inlineStr">
        <is>
          <t>geometric mean of Remus et al. (2013) data range</t>
        </is>
      </c>
      <c r="N111" t="inlineStr">
        <is>
          <t>CO2</t>
        </is>
      </c>
      <c r="O111" t="inlineStr">
        <is>
          <t>steel production, converter, low-alloyed</t>
        </is>
      </c>
      <c r="P111" t="inlineStr">
        <is>
          <t>steel, low-alloyed</t>
        </is>
      </c>
      <c r="Q111" t="inlineStr">
        <is>
          <t>RER</t>
        </is>
      </c>
    </row>
    <row r="112"/>
    <row r="113" ht="16" customHeight="1">
      <c r="A113" s="19" t="inlineStr">
        <is>
          <t>Activity</t>
        </is>
      </c>
      <c r="B113" s="20" t="inlineStr">
        <is>
          <t>steel production, blast furnace-basic oxygen furnace, with carbon capture and storage, unalloyed</t>
        </is>
      </c>
      <c r="C113" s="21" t="n"/>
      <c r="D113" s="21" t="n"/>
      <c r="E113" s="21" t="n"/>
      <c r="F113" s="21" t="n"/>
      <c r="G113" s="21" t="n"/>
      <c r="H113" s="21" t="n"/>
    </row>
    <row r="114">
      <c r="A114" s="22" t="inlineStr">
        <is>
          <t>production amount</t>
        </is>
      </c>
      <c r="B114" s="22" t="n">
        <v>1</v>
      </c>
      <c r="C114" s="21" t="n"/>
      <c r="D114" s="21" t="n"/>
      <c r="E114" s="21" t="n"/>
      <c r="F114" s="21" t="n"/>
      <c r="G114" s="21" t="n"/>
      <c r="H114" s="21" t="n"/>
    </row>
    <row r="115">
      <c r="A115" s="22" t="inlineStr">
        <is>
          <t>location</t>
        </is>
      </c>
      <c r="B115" s="22" t="inlineStr">
        <is>
          <t>GLO</t>
        </is>
      </c>
      <c r="C115" s="21" t="n"/>
      <c r="D115" s="21" t="n"/>
      <c r="E115" s="21" t="n"/>
      <c r="F115" s="21" t="n"/>
      <c r="G115" s="21" t="n"/>
      <c r="H115" s="21" t="n"/>
    </row>
    <row r="116">
      <c r="A116" s="22" t="inlineStr">
        <is>
          <t>reference product</t>
        </is>
      </c>
      <c r="B116" s="22" t="inlineStr">
        <is>
          <t>steel, unalloyed</t>
        </is>
      </c>
      <c r="C116" s="21" t="n"/>
      <c r="D116" s="21" t="n"/>
      <c r="E116" s="21" t="n"/>
      <c r="F116" s="21" t="n"/>
      <c r="G116" s="21" t="n"/>
      <c r="H116" s="21" t="n"/>
    </row>
    <row r="117">
      <c r="A117" s="22" t="inlineStr">
        <is>
          <t>unit</t>
        </is>
      </c>
      <c r="B117" s="22" t="inlineStr">
        <is>
          <t>kilogram</t>
        </is>
      </c>
      <c r="C117" s="21" t="n"/>
      <c r="D117" s="21" t="n"/>
      <c r="E117" s="21" t="n"/>
      <c r="F117" s="21" t="n"/>
      <c r="G117" s="21" t="n"/>
      <c r="H117" s="21" t="n"/>
    </row>
    <row r="118">
      <c r="A118" s="22" t="inlineStr">
        <is>
          <t>comment</t>
        </is>
      </c>
      <c r="B118" s="22" t="inlineStr">
        <is>
          <t>This dataset, modified by Harpprecht et al. (2025) from the ecoinvent 3.8 cutoff process "steel production, converter, unalloyed" (RER region), models unalloyed steel production using iron sourced from a blast furnace with MEA-based carbon capture (BF-CCS). The original inputs of scrap and conventional pig iron were removed and replaced with an equivalent quantity of BF-CCS iron, ensuring consistency with a decarbonized iron supply chain. Additionally, the input of secondary metallurgy slag was eliminated and its amount added to the normal slag input. These adjustments allow for the representation of low-carbon unalloyed steel production in prospective life cycle assessments.  Exchanges values set to zero are later populated by Premise.</t>
        </is>
      </c>
      <c r="C118" s="21" t="n"/>
      <c r="D118" s="21" t="n"/>
      <c r="E118" s="21" t="n"/>
      <c r="F118" s="21" t="n"/>
      <c r="G118" s="21" t="n"/>
      <c r="H118" s="21" t="n"/>
    </row>
    <row r="119" ht="16" customHeight="1">
      <c r="A119" s="19" t="inlineStr">
        <is>
          <t>Exchanges</t>
        </is>
      </c>
      <c r="B119" s="22" t="n"/>
      <c r="C119" s="21" t="n"/>
      <c r="D119" s="21" t="n"/>
      <c r="E119" s="21" t="n"/>
      <c r="F119" s="21" t="n"/>
      <c r="G119" s="21" t="n"/>
      <c r="H119" s="21" t="n"/>
    </row>
    <row r="120">
      <c r="A120" s="23" t="inlineStr">
        <is>
          <t>name</t>
        </is>
      </c>
      <c r="B120" s="23" t="inlineStr">
        <is>
          <t>amount</t>
        </is>
      </c>
      <c r="C120" s="23" t="inlineStr">
        <is>
          <t>database</t>
        </is>
      </c>
      <c r="D120" s="23" t="inlineStr">
        <is>
          <t>location</t>
        </is>
      </c>
      <c r="E120" s="23" t="inlineStr">
        <is>
          <t>unit</t>
        </is>
      </c>
      <c r="F120" s="23" t="inlineStr">
        <is>
          <t>categories</t>
        </is>
      </c>
      <c r="G120" s="23" t="inlineStr">
        <is>
          <t>type</t>
        </is>
      </c>
      <c r="H120" s="23" t="inlineStr">
        <is>
          <t>reference product</t>
        </is>
      </c>
      <c r="I120" s="23" t="inlineStr">
        <is>
          <t>comment</t>
        </is>
      </c>
      <c r="J120" s="20" t="inlineStr">
        <is>
          <t>uncertainty type</t>
        </is>
      </c>
      <c r="K120" s="20" t="inlineStr">
        <is>
          <t>pedigree</t>
        </is>
      </c>
      <c r="L120" s="20" t="inlineStr">
        <is>
          <t>loc</t>
        </is>
      </c>
      <c r="M120" s="20" t="inlineStr">
        <is>
          <t>scale</t>
        </is>
      </c>
      <c r="N120" s="20" t="inlineStr">
        <is>
          <t>formula</t>
        </is>
      </c>
      <c r="O120" s="20" t="inlineStr">
        <is>
          <t>replacement name</t>
        </is>
      </c>
      <c r="P120" s="20" t="inlineStr">
        <is>
          <t>replacement product</t>
        </is>
      </c>
      <c r="Q120" s="20" t="inlineStr">
        <is>
          <t>replacement location</t>
        </is>
      </c>
      <c r="R120" s="20" t="inlineStr">
        <is>
          <t>negative</t>
        </is>
      </c>
    </row>
    <row r="121">
      <c r="A121" s="24" t="inlineStr">
        <is>
          <t>steel production, blast furnace-basic oxygen furnace, with carbon capture and storage, unalloyed</t>
        </is>
      </c>
      <c r="B121" s="28" t="n">
        <v>1</v>
      </c>
      <c r="C121" s="22" t="inlineStr">
        <is>
          <t>steel_paper</t>
        </is>
      </c>
      <c r="D121" s="22" t="inlineStr">
        <is>
          <t>GLO</t>
        </is>
      </c>
      <c r="E121" s="22" t="inlineStr">
        <is>
          <t>kilogram</t>
        </is>
      </c>
      <c r="F121" s="22" t="n"/>
      <c r="G121" s="22" t="inlineStr">
        <is>
          <t>production</t>
        </is>
      </c>
      <c r="H121" s="22" t="inlineStr">
        <is>
          <t>steel, unalloyed</t>
        </is>
      </c>
    </row>
    <row r="122">
      <c r="A122" s="24" t="inlineStr">
        <is>
          <t>pig iron production, blast furnace, with carbon capture and storage</t>
        </is>
      </c>
      <c r="B122" s="28">
        <f>0.23211055+0.86462087</f>
        <v>1.09673142</v>
      </c>
      <c r="C122" s="22" t="inlineStr">
        <is>
          <t>steel_paper</t>
        </is>
      </c>
      <c r="D122" s="22" t="inlineStr">
        <is>
          <t>GLO</t>
        </is>
      </c>
      <c r="E122" s="22" t="inlineStr">
        <is>
          <t>kilogram</t>
        </is>
      </c>
      <c r="F122" s="22" t="n"/>
      <c r="G122" s="22" t="inlineStr">
        <is>
          <t>technosphere</t>
        </is>
      </c>
      <c r="H122" s="22" t="inlineStr">
        <is>
          <t>pig iron</t>
        </is>
      </c>
      <c r="I122" t="inlineStr">
        <is>
          <t xml:space="preserve">&gt; Modifications (2025): added this input. Value is the sum of the original ecoinvent values of scrap input (0.232 kg) and pig iron input (0.865 kg)
</t>
        </is>
      </c>
    </row>
    <row r="123">
      <c r="A123" t="inlineStr">
        <is>
          <t>market for basic oxygen furnace dust</t>
        </is>
      </c>
      <c r="B123" s="42" t="n">
        <v>0</v>
      </c>
      <c r="C123" t="inlineStr">
        <is>
          <t>cutoff391</t>
        </is>
      </c>
      <c r="D123" t="inlineStr">
        <is>
          <t>RER</t>
        </is>
      </c>
      <c r="E123" t="inlineStr">
        <is>
          <t>kilogram</t>
        </is>
      </c>
      <c r="G123" s="22" t="inlineStr">
        <is>
          <t>technosphere</t>
        </is>
      </c>
      <c r="H123" t="inlineStr">
        <is>
          <t>basic oxygen furnace dust</t>
        </is>
      </c>
      <c r="I123"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123" t="inlineStr">
        <is>
          <t>steel production, converter, unalloyed</t>
        </is>
      </c>
      <c r="P123" t="inlineStr">
        <is>
          <t>steel, converter, unalloyed</t>
        </is>
      </c>
      <c r="Q123" t="inlineStr">
        <is>
          <t>RER</t>
        </is>
      </c>
    </row>
    <row r="124">
      <c r="A124" t="inlineStr">
        <is>
          <t>market for basic oxygen furnace slag</t>
        </is>
      </c>
      <c r="B124" s="42">
        <f>-0.1048976-0.0003008</f>
        <v>-0.1051984</v>
      </c>
      <c r="C124" t="inlineStr">
        <is>
          <t>cutoff391</t>
        </is>
      </c>
      <c r="D124" t="inlineStr">
        <is>
          <t>RER</t>
        </is>
      </c>
      <c r="E124" t="inlineStr">
        <is>
          <t>kilogram</t>
        </is>
      </c>
      <c r="G124" s="22" t="inlineStr">
        <is>
          <t>technosphere</t>
        </is>
      </c>
      <c r="H124" t="inlineStr">
        <is>
          <t>basic oxygen furnace slag</t>
        </is>
      </c>
      <c r="I124" t="inlineStr">
        <is>
          <t>&gt; Modifications (2025): added the value of the secondary metallurgy slag, which was set to zero
&gt; original was: -0.1048976 kg
&lt;Original ecoinvent 3.8 comment: &gt;
Amount reported by worldsteel (2010) and is representative of the average global situation in 2009. Also based on worldsteel (2010), an internal recovery (recycling) rate of 14% is assumed. Source: Worldsteel (2010). Steel industry by-products. World Steel Association: Brussels, Belgium.</t>
        </is>
      </c>
      <c r="J124" t="n">
        <v>2</v>
      </c>
      <c r="K124" t="inlineStr">
        <is>
          <t>(2, 3, 3, 2, 2, 1)</t>
        </is>
      </c>
      <c r="L124" t="n">
        <v>-2.25477064277392</v>
      </c>
      <c r="M124" t="n">
        <v>0.0665206734782503</v>
      </c>
      <c r="R124" t="b">
        <v>1</v>
      </c>
    </row>
    <row r="125">
      <c r="A125" t="inlineStr">
        <is>
          <t>market for basic oxygen furnace sludge</t>
        </is>
      </c>
      <c r="B125" s="42" t="n">
        <v>0</v>
      </c>
      <c r="C125" t="inlineStr">
        <is>
          <t>cutoff391</t>
        </is>
      </c>
      <c r="D125" t="inlineStr">
        <is>
          <t>RER</t>
        </is>
      </c>
      <c r="E125" t="inlineStr">
        <is>
          <t>kilogram</t>
        </is>
      </c>
      <c r="G125" s="22" t="inlineStr">
        <is>
          <t>technosphere</t>
        </is>
      </c>
      <c r="H125" t="inlineStr">
        <is>
          <t>basic oxygen furnace sludge</t>
        </is>
      </c>
      <c r="I125"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125" t="inlineStr">
        <is>
          <t>steel production, converter, unalloyed</t>
        </is>
      </c>
      <c r="P125" t="inlineStr">
        <is>
          <t>steel, unalloyed</t>
        </is>
      </c>
      <c r="Q125" t="inlineStr">
        <is>
          <t>RER</t>
        </is>
      </c>
    </row>
    <row r="126">
      <c r="A126" t="inlineStr">
        <is>
          <t>market for blast oxygen furnace converter</t>
        </is>
      </c>
      <c r="B126" s="42" t="n">
        <v>0</v>
      </c>
      <c r="C126" t="inlineStr">
        <is>
          <t>cutoff391</t>
        </is>
      </c>
      <c r="D126" t="inlineStr">
        <is>
          <t>GLO</t>
        </is>
      </c>
      <c r="E126" t="inlineStr">
        <is>
          <t>unit</t>
        </is>
      </c>
      <c r="G126" s="22" t="inlineStr">
        <is>
          <t>technosphere</t>
        </is>
      </c>
      <c r="H126" t="inlineStr">
        <is>
          <t>blast oxygen furnace converter</t>
        </is>
      </c>
      <c r="I126" t="inlineStr">
        <is>
          <t>Source: Classen et al. (2009)</t>
        </is>
      </c>
      <c r="O126" t="inlineStr">
        <is>
          <t>steel production, converter, unalloyed</t>
        </is>
      </c>
      <c r="P126" t="inlineStr">
        <is>
          <t>steel, unalloyed</t>
        </is>
      </c>
      <c r="Q126" t="inlineStr">
        <is>
          <t>RER</t>
        </is>
      </c>
    </row>
    <row r="127">
      <c r="A127" t="inlineStr">
        <is>
          <t>market for coke</t>
        </is>
      </c>
      <c r="B127" s="42" t="n">
        <v>0</v>
      </c>
      <c r="C127" t="inlineStr">
        <is>
          <t>cutoff391</t>
        </is>
      </c>
      <c r="D127" t="inlineStr">
        <is>
          <t>GLO</t>
        </is>
      </c>
      <c r="E127" t="inlineStr">
        <is>
          <t>megajoule</t>
        </is>
      </c>
      <c r="G127" s="22" t="inlineStr">
        <is>
          <t>technosphere</t>
        </is>
      </c>
      <c r="H127" t="inlineStr">
        <is>
          <t>coke</t>
        </is>
      </c>
      <c r="I127" t="inlineStr">
        <is>
          <t>geometric mean of Remus et al. (2013) data range</t>
        </is>
      </c>
      <c r="O127" t="inlineStr">
        <is>
          <t>steel production, converter, unalloyed</t>
        </is>
      </c>
      <c r="P127" t="inlineStr">
        <is>
          <t>steel, unalloyed</t>
        </is>
      </c>
      <c r="Q127" t="inlineStr">
        <is>
          <t>RER</t>
        </is>
      </c>
    </row>
    <row r="128">
      <c r="A128" t="inlineStr">
        <is>
          <t>market for compressed air, 600 kPa gauge</t>
        </is>
      </c>
      <c r="B128" s="42" t="n">
        <v>0</v>
      </c>
      <c r="C128" t="inlineStr">
        <is>
          <t>cutoff391</t>
        </is>
      </c>
      <c r="D128" t="inlineStr">
        <is>
          <t>RER</t>
        </is>
      </c>
      <c r="E128" t="inlineStr">
        <is>
          <t>cubic meter</t>
        </is>
      </c>
      <c r="G128" s="22" t="inlineStr">
        <is>
          <t>technosphere</t>
        </is>
      </c>
      <c r="H128" t="inlineStr">
        <is>
          <t>compressed air, 600 kPa gauge</t>
        </is>
      </c>
      <c r="I128" t="inlineStr">
        <is>
          <t>geometric mean of Remus et al. (2013) data range</t>
        </is>
      </c>
      <c r="O128" t="inlineStr">
        <is>
          <t>steel production, converter, unalloyed</t>
        </is>
      </c>
      <c r="P128" t="inlineStr">
        <is>
          <t>steel, unalloyed</t>
        </is>
      </c>
      <c r="Q128" t="inlineStr">
        <is>
          <t>RER</t>
        </is>
      </c>
    </row>
    <row r="129">
      <c r="A129" t="inlineStr">
        <is>
          <t>market for dolomite</t>
        </is>
      </c>
      <c r="B129" s="42" t="n">
        <v>0</v>
      </c>
      <c r="C129" t="inlineStr">
        <is>
          <t>cutoff391</t>
        </is>
      </c>
      <c r="D129" t="inlineStr">
        <is>
          <t>RER</t>
        </is>
      </c>
      <c r="E129" t="inlineStr">
        <is>
          <t>kilogram</t>
        </is>
      </c>
      <c r="G129" s="22" t="inlineStr">
        <is>
          <t>technosphere</t>
        </is>
      </c>
      <c r="H129" t="inlineStr">
        <is>
          <t>dolomite</t>
        </is>
      </c>
      <c r="I129" t="inlineStr">
        <is>
          <t>geometric mean of Remus et al. (2013) data range</t>
        </is>
      </c>
      <c r="O129" t="inlineStr">
        <is>
          <t>steel production, converter, unalloyed</t>
        </is>
      </c>
      <c r="P129" t="inlineStr">
        <is>
          <t>steel, unalloyed</t>
        </is>
      </c>
      <c r="Q129" t="inlineStr">
        <is>
          <t>RER</t>
        </is>
      </c>
    </row>
    <row r="130">
      <c r="A130" t="inlineStr">
        <is>
          <t>market group for electricity, medium voltage</t>
        </is>
      </c>
      <c r="B130" s="42" t="n">
        <v>0</v>
      </c>
      <c r="C130" t="inlineStr">
        <is>
          <t>cutoff391</t>
        </is>
      </c>
      <c r="D130" t="inlineStr">
        <is>
          <t>RER</t>
        </is>
      </c>
      <c r="E130" t="inlineStr">
        <is>
          <t>kilowatt hour</t>
        </is>
      </c>
      <c r="G130" s="22" t="inlineStr">
        <is>
          <t>technosphere</t>
        </is>
      </c>
      <c r="H130" t="inlineStr">
        <is>
          <t>electricity, medium voltage</t>
        </is>
      </c>
      <c r="I130" t="inlineStr">
        <is>
          <t>geometric mean of Remus et al. (2013) data range</t>
        </is>
      </c>
      <c r="O130" t="inlineStr">
        <is>
          <t>steel production, converter, unalloyed</t>
        </is>
      </c>
      <c r="P130" t="inlineStr">
        <is>
          <t>steel, unalloyed</t>
        </is>
      </c>
      <c r="Q130" t="inlineStr">
        <is>
          <t>RER</t>
        </is>
      </c>
    </row>
    <row r="131">
      <c r="A131" t="inlineStr">
        <is>
          <t>market for ferromanganese, high-coal, 74.5% Mn</t>
        </is>
      </c>
      <c r="B131" s="42" t="n">
        <v>0</v>
      </c>
      <c r="C131" t="inlineStr">
        <is>
          <t>cutoff391</t>
        </is>
      </c>
      <c r="D131" t="inlineStr">
        <is>
          <t>GLO</t>
        </is>
      </c>
      <c r="E131" t="inlineStr">
        <is>
          <t>kilogram</t>
        </is>
      </c>
      <c r="G131" s="22" t="inlineStr">
        <is>
          <t>technosphere</t>
        </is>
      </c>
      <c r="H131" t="inlineStr">
        <is>
          <t>ferromanganese, high-coal, 74.5% Mn</t>
        </is>
      </c>
      <c r="I131" t="inlineStr">
        <is>
          <t>Source: Classen et al. (2009)</t>
        </is>
      </c>
      <c r="O131" t="inlineStr">
        <is>
          <t>steel production, converter, unalloyed</t>
        </is>
      </c>
      <c r="P131" t="inlineStr">
        <is>
          <t>steel, unalloyed</t>
        </is>
      </c>
      <c r="Q131" t="inlineStr">
        <is>
          <t>RER</t>
        </is>
      </c>
    </row>
    <row r="132">
      <c r="A132" t="inlineStr">
        <is>
          <t>market for inert waste, for final disposal</t>
        </is>
      </c>
      <c r="B132" s="42" t="n">
        <v>0</v>
      </c>
      <c r="C132" t="inlineStr">
        <is>
          <t>cutoff391</t>
        </is>
      </c>
      <c r="D132" t="inlineStr">
        <is>
          <t>CH</t>
        </is>
      </c>
      <c r="E132" t="inlineStr">
        <is>
          <t>kilogram</t>
        </is>
      </c>
      <c r="G132" s="22" t="inlineStr">
        <is>
          <t>technosphere</t>
        </is>
      </c>
      <c r="H132" t="inlineStr">
        <is>
          <t>inert waste, for final disposal</t>
        </is>
      </c>
      <c r="I132" t="inlineStr">
        <is>
          <t>Represents used refractories, etc.</t>
        </is>
      </c>
      <c r="O132" t="inlineStr">
        <is>
          <t>steel production, converter, unalloyed</t>
        </is>
      </c>
      <c r="P132" t="inlineStr">
        <is>
          <t>steel, unalloyed</t>
        </is>
      </c>
      <c r="Q132" t="inlineStr">
        <is>
          <t>RER</t>
        </is>
      </c>
    </row>
    <row r="133">
      <c r="A133" t="inlineStr">
        <is>
          <t>market for iron ore concentrate</t>
        </is>
      </c>
      <c r="B133" s="42" t="n">
        <v>0</v>
      </c>
      <c r="C133" t="inlineStr">
        <is>
          <t>cutoff391</t>
        </is>
      </c>
      <c r="D133" t="inlineStr">
        <is>
          <t>GLO</t>
        </is>
      </c>
      <c r="E133" t="inlineStr">
        <is>
          <t>kilogram</t>
        </is>
      </c>
      <c r="G133" s="22" t="inlineStr">
        <is>
          <t>technosphere</t>
        </is>
      </c>
      <c r="H133" t="inlineStr">
        <is>
          <t>iron ore concentrate</t>
        </is>
      </c>
      <c r="I133" t="inlineStr">
        <is>
          <t>geometric mean of Remus et al. (2013) data range</t>
        </is>
      </c>
      <c r="O133" t="inlineStr">
        <is>
          <t>steel production, converter, unalloyed</t>
        </is>
      </c>
      <c r="P133" t="inlineStr">
        <is>
          <t>steel, unalloyed</t>
        </is>
      </c>
      <c r="Q133" t="inlineStr">
        <is>
          <t>RER</t>
        </is>
      </c>
    </row>
    <row r="134">
      <c r="A134" t="inlineStr">
        <is>
          <t>market for mill scale</t>
        </is>
      </c>
      <c r="B134" s="42" t="n">
        <v>0</v>
      </c>
      <c r="C134" t="inlineStr">
        <is>
          <t>cutoff391</t>
        </is>
      </c>
      <c r="D134" t="inlineStr">
        <is>
          <t>RER</t>
        </is>
      </c>
      <c r="E134" t="inlineStr">
        <is>
          <t>kilogram</t>
        </is>
      </c>
      <c r="G134" s="22" t="inlineStr">
        <is>
          <t>technosphere</t>
        </is>
      </c>
      <c r="H134" t="inlineStr">
        <is>
          <t>mill scale</t>
        </is>
      </c>
      <c r="I134" t="inlineStr">
        <is>
          <t>Amount reported by worldsteel (2010) and is representative of the average global situation in 2009. Also based on worldsteel (2010), an internal recovery (recycling) rate of 89% is assumed. Source: Worldsteel (2010). Steel industry by-products. World Steel Association: Brussels, Belgium.</t>
        </is>
      </c>
      <c r="O134" t="inlineStr">
        <is>
          <t>steel production, converter, unalloyed</t>
        </is>
      </c>
      <c r="P134" t="inlineStr">
        <is>
          <t>steel, unalloyed</t>
        </is>
      </c>
      <c r="Q134" t="inlineStr">
        <is>
          <t>RER</t>
        </is>
      </c>
    </row>
    <row r="135">
      <c r="A135" t="inlineStr">
        <is>
          <t>market group for natural gas, high pressure</t>
        </is>
      </c>
      <c r="B135" s="42" t="n">
        <v>0</v>
      </c>
      <c r="C135" t="inlineStr">
        <is>
          <t>cutoff391</t>
        </is>
      </c>
      <c r="D135" t="inlineStr">
        <is>
          <t>Europe without Switzerland</t>
        </is>
      </c>
      <c r="E135" t="inlineStr">
        <is>
          <t>cubic meter</t>
        </is>
      </c>
      <c r="G135" s="22" t="inlineStr">
        <is>
          <t>technosphere</t>
        </is>
      </c>
      <c r="H135" t="inlineStr">
        <is>
          <t>natural gas, high pressure</t>
        </is>
      </c>
      <c r="I135" t="inlineStr">
        <is>
          <t>geometric mean of Remus et al. (2013) data range</t>
        </is>
      </c>
      <c r="O135" t="inlineStr">
        <is>
          <t>steel production, converter, unalloyed</t>
        </is>
      </c>
      <c r="P135" t="inlineStr">
        <is>
          <t>steel, unalloyed</t>
        </is>
      </c>
      <c r="Q135" t="inlineStr">
        <is>
          <t>RER</t>
        </is>
      </c>
    </row>
    <row r="136">
      <c r="A136" t="inlineStr">
        <is>
          <t>market for natural gas, high pressure</t>
        </is>
      </c>
      <c r="B136" s="42" t="n">
        <v>0</v>
      </c>
      <c r="C136" t="inlineStr">
        <is>
          <t>cutoff391</t>
        </is>
      </c>
      <c r="D136" t="inlineStr">
        <is>
          <t>CH</t>
        </is>
      </c>
      <c r="E136" t="inlineStr">
        <is>
          <t>cubic meter</t>
        </is>
      </c>
      <c r="G136" s="22" t="inlineStr">
        <is>
          <t>technosphere</t>
        </is>
      </c>
      <c r="H136" t="inlineStr">
        <is>
          <t>natural gas, high pressure</t>
        </is>
      </c>
      <c r="I136" t="inlineStr">
        <is>
          <t>geometric mean of Remus et al. (2013) data range</t>
        </is>
      </c>
      <c r="O136" t="inlineStr">
        <is>
          <t>steel production, converter, unalloyed</t>
        </is>
      </c>
      <c r="P136" t="inlineStr">
        <is>
          <t>steel, unalloyed</t>
        </is>
      </c>
      <c r="Q136" t="inlineStr">
        <is>
          <t>RER</t>
        </is>
      </c>
    </row>
    <row r="137">
      <c r="A137" t="inlineStr">
        <is>
          <t>market for oxygen, liquid</t>
        </is>
      </c>
      <c r="B137" s="42" t="n">
        <v>0</v>
      </c>
      <c r="C137" t="inlineStr">
        <is>
          <t>cutoff391</t>
        </is>
      </c>
      <c r="D137" t="inlineStr">
        <is>
          <t>RER</t>
        </is>
      </c>
      <c r="E137" t="inlineStr">
        <is>
          <t>kilogram</t>
        </is>
      </c>
      <c r="G137" s="22" t="inlineStr">
        <is>
          <t>technosphere</t>
        </is>
      </c>
      <c r="H137" t="inlineStr">
        <is>
          <t>oxygen, liquid</t>
        </is>
      </c>
      <c r="I137" t="inlineStr">
        <is>
          <t>geometric mean of Remus et al. (2013) data range</t>
        </is>
      </c>
      <c r="O137" t="inlineStr">
        <is>
          <t>steel production, converter, unalloyed</t>
        </is>
      </c>
      <c r="P137" t="inlineStr">
        <is>
          <t>steel, unalloyed</t>
        </is>
      </c>
      <c r="Q137" t="inlineStr">
        <is>
          <t>RER</t>
        </is>
      </c>
    </row>
    <row r="138">
      <c r="A138" t="inlineStr">
        <is>
          <t>market for quicklime, in pieces, loose</t>
        </is>
      </c>
      <c r="B138" s="42" t="n">
        <v>0</v>
      </c>
      <c r="C138" t="inlineStr">
        <is>
          <t>cutoff391</t>
        </is>
      </c>
      <c r="D138" t="inlineStr">
        <is>
          <t>CH</t>
        </is>
      </c>
      <c r="E138" t="inlineStr">
        <is>
          <t>kilogram</t>
        </is>
      </c>
      <c r="G138" s="22" t="inlineStr">
        <is>
          <t>technosphere</t>
        </is>
      </c>
      <c r="H138" t="inlineStr">
        <is>
          <t>quicklime, in pieces, loose</t>
        </is>
      </c>
      <c r="I138" t="inlineStr">
        <is>
          <t>geometric mean of Remus et al. (2013) data range</t>
        </is>
      </c>
      <c r="O138" t="inlineStr">
        <is>
          <t>steel production, converter, unalloyed</t>
        </is>
      </c>
      <c r="P138" t="inlineStr">
        <is>
          <t>steel, unalloyed</t>
        </is>
      </c>
      <c r="Q138" t="inlineStr">
        <is>
          <t>RER</t>
        </is>
      </c>
    </row>
    <row r="139">
      <c r="A139" t="inlineStr">
        <is>
          <t>market for wastewater from pig iron production</t>
        </is>
      </c>
      <c r="B139" s="42" t="n">
        <v>0</v>
      </c>
      <c r="C139" t="inlineStr">
        <is>
          <t>cutoff391</t>
        </is>
      </c>
      <c r="D139" t="inlineStr">
        <is>
          <t>Europe without Switzerland</t>
        </is>
      </c>
      <c r="E139" t="inlineStr">
        <is>
          <t>cubic meter</t>
        </is>
      </c>
      <c r="G139" s="22" t="inlineStr">
        <is>
          <t>technosphere</t>
        </is>
      </c>
      <c r="H139" t="inlineStr">
        <is>
          <t>wastewater from pig iron production</t>
        </is>
      </c>
      <c r="I139" t="inlineStr">
        <is>
          <t>geometric mean of Remus et al. (2013) data range</t>
        </is>
      </c>
      <c r="O139" t="inlineStr">
        <is>
          <t>steel production, converter, unalloyed</t>
        </is>
      </c>
      <c r="P139" t="inlineStr">
        <is>
          <t>steel, unalloyed</t>
        </is>
      </c>
      <c r="Q139" t="inlineStr">
        <is>
          <t>RER</t>
        </is>
      </c>
    </row>
    <row r="140">
      <c r="A140" t="inlineStr">
        <is>
          <t>market for wastewater from pig iron production</t>
        </is>
      </c>
      <c r="B140" s="42" t="n">
        <v>0</v>
      </c>
      <c r="C140" t="inlineStr">
        <is>
          <t>cutoff391</t>
        </is>
      </c>
      <c r="D140" t="inlineStr">
        <is>
          <t>CH</t>
        </is>
      </c>
      <c r="E140" t="inlineStr">
        <is>
          <t>cubic meter</t>
        </is>
      </c>
      <c r="G140" s="22" t="inlineStr">
        <is>
          <t>technosphere</t>
        </is>
      </c>
      <c r="H140" t="inlineStr">
        <is>
          <t>wastewater from pig iron production</t>
        </is>
      </c>
      <c r="I140" t="inlineStr">
        <is>
          <t>geometric mean of Remus et al. (2013) data range</t>
        </is>
      </c>
      <c r="O140" t="inlineStr">
        <is>
          <t>steel production, converter, unalloyed</t>
        </is>
      </c>
      <c r="P140" t="inlineStr">
        <is>
          <t>steel, unalloyed</t>
        </is>
      </c>
      <c r="Q140" t="inlineStr">
        <is>
          <t>RER</t>
        </is>
      </c>
    </row>
    <row r="141">
      <c r="A141" t="inlineStr">
        <is>
          <t>Carbon dioxide, fossil</t>
        </is>
      </c>
      <c r="B141" s="42" t="n">
        <v>0</v>
      </c>
      <c r="C141" t="inlineStr">
        <is>
          <t>biosphere3</t>
        </is>
      </c>
      <c r="E141" t="inlineStr">
        <is>
          <t>kilogram</t>
        </is>
      </c>
      <c r="F141" t="inlineStr">
        <is>
          <t>air</t>
        </is>
      </c>
      <c r="G141" s="22" t="inlineStr">
        <is>
          <t>biosphere</t>
        </is>
      </c>
      <c r="I141" t="inlineStr">
        <is>
          <t>geometric mean of Remus et al. (2013) data range</t>
        </is>
      </c>
      <c r="N141" t="inlineStr">
        <is>
          <t>CO2</t>
        </is>
      </c>
      <c r="O141" t="inlineStr">
        <is>
          <t>steel production, converter, unalloyed</t>
        </is>
      </c>
      <c r="P141" t="inlineStr">
        <is>
          <t>steel, unalloyed</t>
        </is>
      </c>
      <c r="Q141" t="inlineStr">
        <is>
          <t>RER</t>
        </is>
      </c>
    </row>
    <row r="142">
      <c r="A142" t="inlineStr">
        <is>
          <t>Carbon monoxide, fossil</t>
        </is>
      </c>
      <c r="B142" s="42" t="n">
        <v>0</v>
      </c>
      <c r="C142" t="inlineStr">
        <is>
          <t>biosphere3</t>
        </is>
      </c>
      <c r="E142" t="inlineStr">
        <is>
          <t>kilogram</t>
        </is>
      </c>
      <c r="F142" t="inlineStr">
        <is>
          <t>air</t>
        </is>
      </c>
      <c r="G142" s="22" t="inlineStr">
        <is>
          <t>biosphere</t>
        </is>
      </c>
      <c r="I142" t="inlineStr">
        <is>
          <t>geometric mean of Remus et al. (2013) data range</t>
        </is>
      </c>
      <c r="N142" t="inlineStr">
        <is>
          <t>CO</t>
        </is>
      </c>
      <c r="O142" t="inlineStr">
        <is>
          <t>steel production, converter, unalloyed</t>
        </is>
      </c>
      <c r="P142" t="inlineStr">
        <is>
          <t>steel, unalloyed</t>
        </is>
      </c>
      <c r="Q142" t="inlineStr">
        <is>
          <t>RER</t>
        </is>
      </c>
    </row>
    <row r="143">
      <c r="A143" t="inlineStr">
        <is>
          <t>Chromium</t>
        </is>
      </c>
      <c r="B143" s="42" t="n">
        <v>0</v>
      </c>
      <c r="C143" t="inlineStr">
        <is>
          <t>biosphere3</t>
        </is>
      </c>
      <c r="E143" t="inlineStr">
        <is>
          <t>kilogram</t>
        </is>
      </c>
      <c r="F143" t="inlineStr">
        <is>
          <t>air</t>
        </is>
      </c>
      <c r="G143" s="22" t="inlineStr">
        <is>
          <t>biosphere</t>
        </is>
      </c>
      <c r="I143" t="inlineStr">
        <is>
          <t>geometric mean of Remus et al. (2013) data range</t>
        </is>
      </c>
      <c r="N143" t="inlineStr">
        <is>
          <t>Cr</t>
        </is>
      </c>
      <c r="O143" t="inlineStr">
        <is>
          <t>steel production, converter, unalloyed</t>
        </is>
      </c>
      <c r="P143" t="inlineStr">
        <is>
          <t>steel, unalloyed</t>
        </is>
      </c>
      <c r="Q143" t="inlineStr">
        <is>
          <t>RER</t>
        </is>
      </c>
    </row>
    <row r="144">
      <c r="A144" t="inlineStr">
        <is>
          <t>Copper ion</t>
        </is>
      </c>
      <c r="B144" s="42" t="n">
        <v>0</v>
      </c>
      <c r="C144" t="inlineStr">
        <is>
          <t>biosphere3</t>
        </is>
      </c>
      <c r="E144" t="inlineStr">
        <is>
          <t>kilogram</t>
        </is>
      </c>
      <c r="F144" t="inlineStr">
        <is>
          <t>air</t>
        </is>
      </c>
      <c r="G144" s="22" t="inlineStr">
        <is>
          <t>biosphere</t>
        </is>
      </c>
      <c r="I144" t="inlineStr">
        <is>
          <t>geometric mean of Remus et al. (2013) data range</t>
        </is>
      </c>
      <c r="N144" t="inlineStr">
        <is>
          <t>Cu</t>
        </is>
      </c>
      <c r="O144" t="inlineStr">
        <is>
          <t>steel production, converter, unalloyed</t>
        </is>
      </c>
      <c r="P144" t="inlineStr">
        <is>
          <t>steel, unalloyed</t>
        </is>
      </c>
      <c r="Q144" t="inlineStr">
        <is>
          <t>RER</t>
        </is>
      </c>
    </row>
    <row r="145">
      <c r="A145" t="inlineStr">
        <is>
          <t>Dioxins, measured as 2,3,7,8-tetrachlorodibenzo-p-dioxin</t>
        </is>
      </c>
      <c r="B145" s="42" t="n">
        <v>0</v>
      </c>
      <c r="C145" t="inlineStr">
        <is>
          <t>biosphere3</t>
        </is>
      </c>
      <c r="E145" t="inlineStr">
        <is>
          <t>kilogram</t>
        </is>
      </c>
      <c r="F145" t="inlineStr">
        <is>
          <t>air</t>
        </is>
      </c>
      <c r="G145" s="22" t="inlineStr">
        <is>
          <t>biosphere</t>
        </is>
      </c>
      <c r="I145" t="inlineStr">
        <is>
          <t>geometric mean of Remus et al. (2013) data range</t>
        </is>
      </c>
      <c r="N145" t="inlineStr">
        <is>
          <t>C12H4Cl4O2</t>
        </is>
      </c>
      <c r="O145" t="inlineStr">
        <is>
          <t>steel production, converter, unalloyed</t>
        </is>
      </c>
      <c r="P145" t="inlineStr">
        <is>
          <t>steel, unalloyed</t>
        </is>
      </c>
      <c r="Q145" t="inlineStr">
        <is>
          <t>RER</t>
        </is>
      </c>
    </row>
    <row r="146">
      <c r="A146" t="inlineStr">
        <is>
          <t>Heat, waste</t>
        </is>
      </c>
      <c r="B146" s="42" t="n">
        <v>0</v>
      </c>
      <c r="C146" t="inlineStr">
        <is>
          <t>biosphere3</t>
        </is>
      </c>
      <c r="E146" t="inlineStr">
        <is>
          <t>megajoule</t>
        </is>
      </c>
      <c r="F146" t="inlineStr">
        <is>
          <t>air</t>
        </is>
      </c>
      <c r="G146" s="22" t="inlineStr">
        <is>
          <t>biosphere</t>
        </is>
      </c>
      <c r="I146" t="inlineStr">
        <is>
          <t>Calculated from energy balanced model</t>
        </is>
      </c>
      <c r="O146" t="inlineStr">
        <is>
          <t>steel production, converter, unalloyed</t>
        </is>
      </c>
      <c r="P146" t="inlineStr">
        <is>
          <t>steel, unalloyed</t>
        </is>
      </c>
      <c r="Q146" t="inlineStr">
        <is>
          <t>RER</t>
        </is>
      </c>
    </row>
    <row r="147">
      <c r="A147" t="inlineStr">
        <is>
          <t>Iron</t>
        </is>
      </c>
      <c r="B147" s="42" t="n">
        <v>0</v>
      </c>
      <c r="C147" t="inlineStr">
        <is>
          <t>biosphere3</t>
        </is>
      </c>
      <c r="E147" t="inlineStr">
        <is>
          <t>kilogram</t>
        </is>
      </c>
      <c r="F147" t="inlineStr">
        <is>
          <t>air</t>
        </is>
      </c>
      <c r="G147" s="22" t="inlineStr">
        <is>
          <t>biosphere</t>
        </is>
      </c>
      <c r="I147" t="inlineStr">
        <is>
          <t>geometric mean of Remus et al. (2013) data range</t>
        </is>
      </c>
      <c r="N147" t="inlineStr">
        <is>
          <t>Fe</t>
        </is>
      </c>
      <c r="O147" t="inlineStr">
        <is>
          <t>steel production, converter, unalloyed</t>
        </is>
      </c>
      <c r="P147" t="inlineStr">
        <is>
          <t>steel, unalloyed</t>
        </is>
      </c>
      <c r="Q147" t="inlineStr">
        <is>
          <t>RER</t>
        </is>
      </c>
    </row>
    <row r="148">
      <c r="A148" t="inlineStr">
        <is>
          <t>Lead</t>
        </is>
      </c>
      <c r="B148" s="42" t="n">
        <v>0</v>
      </c>
      <c r="C148" t="inlineStr">
        <is>
          <t>biosphere3</t>
        </is>
      </c>
      <c r="E148" t="inlineStr">
        <is>
          <t>kilogram</t>
        </is>
      </c>
      <c r="F148" t="inlineStr">
        <is>
          <t>air</t>
        </is>
      </c>
      <c r="G148" s="22" t="inlineStr">
        <is>
          <t>biosphere</t>
        </is>
      </c>
      <c r="I148" t="inlineStr">
        <is>
          <t>geometric mean of Remus et al. (2013) data range</t>
        </is>
      </c>
      <c r="N148" t="inlineStr">
        <is>
          <t>Pb</t>
        </is>
      </c>
      <c r="O148" t="inlineStr">
        <is>
          <t>steel production, converter, unalloyed</t>
        </is>
      </c>
      <c r="P148" t="inlineStr">
        <is>
          <t>steel, unalloyed</t>
        </is>
      </c>
      <c r="Q148" t="inlineStr">
        <is>
          <t>RER</t>
        </is>
      </c>
    </row>
    <row r="149">
      <c r="A149" t="inlineStr">
        <is>
          <t>Manganese</t>
        </is>
      </c>
      <c r="B149" s="42" t="n">
        <v>0</v>
      </c>
      <c r="C149" t="inlineStr">
        <is>
          <t>biosphere3</t>
        </is>
      </c>
      <c r="E149" t="inlineStr">
        <is>
          <t>kilogram</t>
        </is>
      </c>
      <c r="F149" t="inlineStr">
        <is>
          <t>air</t>
        </is>
      </c>
      <c r="G149" s="22" t="inlineStr">
        <is>
          <t>biosphere</t>
        </is>
      </c>
      <c r="I149" t="inlineStr">
        <is>
          <t>geometric mean of Remus et al. (2013) data range</t>
        </is>
      </c>
      <c r="N149" t="inlineStr">
        <is>
          <t>Mn</t>
        </is>
      </c>
      <c r="O149" t="inlineStr">
        <is>
          <t>steel production, converter, unalloyed</t>
        </is>
      </c>
      <c r="P149" t="inlineStr">
        <is>
          <t>steel, unalloyed</t>
        </is>
      </c>
      <c r="Q149" t="inlineStr">
        <is>
          <t>RER</t>
        </is>
      </c>
    </row>
    <row r="150">
      <c r="A150" t="inlineStr">
        <is>
          <t>Nitrogen oxides</t>
        </is>
      </c>
      <c r="B150" s="42" t="n">
        <v>0</v>
      </c>
      <c r="C150" t="inlineStr">
        <is>
          <t>biosphere3</t>
        </is>
      </c>
      <c r="E150" t="inlineStr">
        <is>
          <t>kilogram</t>
        </is>
      </c>
      <c r="F150" t="inlineStr">
        <is>
          <t>air</t>
        </is>
      </c>
      <c r="G150" s="22" t="inlineStr">
        <is>
          <t>biosphere</t>
        </is>
      </c>
      <c r="I150" t="inlineStr">
        <is>
          <t>geometric mean of Remus et al. (2013) data range</t>
        </is>
      </c>
      <c r="N150" t="inlineStr">
        <is>
          <t>H3NO</t>
        </is>
      </c>
      <c r="O150" t="inlineStr">
        <is>
          <t>steel production, converter, unalloyed</t>
        </is>
      </c>
      <c r="P150" t="inlineStr">
        <is>
          <t>steel, unalloyed</t>
        </is>
      </c>
      <c r="Q150" t="inlineStr">
        <is>
          <t>RER</t>
        </is>
      </c>
    </row>
    <row r="151">
      <c r="A151" t="inlineStr">
        <is>
          <t>PAH, polycyclic aromatic hydrocarbons</t>
        </is>
      </c>
      <c r="B151" s="42" t="n">
        <v>0</v>
      </c>
      <c r="C151" t="inlineStr">
        <is>
          <t>biosphere3</t>
        </is>
      </c>
      <c r="E151" t="inlineStr">
        <is>
          <t>kilogram</t>
        </is>
      </c>
      <c r="F151" t="inlineStr">
        <is>
          <t>air</t>
        </is>
      </c>
      <c r="G151" s="22" t="inlineStr">
        <is>
          <t>biosphere</t>
        </is>
      </c>
      <c r="I151" t="inlineStr">
        <is>
          <t>geometric mean of Remus et al. (2013) data range</t>
        </is>
      </c>
      <c r="O151" t="inlineStr">
        <is>
          <t>steel production, converter, unalloyed</t>
        </is>
      </c>
      <c r="P151" t="inlineStr">
        <is>
          <t>steel, unalloyed</t>
        </is>
      </c>
      <c r="Q151" t="inlineStr">
        <is>
          <t>RER</t>
        </is>
      </c>
    </row>
    <row r="152">
      <c r="A152" t="inlineStr">
        <is>
          <t>Particulates, &lt; 2.5 um</t>
        </is>
      </c>
      <c r="B152" s="42" t="n">
        <v>0</v>
      </c>
      <c r="C152" t="inlineStr">
        <is>
          <t>biosphere3</t>
        </is>
      </c>
      <c r="E152" t="inlineStr">
        <is>
          <t>kilogram</t>
        </is>
      </c>
      <c r="F152" t="inlineStr">
        <is>
          <t>air</t>
        </is>
      </c>
      <c r="G152" s="22" t="inlineStr">
        <is>
          <t>biosphere</t>
        </is>
      </c>
      <c r="I152" t="inlineStr">
        <is>
          <t>geometric mean of Remus et al. (2013) data range</t>
        </is>
      </c>
      <c r="O152" t="inlineStr">
        <is>
          <t>steel production, converter, unalloyed</t>
        </is>
      </c>
      <c r="P152" t="inlineStr">
        <is>
          <t>steel, unalloyed</t>
        </is>
      </c>
      <c r="Q152" t="inlineStr">
        <is>
          <t>RER</t>
        </is>
      </c>
    </row>
    <row r="153">
      <c r="A153" t="inlineStr">
        <is>
          <t>Water</t>
        </is>
      </c>
      <c r="B153" s="42" t="n">
        <v>0</v>
      </c>
      <c r="C153" t="inlineStr">
        <is>
          <t>biosphere3</t>
        </is>
      </c>
      <c r="E153" t="inlineStr">
        <is>
          <t>cubic meter</t>
        </is>
      </c>
      <c r="F153" t="inlineStr">
        <is>
          <t>air</t>
        </is>
      </c>
      <c r="G153" s="22" t="inlineStr">
        <is>
          <t>biosphere</t>
        </is>
      </c>
      <c r="I153" t="inlineStr">
        <is>
          <t>Source: Classen et al. (2009)</t>
        </is>
      </c>
      <c r="N153" t="inlineStr">
        <is>
          <t>H2O</t>
        </is>
      </c>
      <c r="O153" t="inlineStr">
        <is>
          <t>steel production, converter, unalloyed</t>
        </is>
      </c>
      <c r="P153" t="inlineStr">
        <is>
          <t>steel, unalloyed</t>
        </is>
      </c>
      <c r="Q153" t="inlineStr">
        <is>
          <t>RER</t>
        </is>
      </c>
    </row>
    <row r="154">
      <c r="A154" t="inlineStr">
        <is>
          <t>Water, cooling, unspecified natural origin</t>
        </is>
      </c>
      <c r="B154" s="42" t="n">
        <v>0</v>
      </c>
      <c r="C154" t="inlineStr">
        <is>
          <t>biosphere3</t>
        </is>
      </c>
      <c r="E154" t="inlineStr">
        <is>
          <t>cubic meter</t>
        </is>
      </c>
      <c r="F154" t="inlineStr">
        <is>
          <t>natural resource::in water</t>
        </is>
      </c>
      <c r="G154" s="22" t="inlineStr">
        <is>
          <t>biosphere</t>
        </is>
      </c>
      <c r="I154" t="inlineStr">
        <is>
          <t>geometric mean of Remus et al. (2013) data range</t>
        </is>
      </c>
      <c r="N154" t="inlineStr">
        <is>
          <t>H2O</t>
        </is>
      </c>
      <c r="O154" t="inlineStr">
        <is>
          <t>steel production, converter, unalloyed</t>
        </is>
      </c>
      <c r="P154" t="inlineStr">
        <is>
          <t>steel, unalloyed</t>
        </is>
      </c>
      <c r="Q154" t="inlineStr">
        <is>
          <t>RER</t>
        </is>
      </c>
    </row>
    <row r="155"/>
    <row r="156"/>
    <row r="157">
      <c r="A157" s="29" t="n"/>
    </row>
  </sheetData>
  <autoFilter ref="A1:Q157"/>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R139"/>
  <sheetViews>
    <sheetView topLeftCell="H1" zoomScaleNormal="55" workbookViewId="0">
      <selection activeCell="O13" sqref="O13"/>
    </sheetView>
  </sheetViews>
  <sheetFormatPr baseColWidth="10" defaultColWidth="8.83203125" defaultRowHeight="14.75" customHeight="1"/>
  <cols>
    <col width="40.5" customWidth="1" min="1" max="1"/>
    <col width="27.5" customWidth="1" min="2" max="2"/>
    <col width="15.5" customWidth="1" min="8" max="8"/>
    <col width="13.33203125" customWidth="1" min="9" max="9"/>
  </cols>
  <sheetData>
    <row r="1" ht="14.75" customHeight="1">
      <c r="A1" s="19" t="inlineStr">
        <is>
          <t>Activity</t>
        </is>
      </c>
      <c r="B1" s="19" t="inlineStr">
        <is>
          <t>pig iron production, top gas recycling-blast furnace</t>
        </is>
      </c>
      <c r="C1" s="21" t="n"/>
      <c r="D1" s="21" t="n"/>
      <c r="E1" s="21" t="n"/>
      <c r="F1" s="21" t="n"/>
      <c r="G1" s="21" t="n"/>
      <c r="H1" s="21" t="n"/>
    </row>
    <row r="2" ht="14.75" customHeight="1">
      <c r="A2" s="22" t="inlineStr">
        <is>
          <t>production amount</t>
        </is>
      </c>
      <c r="B2" s="22" t="n">
        <v>1</v>
      </c>
      <c r="C2" s="21" t="n"/>
      <c r="D2" s="21" t="n"/>
      <c r="E2" s="21" t="n"/>
      <c r="F2" s="21" t="n"/>
      <c r="G2" s="21" t="n"/>
      <c r="H2" s="21" t="n"/>
    </row>
    <row r="3" ht="14.75" customHeight="1">
      <c r="A3" s="22" t="inlineStr">
        <is>
          <t>location</t>
        </is>
      </c>
      <c r="B3" s="22" t="inlineStr">
        <is>
          <t>GLO</t>
        </is>
      </c>
      <c r="C3" s="21" t="n"/>
      <c r="D3" s="21" t="n"/>
      <c r="E3" s="21" t="n"/>
      <c r="F3" s="21" t="n"/>
      <c r="G3" s="21" t="n"/>
      <c r="H3" s="21" t="n"/>
    </row>
    <row r="4" ht="14.75" customHeight="1">
      <c r="A4" s="22" t="inlineStr">
        <is>
          <t>reference product</t>
        </is>
      </c>
      <c r="B4" s="22" t="inlineStr">
        <is>
          <t>pig iron</t>
        </is>
      </c>
      <c r="C4" s="21" t="n"/>
      <c r="D4" s="21" t="n"/>
      <c r="E4" s="21" t="n"/>
      <c r="F4" s="21" t="n"/>
      <c r="G4" s="21" t="n"/>
      <c r="H4" s="21" t="n"/>
    </row>
    <row r="5" ht="14.75" customHeight="1">
      <c r="A5" s="22" t="inlineStr">
        <is>
          <t>unit</t>
        </is>
      </c>
      <c r="B5" s="22" t="inlineStr">
        <is>
          <t>kilogram</t>
        </is>
      </c>
      <c r="C5" s="21" t="n"/>
      <c r="D5" s="21" t="n"/>
      <c r="E5" s="21" t="n"/>
      <c r="F5" s="21" t="n"/>
      <c r="G5" s="21" t="n"/>
      <c r="H5" s="21" t="n"/>
    </row>
    <row r="6" ht="14.75" customHeight="1">
      <c r="A6" s="22" t="inlineStr">
        <is>
          <t>comment</t>
        </is>
      </c>
      <c r="B6" s="43" t="inlineStr">
        <is>
          <t>This dataset, derived from the ecoinvent 3.8 cutoff process *"pig iron production"* (RER region), was modified by Harpprecht et al. (2025) to represent iron production via top gas recycling (TGR) in a blast furnace–basic oxygen furnace (BF-BOF) system. In this approach, CO is separated from the top gas using vacuum pressure swing adsorption (VPSA) and reinjected into the furnace, reducing the need for fresh carbon inputs. Key modifications based on Quader et al. (2016) include a 24.5% reduction in coal and hard coal inputs and a 24% reduction in CO₂ emissions. Emissions of particulate matter were assumed to decrease at the same rate as coal inputs. CO emissions were reduced by 90% to reflect high top gas recycling ratios (Quader et al., 2016; Keys et al., 2019). Additional oxygen (0.166 kg/kg pig iron) is introduced, replacing the hot air blast and increasing CO concentration in the top gas (Otto et al., 2017; Kuramochi et al., 2012). VPSA operation requires 0.083 kWh/kg pig iron in electricity (Otto et al., 2017), and flue gas pretreatment reduces SO₂ by 95% and NOₓ by 100% (Choi, 2013; Keys et al., 2019). Zeolite is consumed in the VPSA process at 0.00075 kg/kg pig iron, based on CO₂ separation rates (Choi, 2013). These updates offer a forward-looking representation of low-carbon pig iron production using gas recycling and separation technologies.
**References**
* Choi, H. D. (2013). *Hybrid life cycle assessment of steel production with carbon capture and storage*. NTNU. [Link](https://ntnuopen.ntnu.no/ntnu-xmlui/handle/11250/235312)
* Ho, M. T., Allinson, G. W., &amp; Wiley, D. E. (2008). *Reducing the cost of CO₂ capture from flue gases using membrane technology*. *Ind. Eng. Chem. Res.*, 47(5), 1562–1568. [https://doi.org/10.1021/ie070541y](https://doi.org/10.1021/ie070541y)
* Keys, A., van Hout, M., &amp; Daniëls, B. (2019). *Decarbonisation options for the Dutch Steel Industry*. PBL Netherlands Environmental Assessment Agency. [PDF](https://www.pbl.nl/sites/default/files/downloads/pbl-2019-decarbonisation-options-for-the-dutch-steel-industry_3723.pdf)
* Kuramochi, T., Ramírez, A., Turkenburg, W., &amp; Faaij, A. (2012). *Comparative assessment of CO₂ capture technologies for carbon-intensive industrial processes*. *Progress in Energy and Combustion Science*, 38(1), 87–112. [https://doi.org/10.1016/j.pecs.2011.05.001](https://doi.org/10.1016/j.pecs.2011.05.001)
* Otto, A. et al. (2017). *Power-to-steel: Reducing CO₂ through integration of renewables and hydrogen into the German steel industry*. *Energies*, 10(4), 451. [https://doi.org/10.3390/en10040451](https://doi.org/10.3390/en10040451)
* Quader, M. A. et al. (2016). *Present needs, recent progress and future trends of energy-efficient Ultra-Low CO₂ Steelmaking (ULCOS) program*. *Renewable and Sustainable Energy Reviews*, 55, 537–549. [https://doi.org/10.1016/j.rser.2015.10.101](https://doi.org/10.1016/j.rser.2015.10.101)</t>
        </is>
      </c>
      <c r="C6" s="21" t="n"/>
      <c r="D6" s="21" t="n"/>
      <c r="E6" s="21" t="n"/>
      <c r="F6" s="21" t="n"/>
      <c r="G6" s="21" t="n"/>
      <c r="H6" s="21" t="n"/>
    </row>
    <row r="7" ht="15" customHeight="1">
      <c r="A7" s="22" t="inlineStr">
        <is>
          <t>source</t>
        </is>
      </c>
      <c r="B7" s="22" t="inlineStr">
        <is>
          <t>Harpprecht C., Sacchi R., Naegler T., et al. "Future environmental impacts of global iron and steel production". Energy Environ Sci. (2025). doi: 10.1039/D5EE01356A</t>
        </is>
      </c>
      <c r="C7" s="21" t="n"/>
      <c r="D7" s="21" t="n"/>
      <c r="E7" s="21" t="n"/>
      <c r="F7" s="21" t="n"/>
      <c r="G7" s="21" t="n"/>
      <c r="H7" s="21" t="n"/>
    </row>
    <row r="8" ht="14.75" customHeight="1">
      <c r="A8" s="19" t="inlineStr">
        <is>
          <t>Exchanges</t>
        </is>
      </c>
      <c r="B8" s="22" t="n"/>
      <c r="C8" s="21" t="n"/>
      <c r="D8" s="21" t="n"/>
      <c r="E8" s="21" t="n"/>
      <c r="F8" s="21" t="n"/>
      <c r="G8" s="21" t="n"/>
      <c r="H8" s="21" t="n"/>
    </row>
    <row r="9" ht="14.75" customHeight="1">
      <c r="A9" s="23" t="inlineStr">
        <is>
          <t>name</t>
        </is>
      </c>
      <c r="B9" s="23" t="inlineStr">
        <is>
          <t>amount</t>
        </is>
      </c>
      <c r="C9" s="23" t="inlineStr">
        <is>
          <t>database</t>
        </is>
      </c>
      <c r="D9" s="23" t="inlineStr">
        <is>
          <t>location</t>
        </is>
      </c>
      <c r="E9" s="23" t="inlineStr">
        <is>
          <t>unit</t>
        </is>
      </c>
      <c r="F9" s="23" t="inlineStr">
        <is>
          <t>categories</t>
        </is>
      </c>
      <c r="G9" s="23" t="inlineStr">
        <is>
          <t>type</t>
        </is>
      </c>
      <c r="H9" s="23" t="inlineStr">
        <is>
          <t>reference product</t>
        </is>
      </c>
      <c r="I9" s="23" t="inlineStr">
        <is>
          <t>comment</t>
        </is>
      </c>
      <c r="J9" s="20" t="inlineStr">
        <is>
          <t>uncertainty type</t>
        </is>
      </c>
      <c r="K9" s="20" t="inlineStr">
        <is>
          <t>pedigree</t>
        </is>
      </c>
      <c r="L9" s="20" t="inlineStr">
        <is>
          <t>loc</t>
        </is>
      </c>
      <c r="M9" s="20" t="inlineStr">
        <is>
          <t>scale</t>
        </is>
      </c>
      <c r="N9" s="20" t="inlineStr">
        <is>
          <t>formula</t>
        </is>
      </c>
      <c r="O9" s="20" t="inlineStr">
        <is>
          <t>replacement name</t>
        </is>
      </c>
      <c r="P9" s="20" t="inlineStr">
        <is>
          <t>replacement product</t>
        </is>
      </c>
      <c r="Q9" s="20" t="inlineStr">
        <is>
          <t>replacement location</t>
        </is>
      </c>
    </row>
    <row r="10" ht="14.75" customHeight="1">
      <c r="A10" s="24" t="inlineStr">
        <is>
          <t>pig iron production, top gas recycling-blast furnace</t>
        </is>
      </c>
      <c r="B10" s="22" t="n">
        <v>1</v>
      </c>
      <c r="C10" s="22" t="inlineStr">
        <is>
          <t>steel_paper</t>
        </is>
      </c>
      <c r="D10" s="22" t="inlineStr">
        <is>
          <t>GLO</t>
        </is>
      </c>
      <c r="E10" s="22" t="inlineStr">
        <is>
          <t>kilogram</t>
        </is>
      </c>
      <c r="F10" s="22" t="n"/>
      <c r="G10" s="22" t="inlineStr">
        <is>
          <t>production</t>
        </is>
      </c>
      <c r="H10" s="22" t="inlineStr">
        <is>
          <t>pig iron</t>
        </is>
      </c>
    </row>
    <row r="11" ht="14.75" customHeight="1">
      <c r="A11" t="inlineStr">
        <is>
          <t>market for blast furnace</t>
        </is>
      </c>
      <c r="B11" s="29" t="n">
        <v>0</v>
      </c>
      <c r="C11" s="24" t="inlineStr">
        <is>
          <t>cutoff391</t>
        </is>
      </c>
      <c r="D11" t="inlineStr">
        <is>
          <t>GLO</t>
        </is>
      </c>
      <c r="E11" t="inlineStr">
        <is>
          <t>unit</t>
        </is>
      </c>
      <c r="G11" t="inlineStr">
        <is>
          <t>technosphere</t>
        </is>
      </c>
      <c r="H11" t="inlineStr">
        <is>
          <t>blast furnace</t>
        </is>
      </c>
      <c r="I1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11" t="inlineStr">
        <is>
          <t>pig iron production</t>
        </is>
      </c>
      <c r="P11" t="inlineStr">
        <is>
          <t>pig iron</t>
        </is>
      </c>
      <c r="Q11" t="inlineStr">
        <is>
          <t>RER</t>
        </is>
      </c>
    </row>
    <row r="12" ht="14.75" customHeight="1">
      <c r="A12" t="inlineStr">
        <is>
          <t>market for blast furnace dust</t>
        </is>
      </c>
      <c r="B12" s="29" t="n">
        <v>0</v>
      </c>
      <c r="C12" s="24" t="inlineStr">
        <is>
          <t>cutoff391</t>
        </is>
      </c>
      <c r="D12" t="inlineStr">
        <is>
          <t>RER</t>
        </is>
      </c>
      <c r="E12" t="inlineStr">
        <is>
          <t>kilogram</t>
        </is>
      </c>
      <c r="G12" t="inlineStr">
        <is>
          <t>technosphere</t>
        </is>
      </c>
      <c r="H12" t="inlineStr">
        <is>
          <t>blast furnace dust</t>
        </is>
      </c>
      <c r="I12"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2" t="inlineStr">
        <is>
          <t>pig iron production</t>
        </is>
      </c>
      <c r="P12" t="inlineStr">
        <is>
          <t>pig iron</t>
        </is>
      </c>
      <c r="Q12" t="inlineStr">
        <is>
          <t>RER</t>
        </is>
      </c>
    </row>
    <row r="13" ht="14.75" customHeight="1">
      <c r="A13" t="inlineStr">
        <is>
          <t>market for blast furnace slag</t>
        </is>
      </c>
      <c r="B13" s="29" t="n">
        <v>0.275</v>
      </c>
      <c r="C13" s="24" t="inlineStr">
        <is>
          <t>cutoff391</t>
        </is>
      </c>
      <c r="D13" t="inlineStr">
        <is>
          <t>GLO</t>
        </is>
      </c>
      <c r="E13" t="inlineStr">
        <is>
          <t>kilogram</t>
        </is>
      </c>
      <c r="G13" t="inlineStr">
        <is>
          <t>technosphere</t>
        </is>
      </c>
      <c r="H13" t="inlineStr">
        <is>
          <t>blast furnace slag</t>
        </is>
      </c>
      <c r="I13" t="inlineStr">
        <is>
          <t>Amount reported by worldsteel (2010) and is representative of the average global situation in 2009. Also based on worldsteel (2010), an internal recovery (recycling) rate of 0% is assumed. Source: Worldsteel (2010). Steel industry by-products. World Steel Association: Brussels, Belgium.</t>
        </is>
      </c>
    </row>
    <row r="14" ht="14.75" customHeight="1">
      <c r="A14" t="inlineStr">
        <is>
          <t>market for blast furnace sludge</t>
        </is>
      </c>
      <c r="B14" s="29" t="n">
        <v>0</v>
      </c>
      <c r="C14" s="24" t="inlineStr">
        <is>
          <t>cutoff391</t>
        </is>
      </c>
      <c r="D14" t="inlineStr">
        <is>
          <t>Europe without Switzerland</t>
        </is>
      </c>
      <c r="E14" t="inlineStr">
        <is>
          <t>kilogram</t>
        </is>
      </c>
      <c r="G14" t="inlineStr">
        <is>
          <t>technosphere</t>
        </is>
      </c>
      <c r="H14" t="inlineStr">
        <is>
          <t>blast furnace sludge</t>
        </is>
      </c>
      <c r="I14"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4" t="inlineStr">
        <is>
          <t>pig iron production</t>
        </is>
      </c>
      <c r="P14" t="inlineStr">
        <is>
          <t>pig iron</t>
        </is>
      </c>
      <c r="Q14" t="inlineStr">
        <is>
          <t>RER</t>
        </is>
      </c>
    </row>
    <row r="15" ht="14.75" customHeight="1">
      <c r="A15" t="inlineStr">
        <is>
          <t>market for blast furnace sludge</t>
        </is>
      </c>
      <c r="B15" s="29" t="n">
        <v>0</v>
      </c>
      <c r="C15" s="24" t="inlineStr">
        <is>
          <t>cutoff391</t>
        </is>
      </c>
      <c r="D15" t="inlineStr">
        <is>
          <t>CH</t>
        </is>
      </c>
      <c r="E15" t="inlineStr">
        <is>
          <t>kilogram</t>
        </is>
      </c>
      <c r="G15" t="inlineStr">
        <is>
          <t>technosphere</t>
        </is>
      </c>
      <c r="H15" t="inlineStr">
        <is>
          <t>blast furnace sludge</t>
        </is>
      </c>
      <c r="I15"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5" t="inlineStr">
        <is>
          <t>pig iron production</t>
        </is>
      </c>
      <c r="P15" t="inlineStr">
        <is>
          <t>pig iron</t>
        </is>
      </c>
      <c r="Q15" t="inlineStr">
        <is>
          <t>RER</t>
        </is>
      </c>
    </row>
    <row r="16" ht="14.75" customHeight="1">
      <c r="A16" t="inlineStr">
        <is>
          <t>market for coke</t>
        </is>
      </c>
      <c r="B16">
        <f>9.724*(1-0.245)</f>
        <v>7.3416199999999998</v>
      </c>
      <c r="C16" s="24" t="inlineStr">
        <is>
          <t>cutoff391</t>
        </is>
      </c>
      <c r="D16" t="inlineStr">
        <is>
          <t>GLO</t>
        </is>
      </c>
      <c r="E16" t="inlineStr">
        <is>
          <t>megajoule</t>
        </is>
      </c>
      <c r="G16" t="inlineStr">
        <is>
          <t>technosphere</t>
        </is>
      </c>
      <c r="H16" t="inlineStr">
        <is>
          <t>coke</t>
        </is>
      </c>
      <c r="I16" t="inlineStr">
        <is>
          <t>&gt; Modifications (2025): reduced by 24.5% (Quader et al. 2016)
&gt; original was: 9.724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16" t="n">
        <v>2</v>
      </c>
      <c r="K16" t="inlineStr">
        <is>
          <t>(1, 2, 1, 3, 1, 1)</t>
        </is>
      </c>
      <c r="L16" t="n">
        <v>2.27459705645387</v>
      </c>
      <c r="M16" t="n">
        <v>0.0141421356237309</v>
      </c>
    </row>
    <row r="17" ht="14.75" customHeight="1">
      <c r="A17" t="inlineStr">
        <is>
          <t>market for hard coal</t>
        </is>
      </c>
      <c r="B17">
        <f>0.15*(1-0.245)</f>
        <v>0.11324999999999999</v>
      </c>
      <c r="C17" s="24" t="inlineStr">
        <is>
          <t>cutoff391</t>
        </is>
      </c>
      <c r="D17" t="inlineStr">
        <is>
          <t>Europe, without Russia and Turkey</t>
        </is>
      </c>
      <c r="E17" t="inlineStr">
        <is>
          <t>kilogram</t>
        </is>
      </c>
      <c r="G17" t="inlineStr">
        <is>
          <t>technosphere</t>
        </is>
      </c>
      <c r="H17" t="inlineStr">
        <is>
          <t>hard coal</t>
        </is>
      </c>
      <c r="I17" t="inlineStr">
        <is>
          <t>&gt; Modifications (2025): reduced by 24.5% (Quader et al. 2016)
&gt; original was: 0.15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17" t="n">
        <v>2</v>
      </c>
      <c r="K17" t="inlineStr">
        <is>
          <t>(1, 2, 1, 3, 1, 1)</t>
        </is>
      </c>
      <c r="L17" t="n">
        <v>-1.89711998488588</v>
      </c>
      <c r="M17" t="n">
        <v>0.0141421356237309</v>
      </c>
    </row>
    <row r="18" ht="14.75" customHeight="1">
      <c r="A18" t="inlineStr">
        <is>
          <t>market for inert waste, for final disposal</t>
        </is>
      </c>
      <c r="B18" s="29" t="n">
        <v>0</v>
      </c>
      <c r="C18" s="24" t="inlineStr">
        <is>
          <t>cutoff391</t>
        </is>
      </c>
      <c r="D18" t="inlineStr">
        <is>
          <t>CH</t>
        </is>
      </c>
      <c r="E18" t="inlineStr">
        <is>
          <t>kilogram</t>
        </is>
      </c>
      <c r="G18" t="inlineStr">
        <is>
          <t>technosphere</t>
        </is>
      </c>
      <c r="H18" t="inlineStr">
        <is>
          <t>inert waste, for final disposal</t>
        </is>
      </c>
      <c r="I18" t="inlineStr">
        <is>
          <t>geometric mean of Remus et al. (2013) data range</t>
        </is>
      </c>
      <c r="O18" t="inlineStr">
        <is>
          <t>pig iron production</t>
        </is>
      </c>
      <c r="P18" t="inlineStr">
        <is>
          <t>pig iron</t>
        </is>
      </c>
      <c r="Q18" t="inlineStr">
        <is>
          <t>RER</t>
        </is>
      </c>
    </row>
    <row r="19" ht="14.75" customHeight="1">
      <c r="A19" t="inlineStr">
        <is>
          <t>market for iron ore concentrate</t>
        </is>
      </c>
      <c r="B19" s="29" t="n">
        <v>0</v>
      </c>
      <c r="C19" s="24" t="inlineStr">
        <is>
          <t>cutoff391</t>
        </is>
      </c>
      <c r="D19" t="inlineStr">
        <is>
          <t>GLO</t>
        </is>
      </c>
      <c r="E19" t="inlineStr">
        <is>
          <t>kilogram</t>
        </is>
      </c>
      <c r="G19" t="inlineStr">
        <is>
          <t>technosphere</t>
        </is>
      </c>
      <c r="H19" t="inlineStr">
        <is>
          <t>iron ore concentrate</t>
        </is>
      </c>
      <c r="I19"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19" t="inlineStr">
        <is>
          <t>pig iron production</t>
        </is>
      </c>
      <c r="P19" t="inlineStr">
        <is>
          <t>pig iron</t>
        </is>
      </c>
      <c r="Q19" t="inlineStr">
        <is>
          <t>RER</t>
        </is>
      </c>
    </row>
    <row r="20" ht="14.75" customHeight="1">
      <c r="A20" t="inlineStr">
        <is>
          <t>market for iron pellet</t>
        </is>
      </c>
      <c r="B20" s="29" t="n">
        <v>0</v>
      </c>
      <c r="C20" s="24" t="inlineStr">
        <is>
          <t>cutoff391</t>
        </is>
      </c>
      <c r="D20" t="inlineStr">
        <is>
          <t>GLO</t>
        </is>
      </c>
      <c r="E20" t="inlineStr">
        <is>
          <t>kilogram</t>
        </is>
      </c>
      <c r="G20" t="inlineStr">
        <is>
          <t>technosphere</t>
        </is>
      </c>
      <c r="H20" t="inlineStr">
        <is>
          <t>iron pellet</t>
        </is>
      </c>
      <c r="I20"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0" t="inlineStr">
        <is>
          <t>pig iron production</t>
        </is>
      </c>
      <c r="P20" t="inlineStr">
        <is>
          <t>pig iron</t>
        </is>
      </c>
      <c r="Q20" t="inlineStr">
        <is>
          <t>RER</t>
        </is>
      </c>
    </row>
    <row r="21" ht="14.75" customHeight="1">
      <c r="A21" t="inlineStr">
        <is>
          <t>iron sinter production</t>
        </is>
      </c>
      <c r="B21" s="29" t="n">
        <v>0</v>
      </c>
      <c r="C21" s="24" t="inlineStr">
        <is>
          <t>cutoff391</t>
        </is>
      </c>
      <c r="D21" t="inlineStr">
        <is>
          <t>RER</t>
        </is>
      </c>
      <c r="E21" t="inlineStr">
        <is>
          <t>kilogram</t>
        </is>
      </c>
      <c r="G21" t="inlineStr">
        <is>
          <t>technosphere</t>
        </is>
      </c>
      <c r="H21" t="inlineStr">
        <is>
          <t>iron sinter</t>
        </is>
      </c>
      <c r="I2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1" t="inlineStr">
        <is>
          <t>pig iron production</t>
        </is>
      </c>
      <c r="P21" t="inlineStr">
        <is>
          <t>pig iron</t>
        </is>
      </c>
      <c r="Q21" t="inlineStr">
        <is>
          <t>RER</t>
        </is>
      </c>
    </row>
    <row r="22" ht="14.75" customHeight="1">
      <c r="A22" t="inlineStr">
        <is>
          <t>market for limestone, unprocessed</t>
        </is>
      </c>
      <c r="B22" s="29" t="n">
        <v>0</v>
      </c>
      <c r="C22" s="24" t="inlineStr">
        <is>
          <t>cutoff391</t>
        </is>
      </c>
      <c r="D22" t="inlineStr">
        <is>
          <t>CH</t>
        </is>
      </c>
      <c r="E22" t="inlineStr">
        <is>
          <t>kilogram</t>
        </is>
      </c>
      <c r="G22" t="inlineStr">
        <is>
          <t>technosphere</t>
        </is>
      </c>
      <c r="H22" t="inlineStr">
        <is>
          <t>limestone, unprocessed</t>
        </is>
      </c>
      <c r="I22"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2" t="inlineStr">
        <is>
          <t>pig iron production</t>
        </is>
      </c>
      <c r="P22" t="inlineStr">
        <is>
          <t>pig iron</t>
        </is>
      </c>
      <c r="Q22" t="inlineStr">
        <is>
          <t>RER</t>
        </is>
      </c>
    </row>
    <row r="23" ht="14.75" customHeight="1">
      <c r="A23" t="inlineStr">
        <is>
          <t>market group for natural gas, high pressure</t>
        </is>
      </c>
      <c r="B23" s="29" t="n">
        <v>0</v>
      </c>
      <c r="C23" s="24" t="inlineStr">
        <is>
          <t>cutoff391</t>
        </is>
      </c>
      <c r="D23" t="inlineStr">
        <is>
          <t>Europe without Switzerland</t>
        </is>
      </c>
      <c r="E23" t="inlineStr">
        <is>
          <t>cubic meter</t>
        </is>
      </c>
      <c r="G23" t="inlineStr">
        <is>
          <t>technosphere</t>
        </is>
      </c>
      <c r="H23" t="inlineStr">
        <is>
          <t>natural gas, high pressure</t>
        </is>
      </c>
      <c r="I23"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3" t="inlineStr">
        <is>
          <t>pig iron production</t>
        </is>
      </c>
      <c r="P23" t="inlineStr">
        <is>
          <t>pig iron</t>
        </is>
      </c>
      <c r="Q23" t="inlineStr">
        <is>
          <t>RER</t>
        </is>
      </c>
    </row>
    <row r="24" ht="14.75" customHeight="1">
      <c r="A24" t="inlineStr">
        <is>
          <t>market for natural gas, high pressure</t>
        </is>
      </c>
      <c r="B24" s="29" t="n">
        <v>0</v>
      </c>
      <c r="C24" s="24" t="inlineStr">
        <is>
          <t>cutoff391</t>
        </is>
      </c>
      <c r="D24" t="inlineStr">
        <is>
          <t>CH</t>
        </is>
      </c>
      <c r="E24" t="inlineStr">
        <is>
          <t>cubic meter</t>
        </is>
      </c>
      <c r="G24" t="inlineStr">
        <is>
          <t>technosphere</t>
        </is>
      </c>
      <c r="H24" t="inlineStr">
        <is>
          <t>natural gas, high pressure</t>
        </is>
      </c>
      <c r="I24"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4" t="inlineStr">
        <is>
          <t>pig iron production</t>
        </is>
      </c>
      <c r="P24" t="inlineStr">
        <is>
          <t>pig iron</t>
        </is>
      </c>
      <c r="Q24" t="inlineStr">
        <is>
          <t>RER</t>
        </is>
      </c>
    </row>
    <row r="25" ht="14.75" customHeight="1">
      <c r="A25" t="inlineStr">
        <is>
          <t>market for refractory, fireclay, packed</t>
        </is>
      </c>
      <c r="B25" s="29" t="n">
        <v>0</v>
      </c>
      <c r="C25" s="24" t="inlineStr">
        <is>
          <t>cutoff391</t>
        </is>
      </c>
      <c r="D25" t="inlineStr">
        <is>
          <t>GLO</t>
        </is>
      </c>
      <c r="E25" t="inlineStr">
        <is>
          <t>kilogram</t>
        </is>
      </c>
      <c r="G25" t="inlineStr">
        <is>
          <t>technosphere</t>
        </is>
      </c>
      <c r="H25" t="inlineStr">
        <is>
          <t>refractory, fireclay, packed</t>
        </is>
      </c>
      <c r="I25"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5" t="inlineStr">
        <is>
          <t>pig iron production</t>
        </is>
      </c>
      <c r="P25" t="inlineStr">
        <is>
          <t>pig iron</t>
        </is>
      </c>
      <c r="Q25" t="inlineStr">
        <is>
          <t>RER</t>
        </is>
      </c>
    </row>
    <row r="26" ht="14.75" customHeight="1">
      <c r="A26" t="inlineStr">
        <is>
          <t>market for wastewater from pig iron production</t>
        </is>
      </c>
      <c r="B26" s="29" t="n">
        <v>0</v>
      </c>
      <c r="C26" s="24" t="inlineStr">
        <is>
          <t>cutoff391</t>
        </is>
      </c>
      <c r="D26" t="inlineStr">
        <is>
          <t>Europe without Switzerland</t>
        </is>
      </c>
      <c r="E26" t="inlineStr">
        <is>
          <t>cubic meter</t>
        </is>
      </c>
      <c r="G26" t="inlineStr">
        <is>
          <t>technosphere</t>
        </is>
      </c>
      <c r="H26" t="inlineStr">
        <is>
          <t>wastewater from pig iron production</t>
        </is>
      </c>
      <c r="I26" t="inlineStr">
        <is>
          <t>geometric mean of Remus et al. (2013) data range</t>
        </is>
      </c>
      <c r="O26" t="inlineStr">
        <is>
          <t>pig iron production</t>
        </is>
      </c>
      <c r="P26" t="inlineStr">
        <is>
          <t>pig iron</t>
        </is>
      </c>
      <c r="Q26" t="inlineStr">
        <is>
          <t>RER</t>
        </is>
      </c>
    </row>
    <row r="27" ht="14.75" customHeight="1">
      <c r="A27" t="inlineStr">
        <is>
          <t>market for wastewater from pig iron production</t>
        </is>
      </c>
      <c r="B27" s="29" t="n">
        <v>0</v>
      </c>
      <c r="C27" s="24" t="inlineStr">
        <is>
          <t>cutoff391</t>
        </is>
      </c>
      <c r="D27" t="inlineStr">
        <is>
          <t>CH</t>
        </is>
      </c>
      <c r="E27" t="inlineStr">
        <is>
          <t>cubic meter</t>
        </is>
      </c>
      <c r="G27" t="inlineStr">
        <is>
          <t>technosphere</t>
        </is>
      </c>
      <c r="H27" t="inlineStr">
        <is>
          <t>wastewater from pig iron production</t>
        </is>
      </c>
      <c r="I27" t="inlineStr">
        <is>
          <t>geometric mean of Remus et al. (2013) data range</t>
        </is>
      </c>
      <c r="O27" t="inlineStr">
        <is>
          <t>pig iron production</t>
        </is>
      </c>
      <c r="P27" t="inlineStr">
        <is>
          <t>pig iron</t>
        </is>
      </c>
      <c r="Q27" t="inlineStr">
        <is>
          <t>RER</t>
        </is>
      </c>
    </row>
    <row r="28" ht="14.75" customHeight="1">
      <c r="A28" t="inlineStr">
        <is>
          <t>Carbon dioxide, fossil</t>
        </is>
      </c>
      <c r="B28" s="29">
        <f>0.84908*(1-0.24)</f>
        <v>0.64530080000000001</v>
      </c>
      <c r="C28" t="inlineStr">
        <is>
          <t>biosphere3</t>
        </is>
      </c>
      <c r="E28" t="inlineStr">
        <is>
          <t>kilogram</t>
        </is>
      </c>
      <c r="F28" t="inlineStr">
        <is>
          <t>air</t>
        </is>
      </c>
      <c r="G28" t="inlineStr">
        <is>
          <t>biosphere</t>
        </is>
      </c>
      <c r="I28" t="inlineStr">
        <is>
          <t>&gt; Modifications (2025): reduced by 24% (Quader et al. 2016)
&gt; original was: 0.84908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28" t="n">
        <v>2</v>
      </c>
      <c r="K28" t="inlineStr">
        <is>
          <t>(2, 3, 2, 3, 1, 1)</t>
        </is>
      </c>
      <c r="L28" t="n">
        <v>-0.163601868605893</v>
      </c>
      <c r="M28" t="n">
        <v>0.0387298334620741</v>
      </c>
      <c r="N28" t="inlineStr">
        <is>
          <t>CO2</t>
        </is>
      </c>
    </row>
    <row r="29" ht="14.75" customHeight="1">
      <c r="A29" t="inlineStr">
        <is>
          <t>Carbon monoxide, fossil</t>
        </is>
      </c>
      <c r="B29">
        <f>0.0013404*(1-0.9)</f>
        <v>1.3403999999999998E-4</v>
      </c>
      <c r="C29" t="inlineStr">
        <is>
          <t>biosphere3</t>
        </is>
      </c>
      <c r="E29" t="inlineStr">
        <is>
          <t>kilogram</t>
        </is>
      </c>
      <c r="F29" t="inlineStr">
        <is>
          <t>air</t>
        </is>
      </c>
      <c r="G29" t="inlineStr">
        <is>
          <t>biosphere</t>
        </is>
      </c>
      <c r="I29" t="inlineStr">
        <is>
          <t>&gt; Modifications (2025): reduced by 90% (Quader et al. 2016)
&gt; original was: 0.0013404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29" t="n">
        <v>2</v>
      </c>
      <c r="K29" t="inlineStr">
        <is>
          <t>(2, 3, 2, 3, 1, 1)</t>
        </is>
      </c>
      <c r="L29" t="n">
        <v>-6.61478720210111</v>
      </c>
      <c r="M29" t="n">
        <v>0.807155499268883</v>
      </c>
      <c r="N29" t="inlineStr">
        <is>
          <t>CO</t>
        </is>
      </c>
    </row>
    <row r="30" ht="14.75" customHeight="1">
      <c r="A30" t="inlineStr">
        <is>
          <t>Dioxins, measured as 2,3,7,8-tetrachlorodibenzo-p-dioxin</t>
        </is>
      </c>
      <c r="B30" s="29" t="n">
        <v>0</v>
      </c>
      <c r="C30" t="inlineStr">
        <is>
          <t>biosphere3</t>
        </is>
      </c>
      <c r="E30" t="inlineStr">
        <is>
          <t>kilogram</t>
        </is>
      </c>
      <c r="F30" t="inlineStr">
        <is>
          <t>air</t>
        </is>
      </c>
      <c r="G30" t="inlineStr">
        <is>
          <t>biosphere</t>
        </is>
      </c>
      <c r="I30"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0" t="inlineStr">
        <is>
          <t>C12H4Cl4O2</t>
        </is>
      </c>
      <c r="O30" t="inlineStr">
        <is>
          <t>pig iron production</t>
        </is>
      </c>
      <c r="P30" t="inlineStr">
        <is>
          <t>pig iron</t>
        </is>
      </c>
      <c r="Q30" t="inlineStr">
        <is>
          <t>RER</t>
        </is>
      </c>
    </row>
    <row r="31" ht="14.75" customHeight="1">
      <c r="A31" t="inlineStr">
        <is>
          <t>Hydrogen sulfide</t>
        </is>
      </c>
      <c r="B31" s="29" t="n">
        <v>0</v>
      </c>
      <c r="C31" t="inlineStr">
        <is>
          <t>biosphere3</t>
        </is>
      </c>
      <c r="E31" t="inlineStr">
        <is>
          <t>kilogram</t>
        </is>
      </c>
      <c r="F31" t="inlineStr">
        <is>
          <t>air</t>
        </is>
      </c>
      <c r="G31" t="inlineStr">
        <is>
          <t>biosphere</t>
        </is>
      </c>
      <c r="I3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1" t="inlineStr">
        <is>
          <t>H2S</t>
        </is>
      </c>
      <c r="O31" t="inlineStr">
        <is>
          <t>pig iron production</t>
        </is>
      </c>
      <c r="P31" t="inlineStr">
        <is>
          <t>pig iron</t>
        </is>
      </c>
      <c r="Q31" t="inlineStr">
        <is>
          <t>RER</t>
        </is>
      </c>
    </row>
    <row r="32" ht="14.75" customHeight="1">
      <c r="A32" t="inlineStr">
        <is>
          <t>Lead</t>
        </is>
      </c>
      <c r="B32" s="29" t="n">
        <v>0</v>
      </c>
      <c r="C32" t="inlineStr">
        <is>
          <t>biosphere3</t>
        </is>
      </c>
      <c r="E32" t="inlineStr">
        <is>
          <t>kilogram</t>
        </is>
      </c>
      <c r="F32" t="inlineStr">
        <is>
          <t>air</t>
        </is>
      </c>
      <c r="G32" t="inlineStr">
        <is>
          <t>biosphere</t>
        </is>
      </c>
      <c r="I32"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2" t="inlineStr">
        <is>
          <t>Pb</t>
        </is>
      </c>
      <c r="O32" t="inlineStr">
        <is>
          <t>pig iron production</t>
        </is>
      </c>
      <c r="P32" t="inlineStr">
        <is>
          <t>pig iron</t>
        </is>
      </c>
      <c r="Q32" t="inlineStr">
        <is>
          <t>RER</t>
        </is>
      </c>
    </row>
    <row r="33" ht="14.75" customHeight="1">
      <c r="A33" t="inlineStr">
        <is>
          <t>Manganese</t>
        </is>
      </c>
      <c r="B33" s="29" t="n">
        <v>0</v>
      </c>
      <c r="C33" t="inlineStr">
        <is>
          <t>biosphere3</t>
        </is>
      </c>
      <c r="E33" t="inlineStr">
        <is>
          <t>kilogram</t>
        </is>
      </c>
      <c r="F33" t="inlineStr">
        <is>
          <t>air</t>
        </is>
      </c>
      <c r="G33" t="inlineStr">
        <is>
          <t>biosphere</t>
        </is>
      </c>
      <c r="I33"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3" t="inlineStr">
        <is>
          <t>Mn</t>
        </is>
      </c>
      <c r="O33" t="inlineStr">
        <is>
          <t>pig iron production</t>
        </is>
      </c>
      <c r="P33" t="inlineStr">
        <is>
          <t>pig iron</t>
        </is>
      </c>
      <c r="Q33" t="inlineStr">
        <is>
          <t>RER</t>
        </is>
      </c>
    </row>
    <row r="34" ht="14.75" customHeight="1">
      <c r="A34" t="inlineStr">
        <is>
          <t>Nickel</t>
        </is>
      </c>
      <c r="B34" s="29" t="n">
        <v>0</v>
      </c>
      <c r="C34" t="inlineStr">
        <is>
          <t>biosphere3</t>
        </is>
      </c>
      <c r="E34" t="inlineStr">
        <is>
          <t>kilogram</t>
        </is>
      </c>
      <c r="F34" t="inlineStr">
        <is>
          <t>air</t>
        </is>
      </c>
      <c r="G34" t="inlineStr">
        <is>
          <t>biosphere</t>
        </is>
      </c>
      <c r="I34"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4" t="inlineStr">
        <is>
          <t>Ni</t>
        </is>
      </c>
      <c r="O34" t="inlineStr">
        <is>
          <t>pig iron production</t>
        </is>
      </c>
      <c r="P34" t="inlineStr">
        <is>
          <t>pig iron</t>
        </is>
      </c>
      <c r="Q34" t="inlineStr">
        <is>
          <t>RER</t>
        </is>
      </c>
    </row>
    <row r="35" ht="14.75" customHeight="1">
      <c r="A35" t="inlineStr">
        <is>
          <t>Particulates, &lt; 2.5 um</t>
        </is>
      </c>
      <c r="B35" s="29">
        <f>0.000028723*(1-0.245)</f>
        <v>2.1685864999999999E-5</v>
      </c>
      <c r="C35" t="inlineStr">
        <is>
          <t>biosphere3</t>
        </is>
      </c>
      <c r="E35" t="inlineStr">
        <is>
          <t>kilogram</t>
        </is>
      </c>
      <c r="F35" t="inlineStr">
        <is>
          <t>air</t>
        </is>
      </c>
      <c r="G35" t="inlineStr">
        <is>
          <t>biosphere</t>
        </is>
      </c>
      <c r="I35" t="inlineStr">
        <is>
          <t>&gt; Modifications (2025): reduced by 24.5%, based on assumption that particulates emissions are reduced at same rate as the coke and coal input
&gt; original was: 0.000028723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5" t="n">
        <v>2</v>
      </c>
      <c r="K35" t="inlineStr">
        <is>
          <t>(2, 3, 2, 3, 1, 1)</t>
        </is>
      </c>
      <c r="L35" t="n">
        <v>-10.4578123624149</v>
      </c>
      <c r="M35" t="n">
        <v>0.549090156531693</v>
      </c>
    </row>
    <row r="36" ht="14.75" customHeight="1">
      <c r="A36" t="inlineStr">
        <is>
          <t>Particulates, &gt; 10 um</t>
        </is>
      </c>
      <c r="B36" s="29">
        <f>0.0000015957*(1-0.245)</f>
        <v>1.2047535E-6</v>
      </c>
      <c r="C36" t="inlineStr">
        <is>
          <t>biosphere3</t>
        </is>
      </c>
      <c r="E36" t="inlineStr">
        <is>
          <t>kilogram</t>
        </is>
      </c>
      <c r="F36" t="inlineStr">
        <is>
          <t>air</t>
        </is>
      </c>
      <c r="G36" t="inlineStr">
        <is>
          <t>biosphere</t>
        </is>
      </c>
      <c r="I36" t="inlineStr">
        <is>
          <t>&gt; Modifications (2025): reduced by 24.5%, based on assumption that particulates emissions are reduced at same rate as the coke and coal input
&gt; original was: 0.0000015957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6" t="n">
        <v>2</v>
      </c>
      <c r="K36" t="inlineStr">
        <is>
          <t>(2, 3, 2, 3, 1, 1)</t>
        </is>
      </c>
      <c r="L36" t="n">
        <v>-13.34819804653</v>
      </c>
      <c r="M36" t="n">
        <v>0.203715487874633</v>
      </c>
    </row>
    <row r="37" ht="14.75" customHeight="1">
      <c r="A37" t="inlineStr">
        <is>
          <t>Particulates, &gt; 2.5 um, and &lt; 10um</t>
        </is>
      </c>
      <c r="B37" s="29">
        <f>0.0000015957*(1-0.245)</f>
        <v>1.2047535E-6</v>
      </c>
      <c r="C37" t="inlineStr">
        <is>
          <t>biosphere3</t>
        </is>
      </c>
      <c r="E37" t="inlineStr">
        <is>
          <t>kilogram</t>
        </is>
      </c>
      <c r="F37" t="inlineStr">
        <is>
          <t>air</t>
        </is>
      </c>
      <c r="G37" t="inlineStr">
        <is>
          <t>biosphere</t>
        </is>
      </c>
      <c r="I37" t="inlineStr">
        <is>
          <t>&gt; Modifications (2025): reduced by 24.5%, based on assumption that particulates emissions are reduced at same rate as the coke and coal input
&gt; original was: 0.0000015957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7" t="n">
        <v>2</v>
      </c>
      <c r="K37" t="inlineStr">
        <is>
          <t>(2, 3, 2, 3, 1, 1)</t>
        </is>
      </c>
      <c r="L37" t="n">
        <v>-13.34819804653</v>
      </c>
      <c r="M37" t="n">
        <v>0.348568501158667</v>
      </c>
    </row>
    <row r="38" ht="14.75" customHeight="1">
      <c r="A38" t="inlineStr">
        <is>
          <t>Sulfur dioxide</t>
        </is>
      </c>
      <c r="B38">
        <f>0.00013298*(1-0.95)</f>
        <v>6.6490000000000053E-6</v>
      </c>
      <c r="C38" t="inlineStr">
        <is>
          <t>biosphere3</t>
        </is>
      </c>
      <c r="E38" t="inlineStr">
        <is>
          <t>kilogram</t>
        </is>
      </c>
      <c r="F38" t="inlineStr">
        <is>
          <t>air</t>
        </is>
      </c>
      <c r="G38" t="inlineStr">
        <is>
          <t>biosphere</t>
        </is>
      </c>
      <c r="I38" t="inlineStr">
        <is>
          <t>&gt; Modifications (2025): reduced by 95% (Choi 2013, Table 5)
&gt; original was: 0.00013298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8" t="n">
        <v>2</v>
      </c>
      <c r="K38" t="inlineStr">
        <is>
          <t>(2, 3, 2, 3, 1, 1)</t>
        </is>
      </c>
      <c r="L38" t="n">
        <v>-8.925311816989961</v>
      </c>
      <c r="M38" t="n">
        <v>0.0387298334620741</v>
      </c>
      <c r="N38" t="inlineStr">
        <is>
          <t>O2S</t>
        </is>
      </c>
    </row>
    <row r="39" ht="14.75" customHeight="1">
      <c r="A39" t="inlineStr">
        <is>
          <t>Water</t>
        </is>
      </c>
      <c r="B39" s="29" t="n">
        <v>0</v>
      </c>
      <c r="C39" t="inlineStr">
        <is>
          <t>biosphere3</t>
        </is>
      </c>
      <c r="E39" t="inlineStr">
        <is>
          <t>cubic meter</t>
        </is>
      </c>
      <c r="F39" t="inlineStr">
        <is>
          <t>air</t>
        </is>
      </c>
      <c r="G39" t="inlineStr">
        <is>
          <t>biosphere</t>
        </is>
      </c>
      <c r="I39" t="inlineStr">
        <is>
          <t>Calculated value based on literature values and expert opinion. See comments in the parametres' comment field.</t>
        </is>
      </c>
      <c r="N39" t="inlineStr">
        <is>
          <t>H2O</t>
        </is>
      </c>
      <c r="O39" t="inlineStr">
        <is>
          <t>pig iron production</t>
        </is>
      </c>
      <c r="P39" t="inlineStr">
        <is>
          <t>pig iron</t>
        </is>
      </c>
      <c r="Q39" t="inlineStr">
        <is>
          <t>RER</t>
        </is>
      </c>
    </row>
    <row r="40" ht="14.75" customHeight="1">
      <c r="A40" t="inlineStr">
        <is>
          <t>Water</t>
        </is>
      </c>
      <c r="B40" s="29" t="n">
        <v>0</v>
      </c>
      <c r="C40" t="inlineStr">
        <is>
          <t>biosphere3</t>
        </is>
      </c>
      <c r="E40" t="inlineStr">
        <is>
          <t>cubic meter</t>
        </is>
      </c>
      <c r="F40" t="inlineStr">
        <is>
          <t>water</t>
        </is>
      </c>
      <c r="G40" t="inlineStr">
        <is>
          <t>biosphere</t>
        </is>
      </c>
      <c r="I40" t="inlineStr">
        <is>
          <t>Calculated value based on literature values and expert opinion. See comments in the parametres' comment field.</t>
        </is>
      </c>
      <c r="N40" t="inlineStr">
        <is>
          <t>H2O</t>
        </is>
      </c>
      <c r="O40" t="inlineStr">
        <is>
          <t>pig iron production</t>
        </is>
      </c>
      <c r="P40" t="inlineStr">
        <is>
          <t>pig iron</t>
        </is>
      </c>
      <c r="Q40" t="inlineStr">
        <is>
          <t>RER</t>
        </is>
      </c>
    </row>
    <row r="41" ht="14.75" customHeight="1">
      <c r="A41" t="inlineStr">
        <is>
          <t>Water, cooling, unspecified natural origin</t>
        </is>
      </c>
      <c r="B41" s="29" t="n">
        <v>0</v>
      </c>
      <c r="C41" t="inlineStr">
        <is>
          <t>biosphere3</t>
        </is>
      </c>
      <c r="E41" t="inlineStr">
        <is>
          <t>cubic meter</t>
        </is>
      </c>
      <c r="F41" t="inlineStr">
        <is>
          <t>natural resource::in water</t>
        </is>
      </c>
      <c r="G41" t="inlineStr">
        <is>
          <t>biosphere</t>
        </is>
      </c>
      <c r="I41" t="inlineStr">
        <is>
          <t>Calculated based on literature, (Vionnet, S., Quantis Water Database - Technical Report, 2012).</t>
        </is>
      </c>
      <c r="N41" t="inlineStr">
        <is>
          <t>H2O</t>
        </is>
      </c>
      <c r="O41" t="inlineStr">
        <is>
          <t>pig iron production</t>
        </is>
      </c>
      <c r="P41" t="inlineStr">
        <is>
          <t>pig iron</t>
        </is>
      </c>
      <c r="Q41" t="inlineStr">
        <is>
          <t>RER</t>
        </is>
      </c>
    </row>
    <row r="42" ht="14.75" customHeight="1">
      <c r="A42" t="inlineStr">
        <is>
          <t>Water, unspecified natural origin</t>
        </is>
      </c>
      <c r="B42" s="29" t="n">
        <v>0</v>
      </c>
      <c r="C42" t="inlineStr">
        <is>
          <t>biosphere3</t>
        </is>
      </c>
      <c r="E42" t="inlineStr">
        <is>
          <t>cubic meter</t>
        </is>
      </c>
      <c r="F42" t="inlineStr">
        <is>
          <t>natural resource::in water</t>
        </is>
      </c>
      <c r="G42" t="inlineStr">
        <is>
          <t>biosphere</t>
        </is>
      </c>
      <c r="I42" t="inlineStr">
        <is>
          <t>Based on literature, (Vionnet, S., Quantis Water Database - Technical Report, 2012). based on literature, (Vionnet, S., Quantis Water Database - Technical Report, 2012).</t>
        </is>
      </c>
      <c r="N42" t="inlineStr">
        <is>
          <t>H2O</t>
        </is>
      </c>
      <c r="O42" t="inlineStr">
        <is>
          <t>pig iron production</t>
        </is>
      </c>
      <c r="P42" t="inlineStr">
        <is>
          <t>pig iron</t>
        </is>
      </c>
      <c r="Q42" t="inlineStr">
        <is>
          <t>RER</t>
        </is>
      </c>
    </row>
    <row r="43" ht="14.75" customHeight="1">
      <c r="A43" t="inlineStr">
        <is>
          <t>market for oxygen, liquid</t>
        </is>
      </c>
      <c r="B43" t="n">
        <v>0.1665</v>
      </c>
      <c r="C43" t="inlineStr">
        <is>
          <t>cutoff391</t>
        </is>
      </c>
      <c r="D43" t="inlineStr">
        <is>
          <t>RoW</t>
        </is>
      </c>
      <c r="E43" t="inlineStr">
        <is>
          <t>kilogram</t>
        </is>
      </c>
      <c r="G43" t="inlineStr">
        <is>
          <t>technosphere</t>
        </is>
      </c>
      <c r="H43" t="inlineStr">
        <is>
          <t>oxygen, liquid</t>
        </is>
      </c>
      <c r="I43" t="inlineStr">
        <is>
          <t xml:space="preserve">&gt; Modifications (2025): added this input of oxygen, value from Otto et al. (2017)
&gt; original was: 0 </t>
        </is>
      </c>
    </row>
    <row r="44" ht="14.75" customHeight="1">
      <c r="A44" t="inlineStr">
        <is>
          <t>market group for electricity, medium voltage</t>
        </is>
      </c>
      <c r="B44" s="45" t="n">
        <v>0.08361</v>
      </c>
      <c r="C44" t="inlineStr">
        <is>
          <t>cutoff391</t>
        </is>
      </c>
      <c r="D44" t="inlineStr">
        <is>
          <t>GLO</t>
        </is>
      </c>
      <c r="E44" t="inlineStr">
        <is>
          <t>kilowatt hour</t>
        </is>
      </c>
      <c r="G44" t="inlineStr">
        <is>
          <t>technosphere</t>
        </is>
      </c>
      <c r="H44" t="inlineStr">
        <is>
          <t>electricity, medium voltage</t>
        </is>
      </c>
      <c r="I44" t="inlineStr">
        <is>
          <t xml:space="preserve">&gt; Modifications (2025): added this input of electricity for running the VPSA, value from Otto et al. (2017), figure 4
&gt; original was: 0 </t>
        </is>
      </c>
    </row>
    <row r="45" ht="14.75" customHeight="1">
      <c r="A45" t="inlineStr">
        <is>
          <t>market for zeolite, powder</t>
        </is>
      </c>
      <c r="B45" s="67">
        <f>0.52*0.84908*0.0017</f>
        <v>7.5058671999999997E-4</v>
      </c>
      <c r="C45" t="inlineStr">
        <is>
          <t>cutoff391</t>
        </is>
      </c>
      <c r="D45" t="inlineStr">
        <is>
          <t>GLO</t>
        </is>
      </c>
      <c r="E45" t="inlineStr">
        <is>
          <t>kilogram</t>
        </is>
      </c>
      <c r="G45" t="inlineStr">
        <is>
          <t>technosphere</t>
        </is>
      </c>
      <c r="H45" t="inlineStr">
        <is>
          <t>zeolite, powder</t>
        </is>
      </c>
      <c r="I45" t="inlineStr">
        <is>
          <t xml:space="preserve">&gt; Modifications (2025): added this input of zeolite (adsorbent for VPSA adsorbing CO2 to separate CO-rich gas) (Choi 2013)
&gt; original was: 0 </t>
        </is>
      </c>
    </row>
    <row r="46" ht="14.75" customHeight="1">
      <c r="A46" t="inlineStr">
        <is>
          <t>market for waste zeolite</t>
        </is>
      </c>
      <c r="B46" s="67">
        <f>B45*-1</f>
        <v>-7.5058671999999997E-4</v>
      </c>
      <c r="C46" t="inlineStr">
        <is>
          <t>cutoff391</t>
        </is>
      </c>
      <c r="D46" t="inlineStr">
        <is>
          <t>RoW</t>
        </is>
      </c>
      <c r="E46" t="inlineStr">
        <is>
          <t>kilogram</t>
        </is>
      </c>
      <c r="G46" t="inlineStr">
        <is>
          <t>technosphere</t>
        </is>
      </c>
      <c r="H46" t="inlineStr">
        <is>
          <t>waste zeolite</t>
        </is>
      </c>
      <c r="I46" t="inlineStr">
        <is>
          <t xml:space="preserve">&gt; Modifications (2025): added this input of waste zeolite (adsorbent for VPSA adsorbing CO2 to separate CO-rich gas) (Choi 2013)
&gt; assumption: same amount of waste zeolite is generated as it is put in as powder (this is also the case in ecoinvent processes where zeolite powder is used)
&gt; original was: 0 </t>
        </is>
      </c>
    </row>
    <row r="47"/>
    <row r="48" ht="14.75" customHeight="1">
      <c r="A48" s="19" t="inlineStr">
        <is>
          <t>Activity</t>
        </is>
      </c>
      <c r="B48" s="19" t="inlineStr">
        <is>
          <t>steel production, blast furnace-basic oxygen furnace, with top gas recycling, low-alloyed</t>
        </is>
      </c>
      <c r="C48" s="21" t="n"/>
      <c r="D48" s="21" t="n"/>
      <c r="E48" s="21" t="n"/>
      <c r="F48" s="21" t="n"/>
      <c r="G48" s="21" t="n"/>
      <c r="H48" s="21" t="n"/>
    </row>
    <row r="49" ht="14.75" customHeight="1">
      <c r="A49" s="22" t="inlineStr">
        <is>
          <t>production amount</t>
        </is>
      </c>
      <c r="B49" s="22" t="n">
        <v>1</v>
      </c>
      <c r="C49" s="21" t="n"/>
      <c r="D49" s="21" t="n"/>
      <c r="E49" s="21" t="n"/>
      <c r="F49" s="21" t="n"/>
      <c r="G49" s="21" t="n"/>
      <c r="H49" s="21" t="n"/>
    </row>
    <row r="50" ht="14.75" customHeight="1">
      <c r="A50" s="22" t="inlineStr">
        <is>
          <t>location</t>
        </is>
      </c>
      <c r="B50" s="22" t="inlineStr">
        <is>
          <t>GLO</t>
        </is>
      </c>
      <c r="C50" s="21" t="n"/>
      <c r="D50" s="21" t="n"/>
      <c r="E50" s="21" t="n"/>
      <c r="F50" s="21" t="n"/>
      <c r="G50" s="21" t="n"/>
      <c r="H50" s="21" t="n"/>
    </row>
    <row r="51" ht="14.75" customHeight="1">
      <c r="A51" s="22" t="inlineStr">
        <is>
          <t>reference product</t>
        </is>
      </c>
      <c r="B51" s="22" t="inlineStr">
        <is>
          <t>steel, low-alloyed</t>
        </is>
      </c>
      <c r="C51" s="21" t="n"/>
      <c r="D51" s="21" t="n"/>
      <c r="E51" s="21" t="n"/>
      <c r="F51" s="21" t="n"/>
      <c r="G51" s="21" t="n"/>
      <c r="H51" s="21" t="n"/>
    </row>
    <row r="52" ht="14.75" customHeight="1">
      <c r="A52" s="22" t="inlineStr">
        <is>
          <t>unit</t>
        </is>
      </c>
      <c r="B52" s="22" t="inlineStr">
        <is>
          <t>kilogram</t>
        </is>
      </c>
      <c r="C52" s="21" t="n"/>
      <c r="D52" s="21" t="n"/>
      <c r="E52" s="21" t="n"/>
      <c r="F52" s="21" t="n"/>
      <c r="G52" s="21" t="n"/>
      <c r="H52" s="21" t="n"/>
    </row>
    <row r="53" ht="14.75" customHeight="1">
      <c r="A53" s="22" t="inlineStr">
        <is>
          <t>comment</t>
        </is>
      </c>
      <c r="B53" s="43" t="inlineStr">
        <is>
          <t>This dataset, adapted by Harpprecht et al. (2025) from the ecoinvent 3.8 cutoff process *"steel production, converter, low-alloyed"* (RER region), models low-alloyed steel production using pig iron sourced from a top gas recycling (TGR) blast furnace–basic oxygen furnace (BF-BOF) system. To reflect this decarbonized upstream process, the original inputs of scrap and conventional pig iron were removed and replaced with an equivalent amount of TGR-based pig iron. Additionally, the input of secondary metallurgy slag was eliminated, with its quantity added to the normal slag input. These modifications align the steel production route with the updated energy and emissions profile of TGR-BF ironmaking, as defined in the corresponding modified pig iron dataset based on Quader et al. (2016) and related sources. This enables more accurate modeling of prospective low-carbon steel pathways.
**Key reference for underlying TGR-BF technology:**
* Quader, M. A., Ahmed, S., Dawal, S. Z., &amp; Nukman, Y. (2016). *Present needs, recent progress and future trends of energy-efficient Ultra-Low Carbon Dioxide (CO₂) Steelmaking (ULCOS) program*. *Renewable and Sustainable Energy Reviews*, 55, 537–549. [https://doi.org/10.1016/j.rser.2015.10.101](https://doi.org/10.1016/j.rser.2015.10.101)</t>
        </is>
      </c>
      <c r="C53" s="21" t="n"/>
      <c r="D53" s="21" t="n"/>
      <c r="E53" s="21" t="n"/>
      <c r="F53" s="21" t="n"/>
      <c r="G53" s="21" t="n"/>
      <c r="H53" s="21" t="n"/>
    </row>
    <row r="54" ht="15" customHeight="1">
      <c r="A54" s="22" t="inlineStr">
        <is>
          <t>source</t>
        </is>
      </c>
      <c r="B54" s="22" t="inlineStr">
        <is>
          <t>Harpprecht C., Sacchi R., Naegler T., et al. "Future environmental impacts of global iron and steel production". Energy Environ Sci. (2025). doi: 10.1039/D5EE01356A</t>
        </is>
      </c>
      <c r="C54" s="21" t="n"/>
      <c r="D54" s="21" t="n"/>
      <c r="E54" s="21" t="n"/>
      <c r="F54" s="21" t="n"/>
      <c r="G54" s="21" t="n"/>
      <c r="H54" s="21" t="n"/>
    </row>
    <row r="55" ht="14.75" customHeight="1">
      <c r="A55" s="19" t="inlineStr">
        <is>
          <t>Exchanges</t>
        </is>
      </c>
      <c r="B55" s="22" t="n"/>
      <c r="C55" s="21" t="n"/>
      <c r="D55" s="21" t="n"/>
      <c r="E55" s="21" t="n"/>
      <c r="F55" s="21" t="n"/>
      <c r="G55" s="21" t="n"/>
      <c r="H55" s="21" t="n"/>
    </row>
    <row r="56" ht="14.75" customHeight="1">
      <c r="A56" s="23" t="inlineStr">
        <is>
          <t>name</t>
        </is>
      </c>
      <c r="B56" s="23" t="inlineStr">
        <is>
          <t>amount</t>
        </is>
      </c>
      <c r="C56" s="23" t="inlineStr">
        <is>
          <t>database</t>
        </is>
      </c>
      <c r="D56" s="23" t="inlineStr">
        <is>
          <t>location</t>
        </is>
      </c>
      <c r="E56" s="23" t="inlineStr">
        <is>
          <t>unit</t>
        </is>
      </c>
      <c r="F56" s="23" t="inlineStr">
        <is>
          <t>categories</t>
        </is>
      </c>
      <c r="G56" s="23" t="inlineStr">
        <is>
          <t>type</t>
        </is>
      </c>
      <c r="H56" s="23" t="inlineStr">
        <is>
          <t>reference product</t>
        </is>
      </c>
      <c r="I56" s="23" t="inlineStr">
        <is>
          <t>comment</t>
        </is>
      </c>
      <c r="J56" s="20" t="inlineStr">
        <is>
          <t>uncertainty type</t>
        </is>
      </c>
      <c r="K56" s="20" t="inlineStr">
        <is>
          <t>pedigree</t>
        </is>
      </c>
      <c r="L56" s="20" t="inlineStr">
        <is>
          <t>loc</t>
        </is>
      </c>
      <c r="M56" s="20" t="inlineStr">
        <is>
          <t>scale</t>
        </is>
      </c>
      <c r="N56" s="20" t="inlineStr">
        <is>
          <t>formula</t>
        </is>
      </c>
      <c r="O56" s="20" t="inlineStr">
        <is>
          <t>replacement name</t>
        </is>
      </c>
      <c r="P56" s="20" t="inlineStr">
        <is>
          <t>replacement product</t>
        </is>
      </c>
      <c r="Q56" s="20" t="inlineStr">
        <is>
          <t>replacement location</t>
        </is>
      </c>
      <c r="R56" s="20" t="inlineStr">
        <is>
          <t>negative</t>
        </is>
      </c>
    </row>
    <row r="57" ht="14.75" customHeight="1">
      <c r="A57" s="24" t="inlineStr">
        <is>
          <t>steel production, blast furnace-basic oxygen furnace, with top gas recycling, low-alloyed</t>
        </is>
      </c>
      <c r="B57" s="22" t="n">
        <v>1</v>
      </c>
      <c r="C57" s="22" t="inlineStr">
        <is>
          <t>steel_paper</t>
        </is>
      </c>
      <c r="D57" s="22" t="inlineStr">
        <is>
          <t>GLO</t>
        </is>
      </c>
      <c r="E57" s="22" t="inlineStr">
        <is>
          <t>kilogram</t>
        </is>
      </c>
      <c r="F57" s="22" t="n"/>
      <c r="G57" s="22" t="inlineStr">
        <is>
          <t>production</t>
        </is>
      </c>
      <c r="H57" s="22" t="inlineStr">
        <is>
          <t>steel, low-alloyed</t>
        </is>
      </c>
    </row>
    <row r="58" ht="14.75" customHeight="1">
      <c r="A58" s="24" t="inlineStr">
        <is>
          <t>pig iron production, top gas recycling-blast furnace</t>
        </is>
      </c>
      <c r="B58" s="22">
        <f>0+0.198864791+0.867944612</f>
        <v>1.0668094029999999</v>
      </c>
      <c r="C58" s="22" t="inlineStr">
        <is>
          <t>steel_paper</t>
        </is>
      </c>
      <c r="D58" s="22" t="inlineStr">
        <is>
          <t>GLO</t>
        </is>
      </c>
      <c r="E58" s="22" t="inlineStr">
        <is>
          <t>kilogram</t>
        </is>
      </c>
      <c r="F58" s="22" t="n"/>
      <c r="G58" s="22" t="inlineStr">
        <is>
          <t>technosphere</t>
        </is>
      </c>
      <c r="H58" s="22" t="inlineStr">
        <is>
          <t>pig iron</t>
        </is>
      </c>
      <c r="I58" t="inlineStr">
        <is>
          <t xml:space="preserve">&gt; Modifications (2025): added this input. Value is the sum of the original ecoinvent values of scrap input (0.199 kg) and pig iron input (0.868 kg)
</t>
        </is>
      </c>
    </row>
    <row r="59" ht="14.75" customHeight="1">
      <c r="A59" t="inlineStr">
        <is>
          <t>market for basic oxygen furnace dust</t>
        </is>
      </c>
      <c r="B59" t="n">
        <v>0</v>
      </c>
      <c r="C59" t="inlineStr">
        <is>
          <t>cutoff391</t>
        </is>
      </c>
      <c r="D59" t="inlineStr">
        <is>
          <t>RER</t>
        </is>
      </c>
      <c r="E59" t="inlineStr">
        <is>
          <t>kilogram</t>
        </is>
      </c>
      <c r="G59" s="22" t="inlineStr">
        <is>
          <t>technosphere</t>
        </is>
      </c>
      <c r="H59" t="inlineStr">
        <is>
          <t>basic oxygen furnace dust</t>
        </is>
      </c>
      <c r="I59"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59" t="inlineStr">
        <is>
          <t>steel production, converter, low-alloyed</t>
        </is>
      </c>
      <c r="P59" t="inlineStr">
        <is>
          <t>steel, low-alloyed</t>
        </is>
      </c>
      <c r="Q59" t="inlineStr">
        <is>
          <t>RER</t>
        </is>
      </c>
    </row>
    <row r="60" ht="14.75" customHeight="1">
      <c r="A60" t="inlineStr">
        <is>
          <t>market for basic oxygen furnace slag</t>
        </is>
      </c>
      <c r="B60">
        <f>-0.1048976-0.0003008</f>
        <v>-0.1051984</v>
      </c>
      <c r="C60" t="inlineStr">
        <is>
          <t>cutoff391</t>
        </is>
      </c>
      <c r="D60" t="inlineStr">
        <is>
          <t>RER</t>
        </is>
      </c>
      <c r="E60" t="inlineStr">
        <is>
          <t>kilogram</t>
        </is>
      </c>
      <c r="G60" s="22" t="inlineStr">
        <is>
          <t>technosphere</t>
        </is>
      </c>
      <c r="H60" t="inlineStr">
        <is>
          <t>basic oxygen furnace slag</t>
        </is>
      </c>
      <c r="I60" t="inlineStr">
        <is>
          <t>&gt; Modifications (2025): added the value of the secondary metallurgy slag, which was set to zero
&gt; original was: -0.1048976 kg
&lt;Original ecoinvent 3.8 comment: &gt;
Amount reported by worldsteel (2010) and is representative of the average global situation in 2009. Also based on worldsteel (2010), an internal recovery (recycling) rate of 14% is assumed. Source: Worldsteel (2010). Steel industry by-products. World Steel Association: Brussels, Belgium.</t>
        </is>
      </c>
      <c r="J60" t="n">
        <v>2</v>
      </c>
      <c r="K60" t="inlineStr">
        <is>
          <t>(2, 3, 3, 2, 2, 1)</t>
        </is>
      </c>
      <c r="L60" t="n">
        <v>-2.25477064277392</v>
      </c>
      <c r="M60" t="n">
        <v>0.0665206734782503</v>
      </c>
      <c r="R60" t="b">
        <v>1</v>
      </c>
    </row>
    <row r="61" ht="14.75" customHeight="1">
      <c r="A61" t="inlineStr">
        <is>
          <t>market for basic oxygen furnace sludge</t>
        </is>
      </c>
      <c r="B61" t="n">
        <v>0</v>
      </c>
      <c r="C61" t="inlineStr">
        <is>
          <t>cutoff391</t>
        </is>
      </c>
      <c r="D61" t="inlineStr">
        <is>
          <t>RER</t>
        </is>
      </c>
      <c r="E61" t="inlineStr">
        <is>
          <t>kilogram</t>
        </is>
      </c>
      <c r="G61" s="22" t="inlineStr">
        <is>
          <t>technosphere</t>
        </is>
      </c>
      <c r="H61" t="inlineStr">
        <is>
          <t>basic oxygen furnace sludge</t>
        </is>
      </c>
      <c r="I61"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61" t="inlineStr">
        <is>
          <t>steel production, converter, low-alloyed</t>
        </is>
      </c>
      <c r="P61" t="inlineStr">
        <is>
          <t>steel, low-alloyed</t>
        </is>
      </c>
      <c r="Q61" t="inlineStr">
        <is>
          <t>RER</t>
        </is>
      </c>
    </row>
    <row r="62" ht="14.75" customHeight="1">
      <c r="A62" t="inlineStr">
        <is>
          <t>market for blast oxygen furnace converter</t>
        </is>
      </c>
      <c r="B62" t="n">
        <v>0</v>
      </c>
      <c r="C62" t="inlineStr">
        <is>
          <t>cutoff391</t>
        </is>
      </c>
      <c r="D62" t="inlineStr">
        <is>
          <t>GLO</t>
        </is>
      </c>
      <c r="E62" t="inlineStr">
        <is>
          <t>unit</t>
        </is>
      </c>
      <c r="G62" s="22" t="inlineStr">
        <is>
          <t>technosphere</t>
        </is>
      </c>
      <c r="H62" t="inlineStr">
        <is>
          <t>blast oxygen furnace converter</t>
        </is>
      </c>
      <c r="I62" t="inlineStr">
        <is>
          <t>Source: Classen et al. (2009)</t>
        </is>
      </c>
      <c r="O62" t="inlineStr">
        <is>
          <t>steel production, converter, low-alloyed</t>
        </is>
      </c>
      <c r="P62" t="inlineStr">
        <is>
          <t>steel, low-alloyed</t>
        </is>
      </c>
      <c r="Q62" t="inlineStr">
        <is>
          <t>RER</t>
        </is>
      </c>
    </row>
    <row r="63" ht="14.75" customHeight="1">
      <c r="A63" t="inlineStr">
        <is>
          <t>market for coke</t>
        </is>
      </c>
      <c r="B63" t="n">
        <v>0</v>
      </c>
      <c r="C63" t="inlineStr">
        <is>
          <t>cutoff391</t>
        </is>
      </c>
      <c r="D63" t="inlineStr">
        <is>
          <t>GLO</t>
        </is>
      </c>
      <c r="E63" t="inlineStr">
        <is>
          <t>megajoule</t>
        </is>
      </c>
      <c r="G63" s="22" t="inlineStr">
        <is>
          <t>technosphere</t>
        </is>
      </c>
      <c r="H63" t="inlineStr">
        <is>
          <t>coke</t>
        </is>
      </c>
      <c r="I63" t="inlineStr">
        <is>
          <t>geometric mean of Remus et al. (2013) data range</t>
        </is>
      </c>
      <c r="O63" t="inlineStr">
        <is>
          <t>steel production, converter, low-alloyed</t>
        </is>
      </c>
      <c r="P63" t="inlineStr">
        <is>
          <t>steel, low-alloyed</t>
        </is>
      </c>
      <c r="Q63" t="inlineStr">
        <is>
          <t>RER</t>
        </is>
      </c>
    </row>
    <row r="64" ht="14.75" customHeight="1">
      <c r="A64" t="inlineStr">
        <is>
          <t>market for compressed air, 600 kPa gauge</t>
        </is>
      </c>
      <c r="B64" t="n">
        <v>0</v>
      </c>
      <c r="C64" t="inlineStr">
        <is>
          <t>cutoff391</t>
        </is>
      </c>
      <c r="D64" t="inlineStr">
        <is>
          <t>RER</t>
        </is>
      </c>
      <c r="E64" t="inlineStr">
        <is>
          <t>cubic meter</t>
        </is>
      </c>
      <c r="G64" s="22" t="inlineStr">
        <is>
          <t>technosphere</t>
        </is>
      </c>
      <c r="H64" t="inlineStr">
        <is>
          <t>compressed air, 600 kPa gauge</t>
        </is>
      </c>
      <c r="I64" t="inlineStr">
        <is>
          <t>geometric mean of Remus et al. (2013) data range</t>
        </is>
      </c>
      <c r="O64" t="inlineStr">
        <is>
          <t>steel production, converter, low-alloyed</t>
        </is>
      </c>
      <c r="P64" t="inlineStr">
        <is>
          <t>steel, low-alloyed</t>
        </is>
      </c>
      <c r="Q64" t="inlineStr">
        <is>
          <t>RER</t>
        </is>
      </c>
    </row>
    <row r="65" ht="14.75" customHeight="1">
      <c r="A65" t="inlineStr">
        <is>
          <t>market for dolomite</t>
        </is>
      </c>
      <c r="B65" t="n">
        <v>0</v>
      </c>
      <c r="C65" t="inlineStr">
        <is>
          <t>cutoff391</t>
        </is>
      </c>
      <c r="D65" t="inlineStr">
        <is>
          <t>RER</t>
        </is>
      </c>
      <c r="E65" t="inlineStr">
        <is>
          <t>kilogram</t>
        </is>
      </c>
      <c r="G65" s="22" t="inlineStr">
        <is>
          <t>technosphere</t>
        </is>
      </c>
      <c r="H65" t="inlineStr">
        <is>
          <t>dolomite</t>
        </is>
      </c>
      <c r="I65" t="inlineStr">
        <is>
          <t>geometric mean of Remus et al. (2013) data range</t>
        </is>
      </c>
      <c r="O65" t="inlineStr">
        <is>
          <t>steel production, converter, low-alloyed</t>
        </is>
      </c>
      <c r="P65" t="inlineStr">
        <is>
          <t>steel, low-alloyed</t>
        </is>
      </c>
      <c r="Q65" t="inlineStr">
        <is>
          <t>RER</t>
        </is>
      </c>
    </row>
    <row r="66" ht="14.75" customHeight="1">
      <c r="A66" t="inlineStr">
        <is>
          <t>market group for electricity, medium voltage</t>
        </is>
      </c>
      <c r="B66" t="n">
        <v>0</v>
      </c>
      <c r="C66" t="inlineStr">
        <is>
          <t>cutoff391</t>
        </is>
      </c>
      <c r="D66" t="inlineStr">
        <is>
          <t>RER</t>
        </is>
      </c>
      <c r="E66" t="inlineStr">
        <is>
          <t>kilowatt hour</t>
        </is>
      </c>
      <c r="G66" s="22" t="inlineStr">
        <is>
          <t>technosphere</t>
        </is>
      </c>
      <c r="H66" t="inlineStr">
        <is>
          <t>electricity, medium voltage</t>
        </is>
      </c>
      <c r="I66" t="inlineStr">
        <is>
          <t>geometric mean of Remus et al. (2013) data range</t>
        </is>
      </c>
      <c r="O66" t="inlineStr">
        <is>
          <t>steel production, converter, low-alloyed</t>
        </is>
      </c>
      <c r="P66" t="inlineStr">
        <is>
          <t>steel, low-alloyed</t>
        </is>
      </c>
      <c r="Q66" t="inlineStr">
        <is>
          <t>RER</t>
        </is>
      </c>
    </row>
    <row r="67" ht="14.75" customHeight="1">
      <c r="A67" t="inlineStr">
        <is>
          <t>market for ferromanganese, high-coal, 74.5% Mn</t>
        </is>
      </c>
      <c r="B67" t="n">
        <v>0</v>
      </c>
      <c r="C67" t="inlineStr">
        <is>
          <t>cutoff391</t>
        </is>
      </c>
      <c r="D67" t="inlineStr">
        <is>
          <t>GLO</t>
        </is>
      </c>
      <c r="E67" t="inlineStr">
        <is>
          <t>kilogram</t>
        </is>
      </c>
      <c r="G67" s="22" t="inlineStr">
        <is>
          <t>technosphere</t>
        </is>
      </c>
      <c r="H67" t="inlineStr">
        <is>
          <t>ferromanganese, high-coal, 74.5% Mn</t>
        </is>
      </c>
      <c r="I67" t="inlineStr">
        <is>
          <t>Source: Classen et al. (2009)</t>
        </is>
      </c>
      <c r="O67" t="inlineStr">
        <is>
          <t>steel production, converter, low-alloyed</t>
        </is>
      </c>
      <c r="P67" t="inlineStr">
        <is>
          <t>steel, low-alloyed</t>
        </is>
      </c>
      <c r="Q67" t="inlineStr">
        <is>
          <t>RER</t>
        </is>
      </c>
    </row>
    <row r="68" ht="14.75" customHeight="1">
      <c r="A68" t="inlineStr">
        <is>
          <t>market for ferronickel</t>
        </is>
      </c>
      <c r="B68" t="n">
        <v>0</v>
      </c>
      <c r="C68" t="inlineStr">
        <is>
          <t>cutoff391</t>
        </is>
      </c>
      <c r="D68" t="inlineStr">
        <is>
          <t>GLO</t>
        </is>
      </c>
      <c r="E68" t="inlineStr">
        <is>
          <t>kilogram</t>
        </is>
      </c>
      <c r="G68" s="22" t="inlineStr">
        <is>
          <t>technosphere</t>
        </is>
      </c>
      <c r="H68" t="inlineStr">
        <is>
          <t>ferronickel</t>
        </is>
      </c>
      <c r="I68" t="inlineStr">
        <is>
          <t>Source: Classen et al. (2009)</t>
        </is>
      </c>
      <c r="O68" t="inlineStr">
        <is>
          <t>steel production, converter, low-alloyed</t>
        </is>
      </c>
      <c r="P68" t="inlineStr">
        <is>
          <t>steel, low-alloyed</t>
        </is>
      </c>
      <c r="Q68" t="inlineStr">
        <is>
          <t>RER</t>
        </is>
      </c>
    </row>
    <row r="69" ht="14.75" customHeight="1">
      <c r="A69" t="inlineStr">
        <is>
          <t>market for inert waste, for final disposal</t>
        </is>
      </c>
      <c r="B69" t="n">
        <v>0</v>
      </c>
      <c r="C69" t="inlineStr">
        <is>
          <t>cutoff391</t>
        </is>
      </c>
      <c r="D69" t="inlineStr">
        <is>
          <t>CH</t>
        </is>
      </c>
      <c r="E69" t="inlineStr">
        <is>
          <t>kilogram</t>
        </is>
      </c>
      <c r="G69" s="22" t="inlineStr">
        <is>
          <t>technosphere</t>
        </is>
      </c>
      <c r="H69" t="inlineStr">
        <is>
          <t>inert waste, for final disposal</t>
        </is>
      </c>
      <c r="I69" t="inlineStr">
        <is>
          <t>Represents used refractories, etc.</t>
        </is>
      </c>
      <c r="O69" t="inlineStr">
        <is>
          <t>steel production, converter, low-alloyed</t>
        </is>
      </c>
      <c r="P69" t="inlineStr">
        <is>
          <t>steel, low-alloyed</t>
        </is>
      </c>
      <c r="Q69" t="inlineStr">
        <is>
          <t>RER</t>
        </is>
      </c>
    </row>
    <row r="70" ht="14.75" customHeight="1">
      <c r="A70" t="inlineStr">
        <is>
          <t>market for iron ore concentrate</t>
        </is>
      </c>
      <c r="B70" t="n">
        <v>0</v>
      </c>
      <c r="C70" t="inlineStr">
        <is>
          <t>cutoff391</t>
        </is>
      </c>
      <c r="D70" t="inlineStr">
        <is>
          <t>GLO</t>
        </is>
      </c>
      <c r="E70" t="inlineStr">
        <is>
          <t>kilogram</t>
        </is>
      </c>
      <c r="G70" s="22" t="inlineStr">
        <is>
          <t>technosphere</t>
        </is>
      </c>
      <c r="H70" t="inlineStr">
        <is>
          <t>iron ore concentrate</t>
        </is>
      </c>
      <c r="I70" t="inlineStr">
        <is>
          <t>geometric mean of Remus et al. (2013) data range</t>
        </is>
      </c>
      <c r="O70" t="inlineStr">
        <is>
          <t>steel production, converter, low-alloyed</t>
        </is>
      </c>
      <c r="P70" t="inlineStr">
        <is>
          <t>steel, low-alloyed</t>
        </is>
      </c>
      <c r="Q70" t="inlineStr">
        <is>
          <t>RER</t>
        </is>
      </c>
    </row>
    <row r="71" ht="14.75" customHeight="1">
      <c r="A71" t="inlineStr">
        <is>
          <t>market for mill scale</t>
        </is>
      </c>
      <c r="B71" t="n">
        <v>0</v>
      </c>
      <c r="C71" t="inlineStr">
        <is>
          <t>cutoff391</t>
        </is>
      </c>
      <c r="D71" t="inlineStr">
        <is>
          <t>RER</t>
        </is>
      </c>
      <c r="E71" t="inlineStr">
        <is>
          <t>kilogram</t>
        </is>
      </c>
      <c r="G71" s="22" t="inlineStr">
        <is>
          <t>technosphere</t>
        </is>
      </c>
      <c r="H71" t="inlineStr">
        <is>
          <t>mill scale</t>
        </is>
      </c>
      <c r="I71" t="inlineStr">
        <is>
          <t>Amount reported by worldsteel (2010) and is representative of the average global situation in 2009. Also based on worldsteel (2010), an internal recovery (recycling) rate of 89% is assumed. Source: Worldsteel (2010). Steel industry by-products. World Steel Association: Brussels, Belgium.</t>
        </is>
      </c>
      <c r="O71" t="inlineStr">
        <is>
          <t>steel production, converter, low-alloyed</t>
        </is>
      </c>
      <c r="P71" t="inlineStr">
        <is>
          <t>steel, low-alloyed</t>
        </is>
      </c>
      <c r="Q71" t="inlineStr">
        <is>
          <t>RER</t>
        </is>
      </c>
    </row>
    <row r="72" ht="14.75" customHeight="1">
      <c r="A72" t="inlineStr">
        <is>
          <t>market for molybdenite</t>
        </is>
      </c>
      <c r="B72" t="n">
        <v>0</v>
      </c>
      <c r="C72" t="inlineStr">
        <is>
          <t>cutoff391</t>
        </is>
      </c>
      <c r="D72" t="inlineStr">
        <is>
          <t>GLO</t>
        </is>
      </c>
      <c r="E72" t="inlineStr">
        <is>
          <t>kilogram</t>
        </is>
      </c>
      <c r="G72" s="22" t="inlineStr">
        <is>
          <t>technosphere</t>
        </is>
      </c>
      <c r="H72" t="inlineStr">
        <is>
          <t>molybdenite</t>
        </is>
      </c>
      <c r="I72" t="inlineStr">
        <is>
          <t>Source: Classen et al. (2009)</t>
        </is>
      </c>
      <c r="O72" t="inlineStr">
        <is>
          <t>steel production, converter, low-alloyed</t>
        </is>
      </c>
      <c r="P72" t="inlineStr">
        <is>
          <t>steel, low-alloyed</t>
        </is>
      </c>
      <c r="Q72" t="inlineStr">
        <is>
          <t>RER</t>
        </is>
      </c>
    </row>
    <row r="73" ht="14.75" customHeight="1">
      <c r="A73" t="inlineStr">
        <is>
          <t>market group for natural gas, high pressure</t>
        </is>
      </c>
      <c r="B73" t="n">
        <v>0</v>
      </c>
      <c r="C73" t="inlineStr">
        <is>
          <t>cutoff391</t>
        </is>
      </c>
      <c r="D73" t="inlineStr">
        <is>
          <t>Europe without Switzerland</t>
        </is>
      </c>
      <c r="E73" t="inlineStr">
        <is>
          <t>cubic meter</t>
        </is>
      </c>
      <c r="G73" s="22" t="inlineStr">
        <is>
          <t>technosphere</t>
        </is>
      </c>
      <c r="H73" t="inlineStr">
        <is>
          <t>natural gas, high pressure</t>
        </is>
      </c>
      <c r="I73" t="inlineStr">
        <is>
          <t>geometric mean of Remus et al. (2013) data range</t>
        </is>
      </c>
      <c r="O73" t="inlineStr">
        <is>
          <t>steel production, converter, low-alloyed</t>
        </is>
      </c>
      <c r="P73" t="inlineStr">
        <is>
          <t>steel, low-alloyed</t>
        </is>
      </c>
      <c r="Q73" t="inlineStr">
        <is>
          <t>RER</t>
        </is>
      </c>
    </row>
    <row r="74" ht="14.75" customHeight="1">
      <c r="A74" t="inlineStr">
        <is>
          <t>market for natural gas, high pressure</t>
        </is>
      </c>
      <c r="B74" t="n">
        <v>0</v>
      </c>
      <c r="C74" t="inlineStr">
        <is>
          <t>cutoff391</t>
        </is>
      </c>
      <c r="D74" t="inlineStr">
        <is>
          <t>CH</t>
        </is>
      </c>
      <c r="E74" t="inlineStr">
        <is>
          <t>cubic meter</t>
        </is>
      </c>
      <c r="G74" s="22" t="inlineStr">
        <is>
          <t>technosphere</t>
        </is>
      </c>
      <c r="H74" t="inlineStr">
        <is>
          <t>natural gas, high pressure</t>
        </is>
      </c>
      <c r="I74" t="inlineStr">
        <is>
          <t>geometric mean of Remus et al. (2013) data range</t>
        </is>
      </c>
      <c r="O74" t="inlineStr">
        <is>
          <t>steel production, converter, low-alloyed</t>
        </is>
      </c>
      <c r="P74" t="inlineStr">
        <is>
          <t>steel, low-alloyed</t>
        </is>
      </c>
      <c r="Q74" t="inlineStr">
        <is>
          <t>RER</t>
        </is>
      </c>
    </row>
    <row r="75" ht="14.75" customHeight="1">
      <c r="A75" t="inlineStr">
        <is>
          <t>market for oxygen, liquid</t>
        </is>
      </c>
      <c r="B75" t="n">
        <v>0</v>
      </c>
      <c r="C75" t="inlineStr">
        <is>
          <t>cutoff391</t>
        </is>
      </c>
      <c r="D75" t="inlineStr">
        <is>
          <t>RER</t>
        </is>
      </c>
      <c r="E75" t="inlineStr">
        <is>
          <t>kilogram</t>
        </is>
      </c>
      <c r="G75" s="22" t="inlineStr">
        <is>
          <t>technosphere</t>
        </is>
      </c>
      <c r="H75" t="inlineStr">
        <is>
          <t>oxygen, liquid</t>
        </is>
      </c>
      <c r="I75" t="inlineStr">
        <is>
          <t>geometric mean of Remus et al. (2013) data range</t>
        </is>
      </c>
      <c r="O75" t="inlineStr">
        <is>
          <t>steel production, converter, low-alloyed</t>
        </is>
      </c>
      <c r="P75" t="inlineStr">
        <is>
          <t>steel, low-alloyed</t>
        </is>
      </c>
      <c r="Q75" t="inlineStr">
        <is>
          <t>RER</t>
        </is>
      </c>
    </row>
    <row r="76" ht="14.75" customHeight="1">
      <c r="A76" t="inlineStr">
        <is>
          <t>market for quicklime, in pieces, loose</t>
        </is>
      </c>
      <c r="B76" t="n">
        <v>0</v>
      </c>
      <c r="C76" t="inlineStr">
        <is>
          <t>cutoff391</t>
        </is>
      </c>
      <c r="D76" t="inlineStr">
        <is>
          <t>CH</t>
        </is>
      </c>
      <c r="E76" t="inlineStr">
        <is>
          <t>kilogram</t>
        </is>
      </c>
      <c r="G76" s="22" t="inlineStr">
        <is>
          <t>technosphere</t>
        </is>
      </c>
      <c r="H76" t="inlineStr">
        <is>
          <t>quicklime, in pieces, loose</t>
        </is>
      </c>
      <c r="I76" t="inlineStr">
        <is>
          <t>geometric mean of Remus et al. (2013) data range</t>
        </is>
      </c>
      <c r="O76" t="inlineStr">
        <is>
          <t>steel production, converter, low-alloyed</t>
        </is>
      </c>
      <c r="P76" t="inlineStr">
        <is>
          <t>steel, low-alloyed</t>
        </is>
      </c>
      <c r="Q76" t="inlineStr">
        <is>
          <t>RER</t>
        </is>
      </c>
    </row>
    <row r="77" ht="14.75" customHeight="1">
      <c r="A77" t="inlineStr">
        <is>
          <t>market for wastewater from pig iron production</t>
        </is>
      </c>
      <c r="B77" t="n">
        <v>0</v>
      </c>
      <c r="C77" t="inlineStr">
        <is>
          <t>cutoff391</t>
        </is>
      </c>
      <c r="D77" t="inlineStr">
        <is>
          <t>Europe without Switzerland</t>
        </is>
      </c>
      <c r="E77" t="inlineStr">
        <is>
          <t>cubic meter</t>
        </is>
      </c>
      <c r="G77" s="22" t="inlineStr">
        <is>
          <t>technosphere</t>
        </is>
      </c>
      <c r="H77" t="inlineStr">
        <is>
          <t>wastewater from pig iron production</t>
        </is>
      </c>
      <c r="I77" t="inlineStr">
        <is>
          <t>geometric mean of Remus et al. (2013) data range</t>
        </is>
      </c>
      <c r="O77" t="inlineStr">
        <is>
          <t>steel production, converter, low-alloyed</t>
        </is>
      </c>
      <c r="P77" t="inlineStr">
        <is>
          <t>steel, low-alloyed</t>
        </is>
      </c>
      <c r="Q77" t="inlineStr">
        <is>
          <t>RER</t>
        </is>
      </c>
    </row>
    <row r="78" ht="14.75" customHeight="1">
      <c r="A78" t="inlineStr">
        <is>
          <t>market for wastewater from pig iron production</t>
        </is>
      </c>
      <c r="B78" t="n">
        <v>0</v>
      </c>
      <c r="C78" t="inlineStr">
        <is>
          <t>cutoff391</t>
        </is>
      </c>
      <c r="D78" t="inlineStr">
        <is>
          <t>CH</t>
        </is>
      </c>
      <c r="E78" t="inlineStr">
        <is>
          <t>cubic meter</t>
        </is>
      </c>
      <c r="G78" s="22" t="inlineStr">
        <is>
          <t>technosphere</t>
        </is>
      </c>
      <c r="H78" t="inlineStr">
        <is>
          <t>wastewater from pig iron production</t>
        </is>
      </c>
      <c r="I78" t="inlineStr">
        <is>
          <t>geometric mean of Remus et al. (2013) data range</t>
        </is>
      </c>
      <c r="O78" t="inlineStr">
        <is>
          <t>steel production, converter, low-alloyed</t>
        </is>
      </c>
      <c r="P78" t="inlineStr">
        <is>
          <t>steel, low-alloyed</t>
        </is>
      </c>
      <c r="Q78" t="inlineStr">
        <is>
          <t>RER</t>
        </is>
      </c>
    </row>
    <row r="79" ht="14.75" customHeight="1">
      <c r="A79" t="inlineStr">
        <is>
          <t>Chromium</t>
        </is>
      </c>
      <c r="B79" t="n">
        <v>0</v>
      </c>
      <c r="C79" t="inlineStr">
        <is>
          <t>biosphere3</t>
        </is>
      </c>
      <c r="E79" t="inlineStr">
        <is>
          <t>kilogram</t>
        </is>
      </c>
      <c r="F79" t="inlineStr">
        <is>
          <t>air</t>
        </is>
      </c>
      <c r="G79" s="22" t="inlineStr">
        <is>
          <t>biosphere</t>
        </is>
      </c>
      <c r="I79" t="inlineStr">
        <is>
          <t>geometric mean of Remus et al. (2013) data range</t>
        </is>
      </c>
      <c r="N79" t="inlineStr">
        <is>
          <t>Cr</t>
        </is>
      </c>
      <c r="O79" t="inlineStr">
        <is>
          <t>steel production, converter, low-alloyed</t>
        </is>
      </c>
      <c r="P79" t="inlineStr">
        <is>
          <t>steel, low-alloyed</t>
        </is>
      </c>
      <c r="Q79" t="inlineStr">
        <is>
          <t>RER</t>
        </is>
      </c>
    </row>
    <row r="80" ht="14.75" customHeight="1">
      <c r="A80" t="inlineStr">
        <is>
          <t>Water, cooling, unspecified natural origin</t>
        </is>
      </c>
      <c r="B80" t="n">
        <v>0</v>
      </c>
      <c r="C80" t="inlineStr">
        <is>
          <t>biosphere3</t>
        </is>
      </c>
      <c r="E80" t="inlineStr">
        <is>
          <t>cubic meter</t>
        </is>
      </c>
      <c r="F80" t="inlineStr">
        <is>
          <t>natural resource::in water</t>
        </is>
      </c>
      <c r="G80" s="22" t="inlineStr">
        <is>
          <t>biosphere</t>
        </is>
      </c>
      <c r="I80" t="inlineStr">
        <is>
          <t>geometric mean of Remus et al. (2013) data range</t>
        </is>
      </c>
      <c r="N80" t="inlineStr">
        <is>
          <t>H2O</t>
        </is>
      </c>
      <c r="O80" t="inlineStr">
        <is>
          <t>steel production, converter, low-alloyed</t>
        </is>
      </c>
      <c r="P80" t="inlineStr">
        <is>
          <t>steel, low-alloyed</t>
        </is>
      </c>
      <c r="Q80" t="inlineStr">
        <is>
          <t>RER</t>
        </is>
      </c>
    </row>
    <row r="81" ht="14.75" customHeight="1">
      <c r="A81" t="inlineStr">
        <is>
          <t>PAH, polycyclic aromatic hydrocarbons</t>
        </is>
      </c>
      <c r="B81" t="n">
        <v>0</v>
      </c>
      <c r="C81" t="inlineStr">
        <is>
          <t>biosphere3</t>
        </is>
      </c>
      <c r="E81" t="inlineStr">
        <is>
          <t>kilogram</t>
        </is>
      </c>
      <c r="F81" t="inlineStr">
        <is>
          <t>air</t>
        </is>
      </c>
      <c r="G81" s="22" t="inlineStr">
        <is>
          <t>biosphere</t>
        </is>
      </c>
      <c r="I81" t="inlineStr">
        <is>
          <t>geometric mean of Remus et al. (2013) data range</t>
        </is>
      </c>
      <c r="O81" t="inlineStr">
        <is>
          <t>steel production, converter, low-alloyed</t>
        </is>
      </c>
      <c r="P81" t="inlineStr">
        <is>
          <t>steel, low-alloyed</t>
        </is>
      </c>
      <c r="Q81" t="inlineStr">
        <is>
          <t>RER</t>
        </is>
      </c>
    </row>
    <row r="82" ht="14.75" customHeight="1">
      <c r="A82" t="inlineStr">
        <is>
          <t>Copper ion</t>
        </is>
      </c>
      <c r="B82" t="n">
        <v>0</v>
      </c>
      <c r="C82" t="inlineStr">
        <is>
          <t>biosphere3</t>
        </is>
      </c>
      <c r="E82" t="inlineStr">
        <is>
          <t>kilogram</t>
        </is>
      </c>
      <c r="F82" t="inlineStr">
        <is>
          <t>air</t>
        </is>
      </c>
      <c r="G82" s="22" t="inlineStr">
        <is>
          <t>biosphere</t>
        </is>
      </c>
      <c r="I82" t="inlineStr">
        <is>
          <t>geometric mean of Remus et al. (2013) data range</t>
        </is>
      </c>
      <c r="N82" t="inlineStr">
        <is>
          <t>Cu</t>
        </is>
      </c>
      <c r="O82" t="inlineStr">
        <is>
          <t>steel production, converter, low-alloyed</t>
        </is>
      </c>
      <c r="P82" t="inlineStr">
        <is>
          <t>steel, low-alloyed</t>
        </is>
      </c>
      <c r="Q82" t="inlineStr">
        <is>
          <t>RER</t>
        </is>
      </c>
    </row>
    <row r="83" ht="14.75" customHeight="1">
      <c r="A83" t="inlineStr">
        <is>
          <t>Nitrogen oxides</t>
        </is>
      </c>
      <c r="B83" t="n">
        <v>0</v>
      </c>
      <c r="C83" t="inlineStr">
        <is>
          <t>biosphere3</t>
        </is>
      </c>
      <c r="E83" t="inlineStr">
        <is>
          <t>kilogram</t>
        </is>
      </c>
      <c r="F83" t="inlineStr">
        <is>
          <t>air</t>
        </is>
      </c>
      <c r="G83" s="22" t="inlineStr">
        <is>
          <t>biosphere</t>
        </is>
      </c>
      <c r="I83" t="inlineStr">
        <is>
          <t>geometric mean of Remus et al. (2013) data range</t>
        </is>
      </c>
      <c r="N83" t="inlineStr">
        <is>
          <t>H3NO</t>
        </is>
      </c>
      <c r="O83" t="inlineStr">
        <is>
          <t>steel production, converter, low-alloyed</t>
        </is>
      </c>
      <c r="P83" t="inlineStr">
        <is>
          <t>steel, low-alloyed</t>
        </is>
      </c>
      <c r="Q83" t="inlineStr">
        <is>
          <t>RER</t>
        </is>
      </c>
    </row>
    <row r="84" ht="14.75" customHeight="1">
      <c r="A84" t="inlineStr">
        <is>
          <t>Particulates, &lt; 2.5 um</t>
        </is>
      </c>
      <c r="B84" t="n">
        <v>0</v>
      </c>
      <c r="C84" t="inlineStr">
        <is>
          <t>biosphere3</t>
        </is>
      </c>
      <c r="E84" t="inlineStr">
        <is>
          <t>kilogram</t>
        </is>
      </c>
      <c r="F84" t="inlineStr">
        <is>
          <t>air</t>
        </is>
      </c>
      <c r="G84" s="22" t="inlineStr">
        <is>
          <t>biosphere</t>
        </is>
      </c>
      <c r="I84" t="inlineStr">
        <is>
          <t>geometric mean of Remus et al. (2013) data range</t>
        </is>
      </c>
      <c r="O84" t="inlineStr">
        <is>
          <t>steel production, converter, low-alloyed</t>
        </is>
      </c>
      <c r="P84" t="inlineStr">
        <is>
          <t>steel, low-alloyed</t>
        </is>
      </c>
      <c r="Q84" t="inlineStr">
        <is>
          <t>RER</t>
        </is>
      </c>
    </row>
    <row r="85" ht="14.75" customHeight="1">
      <c r="A85" t="inlineStr">
        <is>
          <t>Dioxins, measured as 2,3,7,8-tetrachlorodibenzo-p-dioxin</t>
        </is>
      </c>
      <c r="B85" t="n">
        <v>0</v>
      </c>
      <c r="C85" t="inlineStr">
        <is>
          <t>biosphere3</t>
        </is>
      </c>
      <c r="E85" t="inlineStr">
        <is>
          <t>kilogram</t>
        </is>
      </c>
      <c r="F85" t="inlineStr">
        <is>
          <t>air</t>
        </is>
      </c>
      <c r="G85" s="22" t="inlineStr">
        <is>
          <t>biosphere</t>
        </is>
      </c>
      <c r="I85" t="inlineStr">
        <is>
          <t>geometric mean of Remus et al. (2013) data range</t>
        </is>
      </c>
      <c r="N85" t="inlineStr">
        <is>
          <t>C12H4Cl4O2</t>
        </is>
      </c>
      <c r="O85" t="inlineStr">
        <is>
          <t>steel production, converter, low-alloyed</t>
        </is>
      </c>
      <c r="P85" t="inlineStr">
        <is>
          <t>steel, low-alloyed</t>
        </is>
      </c>
      <c r="Q85" t="inlineStr">
        <is>
          <t>RER</t>
        </is>
      </c>
    </row>
    <row r="86" ht="14.75" customHeight="1">
      <c r="A86" t="inlineStr">
        <is>
          <t>Manganese</t>
        </is>
      </c>
      <c r="B86" t="n">
        <v>0</v>
      </c>
      <c r="C86" t="inlineStr">
        <is>
          <t>biosphere3</t>
        </is>
      </c>
      <c r="E86" t="inlineStr">
        <is>
          <t>kilogram</t>
        </is>
      </c>
      <c r="F86" t="inlineStr">
        <is>
          <t>air</t>
        </is>
      </c>
      <c r="G86" s="22" t="inlineStr">
        <is>
          <t>biosphere</t>
        </is>
      </c>
      <c r="I86" t="inlineStr">
        <is>
          <t>geometric mean of Remus et al. (2013) data range</t>
        </is>
      </c>
      <c r="N86" t="inlineStr">
        <is>
          <t>Mn</t>
        </is>
      </c>
      <c r="O86" t="inlineStr">
        <is>
          <t>steel production, converter, low-alloyed</t>
        </is>
      </c>
      <c r="P86" t="inlineStr">
        <is>
          <t>steel, low-alloyed</t>
        </is>
      </c>
      <c r="Q86" t="inlineStr">
        <is>
          <t>RER</t>
        </is>
      </c>
    </row>
    <row r="87" ht="14.75" customHeight="1">
      <c r="A87" t="inlineStr">
        <is>
          <t>Iron</t>
        </is>
      </c>
      <c r="B87" t="n">
        <v>0</v>
      </c>
      <c r="C87" t="inlineStr">
        <is>
          <t>biosphere3</t>
        </is>
      </c>
      <c r="E87" t="inlineStr">
        <is>
          <t>kilogram</t>
        </is>
      </c>
      <c r="F87" t="inlineStr">
        <is>
          <t>air</t>
        </is>
      </c>
      <c r="G87" s="22" t="inlineStr">
        <is>
          <t>biosphere</t>
        </is>
      </c>
      <c r="I87" t="inlineStr">
        <is>
          <t>geometric mean of Remus et al. (2013) data range</t>
        </is>
      </c>
      <c r="N87" t="inlineStr">
        <is>
          <t>Fe</t>
        </is>
      </c>
      <c r="O87" t="inlineStr">
        <is>
          <t>steel production, converter, low-alloyed</t>
        </is>
      </c>
      <c r="P87" t="inlineStr">
        <is>
          <t>steel, low-alloyed</t>
        </is>
      </c>
      <c r="Q87" t="inlineStr">
        <is>
          <t>RER</t>
        </is>
      </c>
    </row>
    <row r="88" ht="14.75" customHeight="1">
      <c r="A88" t="inlineStr">
        <is>
          <t>Lead</t>
        </is>
      </c>
      <c r="B88" t="n">
        <v>0</v>
      </c>
      <c r="C88" t="inlineStr">
        <is>
          <t>biosphere3</t>
        </is>
      </c>
      <c r="E88" t="inlineStr">
        <is>
          <t>kilogram</t>
        </is>
      </c>
      <c r="F88" t="inlineStr">
        <is>
          <t>air</t>
        </is>
      </c>
      <c r="G88" s="22" t="inlineStr">
        <is>
          <t>biosphere</t>
        </is>
      </c>
      <c r="I88" t="inlineStr">
        <is>
          <t>geometric mean of Remus et al. (2013) data range</t>
        </is>
      </c>
      <c r="N88" t="inlineStr">
        <is>
          <t>Pb</t>
        </is>
      </c>
      <c r="O88" t="inlineStr">
        <is>
          <t>steel production, converter, low-alloyed</t>
        </is>
      </c>
      <c r="P88" t="inlineStr">
        <is>
          <t>steel, low-alloyed</t>
        </is>
      </c>
      <c r="Q88" t="inlineStr">
        <is>
          <t>RER</t>
        </is>
      </c>
    </row>
    <row r="89" ht="14.75" customHeight="1">
      <c r="A89" t="inlineStr">
        <is>
          <t>Water</t>
        </is>
      </c>
      <c r="B89" t="n">
        <v>0</v>
      </c>
      <c r="C89" t="inlineStr">
        <is>
          <t>biosphere3</t>
        </is>
      </c>
      <c r="E89" t="inlineStr">
        <is>
          <t>cubic meter</t>
        </is>
      </c>
      <c r="F89" t="inlineStr">
        <is>
          <t>air</t>
        </is>
      </c>
      <c r="G89" s="22" t="inlineStr">
        <is>
          <t>biosphere</t>
        </is>
      </c>
      <c r="I89" t="inlineStr">
        <is>
          <t>Source: Classen et al. (2009)</t>
        </is>
      </c>
      <c r="N89" t="inlineStr">
        <is>
          <t>H2O</t>
        </is>
      </c>
      <c r="O89" t="inlineStr">
        <is>
          <t>steel production, converter, low-alloyed</t>
        </is>
      </c>
      <c r="P89" t="inlineStr">
        <is>
          <t>steel, low-alloyed</t>
        </is>
      </c>
      <c r="Q89" t="inlineStr">
        <is>
          <t>RER</t>
        </is>
      </c>
    </row>
    <row r="90" ht="14.75" customHeight="1">
      <c r="A90" t="inlineStr">
        <is>
          <t>Heat, waste</t>
        </is>
      </c>
      <c r="B90" t="n">
        <v>0</v>
      </c>
      <c r="C90" t="inlineStr">
        <is>
          <t>biosphere3</t>
        </is>
      </c>
      <c r="E90" t="inlineStr">
        <is>
          <t>megajoule</t>
        </is>
      </c>
      <c r="F90" t="inlineStr">
        <is>
          <t>air</t>
        </is>
      </c>
      <c r="G90" s="22" t="inlineStr">
        <is>
          <t>biosphere</t>
        </is>
      </c>
      <c r="I90" t="inlineStr">
        <is>
          <t>Calculated from energy balanced model</t>
        </is>
      </c>
      <c r="O90" t="inlineStr">
        <is>
          <t>steel production, converter, low-alloyed</t>
        </is>
      </c>
      <c r="P90" t="inlineStr">
        <is>
          <t>steel, low-alloyed</t>
        </is>
      </c>
      <c r="Q90" t="inlineStr">
        <is>
          <t>RER</t>
        </is>
      </c>
    </row>
    <row r="91" ht="14.75" customHeight="1">
      <c r="A91" t="inlineStr">
        <is>
          <t>Carbon monoxide, fossil</t>
        </is>
      </c>
      <c r="B91" t="n">
        <v>0</v>
      </c>
      <c r="C91" t="inlineStr">
        <is>
          <t>biosphere3</t>
        </is>
      </c>
      <c r="E91" t="inlineStr">
        <is>
          <t>kilogram</t>
        </is>
      </c>
      <c r="F91" t="inlineStr">
        <is>
          <t>air</t>
        </is>
      </c>
      <c r="G91" s="22" t="inlineStr">
        <is>
          <t>biosphere</t>
        </is>
      </c>
      <c r="I91" t="inlineStr">
        <is>
          <t>geometric mean of Remus et al. (2013) data range</t>
        </is>
      </c>
      <c r="N91" t="inlineStr">
        <is>
          <t>CO</t>
        </is>
      </c>
      <c r="O91" t="inlineStr">
        <is>
          <t>steel production, converter, low-alloyed</t>
        </is>
      </c>
      <c r="P91" t="inlineStr">
        <is>
          <t>steel, low-alloyed</t>
        </is>
      </c>
      <c r="Q91" t="inlineStr">
        <is>
          <t>RER</t>
        </is>
      </c>
    </row>
    <row r="92" ht="14.75" customHeight="1">
      <c r="A92" t="inlineStr">
        <is>
          <t>Carbon dioxide, fossil</t>
        </is>
      </c>
      <c r="B92" t="n">
        <v>0</v>
      </c>
      <c r="C92" t="inlineStr">
        <is>
          <t>biosphere3</t>
        </is>
      </c>
      <c r="E92" t="inlineStr">
        <is>
          <t>kilogram</t>
        </is>
      </c>
      <c r="F92" t="inlineStr">
        <is>
          <t>air</t>
        </is>
      </c>
      <c r="G92" s="22" t="inlineStr">
        <is>
          <t>biosphere</t>
        </is>
      </c>
      <c r="I92" t="inlineStr">
        <is>
          <t>geometric mean of Remus et al. (2013) data range</t>
        </is>
      </c>
      <c r="N92" t="inlineStr">
        <is>
          <t>CO2</t>
        </is>
      </c>
      <c r="O92" t="inlineStr">
        <is>
          <t>steel production, converter, low-alloyed</t>
        </is>
      </c>
      <c r="P92" t="inlineStr">
        <is>
          <t>steel, low-alloyed</t>
        </is>
      </c>
      <c r="Q92" t="inlineStr">
        <is>
          <t>RER</t>
        </is>
      </c>
    </row>
    <row r="93"/>
    <row r="94" ht="14.75" customHeight="1">
      <c r="A94" s="19" t="inlineStr">
        <is>
          <t>Activity</t>
        </is>
      </c>
      <c r="B94" s="19" t="inlineStr">
        <is>
          <t>steel production, blast furnace-basic oxygen furnace, with top gas recycling, unalloyed</t>
        </is>
      </c>
      <c r="C94" s="21" t="n"/>
      <c r="D94" s="21" t="n"/>
      <c r="E94" s="21" t="n"/>
      <c r="F94" s="21" t="n"/>
      <c r="G94" s="21" t="n"/>
      <c r="H94" s="21" t="n"/>
    </row>
    <row r="95" ht="14.75" customHeight="1">
      <c r="A95" s="22" t="inlineStr">
        <is>
          <t>production amount</t>
        </is>
      </c>
      <c r="B95" s="22" t="n">
        <v>1</v>
      </c>
      <c r="C95" s="21" t="n"/>
      <c r="D95" s="21" t="n"/>
      <c r="E95" s="21" t="n"/>
      <c r="F95" s="21" t="n"/>
      <c r="G95" s="21" t="n"/>
      <c r="H95" s="21" t="n"/>
    </row>
    <row r="96" ht="14.75" customHeight="1">
      <c r="A96" s="22" t="inlineStr">
        <is>
          <t>location</t>
        </is>
      </c>
      <c r="B96" s="22" t="inlineStr">
        <is>
          <t>GLO</t>
        </is>
      </c>
      <c r="C96" s="21" t="n"/>
      <c r="D96" s="21" t="n"/>
      <c r="E96" s="21" t="n"/>
      <c r="F96" s="21" t="n"/>
      <c r="G96" s="21" t="n"/>
      <c r="H96" s="21" t="n"/>
    </row>
    <row r="97" ht="14.75" customHeight="1">
      <c r="A97" s="22" t="inlineStr">
        <is>
          <t>reference product</t>
        </is>
      </c>
      <c r="B97" s="22" t="inlineStr">
        <is>
          <t>steel, unalloyed</t>
        </is>
      </c>
      <c r="C97" s="21" t="n"/>
      <c r="D97" s="21" t="n"/>
      <c r="E97" s="21" t="n"/>
      <c r="F97" s="21" t="n"/>
      <c r="G97" s="21" t="n"/>
      <c r="H97" s="21" t="n"/>
    </row>
    <row r="98" ht="14.75" customHeight="1">
      <c r="A98" s="22" t="inlineStr">
        <is>
          <t>unit</t>
        </is>
      </c>
      <c r="B98" s="22" t="inlineStr">
        <is>
          <t>kilogram</t>
        </is>
      </c>
      <c r="C98" s="21" t="n"/>
      <c r="D98" s="21" t="n"/>
      <c r="E98" s="21" t="n"/>
      <c r="F98" s="21" t="n"/>
      <c r="G98" s="21" t="n"/>
      <c r="H98" s="21" t="n"/>
    </row>
    <row r="99" ht="14.75" customHeight="1">
      <c r="A99" s="22" t="inlineStr">
        <is>
          <t>comment</t>
        </is>
      </c>
      <c r="B99" s="43" t="inlineStr">
        <is>
          <t>This dataset, modified by Harpprecht et al. (2025) from the ecoinvent 3.8 cutoff process *"steel production, converter, unalloyed"* (RER region), represents unalloyed steel production using pig iron sourced from a top gas recycling (TGR) blast furnace–basic oxygen furnace (BF-BOF) route. The original inputs of scrap and conventional pig iron were removed and replaced with an equivalent quantity of pig iron produced via TGR-BF, aligning the dataset with a more energy- and carbon-efficient upstream process. Additionally, secondary metallurgy slag was removed, and its mass added to the normal slag input. These changes enable prospective modeling of low-carbon unalloyed steel production in line with technological advancements described in Quader et al. (2016).
**Key reference for TGR-BF technology:**
* Quader, M. A., Ahmed, S., Dawal, S. Z., &amp; Nukman, Y. (2016). *Present needs, recent progress and future trends of energy-efficient Ultra-Low Carbon Dioxide (CO₂) Steelmaking (ULCOS) program*. *Renewable and Sustainable Energy Reviews*, 55, 537–549. [https://doi.org/10.1016/j.rser.2015.10.101](https://doi.org/10.1016/j.rser.2015.10.101)</t>
        </is>
      </c>
      <c r="C99" s="21" t="n"/>
      <c r="D99" s="21" t="n"/>
      <c r="E99" s="21" t="n"/>
      <c r="F99" s="21" t="n"/>
      <c r="G99" s="21" t="n"/>
      <c r="H99" s="21" t="n"/>
    </row>
    <row r="100" ht="15" customHeight="1">
      <c r="A100" s="22" t="inlineStr">
        <is>
          <t>source</t>
        </is>
      </c>
      <c r="B100" s="22" t="inlineStr">
        <is>
          <t>Harpprecht C., Sacchi R., Naegler T., et al. "Future environmental impacts of global iron and steel production". Energy Environ Sci. (2025). doi: 10.1039/D5EE01356A</t>
        </is>
      </c>
      <c r="C100" s="21" t="n"/>
      <c r="D100" s="21" t="n"/>
      <c r="E100" s="21" t="n"/>
      <c r="F100" s="21" t="n"/>
      <c r="G100" s="21" t="n"/>
      <c r="H100" s="21" t="n"/>
    </row>
    <row r="101" ht="14.75" customHeight="1">
      <c r="A101" s="19" t="inlineStr">
        <is>
          <t>Exchanges</t>
        </is>
      </c>
      <c r="B101" s="22" t="n"/>
      <c r="C101" s="21" t="n"/>
      <c r="D101" s="21" t="n"/>
      <c r="E101" s="21" t="n"/>
      <c r="F101" s="21" t="n"/>
      <c r="G101" s="21" t="n"/>
      <c r="H101" s="21" t="n"/>
    </row>
    <row r="102" ht="14.75" customHeight="1">
      <c r="A102" s="23" t="inlineStr">
        <is>
          <t>name</t>
        </is>
      </c>
      <c r="B102" s="23" t="inlineStr">
        <is>
          <t>amount</t>
        </is>
      </c>
      <c r="C102" s="23" t="inlineStr">
        <is>
          <t>database</t>
        </is>
      </c>
      <c r="D102" s="23" t="inlineStr">
        <is>
          <t>location</t>
        </is>
      </c>
      <c r="E102" s="23" t="inlineStr">
        <is>
          <t>unit</t>
        </is>
      </c>
      <c r="F102" s="23" t="inlineStr">
        <is>
          <t>categories</t>
        </is>
      </c>
      <c r="G102" s="23" t="inlineStr">
        <is>
          <t>type</t>
        </is>
      </c>
      <c r="H102" s="23" t="inlineStr">
        <is>
          <t>reference product</t>
        </is>
      </c>
      <c r="I102" s="23" t="inlineStr">
        <is>
          <t>comment</t>
        </is>
      </c>
      <c r="J102" s="20" t="inlineStr">
        <is>
          <t>uncertainty type</t>
        </is>
      </c>
      <c r="K102" s="20" t="inlineStr">
        <is>
          <t>pedigree</t>
        </is>
      </c>
      <c r="L102" s="20" t="inlineStr">
        <is>
          <t>loc</t>
        </is>
      </c>
      <c r="M102" s="20" t="inlineStr">
        <is>
          <t>scale</t>
        </is>
      </c>
      <c r="N102" s="20" t="inlineStr">
        <is>
          <t>formula</t>
        </is>
      </c>
      <c r="O102" s="20" t="inlineStr">
        <is>
          <t>replacement name</t>
        </is>
      </c>
      <c r="P102" s="20" t="inlineStr">
        <is>
          <t>replacement product</t>
        </is>
      </c>
      <c r="Q102" s="20" t="inlineStr">
        <is>
          <t>replacement location</t>
        </is>
      </c>
      <c r="R102" s="20" t="inlineStr">
        <is>
          <t>negative</t>
        </is>
      </c>
    </row>
    <row r="103" ht="14.75" customHeight="1">
      <c r="A103" s="24" t="inlineStr">
        <is>
          <t>steel production, blast furnace-basic oxygen furnace, with top gas recycling, unalloyed</t>
        </is>
      </c>
      <c r="B103" s="28" t="n">
        <v>1</v>
      </c>
      <c r="C103" s="22" t="inlineStr">
        <is>
          <t>steel_paper</t>
        </is>
      </c>
      <c r="D103" s="22" t="inlineStr">
        <is>
          <t>GLO</t>
        </is>
      </c>
      <c r="E103" s="22" t="inlineStr">
        <is>
          <t>kilogram</t>
        </is>
      </c>
      <c r="F103" s="22" t="n"/>
      <c r="G103" s="22" t="inlineStr">
        <is>
          <t>production</t>
        </is>
      </c>
      <c r="H103" s="22" t="inlineStr">
        <is>
          <t>steel, unalloyed</t>
        </is>
      </c>
    </row>
    <row r="104" ht="14.75" customHeight="1">
      <c r="A104" s="24" t="inlineStr">
        <is>
          <t>pig iron production, top gas recycling-blast furnace</t>
        </is>
      </c>
      <c r="B104" s="28">
        <f>0.23211055+0.86462087</f>
        <v>1.09673142</v>
      </c>
      <c r="C104" s="22" t="inlineStr">
        <is>
          <t>steel_paper</t>
        </is>
      </c>
      <c r="D104" s="22" t="inlineStr">
        <is>
          <t>GLO</t>
        </is>
      </c>
      <c r="E104" s="22" t="inlineStr">
        <is>
          <t>kilogram</t>
        </is>
      </c>
      <c r="F104" s="22" t="n"/>
      <c r="G104" s="22" t="inlineStr">
        <is>
          <t>technosphere</t>
        </is>
      </c>
      <c r="H104" s="22" t="inlineStr">
        <is>
          <t>pig iron</t>
        </is>
      </c>
      <c r="I104" t="inlineStr">
        <is>
          <t xml:space="preserve">&gt; Modifications (2025): added this input. Value is the sum of the original ecoinvent values of scrap input (0.232 kg) and pig iron input (0.865 kg)
</t>
        </is>
      </c>
    </row>
    <row r="105" ht="14.75" customHeight="1">
      <c r="A105" t="inlineStr">
        <is>
          <t>market for basic oxygen furnace dust</t>
        </is>
      </c>
      <c r="B105" t="n">
        <v>0</v>
      </c>
      <c r="C105" t="inlineStr">
        <is>
          <t>cutoff391</t>
        </is>
      </c>
      <c r="D105" t="inlineStr">
        <is>
          <t>RER</t>
        </is>
      </c>
      <c r="E105" t="inlineStr">
        <is>
          <t>kilogram</t>
        </is>
      </c>
      <c r="G105" s="22" t="inlineStr">
        <is>
          <t>technosphere</t>
        </is>
      </c>
      <c r="H105" t="inlineStr">
        <is>
          <t>basic oxygen furnace dust</t>
        </is>
      </c>
      <c r="I105"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105" t="inlineStr">
        <is>
          <t>steel production, converter, unalloyed</t>
        </is>
      </c>
      <c r="P105" t="inlineStr">
        <is>
          <t>steel, unalloyed</t>
        </is>
      </c>
      <c r="Q105" t="inlineStr">
        <is>
          <t>RER</t>
        </is>
      </c>
    </row>
    <row r="106" ht="14.75" customHeight="1">
      <c r="A106" t="inlineStr">
        <is>
          <t>market for basic oxygen furnace slag</t>
        </is>
      </c>
      <c r="B106">
        <f>-0.1048976-0.0003008</f>
        <v>-0.1051984</v>
      </c>
      <c r="C106" t="inlineStr">
        <is>
          <t>cutoff391</t>
        </is>
      </c>
      <c r="D106" t="inlineStr">
        <is>
          <t>RER</t>
        </is>
      </c>
      <c r="E106" t="inlineStr">
        <is>
          <t>kilogram</t>
        </is>
      </c>
      <c r="G106" s="22" t="inlineStr">
        <is>
          <t>technosphere</t>
        </is>
      </c>
      <c r="H106" t="inlineStr">
        <is>
          <t>basic oxygen furnace slag</t>
        </is>
      </c>
      <c r="I106" t="inlineStr">
        <is>
          <t>&gt; Modifications (2025): added the value of the secondary metallurgy slag, which was set to zero
&gt; original was: -0.1048976 kg
&lt;Original ecoinvent 3.8 comment: &gt;
Amount reported by worldsteel (2010) and is representative of the average global situation in 2009. Also based on worldsteel (2010), an internal recovery (recycling) rate of 14% is assumed. Source: Worldsteel (2010). Steel industry by-products. World Steel Association: Brussels, Belgium.</t>
        </is>
      </c>
      <c r="J106" t="n">
        <v>2</v>
      </c>
      <c r="K106" t="inlineStr">
        <is>
          <t>(2, 3, 3, 2, 2, 1)</t>
        </is>
      </c>
      <c r="L106" t="n">
        <v>-2.25477064277392</v>
      </c>
      <c r="M106" t="n">
        <v>0.0665206734782503</v>
      </c>
      <c r="R106" t="b">
        <v>1</v>
      </c>
    </row>
    <row r="107" ht="14.75" customHeight="1">
      <c r="A107" t="inlineStr">
        <is>
          <t>market for basic oxygen furnace sludge</t>
        </is>
      </c>
      <c r="B107" t="n">
        <v>0</v>
      </c>
      <c r="C107" t="inlineStr">
        <is>
          <t>cutoff391</t>
        </is>
      </c>
      <c r="D107" t="inlineStr">
        <is>
          <t>RER</t>
        </is>
      </c>
      <c r="E107" t="inlineStr">
        <is>
          <t>kilogram</t>
        </is>
      </c>
      <c r="G107" s="22" t="inlineStr">
        <is>
          <t>technosphere</t>
        </is>
      </c>
      <c r="H107" t="inlineStr">
        <is>
          <t>basic oxygen furnace sludge</t>
        </is>
      </c>
      <c r="I107"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107" t="inlineStr">
        <is>
          <t>steel production, converter, unalloyed</t>
        </is>
      </c>
      <c r="P107" t="inlineStr">
        <is>
          <t>steel, unalloyed</t>
        </is>
      </c>
      <c r="Q107" t="inlineStr">
        <is>
          <t>RER</t>
        </is>
      </c>
    </row>
    <row r="108" ht="14.75" customHeight="1">
      <c r="A108" t="inlineStr">
        <is>
          <t>market for blast oxygen furnace converter</t>
        </is>
      </c>
      <c r="B108" t="n">
        <v>0</v>
      </c>
      <c r="C108" t="inlineStr">
        <is>
          <t>cutoff391</t>
        </is>
      </c>
      <c r="D108" t="inlineStr">
        <is>
          <t>GLO</t>
        </is>
      </c>
      <c r="E108" t="inlineStr">
        <is>
          <t>unit</t>
        </is>
      </c>
      <c r="G108" s="22" t="inlineStr">
        <is>
          <t>technosphere</t>
        </is>
      </c>
      <c r="H108" t="inlineStr">
        <is>
          <t>blast oxygen furnace converter</t>
        </is>
      </c>
      <c r="I108" t="inlineStr">
        <is>
          <t>Source: Classen et al. (2009)</t>
        </is>
      </c>
      <c r="O108" t="inlineStr">
        <is>
          <t>steel production, converter, unalloyed</t>
        </is>
      </c>
      <c r="P108" t="inlineStr">
        <is>
          <t>steel, unalloyed</t>
        </is>
      </c>
      <c r="Q108" t="inlineStr">
        <is>
          <t>RER</t>
        </is>
      </c>
    </row>
    <row r="109" ht="14.75" customHeight="1">
      <c r="A109" t="inlineStr">
        <is>
          <t>market for coke</t>
        </is>
      </c>
      <c r="B109" t="n">
        <v>0</v>
      </c>
      <c r="C109" t="inlineStr">
        <is>
          <t>cutoff391</t>
        </is>
      </c>
      <c r="D109" t="inlineStr">
        <is>
          <t>GLO</t>
        </is>
      </c>
      <c r="E109" t="inlineStr">
        <is>
          <t>megajoule</t>
        </is>
      </c>
      <c r="G109" s="22" t="inlineStr">
        <is>
          <t>technosphere</t>
        </is>
      </c>
      <c r="H109" t="inlineStr">
        <is>
          <t>coke</t>
        </is>
      </c>
      <c r="I109" t="inlineStr">
        <is>
          <t>geometric mean of Remus et al. (2013) data range</t>
        </is>
      </c>
      <c r="O109" t="inlineStr">
        <is>
          <t>steel production, converter, unalloyed</t>
        </is>
      </c>
      <c r="P109" t="inlineStr">
        <is>
          <t>steel, unalloyed</t>
        </is>
      </c>
      <c r="Q109" t="inlineStr">
        <is>
          <t>RER</t>
        </is>
      </c>
    </row>
    <row r="110" ht="14.75" customHeight="1">
      <c r="A110" t="inlineStr">
        <is>
          <t>market for compressed air, 600 kPa gauge</t>
        </is>
      </c>
      <c r="B110" t="n">
        <v>0</v>
      </c>
      <c r="C110" t="inlineStr">
        <is>
          <t>cutoff391</t>
        </is>
      </c>
      <c r="D110" t="inlineStr">
        <is>
          <t>RER</t>
        </is>
      </c>
      <c r="E110" t="inlineStr">
        <is>
          <t>cubic meter</t>
        </is>
      </c>
      <c r="G110" s="22" t="inlineStr">
        <is>
          <t>technosphere</t>
        </is>
      </c>
      <c r="H110" t="inlineStr">
        <is>
          <t>compressed air, 600 kPa gauge</t>
        </is>
      </c>
      <c r="I110" t="inlineStr">
        <is>
          <t>geometric mean of Remus et al. (2013) data range</t>
        </is>
      </c>
      <c r="O110" t="inlineStr">
        <is>
          <t>steel production, converter, unalloyed</t>
        </is>
      </c>
      <c r="P110" t="inlineStr">
        <is>
          <t>steel, unalloyed</t>
        </is>
      </c>
      <c r="Q110" t="inlineStr">
        <is>
          <t>RER</t>
        </is>
      </c>
    </row>
    <row r="111" ht="14.75" customHeight="1">
      <c r="A111" t="inlineStr">
        <is>
          <t>market for dolomite</t>
        </is>
      </c>
      <c r="B111" t="n">
        <v>0</v>
      </c>
      <c r="C111" t="inlineStr">
        <is>
          <t>cutoff391</t>
        </is>
      </c>
      <c r="D111" t="inlineStr">
        <is>
          <t>RER</t>
        </is>
      </c>
      <c r="E111" t="inlineStr">
        <is>
          <t>kilogram</t>
        </is>
      </c>
      <c r="G111" s="22" t="inlineStr">
        <is>
          <t>technosphere</t>
        </is>
      </c>
      <c r="H111" t="inlineStr">
        <is>
          <t>dolomite</t>
        </is>
      </c>
      <c r="I111" t="inlineStr">
        <is>
          <t>geometric mean of Remus et al. (2013) data range</t>
        </is>
      </c>
      <c r="O111" t="inlineStr">
        <is>
          <t>steel production, converter, unalloyed</t>
        </is>
      </c>
      <c r="P111" t="inlineStr">
        <is>
          <t>steel, unalloyed</t>
        </is>
      </c>
      <c r="Q111" t="inlineStr">
        <is>
          <t>RER</t>
        </is>
      </c>
    </row>
    <row r="112" ht="14.75" customHeight="1">
      <c r="A112" t="inlineStr">
        <is>
          <t>market group for electricity, medium voltage</t>
        </is>
      </c>
      <c r="B112" t="n">
        <v>0</v>
      </c>
      <c r="C112" t="inlineStr">
        <is>
          <t>cutoff391</t>
        </is>
      </c>
      <c r="D112" t="inlineStr">
        <is>
          <t>RER</t>
        </is>
      </c>
      <c r="E112" t="inlineStr">
        <is>
          <t>kilowatt hour</t>
        </is>
      </c>
      <c r="G112" s="22" t="inlineStr">
        <is>
          <t>technosphere</t>
        </is>
      </c>
      <c r="H112" t="inlineStr">
        <is>
          <t>electricity, medium voltage</t>
        </is>
      </c>
      <c r="I112" t="inlineStr">
        <is>
          <t>geometric mean of Remus et al. (2013) data range</t>
        </is>
      </c>
      <c r="O112" t="inlineStr">
        <is>
          <t>steel production, converter, unalloyed</t>
        </is>
      </c>
      <c r="P112" t="inlineStr">
        <is>
          <t>steel, unalloyed</t>
        </is>
      </c>
      <c r="Q112" t="inlineStr">
        <is>
          <t>RER</t>
        </is>
      </c>
    </row>
    <row r="113" ht="14.75" customHeight="1">
      <c r="A113" t="inlineStr">
        <is>
          <t>market for ferromanganese, high-coal, 74.5% Mn</t>
        </is>
      </c>
      <c r="B113" t="n">
        <v>0</v>
      </c>
      <c r="C113" t="inlineStr">
        <is>
          <t>cutoff391</t>
        </is>
      </c>
      <c r="D113" t="inlineStr">
        <is>
          <t>GLO</t>
        </is>
      </c>
      <c r="E113" t="inlineStr">
        <is>
          <t>kilogram</t>
        </is>
      </c>
      <c r="G113" s="22" t="inlineStr">
        <is>
          <t>technosphere</t>
        </is>
      </c>
      <c r="H113" t="inlineStr">
        <is>
          <t>ferromanganese, high-coal, 74.5% Mn</t>
        </is>
      </c>
      <c r="I113" t="inlineStr">
        <is>
          <t>Source: Classen et al. (2009)</t>
        </is>
      </c>
      <c r="O113" t="inlineStr">
        <is>
          <t>steel production, converter, unalloyed</t>
        </is>
      </c>
      <c r="P113" t="inlineStr">
        <is>
          <t>steel, unalloyed</t>
        </is>
      </c>
      <c r="Q113" t="inlineStr">
        <is>
          <t>RER</t>
        </is>
      </c>
    </row>
    <row r="114" ht="14.75" customHeight="1">
      <c r="A114" t="inlineStr">
        <is>
          <t>market for inert waste, for final disposal</t>
        </is>
      </c>
      <c r="B114" t="n">
        <v>0</v>
      </c>
      <c r="C114" t="inlineStr">
        <is>
          <t>cutoff391</t>
        </is>
      </c>
      <c r="D114" t="inlineStr">
        <is>
          <t>CH</t>
        </is>
      </c>
      <c r="E114" t="inlineStr">
        <is>
          <t>kilogram</t>
        </is>
      </c>
      <c r="G114" s="22" t="inlineStr">
        <is>
          <t>technosphere</t>
        </is>
      </c>
      <c r="H114" t="inlineStr">
        <is>
          <t>inert waste, for final disposal</t>
        </is>
      </c>
      <c r="I114" t="inlineStr">
        <is>
          <t>Represents used refractories, etc.</t>
        </is>
      </c>
      <c r="O114" t="inlineStr">
        <is>
          <t>steel production, converter, unalloyed</t>
        </is>
      </c>
      <c r="P114" t="inlineStr">
        <is>
          <t>steel, unalloyed</t>
        </is>
      </c>
      <c r="Q114" t="inlineStr">
        <is>
          <t>RER</t>
        </is>
      </c>
    </row>
    <row r="115" ht="14.75" customHeight="1">
      <c r="A115" t="inlineStr">
        <is>
          <t>market for iron ore concentrate</t>
        </is>
      </c>
      <c r="B115" t="n">
        <v>0</v>
      </c>
      <c r="C115" t="inlineStr">
        <is>
          <t>cutoff391</t>
        </is>
      </c>
      <c r="D115" t="inlineStr">
        <is>
          <t>GLO</t>
        </is>
      </c>
      <c r="E115" t="inlineStr">
        <is>
          <t>kilogram</t>
        </is>
      </c>
      <c r="G115" s="22" t="inlineStr">
        <is>
          <t>technosphere</t>
        </is>
      </c>
      <c r="H115" t="inlineStr">
        <is>
          <t>iron ore concentrate</t>
        </is>
      </c>
      <c r="I115" t="inlineStr">
        <is>
          <t>geometric mean of Remus et al. (2013) data range</t>
        </is>
      </c>
      <c r="O115" t="inlineStr">
        <is>
          <t>steel production, converter, unalloyed</t>
        </is>
      </c>
      <c r="P115" t="inlineStr">
        <is>
          <t>steel, unalloyed</t>
        </is>
      </c>
      <c r="Q115" t="inlineStr">
        <is>
          <t>RER</t>
        </is>
      </c>
    </row>
    <row r="116" ht="14.75" customHeight="1">
      <c r="A116" t="inlineStr">
        <is>
          <t>market for mill scale</t>
        </is>
      </c>
      <c r="B116" t="n">
        <v>0</v>
      </c>
      <c r="C116" t="inlineStr">
        <is>
          <t>cutoff391</t>
        </is>
      </c>
      <c r="D116" t="inlineStr">
        <is>
          <t>RER</t>
        </is>
      </c>
      <c r="E116" t="inlineStr">
        <is>
          <t>kilogram</t>
        </is>
      </c>
      <c r="G116" s="22" t="inlineStr">
        <is>
          <t>technosphere</t>
        </is>
      </c>
      <c r="H116" t="inlineStr">
        <is>
          <t>mill scale</t>
        </is>
      </c>
      <c r="I116" t="inlineStr">
        <is>
          <t>Amount reported by worldsteel (2010) and is representative of the average global situation in 2009. Also based on worldsteel (2010), an internal recovery (recycling) rate of 89% is assumed. Source: Worldsteel (2010). Steel industry by-products. World Steel Association: Brussels, Belgium.</t>
        </is>
      </c>
      <c r="O116" t="inlineStr">
        <is>
          <t>steel production, converter, unalloyed</t>
        </is>
      </c>
      <c r="P116" t="inlineStr">
        <is>
          <t>steel, unalloyed</t>
        </is>
      </c>
      <c r="Q116" t="inlineStr">
        <is>
          <t>RER</t>
        </is>
      </c>
    </row>
    <row r="117" ht="14.75" customHeight="1">
      <c r="A117" t="inlineStr">
        <is>
          <t>market group for natural gas, high pressure</t>
        </is>
      </c>
      <c r="B117" t="n">
        <v>0</v>
      </c>
      <c r="C117" t="inlineStr">
        <is>
          <t>cutoff391</t>
        </is>
      </c>
      <c r="D117" t="inlineStr">
        <is>
          <t>Europe without Switzerland</t>
        </is>
      </c>
      <c r="E117" t="inlineStr">
        <is>
          <t>cubic meter</t>
        </is>
      </c>
      <c r="G117" s="22" t="inlineStr">
        <is>
          <t>technosphere</t>
        </is>
      </c>
      <c r="H117" t="inlineStr">
        <is>
          <t>natural gas, high pressure</t>
        </is>
      </c>
      <c r="I117" t="inlineStr">
        <is>
          <t>geometric mean of Remus et al. (2013) data range</t>
        </is>
      </c>
      <c r="O117" t="inlineStr">
        <is>
          <t>steel production, converter, unalloyed</t>
        </is>
      </c>
      <c r="P117" t="inlineStr">
        <is>
          <t>steel, unalloyed</t>
        </is>
      </c>
      <c r="Q117" t="inlineStr">
        <is>
          <t>RER</t>
        </is>
      </c>
    </row>
    <row r="118" ht="14.75" customHeight="1">
      <c r="A118" t="inlineStr">
        <is>
          <t>market for natural gas, high pressure</t>
        </is>
      </c>
      <c r="B118" t="n">
        <v>0</v>
      </c>
      <c r="C118" t="inlineStr">
        <is>
          <t>cutoff391</t>
        </is>
      </c>
      <c r="D118" t="inlineStr">
        <is>
          <t>CH</t>
        </is>
      </c>
      <c r="E118" t="inlineStr">
        <is>
          <t>cubic meter</t>
        </is>
      </c>
      <c r="G118" s="22" t="inlineStr">
        <is>
          <t>technosphere</t>
        </is>
      </c>
      <c r="H118" t="inlineStr">
        <is>
          <t>natural gas, high pressure</t>
        </is>
      </c>
      <c r="I118" t="inlineStr">
        <is>
          <t>geometric mean of Remus et al. (2013) data range</t>
        </is>
      </c>
      <c r="O118" t="inlineStr">
        <is>
          <t>steel production, converter, unalloyed</t>
        </is>
      </c>
      <c r="P118" t="inlineStr">
        <is>
          <t>steel, unalloyed</t>
        </is>
      </c>
      <c r="Q118" t="inlineStr">
        <is>
          <t>RER</t>
        </is>
      </c>
    </row>
    <row r="119" ht="14.75" customHeight="1">
      <c r="A119" t="inlineStr">
        <is>
          <t>market for oxygen, liquid</t>
        </is>
      </c>
      <c r="B119" t="n">
        <v>0</v>
      </c>
      <c r="C119" t="inlineStr">
        <is>
          <t>cutoff391</t>
        </is>
      </c>
      <c r="D119" t="inlineStr">
        <is>
          <t>RER</t>
        </is>
      </c>
      <c r="E119" t="inlineStr">
        <is>
          <t>kilogram</t>
        </is>
      </c>
      <c r="G119" s="22" t="inlineStr">
        <is>
          <t>technosphere</t>
        </is>
      </c>
      <c r="H119" t="inlineStr">
        <is>
          <t>oxygen, liquid</t>
        </is>
      </c>
      <c r="I119" t="inlineStr">
        <is>
          <t>geometric mean of Remus et al. (2013) data range</t>
        </is>
      </c>
      <c r="O119" t="inlineStr">
        <is>
          <t>steel production, converter, unalloyed</t>
        </is>
      </c>
      <c r="P119" t="inlineStr">
        <is>
          <t>steel, unalloyed</t>
        </is>
      </c>
      <c r="Q119" t="inlineStr">
        <is>
          <t>RER</t>
        </is>
      </c>
    </row>
    <row r="120" ht="14.75" customHeight="1">
      <c r="A120" t="inlineStr">
        <is>
          <t>market for quicklime, in pieces, loose</t>
        </is>
      </c>
      <c r="B120" t="n">
        <v>0</v>
      </c>
      <c r="C120" t="inlineStr">
        <is>
          <t>cutoff391</t>
        </is>
      </c>
      <c r="D120" t="inlineStr">
        <is>
          <t>CH</t>
        </is>
      </c>
      <c r="E120" t="inlineStr">
        <is>
          <t>kilogram</t>
        </is>
      </c>
      <c r="G120" s="22" t="inlineStr">
        <is>
          <t>technosphere</t>
        </is>
      </c>
      <c r="H120" t="inlineStr">
        <is>
          <t>quicklime, in pieces, loose</t>
        </is>
      </c>
      <c r="I120" t="inlineStr">
        <is>
          <t>geometric mean of Remus et al. (2013) data range</t>
        </is>
      </c>
      <c r="O120" t="inlineStr">
        <is>
          <t>steel production, converter, unalloyed</t>
        </is>
      </c>
      <c r="P120" t="inlineStr">
        <is>
          <t>steel, unalloyed</t>
        </is>
      </c>
      <c r="Q120" t="inlineStr">
        <is>
          <t>RER</t>
        </is>
      </c>
    </row>
    <row r="121" ht="14.75" customHeight="1">
      <c r="A121" t="inlineStr">
        <is>
          <t>market for wastewater from pig iron production</t>
        </is>
      </c>
      <c r="B121" t="n">
        <v>0</v>
      </c>
      <c r="C121" t="inlineStr">
        <is>
          <t>cutoff391</t>
        </is>
      </c>
      <c r="D121" t="inlineStr">
        <is>
          <t>Europe without Switzerland</t>
        </is>
      </c>
      <c r="E121" t="inlineStr">
        <is>
          <t>cubic meter</t>
        </is>
      </c>
      <c r="G121" s="22" t="inlineStr">
        <is>
          <t>technosphere</t>
        </is>
      </c>
      <c r="H121" t="inlineStr">
        <is>
          <t>wastewater from pig iron production</t>
        </is>
      </c>
      <c r="I121" t="inlineStr">
        <is>
          <t>geometric mean of Remus et al. (2013) data range</t>
        </is>
      </c>
      <c r="O121" t="inlineStr">
        <is>
          <t>steel production, converter, unalloyed</t>
        </is>
      </c>
      <c r="P121" t="inlineStr">
        <is>
          <t>steel, unalloyed</t>
        </is>
      </c>
      <c r="Q121" t="inlineStr">
        <is>
          <t>RER</t>
        </is>
      </c>
    </row>
    <row r="122" ht="14.75" customHeight="1">
      <c r="A122" t="inlineStr">
        <is>
          <t>market for wastewater from pig iron production</t>
        </is>
      </c>
      <c r="B122" t="n">
        <v>0</v>
      </c>
      <c r="C122" t="inlineStr">
        <is>
          <t>cutoff391</t>
        </is>
      </c>
      <c r="D122" t="inlineStr">
        <is>
          <t>CH</t>
        </is>
      </c>
      <c r="E122" t="inlineStr">
        <is>
          <t>cubic meter</t>
        </is>
      </c>
      <c r="G122" s="22" t="inlineStr">
        <is>
          <t>technosphere</t>
        </is>
      </c>
      <c r="H122" t="inlineStr">
        <is>
          <t>wastewater from pig iron production</t>
        </is>
      </c>
      <c r="I122" t="inlineStr">
        <is>
          <t>geometric mean of Remus et al. (2013) data range</t>
        </is>
      </c>
      <c r="O122" t="inlineStr">
        <is>
          <t>steel production, converter, unalloyed</t>
        </is>
      </c>
      <c r="P122" t="inlineStr">
        <is>
          <t>steel, unalloyed</t>
        </is>
      </c>
      <c r="Q122" t="inlineStr">
        <is>
          <t>RER</t>
        </is>
      </c>
    </row>
    <row r="123" ht="14.75" customHeight="1">
      <c r="A123" t="inlineStr">
        <is>
          <t>Carbon dioxide, fossil</t>
        </is>
      </c>
      <c r="B123" t="n">
        <v>0</v>
      </c>
      <c r="C123" t="inlineStr">
        <is>
          <t>biosphere3</t>
        </is>
      </c>
      <c r="E123" t="inlineStr">
        <is>
          <t>kilogram</t>
        </is>
      </c>
      <c r="F123" t="inlineStr">
        <is>
          <t>air</t>
        </is>
      </c>
      <c r="G123" s="22" t="inlineStr">
        <is>
          <t>biosphere</t>
        </is>
      </c>
      <c r="I123" t="inlineStr">
        <is>
          <t>geometric mean of Remus et al. (2013) data range</t>
        </is>
      </c>
      <c r="N123" t="inlineStr">
        <is>
          <t>CO2</t>
        </is>
      </c>
      <c r="O123" t="inlineStr">
        <is>
          <t>steel production, converter, unalloyed</t>
        </is>
      </c>
      <c r="P123" t="inlineStr">
        <is>
          <t>steel, unalloyed</t>
        </is>
      </c>
      <c r="Q123" t="inlineStr">
        <is>
          <t>RER</t>
        </is>
      </c>
    </row>
    <row r="124" ht="14.75" customHeight="1">
      <c r="A124" t="inlineStr">
        <is>
          <t>Carbon monoxide, fossil</t>
        </is>
      </c>
      <c r="B124" t="n">
        <v>0</v>
      </c>
      <c r="C124" t="inlineStr">
        <is>
          <t>biosphere3</t>
        </is>
      </c>
      <c r="E124" t="inlineStr">
        <is>
          <t>kilogram</t>
        </is>
      </c>
      <c r="F124" t="inlineStr">
        <is>
          <t>air</t>
        </is>
      </c>
      <c r="G124" s="22" t="inlineStr">
        <is>
          <t>biosphere</t>
        </is>
      </c>
      <c r="I124" t="inlineStr">
        <is>
          <t>geometric mean of Remus et al. (2013) data range</t>
        </is>
      </c>
      <c r="N124" t="inlineStr">
        <is>
          <t>CO</t>
        </is>
      </c>
      <c r="O124" t="inlineStr">
        <is>
          <t>steel production, converter, unalloyed</t>
        </is>
      </c>
      <c r="P124" t="inlineStr">
        <is>
          <t>steel, unalloyed</t>
        </is>
      </c>
      <c r="Q124" t="inlineStr">
        <is>
          <t>RER</t>
        </is>
      </c>
    </row>
    <row r="125" ht="14.75" customHeight="1">
      <c r="A125" t="inlineStr">
        <is>
          <t>Chromium</t>
        </is>
      </c>
      <c r="B125" t="n">
        <v>0</v>
      </c>
      <c r="C125" t="inlineStr">
        <is>
          <t>biosphere3</t>
        </is>
      </c>
      <c r="E125" t="inlineStr">
        <is>
          <t>kilogram</t>
        </is>
      </c>
      <c r="F125" t="inlineStr">
        <is>
          <t>air</t>
        </is>
      </c>
      <c r="G125" s="22" t="inlineStr">
        <is>
          <t>biosphere</t>
        </is>
      </c>
      <c r="I125" t="inlineStr">
        <is>
          <t>geometric mean of Remus et al. (2013) data range</t>
        </is>
      </c>
      <c r="N125" t="inlineStr">
        <is>
          <t>Cr</t>
        </is>
      </c>
      <c r="O125" t="inlineStr">
        <is>
          <t>steel production, converter, unalloyed</t>
        </is>
      </c>
      <c r="P125" t="inlineStr">
        <is>
          <t>steel, unalloyed</t>
        </is>
      </c>
      <c r="Q125" t="inlineStr">
        <is>
          <t>RER</t>
        </is>
      </c>
    </row>
    <row r="126" ht="14.75" customHeight="1">
      <c r="A126" t="inlineStr">
        <is>
          <t>Copper ion</t>
        </is>
      </c>
      <c r="B126" t="n">
        <v>0</v>
      </c>
      <c r="C126" t="inlineStr">
        <is>
          <t>biosphere3</t>
        </is>
      </c>
      <c r="E126" t="inlineStr">
        <is>
          <t>kilogram</t>
        </is>
      </c>
      <c r="F126" t="inlineStr">
        <is>
          <t>air</t>
        </is>
      </c>
      <c r="G126" s="22" t="inlineStr">
        <is>
          <t>biosphere</t>
        </is>
      </c>
      <c r="I126" t="inlineStr">
        <is>
          <t>geometric mean of Remus et al. (2013) data range</t>
        </is>
      </c>
      <c r="N126" t="inlineStr">
        <is>
          <t>Cu</t>
        </is>
      </c>
      <c r="O126" t="inlineStr">
        <is>
          <t>steel production, converter, unalloyed</t>
        </is>
      </c>
      <c r="P126" t="inlineStr">
        <is>
          <t>steel, unalloyed</t>
        </is>
      </c>
      <c r="Q126" t="inlineStr">
        <is>
          <t>RER</t>
        </is>
      </c>
    </row>
    <row r="127" ht="14.75" customHeight="1">
      <c r="A127" t="inlineStr">
        <is>
          <t>Dioxins, measured as 2,3,7,8-tetrachlorodibenzo-p-dioxin</t>
        </is>
      </c>
      <c r="B127" t="n">
        <v>0</v>
      </c>
      <c r="C127" t="inlineStr">
        <is>
          <t>biosphere3</t>
        </is>
      </c>
      <c r="E127" t="inlineStr">
        <is>
          <t>kilogram</t>
        </is>
      </c>
      <c r="F127" t="inlineStr">
        <is>
          <t>air</t>
        </is>
      </c>
      <c r="G127" s="22" t="inlineStr">
        <is>
          <t>biosphere</t>
        </is>
      </c>
      <c r="I127" t="inlineStr">
        <is>
          <t>geometric mean of Remus et al. (2013) data range</t>
        </is>
      </c>
      <c r="N127" t="inlineStr">
        <is>
          <t>C12H4Cl4O2</t>
        </is>
      </c>
      <c r="O127" t="inlineStr">
        <is>
          <t>steel production, converter, unalloyed</t>
        </is>
      </c>
      <c r="P127" t="inlineStr">
        <is>
          <t>steel, unalloyed</t>
        </is>
      </c>
      <c r="Q127" t="inlineStr">
        <is>
          <t>RER</t>
        </is>
      </c>
    </row>
    <row r="128" ht="14.75" customHeight="1">
      <c r="A128" t="inlineStr">
        <is>
          <t>Heat, waste</t>
        </is>
      </c>
      <c r="B128" t="n">
        <v>0</v>
      </c>
      <c r="C128" t="inlineStr">
        <is>
          <t>biosphere3</t>
        </is>
      </c>
      <c r="E128" t="inlineStr">
        <is>
          <t>megajoule</t>
        </is>
      </c>
      <c r="F128" t="inlineStr">
        <is>
          <t>air</t>
        </is>
      </c>
      <c r="G128" s="22" t="inlineStr">
        <is>
          <t>biosphere</t>
        </is>
      </c>
      <c r="I128" t="inlineStr">
        <is>
          <t>Calculated from energy balanced model</t>
        </is>
      </c>
      <c r="O128" t="inlineStr">
        <is>
          <t>steel production, converter, unalloyed</t>
        </is>
      </c>
      <c r="P128" t="inlineStr">
        <is>
          <t>steel, unalloyed</t>
        </is>
      </c>
      <c r="Q128" t="inlineStr">
        <is>
          <t>RER</t>
        </is>
      </c>
    </row>
    <row r="129" ht="14.75" customHeight="1">
      <c r="A129" t="inlineStr">
        <is>
          <t>Iron</t>
        </is>
      </c>
      <c r="B129" t="n">
        <v>0</v>
      </c>
      <c r="C129" t="inlineStr">
        <is>
          <t>biosphere3</t>
        </is>
      </c>
      <c r="E129" t="inlineStr">
        <is>
          <t>kilogram</t>
        </is>
      </c>
      <c r="F129" t="inlineStr">
        <is>
          <t>air</t>
        </is>
      </c>
      <c r="G129" s="22" t="inlineStr">
        <is>
          <t>biosphere</t>
        </is>
      </c>
      <c r="I129" t="inlineStr">
        <is>
          <t>geometric mean of Remus et al. (2013) data range</t>
        </is>
      </c>
      <c r="N129" t="inlineStr">
        <is>
          <t>Fe</t>
        </is>
      </c>
      <c r="O129" t="inlineStr">
        <is>
          <t>steel production, converter, unalloyed</t>
        </is>
      </c>
      <c r="P129" t="inlineStr">
        <is>
          <t>steel, unalloyed</t>
        </is>
      </c>
      <c r="Q129" t="inlineStr">
        <is>
          <t>RER</t>
        </is>
      </c>
    </row>
    <row r="130" ht="14.75" customHeight="1">
      <c r="A130" t="inlineStr">
        <is>
          <t>Lead</t>
        </is>
      </c>
      <c r="B130" t="n">
        <v>0</v>
      </c>
      <c r="C130" t="inlineStr">
        <is>
          <t>biosphere3</t>
        </is>
      </c>
      <c r="E130" t="inlineStr">
        <is>
          <t>kilogram</t>
        </is>
      </c>
      <c r="F130" t="inlineStr">
        <is>
          <t>air</t>
        </is>
      </c>
      <c r="G130" s="22" t="inlineStr">
        <is>
          <t>biosphere</t>
        </is>
      </c>
      <c r="I130" t="inlineStr">
        <is>
          <t>geometric mean of Remus et al. (2013) data range</t>
        </is>
      </c>
      <c r="N130" t="inlineStr">
        <is>
          <t>Pb</t>
        </is>
      </c>
      <c r="O130" t="inlineStr">
        <is>
          <t>steel production, converter, unalloyed</t>
        </is>
      </c>
      <c r="P130" t="inlineStr">
        <is>
          <t>steel, unalloyed</t>
        </is>
      </c>
      <c r="Q130" t="inlineStr">
        <is>
          <t>RER</t>
        </is>
      </c>
    </row>
    <row r="131" ht="14.75" customHeight="1">
      <c r="A131" t="inlineStr">
        <is>
          <t>Manganese</t>
        </is>
      </c>
      <c r="B131" t="n">
        <v>0</v>
      </c>
      <c r="C131" t="inlineStr">
        <is>
          <t>biosphere3</t>
        </is>
      </c>
      <c r="E131" t="inlineStr">
        <is>
          <t>kilogram</t>
        </is>
      </c>
      <c r="F131" t="inlineStr">
        <is>
          <t>air</t>
        </is>
      </c>
      <c r="G131" s="22" t="inlineStr">
        <is>
          <t>biosphere</t>
        </is>
      </c>
      <c r="I131" t="inlineStr">
        <is>
          <t>geometric mean of Remus et al. (2013) data range</t>
        </is>
      </c>
      <c r="N131" t="inlineStr">
        <is>
          <t>Mn</t>
        </is>
      </c>
      <c r="O131" t="inlineStr">
        <is>
          <t>steel production, converter, unalloyed</t>
        </is>
      </c>
      <c r="P131" t="inlineStr">
        <is>
          <t>steel, unalloyed</t>
        </is>
      </c>
      <c r="Q131" t="inlineStr">
        <is>
          <t>RER</t>
        </is>
      </c>
    </row>
    <row r="132" ht="14.75" customHeight="1">
      <c r="A132" t="inlineStr">
        <is>
          <t>Nitrogen oxides</t>
        </is>
      </c>
      <c r="B132" t="n">
        <v>0</v>
      </c>
      <c r="C132" t="inlineStr">
        <is>
          <t>biosphere3</t>
        </is>
      </c>
      <c r="E132" t="inlineStr">
        <is>
          <t>kilogram</t>
        </is>
      </c>
      <c r="F132" t="inlineStr">
        <is>
          <t>air</t>
        </is>
      </c>
      <c r="G132" s="22" t="inlineStr">
        <is>
          <t>biosphere</t>
        </is>
      </c>
      <c r="I132" t="inlineStr">
        <is>
          <t>geometric mean of Remus et al. (2013) data range</t>
        </is>
      </c>
      <c r="N132" t="inlineStr">
        <is>
          <t>H3NO</t>
        </is>
      </c>
      <c r="O132" t="inlineStr">
        <is>
          <t>steel production, converter, unalloyed</t>
        </is>
      </c>
      <c r="P132" t="inlineStr">
        <is>
          <t>steel, unalloyed</t>
        </is>
      </c>
      <c r="Q132" t="inlineStr">
        <is>
          <t>RER</t>
        </is>
      </c>
    </row>
    <row r="133" ht="14.75" customHeight="1">
      <c r="A133" t="inlineStr">
        <is>
          <t>PAH, polycyclic aromatic hydrocarbons</t>
        </is>
      </c>
      <c r="B133" t="n">
        <v>0</v>
      </c>
      <c r="C133" t="inlineStr">
        <is>
          <t>biosphere3</t>
        </is>
      </c>
      <c r="E133" t="inlineStr">
        <is>
          <t>kilogram</t>
        </is>
      </c>
      <c r="F133" t="inlineStr">
        <is>
          <t>air</t>
        </is>
      </c>
      <c r="G133" s="22" t="inlineStr">
        <is>
          <t>biosphere</t>
        </is>
      </c>
      <c r="I133" t="inlineStr">
        <is>
          <t>geometric mean of Remus et al. (2013) data range</t>
        </is>
      </c>
      <c r="O133" t="inlineStr">
        <is>
          <t>steel production, converter, unalloyed</t>
        </is>
      </c>
      <c r="P133" t="inlineStr">
        <is>
          <t>steel, unalloyed</t>
        </is>
      </c>
      <c r="Q133" t="inlineStr">
        <is>
          <t>RER</t>
        </is>
      </c>
    </row>
    <row r="134" ht="14.75" customHeight="1">
      <c r="A134" t="inlineStr">
        <is>
          <t>Particulates, &lt; 2.5 um</t>
        </is>
      </c>
      <c r="B134" t="n">
        <v>0</v>
      </c>
      <c r="C134" t="inlineStr">
        <is>
          <t>biosphere3</t>
        </is>
      </c>
      <c r="E134" t="inlineStr">
        <is>
          <t>kilogram</t>
        </is>
      </c>
      <c r="F134" t="inlineStr">
        <is>
          <t>air</t>
        </is>
      </c>
      <c r="G134" s="22" t="inlineStr">
        <is>
          <t>biosphere</t>
        </is>
      </c>
      <c r="I134" t="inlineStr">
        <is>
          <t>geometric mean of Remus et al. (2013) data range</t>
        </is>
      </c>
      <c r="O134" t="inlineStr">
        <is>
          <t>steel production, converter, unalloyed</t>
        </is>
      </c>
      <c r="P134" t="inlineStr">
        <is>
          <t>steel, unalloyed</t>
        </is>
      </c>
      <c r="Q134" t="inlineStr">
        <is>
          <t>RER</t>
        </is>
      </c>
    </row>
    <row r="135" ht="14.75" customHeight="1">
      <c r="A135" t="inlineStr">
        <is>
          <t>Water</t>
        </is>
      </c>
      <c r="B135" t="n">
        <v>0</v>
      </c>
      <c r="C135" t="inlineStr">
        <is>
          <t>biosphere3</t>
        </is>
      </c>
      <c r="E135" t="inlineStr">
        <is>
          <t>cubic meter</t>
        </is>
      </c>
      <c r="F135" t="inlineStr">
        <is>
          <t>air</t>
        </is>
      </c>
      <c r="G135" s="22" t="inlineStr">
        <is>
          <t>biosphere</t>
        </is>
      </c>
      <c r="I135" t="inlineStr">
        <is>
          <t>Source: Classen et al. (2009)</t>
        </is>
      </c>
      <c r="N135" t="inlineStr">
        <is>
          <t>H2O</t>
        </is>
      </c>
      <c r="O135" t="inlineStr">
        <is>
          <t>steel production, converter, unalloyed</t>
        </is>
      </c>
      <c r="P135" t="inlineStr">
        <is>
          <t>steel, unalloyed</t>
        </is>
      </c>
      <c r="Q135" t="inlineStr">
        <is>
          <t>RER</t>
        </is>
      </c>
    </row>
    <row r="136" ht="14.75" customHeight="1">
      <c r="A136" t="inlineStr">
        <is>
          <t>Water, cooling, unspecified natural origin</t>
        </is>
      </c>
      <c r="B136" t="n">
        <v>0</v>
      </c>
      <c r="C136" t="inlineStr">
        <is>
          <t>biosphere3</t>
        </is>
      </c>
      <c r="E136" t="inlineStr">
        <is>
          <t>cubic meter</t>
        </is>
      </c>
      <c r="F136" t="inlineStr">
        <is>
          <t>natural resource::in water</t>
        </is>
      </c>
      <c r="G136" s="22" t="inlineStr">
        <is>
          <t>biosphere</t>
        </is>
      </c>
      <c r="I136" t="inlineStr">
        <is>
          <t>geometric mean of Remus et al. (2013) data range</t>
        </is>
      </c>
      <c r="N136" t="inlineStr">
        <is>
          <t>H2O</t>
        </is>
      </c>
      <c r="O136" t="inlineStr">
        <is>
          <t>steel production, converter, unalloyed</t>
        </is>
      </c>
      <c r="P136" t="inlineStr">
        <is>
          <t>steel, unalloyed</t>
        </is>
      </c>
      <c r="Q136" t="inlineStr">
        <is>
          <t>RER</t>
        </is>
      </c>
    </row>
    <row r="137"/>
    <row r="138"/>
    <row r="139" ht="14.75" customHeight="1">
      <c r="A139" s="29" t="n"/>
    </row>
  </sheetData>
  <autoFilter ref="A1:Q139"/>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R156"/>
  <sheetViews>
    <sheetView topLeftCell="J1" zoomScale="111" zoomScaleNormal="55" workbookViewId="0">
      <selection activeCell="O13" sqref="O13"/>
    </sheetView>
  </sheetViews>
  <sheetFormatPr baseColWidth="10" defaultColWidth="8.83203125" defaultRowHeight="15"/>
  <cols>
    <col width="40.5" customWidth="1" min="1" max="1"/>
    <col width="47.6640625" customWidth="1" min="2" max="2"/>
    <col width="15.5" customWidth="1" min="8" max="8"/>
    <col width="19" customWidth="1" min="9" max="9"/>
  </cols>
  <sheetData>
    <row r="1" ht="16" customHeight="1">
      <c r="A1" s="19" t="inlineStr">
        <is>
          <t>Activity</t>
        </is>
      </c>
      <c r="B1" s="19" t="inlineStr">
        <is>
          <t>pig iron production, blast furnace, with top gas recycling, with carbon capture and storage</t>
        </is>
      </c>
      <c r="C1" s="21" t="n"/>
      <c r="D1" s="21" t="n"/>
      <c r="E1" s="21" t="n"/>
      <c r="F1" s="21" t="n"/>
      <c r="G1" s="21" t="n"/>
      <c r="H1" s="21" t="n"/>
    </row>
    <row r="2">
      <c r="A2" s="22" t="inlineStr">
        <is>
          <t>production amount</t>
        </is>
      </c>
      <c r="B2" s="22" t="n">
        <v>1</v>
      </c>
      <c r="C2" s="21" t="n"/>
      <c r="D2" s="21" t="n"/>
      <c r="E2" s="21" t="n"/>
      <c r="F2" s="21" t="n"/>
      <c r="G2" s="21" t="n"/>
      <c r="H2" s="21" t="n"/>
    </row>
    <row r="3">
      <c r="A3" s="22" t="inlineStr">
        <is>
          <t>location</t>
        </is>
      </c>
      <c r="B3" s="22" t="inlineStr">
        <is>
          <t>GLO</t>
        </is>
      </c>
      <c r="C3" s="21" t="n"/>
      <c r="D3" s="21" t="n"/>
      <c r="E3" s="21" t="n"/>
      <c r="F3" s="21" t="n"/>
      <c r="G3" s="21" t="n"/>
      <c r="H3" s="21" t="n"/>
    </row>
    <row r="4">
      <c r="A4" s="22" t="inlineStr">
        <is>
          <t>reference product</t>
        </is>
      </c>
      <c r="B4" s="22" t="inlineStr">
        <is>
          <t>pig iron</t>
        </is>
      </c>
      <c r="C4" s="21" t="n"/>
      <c r="D4" s="21" t="n"/>
      <c r="E4" s="21" t="n"/>
      <c r="F4" s="21" t="n"/>
      <c r="G4" s="21" t="n"/>
      <c r="H4" s="21" t="n"/>
    </row>
    <row r="5">
      <c r="A5" s="22" t="inlineStr">
        <is>
          <t>unit</t>
        </is>
      </c>
      <c r="B5" s="22" t="inlineStr">
        <is>
          <t>kilogram</t>
        </is>
      </c>
      <c r="C5" s="21" t="n"/>
      <c r="D5" s="21" t="n"/>
      <c r="E5" s="21" t="n"/>
      <c r="F5" s="21" t="n"/>
      <c r="G5" s="21" t="n"/>
      <c r="H5" s="21" t="n"/>
    </row>
    <row r="6">
      <c r="A6" s="22" t="inlineStr">
        <is>
          <t>comment</t>
        </is>
      </c>
      <c r="B6" s="22" t="inlineStr">
        <is>
          <t>This dataset, adapted by Harpprecht et al. (2025) from the ecoinvent 3.8 cutoff process *"pig iron production"* (region: RER), represents pig iron production via a top gas recycling blast furnace–basic oxygen furnace (TGR BF-BOF) system enhanced with carbon capture and storage (CCS). The technology combines vacuum pressure swing adsorption (VPSA) to separate CO₂ from the blast furnace top gas with a subsequent cryogenic flash to purify and compress the CO₂ for storage. Compared to the original ecoinvent process, the model includes several key changes: (1) coal and hard coal inputs are reduced by 24.5% due to recycled CO serving as a reducing agent (Quader et al., 2016); (2) CO₂ emissions are reduced by 24% due to fuel savings and by an additional 52% through CCS, amounting to a total CO₂ reduction of 76%; (3) particulate matter emissions are halved based on co-capture assumptions from MEA CCS (Choi, 2013; Singh et al., 2011); (4) CO emissions are cut by 90% due to the high recycling ratio of the top gas (Quader et al., 2016; Keys et al., 2019); (5) oxygen is added (0.166 kg/kg pig iron) to replace nitrogen in the blast and boost top gas CO concentration (Otto et al., 2017; Kuramochi et al., 2012); (6) electricity input for VPSA operation is added (0.083 kWh/kg pig iron; Otto et al., 2017); (7) SO₂ and NOₓ emissions are reduced by 95% and 100%, respectively, through gas treatment before VPSA (Choi, 2013; Keys et al., 2019; Ho et al., 2008); and (8) zeolite consumption for VPSA is included (0.00075 kg/kg pig iron; Choi, 2013). These modifications reflect both the material and emission shifts introduced by integrating TGR and CCS technologies into iron production.
**References**:
* Choi, H. D. (2013). *Hybrid life cycle assessment of steel production with carbon capture and storage*. NTNU.
* Ho, M. T., Allinson, G. W., &amp; Wiley, D. E. (2008). *Ind. Eng. Chem. Res.*, 47(5), 1562–1568. [https://doi.org/10.1021/ie070541y](https://doi.org/10.1021/ie070541y)
* Keys, A., van Hout, M., &amp; Daniëls, B. (2019). *Decarbonisation options for the Dutch Steel Industry*. PBL &amp; ECN.
* Kuramochi, T., et al. (2012). *Progress in Energy and Combustion Science*, 38(1), 87–112. [https://doi.org/10.1016/j.pecs.2011.05.001](https://doi.org/10.1016/j.pecs.2011.05.001)
* Otto, A., et al. (2017). *Energies*, 10(4), 451. [https://doi.org/10.3390/en10040451](https://doi.org/10.3390/en10040451)
* Quader, M. A., et al. (2016). *Renewable and Sustainable Energy Reviews*, 55, 537–549. [https://doi.org/10.1016/j.rser.2015.10.101](https://doi.org/10.1016/j.rser.2015.10.101)
* Singh, B., Strømman, A. H., &amp; Hertwich, E. G. (2011). *International Journal of Greenhouse Gas Control*, 5(4), 911–921. [https://doi.org/10.1016/j.ijggc.2011.03.012](https://doi.org/10.1016/j.ijggc.2011.03.012)</t>
        </is>
      </c>
      <c r="C6" s="21" t="n"/>
      <c r="D6" s="21" t="n"/>
      <c r="E6" s="21" t="n"/>
      <c r="F6" s="21" t="n"/>
      <c r="G6" s="21" t="n"/>
      <c r="H6" s="21" t="n"/>
    </row>
    <row r="7">
      <c r="A7" s="22" t="inlineStr">
        <is>
          <t>source</t>
        </is>
      </c>
      <c r="B7" s="22" t="inlineStr">
        <is>
          <t>Harpprecht C., Sacchi R., Naegler T., et al. "Future environmental impacts of global iron and steel production". Energy Environ Sci. (2025). doi: 10.1039/D5EE01356A</t>
        </is>
      </c>
      <c r="C7" s="21" t="n"/>
      <c r="D7" s="21" t="n"/>
      <c r="E7" s="21" t="n"/>
      <c r="F7" s="21" t="n"/>
      <c r="G7" s="21" t="n"/>
      <c r="H7" s="21" t="n"/>
    </row>
    <row r="8" ht="16" customHeight="1">
      <c r="A8" s="19" t="inlineStr">
        <is>
          <t>Exchanges</t>
        </is>
      </c>
      <c r="B8" s="22" t="n"/>
      <c r="C8" s="21" t="n"/>
      <c r="D8" s="21" t="n"/>
      <c r="E8" s="21" t="n"/>
      <c r="F8" s="21" t="n"/>
      <c r="G8" s="21" t="n"/>
      <c r="H8" s="21" t="n"/>
    </row>
    <row r="9">
      <c r="A9" s="23" t="inlineStr">
        <is>
          <t>name</t>
        </is>
      </c>
      <c r="B9" s="23" t="inlineStr">
        <is>
          <t>amount</t>
        </is>
      </c>
      <c r="C9" s="23" t="inlineStr">
        <is>
          <t>database</t>
        </is>
      </c>
      <c r="D9" s="23" t="inlineStr">
        <is>
          <t>location</t>
        </is>
      </c>
      <c r="E9" s="23" t="inlineStr">
        <is>
          <t>unit</t>
        </is>
      </c>
      <c r="F9" s="23" t="inlineStr">
        <is>
          <t>categories</t>
        </is>
      </c>
      <c r="G9" s="23" t="inlineStr">
        <is>
          <t>type</t>
        </is>
      </c>
      <c r="H9" s="23" t="inlineStr">
        <is>
          <t>reference product</t>
        </is>
      </c>
      <c r="I9" s="23" t="inlineStr">
        <is>
          <t>comment</t>
        </is>
      </c>
      <c r="J9" s="20" t="inlineStr">
        <is>
          <t>uncertainty type</t>
        </is>
      </c>
      <c r="K9" s="20" t="inlineStr">
        <is>
          <t>pedigree</t>
        </is>
      </c>
      <c r="L9" s="20" t="inlineStr">
        <is>
          <t>loc</t>
        </is>
      </c>
      <c r="M9" s="20" t="inlineStr">
        <is>
          <t>scale</t>
        </is>
      </c>
      <c r="N9" s="20" t="inlineStr">
        <is>
          <t>formula</t>
        </is>
      </c>
      <c r="O9" s="20" t="inlineStr">
        <is>
          <t>replacement name</t>
        </is>
      </c>
      <c r="P9" s="20" t="inlineStr">
        <is>
          <t>replacement product</t>
        </is>
      </c>
      <c r="Q9" s="20" t="inlineStr">
        <is>
          <t>replacement location</t>
        </is>
      </c>
    </row>
    <row r="10">
      <c r="A10" s="24" t="inlineStr">
        <is>
          <t>pig iron production, blast furnace, with top gas recycling, with carbon capture and storage</t>
        </is>
      </c>
      <c r="B10" s="22" t="n">
        <v>1</v>
      </c>
      <c r="C10" s="22" t="inlineStr">
        <is>
          <t>steel_paper</t>
        </is>
      </c>
      <c r="D10" s="22" t="inlineStr">
        <is>
          <t>GLO</t>
        </is>
      </c>
      <c r="E10" s="22" t="inlineStr">
        <is>
          <t>kilogram</t>
        </is>
      </c>
      <c r="F10" s="22" t="n"/>
      <c r="G10" s="22" t="inlineStr">
        <is>
          <t>production</t>
        </is>
      </c>
      <c r="H10" s="22" t="inlineStr">
        <is>
          <t>pig iron</t>
        </is>
      </c>
    </row>
    <row r="11">
      <c r="A11" t="inlineStr">
        <is>
          <t>market for blast furnace</t>
        </is>
      </c>
      <c r="B11" s="29" t="n">
        <v>0</v>
      </c>
      <c r="C11" s="24" t="inlineStr">
        <is>
          <t>cutoff391</t>
        </is>
      </c>
      <c r="D11" t="inlineStr">
        <is>
          <t>GLO</t>
        </is>
      </c>
      <c r="E11" t="inlineStr">
        <is>
          <t>unit</t>
        </is>
      </c>
      <c r="G11" t="inlineStr">
        <is>
          <t>technosphere</t>
        </is>
      </c>
      <c r="H11" t="inlineStr">
        <is>
          <t>blast furnace</t>
        </is>
      </c>
      <c r="I1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11" t="inlineStr">
        <is>
          <t>pig iron production</t>
        </is>
      </c>
      <c r="P11" t="inlineStr">
        <is>
          <t>pig iron</t>
        </is>
      </c>
      <c r="Q11" t="inlineStr">
        <is>
          <t>RER</t>
        </is>
      </c>
    </row>
    <row r="12">
      <c r="A12" t="inlineStr">
        <is>
          <t>market for blast furnace dust</t>
        </is>
      </c>
      <c r="B12" s="29" t="n">
        <v>0</v>
      </c>
      <c r="C12" s="24" t="inlineStr">
        <is>
          <t>cutoff391</t>
        </is>
      </c>
      <c r="D12" t="inlineStr">
        <is>
          <t>RER</t>
        </is>
      </c>
      <c r="E12" t="inlineStr">
        <is>
          <t>kilogram</t>
        </is>
      </c>
      <c r="G12" t="inlineStr">
        <is>
          <t>technosphere</t>
        </is>
      </c>
      <c r="H12" t="inlineStr">
        <is>
          <t>blast furnace dust</t>
        </is>
      </c>
      <c r="I12"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2" t="inlineStr">
        <is>
          <t>pig iron production</t>
        </is>
      </c>
      <c r="P12" t="inlineStr">
        <is>
          <t>pig iron</t>
        </is>
      </c>
      <c r="Q12" t="inlineStr">
        <is>
          <t>RER</t>
        </is>
      </c>
    </row>
    <row r="13">
      <c r="A13" t="inlineStr">
        <is>
          <t>market for blast furnace slag</t>
        </is>
      </c>
      <c r="B13" s="29" t="n">
        <v>0.275</v>
      </c>
      <c r="C13" s="24" t="inlineStr">
        <is>
          <t>cutoff391</t>
        </is>
      </c>
      <c r="D13" t="inlineStr">
        <is>
          <t>GLO</t>
        </is>
      </c>
      <c r="E13" t="inlineStr">
        <is>
          <t>kilogram</t>
        </is>
      </c>
      <c r="G13" t="inlineStr">
        <is>
          <t>technosphere</t>
        </is>
      </c>
      <c r="H13" t="inlineStr">
        <is>
          <t>blast furnace slag</t>
        </is>
      </c>
      <c r="I13" t="inlineStr">
        <is>
          <t>Amount reported by worldsteel (2010) and is representative of the average global situation in 2009. Also based on worldsteel (2010), an internal recovery (recycling) rate of 0% is assumed. Source: Worldsteel (2010). Steel industry by-products. World Steel Association: Brussels, Belgium.</t>
        </is>
      </c>
    </row>
    <row r="14">
      <c r="A14" t="inlineStr">
        <is>
          <t>market for blast furnace sludge</t>
        </is>
      </c>
      <c r="B14" s="29" t="n">
        <v>0</v>
      </c>
      <c r="C14" s="24" t="inlineStr">
        <is>
          <t>cutoff391</t>
        </is>
      </c>
      <c r="D14" t="inlineStr">
        <is>
          <t>Europe without Switzerland</t>
        </is>
      </c>
      <c r="E14" t="inlineStr">
        <is>
          <t>kilogram</t>
        </is>
      </c>
      <c r="G14" t="inlineStr">
        <is>
          <t>technosphere</t>
        </is>
      </c>
      <c r="H14" t="inlineStr">
        <is>
          <t>blast furnace sludge</t>
        </is>
      </c>
      <c r="I14"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4" t="inlineStr">
        <is>
          <t>pig iron production</t>
        </is>
      </c>
      <c r="P14" t="inlineStr">
        <is>
          <t>pig iron</t>
        </is>
      </c>
      <c r="Q14" t="inlineStr">
        <is>
          <t>RER</t>
        </is>
      </c>
    </row>
    <row r="15">
      <c r="A15" t="inlineStr">
        <is>
          <t>market for blast furnace sludge</t>
        </is>
      </c>
      <c r="B15" s="29" t="n">
        <v>0</v>
      </c>
      <c r="C15" s="24" t="inlineStr">
        <is>
          <t>cutoff391</t>
        </is>
      </c>
      <c r="D15" t="inlineStr">
        <is>
          <t>CH</t>
        </is>
      </c>
      <c r="E15" t="inlineStr">
        <is>
          <t>kilogram</t>
        </is>
      </c>
      <c r="G15" t="inlineStr">
        <is>
          <t>technosphere</t>
        </is>
      </c>
      <c r="H15" t="inlineStr">
        <is>
          <t>blast furnace sludge</t>
        </is>
      </c>
      <c r="I15" t="inlineStr">
        <is>
          <t>Amount reported by worldsteel (2010) and is representative of the average global situation in 2009. Also based on worldsteel (2010), an internal recovery (recycling) rate of 33% is assumed. Source: Worldsteel (2010). Steel industry by-products. World Steel Association: Brussels, Belgium.</t>
        </is>
      </c>
      <c r="O15" t="inlineStr">
        <is>
          <t>pig iron production</t>
        </is>
      </c>
      <c r="P15" t="inlineStr">
        <is>
          <t>pig iron</t>
        </is>
      </c>
      <c r="Q15" t="inlineStr">
        <is>
          <t>RER</t>
        </is>
      </c>
    </row>
    <row r="16">
      <c r="A16" t="inlineStr">
        <is>
          <t>market for coke</t>
        </is>
      </c>
      <c r="B16">
        <f>9.724*(1-0.245)</f>
        <v>7.3416199999999998</v>
      </c>
      <c r="C16" s="24" t="inlineStr">
        <is>
          <t>cutoff391</t>
        </is>
      </c>
      <c r="D16" t="inlineStr">
        <is>
          <t>GLO</t>
        </is>
      </c>
      <c r="E16" t="inlineStr">
        <is>
          <t>megajoule</t>
        </is>
      </c>
      <c r="G16" t="inlineStr">
        <is>
          <t>technosphere</t>
        </is>
      </c>
      <c r="H16" t="inlineStr">
        <is>
          <t>coke</t>
        </is>
      </c>
      <c r="I16" t="inlineStr">
        <is>
          <t>&gt; Modifications (2025): reduced by 24.5% (Quader et al. 2016)
&gt; original was: 9.724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16" t="n">
        <v>2</v>
      </c>
      <c r="K16" t="inlineStr">
        <is>
          <t>(1, 2, 1, 3, 1, 1)</t>
        </is>
      </c>
      <c r="L16" t="n">
        <v>2.27459705645387</v>
      </c>
      <c r="M16" t="n">
        <v>0.0141421356237309</v>
      </c>
    </row>
    <row r="17">
      <c r="A17" t="inlineStr">
        <is>
          <t>market for hard coal</t>
        </is>
      </c>
      <c r="B17">
        <f>0.15*(1-0.245)</f>
        <v>0.11324999999999999</v>
      </c>
      <c r="C17" s="24" t="inlineStr">
        <is>
          <t>cutoff391</t>
        </is>
      </c>
      <c r="D17" t="inlineStr">
        <is>
          <t>Europe, without Russia and Turkey</t>
        </is>
      </c>
      <c r="E17" t="inlineStr">
        <is>
          <t>kilogram</t>
        </is>
      </c>
      <c r="G17" t="inlineStr">
        <is>
          <t>technosphere</t>
        </is>
      </c>
      <c r="H17" t="inlineStr">
        <is>
          <t>hard coal</t>
        </is>
      </c>
      <c r="I17" t="inlineStr">
        <is>
          <t>&gt; Modifications (2025): reduced by 24.5% (Quader et al. 2016)
&gt; original was: 0.15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17" t="n">
        <v>2</v>
      </c>
      <c r="K17" t="inlineStr">
        <is>
          <t>(1, 2, 1, 3, 1, 1)</t>
        </is>
      </c>
      <c r="L17" t="n">
        <v>-1.89711998488588</v>
      </c>
      <c r="M17" t="n">
        <v>0.0141421356237309</v>
      </c>
    </row>
    <row r="18">
      <c r="A18" t="inlineStr">
        <is>
          <t>market for inert waste, for final disposal</t>
        </is>
      </c>
      <c r="B18" s="29" t="n">
        <v>0</v>
      </c>
      <c r="C18" s="24" t="inlineStr">
        <is>
          <t>cutoff391</t>
        </is>
      </c>
      <c r="D18" t="inlineStr">
        <is>
          <t>CH</t>
        </is>
      </c>
      <c r="E18" t="inlineStr">
        <is>
          <t>kilogram</t>
        </is>
      </c>
      <c r="G18" t="inlineStr">
        <is>
          <t>technosphere</t>
        </is>
      </c>
      <c r="H18" t="inlineStr">
        <is>
          <t>inert waste, for final disposal</t>
        </is>
      </c>
      <c r="I18" t="inlineStr">
        <is>
          <t>geometric mean of Remus et al. (2013) data range</t>
        </is>
      </c>
      <c r="O18" t="inlineStr">
        <is>
          <t>pig iron production</t>
        </is>
      </c>
      <c r="P18" t="inlineStr">
        <is>
          <t>pig iron</t>
        </is>
      </c>
      <c r="Q18" t="inlineStr">
        <is>
          <t>RER</t>
        </is>
      </c>
    </row>
    <row r="19">
      <c r="A19" t="inlineStr">
        <is>
          <t>market for iron ore concentrate</t>
        </is>
      </c>
      <c r="B19" s="29" t="n">
        <v>0</v>
      </c>
      <c r="C19" s="24" t="inlineStr">
        <is>
          <t>cutoff391</t>
        </is>
      </c>
      <c r="D19" t="inlineStr">
        <is>
          <t>GLO</t>
        </is>
      </c>
      <c r="E19" t="inlineStr">
        <is>
          <t>kilogram</t>
        </is>
      </c>
      <c r="G19" t="inlineStr">
        <is>
          <t>technosphere</t>
        </is>
      </c>
      <c r="H19" t="inlineStr">
        <is>
          <t>iron ore concentrate</t>
        </is>
      </c>
      <c r="I19"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19" t="inlineStr">
        <is>
          <t>pig iron production</t>
        </is>
      </c>
      <c r="P19" t="inlineStr">
        <is>
          <t>pig iron</t>
        </is>
      </c>
      <c r="Q19" t="inlineStr">
        <is>
          <t>RER</t>
        </is>
      </c>
    </row>
    <row r="20">
      <c r="A20" t="inlineStr">
        <is>
          <t>market for iron pellet</t>
        </is>
      </c>
      <c r="B20" s="29" t="n">
        <v>0</v>
      </c>
      <c r="C20" s="24" t="inlineStr">
        <is>
          <t>cutoff391</t>
        </is>
      </c>
      <c r="D20" t="inlineStr">
        <is>
          <t>GLO</t>
        </is>
      </c>
      <c r="E20" t="inlineStr">
        <is>
          <t>kilogram</t>
        </is>
      </c>
      <c r="G20" t="inlineStr">
        <is>
          <t>technosphere</t>
        </is>
      </c>
      <c r="H20" t="inlineStr">
        <is>
          <t>iron pellet</t>
        </is>
      </c>
      <c r="I20"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0" t="inlineStr">
        <is>
          <t>pig iron production</t>
        </is>
      </c>
      <c r="P20" t="inlineStr">
        <is>
          <t>pig iron</t>
        </is>
      </c>
      <c r="Q20" t="inlineStr">
        <is>
          <t>RER</t>
        </is>
      </c>
    </row>
    <row r="21">
      <c r="A21" t="inlineStr">
        <is>
          <t>iron sinter production</t>
        </is>
      </c>
      <c r="B21" s="29" t="n">
        <v>0</v>
      </c>
      <c r="C21" s="24" t="inlineStr">
        <is>
          <t>cutoff391</t>
        </is>
      </c>
      <c r="D21" t="inlineStr">
        <is>
          <t>RER</t>
        </is>
      </c>
      <c r="E21" t="inlineStr">
        <is>
          <t>kilogram</t>
        </is>
      </c>
      <c r="G21" t="inlineStr">
        <is>
          <t>technosphere</t>
        </is>
      </c>
      <c r="H21" t="inlineStr">
        <is>
          <t>iron sinter</t>
        </is>
      </c>
      <c r="I2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1" t="inlineStr">
        <is>
          <t>pig iron production</t>
        </is>
      </c>
      <c r="P21" t="inlineStr">
        <is>
          <t>pig iron</t>
        </is>
      </c>
      <c r="Q21" t="inlineStr">
        <is>
          <t>RER</t>
        </is>
      </c>
    </row>
    <row r="22">
      <c r="A22" t="inlineStr">
        <is>
          <t>market for limestone, unprocessed</t>
        </is>
      </c>
      <c r="B22" s="29" t="n">
        <v>0</v>
      </c>
      <c r="C22" s="24" t="inlineStr">
        <is>
          <t>cutoff391</t>
        </is>
      </c>
      <c r="D22" t="inlineStr">
        <is>
          <t>CH</t>
        </is>
      </c>
      <c r="E22" t="inlineStr">
        <is>
          <t>kilogram</t>
        </is>
      </c>
      <c r="G22" t="inlineStr">
        <is>
          <t>technosphere</t>
        </is>
      </c>
      <c r="H22" t="inlineStr">
        <is>
          <t>limestone, unprocessed</t>
        </is>
      </c>
      <c r="I22"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2" t="inlineStr">
        <is>
          <t>pig iron production</t>
        </is>
      </c>
      <c r="P22" t="inlineStr">
        <is>
          <t>pig iron</t>
        </is>
      </c>
      <c r="Q22" t="inlineStr">
        <is>
          <t>RER</t>
        </is>
      </c>
    </row>
    <row r="23">
      <c r="A23" t="inlineStr">
        <is>
          <t>market group for natural gas, high pressure</t>
        </is>
      </c>
      <c r="B23" s="29" t="n">
        <v>0</v>
      </c>
      <c r="C23" s="24" t="inlineStr">
        <is>
          <t>cutoff391</t>
        </is>
      </c>
      <c r="D23" t="inlineStr">
        <is>
          <t>Europe without Switzerland</t>
        </is>
      </c>
      <c r="E23" t="inlineStr">
        <is>
          <t>cubic meter</t>
        </is>
      </c>
      <c r="G23" t="inlineStr">
        <is>
          <t>technosphere</t>
        </is>
      </c>
      <c r="H23" t="inlineStr">
        <is>
          <t>natural gas, high pressure</t>
        </is>
      </c>
      <c r="I23"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3" t="inlineStr">
        <is>
          <t>pig iron production</t>
        </is>
      </c>
      <c r="P23" t="inlineStr">
        <is>
          <t>pig iron</t>
        </is>
      </c>
      <c r="Q23" t="inlineStr">
        <is>
          <t>RER</t>
        </is>
      </c>
    </row>
    <row r="24">
      <c r="A24" t="inlineStr">
        <is>
          <t>market for natural gas, high pressure</t>
        </is>
      </c>
      <c r="B24" s="29" t="n">
        <v>0</v>
      </c>
      <c r="C24" s="24" t="inlineStr">
        <is>
          <t>cutoff391</t>
        </is>
      </c>
      <c r="D24" t="inlineStr">
        <is>
          <t>CH</t>
        </is>
      </c>
      <c r="E24" t="inlineStr">
        <is>
          <t>cubic meter</t>
        </is>
      </c>
      <c r="G24" t="inlineStr">
        <is>
          <t>technosphere</t>
        </is>
      </c>
      <c r="H24" t="inlineStr">
        <is>
          <t>natural gas, high pressure</t>
        </is>
      </c>
      <c r="I24"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4" t="inlineStr">
        <is>
          <t>pig iron production</t>
        </is>
      </c>
      <c r="P24" t="inlineStr">
        <is>
          <t>pig iron</t>
        </is>
      </c>
      <c r="Q24" t="inlineStr">
        <is>
          <t>RER</t>
        </is>
      </c>
    </row>
    <row r="25">
      <c r="A25" t="inlineStr">
        <is>
          <t>market for refractory, fireclay, packed</t>
        </is>
      </c>
      <c r="B25" s="29" t="n">
        <v>0</v>
      </c>
      <c r="C25" s="24" t="inlineStr">
        <is>
          <t>cutoff391</t>
        </is>
      </c>
      <c r="D25" t="inlineStr">
        <is>
          <t>GLO</t>
        </is>
      </c>
      <c r="E25" t="inlineStr">
        <is>
          <t>kilogram</t>
        </is>
      </c>
      <c r="G25" t="inlineStr">
        <is>
          <t>technosphere</t>
        </is>
      </c>
      <c r="H25" t="inlineStr">
        <is>
          <t>refractory, fireclay, packed</t>
        </is>
      </c>
      <c r="I25"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O25" t="inlineStr">
        <is>
          <t>pig iron production</t>
        </is>
      </c>
      <c r="P25" t="inlineStr">
        <is>
          <t>pig iron</t>
        </is>
      </c>
      <c r="Q25" t="inlineStr">
        <is>
          <t>RER</t>
        </is>
      </c>
    </row>
    <row r="26">
      <c r="A26" t="inlineStr">
        <is>
          <t>market for wastewater from pig iron production</t>
        </is>
      </c>
      <c r="B26" s="29" t="n">
        <v>0</v>
      </c>
      <c r="C26" s="24" t="inlineStr">
        <is>
          <t>cutoff391</t>
        </is>
      </c>
      <c r="D26" t="inlineStr">
        <is>
          <t>Europe without Switzerland</t>
        </is>
      </c>
      <c r="E26" t="inlineStr">
        <is>
          <t>cubic meter</t>
        </is>
      </c>
      <c r="G26" t="inlineStr">
        <is>
          <t>technosphere</t>
        </is>
      </c>
      <c r="H26" t="inlineStr">
        <is>
          <t>wastewater from pig iron production</t>
        </is>
      </c>
      <c r="I26" t="inlineStr">
        <is>
          <t>geometric mean of Remus et al. (2013) data range</t>
        </is>
      </c>
      <c r="O26" t="inlineStr">
        <is>
          <t>pig iron production</t>
        </is>
      </c>
      <c r="P26" t="inlineStr">
        <is>
          <t>pig iron</t>
        </is>
      </c>
      <c r="Q26" t="inlineStr">
        <is>
          <t>RER</t>
        </is>
      </c>
    </row>
    <row r="27">
      <c r="A27" t="inlineStr">
        <is>
          <t>market for wastewater from pig iron production</t>
        </is>
      </c>
      <c r="B27" s="29" t="n">
        <v>0</v>
      </c>
      <c r="C27" s="24" t="inlineStr">
        <is>
          <t>cutoff391</t>
        </is>
      </c>
      <c r="D27" t="inlineStr">
        <is>
          <t>CH</t>
        </is>
      </c>
      <c r="E27" t="inlineStr">
        <is>
          <t>cubic meter</t>
        </is>
      </c>
      <c r="G27" t="inlineStr">
        <is>
          <t>technosphere</t>
        </is>
      </c>
      <c r="H27" t="inlineStr">
        <is>
          <t>wastewater from pig iron production</t>
        </is>
      </c>
      <c r="I27" t="inlineStr">
        <is>
          <t>geometric mean of Remus et al. (2013) data range</t>
        </is>
      </c>
      <c r="O27" t="inlineStr">
        <is>
          <t>pig iron production</t>
        </is>
      </c>
      <c r="P27" t="inlineStr">
        <is>
          <t>pig iron</t>
        </is>
      </c>
      <c r="Q27" t="inlineStr">
        <is>
          <t>RER</t>
        </is>
      </c>
    </row>
    <row r="28">
      <c r="A28" t="inlineStr">
        <is>
          <t>Carbon dioxide, fossil</t>
        </is>
      </c>
      <c r="B28" s="29">
        <f>0.84908*(1-0.24)</f>
        <v>0.64530080000000001</v>
      </c>
      <c r="C28" t="inlineStr">
        <is>
          <t>biosphere3</t>
        </is>
      </c>
      <c r="E28" t="inlineStr">
        <is>
          <t>kilogram</t>
        </is>
      </c>
      <c r="F28" t="inlineStr">
        <is>
          <t>air</t>
        </is>
      </c>
      <c r="G28" t="inlineStr">
        <is>
          <t>biosphere</t>
        </is>
      </c>
      <c r="I28" t="inlineStr">
        <is>
          <t>&gt; Modifications (2025): reduced by 24% (Quader et al. 2016)
&gt; original was: 0.84908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28" t="n">
        <v>2</v>
      </c>
      <c r="K28" t="inlineStr">
        <is>
          <t>(2, 3, 2, 3, 1, 1)</t>
        </is>
      </c>
      <c r="L28" t="n">
        <v>-0.163601868605893</v>
      </c>
      <c r="M28" t="n">
        <v>0.0387298334620741</v>
      </c>
      <c r="N28" t="inlineStr">
        <is>
          <t>CO2</t>
        </is>
      </c>
    </row>
    <row r="29">
      <c r="A29" t="inlineStr">
        <is>
          <t>Carbon monoxide, fossil</t>
        </is>
      </c>
      <c r="B29">
        <f>0.0013404*(1-0.9)</f>
        <v>1.3403999999999998E-4</v>
      </c>
      <c r="C29" t="inlineStr">
        <is>
          <t>biosphere3</t>
        </is>
      </c>
      <c r="E29" t="inlineStr">
        <is>
          <t>kilogram</t>
        </is>
      </c>
      <c r="F29" t="inlineStr">
        <is>
          <t>air</t>
        </is>
      </c>
      <c r="G29" t="inlineStr">
        <is>
          <t>biosphere</t>
        </is>
      </c>
      <c r="I29" t="inlineStr">
        <is>
          <t>&gt; Modifications (2025): reduced by 90% (Quader et al. 2016)
&gt; original was: 0.0013404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29" t="n">
        <v>2</v>
      </c>
      <c r="K29" t="inlineStr">
        <is>
          <t>(2, 3, 2, 3, 1, 1)</t>
        </is>
      </c>
      <c r="L29" t="n">
        <v>-6.61478720210111</v>
      </c>
      <c r="M29" t="n">
        <v>0.807155499268883</v>
      </c>
      <c r="N29" t="inlineStr">
        <is>
          <t>CO</t>
        </is>
      </c>
    </row>
    <row r="30">
      <c r="A30" t="inlineStr">
        <is>
          <t>Dioxins, measured as 2,3,7,8-tetrachlorodibenzo-p-dioxin</t>
        </is>
      </c>
      <c r="B30" s="29" t="n">
        <v>0</v>
      </c>
      <c r="C30" t="inlineStr">
        <is>
          <t>biosphere3</t>
        </is>
      </c>
      <c r="E30" t="inlineStr">
        <is>
          <t>kilogram</t>
        </is>
      </c>
      <c r="F30" t="inlineStr">
        <is>
          <t>air</t>
        </is>
      </c>
      <c r="G30" t="inlineStr">
        <is>
          <t>biosphere</t>
        </is>
      </c>
      <c r="I30"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0" t="inlineStr">
        <is>
          <t>C12H4Cl4O2</t>
        </is>
      </c>
      <c r="O30" t="inlineStr">
        <is>
          <t>pig iron production</t>
        </is>
      </c>
      <c r="P30" t="inlineStr">
        <is>
          <t>pig iron</t>
        </is>
      </c>
      <c r="Q30" t="inlineStr">
        <is>
          <t>RER</t>
        </is>
      </c>
    </row>
    <row r="31">
      <c r="A31" t="inlineStr">
        <is>
          <t>Hydrogen sulfide</t>
        </is>
      </c>
      <c r="B31" s="29" t="n">
        <v>0</v>
      </c>
      <c r="C31" t="inlineStr">
        <is>
          <t>biosphere3</t>
        </is>
      </c>
      <c r="E31" t="inlineStr">
        <is>
          <t>kilogram</t>
        </is>
      </c>
      <c r="F31" t="inlineStr">
        <is>
          <t>air</t>
        </is>
      </c>
      <c r="G31" t="inlineStr">
        <is>
          <t>biosphere</t>
        </is>
      </c>
      <c r="I31"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1" t="inlineStr">
        <is>
          <t>H2S</t>
        </is>
      </c>
      <c r="O31" t="inlineStr">
        <is>
          <t>pig iron production</t>
        </is>
      </c>
      <c r="P31" t="inlineStr">
        <is>
          <t>pig iron</t>
        </is>
      </c>
      <c r="Q31" t="inlineStr">
        <is>
          <t>RER</t>
        </is>
      </c>
    </row>
    <row r="32">
      <c r="A32" t="inlineStr">
        <is>
          <t>Lead</t>
        </is>
      </c>
      <c r="B32" s="29" t="n">
        <v>0</v>
      </c>
      <c r="C32" t="inlineStr">
        <is>
          <t>biosphere3</t>
        </is>
      </c>
      <c r="E32" t="inlineStr">
        <is>
          <t>kilogram</t>
        </is>
      </c>
      <c r="F32" t="inlineStr">
        <is>
          <t>air</t>
        </is>
      </c>
      <c r="G32" t="inlineStr">
        <is>
          <t>biosphere</t>
        </is>
      </c>
      <c r="I32"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2" t="inlineStr">
        <is>
          <t>Pb</t>
        </is>
      </c>
      <c r="O32" t="inlineStr">
        <is>
          <t>pig iron production</t>
        </is>
      </c>
      <c r="P32" t="inlineStr">
        <is>
          <t>pig iron</t>
        </is>
      </c>
      <c r="Q32" t="inlineStr">
        <is>
          <t>RER</t>
        </is>
      </c>
    </row>
    <row r="33">
      <c r="A33" t="inlineStr">
        <is>
          <t>Manganese</t>
        </is>
      </c>
      <c r="B33" s="29" t="n">
        <v>0</v>
      </c>
      <c r="C33" t="inlineStr">
        <is>
          <t>biosphere3</t>
        </is>
      </c>
      <c r="E33" t="inlineStr">
        <is>
          <t>kilogram</t>
        </is>
      </c>
      <c r="F33" t="inlineStr">
        <is>
          <t>air</t>
        </is>
      </c>
      <c r="G33" t="inlineStr">
        <is>
          <t>biosphere</t>
        </is>
      </c>
      <c r="I33"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3" t="inlineStr">
        <is>
          <t>Mn</t>
        </is>
      </c>
      <c r="O33" t="inlineStr">
        <is>
          <t>pig iron production</t>
        </is>
      </c>
      <c r="P33" t="inlineStr">
        <is>
          <t>pig iron</t>
        </is>
      </c>
      <c r="Q33" t="inlineStr">
        <is>
          <t>RER</t>
        </is>
      </c>
    </row>
    <row r="34">
      <c r="A34" t="inlineStr">
        <is>
          <t>Nickel</t>
        </is>
      </c>
      <c r="B34" s="29" t="n">
        <v>0</v>
      </c>
      <c r="C34" t="inlineStr">
        <is>
          <t>biosphere3</t>
        </is>
      </c>
      <c r="E34" t="inlineStr">
        <is>
          <t>kilogram</t>
        </is>
      </c>
      <c r="F34" t="inlineStr">
        <is>
          <t>air</t>
        </is>
      </c>
      <c r="G34" t="inlineStr">
        <is>
          <t>biosphere</t>
        </is>
      </c>
      <c r="I34" t="inlineStr">
        <is>
          <t>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N34" t="inlineStr">
        <is>
          <t>Ni</t>
        </is>
      </c>
      <c r="O34" t="inlineStr">
        <is>
          <t>pig iron production</t>
        </is>
      </c>
      <c r="P34" t="inlineStr">
        <is>
          <t>pig iron</t>
        </is>
      </c>
      <c r="Q34" t="inlineStr">
        <is>
          <t>RER</t>
        </is>
      </c>
    </row>
    <row r="35">
      <c r="A35" t="inlineStr">
        <is>
          <t>Nitrogen oxides</t>
        </is>
      </c>
      <c r="B35" s="29">
        <f>0.000079787*0</f>
        <v>0</v>
      </c>
      <c r="C35" t="inlineStr">
        <is>
          <t>biosphere3</t>
        </is>
      </c>
      <c r="E35" t="inlineStr">
        <is>
          <t>kilogram</t>
        </is>
      </c>
      <c r="F35" t="inlineStr">
        <is>
          <t>air</t>
        </is>
      </c>
      <c r="G35" t="inlineStr">
        <is>
          <t>biosphere</t>
        </is>
      </c>
      <c r="I35" t="inlineStr">
        <is>
          <t>&gt; Modifications (2025): reduced by 100% (Choi 2013,  Table 5)
&gt; original was: 0.000079787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5" t="n">
        <v>2</v>
      </c>
      <c r="K35" t="inlineStr">
        <is>
          <t>(2, 3, 2, 3, 1, 1)</t>
        </is>
      </c>
      <c r="L35" t="n">
        <v>-9.43614997404751</v>
      </c>
      <c r="M35" t="n">
        <v>0.203715487874633</v>
      </c>
      <c r="N35" t="inlineStr">
        <is>
          <t>H3NO</t>
        </is>
      </c>
    </row>
    <row r="36">
      <c r="A36" t="inlineStr">
        <is>
          <t>Particulates, &lt; 2.5 um</t>
        </is>
      </c>
      <c r="B36" s="29">
        <f>0.000028723*(1-0.5)</f>
        <v>1.43615E-5</v>
      </c>
      <c r="C36" t="inlineStr">
        <is>
          <t>biosphere3</t>
        </is>
      </c>
      <c r="E36" t="inlineStr">
        <is>
          <t>kilogram</t>
        </is>
      </c>
      <c r="F36" t="inlineStr">
        <is>
          <t>air</t>
        </is>
      </c>
      <c r="G36" t="inlineStr">
        <is>
          <t>biosphere</t>
        </is>
      </c>
      <c r="I36" t="inlineStr">
        <is>
          <t>&gt; Modifications (2025): reduced by 50% due to CCS which also co-captures particulates. Same assumption as for MEA CCS though source states this value only for MEA CCS (Choi 2013, Table 5 based on (Singh et al. 2011)) 
&gt; original was: 0.000028723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6" t="n">
        <v>2</v>
      </c>
      <c r="K36" t="inlineStr">
        <is>
          <t>(2, 3, 2, 3, 1, 1)</t>
        </is>
      </c>
      <c r="L36" t="n">
        <v>-10.4578123624149</v>
      </c>
      <c r="M36" t="n">
        <v>0.549090156531693</v>
      </c>
    </row>
    <row r="37">
      <c r="A37" t="inlineStr">
        <is>
          <t>Particulates, &gt; 10 um</t>
        </is>
      </c>
      <c r="B37" s="29">
        <f>0.0000015957*(1-0.5)</f>
        <v>7.9785000000000001E-7</v>
      </c>
      <c r="C37" t="inlineStr">
        <is>
          <t>biosphere3</t>
        </is>
      </c>
      <c r="E37" t="inlineStr">
        <is>
          <t>kilogram</t>
        </is>
      </c>
      <c r="F37" t="inlineStr">
        <is>
          <t>air</t>
        </is>
      </c>
      <c r="G37" t="inlineStr">
        <is>
          <t>biosphere</t>
        </is>
      </c>
      <c r="I37" t="inlineStr">
        <is>
          <t>&gt; Modifications (2025): reduced by 50% due to CCS which also co-captures particulates. Same assumption as for MEA CCS though source states this value only for MEA CCS (Choi 2013, Table 5 based on (Singh et al. 2011)) 
&gt; original was: 0.0000015957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7" t="n">
        <v>2</v>
      </c>
      <c r="K37" t="inlineStr">
        <is>
          <t>(2, 3, 2, 3, 1, 1)</t>
        </is>
      </c>
      <c r="L37" t="n">
        <v>-13.34819804653</v>
      </c>
      <c r="M37" t="n">
        <v>0.203715487874633</v>
      </c>
    </row>
    <row r="38">
      <c r="A38" t="inlineStr">
        <is>
          <t>Particulates, &gt; 2.5 um, and &lt; 10um</t>
        </is>
      </c>
      <c r="B38" s="29">
        <f>0.0000015957*(1-0.5)</f>
        <v>7.9785000000000001E-7</v>
      </c>
      <c r="C38" t="inlineStr">
        <is>
          <t>biosphere3</t>
        </is>
      </c>
      <c r="E38" t="inlineStr">
        <is>
          <t>kilogram</t>
        </is>
      </c>
      <c r="F38" t="inlineStr">
        <is>
          <t>air</t>
        </is>
      </c>
      <c r="G38" t="inlineStr">
        <is>
          <t>biosphere</t>
        </is>
      </c>
      <c r="I38" t="inlineStr">
        <is>
          <t>&gt; Modifications (2025):reduced by 50% due to CCS which also co-captures particulates. Same assumption as for MEA CCS though source states this value only for MEA CCS (Choi 2013, Table 5 based on (Singh et al. 2011)) 
&gt; original was: 0.0000015957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8" t="n">
        <v>2</v>
      </c>
      <c r="K38" t="inlineStr">
        <is>
          <t>(2, 3, 2, 3, 1, 1)</t>
        </is>
      </c>
      <c r="L38" t="n">
        <v>-13.34819804653</v>
      </c>
      <c r="M38" t="n">
        <v>0.348568501158667</v>
      </c>
    </row>
    <row r="39">
      <c r="A39" t="inlineStr">
        <is>
          <t>Sulfur dioxide</t>
        </is>
      </c>
      <c r="B39">
        <f>0.00013298*(1-0.95)</f>
        <v>6.6490000000000053E-6</v>
      </c>
      <c r="C39" t="inlineStr">
        <is>
          <t>biosphere3</t>
        </is>
      </c>
      <c r="E39" t="inlineStr">
        <is>
          <t>kilogram</t>
        </is>
      </c>
      <c r="F39" t="inlineStr">
        <is>
          <t>air</t>
        </is>
      </c>
      <c r="G39" t="inlineStr">
        <is>
          <t>biosphere</t>
        </is>
      </c>
      <c r="I39" t="inlineStr">
        <is>
          <t>&gt; Modifications (2025): reduced by 95% (Choi 2013, Table 5)
&gt; original was: 0.00013298 kg
&lt;Original ecoinvent 3.8 comment: &gt;
Average value of measured data from plants in Europe. Source: Remus, R., Aguado-Monsonet, M. A., Roudier, S. &amp; Samcho, L. D. (2013). JRC reference report - Best available techniques (BAT) reference document for iron and steel production. Joint Research Centre - European Commission, Luxemboug.</t>
        </is>
      </c>
      <c r="J39" t="n">
        <v>2</v>
      </c>
      <c r="K39" t="inlineStr">
        <is>
          <t>(2, 3, 2, 3, 1, 1)</t>
        </is>
      </c>
      <c r="L39" t="n">
        <v>-8.925311816989961</v>
      </c>
      <c r="M39" t="n">
        <v>0.0387298334620741</v>
      </c>
      <c r="N39" t="inlineStr">
        <is>
          <t>O2S</t>
        </is>
      </c>
    </row>
    <row r="40">
      <c r="A40" t="inlineStr">
        <is>
          <t>Water</t>
        </is>
      </c>
      <c r="B40" s="29" t="n">
        <v>0</v>
      </c>
      <c r="C40" t="inlineStr">
        <is>
          <t>biosphere3</t>
        </is>
      </c>
      <c r="E40" t="inlineStr">
        <is>
          <t>cubic meter</t>
        </is>
      </c>
      <c r="F40" t="inlineStr">
        <is>
          <t>air</t>
        </is>
      </c>
      <c r="G40" t="inlineStr">
        <is>
          <t>biosphere</t>
        </is>
      </c>
      <c r="I40" t="inlineStr">
        <is>
          <t>Calculated value based on literature values and expert opinion. See comments in the parametres' comment field.</t>
        </is>
      </c>
      <c r="N40" t="inlineStr">
        <is>
          <t>H2O</t>
        </is>
      </c>
      <c r="O40" t="inlineStr">
        <is>
          <t>pig iron production</t>
        </is>
      </c>
      <c r="P40" t="inlineStr">
        <is>
          <t>pig iron</t>
        </is>
      </c>
      <c r="Q40" t="inlineStr">
        <is>
          <t>RER</t>
        </is>
      </c>
    </row>
    <row r="41">
      <c r="A41" t="inlineStr">
        <is>
          <t>Water</t>
        </is>
      </c>
      <c r="B41" s="29" t="n">
        <v>0</v>
      </c>
      <c r="C41" t="inlineStr">
        <is>
          <t>biosphere3</t>
        </is>
      </c>
      <c r="E41" t="inlineStr">
        <is>
          <t>cubic meter</t>
        </is>
      </c>
      <c r="F41" t="inlineStr">
        <is>
          <t>water</t>
        </is>
      </c>
      <c r="G41" t="inlineStr">
        <is>
          <t>biosphere</t>
        </is>
      </c>
      <c r="I41" t="inlineStr">
        <is>
          <t>Calculated value based on literature values and expert opinion. See comments in the parametres' comment field.</t>
        </is>
      </c>
      <c r="N41" t="inlineStr">
        <is>
          <t>H2O</t>
        </is>
      </c>
      <c r="O41" t="inlineStr">
        <is>
          <t>pig iron production</t>
        </is>
      </c>
      <c r="P41" t="inlineStr">
        <is>
          <t>pig iron</t>
        </is>
      </c>
      <c r="Q41" t="inlineStr">
        <is>
          <t>RER</t>
        </is>
      </c>
    </row>
    <row r="42">
      <c r="A42" t="inlineStr">
        <is>
          <t>Water, cooling, unspecified natural origin</t>
        </is>
      </c>
      <c r="B42" s="29" t="n">
        <v>0</v>
      </c>
      <c r="C42" t="inlineStr">
        <is>
          <t>biosphere3</t>
        </is>
      </c>
      <c r="E42" t="inlineStr">
        <is>
          <t>cubic meter</t>
        </is>
      </c>
      <c r="F42" t="inlineStr">
        <is>
          <t>natural resource::in water</t>
        </is>
      </c>
      <c r="G42" t="inlineStr">
        <is>
          <t>biosphere</t>
        </is>
      </c>
      <c r="I42" t="inlineStr">
        <is>
          <t>Calculated based on literature, (Vionnet, S., Quantis Water Database - Technical Report, 2012).</t>
        </is>
      </c>
      <c r="N42" t="inlineStr">
        <is>
          <t>H2O</t>
        </is>
      </c>
      <c r="O42" t="inlineStr">
        <is>
          <t>pig iron production</t>
        </is>
      </c>
      <c r="P42" t="inlineStr">
        <is>
          <t>pig iron</t>
        </is>
      </c>
      <c r="Q42" t="inlineStr">
        <is>
          <t>RER</t>
        </is>
      </c>
    </row>
    <row r="43">
      <c r="A43" t="inlineStr">
        <is>
          <t>Water, unspecified natural origin</t>
        </is>
      </c>
      <c r="B43" s="29" t="n">
        <v>0</v>
      </c>
      <c r="C43" t="inlineStr">
        <is>
          <t>biosphere3</t>
        </is>
      </c>
      <c r="E43" t="inlineStr">
        <is>
          <t>cubic meter</t>
        </is>
      </c>
      <c r="F43" t="inlineStr">
        <is>
          <t>natural resource::in water</t>
        </is>
      </c>
      <c r="G43" t="inlineStr">
        <is>
          <t>biosphere</t>
        </is>
      </c>
      <c r="I43" t="inlineStr">
        <is>
          <t>Based on literature, (Vionnet, S., Quantis Water Database - Technical Report, 2012). based on literature, (Vionnet, S., Quantis Water Database - Technical Report, 2012).</t>
        </is>
      </c>
      <c r="N43" t="inlineStr">
        <is>
          <t>H2O</t>
        </is>
      </c>
      <c r="O43" t="inlineStr">
        <is>
          <t>pig iron production</t>
        </is>
      </c>
      <c r="P43" t="inlineStr">
        <is>
          <t>pig iron</t>
        </is>
      </c>
      <c r="Q43" t="inlineStr">
        <is>
          <t>RER</t>
        </is>
      </c>
    </row>
    <row r="44">
      <c r="A44" t="inlineStr">
        <is>
          <t>market for oxygen, liquid</t>
        </is>
      </c>
      <c r="B44" t="n">
        <v>0.1665</v>
      </c>
      <c r="C44" t="inlineStr">
        <is>
          <t>cutoff391</t>
        </is>
      </c>
      <c r="D44" t="inlineStr">
        <is>
          <t>RoW</t>
        </is>
      </c>
      <c r="E44" t="inlineStr">
        <is>
          <t>kilogram</t>
        </is>
      </c>
      <c r="G44" t="inlineStr">
        <is>
          <t>technosphere</t>
        </is>
      </c>
      <c r="H44" t="inlineStr">
        <is>
          <t>oxygen, liquid</t>
        </is>
      </c>
      <c r="I44" t="inlineStr">
        <is>
          <t xml:space="preserve">&gt; Modifications (2025): added this input of oxygen, value from Otto et al. (2017)
&gt; original was: 0 </t>
        </is>
      </c>
    </row>
    <row r="45">
      <c r="A45" t="inlineStr">
        <is>
          <t>market group for electricity, medium voltage</t>
        </is>
      </c>
      <c r="B45" s="45" t="n">
        <v>0.08361</v>
      </c>
      <c r="C45" t="inlineStr">
        <is>
          <t>cutoff391</t>
        </is>
      </c>
      <c r="D45" t="inlineStr">
        <is>
          <t>GLO</t>
        </is>
      </c>
      <c r="E45" t="inlineStr">
        <is>
          <t>kilowatt hour</t>
        </is>
      </c>
      <c r="G45" t="inlineStr">
        <is>
          <t>technosphere</t>
        </is>
      </c>
      <c r="H45" t="inlineStr">
        <is>
          <t>electricity, medium voltage</t>
        </is>
      </c>
      <c r="I45" t="inlineStr">
        <is>
          <t xml:space="preserve">&gt; Modifications (2025): added this input of electricity for running the VPSA, value from Otto et al. (2017), figure 4
&gt; original was: 0 </t>
        </is>
      </c>
    </row>
    <row r="46">
      <c r="A46" t="inlineStr">
        <is>
          <t>market for zeolite, powder</t>
        </is>
      </c>
      <c r="B46" s="67">
        <f>0.52*0.84908*0.0017</f>
        <v>7.5058671999999997E-4</v>
      </c>
      <c r="C46" t="inlineStr">
        <is>
          <t>cutoff391</t>
        </is>
      </c>
      <c r="D46" t="inlineStr">
        <is>
          <t>GLO</t>
        </is>
      </c>
      <c r="E46" t="inlineStr">
        <is>
          <t>kilogram</t>
        </is>
      </c>
      <c r="G46" t="inlineStr">
        <is>
          <t>technosphere</t>
        </is>
      </c>
      <c r="H46" t="inlineStr">
        <is>
          <t>zeolite, powder</t>
        </is>
      </c>
      <c r="I46" t="inlineStr">
        <is>
          <t xml:space="preserve">&gt; Modifications (2025): added this input of zeolite (adsorbent for VPSA adsorbing CO2 to separate CO-rich gas) (Choi 2013)
&gt; original was: 0 </t>
        </is>
      </c>
    </row>
    <row r="47">
      <c r="A47" t="inlineStr">
        <is>
          <t>carbon dioxide, captured at steel production plant, using vacuum pressure swing adsorption</t>
        </is>
      </c>
      <c r="B47" s="70">
        <f>0.52*0.84908</f>
        <v>0.44152160000000001</v>
      </c>
      <c r="C47" t="inlineStr">
        <is>
          <t>steel_paper</t>
        </is>
      </c>
      <c r="D47" t="inlineStr">
        <is>
          <t>GLO</t>
        </is>
      </c>
      <c r="E47" t="inlineStr">
        <is>
          <t>kilogram</t>
        </is>
      </c>
      <c r="G47" t="inlineStr">
        <is>
          <t>technosphere</t>
        </is>
      </c>
      <c r="H47" t="inlineStr">
        <is>
          <t>carbon dioxide, captured</t>
        </is>
      </c>
      <c r="I47" s="32" t="inlineStr">
        <is>
          <t xml:space="preserve"> &gt; Modifications (2025): added the process of CCS: 0.85 kg CO2 emitted in original ecoinvent process, but reduced by 52% through CCS via VPSA (Quader et al. 2016)  = 0.52*0.85 kg = 0.442 kg CO2 separated/captured. This leads to a total reduction of CO2 emissions with TGR+CCS of 76% as in Quader et al. (2016) (24% due to TGR, and 52% due to additional CCS process).
&gt; original was: 0 </t>
        </is>
      </c>
    </row>
    <row r="48">
      <c r="A48" t="inlineStr">
        <is>
          <t>market for waste zeolite</t>
        </is>
      </c>
      <c r="B48" s="67">
        <f>B46*-1</f>
        <v>-7.5058671999999997E-4</v>
      </c>
      <c r="C48" t="inlineStr">
        <is>
          <t>cutoff391</t>
        </is>
      </c>
      <c r="D48" t="inlineStr">
        <is>
          <t>RoW</t>
        </is>
      </c>
      <c r="E48" t="inlineStr">
        <is>
          <t>kilogram</t>
        </is>
      </c>
      <c r="G48" t="inlineStr">
        <is>
          <t>technosphere</t>
        </is>
      </c>
      <c r="H48" t="inlineStr">
        <is>
          <t>waste zeolite</t>
        </is>
      </c>
      <c r="I48" t="inlineStr">
        <is>
          <t xml:space="preserve">&gt; Modifications (2025): added this input of waste zeolite (adsorbent for VPSA adsorbing CO2 to separate CO-rich gas) (Choi 2013)
&gt; assumption: same amount of waste zeolite is generated as it is put in as powder (this is also the case in ecoinvent processes where zeolite powder is used)
&gt; original was: 0 </t>
        </is>
      </c>
    </row>
    <row r="49"/>
    <row r="50" ht="16" customHeight="1">
      <c r="A50" s="19" t="inlineStr">
        <is>
          <t>Activity</t>
        </is>
      </c>
      <c r="B50" s="19" t="inlineStr">
        <is>
          <t>carbon dioxide, captured at steel production plant, using vacuum pressure swing adsorption</t>
        </is>
      </c>
      <c r="C50" s="21" t="n"/>
      <c r="D50" s="21" t="n"/>
      <c r="E50" s="21" t="n"/>
      <c r="F50" s="21" t="n"/>
      <c r="G50" s="21" t="n"/>
      <c r="H50" s="21" t="n"/>
    </row>
    <row r="51">
      <c r="A51" s="22" t="inlineStr">
        <is>
          <t>production amount</t>
        </is>
      </c>
      <c r="B51" s="22" t="n">
        <v>1</v>
      </c>
      <c r="C51" s="21" t="n"/>
      <c r="D51" s="21" t="n"/>
      <c r="E51" s="21" t="n"/>
      <c r="F51" s="21" t="n"/>
      <c r="G51" s="21" t="n"/>
      <c r="H51" s="21" t="n"/>
    </row>
    <row r="52">
      <c r="A52" s="22" t="inlineStr">
        <is>
          <t>location</t>
        </is>
      </c>
      <c r="B52" s="22" t="inlineStr">
        <is>
          <t>GLO</t>
        </is>
      </c>
      <c r="C52" s="21" t="n"/>
      <c r="D52" s="21" t="n"/>
      <c r="E52" s="21" t="n"/>
      <c r="F52" s="21" t="n"/>
      <c r="G52" s="21" t="n"/>
      <c r="H52" s="21" t="n"/>
    </row>
    <row r="53">
      <c r="A53" s="22" t="inlineStr">
        <is>
          <t>reference product</t>
        </is>
      </c>
      <c r="B53" s="22" t="inlineStr">
        <is>
          <t>carbon dioxide, captured</t>
        </is>
      </c>
      <c r="C53" s="21" t="n"/>
      <c r="D53" s="21" t="n"/>
      <c r="E53" s="21" t="n"/>
      <c r="F53" s="21" t="n"/>
      <c r="G53" s="21" t="n"/>
      <c r="H53" s="21" t="n"/>
    </row>
    <row r="54">
      <c r="A54" s="22" t="inlineStr">
        <is>
          <t>unit</t>
        </is>
      </c>
      <c r="B54" s="22" t="inlineStr">
        <is>
          <t>kilogram</t>
        </is>
      </c>
      <c r="C54" s="21" t="n"/>
      <c r="D54" s="21" t="n"/>
      <c r="E54" s="21" t="n"/>
      <c r="F54" s="21" t="n"/>
      <c r="G54" s="21" t="n"/>
      <c r="H54" s="21" t="n"/>
    </row>
    <row r="55">
      <c r="A55" s="22" t="inlineStr">
        <is>
          <t>comment</t>
        </is>
      </c>
      <c r="B55" s="22" t="inlineStr">
        <is>
          <t>This dataset, developed by Harpprecht et al. (2025), models the capture of CO₂ from the blast furnace (BF) top gas using vacuum pressure swing adsorption (VPSA) followed by cryogenic flash and compression. It is designed to be used alongside the TGR-BF-BOF (top gas recycling blast furnace–basic oxygen furnace) system, where VPSA already separates CO from CO₂ to enable gas recycling. However, this VPSA step alone does not yield a CO₂ stream suitable for transport or storage. Therefore, this dataset represents the additional processes required for conditioning the CO₂—specifically, cryogenic purification and compression to 110 bar—plus the subsequent transport, injection, and storage. These auxiliary steps are modeled as separate foreground processes, allowing modular integration with steelmaking pathways. Electricity requirements include 55 kWh per tonne CO₂ for cryogenic separation and 132 kWh per tonne CO₂ for compression (Quader et al., 2016). The final stage—CO₂ transport and storage—is based on conservative assumptions from Premise inventories, aligned with Volkart et al. (2013), and includes pipeline recompression, injection, storage, and leakage. Capturing 1 kg of CO₂ is accounted for as a biosphere input. This dataset enables prospective LCA modeling of low-carbon steelmaking routes incorporating advanced CO₂ separation and handling technologies.
References
Quader, M. A., Ahmed, S., Dawal, S. Z., &amp; Nukman, Y. (2016). Present needs, recent progress and future trends of energy-efficient Ultra-Low Carbon Dioxide (CO₂) Steelmaking (ULCOS) program. Renewable and Sustainable Energy Reviews, 55, 537–549. https://doi.org/10.1016/j.rser.2015.10.101
Keys, A., van Hout, M., &amp; Daniëls, B. (2019). Decarbonisation options for the Dutch Steel Industry. PBL Netherlands Environmental Assessment Agency. PDF
Volkart, K., Bauer, C., Boulet, C. (2013). Life cycle assessment of carbon capture and storage in power generation and industry in Europe. International Journal of Greenhouse Gas Control, 16, 91–106. https://doi.org/10.1016/j.ijggc.2013.03.003</t>
        </is>
      </c>
      <c r="C55" s="21" t="n"/>
      <c r="D55" s="21" t="n"/>
      <c r="E55" s="21" t="n"/>
      <c r="F55" s="21" t="n"/>
      <c r="G55" s="21" t="n"/>
      <c r="H55" s="21" t="n"/>
    </row>
    <row r="56">
      <c r="A56" s="22" t="inlineStr">
        <is>
          <t>source</t>
        </is>
      </c>
      <c r="B56" s="22" t="inlineStr">
        <is>
          <t>Harpprecht C., Sacchi R., Naegler T., et al. "Future environmental impacts of global iron and steel production". Energy Environ Sci. (2025). doi: 10.1039/D5EE01356A</t>
        </is>
      </c>
      <c r="C56" s="21" t="n"/>
      <c r="D56" s="21" t="n"/>
      <c r="E56" s="21" t="n"/>
      <c r="F56" s="21" t="n"/>
      <c r="G56" s="21" t="n"/>
      <c r="H56" s="21" t="n"/>
    </row>
    <row r="57" ht="16" customHeight="1">
      <c r="A57" s="19" t="inlineStr">
        <is>
          <t>Exchanges</t>
        </is>
      </c>
      <c r="B57" s="22" t="n"/>
      <c r="C57" s="21" t="n"/>
      <c r="D57" s="21" t="n"/>
      <c r="E57" s="21" t="n"/>
      <c r="F57" s="21" t="n"/>
      <c r="G57" s="21" t="n"/>
      <c r="H57" s="21" t="n"/>
    </row>
    <row r="58">
      <c r="A58" s="22" t="inlineStr">
        <is>
          <t>name</t>
        </is>
      </c>
      <c r="B58" s="22" t="inlineStr">
        <is>
          <t>amount</t>
        </is>
      </c>
      <c r="C58" s="22" t="inlineStr">
        <is>
          <t>database</t>
        </is>
      </c>
      <c r="D58" s="22" t="inlineStr">
        <is>
          <t>location</t>
        </is>
      </c>
      <c r="E58" s="22" t="inlineStr">
        <is>
          <t>unit</t>
        </is>
      </c>
      <c r="F58" s="22" t="inlineStr">
        <is>
          <t>categories</t>
        </is>
      </c>
      <c r="G58" s="22" t="inlineStr">
        <is>
          <t>type</t>
        </is>
      </c>
      <c r="H58" s="22" t="inlineStr">
        <is>
          <t>reference product</t>
        </is>
      </c>
      <c r="I58" s="22" t="inlineStr">
        <is>
          <t>comment</t>
        </is>
      </c>
    </row>
    <row r="59">
      <c r="A59" s="24" t="inlineStr">
        <is>
          <t>carbon dioxide, captured at steel production plant, using vacuum pressure swing adsorption</t>
        </is>
      </c>
      <c r="B59" s="22" t="n">
        <v>1</v>
      </c>
      <c r="C59" s="22" t="inlineStr">
        <is>
          <t>steel_paper</t>
        </is>
      </c>
      <c r="D59" s="22" t="inlineStr">
        <is>
          <t>GLO</t>
        </is>
      </c>
      <c r="E59" s="22" t="inlineStr">
        <is>
          <t>kilogram</t>
        </is>
      </c>
      <c r="F59" s="22" t="n"/>
      <c r="G59" s="22" t="inlineStr">
        <is>
          <t>production</t>
        </is>
      </c>
      <c r="H59" s="22" t="inlineStr">
        <is>
          <t>carbon dioxide, captured</t>
        </is>
      </c>
    </row>
    <row r="60" ht="13.5" customHeight="1">
      <c r="A60" t="inlineStr">
        <is>
          <t>Carbon dioxide, fossil</t>
        </is>
      </c>
      <c r="B60" t="n">
        <v>-1</v>
      </c>
      <c r="C60" t="inlineStr">
        <is>
          <t>biosphere3</t>
        </is>
      </c>
      <c r="E60" t="inlineStr">
        <is>
          <t>kilogram</t>
        </is>
      </c>
      <c r="F60" t="inlineStr">
        <is>
          <t>air</t>
        </is>
      </c>
      <c r="G60" t="inlineStr">
        <is>
          <t>biosphere</t>
        </is>
      </c>
      <c r="I60" t="inlineStr">
        <is>
          <t xml:space="preserve">&gt; Modifications (2025): capturing 1 kg of CO2
&gt; original was: 0 </t>
        </is>
      </c>
    </row>
    <row r="61">
      <c r="A61" t="inlineStr">
        <is>
          <t>carbon dioxide storage from hard coal, post, pipeline 400km, storage 3000m</t>
        </is>
      </c>
      <c r="B61" t="n">
        <v>1</v>
      </c>
      <c r="D61" t="inlineStr">
        <is>
          <t>RER</t>
        </is>
      </c>
      <c r="E61" t="inlineStr">
        <is>
          <t>kilogram</t>
        </is>
      </c>
      <c r="G61" t="inlineStr">
        <is>
          <t>technosphere</t>
        </is>
      </c>
      <c r="H61" t="inlineStr">
        <is>
          <t>carbon dioxide storage from hard coal, post, pipeline 400km, storage 3000m</t>
        </is>
      </c>
      <c r="I61" s="32" t="inlineStr">
        <is>
          <t>&gt; assumption: Process from premise (lci-carma-ccs.xlsx). We use the most conservative CO2 transport &amp; storage from Premise. previous name was: CO2 storage/hard coal, post, pipeline 400km, storage 3000m. This includes tranpsort, injection, storage, recompression along the pipeline and CO2 leakages. Note that this process "carbon dioxide storage from hard coal, post, pipeline 400km, storage 3000m" only gets regionalized if you run "update electricity" scenarios in premise</t>
        </is>
      </c>
    </row>
    <row r="62">
      <c r="A62" t="inlineStr">
        <is>
          <t>market group for electricity, medium voltage</t>
        </is>
      </c>
      <c r="B62" s="70" t="n">
        <v>0.055</v>
      </c>
      <c r="C62" t="inlineStr">
        <is>
          <t>cutoff391</t>
        </is>
      </c>
      <c r="D62" t="inlineStr">
        <is>
          <t>GLO</t>
        </is>
      </c>
      <c r="E62" t="inlineStr">
        <is>
          <t>kilowatt hour</t>
        </is>
      </c>
      <c r="G62" t="inlineStr">
        <is>
          <t>technosphere</t>
        </is>
      </c>
      <c r="H62" t="inlineStr">
        <is>
          <t>electricity, medium voltage</t>
        </is>
      </c>
      <c r="I62" s="32" t="inlineStr">
        <is>
          <t xml:space="preserve">&gt; Modifications (2025): electricity for cryogenic flash (Quader et al. 2016, Table 4: Difference of 105 and 160 kWh/t CO2 = 55 kWh/t CO2)
</t>
        </is>
      </c>
    </row>
    <row r="63">
      <c r="A63" t="inlineStr">
        <is>
          <t>market group for electricity, medium voltage</t>
        </is>
      </c>
      <c r="B63" s="70" t="n">
        <v>0.132</v>
      </c>
      <c r="C63" t="inlineStr">
        <is>
          <t>cutoff391</t>
        </is>
      </c>
      <c r="D63" t="inlineStr">
        <is>
          <t>GLO</t>
        </is>
      </c>
      <c r="E63" t="inlineStr">
        <is>
          <t>kilowatt hour</t>
        </is>
      </c>
      <c r="G63" t="inlineStr">
        <is>
          <t>technosphere</t>
        </is>
      </c>
      <c r="H63" t="inlineStr">
        <is>
          <t>electricity, medium voltage</t>
        </is>
      </c>
      <c r="I63" s="32" t="inlineStr">
        <is>
          <t xml:space="preserve">&gt; Modifications (2025): electricity for compression to 110 bar  (Quader et al. 2016, Table 4: 132 kWh/t CO2)
</t>
        </is>
      </c>
    </row>
    <row r="64" ht="16" customHeight="1">
      <c r="A64" s="19" t="n"/>
      <c r="B64" s="19" t="n"/>
      <c r="C64" s="21" t="n"/>
      <c r="D64" s="21" t="n"/>
      <c r="E64" s="21" t="n"/>
      <c r="F64" s="21" t="n"/>
      <c r="G64" s="21" t="n"/>
      <c r="H64" s="21" t="n"/>
    </row>
    <row r="65" ht="16" customHeight="1">
      <c r="A65" s="19" t="inlineStr">
        <is>
          <t>Activity</t>
        </is>
      </c>
      <c r="B65" s="19" t="inlineStr">
        <is>
          <t>steel production, blast furnace-basic oxygen furnace, with top gas recycling, with carbon capture and storage, low-alloyed</t>
        </is>
      </c>
      <c r="C65" s="21" t="n"/>
      <c r="D65" s="21" t="n"/>
      <c r="E65" s="21" t="n"/>
      <c r="F65" s="21" t="n"/>
      <c r="G65" s="21" t="n"/>
      <c r="H65" s="21" t="n"/>
    </row>
    <row r="66">
      <c r="A66" s="22" t="inlineStr">
        <is>
          <t>production amount</t>
        </is>
      </c>
      <c r="B66" s="22" t="n">
        <v>1</v>
      </c>
      <c r="C66" s="21" t="n"/>
      <c r="D66" s="21" t="n"/>
      <c r="E66" s="21" t="n"/>
      <c r="F66" s="21" t="n"/>
      <c r="G66" s="21" t="n"/>
      <c r="H66" s="21" t="n"/>
    </row>
    <row r="67">
      <c r="A67" s="22" t="inlineStr">
        <is>
          <t>location</t>
        </is>
      </c>
      <c r="B67" s="22" t="inlineStr">
        <is>
          <t>GLO</t>
        </is>
      </c>
      <c r="C67" s="21" t="n"/>
      <c r="D67" s="21" t="n"/>
      <c r="E67" s="21" t="n"/>
      <c r="F67" s="21" t="n"/>
      <c r="G67" s="21" t="n"/>
      <c r="H67" s="21" t="n"/>
    </row>
    <row r="68">
      <c r="A68" s="22" t="inlineStr">
        <is>
          <t>reference product</t>
        </is>
      </c>
      <c r="B68" s="22" t="inlineStr">
        <is>
          <t>steel, low-alloyed</t>
        </is>
      </c>
      <c r="C68" s="21" t="n"/>
      <c r="D68" s="21" t="n"/>
      <c r="E68" s="21" t="n"/>
      <c r="F68" s="21" t="n"/>
      <c r="G68" s="21" t="n"/>
      <c r="H68" s="21" t="n"/>
    </row>
    <row r="69">
      <c r="A69" s="22" t="inlineStr">
        <is>
          <t>unit</t>
        </is>
      </c>
      <c r="B69" s="22" t="inlineStr">
        <is>
          <t>kilogram</t>
        </is>
      </c>
      <c r="C69" s="21" t="n"/>
      <c r="D69" s="21" t="n"/>
      <c r="E69" s="21" t="n"/>
      <c r="F69" s="21" t="n"/>
      <c r="G69" s="21" t="n"/>
      <c r="H69" s="21" t="n"/>
    </row>
    <row r="70">
      <c r="A70" s="22" t="inlineStr">
        <is>
          <t>comment</t>
        </is>
      </c>
      <c r="B70" s="22" t="inlineStr">
        <is>
          <t>This dataset, adapted by Harpprecht et al. (2025) from the ecoinvent 3.8 cutoff process *"steel production, converter, low-alloyed"* (RER region), represents low-alloyed steel production using pig iron sourced from a top gas recycling blast furnace–basic oxygen furnace (TGR-BF-BOF) system. To align the steelmaking process with this lower-carbon upstream route, the original inputs of scrap and conventional pig iron were removed and replaced with an equivalent amount of TGR-derived pig iron. Additionally, the input of secondary metallurgy slag was eliminated, and its mass reallocated to the standard slag input. These modifications allow for consistent integration of TGR-BF iron into prospective life cycle assessments of low-alloyed steel production.
**Key reference for TGR-BF technology:**
* Quader, M. A., Ahmed, S., Dawal, S. Z., &amp; Nukman, Y. (2016). *Present needs, recent progress and future trends of energy-efficient Ultra-Low Carbon Dioxide (CO₂) Steelmaking (ULCOS) program*. *Renewable and Sustainable Energy Reviews*, 55, 537–549. [https://doi.org/10.1016/j.rser.2015.10.101](https://doi.org/10.1016/j.rser.2015.10.101)</t>
        </is>
      </c>
      <c r="C70" s="21" t="n"/>
      <c r="D70" s="21" t="n"/>
      <c r="E70" s="21" t="n"/>
      <c r="F70" s="21" t="n"/>
      <c r="G70" s="21" t="n"/>
      <c r="H70" s="21" t="n"/>
    </row>
    <row r="71">
      <c r="A71" s="22" t="inlineStr">
        <is>
          <t>source</t>
        </is>
      </c>
      <c r="B71" s="22" t="inlineStr">
        <is>
          <t>Harpprecht C., Sacchi R., Naegler T., et al. "Future environmental impacts of global iron and steel production". Energy Environ Sci. (2025). doi: 10.1039/D5EE01356A</t>
        </is>
      </c>
      <c r="C71" s="21" t="n"/>
      <c r="D71" s="21" t="n"/>
      <c r="E71" s="21" t="n"/>
      <c r="F71" s="21" t="n"/>
      <c r="G71" s="21" t="n"/>
      <c r="H71" s="21" t="n"/>
    </row>
    <row r="72" ht="16" customHeight="1">
      <c r="A72" s="19" t="inlineStr">
        <is>
          <t>Exchanges</t>
        </is>
      </c>
      <c r="B72" s="22" t="n"/>
      <c r="C72" s="21" t="n"/>
      <c r="D72" s="21" t="n"/>
      <c r="E72" s="21" t="n"/>
      <c r="F72" s="21" t="n"/>
      <c r="G72" s="21" t="n"/>
      <c r="H72" s="21" t="n"/>
    </row>
    <row r="73">
      <c r="A73" s="23" t="inlineStr">
        <is>
          <t>name</t>
        </is>
      </c>
      <c r="B73" s="23" t="inlineStr">
        <is>
          <t>amount</t>
        </is>
      </c>
      <c r="C73" s="23" t="inlineStr">
        <is>
          <t>database</t>
        </is>
      </c>
      <c r="D73" s="23" t="inlineStr">
        <is>
          <t>location</t>
        </is>
      </c>
      <c r="E73" s="23" t="inlineStr">
        <is>
          <t>unit</t>
        </is>
      </c>
      <c r="F73" s="23" t="inlineStr">
        <is>
          <t>categories</t>
        </is>
      </c>
      <c r="G73" s="23" t="inlineStr">
        <is>
          <t>type</t>
        </is>
      </c>
      <c r="H73" s="23" t="inlineStr">
        <is>
          <t>reference product</t>
        </is>
      </c>
      <c r="I73" s="23" t="inlineStr">
        <is>
          <t>comment</t>
        </is>
      </c>
      <c r="J73" s="20" t="inlineStr">
        <is>
          <t>uncertainty type</t>
        </is>
      </c>
      <c r="K73" s="20" t="inlineStr">
        <is>
          <t>pedigree</t>
        </is>
      </c>
      <c r="L73" s="20" t="inlineStr">
        <is>
          <t>loc</t>
        </is>
      </c>
      <c r="M73" s="20" t="inlineStr">
        <is>
          <t>scale</t>
        </is>
      </c>
      <c r="N73" s="20" t="inlineStr">
        <is>
          <t>formula</t>
        </is>
      </c>
      <c r="O73" s="20" t="inlineStr">
        <is>
          <t>replacement name</t>
        </is>
      </c>
      <c r="P73" s="20" t="inlineStr">
        <is>
          <t>replacement product</t>
        </is>
      </c>
      <c r="Q73" s="20" t="inlineStr">
        <is>
          <t>replacement location</t>
        </is>
      </c>
      <c r="R73" s="20" t="inlineStr">
        <is>
          <t>negative</t>
        </is>
      </c>
    </row>
    <row r="74">
      <c r="A74" s="24" t="inlineStr">
        <is>
          <t>steel production, blast furnace-basic oxygen furnace, with top gas recycling, with carbon capture and storage, low-alloyed</t>
        </is>
      </c>
      <c r="B74" s="28" t="n">
        <v>1</v>
      </c>
      <c r="C74" s="22" t="inlineStr">
        <is>
          <t>steel_paper</t>
        </is>
      </c>
      <c r="D74" s="22" t="inlineStr">
        <is>
          <t>GLO</t>
        </is>
      </c>
      <c r="E74" s="22" t="inlineStr">
        <is>
          <t>kilogram</t>
        </is>
      </c>
      <c r="F74" s="22" t="n"/>
      <c r="G74" s="22" t="inlineStr">
        <is>
          <t>production</t>
        </is>
      </c>
      <c r="H74" s="22" t="inlineStr">
        <is>
          <t>steel, low-alloyed</t>
        </is>
      </c>
    </row>
    <row r="75">
      <c r="A75" s="24" t="inlineStr">
        <is>
          <t>pig iron production, blast furnace, with top gas recycling, with carbon capture and storage</t>
        </is>
      </c>
      <c r="B75" s="28">
        <f>0+0.198864791+0.867944612</f>
        <v>1.0668094029999999</v>
      </c>
      <c r="C75" s="22" t="inlineStr">
        <is>
          <t>steel_paper</t>
        </is>
      </c>
      <c r="D75" s="22" t="inlineStr">
        <is>
          <t>GLO</t>
        </is>
      </c>
      <c r="E75" s="22" t="inlineStr">
        <is>
          <t>kilogram</t>
        </is>
      </c>
      <c r="F75" s="22" t="n"/>
      <c r="G75" s="22" t="inlineStr">
        <is>
          <t>technosphere</t>
        </is>
      </c>
      <c r="H75" s="22" t="inlineStr">
        <is>
          <t>pig iron</t>
        </is>
      </c>
      <c r="I75" t="inlineStr">
        <is>
          <t xml:space="preserve">&gt; Modifications (2025): added this input. Value is the sum of the original ecoinvent values of scrap input (0.199 kg) and pig iron input (0.868 kg)
</t>
        </is>
      </c>
    </row>
    <row r="76">
      <c r="A76" t="inlineStr">
        <is>
          <t>market for basic oxygen furnace dust</t>
        </is>
      </c>
      <c r="B76" t="n">
        <v>0</v>
      </c>
      <c r="C76" t="inlineStr">
        <is>
          <t>cutoff391</t>
        </is>
      </c>
      <c r="D76" t="inlineStr">
        <is>
          <t>RER</t>
        </is>
      </c>
      <c r="E76" t="inlineStr">
        <is>
          <t>kilogram</t>
        </is>
      </c>
      <c r="G76" s="22" t="inlineStr">
        <is>
          <t>technosphere</t>
        </is>
      </c>
      <c r="H76" t="inlineStr">
        <is>
          <t>basic oxygen furnace dust</t>
        </is>
      </c>
      <c r="I76"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76" t="inlineStr">
        <is>
          <t>steel production, converter, low-alloyed</t>
        </is>
      </c>
      <c r="P76" t="inlineStr">
        <is>
          <t>steel, low-alloyed</t>
        </is>
      </c>
      <c r="Q76" t="inlineStr">
        <is>
          <t>RER</t>
        </is>
      </c>
    </row>
    <row r="77">
      <c r="A77" t="inlineStr">
        <is>
          <t>market for basic oxygen furnace slag</t>
        </is>
      </c>
      <c r="B77">
        <f>-0.1048976-0.0003008</f>
        <v>-0.1051984</v>
      </c>
      <c r="C77" t="inlineStr">
        <is>
          <t>cutoff391</t>
        </is>
      </c>
      <c r="D77" t="inlineStr">
        <is>
          <t>RER</t>
        </is>
      </c>
      <c r="E77" t="inlineStr">
        <is>
          <t>kilogram</t>
        </is>
      </c>
      <c r="G77" s="22" t="inlineStr">
        <is>
          <t>technosphere</t>
        </is>
      </c>
      <c r="H77" t="inlineStr">
        <is>
          <t>basic oxygen furnace slag</t>
        </is>
      </c>
      <c r="I77" t="inlineStr">
        <is>
          <t>&gt; Modifications (2025): added the value of the secondary metallurgy slag, which was set to zero
&gt; original was: -0.1048976 kg
&lt;Original ecoinvent 3.8 comment: &gt;
Amount reported by worldsteel (2010) and is representative of the average global situation in 2009. Also based on worldsteel (2010), an internal recovery (recycling) rate of 14% is assumed. Source: Worldsteel (2010). Steel industry by-products. World Steel Association: Brussels, Belgium.</t>
        </is>
      </c>
      <c r="J77" t="n">
        <v>2</v>
      </c>
      <c r="K77" t="inlineStr">
        <is>
          <t>(2, 3, 3, 2, 2, 1)</t>
        </is>
      </c>
      <c r="L77" t="n">
        <v>-2.25477064277392</v>
      </c>
      <c r="M77" t="n">
        <v>0.0665206734782503</v>
      </c>
      <c r="R77" t="b">
        <v>1</v>
      </c>
    </row>
    <row r="78">
      <c r="A78" t="inlineStr">
        <is>
          <t>market for basic oxygen furnace sludge</t>
        </is>
      </c>
      <c r="B78" t="n">
        <v>0</v>
      </c>
      <c r="C78" t="inlineStr">
        <is>
          <t>cutoff391</t>
        </is>
      </c>
      <c r="D78" t="inlineStr">
        <is>
          <t>RER</t>
        </is>
      </c>
      <c r="E78" t="inlineStr">
        <is>
          <t>kilogram</t>
        </is>
      </c>
      <c r="G78" s="22" t="inlineStr">
        <is>
          <t>technosphere</t>
        </is>
      </c>
      <c r="H78" t="inlineStr">
        <is>
          <t>basic oxygen furnace sludge</t>
        </is>
      </c>
      <c r="I78"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78" t="inlineStr">
        <is>
          <t>steel production, converter, low-alloyed</t>
        </is>
      </c>
      <c r="P78" t="inlineStr">
        <is>
          <t>steel, low-alloyed</t>
        </is>
      </c>
      <c r="Q78" t="inlineStr">
        <is>
          <t>RER</t>
        </is>
      </c>
    </row>
    <row r="79">
      <c r="A79" t="inlineStr">
        <is>
          <t>market for blast oxygen furnace converter</t>
        </is>
      </c>
      <c r="B79" t="n">
        <v>0</v>
      </c>
      <c r="C79" t="inlineStr">
        <is>
          <t>cutoff391</t>
        </is>
      </c>
      <c r="D79" t="inlineStr">
        <is>
          <t>GLO</t>
        </is>
      </c>
      <c r="E79" t="inlineStr">
        <is>
          <t>unit</t>
        </is>
      </c>
      <c r="G79" s="22" t="inlineStr">
        <is>
          <t>technosphere</t>
        </is>
      </c>
      <c r="H79" t="inlineStr">
        <is>
          <t>blast oxygen furnace converter</t>
        </is>
      </c>
      <c r="I79" t="inlineStr">
        <is>
          <t>Source: Classen et al. (2009)</t>
        </is>
      </c>
      <c r="O79" t="inlineStr">
        <is>
          <t>steel production, converter, low-alloyed</t>
        </is>
      </c>
      <c r="P79" t="inlineStr">
        <is>
          <t>steel, low-alloyed</t>
        </is>
      </c>
      <c r="Q79" t="inlineStr">
        <is>
          <t>RER</t>
        </is>
      </c>
    </row>
    <row r="80">
      <c r="A80" t="inlineStr">
        <is>
          <t>market for coke</t>
        </is>
      </c>
      <c r="B80" t="n">
        <v>0</v>
      </c>
      <c r="C80" t="inlineStr">
        <is>
          <t>cutoff391</t>
        </is>
      </c>
      <c r="D80" t="inlineStr">
        <is>
          <t>GLO</t>
        </is>
      </c>
      <c r="E80" t="inlineStr">
        <is>
          <t>megajoule</t>
        </is>
      </c>
      <c r="G80" s="22" t="inlineStr">
        <is>
          <t>technosphere</t>
        </is>
      </c>
      <c r="H80" t="inlineStr">
        <is>
          <t>coke</t>
        </is>
      </c>
      <c r="I80" t="inlineStr">
        <is>
          <t>geometric mean of Remus et al. (2013) data range</t>
        </is>
      </c>
      <c r="O80" t="inlineStr">
        <is>
          <t>steel production, converter, low-alloyed</t>
        </is>
      </c>
      <c r="P80" t="inlineStr">
        <is>
          <t>steel, low-alloyed</t>
        </is>
      </c>
      <c r="Q80" t="inlineStr">
        <is>
          <t>RER</t>
        </is>
      </c>
    </row>
    <row r="81">
      <c r="A81" t="inlineStr">
        <is>
          <t>market for compressed air, 600 kPa gauge</t>
        </is>
      </c>
      <c r="B81" t="n">
        <v>0</v>
      </c>
      <c r="C81" t="inlineStr">
        <is>
          <t>cutoff391</t>
        </is>
      </c>
      <c r="D81" t="inlineStr">
        <is>
          <t>RER</t>
        </is>
      </c>
      <c r="E81" t="inlineStr">
        <is>
          <t>cubic meter</t>
        </is>
      </c>
      <c r="G81" s="22" t="inlineStr">
        <is>
          <t>technosphere</t>
        </is>
      </c>
      <c r="H81" t="inlineStr">
        <is>
          <t>compressed air, 600 kPa gauge</t>
        </is>
      </c>
      <c r="I81" t="inlineStr">
        <is>
          <t>geometric mean of Remus et al. (2013) data range</t>
        </is>
      </c>
      <c r="O81" t="inlineStr">
        <is>
          <t>steel production, converter, low-alloyed</t>
        </is>
      </c>
      <c r="P81" t="inlineStr">
        <is>
          <t>steel, low-alloyed</t>
        </is>
      </c>
      <c r="Q81" t="inlineStr">
        <is>
          <t>RER</t>
        </is>
      </c>
    </row>
    <row r="82">
      <c r="A82" t="inlineStr">
        <is>
          <t>market for dolomite</t>
        </is>
      </c>
      <c r="B82" t="n">
        <v>0</v>
      </c>
      <c r="C82" t="inlineStr">
        <is>
          <t>cutoff391</t>
        </is>
      </c>
      <c r="D82" t="inlineStr">
        <is>
          <t>RER</t>
        </is>
      </c>
      <c r="E82" t="inlineStr">
        <is>
          <t>kilogram</t>
        </is>
      </c>
      <c r="G82" s="22" t="inlineStr">
        <is>
          <t>technosphere</t>
        </is>
      </c>
      <c r="H82" t="inlineStr">
        <is>
          <t>dolomite</t>
        </is>
      </c>
      <c r="I82" t="inlineStr">
        <is>
          <t>geometric mean of Remus et al. (2013) data range</t>
        </is>
      </c>
      <c r="O82" t="inlineStr">
        <is>
          <t>steel production, converter, low-alloyed</t>
        </is>
      </c>
      <c r="P82" t="inlineStr">
        <is>
          <t>steel, low-alloyed</t>
        </is>
      </c>
      <c r="Q82" t="inlineStr">
        <is>
          <t>RER</t>
        </is>
      </c>
    </row>
    <row r="83">
      <c r="A83" t="inlineStr">
        <is>
          <t>market group for electricity, medium voltage</t>
        </is>
      </c>
      <c r="B83" t="n">
        <v>0</v>
      </c>
      <c r="C83" t="inlineStr">
        <is>
          <t>cutoff391</t>
        </is>
      </c>
      <c r="D83" t="inlineStr">
        <is>
          <t>RER</t>
        </is>
      </c>
      <c r="E83" t="inlineStr">
        <is>
          <t>kilowatt hour</t>
        </is>
      </c>
      <c r="G83" s="22" t="inlineStr">
        <is>
          <t>technosphere</t>
        </is>
      </c>
      <c r="H83" t="inlineStr">
        <is>
          <t>electricity, medium voltage</t>
        </is>
      </c>
      <c r="I83" t="inlineStr">
        <is>
          <t>geometric mean of Remus et al. (2013) data range</t>
        </is>
      </c>
      <c r="O83" t="inlineStr">
        <is>
          <t>steel production, converter, low-alloyed</t>
        </is>
      </c>
      <c r="P83" t="inlineStr">
        <is>
          <t>steel, low-alloyed</t>
        </is>
      </c>
      <c r="Q83" t="inlineStr">
        <is>
          <t>RER</t>
        </is>
      </c>
    </row>
    <row r="84">
      <c r="A84" t="inlineStr">
        <is>
          <t>market for ferromanganese, high-coal, 74.5% Mn</t>
        </is>
      </c>
      <c r="B84" t="n">
        <v>0</v>
      </c>
      <c r="C84" t="inlineStr">
        <is>
          <t>cutoff391</t>
        </is>
      </c>
      <c r="D84" t="inlineStr">
        <is>
          <t>GLO</t>
        </is>
      </c>
      <c r="E84" t="inlineStr">
        <is>
          <t>kilogram</t>
        </is>
      </c>
      <c r="G84" s="22" t="inlineStr">
        <is>
          <t>technosphere</t>
        </is>
      </c>
      <c r="H84" t="inlineStr">
        <is>
          <t>ferromanganese, high-coal, 74.5% Mn</t>
        </is>
      </c>
      <c r="I84" t="inlineStr">
        <is>
          <t>Source: Classen et al. (2009)</t>
        </is>
      </c>
      <c r="O84" t="inlineStr">
        <is>
          <t>steel production, converter, low-alloyed</t>
        </is>
      </c>
      <c r="P84" t="inlineStr">
        <is>
          <t>steel, low-alloyed</t>
        </is>
      </c>
      <c r="Q84" t="inlineStr">
        <is>
          <t>RER</t>
        </is>
      </c>
    </row>
    <row r="85">
      <c r="A85" t="inlineStr">
        <is>
          <t>market for ferronickel</t>
        </is>
      </c>
      <c r="B85" t="n">
        <v>0</v>
      </c>
      <c r="C85" t="inlineStr">
        <is>
          <t>cutoff391</t>
        </is>
      </c>
      <c r="D85" t="inlineStr">
        <is>
          <t>GLO</t>
        </is>
      </c>
      <c r="E85" t="inlineStr">
        <is>
          <t>kilogram</t>
        </is>
      </c>
      <c r="G85" s="22" t="inlineStr">
        <is>
          <t>technosphere</t>
        </is>
      </c>
      <c r="H85" t="inlineStr">
        <is>
          <t>ferronickel</t>
        </is>
      </c>
      <c r="I85" t="inlineStr">
        <is>
          <t>Source: Classen et al. (2009)</t>
        </is>
      </c>
      <c r="O85" t="inlineStr">
        <is>
          <t>steel production, converter, low-alloyed</t>
        </is>
      </c>
      <c r="P85" t="inlineStr">
        <is>
          <t>steel, low-alloyed</t>
        </is>
      </c>
      <c r="Q85" t="inlineStr">
        <is>
          <t>RER</t>
        </is>
      </c>
    </row>
    <row r="86">
      <c r="A86" t="inlineStr">
        <is>
          <t>market for inert waste, for final disposal</t>
        </is>
      </c>
      <c r="B86" t="n">
        <v>0</v>
      </c>
      <c r="C86" t="inlineStr">
        <is>
          <t>cutoff391</t>
        </is>
      </c>
      <c r="D86" t="inlineStr">
        <is>
          <t>CH</t>
        </is>
      </c>
      <c r="E86" t="inlineStr">
        <is>
          <t>kilogram</t>
        </is>
      </c>
      <c r="G86" s="22" t="inlineStr">
        <is>
          <t>technosphere</t>
        </is>
      </c>
      <c r="H86" t="inlineStr">
        <is>
          <t>inert waste, for final disposal</t>
        </is>
      </c>
      <c r="I86" t="inlineStr">
        <is>
          <t>Represents used refractories, etc.</t>
        </is>
      </c>
      <c r="O86" t="inlineStr">
        <is>
          <t>steel production, converter, low-alloyed</t>
        </is>
      </c>
      <c r="P86" t="inlineStr">
        <is>
          <t>steel, low-alloyed</t>
        </is>
      </c>
      <c r="Q86" t="inlineStr">
        <is>
          <t>RER</t>
        </is>
      </c>
    </row>
    <row r="87">
      <c r="A87" t="inlineStr">
        <is>
          <t>market for iron ore concentrate</t>
        </is>
      </c>
      <c r="B87" t="n">
        <v>0</v>
      </c>
      <c r="C87" t="inlineStr">
        <is>
          <t>cutoff391</t>
        </is>
      </c>
      <c r="D87" t="inlineStr">
        <is>
          <t>GLO</t>
        </is>
      </c>
      <c r="E87" t="inlineStr">
        <is>
          <t>kilogram</t>
        </is>
      </c>
      <c r="G87" s="22" t="inlineStr">
        <is>
          <t>technosphere</t>
        </is>
      </c>
      <c r="H87" t="inlineStr">
        <is>
          <t>iron ore concentrate</t>
        </is>
      </c>
      <c r="I87" t="inlineStr">
        <is>
          <t>geometric mean of Remus et al. (2013) data range</t>
        </is>
      </c>
      <c r="O87" t="inlineStr">
        <is>
          <t>steel production, converter, low-alloyed</t>
        </is>
      </c>
      <c r="P87" t="inlineStr">
        <is>
          <t>steel, low-alloyed</t>
        </is>
      </c>
      <c r="Q87" t="inlineStr">
        <is>
          <t>RER</t>
        </is>
      </c>
    </row>
    <row r="88">
      <c r="A88" t="inlineStr">
        <is>
          <t>market for mill scale</t>
        </is>
      </c>
      <c r="B88" t="n">
        <v>0</v>
      </c>
      <c r="C88" t="inlineStr">
        <is>
          <t>cutoff391</t>
        </is>
      </c>
      <c r="D88" t="inlineStr">
        <is>
          <t>RER</t>
        </is>
      </c>
      <c r="E88" t="inlineStr">
        <is>
          <t>kilogram</t>
        </is>
      </c>
      <c r="G88" s="22" t="inlineStr">
        <is>
          <t>technosphere</t>
        </is>
      </c>
      <c r="H88" t="inlineStr">
        <is>
          <t>mill scale</t>
        </is>
      </c>
      <c r="I88" t="inlineStr">
        <is>
          <t>Amount reported by worldsteel (2010) and is representative of the average global situation in 2009. Also based on worldsteel (2010), an internal recovery (recycling) rate of 89% is assumed. Source: Worldsteel (2010). Steel industry by-products. World Steel Association: Brussels, Belgium.</t>
        </is>
      </c>
      <c r="O88" t="inlineStr">
        <is>
          <t>steel production, converter, low-alloyed</t>
        </is>
      </c>
      <c r="P88" t="inlineStr">
        <is>
          <t>steel, low-alloyed</t>
        </is>
      </c>
      <c r="Q88" t="inlineStr">
        <is>
          <t>RER</t>
        </is>
      </c>
    </row>
    <row r="89">
      <c r="A89" t="inlineStr">
        <is>
          <t>market for molybdenite</t>
        </is>
      </c>
      <c r="B89" t="n">
        <v>0</v>
      </c>
      <c r="C89" t="inlineStr">
        <is>
          <t>cutoff391</t>
        </is>
      </c>
      <c r="D89" t="inlineStr">
        <is>
          <t>GLO</t>
        </is>
      </c>
      <c r="E89" t="inlineStr">
        <is>
          <t>kilogram</t>
        </is>
      </c>
      <c r="G89" s="22" t="inlineStr">
        <is>
          <t>technosphere</t>
        </is>
      </c>
      <c r="H89" t="inlineStr">
        <is>
          <t>molybdenite</t>
        </is>
      </c>
      <c r="I89" t="inlineStr">
        <is>
          <t>Source: Classen et al. (2009)</t>
        </is>
      </c>
      <c r="O89" t="inlineStr">
        <is>
          <t>steel production, converter, low-alloyed</t>
        </is>
      </c>
      <c r="P89" t="inlineStr">
        <is>
          <t>steel, low-alloyed</t>
        </is>
      </c>
      <c r="Q89" t="inlineStr">
        <is>
          <t>RER</t>
        </is>
      </c>
    </row>
    <row r="90">
      <c r="A90" t="inlineStr">
        <is>
          <t>market group for natural gas, high pressure</t>
        </is>
      </c>
      <c r="B90" t="n">
        <v>0</v>
      </c>
      <c r="C90" t="inlineStr">
        <is>
          <t>cutoff391</t>
        </is>
      </c>
      <c r="D90" t="inlineStr">
        <is>
          <t>Europe without Switzerland</t>
        </is>
      </c>
      <c r="E90" t="inlineStr">
        <is>
          <t>cubic meter</t>
        </is>
      </c>
      <c r="G90" s="22" t="inlineStr">
        <is>
          <t>technosphere</t>
        </is>
      </c>
      <c r="H90" t="inlineStr">
        <is>
          <t>natural gas, high pressure</t>
        </is>
      </c>
      <c r="I90" t="inlineStr">
        <is>
          <t>geometric mean of Remus et al. (2013) data range</t>
        </is>
      </c>
      <c r="O90" t="inlineStr">
        <is>
          <t>steel production, converter, low-alloyed</t>
        </is>
      </c>
      <c r="P90" t="inlineStr">
        <is>
          <t>steel, low-alloyed</t>
        </is>
      </c>
      <c r="Q90" t="inlineStr">
        <is>
          <t>RER</t>
        </is>
      </c>
    </row>
    <row r="91">
      <c r="A91" t="inlineStr">
        <is>
          <t>market for natural gas, high pressure</t>
        </is>
      </c>
      <c r="B91" t="n">
        <v>0</v>
      </c>
      <c r="C91" t="inlineStr">
        <is>
          <t>cutoff391</t>
        </is>
      </c>
      <c r="D91" t="inlineStr">
        <is>
          <t>CH</t>
        </is>
      </c>
      <c r="E91" t="inlineStr">
        <is>
          <t>cubic meter</t>
        </is>
      </c>
      <c r="G91" s="22" t="inlineStr">
        <is>
          <t>technosphere</t>
        </is>
      </c>
      <c r="H91" t="inlineStr">
        <is>
          <t>natural gas, high pressure</t>
        </is>
      </c>
      <c r="I91" t="inlineStr">
        <is>
          <t>geometric mean of Remus et al. (2013) data range</t>
        </is>
      </c>
      <c r="O91" t="inlineStr">
        <is>
          <t>steel production, converter, low-alloyed</t>
        </is>
      </c>
      <c r="P91" t="inlineStr">
        <is>
          <t>steel, low-alloyed</t>
        </is>
      </c>
      <c r="Q91" t="inlineStr">
        <is>
          <t>RER</t>
        </is>
      </c>
    </row>
    <row r="92">
      <c r="A92" t="inlineStr">
        <is>
          <t>market for oxygen, liquid</t>
        </is>
      </c>
      <c r="B92" t="n">
        <v>0</v>
      </c>
      <c r="C92" t="inlineStr">
        <is>
          <t>cutoff391</t>
        </is>
      </c>
      <c r="D92" t="inlineStr">
        <is>
          <t>RER</t>
        </is>
      </c>
      <c r="E92" t="inlineStr">
        <is>
          <t>kilogram</t>
        </is>
      </c>
      <c r="G92" s="22" t="inlineStr">
        <is>
          <t>technosphere</t>
        </is>
      </c>
      <c r="H92" t="inlineStr">
        <is>
          <t>oxygen, liquid</t>
        </is>
      </c>
      <c r="I92" t="inlineStr">
        <is>
          <t>geometric mean of Remus et al. (2013) data range</t>
        </is>
      </c>
      <c r="O92" t="inlineStr">
        <is>
          <t>steel production, converter, low-alloyed</t>
        </is>
      </c>
      <c r="P92" t="inlineStr">
        <is>
          <t>steel, low-alloyed</t>
        </is>
      </c>
      <c r="Q92" t="inlineStr">
        <is>
          <t>RER</t>
        </is>
      </c>
    </row>
    <row r="93">
      <c r="A93" t="inlineStr">
        <is>
          <t>market for quicklime, in pieces, loose</t>
        </is>
      </c>
      <c r="B93" t="n">
        <v>0</v>
      </c>
      <c r="C93" t="inlineStr">
        <is>
          <t>cutoff391</t>
        </is>
      </c>
      <c r="D93" t="inlineStr">
        <is>
          <t>CH</t>
        </is>
      </c>
      <c r="E93" t="inlineStr">
        <is>
          <t>kilogram</t>
        </is>
      </c>
      <c r="G93" s="22" t="inlineStr">
        <is>
          <t>technosphere</t>
        </is>
      </c>
      <c r="H93" t="inlineStr">
        <is>
          <t>quicklime, in pieces, loose</t>
        </is>
      </c>
      <c r="I93" t="inlineStr">
        <is>
          <t>geometric mean of Remus et al. (2013) data range</t>
        </is>
      </c>
      <c r="O93" t="inlineStr">
        <is>
          <t>steel production, converter, low-alloyed</t>
        </is>
      </c>
      <c r="P93" t="inlineStr">
        <is>
          <t>steel, low-alloyed</t>
        </is>
      </c>
      <c r="Q93" t="inlineStr">
        <is>
          <t>RER</t>
        </is>
      </c>
    </row>
    <row r="94">
      <c r="A94" t="inlineStr">
        <is>
          <t>market for wastewater from pig iron production</t>
        </is>
      </c>
      <c r="B94" t="n">
        <v>0</v>
      </c>
      <c r="C94" t="inlineStr">
        <is>
          <t>cutoff391</t>
        </is>
      </c>
      <c r="D94" t="inlineStr">
        <is>
          <t>Europe without Switzerland</t>
        </is>
      </c>
      <c r="E94" t="inlineStr">
        <is>
          <t>cubic meter</t>
        </is>
      </c>
      <c r="G94" s="22" t="inlineStr">
        <is>
          <t>technosphere</t>
        </is>
      </c>
      <c r="H94" t="inlineStr">
        <is>
          <t>wastewater from pig iron production</t>
        </is>
      </c>
      <c r="I94" t="inlineStr">
        <is>
          <t>geometric mean of Remus et al. (2013) data range</t>
        </is>
      </c>
      <c r="O94" t="inlineStr">
        <is>
          <t>steel production, converter, low-alloyed</t>
        </is>
      </c>
      <c r="P94" t="inlineStr">
        <is>
          <t>steel, low-alloyed</t>
        </is>
      </c>
      <c r="Q94" t="inlineStr">
        <is>
          <t>RER</t>
        </is>
      </c>
    </row>
    <row r="95">
      <c r="A95" t="inlineStr">
        <is>
          <t>market for wastewater from pig iron production</t>
        </is>
      </c>
      <c r="B95" t="n">
        <v>0</v>
      </c>
      <c r="C95" t="inlineStr">
        <is>
          <t>cutoff391</t>
        </is>
      </c>
      <c r="D95" t="inlineStr">
        <is>
          <t>CH</t>
        </is>
      </c>
      <c r="E95" t="inlineStr">
        <is>
          <t>cubic meter</t>
        </is>
      </c>
      <c r="G95" s="22" t="inlineStr">
        <is>
          <t>technosphere</t>
        </is>
      </c>
      <c r="H95" t="inlineStr">
        <is>
          <t>wastewater from pig iron production</t>
        </is>
      </c>
      <c r="I95" t="inlineStr">
        <is>
          <t>geometric mean of Remus et al. (2013) data range</t>
        </is>
      </c>
      <c r="O95" t="inlineStr">
        <is>
          <t>steel production, converter, low-alloyed</t>
        </is>
      </c>
      <c r="P95" t="inlineStr">
        <is>
          <t>steel, low-alloyed</t>
        </is>
      </c>
      <c r="Q95" t="inlineStr">
        <is>
          <t>RER</t>
        </is>
      </c>
    </row>
    <row r="96">
      <c r="A96" t="inlineStr">
        <is>
          <t>Chromium</t>
        </is>
      </c>
      <c r="B96" t="n">
        <v>0</v>
      </c>
      <c r="C96" t="inlineStr">
        <is>
          <t>biosphere3</t>
        </is>
      </c>
      <c r="E96" t="inlineStr">
        <is>
          <t>kilogram</t>
        </is>
      </c>
      <c r="F96" t="inlineStr">
        <is>
          <t>air</t>
        </is>
      </c>
      <c r="G96" s="22" t="inlineStr">
        <is>
          <t>biosphere</t>
        </is>
      </c>
      <c r="I96" t="inlineStr">
        <is>
          <t>geometric mean of Remus et al. (2013) data range</t>
        </is>
      </c>
      <c r="N96" t="inlineStr">
        <is>
          <t>Cr</t>
        </is>
      </c>
      <c r="O96" t="inlineStr">
        <is>
          <t>steel production, converter, low-alloyed</t>
        </is>
      </c>
      <c r="P96" t="inlineStr">
        <is>
          <t>steel, low-alloyed</t>
        </is>
      </c>
      <c r="Q96" t="inlineStr">
        <is>
          <t>RER</t>
        </is>
      </c>
    </row>
    <row r="97">
      <c r="A97" t="inlineStr">
        <is>
          <t>Water, cooling, unspecified natural origin</t>
        </is>
      </c>
      <c r="B97" t="n">
        <v>0</v>
      </c>
      <c r="C97" t="inlineStr">
        <is>
          <t>biosphere3</t>
        </is>
      </c>
      <c r="E97" t="inlineStr">
        <is>
          <t>cubic meter</t>
        </is>
      </c>
      <c r="F97" t="inlineStr">
        <is>
          <t>natural resource::in water</t>
        </is>
      </c>
      <c r="G97" s="22" t="inlineStr">
        <is>
          <t>biosphere</t>
        </is>
      </c>
      <c r="I97" t="inlineStr">
        <is>
          <t>geometric mean of Remus et al. (2013) data range</t>
        </is>
      </c>
      <c r="N97" t="inlineStr">
        <is>
          <t>H2O</t>
        </is>
      </c>
      <c r="O97" t="inlineStr">
        <is>
          <t>steel production, converter, low-alloyed</t>
        </is>
      </c>
      <c r="P97" t="inlineStr">
        <is>
          <t>steel, low-alloyed</t>
        </is>
      </c>
      <c r="Q97" t="inlineStr">
        <is>
          <t>RER</t>
        </is>
      </c>
    </row>
    <row r="98">
      <c r="A98" t="inlineStr">
        <is>
          <t>PAH, polycyclic aromatic hydrocarbons</t>
        </is>
      </c>
      <c r="B98" t="n">
        <v>0</v>
      </c>
      <c r="C98" t="inlineStr">
        <is>
          <t>biosphere3</t>
        </is>
      </c>
      <c r="E98" t="inlineStr">
        <is>
          <t>kilogram</t>
        </is>
      </c>
      <c r="F98" t="inlineStr">
        <is>
          <t>air</t>
        </is>
      </c>
      <c r="G98" s="22" t="inlineStr">
        <is>
          <t>biosphere</t>
        </is>
      </c>
      <c r="I98" t="inlineStr">
        <is>
          <t>geometric mean of Remus et al. (2013) data range</t>
        </is>
      </c>
      <c r="O98" t="inlineStr">
        <is>
          <t>steel production, converter, low-alloyed</t>
        </is>
      </c>
      <c r="P98" t="inlineStr">
        <is>
          <t>steel, low-alloyed</t>
        </is>
      </c>
      <c r="Q98" t="inlineStr">
        <is>
          <t>RER</t>
        </is>
      </c>
    </row>
    <row r="99">
      <c r="A99" t="inlineStr">
        <is>
          <t>Copper ion</t>
        </is>
      </c>
      <c r="B99" t="n">
        <v>0</v>
      </c>
      <c r="C99" t="inlineStr">
        <is>
          <t>biosphere3</t>
        </is>
      </c>
      <c r="E99" t="inlineStr">
        <is>
          <t>kilogram</t>
        </is>
      </c>
      <c r="F99" t="inlineStr">
        <is>
          <t>air</t>
        </is>
      </c>
      <c r="G99" s="22" t="inlineStr">
        <is>
          <t>biosphere</t>
        </is>
      </c>
      <c r="I99" t="inlineStr">
        <is>
          <t>geometric mean of Remus et al. (2013) data range</t>
        </is>
      </c>
      <c r="N99" t="inlineStr">
        <is>
          <t>Cu</t>
        </is>
      </c>
      <c r="O99" t="inlineStr">
        <is>
          <t>steel production, converter, low-alloyed</t>
        </is>
      </c>
      <c r="P99" t="inlineStr">
        <is>
          <t>steel, low-alloyed</t>
        </is>
      </c>
      <c r="Q99" t="inlineStr">
        <is>
          <t>RER</t>
        </is>
      </c>
    </row>
    <row r="100">
      <c r="A100" t="inlineStr">
        <is>
          <t>Nitrogen oxides</t>
        </is>
      </c>
      <c r="B100" t="n">
        <v>0</v>
      </c>
      <c r="C100" t="inlineStr">
        <is>
          <t>biosphere3</t>
        </is>
      </c>
      <c r="E100" t="inlineStr">
        <is>
          <t>kilogram</t>
        </is>
      </c>
      <c r="F100" t="inlineStr">
        <is>
          <t>air</t>
        </is>
      </c>
      <c r="G100" s="22" t="inlineStr">
        <is>
          <t>biosphere</t>
        </is>
      </c>
      <c r="I100" t="inlineStr">
        <is>
          <t>geometric mean of Remus et al. (2013) data range</t>
        </is>
      </c>
      <c r="N100" t="inlineStr">
        <is>
          <t>H3NO</t>
        </is>
      </c>
      <c r="O100" t="inlineStr">
        <is>
          <t>steel production, converter, low-alloyed</t>
        </is>
      </c>
      <c r="P100" t="inlineStr">
        <is>
          <t>steel, low-alloyed</t>
        </is>
      </c>
      <c r="Q100" t="inlineStr">
        <is>
          <t>RER</t>
        </is>
      </c>
    </row>
    <row r="101">
      <c r="A101" t="inlineStr">
        <is>
          <t>Particulates, &lt; 2.5 um</t>
        </is>
      </c>
      <c r="B101" t="n">
        <v>0</v>
      </c>
      <c r="C101" t="inlineStr">
        <is>
          <t>biosphere3</t>
        </is>
      </c>
      <c r="E101" t="inlineStr">
        <is>
          <t>kilogram</t>
        </is>
      </c>
      <c r="F101" t="inlineStr">
        <is>
          <t>air</t>
        </is>
      </c>
      <c r="G101" s="22" t="inlineStr">
        <is>
          <t>biosphere</t>
        </is>
      </c>
      <c r="I101" t="inlineStr">
        <is>
          <t>geometric mean of Remus et al. (2013) data range</t>
        </is>
      </c>
      <c r="O101" t="inlineStr">
        <is>
          <t>steel production, converter, low-alloyed</t>
        </is>
      </c>
      <c r="P101" t="inlineStr">
        <is>
          <t>steel, low-alloyed</t>
        </is>
      </c>
      <c r="Q101" t="inlineStr">
        <is>
          <t>RER</t>
        </is>
      </c>
    </row>
    <row r="102">
      <c r="A102" t="inlineStr">
        <is>
          <t>Dioxins, measured as 2,3,7,8-tetrachlorodibenzo-p-dioxin</t>
        </is>
      </c>
      <c r="B102" t="n">
        <v>0</v>
      </c>
      <c r="C102" t="inlineStr">
        <is>
          <t>biosphere3</t>
        </is>
      </c>
      <c r="E102" t="inlineStr">
        <is>
          <t>kilogram</t>
        </is>
      </c>
      <c r="F102" t="inlineStr">
        <is>
          <t>air</t>
        </is>
      </c>
      <c r="G102" s="22" t="inlineStr">
        <is>
          <t>biosphere</t>
        </is>
      </c>
      <c r="I102" t="inlineStr">
        <is>
          <t>geometric mean of Remus et al. (2013) data range</t>
        </is>
      </c>
      <c r="N102" t="inlineStr">
        <is>
          <t>C12H4Cl4O2</t>
        </is>
      </c>
      <c r="O102" t="inlineStr">
        <is>
          <t>steel production, converter, low-alloyed</t>
        </is>
      </c>
      <c r="P102" t="inlineStr">
        <is>
          <t>steel, low-alloyed</t>
        </is>
      </c>
      <c r="Q102" t="inlineStr">
        <is>
          <t>RER</t>
        </is>
      </c>
    </row>
    <row r="103">
      <c r="A103" t="inlineStr">
        <is>
          <t>Manganese</t>
        </is>
      </c>
      <c r="B103" t="n">
        <v>0</v>
      </c>
      <c r="C103" t="inlineStr">
        <is>
          <t>biosphere3</t>
        </is>
      </c>
      <c r="E103" t="inlineStr">
        <is>
          <t>kilogram</t>
        </is>
      </c>
      <c r="F103" t="inlineStr">
        <is>
          <t>air</t>
        </is>
      </c>
      <c r="G103" s="22" t="inlineStr">
        <is>
          <t>biosphere</t>
        </is>
      </c>
      <c r="I103" t="inlineStr">
        <is>
          <t>geometric mean of Remus et al. (2013) data range</t>
        </is>
      </c>
      <c r="N103" t="inlineStr">
        <is>
          <t>Mn</t>
        </is>
      </c>
      <c r="O103" t="inlineStr">
        <is>
          <t>steel production, converter, low-alloyed</t>
        </is>
      </c>
      <c r="P103" t="inlineStr">
        <is>
          <t>steel, low-alloyed</t>
        </is>
      </c>
      <c r="Q103" t="inlineStr">
        <is>
          <t>RER</t>
        </is>
      </c>
    </row>
    <row r="104">
      <c r="A104" t="inlineStr">
        <is>
          <t>Iron</t>
        </is>
      </c>
      <c r="B104" t="n">
        <v>0</v>
      </c>
      <c r="C104" t="inlineStr">
        <is>
          <t>biosphere3</t>
        </is>
      </c>
      <c r="E104" t="inlineStr">
        <is>
          <t>kilogram</t>
        </is>
      </c>
      <c r="F104" t="inlineStr">
        <is>
          <t>air</t>
        </is>
      </c>
      <c r="G104" s="22" t="inlineStr">
        <is>
          <t>biosphere</t>
        </is>
      </c>
      <c r="I104" t="inlineStr">
        <is>
          <t>geometric mean of Remus et al. (2013) data range</t>
        </is>
      </c>
      <c r="N104" t="inlineStr">
        <is>
          <t>Fe</t>
        </is>
      </c>
      <c r="O104" t="inlineStr">
        <is>
          <t>steel production, converter, low-alloyed</t>
        </is>
      </c>
      <c r="P104" t="inlineStr">
        <is>
          <t>steel, low-alloyed</t>
        </is>
      </c>
      <c r="Q104" t="inlineStr">
        <is>
          <t>RER</t>
        </is>
      </c>
    </row>
    <row r="105">
      <c r="A105" t="inlineStr">
        <is>
          <t>Lead</t>
        </is>
      </c>
      <c r="B105" t="n">
        <v>0</v>
      </c>
      <c r="C105" t="inlineStr">
        <is>
          <t>biosphere3</t>
        </is>
      </c>
      <c r="E105" t="inlineStr">
        <is>
          <t>kilogram</t>
        </is>
      </c>
      <c r="F105" t="inlineStr">
        <is>
          <t>air</t>
        </is>
      </c>
      <c r="G105" s="22" t="inlineStr">
        <is>
          <t>biosphere</t>
        </is>
      </c>
      <c r="I105" t="inlineStr">
        <is>
          <t>geometric mean of Remus et al. (2013) data range</t>
        </is>
      </c>
      <c r="N105" t="inlineStr">
        <is>
          <t>Pb</t>
        </is>
      </c>
      <c r="O105" t="inlineStr">
        <is>
          <t>steel production, converter, low-alloyed</t>
        </is>
      </c>
      <c r="P105" t="inlineStr">
        <is>
          <t>steel, low-alloyed</t>
        </is>
      </c>
      <c r="Q105" t="inlineStr">
        <is>
          <t>RER</t>
        </is>
      </c>
    </row>
    <row r="106">
      <c r="A106" t="inlineStr">
        <is>
          <t>Water</t>
        </is>
      </c>
      <c r="B106" t="n">
        <v>0</v>
      </c>
      <c r="C106" t="inlineStr">
        <is>
          <t>biosphere3</t>
        </is>
      </c>
      <c r="E106" t="inlineStr">
        <is>
          <t>cubic meter</t>
        </is>
      </c>
      <c r="F106" t="inlineStr">
        <is>
          <t>air</t>
        </is>
      </c>
      <c r="G106" s="22" t="inlineStr">
        <is>
          <t>biosphere</t>
        </is>
      </c>
      <c r="I106" t="inlineStr">
        <is>
          <t>Source: Classen et al. (2009)</t>
        </is>
      </c>
      <c r="N106" t="inlineStr">
        <is>
          <t>H2O</t>
        </is>
      </c>
      <c r="O106" t="inlineStr">
        <is>
          <t>steel production, converter, low-alloyed</t>
        </is>
      </c>
      <c r="P106" t="inlineStr">
        <is>
          <t>steel, low-alloyed</t>
        </is>
      </c>
      <c r="Q106" t="inlineStr">
        <is>
          <t>RER</t>
        </is>
      </c>
    </row>
    <row r="107">
      <c r="A107" t="inlineStr">
        <is>
          <t>Heat, waste</t>
        </is>
      </c>
      <c r="B107" t="n">
        <v>0</v>
      </c>
      <c r="C107" t="inlineStr">
        <is>
          <t>biosphere3</t>
        </is>
      </c>
      <c r="E107" t="inlineStr">
        <is>
          <t>megajoule</t>
        </is>
      </c>
      <c r="F107" t="inlineStr">
        <is>
          <t>air</t>
        </is>
      </c>
      <c r="G107" s="22" t="inlineStr">
        <is>
          <t>biosphere</t>
        </is>
      </c>
      <c r="I107" t="inlineStr">
        <is>
          <t>Calculated from energy balanced model</t>
        </is>
      </c>
      <c r="O107" t="inlineStr">
        <is>
          <t>steel production, converter, low-alloyed</t>
        </is>
      </c>
      <c r="P107" t="inlineStr">
        <is>
          <t>steel, low-alloyed</t>
        </is>
      </c>
      <c r="Q107" t="inlineStr">
        <is>
          <t>RER</t>
        </is>
      </c>
    </row>
    <row r="108">
      <c r="A108" t="inlineStr">
        <is>
          <t>Carbon monoxide, fossil</t>
        </is>
      </c>
      <c r="B108" t="n">
        <v>0</v>
      </c>
      <c r="C108" t="inlineStr">
        <is>
          <t>biosphere3</t>
        </is>
      </c>
      <c r="E108" t="inlineStr">
        <is>
          <t>kilogram</t>
        </is>
      </c>
      <c r="F108" t="inlineStr">
        <is>
          <t>air</t>
        </is>
      </c>
      <c r="G108" s="22" t="inlineStr">
        <is>
          <t>biosphere</t>
        </is>
      </c>
      <c r="I108" t="inlineStr">
        <is>
          <t>geometric mean of Remus et al. (2013) data range</t>
        </is>
      </c>
      <c r="N108" t="inlineStr">
        <is>
          <t>CO</t>
        </is>
      </c>
      <c r="O108" t="inlineStr">
        <is>
          <t>steel production, converter, low-alloyed</t>
        </is>
      </c>
      <c r="P108" t="inlineStr">
        <is>
          <t>steel, low-alloyed</t>
        </is>
      </c>
      <c r="Q108" t="inlineStr">
        <is>
          <t>RER</t>
        </is>
      </c>
    </row>
    <row r="109">
      <c r="A109" t="inlineStr">
        <is>
          <t>Carbon dioxide, fossil</t>
        </is>
      </c>
      <c r="B109" t="n">
        <v>0</v>
      </c>
      <c r="C109" t="inlineStr">
        <is>
          <t>biosphere3</t>
        </is>
      </c>
      <c r="E109" t="inlineStr">
        <is>
          <t>kilogram</t>
        </is>
      </c>
      <c r="F109" t="inlineStr">
        <is>
          <t>air</t>
        </is>
      </c>
      <c r="G109" s="22" t="inlineStr">
        <is>
          <t>biosphere</t>
        </is>
      </c>
      <c r="I109" t="inlineStr">
        <is>
          <t>geometric mean of Remus et al. (2013) data range</t>
        </is>
      </c>
      <c r="N109" t="inlineStr">
        <is>
          <t>CO2</t>
        </is>
      </c>
      <c r="O109" t="inlineStr">
        <is>
          <t>steel production, converter, low-alloyed</t>
        </is>
      </c>
      <c r="P109" t="inlineStr">
        <is>
          <t>steel, low-alloyed</t>
        </is>
      </c>
      <c r="Q109" t="inlineStr">
        <is>
          <t>RER</t>
        </is>
      </c>
    </row>
    <row r="110"/>
    <row r="111" ht="16" customHeight="1">
      <c r="A111" s="19" t="inlineStr">
        <is>
          <t>Activity</t>
        </is>
      </c>
      <c r="B111" s="19" t="inlineStr">
        <is>
          <t>steel production, blast furnace-basic oxygen furnace, with top gas recycling, with carbon capture and storage, unalloyed</t>
        </is>
      </c>
      <c r="C111" s="21" t="n"/>
      <c r="D111" s="21" t="n"/>
      <c r="E111" s="21" t="n"/>
      <c r="F111" s="21" t="n"/>
      <c r="G111" s="21" t="n"/>
      <c r="H111" s="21" t="n"/>
    </row>
    <row r="112">
      <c r="A112" s="22" t="inlineStr">
        <is>
          <t>production amount</t>
        </is>
      </c>
      <c r="B112" s="22" t="n">
        <v>1</v>
      </c>
      <c r="C112" s="21" t="n"/>
      <c r="D112" s="21" t="n"/>
      <c r="E112" s="21" t="n"/>
      <c r="F112" s="21" t="n"/>
      <c r="G112" s="21" t="n"/>
      <c r="H112" s="21" t="n"/>
    </row>
    <row r="113">
      <c r="A113" s="22" t="inlineStr">
        <is>
          <t>location</t>
        </is>
      </c>
      <c r="B113" s="22" t="inlineStr">
        <is>
          <t>GLO</t>
        </is>
      </c>
      <c r="C113" s="21" t="n"/>
      <c r="D113" s="21" t="n"/>
      <c r="E113" s="21" t="n"/>
      <c r="F113" s="21" t="n"/>
      <c r="G113" s="21" t="n"/>
      <c r="H113" s="21" t="n"/>
    </row>
    <row r="114">
      <c r="A114" s="22" t="inlineStr">
        <is>
          <t>reference product</t>
        </is>
      </c>
      <c r="B114" s="22" t="inlineStr">
        <is>
          <t>steel, unalloyed</t>
        </is>
      </c>
      <c r="C114" s="21" t="n"/>
      <c r="D114" s="21" t="n"/>
      <c r="E114" s="21" t="n"/>
      <c r="F114" s="21" t="n"/>
      <c r="G114" s="21" t="n"/>
      <c r="H114" s="21" t="n"/>
    </row>
    <row r="115">
      <c r="A115" s="22" t="inlineStr">
        <is>
          <t>unit</t>
        </is>
      </c>
      <c r="B115" s="22" t="inlineStr">
        <is>
          <t>kilogram</t>
        </is>
      </c>
      <c r="C115" s="21" t="n"/>
      <c r="D115" s="21" t="n"/>
      <c r="E115" s="21" t="n"/>
      <c r="F115" s="21" t="n"/>
      <c r="G115" s="21" t="n"/>
      <c r="H115" s="21" t="n"/>
    </row>
    <row r="116">
      <c r="A116" s="22" t="inlineStr">
        <is>
          <t>comment</t>
        </is>
      </c>
      <c r="B116" s="22" t="inlineStr">
        <is>
          <t>This dataset, adapted by Harpprecht et al. (2025) from the ecoinvent 3.8 cutoff process *"steel production, converter, unalloyed"* (RER region), models unalloyed steel production using pig iron from a top gas recycling (TGR) blast furnace–basic oxygen furnace (BF-BOF) system. To align with this low-carbon upstream technology, the original inputs of scrap and conventional pig iron were removed and replaced with an equivalent amount of TGR-BF pig iron. The input of secondary metallurgy slag was also eliminated, with its quantity added to the standard slag input. These modifications allow for consistent integration of TGR-based ironmaking into prospective life cycle assessment of unalloyed steel production.
**Key reference for TGR-BF technology:**
* Quader, M. A., Ahmed, S., Dawal, S. Z., &amp; Nukman, Y. (2016). *Present needs, recent progress and future trends of energy-efficient Ultra-Low Carbon Dioxide (CO₂) Steelmaking (ULCOS) program*. *Renewable and Sustainable Energy Reviews*, 55, 537–549. [https://doi.org/10.1016/j.rser.2015.10.101](https://doi.org/10.1016/j.rser.2015.10.101)</t>
        </is>
      </c>
      <c r="C116" s="21" t="n"/>
      <c r="D116" s="21" t="n"/>
      <c r="E116" s="21" t="n"/>
      <c r="F116" s="21" t="n"/>
      <c r="G116" s="21" t="n"/>
      <c r="H116" s="21" t="n"/>
    </row>
    <row r="117">
      <c r="A117" s="22" t="inlineStr">
        <is>
          <t>source</t>
        </is>
      </c>
      <c r="B117" s="22" t="inlineStr">
        <is>
          <t>Harpprecht C., Sacchi R., Naegler T., et al. "Future environmental impacts of global iron and steel production". Energy Environ Sci. (2025). doi: 10.1039/D5EE01356A</t>
        </is>
      </c>
      <c r="C117" s="21" t="n"/>
      <c r="D117" s="21" t="n"/>
      <c r="E117" s="21" t="n"/>
      <c r="F117" s="21" t="n"/>
      <c r="G117" s="21" t="n"/>
      <c r="H117" s="21" t="n"/>
    </row>
    <row r="118" ht="16" customHeight="1">
      <c r="A118" s="19" t="inlineStr">
        <is>
          <t>Exchanges</t>
        </is>
      </c>
      <c r="B118" s="22" t="n"/>
      <c r="C118" s="21" t="n"/>
      <c r="D118" s="21" t="n"/>
      <c r="E118" s="21" t="n"/>
      <c r="F118" s="21" t="n"/>
      <c r="G118" s="21" t="n"/>
      <c r="H118" s="21" t="n"/>
    </row>
    <row r="119">
      <c r="A119" s="23" t="inlineStr">
        <is>
          <t>name</t>
        </is>
      </c>
      <c r="B119" s="23" t="inlineStr">
        <is>
          <t>amount</t>
        </is>
      </c>
      <c r="C119" s="23" t="inlineStr">
        <is>
          <t>database</t>
        </is>
      </c>
      <c r="D119" s="23" t="inlineStr">
        <is>
          <t>location</t>
        </is>
      </c>
      <c r="E119" s="23" t="inlineStr">
        <is>
          <t>unit</t>
        </is>
      </c>
      <c r="F119" s="23" t="inlineStr">
        <is>
          <t>categories</t>
        </is>
      </c>
      <c r="G119" s="23" t="inlineStr">
        <is>
          <t>type</t>
        </is>
      </c>
      <c r="H119" s="23" t="inlineStr">
        <is>
          <t>reference product</t>
        </is>
      </c>
      <c r="I119" s="23" t="inlineStr">
        <is>
          <t>comment</t>
        </is>
      </c>
      <c r="J119" s="20" t="inlineStr">
        <is>
          <t>uncertainty type</t>
        </is>
      </c>
      <c r="K119" s="20" t="inlineStr">
        <is>
          <t>pedigree</t>
        </is>
      </c>
      <c r="L119" s="20" t="inlineStr">
        <is>
          <t>loc</t>
        </is>
      </c>
      <c r="M119" s="20" t="inlineStr">
        <is>
          <t>scale</t>
        </is>
      </c>
      <c r="N119" s="20" t="inlineStr">
        <is>
          <t>formula</t>
        </is>
      </c>
      <c r="O119" s="20" t="inlineStr">
        <is>
          <t>replacement name</t>
        </is>
      </c>
      <c r="P119" s="20" t="inlineStr">
        <is>
          <t>replacement product</t>
        </is>
      </c>
      <c r="Q119" s="20" t="inlineStr">
        <is>
          <t>replacement location</t>
        </is>
      </c>
      <c r="R119" s="20" t="inlineStr">
        <is>
          <t>negative</t>
        </is>
      </c>
    </row>
    <row r="120">
      <c r="A120" s="24" t="inlineStr">
        <is>
          <t>steel production, blast furnace-basic oxygen furnace, with top gas recycling, with carbon capture and storage, unalloyed</t>
        </is>
      </c>
      <c r="B120" s="22" t="n">
        <v>1</v>
      </c>
      <c r="C120" s="22" t="inlineStr">
        <is>
          <t>steel_paper</t>
        </is>
      </c>
      <c r="D120" s="22" t="inlineStr">
        <is>
          <t>GLO</t>
        </is>
      </c>
      <c r="E120" s="22" t="inlineStr">
        <is>
          <t>kilogram</t>
        </is>
      </c>
      <c r="F120" s="22" t="n"/>
      <c r="G120" s="22" t="inlineStr">
        <is>
          <t>production</t>
        </is>
      </c>
      <c r="H120" s="22" t="inlineStr">
        <is>
          <t>steel, unalloyed</t>
        </is>
      </c>
    </row>
    <row r="121">
      <c r="A121" s="24" t="inlineStr">
        <is>
          <t>pig iron production, blast furnace, with top gas recycling, with carbon capture and storage</t>
        </is>
      </c>
      <c r="B121" s="22">
        <f>0.23211055+0.86462087</f>
        <v>1.09673142</v>
      </c>
      <c r="C121" s="22" t="inlineStr">
        <is>
          <t>steel_paper</t>
        </is>
      </c>
      <c r="D121" s="22" t="inlineStr">
        <is>
          <t>GLO</t>
        </is>
      </c>
      <c r="E121" s="22" t="inlineStr">
        <is>
          <t>kilogram</t>
        </is>
      </c>
      <c r="F121" s="22" t="n"/>
      <c r="G121" s="22" t="inlineStr">
        <is>
          <t>technosphere</t>
        </is>
      </c>
      <c r="H121" s="22" t="inlineStr">
        <is>
          <t>pig iron</t>
        </is>
      </c>
      <c r="I121" t="inlineStr">
        <is>
          <t xml:space="preserve">&gt; Modifications (2025): added this input. Value is the sum of the original ecoinvent values of scrap input (0.232 kg) and pig iron input (0.865 kg)
</t>
        </is>
      </c>
    </row>
    <row r="122">
      <c r="A122" t="inlineStr">
        <is>
          <t>market for basic oxygen furnace dust</t>
        </is>
      </c>
      <c r="B122" t="n">
        <v>0</v>
      </c>
      <c r="C122" t="inlineStr">
        <is>
          <t>cutoff391</t>
        </is>
      </c>
      <c r="D122" t="inlineStr">
        <is>
          <t>RER</t>
        </is>
      </c>
      <c r="E122" t="inlineStr">
        <is>
          <t>kilogram</t>
        </is>
      </c>
      <c r="G122" s="22" t="inlineStr">
        <is>
          <t>technosphere</t>
        </is>
      </c>
      <c r="H122" t="inlineStr">
        <is>
          <t>basic oxygen furnace dust</t>
        </is>
      </c>
      <c r="I122"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122" t="inlineStr">
        <is>
          <t>steel production, converter, unalloyed</t>
        </is>
      </c>
      <c r="P122" t="inlineStr">
        <is>
          <t>steel, unalloyed</t>
        </is>
      </c>
      <c r="Q122" t="inlineStr">
        <is>
          <t>RER</t>
        </is>
      </c>
    </row>
    <row r="123">
      <c r="A123" t="inlineStr">
        <is>
          <t>market for basic oxygen furnace slag</t>
        </is>
      </c>
      <c r="B123">
        <f>-0.1048976-0.0003008</f>
        <v>-0.1051984</v>
      </c>
      <c r="C123" t="inlineStr">
        <is>
          <t>cutoff391</t>
        </is>
      </c>
      <c r="D123" t="inlineStr">
        <is>
          <t>RER</t>
        </is>
      </c>
      <c r="E123" t="inlineStr">
        <is>
          <t>kilogram</t>
        </is>
      </c>
      <c r="G123" s="22" t="inlineStr">
        <is>
          <t>technosphere</t>
        </is>
      </c>
      <c r="H123" t="inlineStr">
        <is>
          <t>basic oxygen furnace slag</t>
        </is>
      </c>
      <c r="I123" t="inlineStr">
        <is>
          <t>&gt; Modifications (2025): added the value of the secondary metallurgy slag, which was set to zero
&gt; original was: -0.1048976 kg
&lt;Original ecoinvent 3.8 comment: &gt;
Amount reported by worldsteel (2010) and is representative of the average global situation in 2009. Also based on worldsteel (2010), an internal recovery (recycling) rate of 14% is assumed. Source: Worldsteel (2010). Steel industry by-products. World Steel Association: Brussels, Belgium.</t>
        </is>
      </c>
      <c r="J123" t="n">
        <v>2</v>
      </c>
      <c r="K123" t="inlineStr">
        <is>
          <t>(2, 3, 3, 2, 2, 1)</t>
        </is>
      </c>
      <c r="L123" t="n">
        <v>-2.25477064277392</v>
      </c>
      <c r="M123" t="n">
        <v>0.0665206734782503</v>
      </c>
      <c r="R123" t="b">
        <v>1</v>
      </c>
    </row>
    <row r="124">
      <c r="A124" t="inlineStr">
        <is>
          <t>market for basic oxygen furnace sludge</t>
        </is>
      </c>
      <c r="B124" t="n">
        <v>0</v>
      </c>
      <c r="C124" t="inlineStr">
        <is>
          <t>cutoff391</t>
        </is>
      </c>
      <c r="D124" t="inlineStr">
        <is>
          <t>RER</t>
        </is>
      </c>
      <c r="E124" t="inlineStr">
        <is>
          <t>kilogram</t>
        </is>
      </c>
      <c r="G124" s="22" t="inlineStr">
        <is>
          <t>technosphere</t>
        </is>
      </c>
      <c r="H124" t="inlineStr">
        <is>
          <t>basic oxygen furnace sludge</t>
        </is>
      </c>
      <c r="I124" t="inlineStr">
        <is>
          <t>Amount reported by worldsteel (2010) and is representative of the average global situation in 2009. Also based on worldsteel (2010), an internal recovery (recycling) rate of 22% is assumed. Source: Worldsteel (2010). Steel industry by-products. World Steel Association: Brussels, Belgium.</t>
        </is>
      </c>
      <c r="O124" t="inlineStr">
        <is>
          <t>steel production, converter, unalloyed</t>
        </is>
      </c>
      <c r="P124" t="inlineStr">
        <is>
          <t>steel, unalloyed</t>
        </is>
      </c>
      <c r="Q124" t="inlineStr">
        <is>
          <t>RER</t>
        </is>
      </c>
    </row>
    <row r="125">
      <c r="A125" t="inlineStr">
        <is>
          <t>market for blast oxygen furnace converter</t>
        </is>
      </c>
      <c r="B125" t="n">
        <v>0</v>
      </c>
      <c r="C125" t="inlineStr">
        <is>
          <t>cutoff391</t>
        </is>
      </c>
      <c r="D125" t="inlineStr">
        <is>
          <t>GLO</t>
        </is>
      </c>
      <c r="E125" t="inlineStr">
        <is>
          <t>unit</t>
        </is>
      </c>
      <c r="G125" s="22" t="inlineStr">
        <is>
          <t>technosphere</t>
        </is>
      </c>
      <c r="H125" t="inlineStr">
        <is>
          <t>blast oxygen furnace converter</t>
        </is>
      </c>
      <c r="I125" t="inlineStr">
        <is>
          <t>Source: Classen et al. (2009)</t>
        </is>
      </c>
      <c r="O125" t="inlineStr">
        <is>
          <t>steel production, converter, unalloyed</t>
        </is>
      </c>
      <c r="P125" t="inlineStr">
        <is>
          <t>steel, unalloyed</t>
        </is>
      </c>
      <c r="Q125" t="inlineStr">
        <is>
          <t>RER</t>
        </is>
      </c>
    </row>
    <row r="126">
      <c r="A126" t="inlineStr">
        <is>
          <t>market for coke</t>
        </is>
      </c>
      <c r="B126" t="n">
        <v>0</v>
      </c>
      <c r="C126" t="inlineStr">
        <is>
          <t>cutoff391</t>
        </is>
      </c>
      <c r="D126" t="inlineStr">
        <is>
          <t>GLO</t>
        </is>
      </c>
      <c r="E126" t="inlineStr">
        <is>
          <t>megajoule</t>
        </is>
      </c>
      <c r="G126" s="22" t="inlineStr">
        <is>
          <t>technosphere</t>
        </is>
      </c>
      <c r="H126" t="inlineStr">
        <is>
          <t>coke</t>
        </is>
      </c>
      <c r="I126" t="inlineStr">
        <is>
          <t>geometric mean of Remus et al. (2013) data range</t>
        </is>
      </c>
      <c r="O126" t="inlineStr">
        <is>
          <t>steel production, converter, unalloyed</t>
        </is>
      </c>
      <c r="P126" t="inlineStr">
        <is>
          <t>steel, unalloyed</t>
        </is>
      </c>
      <c r="Q126" t="inlineStr">
        <is>
          <t>RER</t>
        </is>
      </c>
    </row>
    <row r="127">
      <c r="A127" t="inlineStr">
        <is>
          <t>market for compressed air, 600 kPa gauge</t>
        </is>
      </c>
      <c r="B127" t="n">
        <v>0</v>
      </c>
      <c r="C127" t="inlineStr">
        <is>
          <t>cutoff391</t>
        </is>
      </c>
      <c r="D127" t="inlineStr">
        <is>
          <t>RER</t>
        </is>
      </c>
      <c r="E127" t="inlineStr">
        <is>
          <t>cubic meter</t>
        </is>
      </c>
      <c r="G127" s="22" t="inlineStr">
        <is>
          <t>technosphere</t>
        </is>
      </c>
      <c r="H127" t="inlineStr">
        <is>
          <t>compressed air, 600 kPa gauge</t>
        </is>
      </c>
      <c r="I127" t="inlineStr">
        <is>
          <t>geometric mean of Remus et al. (2013) data range</t>
        </is>
      </c>
      <c r="O127" t="inlineStr">
        <is>
          <t>steel production, converter, unalloyed</t>
        </is>
      </c>
      <c r="P127" t="inlineStr">
        <is>
          <t>steel, unalloyed</t>
        </is>
      </c>
      <c r="Q127" t="inlineStr">
        <is>
          <t>RER</t>
        </is>
      </c>
    </row>
    <row r="128">
      <c r="A128" t="inlineStr">
        <is>
          <t>market for dolomite</t>
        </is>
      </c>
      <c r="B128" t="n">
        <v>0</v>
      </c>
      <c r="C128" t="inlineStr">
        <is>
          <t>cutoff391</t>
        </is>
      </c>
      <c r="D128" t="inlineStr">
        <is>
          <t>RER</t>
        </is>
      </c>
      <c r="E128" t="inlineStr">
        <is>
          <t>kilogram</t>
        </is>
      </c>
      <c r="G128" s="22" t="inlineStr">
        <is>
          <t>technosphere</t>
        </is>
      </c>
      <c r="H128" t="inlineStr">
        <is>
          <t>dolomite</t>
        </is>
      </c>
      <c r="I128" t="inlineStr">
        <is>
          <t>geometric mean of Remus et al. (2013) data range</t>
        </is>
      </c>
      <c r="O128" t="inlineStr">
        <is>
          <t>steel production, converter, unalloyed</t>
        </is>
      </c>
      <c r="P128" t="inlineStr">
        <is>
          <t>steel, unalloyed</t>
        </is>
      </c>
      <c r="Q128" t="inlineStr">
        <is>
          <t>RER</t>
        </is>
      </c>
    </row>
    <row r="129">
      <c r="A129" t="inlineStr">
        <is>
          <t>market group for electricity, medium voltage</t>
        </is>
      </c>
      <c r="B129" t="n">
        <v>0</v>
      </c>
      <c r="C129" t="inlineStr">
        <is>
          <t>cutoff391</t>
        </is>
      </c>
      <c r="D129" t="inlineStr">
        <is>
          <t>RER</t>
        </is>
      </c>
      <c r="E129" t="inlineStr">
        <is>
          <t>kilowatt hour</t>
        </is>
      </c>
      <c r="G129" s="22" t="inlineStr">
        <is>
          <t>technosphere</t>
        </is>
      </c>
      <c r="H129" t="inlineStr">
        <is>
          <t>electricity, medium voltage</t>
        </is>
      </c>
      <c r="I129" t="inlineStr">
        <is>
          <t>geometric mean of Remus et al. (2013) data range</t>
        </is>
      </c>
      <c r="O129" t="inlineStr">
        <is>
          <t>steel production, converter, unalloyed</t>
        </is>
      </c>
      <c r="P129" t="inlineStr">
        <is>
          <t>steel, unalloyed</t>
        </is>
      </c>
      <c r="Q129" t="inlineStr">
        <is>
          <t>RER</t>
        </is>
      </c>
    </row>
    <row r="130">
      <c r="A130" t="inlineStr">
        <is>
          <t>market for ferromanganese, high-coal, 74.5% Mn</t>
        </is>
      </c>
      <c r="B130" t="n">
        <v>0</v>
      </c>
      <c r="C130" t="inlineStr">
        <is>
          <t>cutoff391</t>
        </is>
      </c>
      <c r="D130" t="inlineStr">
        <is>
          <t>GLO</t>
        </is>
      </c>
      <c r="E130" t="inlineStr">
        <is>
          <t>kilogram</t>
        </is>
      </c>
      <c r="G130" s="22" t="inlineStr">
        <is>
          <t>technosphere</t>
        </is>
      </c>
      <c r="H130" t="inlineStr">
        <is>
          <t>ferromanganese, high-coal, 74.5% Mn</t>
        </is>
      </c>
      <c r="I130" t="inlineStr">
        <is>
          <t>Source: Classen et al. (2009)</t>
        </is>
      </c>
      <c r="O130" t="inlineStr">
        <is>
          <t>steel production, converter, unalloyed</t>
        </is>
      </c>
      <c r="P130" t="inlineStr">
        <is>
          <t>steel, unalloyed</t>
        </is>
      </c>
      <c r="Q130" t="inlineStr">
        <is>
          <t>RER</t>
        </is>
      </c>
    </row>
    <row r="131">
      <c r="A131" t="inlineStr">
        <is>
          <t>market for inert waste, for final disposal</t>
        </is>
      </c>
      <c r="B131" t="n">
        <v>0</v>
      </c>
      <c r="C131" t="inlineStr">
        <is>
          <t>cutoff391</t>
        </is>
      </c>
      <c r="D131" t="inlineStr">
        <is>
          <t>CH</t>
        </is>
      </c>
      <c r="E131" t="inlineStr">
        <is>
          <t>kilogram</t>
        </is>
      </c>
      <c r="G131" s="22" t="inlineStr">
        <is>
          <t>technosphere</t>
        </is>
      </c>
      <c r="H131" t="inlineStr">
        <is>
          <t>inert waste, for final disposal</t>
        </is>
      </c>
      <c r="I131" t="inlineStr">
        <is>
          <t>Represents used refractories, etc.</t>
        </is>
      </c>
      <c r="O131" t="inlineStr">
        <is>
          <t>steel production, converter, unalloyed</t>
        </is>
      </c>
      <c r="P131" t="inlineStr">
        <is>
          <t>steel, unalloyed</t>
        </is>
      </c>
      <c r="Q131" t="inlineStr">
        <is>
          <t>RER</t>
        </is>
      </c>
    </row>
    <row r="132">
      <c r="A132" t="inlineStr">
        <is>
          <t>market for iron ore concentrate</t>
        </is>
      </c>
      <c r="B132" t="n">
        <v>0</v>
      </c>
      <c r="C132" t="inlineStr">
        <is>
          <t>cutoff391</t>
        </is>
      </c>
      <c r="D132" t="inlineStr">
        <is>
          <t>GLO</t>
        </is>
      </c>
      <c r="E132" t="inlineStr">
        <is>
          <t>kilogram</t>
        </is>
      </c>
      <c r="G132" s="22" t="inlineStr">
        <is>
          <t>technosphere</t>
        </is>
      </c>
      <c r="H132" t="inlineStr">
        <is>
          <t>iron ore concentrate</t>
        </is>
      </c>
      <c r="I132" t="inlineStr">
        <is>
          <t>geometric mean of Remus et al. (2013) data range</t>
        </is>
      </c>
      <c r="O132" t="inlineStr">
        <is>
          <t>steel production, converter, unalloyed</t>
        </is>
      </c>
      <c r="P132" t="inlineStr">
        <is>
          <t>steel, unalloyed</t>
        </is>
      </c>
      <c r="Q132" t="inlineStr">
        <is>
          <t>RER</t>
        </is>
      </c>
    </row>
    <row r="133">
      <c r="A133" t="inlineStr">
        <is>
          <t>market for mill scale</t>
        </is>
      </c>
      <c r="B133" t="n">
        <v>0</v>
      </c>
      <c r="C133" t="inlineStr">
        <is>
          <t>cutoff391</t>
        </is>
      </c>
      <c r="D133" t="inlineStr">
        <is>
          <t>RER</t>
        </is>
      </c>
      <c r="E133" t="inlineStr">
        <is>
          <t>kilogram</t>
        </is>
      </c>
      <c r="G133" s="22" t="inlineStr">
        <is>
          <t>technosphere</t>
        </is>
      </c>
      <c r="H133" t="inlineStr">
        <is>
          <t>mill scale</t>
        </is>
      </c>
      <c r="I133" t="inlineStr">
        <is>
          <t>Amount reported by worldsteel (2010) and is representative of the average global situation in 2009. Also based on worldsteel (2010), an internal recovery (recycling) rate of 89% is assumed. Source: Worldsteel (2010). Steel industry by-products. World Steel Association: Brussels, Belgium.</t>
        </is>
      </c>
      <c r="O133" t="inlineStr">
        <is>
          <t>steel production, converter, unalloyed</t>
        </is>
      </c>
      <c r="P133" t="inlineStr">
        <is>
          <t>steel, unalloyed</t>
        </is>
      </c>
      <c r="Q133" t="inlineStr">
        <is>
          <t>RER</t>
        </is>
      </c>
    </row>
    <row r="134">
      <c r="A134" t="inlineStr">
        <is>
          <t>market group for natural gas, high pressure</t>
        </is>
      </c>
      <c r="B134" t="n">
        <v>0</v>
      </c>
      <c r="C134" t="inlineStr">
        <is>
          <t>cutoff391</t>
        </is>
      </c>
      <c r="D134" t="inlineStr">
        <is>
          <t>Europe without Switzerland</t>
        </is>
      </c>
      <c r="E134" t="inlineStr">
        <is>
          <t>cubic meter</t>
        </is>
      </c>
      <c r="G134" s="22" t="inlineStr">
        <is>
          <t>technosphere</t>
        </is>
      </c>
      <c r="H134" t="inlineStr">
        <is>
          <t>natural gas, high pressure</t>
        </is>
      </c>
      <c r="I134" t="inlineStr">
        <is>
          <t>geometric mean of Remus et al. (2013) data range</t>
        </is>
      </c>
      <c r="O134" t="inlineStr">
        <is>
          <t>steel production, converter, unalloyed</t>
        </is>
      </c>
      <c r="P134" t="inlineStr">
        <is>
          <t>steel, unalloyed</t>
        </is>
      </c>
      <c r="Q134" t="inlineStr">
        <is>
          <t>RER</t>
        </is>
      </c>
    </row>
    <row r="135">
      <c r="A135" t="inlineStr">
        <is>
          <t>market for natural gas, high pressure</t>
        </is>
      </c>
      <c r="B135" t="n">
        <v>0</v>
      </c>
      <c r="C135" t="inlineStr">
        <is>
          <t>cutoff391</t>
        </is>
      </c>
      <c r="D135" t="inlineStr">
        <is>
          <t>CH</t>
        </is>
      </c>
      <c r="E135" t="inlineStr">
        <is>
          <t>cubic meter</t>
        </is>
      </c>
      <c r="G135" s="22" t="inlineStr">
        <is>
          <t>technosphere</t>
        </is>
      </c>
      <c r="H135" t="inlineStr">
        <is>
          <t>natural gas, high pressure</t>
        </is>
      </c>
      <c r="I135" t="inlineStr">
        <is>
          <t>geometric mean of Remus et al. (2013) data range</t>
        </is>
      </c>
      <c r="O135" t="inlineStr">
        <is>
          <t>steel production, converter, unalloyed</t>
        </is>
      </c>
      <c r="P135" t="inlineStr">
        <is>
          <t>steel, unalloyed</t>
        </is>
      </c>
      <c r="Q135" t="inlineStr">
        <is>
          <t>RER</t>
        </is>
      </c>
    </row>
    <row r="136">
      <c r="A136" t="inlineStr">
        <is>
          <t>market for oxygen, liquid</t>
        </is>
      </c>
      <c r="B136" t="n">
        <v>0</v>
      </c>
      <c r="C136" t="inlineStr">
        <is>
          <t>cutoff391</t>
        </is>
      </c>
      <c r="D136" t="inlineStr">
        <is>
          <t>RER</t>
        </is>
      </c>
      <c r="E136" t="inlineStr">
        <is>
          <t>kilogram</t>
        </is>
      </c>
      <c r="G136" s="22" t="inlineStr">
        <is>
          <t>technosphere</t>
        </is>
      </c>
      <c r="H136" t="inlineStr">
        <is>
          <t>oxygen, liquid</t>
        </is>
      </c>
      <c r="I136" t="inlineStr">
        <is>
          <t>geometric mean of Remus et al. (2013) data range</t>
        </is>
      </c>
      <c r="O136" t="inlineStr">
        <is>
          <t>steel production, converter, unalloyed</t>
        </is>
      </c>
      <c r="P136" t="inlineStr">
        <is>
          <t>steel, unalloyed</t>
        </is>
      </c>
      <c r="Q136" t="inlineStr">
        <is>
          <t>RER</t>
        </is>
      </c>
    </row>
    <row r="137">
      <c r="A137" t="inlineStr">
        <is>
          <t>market for quicklime, in pieces, loose</t>
        </is>
      </c>
      <c r="B137" t="n">
        <v>0</v>
      </c>
      <c r="C137" t="inlineStr">
        <is>
          <t>cutoff391</t>
        </is>
      </c>
      <c r="D137" t="inlineStr">
        <is>
          <t>CH</t>
        </is>
      </c>
      <c r="E137" t="inlineStr">
        <is>
          <t>kilogram</t>
        </is>
      </c>
      <c r="G137" s="22" t="inlineStr">
        <is>
          <t>technosphere</t>
        </is>
      </c>
      <c r="H137" t="inlineStr">
        <is>
          <t>quicklime, in pieces, loose</t>
        </is>
      </c>
      <c r="I137" t="inlineStr">
        <is>
          <t>geometric mean of Remus et al. (2013) data range</t>
        </is>
      </c>
      <c r="O137" t="inlineStr">
        <is>
          <t>steel production, converter, unalloyed</t>
        </is>
      </c>
      <c r="P137" t="inlineStr">
        <is>
          <t>steel, unalloyed</t>
        </is>
      </c>
      <c r="Q137" t="inlineStr">
        <is>
          <t>RER</t>
        </is>
      </c>
    </row>
    <row r="138">
      <c r="A138" t="inlineStr">
        <is>
          <t>market for wastewater from pig iron production</t>
        </is>
      </c>
      <c r="B138" t="n">
        <v>0</v>
      </c>
      <c r="C138" t="inlineStr">
        <is>
          <t>cutoff391</t>
        </is>
      </c>
      <c r="D138" t="inlineStr">
        <is>
          <t>Europe without Switzerland</t>
        </is>
      </c>
      <c r="E138" t="inlineStr">
        <is>
          <t>cubic meter</t>
        </is>
      </c>
      <c r="G138" s="22" t="inlineStr">
        <is>
          <t>technosphere</t>
        </is>
      </c>
      <c r="H138" t="inlineStr">
        <is>
          <t>wastewater from pig iron production</t>
        </is>
      </c>
      <c r="I138" t="inlineStr">
        <is>
          <t>geometric mean of Remus et al. (2013) data range</t>
        </is>
      </c>
      <c r="O138" t="inlineStr">
        <is>
          <t>steel production, converter, unalloyed</t>
        </is>
      </c>
      <c r="P138" t="inlineStr">
        <is>
          <t>steel, unalloyed</t>
        </is>
      </c>
      <c r="Q138" t="inlineStr">
        <is>
          <t>RER</t>
        </is>
      </c>
    </row>
    <row r="139">
      <c r="A139" t="inlineStr">
        <is>
          <t>market for wastewater from pig iron production</t>
        </is>
      </c>
      <c r="B139" t="n">
        <v>0</v>
      </c>
      <c r="C139" t="inlineStr">
        <is>
          <t>cutoff391</t>
        </is>
      </c>
      <c r="D139" t="inlineStr">
        <is>
          <t>CH</t>
        </is>
      </c>
      <c r="E139" t="inlineStr">
        <is>
          <t>cubic meter</t>
        </is>
      </c>
      <c r="G139" s="22" t="inlineStr">
        <is>
          <t>technosphere</t>
        </is>
      </c>
      <c r="H139" t="inlineStr">
        <is>
          <t>wastewater from pig iron production</t>
        </is>
      </c>
      <c r="I139" t="inlineStr">
        <is>
          <t>geometric mean of Remus et al. (2013) data range</t>
        </is>
      </c>
      <c r="O139" t="inlineStr">
        <is>
          <t>steel production, converter, unalloyed</t>
        </is>
      </c>
      <c r="P139" t="inlineStr">
        <is>
          <t>steel, unalloyed</t>
        </is>
      </c>
      <c r="Q139" t="inlineStr">
        <is>
          <t>RER</t>
        </is>
      </c>
    </row>
    <row r="140">
      <c r="A140" t="inlineStr">
        <is>
          <t>Carbon dioxide, fossil</t>
        </is>
      </c>
      <c r="B140" t="n">
        <v>0</v>
      </c>
      <c r="C140" t="inlineStr">
        <is>
          <t>biosphere3</t>
        </is>
      </c>
      <c r="E140" t="inlineStr">
        <is>
          <t>kilogram</t>
        </is>
      </c>
      <c r="F140" t="inlineStr">
        <is>
          <t>air</t>
        </is>
      </c>
      <c r="G140" s="22" t="inlineStr">
        <is>
          <t>biosphere</t>
        </is>
      </c>
      <c r="I140" t="inlineStr">
        <is>
          <t>geometric mean of Remus et al. (2013) data range</t>
        </is>
      </c>
      <c r="N140" t="inlineStr">
        <is>
          <t>CO2</t>
        </is>
      </c>
      <c r="O140" t="inlineStr">
        <is>
          <t>steel production, converter, unalloyed</t>
        </is>
      </c>
      <c r="P140" t="inlineStr">
        <is>
          <t>steel, unalloyed</t>
        </is>
      </c>
      <c r="Q140" t="inlineStr">
        <is>
          <t>RER</t>
        </is>
      </c>
    </row>
    <row r="141">
      <c r="A141" t="inlineStr">
        <is>
          <t>Carbon monoxide, fossil</t>
        </is>
      </c>
      <c r="B141" t="n">
        <v>0</v>
      </c>
      <c r="C141" t="inlineStr">
        <is>
          <t>biosphere3</t>
        </is>
      </c>
      <c r="E141" t="inlineStr">
        <is>
          <t>kilogram</t>
        </is>
      </c>
      <c r="F141" t="inlineStr">
        <is>
          <t>air</t>
        </is>
      </c>
      <c r="G141" s="22" t="inlineStr">
        <is>
          <t>biosphere</t>
        </is>
      </c>
      <c r="I141" t="inlineStr">
        <is>
          <t>geometric mean of Remus et al. (2013) data range</t>
        </is>
      </c>
      <c r="N141" t="inlineStr">
        <is>
          <t>CO</t>
        </is>
      </c>
      <c r="O141" t="inlineStr">
        <is>
          <t>steel production, converter, unalloyed</t>
        </is>
      </c>
      <c r="P141" t="inlineStr">
        <is>
          <t>steel, unalloyed</t>
        </is>
      </c>
      <c r="Q141" t="inlineStr">
        <is>
          <t>RER</t>
        </is>
      </c>
    </row>
    <row r="142">
      <c r="A142" t="inlineStr">
        <is>
          <t>Chromium</t>
        </is>
      </c>
      <c r="B142" t="n">
        <v>0</v>
      </c>
      <c r="C142" t="inlineStr">
        <is>
          <t>biosphere3</t>
        </is>
      </c>
      <c r="E142" t="inlineStr">
        <is>
          <t>kilogram</t>
        </is>
      </c>
      <c r="F142" t="inlineStr">
        <is>
          <t>air</t>
        </is>
      </c>
      <c r="G142" s="22" t="inlineStr">
        <is>
          <t>biosphere</t>
        </is>
      </c>
      <c r="I142" t="inlineStr">
        <is>
          <t>geometric mean of Remus et al. (2013) data range</t>
        </is>
      </c>
      <c r="N142" t="inlineStr">
        <is>
          <t>Cr</t>
        </is>
      </c>
      <c r="O142" t="inlineStr">
        <is>
          <t>steel production, converter, unalloyed</t>
        </is>
      </c>
      <c r="P142" t="inlineStr">
        <is>
          <t>steel, unalloyed</t>
        </is>
      </c>
      <c r="Q142" t="inlineStr">
        <is>
          <t>RER</t>
        </is>
      </c>
    </row>
    <row r="143">
      <c r="A143" t="inlineStr">
        <is>
          <t>Copper ion</t>
        </is>
      </c>
      <c r="B143" t="n">
        <v>0</v>
      </c>
      <c r="C143" t="inlineStr">
        <is>
          <t>biosphere3</t>
        </is>
      </c>
      <c r="E143" t="inlineStr">
        <is>
          <t>kilogram</t>
        </is>
      </c>
      <c r="F143" t="inlineStr">
        <is>
          <t>air</t>
        </is>
      </c>
      <c r="G143" s="22" t="inlineStr">
        <is>
          <t>biosphere</t>
        </is>
      </c>
      <c r="I143" t="inlineStr">
        <is>
          <t>geometric mean of Remus et al. (2013) data range</t>
        </is>
      </c>
      <c r="N143" t="inlineStr">
        <is>
          <t>Cu</t>
        </is>
      </c>
      <c r="O143" t="inlineStr">
        <is>
          <t>steel production, converter, unalloyed</t>
        </is>
      </c>
      <c r="P143" t="inlineStr">
        <is>
          <t>steel, unalloyed</t>
        </is>
      </c>
      <c r="Q143" t="inlineStr">
        <is>
          <t>RER</t>
        </is>
      </c>
    </row>
    <row r="144">
      <c r="A144" t="inlineStr">
        <is>
          <t>Dioxins, measured as 2,3,7,8-tetrachlorodibenzo-p-dioxin</t>
        </is>
      </c>
      <c r="B144" t="n">
        <v>0</v>
      </c>
      <c r="C144" t="inlineStr">
        <is>
          <t>biosphere3</t>
        </is>
      </c>
      <c r="E144" t="inlineStr">
        <is>
          <t>kilogram</t>
        </is>
      </c>
      <c r="F144" t="inlineStr">
        <is>
          <t>air</t>
        </is>
      </c>
      <c r="G144" s="22" t="inlineStr">
        <is>
          <t>biosphere</t>
        </is>
      </c>
      <c r="I144" t="inlineStr">
        <is>
          <t>geometric mean of Remus et al. (2013) data range</t>
        </is>
      </c>
      <c r="N144" t="inlineStr">
        <is>
          <t>C12H4Cl4O2</t>
        </is>
      </c>
      <c r="O144" t="inlineStr">
        <is>
          <t>steel production, converter, unalloyed</t>
        </is>
      </c>
      <c r="P144" t="inlineStr">
        <is>
          <t>steel, unalloyed</t>
        </is>
      </c>
      <c r="Q144" t="inlineStr">
        <is>
          <t>RER</t>
        </is>
      </c>
    </row>
    <row r="145">
      <c r="A145" t="inlineStr">
        <is>
          <t>Heat, waste</t>
        </is>
      </c>
      <c r="B145" t="n">
        <v>0</v>
      </c>
      <c r="C145" t="inlineStr">
        <is>
          <t>biosphere3</t>
        </is>
      </c>
      <c r="E145" t="inlineStr">
        <is>
          <t>megajoule</t>
        </is>
      </c>
      <c r="F145" t="inlineStr">
        <is>
          <t>air</t>
        </is>
      </c>
      <c r="G145" s="22" t="inlineStr">
        <is>
          <t>biosphere</t>
        </is>
      </c>
      <c r="I145" t="inlineStr">
        <is>
          <t>Calculated from energy balanced model</t>
        </is>
      </c>
      <c r="O145" t="inlineStr">
        <is>
          <t>steel production, converter, unalloyed</t>
        </is>
      </c>
      <c r="P145" t="inlineStr">
        <is>
          <t>steel, unalloyed</t>
        </is>
      </c>
      <c r="Q145" t="inlineStr">
        <is>
          <t>RER</t>
        </is>
      </c>
    </row>
    <row r="146">
      <c r="A146" t="inlineStr">
        <is>
          <t>Iron</t>
        </is>
      </c>
      <c r="B146" t="n">
        <v>0</v>
      </c>
      <c r="C146" t="inlineStr">
        <is>
          <t>biosphere3</t>
        </is>
      </c>
      <c r="E146" t="inlineStr">
        <is>
          <t>kilogram</t>
        </is>
      </c>
      <c r="F146" t="inlineStr">
        <is>
          <t>air</t>
        </is>
      </c>
      <c r="G146" s="22" t="inlineStr">
        <is>
          <t>biosphere</t>
        </is>
      </c>
      <c r="I146" t="inlineStr">
        <is>
          <t>geometric mean of Remus et al. (2013) data range</t>
        </is>
      </c>
      <c r="N146" t="inlineStr">
        <is>
          <t>Fe</t>
        </is>
      </c>
      <c r="O146" t="inlineStr">
        <is>
          <t>steel production, converter, unalloyed</t>
        </is>
      </c>
      <c r="P146" t="inlineStr">
        <is>
          <t>steel, unalloyed</t>
        </is>
      </c>
      <c r="Q146" t="inlineStr">
        <is>
          <t>RER</t>
        </is>
      </c>
    </row>
    <row r="147">
      <c r="A147" t="inlineStr">
        <is>
          <t>Lead</t>
        </is>
      </c>
      <c r="B147" t="n">
        <v>0</v>
      </c>
      <c r="C147" t="inlineStr">
        <is>
          <t>biosphere3</t>
        </is>
      </c>
      <c r="E147" t="inlineStr">
        <is>
          <t>kilogram</t>
        </is>
      </c>
      <c r="F147" t="inlineStr">
        <is>
          <t>air</t>
        </is>
      </c>
      <c r="G147" s="22" t="inlineStr">
        <is>
          <t>biosphere</t>
        </is>
      </c>
      <c r="I147" t="inlineStr">
        <is>
          <t>geometric mean of Remus et al. (2013) data range</t>
        </is>
      </c>
      <c r="N147" t="inlineStr">
        <is>
          <t>Pb</t>
        </is>
      </c>
      <c r="O147" t="inlineStr">
        <is>
          <t>steel production, converter, unalloyed</t>
        </is>
      </c>
      <c r="P147" t="inlineStr">
        <is>
          <t>steel, unalloyed</t>
        </is>
      </c>
      <c r="Q147" t="inlineStr">
        <is>
          <t>RER</t>
        </is>
      </c>
    </row>
    <row r="148">
      <c r="A148" t="inlineStr">
        <is>
          <t>Manganese</t>
        </is>
      </c>
      <c r="B148" t="n">
        <v>0</v>
      </c>
      <c r="C148" t="inlineStr">
        <is>
          <t>biosphere3</t>
        </is>
      </c>
      <c r="E148" t="inlineStr">
        <is>
          <t>kilogram</t>
        </is>
      </c>
      <c r="F148" t="inlineStr">
        <is>
          <t>air</t>
        </is>
      </c>
      <c r="G148" s="22" t="inlineStr">
        <is>
          <t>biosphere</t>
        </is>
      </c>
      <c r="I148" t="inlineStr">
        <is>
          <t>geometric mean of Remus et al. (2013) data range</t>
        </is>
      </c>
      <c r="N148" t="inlineStr">
        <is>
          <t>Mn</t>
        </is>
      </c>
      <c r="O148" t="inlineStr">
        <is>
          <t>steel production, converter, unalloyed</t>
        </is>
      </c>
      <c r="P148" t="inlineStr">
        <is>
          <t>steel, unalloyed</t>
        </is>
      </c>
      <c r="Q148" t="inlineStr">
        <is>
          <t>RER</t>
        </is>
      </c>
    </row>
    <row r="149">
      <c r="A149" t="inlineStr">
        <is>
          <t>Nitrogen oxides</t>
        </is>
      </c>
      <c r="B149" t="n">
        <v>0</v>
      </c>
      <c r="C149" t="inlineStr">
        <is>
          <t>biosphere3</t>
        </is>
      </c>
      <c r="E149" t="inlineStr">
        <is>
          <t>kilogram</t>
        </is>
      </c>
      <c r="F149" t="inlineStr">
        <is>
          <t>air</t>
        </is>
      </c>
      <c r="G149" s="22" t="inlineStr">
        <is>
          <t>biosphere</t>
        </is>
      </c>
      <c r="I149" t="inlineStr">
        <is>
          <t>geometric mean of Remus et al. (2013) data range</t>
        </is>
      </c>
      <c r="N149" t="inlineStr">
        <is>
          <t>H3NO</t>
        </is>
      </c>
      <c r="O149" t="inlineStr">
        <is>
          <t>steel production, converter, unalloyed</t>
        </is>
      </c>
      <c r="P149" t="inlineStr">
        <is>
          <t>steel, unalloyed</t>
        </is>
      </c>
      <c r="Q149" t="inlineStr">
        <is>
          <t>RER</t>
        </is>
      </c>
    </row>
    <row r="150">
      <c r="A150" t="inlineStr">
        <is>
          <t>PAH, polycyclic aromatic hydrocarbons</t>
        </is>
      </c>
      <c r="B150" t="n">
        <v>0</v>
      </c>
      <c r="C150" t="inlineStr">
        <is>
          <t>biosphere3</t>
        </is>
      </c>
      <c r="E150" t="inlineStr">
        <is>
          <t>kilogram</t>
        </is>
      </c>
      <c r="F150" t="inlineStr">
        <is>
          <t>air</t>
        </is>
      </c>
      <c r="G150" s="22" t="inlineStr">
        <is>
          <t>biosphere</t>
        </is>
      </c>
      <c r="I150" t="inlineStr">
        <is>
          <t>geometric mean of Remus et al. (2013) data range</t>
        </is>
      </c>
      <c r="O150" t="inlineStr">
        <is>
          <t>steel production, converter, unalloyed</t>
        </is>
      </c>
      <c r="P150" t="inlineStr">
        <is>
          <t>steel, unalloyed</t>
        </is>
      </c>
      <c r="Q150" t="inlineStr">
        <is>
          <t>RER</t>
        </is>
      </c>
    </row>
    <row r="151">
      <c r="A151" t="inlineStr">
        <is>
          <t>Particulates, &lt; 2.5 um</t>
        </is>
      </c>
      <c r="B151" t="n">
        <v>0</v>
      </c>
      <c r="C151" t="inlineStr">
        <is>
          <t>biosphere3</t>
        </is>
      </c>
      <c r="E151" t="inlineStr">
        <is>
          <t>kilogram</t>
        </is>
      </c>
      <c r="F151" t="inlineStr">
        <is>
          <t>air</t>
        </is>
      </c>
      <c r="G151" s="22" t="inlineStr">
        <is>
          <t>biosphere</t>
        </is>
      </c>
      <c r="I151" t="inlineStr">
        <is>
          <t>geometric mean of Remus et al. (2013) data range</t>
        </is>
      </c>
      <c r="O151" t="inlineStr">
        <is>
          <t>steel production, converter, unalloyed</t>
        </is>
      </c>
      <c r="P151" t="inlineStr">
        <is>
          <t>steel, unalloyed</t>
        </is>
      </c>
      <c r="Q151" t="inlineStr">
        <is>
          <t>RER</t>
        </is>
      </c>
    </row>
    <row r="152">
      <c r="A152" t="inlineStr">
        <is>
          <t>Water</t>
        </is>
      </c>
      <c r="B152" t="n">
        <v>0</v>
      </c>
      <c r="C152" t="inlineStr">
        <is>
          <t>biosphere3</t>
        </is>
      </c>
      <c r="E152" t="inlineStr">
        <is>
          <t>cubic meter</t>
        </is>
      </c>
      <c r="F152" t="inlineStr">
        <is>
          <t>air</t>
        </is>
      </c>
      <c r="G152" s="22" t="inlineStr">
        <is>
          <t>biosphere</t>
        </is>
      </c>
      <c r="I152" t="inlineStr">
        <is>
          <t>Source: Classen et al. (2009)</t>
        </is>
      </c>
      <c r="N152" t="inlineStr">
        <is>
          <t>H2O</t>
        </is>
      </c>
      <c r="O152" t="inlineStr">
        <is>
          <t>steel production, converter, unalloyed</t>
        </is>
      </c>
      <c r="P152" t="inlineStr">
        <is>
          <t>steel, unalloyed</t>
        </is>
      </c>
      <c r="Q152" t="inlineStr">
        <is>
          <t>RER</t>
        </is>
      </c>
    </row>
    <row r="153">
      <c r="A153" t="inlineStr">
        <is>
          <t>Water, cooling, unspecified natural origin</t>
        </is>
      </c>
      <c r="B153" t="n">
        <v>0</v>
      </c>
      <c r="C153" t="inlineStr">
        <is>
          <t>biosphere3</t>
        </is>
      </c>
      <c r="E153" t="inlineStr">
        <is>
          <t>cubic meter</t>
        </is>
      </c>
      <c r="F153" t="inlineStr">
        <is>
          <t>natural resource::in water</t>
        </is>
      </c>
      <c r="G153" s="22" t="inlineStr">
        <is>
          <t>biosphere</t>
        </is>
      </c>
      <c r="I153" t="inlineStr">
        <is>
          <t>geometric mean of Remus et al. (2013) data range</t>
        </is>
      </c>
      <c r="N153" t="inlineStr">
        <is>
          <t>H2O</t>
        </is>
      </c>
      <c r="O153" t="inlineStr">
        <is>
          <t>steel production, converter, unalloyed</t>
        </is>
      </c>
      <c r="P153" t="inlineStr">
        <is>
          <t>steel, unalloyed</t>
        </is>
      </c>
      <c r="Q153" t="inlineStr">
        <is>
          <t>RER</t>
        </is>
      </c>
    </row>
    <row r="154"/>
    <row r="155"/>
    <row r="156">
      <c r="A156" s="29" t="n"/>
    </row>
  </sheetData>
  <autoFilter ref="A1:Q48"/>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S122"/>
  <sheetViews>
    <sheetView zoomScale="125" zoomScaleNormal="70" workbookViewId="0">
      <selection activeCell="I115" sqref="I115:K120"/>
    </sheetView>
  </sheetViews>
  <sheetFormatPr baseColWidth="10" defaultColWidth="8.83203125" defaultRowHeight="15"/>
  <cols>
    <col width="39.6640625" customWidth="1" min="1" max="1"/>
    <col width="28.6640625" customWidth="1" min="2" max="2"/>
    <col width="10.33203125" customWidth="1" min="3" max="3"/>
    <col width="9" bestFit="1" customWidth="1" min="9" max="11"/>
    <col width="9" bestFit="1" customWidth="1" min="16" max="16"/>
    <col width="12.1640625" bestFit="1" customWidth="1" min="18" max="18"/>
    <col width="9" bestFit="1" customWidth="1" min="21" max="21"/>
  </cols>
  <sheetData>
    <row r="1" ht="16" customHeight="1">
      <c r="A1" s="19" t="inlineStr">
        <is>
          <t>Activity</t>
        </is>
      </c>
      <c r="B1" s="19" t="inlineStr">
        <is>
          <t>pig iron production, with natural gas-based direct reduction</t>
        </is>
      </c>
      <c r="C1" s="21" t="n"/>
      <c r="D1" s="21" t="n"/>
      <c r="E1" s="21" t="n"/>
      <c r="F1" s="21" t="n"/>
      <c r="G1" s="21" t="n"/>
      <c r="H1" s="21" t="n"/>
    </row>
    <row r="2">
      <c r="A2" s="22" t="inlineStr">
        <is>
          <t>production amount</t>
        </is>
      </c>
      <c r="B2" s="22" t="n">
        <v>1</v>
      </c>
      <c r="C2" s="21" t="n"/>
      <c r="D2" s="21" t="n"/>
      <c r="E2" s="21" t="n"/>
      <c r="F2" s="21" t="n"/>
      <c r="G2" s="21" t="n"/>
      <c r="H2" s="21" t="n"/>
    </row>
    <row r="3">
      <c r="A3" s="22" t="inlineStr">
        <is>
          <t>location</t>
        </is>
      </c>
      <c r="B3" s="22" t="inlineStr">
        <is>
          <t>GLO</t>
        </is>
      </c>
      <c r="C3" s="21" t="n"/>
      <c r="D3" s="21" t="n"/>
      <c r="E3" s="21" t="n"/>
      <c r="F3" s="21" t="n"/>
      <c r="G3" s="21" t="n"/>
      <c r="H3" s="21" t="n"/>
    </row>
    <row r="4">
      <c r="A4" s="22" t="inlineStr">
        <is>
          <t>reference product</t>
        </is>
      </c>
      <c r="B4" s="22" t="inlineStr">
        <is>
          <t xml:space="preserve">iron </t>
        </is>
      </c>
      <c r="C4" s="21" t="n"/>
      <c r="D4" s="21" t="n"/>
      <c r="E4" s="21" t="n"/>
      <c r="F4" s="21" t="n"/>
      <c r="G4" s="21" t="n"/>
      <c r="H4" s="21" t="n"/>
    </row>
    <row r="5">
      <c r="A5" s="22" t="inlineStr">
        <is>
          <t>unit</t>
        </is>
      </c>
      <c r="B5" s="22" t="inlineStr">
        <is>
          <t>kilogram</t>
        </is>
      </c>
      <c r="C5" s="21" t="n"/>
      <c r="D5" s="21" t="n"/>
      <c r="E5" s="21" t="n"/>
      <c r="F5" s="21" t="n"/>
      <c r="G5" s="21" t="n"/>
      <c r="H5" s="21" t="n"/>
    </row>
    <row r="6">
      <c r="A6" s="22" t="inlineStr">
        <is>
          <t>comment</t>
        </is>
      </c>
      <c r="B6" s="22" t="inlineStr">
        <is>
          <t>This dataset, adapted by Harpprecht et al. (2025), is based on the Midrex natural gas-based direct reduction iron (DRI) production process described by Nduagu et al. (2022), which models iron production in a shaft furnace using natural gas as the reductant. Compared to the original process by Shijie, Harpprecht et al. added particulate matter emissions and provided enhanced documentation through detailed comments. These modifications aim to improve the environmental completeness and transparency of the DRI modeling, making it more suitable for life cycle assessment applications.
**Reference**:
Nduagu, E. I., Yadav, D., Bhardwaj, N., Elango, S., Biswas, T., Banerjee, R., &amp; Rajagopalan, S. (2022). Comparative life cycle assessment of natural gas and coal-based directly reduced iron (DRI) production: A case study for India. *Journal of Cleaner Production*, 347, 131196. [https://doi.org/10.1016/j.jclepro.2022.131196](https://doi.org/10.1016/j.jclepro.2022.131196)</t>
        </is>
      </c>
      <c r="C6" s="21" t="n"/>
      <c r="D6" s="21" t="n"/>
      <c r="E6" s="21" t="n"/>
      <c r="F6" s="21" t="n"/>
      <c r="G6" s="21" t="n"/>
      <c r="H6" s="21" t="n"/>
    </row>
    <row r="7">
      <c r="A7" s="22" t="inlineStr">
        <is>
          <t>source</t>
        </is>
      </c>
      <c r="B7" s="22" t="inlineStr">
        <is>
          <t>Harpprecht C., Sacchi R., Naegler T., et al. "Future environmental impacts of global iron and steel production". Energy Environ Sci. (2025). doi: 10.1039/D5EE01356A. Adapted from: Nduagu, E. I., Yadav, D., Bhardwaj, N., Elango, S., Biswas, T., Banerjee, R., &amp; Rajagopalan, S. (2022). Comparative life cycle assessment of natural gas and coal-based directly reduced iron (DRI) production: A case study for India. Journal of Cleaner Production, 347, 131196. Retrieved from https://www.sciencedirect.com/science/article/pii/S0959652622008277. doi:https://doi.org/10.1016/j.jclepro.2022.131196</t>
        </is>
      </c>
      <c r="C7" s="21" t="n"/>
      <c r="D7" s="21" t="n"/>
      <c r="E7" s="21" t="n"/>
      <c r="F7" s="21" t="n"/>
      <c r="G7" s="21" t="n"/>
      <c r="H7" s="21" t="n"/>
    </row>
    <row r="8" ht="16" customHeight="1">
      <c r="A8" s="19" t="inlineStr">
        <is>
          <t>Exchanges</t>
        </is>
      </c>
      <c r="B8" s="22" t="n"/>
      <c r="C8" s="21" t="n"/>
      <c r="D8" s="21" t="n"/>
      <c r="E8" s="21" t="n"/>
      <c r="F8" s="21" t="n"/>
      <c r="G8" s="21" t="n"/>
      <c r="H8" s="21" t="n"/>
    </row>
    <row r="9">
      <c r="A9" s="23" t="inlineStr">
        <is>
          <t>name</t>
        </is>
      </c>
      <c r="B9" s="23" t="inlineStr">
        <is>
          <t>amount</t>
        </is>
      </c>
      <c r="C9" s="23" t="inlineStr">
        <is>
          <t>database</t>
        </is>
      </c>
      <c r="D9" s="23" t="inlineStr">
        <is>
          <t>location</t>
        </is>
      </c>
      <c r="E9" s="23" t="inlineStr">
        <is>
          <t>unit</t>
        </is>
      </c>
      <c r="F9" s="23" t="inlineStr">
        <is>
          <t>categories</t>
        </is>
      </c>
      <c r="G9" s="23" t="inlineStr">
        <is>
          <t>type</t>
        </is>
      </c>
      <c r="H9" s="23" t="inlineStr">
        <is>
          <t>reference product</t>
        </is>
      </c>
      <c r="I9" s="23" t="inlineStr">
        <is>
          <t>comment</t>
        </is>
      </c>
      <c r="J9" s="20" t="inlineStr">
        <is>
          <t>replacement name</t>
        </is>
      </c>
      <c r="K9" s="20" t="inlineStr">
        <is>
          <t>replacement product</t>
        </is>
      </c>
      <c r="L9" s="20" t="inlineStr">
        <is>
          <t>replacement location</t>
        </is>
      </c>
    </row>
    <row r="10">
      <c r="A10" s="24" t="inlineStr">
        <is>
          <t>pig iron production, with natural gas-based direct reduction</t>
        </is>
      </c>
      <c r="B10" s="22" t="n">
        <v>1</v>
      </c>
      <c r="C10" s="22" t="inlineStr">
        <is>
          <t>steel_paper</t>
        </is>
      </c>
      <c r="D10" s="22" t="inlineStr">
        <is>
          <t>GLO</t>
        </is>
      </c>
      <c r="E10" s="22" t="inlineStr">
        <is>
          <t>kilogram</t>
        </is>
      </c>
      <c r="F10" s="22" t="n"/>
      <c r="G10" s="22" t="inlineStr">
        <is>
          <t>production</t>
        </is>
      </c>
      <c r="H10" s="22" t="inlineStr">
        <is>
          <t xml:space="preserve">iron </t>
        </is>
      </c>
    </row>
    <row r="11">
      <c r="A11" s="24" t="inlineStr">
        <is>
          <t>market for blast furnace</t>
        </is>
      </c>
      <c r="B11" s="29" t="n">
        <v>0</v>
      </c>
      <c r="C11" s="24" t="inlineStr">
        <is>
          <t>cutoff391</t>
        </is>
      </c>
      <c r="D11" s="24" t="inlineStr">
        <is>
          <t>GLO</t>
        </is>
      </c>
      <c r="E11" s="22" t="inlineStr">
        <is>
          <t>unit</t>
        </is>
      </c>
      <c r="F11" s="22" t="n"/>
      <c r="G11" s="24" t="inlineStr">
        <is>
          <t>technosphere</t>
        </is>
      </c>
      <c r="H11" s="22" t="inlineStr">
        <is>
          <t>blast furnace</t>
        </is>
      </c>
      <c r="I11" s="24" t="inlineStr">
        <is>
          <t>&gt; original ecoinvent data: Extracted from ecoinvent processes of “sponge iron production /IN”</t>
        </is>
      </c>
      <c r="J11" s="22" t="inlineStr">
        <is>
          <t>sponge iron production</t>
        </is>
      </c>
      <c r="K11" s="22" t="inlineStr">
        <is>
          <t>sponge iron</t>
        </is>
      </c>
      <c r="L11" s="22" t="inlineStr">
        <is>
          <t>IN</t>
        </is>
      </c>
    </row>
    <row r="12">
      <c r="A12" s="12" t="inlineStr">
        <is>
          <t>market for blast furnace dust</t>
        </is>
      </c>
      <c r="B12" s="17" t="n">
        <v>-8.821799647128014e-05</v>
      </c>
      <c r="C12" s="24" t="inlineStr">
        <is>
          <t>cutoff391</t>
        </is>
      </c>
      <c r="D12" s="24" t="inlineStr">
        <is>
          <t>RoW</t>
        </is>
      </c>
      <c r="E12" s="24" t="inlineStr">
        <is>
          <t>kilogram</t>
        </is>
      </c>
      <c r="F12" s="24" t="n"/>
      <c r="G12" s="24" t="inlineStr">
        <is>
          <t>technosphere</t>
        </is>
      </c>
      <c r="H12" s="24" t="inlineStr">
        <is>
          <t>blast furnace dust</t>
        </is>
      </c>
      <c r="I12" s="24" t="inlineStr">
        <is>
          <t>&gt;assumption: same as for H2-DRI (Li et al. 2022)</t>
        </is>
      </c>
    </row>
    <row r="13">
      <c r="A13" s="12" t="inlineStr">
        <is>
          <t>market group for natural gas, high pressure</t>
        </is>
      </c>
      <c r="B13" s="18">
        <f>200*42/39/1000</f>
        <v>0.2153846153846154</v>
      </c>
      <c r="C13" s="24" t="inlineStr">
        <is>
          <t>cutoff391</t>
        </is>
      </c>
      <c r="D13" s="24" t="inlineStr">
        <is>
          <t>GLO</t>
        </is>
      </c>
      <c r="E13" s="24" t="inlineStr">
        <is>
          <t>cubic meter</t>
        </is>
      </c>
      <c r="F13" s="24" t="n"/>
      <c r="G13" s="24" t="inlineStr">
        <is>
          <t>technosphere</t>
        </is>
      </c>
      <c r="H13" s="24" t="inlineStr">
        <is>
          <t>natural gas, high pressure</t>
        </is>
      </c>
      <c r="I13" s="24" t="inlineStr">
        <is>
          <t>&gt; source Nduagu et al. 2022: Table 2: 200 kg NG/t DRI, or 265.4 Nm3/t-DRI &gt;assumption: We convert the mass of 200 kg NG/t DRI into m3, to account for the high pressure of NG in ecoinvent, using the following values: The LHV of natural gas is 42 MJ/kg, while the LHV of high pressure natural gas is 39 MJ/m3 (specified in ecoinvent process). https://world-nuclear.org/information-library/facts-and-figures/heat-values-of-various-fuels.aspx . (=8.4 MJ natural gas/kg DRI)</t>
        </is>
      </c>
    </row>
    <row r="14">
      <c r="A14" s="12" t="inlineStr">
        <is>
          <t>market for iron pellet</t>
        </is>
      </c>
      <c r="B14" s="18" t="n">
        <v>1.375</v>
      </c>
      <c r="C14" s="22" t="inlineStr">
        <is>
          <t>cutoff391</t>
        </is>
      </c>
      <c r="D14" s="22" t="inlineStr">
        <is>
          <t>GLO</t>
        </is>
      </c>
      <c r="E14" s="22" t="inlineStr">
        <is>
          <t>kilogram</t>
        </is>
      </c>
      <c r="F14" s="22" t="n"/>
      <c r="G14" s="22" t="inlineStr">
        <is>
          <t>technosphere</t>
        </is>
      </c>
      <c r="H14" s="22" t="inlineStr">
        <is>
          <t>iron pellet</t>
        </is>
      </c>
      <c r="I14" s="24" t="inlineStr">
        <is>
          <t>&gt;source: Nduagu et al. 2022, Table 2</t>
        </is>
      </c>
    </row>
    <row r="15">
      <c r="A15" s="12" t="inlineStr">
        <is>
          <t>market group for electricity, medium voltage</t>
        </is>
      </c>
      <c r="B15" s="18" t="n">
        <v>0.12</v>
      </c>
      <c r="C15" s="24" t="inlineStr">
        <is>
          <t>cutoff391</t>
        </is>
      </c>
      <c r="D15" s="24" t="inlineStr">
        <is>
          <t>GLO</t>
        </is>
      </c>
      <c r="E15" s="24" t="inlineStr">
        <is>
          <t>kilowatt hour</t>
        </is>
      </c>
      <c r="F15" s="24" t="n"/>
      <c r="G15" s="24" t="inlineStr">
        <is>
          <t>technosphere</t>
        </is>
      </c>
      <c r="H15" s="24" t="inlineStr">
        <is>
          <t>electricity, medium voltage</t>
        </is>
      </c>
      <c r="I15" s="24" t="inlineStr">
        <is>
          <t>&gt;source: Nduagu et al. 2022, Table 2 (=0.43 MJ)</t>
        </is>
      </c>
    </row>
    <row r="16">
      <c r="A16" s="12" t="inlineStr">
        <is>
          <t>Carbon dioxide, fossil</t>
        </is>
      </c>
      <c r="B16" s="18" t="n">
        <v>0.5071</v>
      </c>
      <c r="C16" s="24" t="inlineStr">
        <is>
          <t>biosphere3</t>
        </is>
      </c>
      <c r="D16" s="24" t="n"/>
      <c r="E16" s="24" t="inlineStr">
        <is>
          <t>kilogram</t>
        </is>
      </c>
      <c r="F16" s="24" t="inlineStr">
        <is>
          <t>air</t>
        </is>
      </c>
      <c r="G16" s="47" t="inlineStr">
        <is>
          <t>biosphere</t>
        </is>
      </c>
      <c r="H16" s="24" t="n"/>
      <c r="I16" s="24" t="inlineStr">
        <is>
          <t>&gt;source: Nduagu et al. 2022, Fig. 4 (process+combustion emissions), section 4.2: "direct plant GHG emissions are 507 kgCO2e/t-DRI"</t>
        </is>
      </c>
    </row>
    <row r="17">
      <c r="A17" s="12" t="inlineStr">
        <is>
          <t>Sulfur dioxide</t>
        </is>
      </c>
      <c r="B17" s="17" t="n">
        <v>3.6e-05</v>
      </c>
      <c r="C17" s="22" t="inlineStr">
        <is>
          <t>biosphere3</t>
        </is>
      </c>
      <c r="D17" s="22" t="n"/>
      <c r="E17" s="22" t="inlineStr">
        <is>
          <t>kilogram</t>
        </is>
      </c>
      <c r="F17" s="22" t="inlineStr">
        <is>
          <t>air</t>
        </is>
      </c>
      <c r="G17" s="22" t="inlineStr">
        <is>
          <t>biosphere</t>
        </is>
      </c>
      <c r="I17" s="24" t="inlineStr">
        <is>
          <t>&gt;source: Nduagu et al. 2022, Table S45</t>
        </is>
      </c>
      <c r="J17" s="48" t="n"/>
    </row>
    <row r="18">
      <c r="A18" s="12" t="inlineStr">
        <is>
          <t>Nitrogen oxides</t>
        </is>
      </c>
      <c r="B18" s="17" t="n">
        <v>0.000175</v>
      </c>
      <c r="C18" s="24" t="inlineStr">
        <is>
          <t>biosphere3</t>
        </is>
      </c>
      <c r="D18" s="24" t="n"/>
      <c r="E18" s="24" t="inlineStr">
        <is>
          <t>kilogram</t>
        </is>
      </c>
      <c r="F18" s="24" t="inlineStr">
        <is>
          <t>air</t>
        </is>
      </c>
      <c r="G18" s="24" t="inlineStr">
        <is>
          <t>biosphere</t>
        </is>
      </c>
      <c r="I18" s="24" t="inlineStr">
        <is>
          <t>&gt;source: Nduagu et al. 2022, Table S45</t>
        </is>
      </c>
    </row>
    <row r="19">
      <c r="A19" s="24" t="inlineStr">
        <is>
          <t>Particulates, &gt; 2.5 um, and &lt; 10um</t>
        </is>
      </c>
      <c r="B19" s="49" t="n">
        <v>2.9e-05</v>
      </c>
      <c r="C19" s="24" t="inlineStr">
        <is>
          <t>biosphere3</t>
        </is>
      </c>
      <c r="D19" s="24" t="n"/>
      <c r="E19" s="24" t="inlineStr">
        <is>
          <t>kilogram</t>
        </is>
      </c>
      <c r="F19" s="24" t="inlineStr">
        <is>
          <t>air</t>
        </is>
      </c>
      <c r="G19" s="24" t="inlineStr">
        <is>
          <t>biosphere</t>
        </is>
      </c>
      <c r="I19" s="24" t="inlineStr">
        <is>
          <t>&gt;source: Nduagu et al. 2022, Table S45</t>
        </is>
      </c>
    </row>
    <row r="20">
      <c r="A20" s="24" t="n"/>
      <c r="B20" s="24" t="n"/>
      <c r="C20" s="24" t="n"/>
      <c r="D20" s="24" t="n"/>
      <c r="E20" s="24" t="n"/>
      <c r="F20" s="24" t="n"/>
      <c r="G20" s="24" t="n"/>
    </row>
    <row r="21"/>
    <row r="22" ht="16" customHeight="1">
      <c r="A22" s="50" t="inlineStr">
        <is>
          <t>Activity</t>
        </is>
      </c>
      <c r="B22" s="33" t="inlineStr">
        <is>
          <t>steel production, natural gas-based direct reduction iron-electric arc furnace, low-alloyed</t>
        </is>
      </c>
    </row>
    <row r="23">
      <c r="A23" t="inlineStr">
        <is>
          <t>comment</t>
        </is>
      </c>
      <c r="B23" s="25" t="inlineStr">
        <is>
          <t>This dataset, modified by Harpprecht et al. (2025) from ecoinvent 3.8, models the production of low-alloyed steel via the NG-DRI-EAF route, using sponge iron from natural gas-based direct reduction instead of scrap. The original ecoinvent process ("steel production, electric, low-alloyed", Europe without Switzerland and Austria) was adapted by scaling all flows to reflect the 1.06 kg sponge iron input required per kg steel (Bhaskar et al., 2020), replacing inputs of scrap, and switching regional technosphere inputs to global equivalents. Key changes include adjusting slag flows, aggregating electricity and natural gas inputs via market groups, and adding alloying elements (FeMn, FeNi, molybdenite) that would otherwise be contained in scrap. These modifications ensure consistency with the NG-DRI-EAF pathway and reflect virgin-based steelmaking conditions.
**Reference**:
Bhaskar, A., Assadi, M., &amp; Nikpey Somehsaraei, H. (2020). Decarbonization of the iron and steel industry with direct reduction of iron ore with hydrogen: A techno-economic and environmental study. *Sustainable Energy &amp; Fuels*, 4(5), 2288–2301. [https://doi.org/10.1039/C9SE01201B](https://doi.org/10.1039/C9SE01201B)
Harpprecht, C. et al. (2025).</t>
        </is>
      </c>
    </row>
    <row r="24">
      <c r="A24" s="22" t="inlineStr">
        <is>
          <t>source</t>
        </is>
      </c>
      <c r="B24" s="22" t="inlineStr">
        <is>
          <t>Harpprecht C., Sacchi R., Naegler T., et al. "Future environmental impacts of global iron and steel production". Energy Environ Sci. (2025). doi: 10.1039/D5EE01356A</t>
        </is>
      </c>
      <c r="C24" s="21" t="n"/>
      <c r="D24" s="21" t="n"/>
      <c r="E24" s="21" t="n"/>
      <c r="F24" s="21" t="n"/>
      <c r="G24" s="21" t="n"/>
      <c r="H24" s="21" t="n"/>
    </row>
    <row r="25">
      <c r="A25" t="inlineStr">
        <is>
          <t>location</t>
        </is>
      </c>
      <c r="B25" t="inlineStr">
        <is>
          <t>GLO</t>
        </is>
      </c>
    </row>
    <row r="26">
      <c r="A26" t="inlineStr">
        <is>
          <t>production amount</t>
        </is>
      </c>
      <c r="B26" t="n">
        <v>1</v>
      </c>
    </row>
    <row r="27">
      <c r="A27" t="inlineStr">
        <is>
          <t>reference product</t>
        </is>
      </c>
      <c r="B27" t="inlineStr">
        <is>
          <t>steel, low-alloyed</t>
        </is>
      </c>
    </row>
    <row r="28">
      <c r="A28" t="inlineStr">
        <is>
          <t>unit</t>
        </is>
      </c>
      <c r="B28" t="inlineStr">
        <is>
          <t>kilogram</t>
        </is>
      </c>
    </row>
    <row r="29" ht="16" customHeight="1">
      <c r="A29" s="50" t="inlineStr">
        <is>
          <t>Exchanges</t>
        </is>
      </c>
    </row>
    <row r="30">
      <c r="A30" s="20" t="inlineStr">
        <is>
          <t>name</t>
        </is>
      </c>
      <c r="B30" s="20" t="inlineStr">
        <is>
          <t>amount</t>
        </is>
      </c>
      <c r="C30" s="20" t="inlineStr">
        <is>
          <t>database</t>
        </is>
      </c>
      <c r="D30" s="20" t="inlineStr">
        <is>
          <t>location</t>
        </is>
      </c>
      <c r="E30" s="20" t="inlineStr">
        <is>
          <t>unit</t>
        </is>
      </c>
      <c r="F30" s="20" t="inlineStr">
        <is>
          <t>categories</t>
        </is>
      </c>
      <c r="G30" s="20" t="inlineStr">
        <is>
          <t>type</t>
        </is>
      </c>
      <c r="H30" s="20" t="inlineStr">
        <is>
          <t>formula</t>
        </is>
      </c>
      <c r="I30" s="20" t="inlineStr">
        <is>
          <t>uncertainty type</t>
        </is>
      </c>
      <c r="J30" s="20" t="inlineStr">
        <is>
          <t>loc</t>
        </is>
      </c>
      <c r="K30" s="20" t="inlineStr">
        <is>
          <t>scale</t>
        </is>
      </c>
      <c r="L30" s="20" t="inlineStr">
        <is>
          <t>comment</t>
        </is>
      </c>
      <c r="M30" s="20" t="inlineStr">
        <is>
          <t>pedigree</t>
        </is>
      </c>
      <c r="N30" s="20" t="inlineStr">
        <is>
          <t>production volume</t>
        </is>
      </c>
      <c r="O30" s="20" t="inlineStr">
        <is>
          <t>reference product</t>
        </is>
      </c>
      <c r="P30" s="20" t="inlineStr">
        <is>
          <t>replacement name</t>
        </is>
      </c>
      <c r="Q30" s="20" t="inlineStr">
        <is>
          <t>replacement product</t>
        </is>
      </c>
      <c r="R30" s="20" t="inlineStr">
        <is>
          <t>replacement location</t>
        </is>
      </c>
      <c r="S30" s="20" t="inlineStr">
        <is>
          <t>negative</t>
        </is>
      </c>
    </row>
    <row r="31">
      <c r="A31" t="inlineStr">
        <is>
          <t>Benzene</t>
        </is>
      </c>
      <c r="B31" t="n">
        <v>0</v>
      </c>
      <c r="C31" t="inlineStr">
        <is>
          <t>biosphere3</t>
        </is>
      </c>
      <c r="E31" t="inlineStr">
        <is>
          <t>kilogram</t>
        </is>
      </c>
      <c r="F31" t="inlineStr">
        <is>
          <t>air</t>
        </is>
      </c>
      <c r="G31" t="inlineStr">
        <is>
          <t>biosphere</t>
        </is>
      </c>
      <c r="N31" t="n">
        <v>0</v>
      </c>
      <c r="P31" t="inlineStr">
        <is>
          <t>steel production, electric, low-alloyed</t>
        </is>
      </c>
      <c r="Q31" t="inlineStr">
        <is>
          <t>steel, low-alloyed</t>
        </is>
      </c>
      <c r="R31" t="inlineStr">
        <is>
          <t>Europe without Switzerland and Austria</t>
        </is>
      </c>
    </row>
    <row r="32">
      <c r="A32" t="inlineStr">
        <is>
          <t>Benzene, hexachloro-</t>
        </is>
      </c>
      <c r="B32" t="n">
        <v>0</v>
      </c>
      <c r="C32" t="inlineStr">
        <is>
          <t>biosphere3</t>
        </is>
      </c>
      <c r="E32" t="inlineStr">
        <is>
          <t>kilogram</t>
        </is>
      </c>
      <c r="F32" t="inlineStr">
        <is>
          <t>air</t>
        </is>
      </c>
      <c r="G32" t="inlineStr">
        <is>
          <t>biosphere</t>
        </is>
      </c>
      <c r="N32" t="n">
        <v>0</v>
      </c>
      <c r="P32" t="inlineStr">
        <is>
          <t>steel production, electric, low-alloyed</t>
        </is>
      </c>
      <c r="Q32" t="inlineStr">
        <is>
          <t>steel, low-alloyed</t>
        </is>
      </c>
      <c r="R32" t="inlineStr">
        <is>
          <t>Europe without Switzerland and Austria</t>
        </is>
      </c>
    </row>
    <row r="33">
      <c r="A33" t="inlineStr">
        <is>
          <t>Cadmium</t>
        </is>
      </c>
      <c r="B33" t="n">
        <v>0</v>
      </c>
      <c r="C33" t="inlineStr">
        <is>
          <t>biosphere3</t>
        </is>
      </c>
      <c r="E33" t="inlineStr">
        <is>
          <t>kilogram</t>
        </is>
      </c>
      <c r="F33" t="inlineStr">
        <is>
          <t>air</t>
        </is>
      </c>
      <c r="G33" t="inlineStr">
        <is>
          <t>biosphere</t>
        </is>
      </c>
      <c r="N33" t="n">
        <v>0</v>
      </c>
      <c r="P33" t="inlineStr">
        <is>
          <t>steel production, electric, low-alloyed</t>
        </is>
      </c>
      <c r="Q33" t="inlineStr">
        <is>
          <t>steel, low-alloyed</t>
        </is>
      </c>
      <c r="R33" t="inlineStr">
        <is>
          <t>Europe without Switzerland and Austria</t>
        </is>
      </c>
    </row>
    <row r="34">
      <c r="A34" t="inlineStr">
        <is>
          <t>Carbon dioxide, fossil</t>
        </is>
      </c>
      <c r="B34" t="n">
        <v>0</v>
      </c>
      <c r="C34" t="inlineStr">
        <is>
          <t>biosphere3</t>
        </is>
      </c>
      <c r="E34" t="inlineStr">
        <is>
          <t>kilogram</t>
        </is>
      </c>
      <c r="F34" t="inlineStr">
        <is>
          <t>air</t>
        </is>
      </c>
      <c r="G34" t="inlineStr">
        <is>
          <t>biosphere</t>
        </is>
      </c>
      <c r="N34" t="n">
        <v>0</v>
      </c>
      <c r="P34" t="inlineStr">
        <is>
          <t>steel production, electric, low-alloyed</t>
        </is>
      </c>
      <c r="Q34" t="inlineStr">
        <is>
          <t>steel, low-alloyed</t>
        </is>
      </c>
      <c r="R34" t="inlineStr">
        <is>
          <t>Europe without Switzerland and Austria</t>
        </is>
      </c>
    </row>
    <row r="35">
      <c r="A35" t="inlineStr">
        <is>
          <t>Carbon monoxide, fossil</t>
        </is>
      </c>
      <c r="B35" t="n">
        <v>0</v>
      </c>
      <c r="C35" t="inlineStr">
        <is>
          <t>biosphere3</t>
        </is>
      </c>
      <c r="E35" t="inlineStr">
        <is>
          <t>kilogram</t>
        </is>
      </c>
      <c r="F35" t="inlineStr">
        <is>
          <t>air</t>
        </is>
      </c>
      <c r="G35" t="inlineStr">
        <is>
          <t>biosphere</t>
        </is>
      </c>
      <c r="N35" t="n">
        <v>0</v>
      </c>
      <c r="P35" t="inlineStr">
        <is>
          <t>steel production, electric, low-alloyed</t>
        </is>
      </c>
      <c r="Q35" t="inlineStr">
        <is>
          <t>steel, low-alloyed</t>
        </is>
      </c>
      <c r="R35" t="inlineStr">
        <is>
          <t>Europe without Switzerland and Austria</t>
        </is>
      </c>
    </row>
    <row r="36">
      <c r="A36" t="inlineStr">
        <is>
          <t>Chromium</t>
        </is>
      </c>
      <c r="B36" t="n">
        <v>0</v>
      </c>
      <c r="C36" t="inlineStr">
        <is>
          <t>biosphere3</t>
        </is>
      </c>
      <c r="E36" t="inlineStr">
        <is>
          <t>kilogram</t>
        </is>
      </c>
      <c r="F36" t="inlineStr">
        <is>
          <t>air</t>
        </is>
      </c>
      <c r="G36" t="inlineStr">
        <is>
          <t>biosphere</t>
        </is>
      </c>
      <c r="N36" t="n">
        <v>0</v>
      </c>
      <c r="P36" t="inlineStr">
        <is>
          <t>steel production, electric, low-alloyed</t>
        </is>
      </c>
      <c r="Q36" t="inlineStr">
        <is>
          <t>steel, low-alloyed</t>
        </is>
      </c>
      <c r="R36" t="inlineStr">
        <is>
          <t>Europe without Switzerland and Austria</t>
        </is>
      </c>
    </row>
    <row r="37">
      <c r="A37" t="inlineStr">
        <is>
          <t>Copper ion</t>
        </is>
      </c>
      <c r="B37" t="n">
        <v>0</v>
      </c>
      <c r="C37" t="inlineStr">
        <is>
          <t>biosphere3</t>
        </is>
      </c>
      <c r="E37" t="inlineStr">
        <is>
          <t>kilogram</t>
        </is>
      </c>
      <c r="F37" t="inlineStr">
        <is>
          <t>air</t>
        </is>
      </c>
      <c r="G37" t="inlineStr">
        <is>
          <t>biosphere</t>
        </is>
      </c>
      <c r="N37" t="n">
        <v>0</v>
      </c>
      <c r="P37" t="inlineStr">
        <is>
          <t>steel production, electric, low-alloyed</t>
        </is>
      </c>
      <c r="Q37" t="inlineStr">
        <is>
          <t>steel, low-alloyed</t>
        </is>
      </c>
      <c r="R37" t="inlineStr">
        <is>
          <t>Europe without Switzerland and Austria</t>
        </is>
      </c>
    </row>
    <row r="38">
      <c r="A38" t="inlineStr">
        <is>
          <t>Dioxins, measured as 2,3,7,8-tetrachlorodibenzo-p-dioxin</t>
        </is>
      </c>
      <c r="B38" t="n">
        <v>0</v>
      </c>
      <c r="C38" t="inlineStr">
        <is>
          <t>biosphere3</t>
        </is>
      </c>
      <c r="E38" t="inlineStr">
        <is>
          <t>kilogram</t>
        </is>
      </c>
      <c r="F38" t="inlineStr">
        <is>
          <t>air</t>
        </is>
      </c>
      <c r="G38" t="inlineStr">
        <is>
          <t>biosphere</t>
        </is>
      </c>
      <c r="N38" t="n">
        <v>0</v>
      </c>
      <c r="P38" t="inlineStr">
        <is>
          <t>steel production, electric, low-alloyed</t>
        </is>
      </c>
      <c r="Q38" t="inlineStr">
        <is>
          <t>steel, low-alloyed</t>
        </is>
      </c>
      <c r="R38" t="inlineStr">
        <is>
          <t>Europe without Switzerland and Austria</t>
        </is>
      </c>
    </row>
    <row r="39">
      <c r="A39" t="inlineStr">
        <is>
          <t>Hydrocarbons, aromatic</t>
        </is>
      </c>
      <c r="B39" t="n">
        <v>0</v>
      </c>
      <c r="C39" t="inlineStr">
        <is>
          <t>biosphere3</t>
        </is>
      </c>
      <c r="E39" t="inlineStr">
        <is>
          <t>kilogram</t>
        </is>
      </c>
      <c r="F39" t="inlineStr">
        <is>
          <t>air</t>
        </is>
      </c>
      <c r="G39" t="inlineStr">
        <is>
          <t>biosphere</t>
        </is>
      </c>
      <c r="N39" t="n">
        <v>0</v>
      </c>
      <c r="P39" t="inlineStr">
        <is>
          <t>steel production, electric, low-alloyed</t>
        </is>
      </c>
      <c r="Q39" t="inlineStr">
        <is>
          <t>steel, low-alloyed</t>
        </is>
      </c>
      <c r="R39" t="inlineStr">
        <is>
          <t>Europe without Switzerland and Austria</t>
        </is>
      </c>
    </row>
    <row r="40">
      <c r="A40" t="inlineStr">
        <is>
          <t>Hydrogen chloride</t>
        </is>
      </c>
      <c r="B40" t="n">
        <v>0</v>
      </c>
      <c r="C40" t="inlineStr">
        <is>
          <t>biosphere3</t>
        </is>
      </c>
      <c r="E40" t="inlineStr">
        <is>
          <t>kilogram</t>
        </is>
      </c>
      <c r="F40" t="inlineStr">
        <is>
          <t>air</t>
        </is>
      </c>
      <c r="G40" t="inlineStr">
        <is>
          <t>biosphere</t>
        </is>
      </c>
      <c r="N40" t="n">
        <v>0</v>
      </c>
      <c r="P40" t="inlineStr">
        <is>
          <t>steel production, electric, low-alloyed</t>
        </is>
      </c>
      <c r="Q40" t="inlineStr">
        <is>
          <t>steel, low-alloyed</t>
        </is>
      </c>
      <c r="R40" t="inlineStr">
        <is>
          <t>Europe without Switzerland and Austria</t>
        </is>
      </c>
    </row>
    <row r="41">
      <c r="A41" t="inlineStr">
        <is>
          <t>Hydrogen fluoride</t>
        </is>
      </c>
      <c r="B41" t="n">
        <v>0</v>
      </c>
      <c r="C41" t="inlineStr">
        <is>
          <t>biosphere3</t>
        </is>
      </c>
      <c r="E41" t="inlineStr">
        <is>
          <t>kilogram</t>
        </is>
      </c>
      <c r="F41" t="inlineStr">
        <is>
          <t>air</t>
        </is>
      </c>
      <c r="G41" t="inlineStr">
        <is>
          <t>biosphere</t>
        </is>
      </c>
      <c r="N41" t="n">
        <v>0</v>
      </c>
      <c r="P41" t="inlineStr">
        <is>
          <t>steel production, electric, low-alloyed</t>
        </is>
      </c>
      <c r="Q41" t="inlineStr">
        <is>
          <t>steel, low-alloyed</t>
        </is>
      </c>
      <c r="R41" t="inlineStr">
        <is>
          <t>Europe without Switzerland and Austria</t>
        </is>
      </c>
    </row>
    <row r="42">
      <c r="A42" t="inlineStr">
        <is>
          <t>Lead</t>
        </is>
      </c>
      <c r="B42" t="n">
        <v>0</v>
      </c>
      <c r="C42" t="inlineStr">
        <is>
          <t>biosphere3</t>
        </is>
      </c>
      <c r="E42" t="inlineStr">
        <is>
          <t>kilogram</t>
        </is>
      </c>
      <c r="F42" t="inlineStr">
        <is>
          <t>air</t>
        </is>
      </c>
      <c r="G42" t="inlineStr">
        <is>
          <t>biosphere</t>
        </is>
      </c>
      <c r="N42" t="n">
        <v>0</v>
      </c>
      <c r="P42" t="inlineStr">
        <is>
          <t>steel production, electric, low-alloyed</t>
        </is>
      </c>
      <c r="Q42" t="inlineStr">
        <is>
          <t>steel, low-alloyed</t>
        </is>
      </c>
      <c r="R42" t="inlineStr">
        <is>
          <t>Europe without Switzerland and Austria</t>
        </is>
      </c>
    </row>
    <row r="43">
      <c r="A43" t="inlineStr">
        <is>
          <t>Mercury</t>
        </is>
      </c>
      <c r="B43" t="n">
        <v>0</v>
      </c>
      <c r="C43" t="inlineStr">
        <is>
          <t>biosphere3</t>
        </is>
      </c>
      <c r="E43" t="inlineStr">
        <is>
          <t>kilogram</t>
        </is>
      </c>
      <c r="F43" t="inlineStr">
        <is>
          <t>air</t>
        </is>
      </c>
      <c r="G43" t="inlineStr">
        <is>
          <t>biosphere</t>
        </is>
      </c>
      <c r="N43" t="n">
        <v>0</v>
      </c>
      <c r="P43" t="inlineStr">
        <is>
          <t>steel production, electric, low-alloyed</t>
        </is>
      </c>
      <c r="Q43" t="inlineStr">
        <is>
          <t>steel, low-alloyed</t>
        </is>
      </c>
      <c r="R43" t="inlineStr">
        <is>
          <t>Europe without Switzerland and Austria</t>
        </is>
      </c>
    </row>
    <row r="44">
      <c r="A44" t="inlineStr">
        <is>
          <t>Nickel</t>
        </is>
      </c>
      <c r="B44" t="n">
        <v>0</v>
      </c>
      <c r="C44" t="inlineStr">
        <is>
          <t>biosphere3</t>
        </is>
      </c>
      <c r="E44" t="inlineStr">
        <is>
          <t>kilogram</t>
        </is>
      </c>
      <c r="F44" t="inlineStr">
        <is>
          <t>air</t>
        </is>
      </c>
      <c r="G44" t="inlineStr">
        <is>
          <t>biosphere</t>
        </is>
      </c>
      <c r="N44" t="n">
        <v>0</v>
      </c>
      <c r="P44" t="inlineStr">
        <is>
          <t>steel production, electric, low-alloyed</t>
        </is>
      </c>
      <c r="Q44" t="inlineStr">
        <is>
          <t>steel, low-alloyed</t>
        </is>
      </c>
      <c r="R44" t="inlineStr">
        <is>
          <t>Europe without Switzerland and Austria</t>
        </is>
      </c>
    </row>
    <row r="45">
      <c r="A45" t="inlineStr">
        <is>
          <t>Nitrogen oxides</t>
        </is>
      </c>
      <c r="B45" t="n">
        <v>0</v>
      </c>
      <c r="C45" t="inlineStr">
        <is>
          <t>biosphere3</t>
        </is>
      </c>
      <c r="E45" t="inlineStr">
        <is>
          <t>kilogram</t>
        </is>
      </c>
      <c r="F45" t="inlineStr">
        <is>
          <t>air</t>
        </is>
      </c>
      <c r="G45" t="inlineStr">
        <is>
          <t>biosphere</t>
        </is>
      </c>
      <c r="N45" t="n">
        <v>0</v>
      </c>
      <c r="P45" t="inlineStr">
        <is>
          <t>steel production, electric, low-alloyed</t>
        </is>
      </c>
      <c r="Q45" t="inlineStr">
        <is>
          <t>steel, low-alloyed</t>
        </is>
      </c>
      <c r="R45" t="inlineStr">
        <is>
          <t>Europe without Switzerland and Austria</t>
        </is>
      </c>
    </row>
    <row r="46">
      <c r="A46" t="inlineStr">
        <is>
          <t>PAH, polycyclic aromatic hydrocarbons</t>
        </is>
      </c>
      <c r="B46" t="n">
        <v>0</v>
      </c>
      <c r="C46" t="inlineStr">
        <is>
          <t>biosphere3</t>
        </is>
      </c>
      <c r="E46" t="inlineStr">
        <is>
          <t>kilogram</t>
        </is>
      </c>
      <c r="F46" t="inlineStr">
        <is>
          <t>air</t>
        </is>
      </c>
      <c r="G46" t="inlineStr">
        <is>
          <t>biosphere</t>
        </is>
      </c>
      <c r="N46" t="n">
        <v>0</v>
      </c>
      <c r="P46" t="inlineStr">
        <is>
          <t>steel production, electric, low-alloyed</t>
        </is>
      </c>
      <c r="Q46" t="inlineStr">
        <is>
          <t>steel, low-alloyed</t>
        </is>
      </c>
      <c r="R46" t="inlineStr">
        <is>
          <t>Europe without Switzerland and Austria</t>
        </is>
      </c>
    </row>
    <row r="47">
      <c r="A47" t="inlineStr">
        <is>
          <t>Particulates, &lt; 2.5 um</t>
        </is>
      </c>
      <c r="B47" t="n">
        <v>0</v>
      </c>
      <c r="C47" t="inlineStr">
        <is>
          <t>biosphere3</t>
        </is>
      </c>
      <c r="E47" t="inlineStr">
        <is>
          <t>kilogram</t>
        </is>
      </c>
      <c r="F47" t="inlineStr">
        <is>
          <t>air</t>
        </is>
      </c>
      <c r="G47" t="inlineStr">
        <is>
          <t>biosphere</t>
        </is>
      </c>
      <c r="N47" t="n">
        <v>0</v>
      </c>
      <c r="P47" t="inlineStr">
        <is>
          <t>steel production, electric, low-alloyed</t>
        </is>
      </c>
      <c r="Q47" t="inlineStr">
        <is>
          <t>steel, low-alloyed</t>
        </is>
      </c>
      <c r="R47" t="inlineStr">
        <is>
          <t>Europe without Switzerland and Austria</t>
        </is>
      </c>
    </row>
    <row r="48">
      <c r="A48" t="inlineStr">
        <is>
          <t>Particulates, &gt; 10 um</t>
        </is>
      </c>
      <c r="B48" t="n">
        <v>0</v>
      </c>
      <c r="C48" t="inlineStr">
        <is>
          <t>biosphere3</t>
        </is>
      </c>
      <c r="E48" t="inlineStr">
        <is>
          <t>kilogram</t>
        </is>
      </c>
      <c r="F48" t="inlineStr">
        <is>
          <t>air</t>
        </is>
      </c>
      <c r="G48" t="inlineStr">
        <is>
          <t>biosphere</t>
        </is>
      </c>
      <c r="N48" t="n">
        <v>0</v>
      </c>
      <c r="P48" t="inlineStr">
        <is>
          <t>steel production, electric, low-alloyed</t>
        </is>
      </c>
      <c r="Q48" t="inlineStr">
        <is>
          <t>steel, low-alloyed</t>
        </is>
      </c>
      <c r="R48" t="inlineStr">
        <is>
          <t>Europe without Switzerland and Austria</t>
        </is>
      </c>
    </row>
    <row r="49">
      <c r="A49" t="inlineStr">
        <is>
          <t>Particulates, &gt; 2.5 um, and &lt; 10um</t>
        </is>
      </c>
      <c r="B49" t="n">
        <v>0</v>
      </c>
      <c r="C49" t="inlineStr">
        <is>
          <t>biosphere3</t>
        </is>
      </c>
      <c r="E49" t="inlineStr">
        <is>
          <t>kilogram</t>
        </is>
      </c>
      <c r="F49" t="inlineStr">
        <is>
          <t>air</t>
        </is>
      </c>
      <c r="G49" t="inlineStr">
        <is>
          <t>biosphere</t>
        </is>
      </c>
      <c r="N49" t="n">
        <v>0</v>
      </c>
      <c r="P49" t="inlineStr">
        <is>
          <t>steel production, electric, low-alloyed</t>
        </is>
      </c>
      <c r="Q49" t="inlineStr">
        <is>
          <t>steel, low-alloyed</t>
        </is>
      </c>
      <c r="R49" t="inlineStr">
        <is>
          <t>Europe without Switzerland and Austria</t>
        </is>
      </c>
    </row>
    <row r="50">
      <c r="A50" t="inlineStr">
        <is>
          <t>Polychlorinated biphenyls</t>
        </is>
      </c>
      <c r="B50" t="n">
        <v>0</v>
      </c>
      <c r="C50" t="inlineStr">
        <is>
          <t>biosphere3</t>
        </is>
      </c>
      <c r="E50" t="inlineStr">
        <is>
          <t>kilogram</t>
        </is>
      </c>
      <c r="F50" t="inlineStr">
        <is>
          <t>air</t>
        </is>
      </c>
      <c r="G50" t="inlineStr">
        <is>
          <t>biosphere</t>
        </is>
      </c>
      <c r="N50" t="n">
        <v>0</v>
      </c>
      <c r="P50" t="inlineStr">
        <is>
          <t>steel production, electric, low-alloyed</t>
        </is>
      </c>
      <c r="Q50" t="inlineStr">
        <is>
          <t>steel, low-alloyed</t>
        </is>
      </c>
      <c r="R50" t="inlineStr">
        <is>
          <t>Europe without Switzerland and Austria</t>
        </is>
      </c>
    </row>
    <row r="51">
      <c r="A51" t="inlineStr">
        <is>
          <t>Sulfur dioxide</t>
        </is>
      </c>
      <c r="B51" t="n">
        <v>0</v>
      </c>
      <c r="C51" t="inlineStr">
        <is>
          <t>biosphere3</t>
        </is>
      </c>
      <c r="E51" t="inlineStr">
        <is>
          <t>kilogram</t>
        </is>
      </c>
      <c r="F51" t="inlineStr">
        <is>
          <t>air</t>
        </is>
      </c>
      <c r="G51" t="inlineStr">
        <is>
          <t>biosphere</t>
        </is>
      </c>
      <c r="N51" t="n">
        <v>0</v>
      </c>
      <c r="P51" t="inlineStr">
        <is>
          <t>steel production, electric, low-alloyed</t>
        </is>
      </c>
      <c r="Q51" t="inlineStr">
        <is>
          <t>steel, low-alloyed</t>
        </is>
      </c>
      <c r="R51" t="inlineStr">
        <is>
          <t>Europe without Switzerland and Austria</t>
        </is>
      </c>
    </row>
    <row r="52">
      <c r="A52" t="inlineStr">
        <is>
          <t>Water</t>
        </is>
      </c>
      <c r="B52" t="n">
        <v>0</v>
      </c>
      <c r="C52" t="inlineStr">
        <is>
          <t>biosphere3</t>
        </is>
      </c>
      <c r="E52" t="inlineStr">
        <is>
          <t>cubic meter</t>
        </is>
      </c>
      <c r="F52" t="inlineStr">
        <is>
          <t>air</t>
        </is>
      </c>
      <c r="G52" t="inlineStr">
        <is>
          <t>biosphere</t>
        </is>
      </c>
      <c r="N52" t="n">
        <v>0</v>
      </c>
      <c r="P52" t="inlineStr">
        <is>
          <t>steel production, electric, low-alloyed</t>
        </is>
      </c>
      <c r="Q52" t="inlineStr">
        <is>
          <t>steel, low-alloyed</t>
        </is>
      </c>
      <c r="R52" t="inlineStr">
        <is>
          <t>Europe without Switzerland and Austria</t>
        </is>
      </c>
    </row>
    <row r="53">
      <c r="A53" t="inlineStr">
        <is>
          <t>Water</t>
        </is>
      </c>
      <c r="B53" t="n">
        <v>0</v>
      </c>
      <c r="C53" t="inlineStr">
        <is>
          <t>biosphere3</t>
        </is>
      </c>
      <c r="E53" t="inlineStr">
        <is>
          <t>cubic meter</t>
        </is>
      </c>
      <c r="F53" t="inlineStr">
        <is>
          <t>water</t>
        </is>
      </c>
      <c r="G53" t="inlineStr">
        <is>
          <t>biosphere</t>
        </is>
      </c>
      <c r="N53" t="n">
        <v>0</v>
      </c>
      <c r="P53" t="inlineStr">
        <is>
          <t>steel production, electric, low-alloyed</t>
        </is>
      </c>
      <c r="Q53" t="inlineStr">
        <is>
          <t>steel, low-alloyed</t>
        </is>
      </c>
      <c r="R53" t="inlineStr">
        <is>
          <t>Europe without Switzerland and Austria</t>
        </is>
      </c>
    </row>
    <row r="54">
      <c r="A54" t="inlineStr">
        <is>
          <t>Water, cooling, unspecified natural origin</t>
        </is>
      </c>
      <c r="B54" t="n">
        <v>0</v>
      </c>
      <c r="C54" t="inlineStr">
        <is>
          <t>biosphere3</t>
        </is>
      </c>
      <c r="E54" t="inlineStr">
        <is>
          <t>cubic meter</t>
        </is>
      </c>
      <c r="F54" t="inlineStr">
        <is>
          <t>natural resource::in water</t>
        </is>
      </c>
      <c r="G54" t="inlineStr">
        <is>
          <t>biosphere</t>
        </is>
      </c>
      <c r="N54" t="n">
        <v>0</v>
      </c>
      <c r="P54" t="inlineStr">
        <is>
          <t>steel production, electric, low-alloyed</t>
        </is>
      </c>
      <c r="Q54" t="inlineStr">
        <is>
          <t>steel, low-alloyed</t>
        </is>
      </c>
      <c r="R54" t="inlineStr">
        <is>
          <t>Europe without Switzerland and Austria</t>
        </is>
      </c>
    </row>
    <row r="55">
      <c r="A55" t="inlineStr">
        <is>
          <t>Zinc</t>
        </is>
      </c>
      <c r="B55" t="n">
        <v>0</v>
      </c>
      <c r="C55" t="inlineStr">
        <is>
          <t>biosphere3</t>
        </is>
      </c>
      <c r="E55" t="inlineStr">
        <is>
          <t>kilogram</t>
        </is>
      </c>
      <c r="F55" t="inlineStr">
        <is>
          <t>air</t>
        </is>
      </c>
      <c r="G55" t="inlineStr">
        <is>
          <t>biosphere</t>
        </is>
      </c>
      <c r="N55" t="n">
        <v>0</v>
      </c>
      <c r="P55" t="inlineStr">
        <is>
          <t>steel production, electric, low-alloyed</t>
        </is>
      </c>
      <c r="Q55" t="inlineStr">
        <is>
          <t>steel, low-alloyed</t>
        </is>
      </c>
      <c r="R55" t="inlineStr">
        <is>
          <t>Europe without Switzerland and Austria</t>
        </is>
      </c>
    </row>
    <row r="56">
      <c r="A56" t="inlineStr">
        <is>
          <t>steel production, natural gas-based direct reduction iron-electric arc furnace, low-alloyed</t>
        </is>
      </c>
      <c r="B56" t="n">
        <v>1</v>
      </c>
      <c r="C56" s="22" t="inlineStr">
        <is>
          <t>steel_paper</t>
        </is>
      </c>
      <c r="D56" t="inlineStr">
        <is>
          <t>GLO</t>
        </is>
      </c>
      <c r="E56" t="inlineStr">
        <is>
          <t>kilogram</t>
        </is>
      </c>
      <c r="G56" t="inlineStr">
        <is>
          <t>production</t>
        </is>
      </c>
      <c r="I56" t="n">
        <v>0</v>
      </c>
      <c r="J56" t="n">
        <v>1</v>
      </c>
      <c r="L56" t="inlineStr">
        <is>
          <t>&gt; Modifications (2025): changed location from RER to GLO.</t>
        </is>
      </c>
      <c r="N56" t="n">
        <v>11181008749.41</v>
      </c>
      <c r="O56" t="inlineStr">
        <is>
          <t>steel, low-alloyed</t>
        </is>
      </c>
    </row>
    <row r="57">
      <c r="A57" s="24" t="inlineStr">
        <is>
          <t xml:space="preserve">pig iron production, with natural gas-based direct reduction </t>
        </is>
      </c>
      <c r="B57" t="n">
        <v>1.061992490719463</v>
      </c>
      <c r="C57" s="22" t="inlineStr">
        <is>
          <t>steel_paper</t>
        </is>
      </c>
      <c r="D57" t="inlineStr">
        <is>
          <t>GLO</t>
        </is>
      </c>
      <c r="E57" t="inlineStr">
        <is>
          <t>kilogram</t>
        </is>
      </c>
      <c r="G57" t="inlineStr">
        <is>
          <t>technosphere</t>
        </is>
      </c>
      <c r="H57" t="inlineStr">
        <is>
          <t>EW_EAF_lowalloy_ScalingFactor*1.131392</t>
        </is>
      </c>
      <c r="L57" s="51" t="inlineStr">
        <is>
          <t>&gt; Modifications (2025): input of sponge iron of 1.06, instead of scrap
&gt; original was: instead of 1.13 of scrap</t>
        </is>
      </c>
      <c r="O57" s="22" t="inlineStr">
        <is>
          <t>iron</t>
        </is>
      </c>
    </row>
    <row r="58">
      <c r="A58" t="inlineStr">
        <is>
          <t>market for anode, for metal electrolysis</t>
        </is>
      </c>
      <c r="B58" t="n">
        <v>0</v>
      </c>
      <c r="C58" t="inlineStr">
        <is>
          <t>cutoff391</t>
        </is>
      </c>
      <c r="D58" t="inlineStr">
        <is>
          <t>GLO</t>
        </is>
      </c>
      <c r="E58" t="inlineStr">
        <is>
          <t>kilogram</t>
        </is>
      </c>
      <c r="G58" t="inlineStr">
        <is>
          <t>technosphere</t>
        </is>
      </c>
      <c r="N58" t="n">
        <v>0</v>
      </c>
      <c r="O58" t="inlineStr">
        <is>
          <t>anode, for metal electrolysis</t>
        </is>
      </c>
      <c r="P58" t="inlineStr">
        <is>
          <t>steel production, electric, low-alloyed</t>
        </is>
      </c>
      <c r="Q58" t="inlineStr">
        <is>
          <t>steel, low-alloyed</t>
        </is>
      </c>
      <c r="R58" t="inlineStr">
        <is>
          <t>Europe without Switzerland and Austria</t>
        </is>
      </c>
    </row>
    <row r="59">
      <c r="A59" t="inlineStr">
        <is>
          <t>market for argon, liquid</t>
        </is>
      </c>
      <c r="B59" t="n">
        <v>0</v>
      </c>
      <c r="C59" t="inlineStr">
        <is>
          <t>cutoff391</t>
        </is>
      </c>
      <c r="D59" t="inlineStr">
        <is>
          <t>RER</t>
        </is>
      </c>
      <c r="E59" t="inlineStr">
        <is>
          <t>kilogram</t>
        </is>
      </c>
      <c r="G59" t="inlineStr">
        <is>
          <t>technosphere</t>
        </is>
      </c>
      <c r="N59" t="n">
        <v>0</v>
      </c>
      <c r="O59" t="inlineStr">
        <is>
          <t>argon, liquid</t>
        </is>
      </c>
      <c r="P59" t="inlineStr">
        <is>
          <t>steel production, electric, low-alloyed</t>
        </is>
      </c>
      <c r="Q59" t="inlineStr">
        <is>
          <t>steel, low-alloyed</t>
        </is>
      </c>
      <c r="R59" t="inlineStr">
        <is>
          <t>Europe without Switzerland and Austria</t>
        </is>
      </c>
    </row>
    <row r="60">
      <c r="A60" t="inlineStr">
        <is>
          <t>market for electric arc furnace converter</t>
        </is>
      </c>
      <c r="B60" t="n">
        <v>0</v>
      </c>
      <c r="C60" t="inlineStr">
        <is>
          <t>cutoff391</t>
        </is>
      </c>
      <c r="D60" t="inlineStr">
        <is>
          <t>GLO</t>
        </is>
      </c>
      <c r="E60" t="inlineStr">
        <is>
          <t>unit</t>
        </is>
      </c>
      <c r="G60" t="inlineStr">
        <is>
          <t>technosphere</t>
        </is>
      </c>
      <c r="N60" t="n">
        <v>0</v>
      </c>
      <c r="O60" t="inlineStr">
        <is>
          <t>electric arc furnace converter</t>
        </is>
      </c>
      <c r="P60" t="inlineStr">
        <is>
          <t>steel production, electric, low-alloyed</t>
        </is>
      </c>
      <c r="Q60" t="inlineStr">
        <is>
          <t>steel, low-alloyed</t>
        </is>
      </c>
      <c r="R60" t="inlineStr">
        <is>
          <t>Europe without Switzerland and Austria</t>
        </is>
      </c>
    </row>
    <row r="61">
      <c r="A61" t="inlineStr">
        <is>
          <t>market for electric arc furnace dust</t>
        </is>
      </c>
      <c r="B61" t="n">
        <v>0</v>
      </c>
      <c r="C61" t="inlineStr">
        <is>
          <t>cutoff391</t>
        </is>
      </c>
      <c r="D61" s="21" t="inlineStr">
        <is>
          <t>RER</t>
        </is>
      </c>
      <c r="E61" t="inlineStr">
        <is>
          <t>kilogram</t>
        </is>
      </c>
      <c r="G61" t="inlineStr">
        <is>
          <t>technosphere</t>
        </is>
      </c>
      <c r="N61" t="n">
        <v>213863626.753465</v>
      </c>
      <c r="O61" t="inlineStr">
        <is>
          <t>electric arc furnace dust</t>
        </is>
      </c>
      <c r="P61" t="inlineStr">
        <is>
          <t>steel production, electric, low-alloyed</t>
        </is>
      </c>
      <c r="Q61" t="inlineStr">
        <is>
          <t>steel, low-alloyed</t>
        </is>
      </c>
      <c r="R61" t="inlineStr">
        <is>
          <t>Europe without Switzerland and Austria</t>
        </is>
      </c>
    </row>
    <row r="62">
      <c r="A62" s="25" t="inlineStr">
        <is>
          <t>market for electric arc furnace slag</t>
        </is>
      </c>
      <c r="B62" t="n">
        <v>-0.1549821636910023</v>
      </c>
      <c r="C62" t="inlineStr">
        <is>
          <t>cutoff391</t>
        </is>
      </c>
      <c r="D62" s="21" t="inlineStr">
        <is>
          <t>RER</t>
        </is>
      </c>
      <c r="E62" t="inlineStr">
        <is>
          <t>kilogram</t>
        </is>
      </c>
      <c r="G62" t="inlineStr">
        <is>
          <t>technosphere</t>
        </is>
      </c>
      <c r="H62" t="inlineStr">
        <is>
          <t>EW_EAF_lowalloy_ScalingFactor*(-0.16511)</t>
        </is>
      </c>
      <c r="I62" t="n">
        <v>2</v>
      </c>
      <c r="J62" t="n">
        <v>-1.925066886936832</v>
      </c>
      <c r="K62" t="n">
        <v>0.06652067347825036</v>
      </c>
      <c r="L62" s="25" t="inlineStr">
        <is>
          <t>&gt; Modifications (2025): Increased value of:  electric arc furnace slag 	market for electric arc furnace slag	RER	ecoinvent38_cutoff	to  -0.165106 kg (sum of all slag types in ecoinvent 3.8). Changed location from RER to RoW.
&lt;Original ecoinvent 3.8 comment: &gt;
Amount reported by worldsteel (2010) and is representative of the average global situation in 2009. Also based on worldsteel (2010), an internal recovery (recycling) rate of 3% is assumed. Source: Worldsteel (2010). Steel industry by-products. World Steel Association: Brussels, Belgium.</t>
        </is>
      </c>
      <c r="M62" t="inlineStr">
        <is>
          <t>2::3::3::2::2::1</t>
        </is>
      </c>
      <c r="N62" t="n">
        <v>1630929022.24144</v>
      </c>
      <c r="O62" t="inlineStr">
        <is>
          <t>electric arc furnace slag</t>
        </is>
      </c>
      <c r="S62" t="b">
        <v>1</v>
      </c>
    </row>
    <row r="63">
      <c r="A63" t="inlineStr">
        <is>
          <t>market for hard coal</t>
        </is>
      </c>
      <c r="B63" t="n">
        <v>0</v>
      </c>
      <c r="C63" t="inlineStr">
        <is>
          <t>cutoff391</t>
        </is>
      </c>
      <c r="D63" t="inlineStr">
        <is>
          <t>RoW</t>
        </is>
      </c>
      <c r="E63" t="inlineStr">
        <is>
          <t>kilogram</t>
        </is>
      </c>
      <c r="G63" t="inlineStr">
        <is>
          <t>technosphere</t>
        </is>
      </c>
      <c r="N63" t="n">
        <v>0</v>
      </c>
      <c r="O63" t="inlineStr">
        <is>
          <t>hard coal</t>
        </is>
      </c>
      <c r="P63" t="inlineStr">
        <is>
          <t>steel production, electric, low-alloyed</t>
        </is>
      </c>
      <c r="Q63" t="inlineStr">
        <is>
          <t>steel, low-alloyed</t>
        </is>
      </c>
      <c r="R63" t="inlineStr">
        <is>
          <t>Europe without Switzerland and Austria</t>
        </is>
      </c>
    </row>
    <row r="64">
      <c r="A64" t="inlineStr">
        <is>
          <t>market for inert waste, for final disposal</t>
        </is>
      </c>
      <c r="B64" t="n">
        <v>0</v>
      </c>
      <c r="C64" t="inlineStr">
        <is>
          <t>cutoff391</t>
        </is>
      </c>
      <c r="D64" t="inlineStr">
        <is>
          <t>RoW</t>
        </is>
      </c>
      <c r="E64" t="inlineStr">
        <is>
          <t>kilogram</t>
        </is>
      </c>
      <c r="G64" t="inlineStr">
        <is>
          <t>technosphere</t>
        </is>
      </c>
      <c r="N64" t="n">
        <v>75833291.07138591</v>
      </c>
      <c r="O64" t="inlineStr">
        <is>
          <t>inert waste, for final disposal</t>
        </is>
      </c>
      <c r="P64" t="inlineStr">
        <is>
          <t>steel production, electric, low-alloyed</t>
        </is>
      </c>
      <c r="Q64" t="inlineStr">
        <is>
          <t>steel, low-alloyed</t>
        </is>
      </c>
      <c r="R64" t="inlineStr">
        <is>
          <t>Europe without Switzerland and Austria</t>
        </is>
      </c>
    </row>
    <row r="65">
      <c r="A65" t="inlineStr">
        <is>
          <t>market for nitrogen, liquid</t>
        </is>
      </c>
      <c r="B65" t="n">
        <v>0</v>
      </c>
      <c r="C65" t="inlineStr">
        <is>
          <t>cutoff391</t>
        </is>
      </c>
      <c r="D65" t="inlineStr">
        <is>
          <t>RoW</t>
        </is>
      </c>
      <c r="E65" t="inlineStr">
        <is>
          <t>kilogram</t>
        </is>
      </c>
      <c r="G65" t="inlineStr">
        <is>
          <t>technosphere</t>
        </is>
      </c>
      <c r="N65" t="n">
        <v>0</v>
      </c>
      <c r="O65" t="inlineStr">
        <is>
          <t>nitrogen, liquid</t>
        </is>
      </c>
      <c r="P65" t="inlineStr">
        <is>
          <t>steel production, electric, low-alloyed</t>
        </is>
      </c>
      <c r="Q65" t="inlineStr">
        <is>
          <t>steel, low-alloyed</t>
        </is>
      </c>
      <c r="R65" t="inlineStr">
        <is>
          <t>Europe without Switzerland and Austria</t>
        </is>
      </c>
    </row>
    <row r="66">
      <c r="A66" t="inlineStr">
        <is>
          <t>market for oxygen, liquid</t>
        </is>
      </c>
      <c r="B66" t="n">
        <v>0</v>
      </c>
      <c r="C66" t="inlineStr">
        <is>
          <t>cutoff391</t>
        </is>
      </c>
      <c r="D66" t="inlineStr">
        <is>
          <t>RoW</t>
        </is>
      </c>
      <c r="E66" t="inlineStr">
        <is>
          <t>kilogram</t>
        </is>
      </c>
      <c r="G66" t="inlineStr">
        <is>
          <t>technosphere</t>
        </is>
      </c>
      <c r="N66" t="n">
        <v>0</v>
      </c>
      <c r="O66" t="inlineStr">
        <is>
          <t>oxygen, liquid</t>
        </is>
      </c>
      <c r="P66" t="inlineStr">
        <is>
          <t>steel production, electric, low-alloyed</t>
        </is>
      </c>
      <c r="Q66" t="inlineStr">
        <is>
          <t>steel, low-alloyed</t>
        </is>
      </c>
      <c r="R66" t="inlineStr">
        <is>
          <t>Europe without Switzerland and Austria</t>
        </is>
      </c>
    </row>
    <row r="67">
      <c r="A67" t="inlineStr">
        <is>
          <t>market for quicklime, in pieces, loose</t>
        </is>
      </c>
      <c r="B67" t="n">
        <v>0</v>
      </c>
      <c r="C67" t="inlineStr">
        <is>
          <t>cutoff391</t>
        </is>
      </c>
      <c r="D67" t="inlineStr">
        <is>
          <t>RoW</t>
        </is>
      </c>
      <c r="E67" t="inlineStr">
        <is>
          <t>kilogram</t>
        </is>
      </c>
      <c r="G67" t="inlineStr">
        <is>
          <t>technosphere</t>
        </is>
      </c>
      <c r="N67" t="n">
        <v>0</v>
      </c>
      <c r="O67" t="inlineStr">
        <is>
          <t>quicklime, in pieces, loose</t>
        </is>
      </c>
      <c r="P67" t="inlineStr">
        <is>
          <t>steel production, electric, low-alloyed</t>
        </is>
      </c>
      <c r="Q67" t="inlineStr">
        <is>
          <t>steel, low-alloyed</t>
        </is>
      </c>
      <c r="R67" t="inlineStr">
        <is>
          <t>Europe without Switzerland and Austria</t>
        </is>
      </c>
    </row>
    <row r="68">
      <c r="A68" t="inlineStr">
        <is>
          <t>market for refractory, basic, packed</t>
        </is>
      </c>
      <c r="B68" t="n">
        <v>0</v>
      </c>
      <c r="C68" t="inlineStr">
        <is>
          <t>cutoff391</t>
        </is>
      </c>
      <c r="D68" t="inlineStr">
        <is>
          <t>GLO</t>
        </is>
      </c>
      <c r="E68" t="inlineStr">
        <is>
          <t>kilogram</t>
        </is>
      </c>
      <c r="G68" t="inlineStr">
        <is>
          <t>technosphere</t>
        </is>
      </c>
      <c r="N68" t="n">
        <v>0</v>
      </c>
      <c r="O68" t="inlineStr">
        <is>
          <t>refractory, basic, packed</t>
        </is>
      </c>
      <c r="P68" t="inlineStr">
        <is>
          <t>steel production, electric, low-alloyed</t>
        </is>
      </c>
      <c r="Q68" t="inlineStr">
        <is>
          <t>steel, low-alloyed</t>
        </is>
      </c>
      <c r="R68" t="inlineStr">
        <is>
          <t>Europe without Switzerland and Austria</t>
        </is>
      </c>
    </row>
    <row r="69">
      <c r="A69" s="25" t="inlineStr">
        <is>
          <t>market group for electricity, medium voltage</t>
        </is>
      </c>
      <c r="B69" t="n">
        <v>0.5162630369453775</v>
      </c>
      <c r="C69" t="inlineStr">
        <is>
          <t>cutoff391</t>
        </is>
      </c>
      <c r="D69" t="inlineStr">
        <is>
          <t>GLO</t>
        </is>
      </c>
      <c r="E69" t="inlineStr">
        <is>
          <t>kilowatt hour</t>
        </is>
      </c>
      <c r="G69" t="inlineStr">
        <is>
          <t>technosphere</t>
        </is>
      </c>
      <c r="H69" t="inlineStr">
        <is>
          <t>EW_EAF_lowalloy_ScalingFactor*0.55</t>
        </is>
      </c>
      <c r="L69" s="25" t="inlineStr">
        <is>
          <t>&gt; Modifications (2025): used input from market group instead of separate countries (aggregated the amount to 1 value from 1 market). Changed location from RER to GLO</t>
        </is>
      </c>
      <c r="O69" t="inlineStr">
        <is>
          <t>electricity, medium voltage</t>
        </is>
      </c>
    </row>
    <row r="70">
      <c r="A70" s="25" t="inlineStr">
        <is>
          <t>market group for natural gas, high pressure</t>
        </is>
      </c>
      <c r="B70" t="n">
        <v>0.007023523952625067</v>
      </c>
      <c r="C70" t="inlineStr">
        <is>
          <t>cutoff391</t>
        </is>
      </c>
      <c r="D70" t="inlineStr">
        <is>
          <t>GLO</t>
        </is>
      </c>
      <c r="E70" t="inlineStr">
        <is>
          <t>cubic meter</t>
        </is>
      </c>
      <c r="G70" t="inlineStr">
        <is>
          <t>technosphere</t>
        </is>
      </c>
      <c r="H70" t="inlineStr">
        <is>
          <t>EW_EAF_lowalloy_ScalingFactor *0.0074825</t>
        </is>
      </c>
      <c r="L70" s="25" t="inlineStr">
        <is>
          <t>&gt; Modifications (2025): used input from market group instead of separate countries (aggregated the amount to 1 value from 1 market). changed location from RER to GLO</t>
        </is>
      </c>
      <c r="O70" t="inlineStr">
        <is>
          <t>natural gas, high pressure</t>
        </is>
      </c>
    </row>
    <row r="71">
      <c r="A71" t="inlineStr">
        <is>
          <t>alloys production, for low-alloyed steel</t>
        </is>
      </c>
      <c r="B71" t="n">
        <v>1</v>
      </c>
      <c r="C71" t="inlineStr">
        <is>
          <t>steel_paper</t>
        </is>
      </c>
      <c r="D71" t="inlineStr">
        <is>
          <t>GLO</t>
        </is>
      </c>
      <c r="E71" t="inlineStr">
        <is>
          <t>kilogram</t>
        </is>
      </c>
      <c r="G71" t="inlineStr">
        <is>
          <t>technosphere</t>
        </is>
      </c>
      <c r="L71" s="25" t="inlineStr">
        <is>
          <t>&gt; Modifications (2025): added alloying elements to produce low-alloyed steel, assuming that these alloying elements are usually already contained in the scrap entering a scrap-EAF, which is not the case here, where low-alloyed steel is produced from virgin sponge iron</t>
        </is>
      </c>
      <c r="O71" t="inlineStr">
        <is>
          <t>alloys, for low-alloyed steel</t>
        </is>
      </c>
    </row>
    <row r="72"/>
    <row r="73" ht="16" customHeight="1">
      <c r="A73" s="50" t="inlineStr">
        <is>
          <t>Activity</t>
        </is>
      </c>
      <c r="B73" s="33" t="inlineStr">
        <is>
          <t>steel production, natural gas-based direct reduction iron-electric arc furnace, unalloyed</t>
        </is>
      </c>
    </row>
    <row r="74">
      <c r="A74" t="inlineStr">
        <is>
          <t>comment</t>
        </is>
      </c>
      <c r="B74" s="25" t="inlineStr">
        <is>
          <t>This dataset, adapted by Harpprecht et al. (2025) from ecoinvent 3.8, models the production of unalloyed steel using sponge iron from natural gas-based direct reduction (NG-DRI) in an electric arc furnace (EAF). The original ecoinvent process ("steel production, electric, low-alloyed", Europe without Switzerland and Austria) was modified to reflect NG-DRI-EAF conditions by replacing scrap input with sponge iron, scaling flows with a factor of 0.9369 (based on 1.06 kg sponge iron per kg steel as reported by Bhaskar et al., 2020), and adjusting regional inputs to global equivalents. Additional changes include deleting secondary metallurgy slag, adjusting total slag output, consolidating natural gas and electricity flows via market groups, and revising alloying inputs to align with unalloyed steel production.
**Reference**:
Bhaskar, A., Assadi, M., &amp; Nikpey Somehsaraei, H. (2020). Decarbonization of the iron and steel industry with direct reduction of iron ore with hydrogen: A techno-economic and environmental study. *Sustainable Energy &amp; Fuels*, 4(5), 2288–2301. [https://doi.org/10.1039/C9SE01201B](https://doi.org/10.1039/C9SE01201B)
Harpprecht, C. et al. (2025).</t>
        </is>
      </c>
    </row>
    <row r="75">
      <c r="A75" t="inlineStr">
        <is>
          <t>location</t>
        </is>
      </c>
      <c r="B75" t="inlineStr">
        <is>
          <t>GLO</t>
        </is>
      </c>
    </row>
    <row r="76">
      <c r="A76" s="22" t="inlineStr">
        <is>
          <t>source</t>
        </is>
      </c>
      <c r="B76" s="22" t="inlineStr">
        <is>
          <t>Harpprecht C., Sacchi R., Naegler T., et al. "Future environmental impacts of global iron and steel production". Energy Environ Sci. (2025). doi: 10.1039/D5EE01356A</t>
        </is>
      </c>
      <c r="C76" s="21" t="n"/>
      <c r="D76" s="21" t="n"/>
      <c r="E76" s="21" t="n"/>
      <c r="F76" s="21" t="n"/>
      <c r="G76" s="21" t="n"/>
      <c r="H76" s="21" t="n"/>
    </row>
    <row r="77">
      <c r="A77" t="inlineStr">
        <is>
          <t>production amount</t>
        </is>
      </c>
      <c r="B77" t="n">
        <v>1</v>
      </c>
    </row>
    <row r="78">
      <c r="A78" t="inlineStr">
        <is>
          <t>reference product</t>
        </is>
      </c>
      <c r="B78" t="inlineStr">
        <is>
          <t>steel, unalloyed</t>
        </is>
      </c>
    </row>
    <row r="79">
      <c r="A79" t="inlineStr">
        <is>
          <t>unit</t>
        </is>
      </c>
      <c r="B79" t="inlineStr">
        <is>
          <t>kilogram</t>
        </is>
      </c>
    </row>
    <row r="80" ht="16" customHeight="1">
      <c r="A80" s="50" t="inlineStr">
        <is>
          <t>Exchanges</t>
        </is>
      </c>
    </row>
    <row r="81">
      <c r="A81" s="20" t="inlineStr">
        <is>
          <t>name</t>
        </is>
      </c>
      <c r="B81" s="20" t="inlineStr">
        <is>
          <t>amount</t>
        </is>
      </c>
      <c r="C81" s="20" t="inlineStr">
        <is>
          <t>database</t>
        </is>
      </c>
      <c r="D81" s="20" t="inlineStr">
        <is>
          <t>location</t>
        </is>
      </c>
      <c r="E81" s="20" t="inlineStr">
        <is>
          <t>unit</t>
        </is>
      </c>
      <c r="F81" s="20" t="inlineStr">
        <is>
          <t>categories</t>
        </is>
      </c>
      <c r="G81" s="20" t="inlineStr">
        <is>
          <t>type</t>
        </is>
      </c>
      <c r="H81" s="20" t="inlineStr">
        <is>
          <t>formula</t>
        </is>
      </c>
      <c r="I81" s="20" t="inlineStr">
        <is>
          <t>uncertainty type</t>
        </is>
      </c>
      <c r="J81" s="20" t="inlineStr">
        <is>
          <t>loc</t>
        </is>
      </c>
      <c r="K81" s="20" t="inlineStr">
        <is>
          <t>scale</t>
        </is>
      </c>
      <c r="L81" s="20" t="inlineStr">
        <is>
          <t>comment</t>
        </is>
      </c>
      <c r="M81" s="20" t="inlineStr">
        <is>
          <t>pedigree</t>
        </is>
      </c>
      <c r="N81" s="20" t="inlineStr">
        <is>
          <t>production volume</t>
        </is>
      </c>
      <c r="O81" s="20" t="inlineStr">
        <is>
          <t>reference product</t>
        </is>
      </c>
      <c r="P81" s="20" t="inlineStr">
        <is>
          <t>replacement name</t>
        </is>
      </c>
      <c r="Q81" s="20" t="inlineStr">
        <is>
          <t>replacement product</t>
        </is>
      </c>
      <c r="R81" s="20" t="inlineStr">
        <is>
          <t>replacement location</t>
        </is>
      </c>
      <c r="S81" s="20" t="inlineStr">
        <is>
          <t>negative</t>
        </is>
      </c>
    </row>
    <row r="82">
      <c r="A82" t="inlineStr">
        <is>
          <t>Benzene</t>
        </is>
      </c>
      <c r="B82" t="n">
        <v>0</v>
      </c>
      <c r="C82" t="inlineStr">
        <is>
          <t>biosphere3</t>
        </is>
      </c>
      <c r="E82" t="inlineStr">
        <is>
          <t>kilogram</t>
        </is>
      </c>
      <c r="F82" t="inlineStr">
        <is>
          <t>air</t>
        </is>
      </c>
      <c r="G82" t="inlineStr">
        <is>
          <t>biosphere</t>
        </is>
      </c>
      <c r="L82" t="inlineStr">
        <is>
          <t>geometric mean of Remus et al. (2013) data range</t>
        </is>
      </c>
      <c r="M82" t="inlineStr">
        <is>
          <t>2::3::2::5::1::1</t>
        </is>
      </c>
      <c r="N82" t="n">
        <v>0</v>
      </c>
      <c r="P82" t="inlineStr">
        <is>
          <t>steel production, electric, low-alloyed</t>
        </is>
      </c>
      <c r="Q82" t="inlineStr">
        <is>
          <t>steel, low-alloyed</t>
        </is>
      </c>
      <c r="R82" t="inlineStr">
        <is>
          <t>Europe without Switzerland and Austria</t>
        </is>
      </c>
    </row>
    <row r="83">
      <c r="A83" t="inlineStr">
        <is>
          <t>Benzene, hexachloro-</t>
        </is>
      </c>
      <c r="B83" t="n">
        <v>0</v>
      </c>
      <c r="C83" t="inlineStr">
        <is>
          <t>biosphere3</t>
        </is>
      </c>
      <c r="E83" t="inlineStr">
        <is>
          <t>kilogram</t>
        </is>
      </c>
      <c r="F83" t="inlineStr">
        <is>
          <t>air</t>
        </is>
      </c>
      <c r="G83" t="inlineStr">
        <is>
          <t>biosphere</t>
        </is>
      </c>
      <c r="L83" t="inlineStr">
        <is>
          <t>geometric mean of Remus et al. (2013) data range</t>
        </is>
      </c>
      <c r="M83" t="inlineStr">
        <is>
          <t>2::3::2::5::1::1</t>
        </is>
      </c>
      <c r="N83" t="n">
        <v>0</v>
      </c>
      <c r="P83" t="inlineStr">
        <is>
          <t>steel production, electric, low-alloyed</t>
        </is>
      </c>
      <c r="Q83" t="inlineStr">
        <is>
          <t>steel, low-alloyed</t>
        </is>
      </c>
      <c r="R83" t="inlineStr">
        <is>
          <t>Europe without Switzerland and Austria</t>
        </is>
      </c>
    </row>
    <row r="84">
      <c r="A84" t="inlineStr">
        <is>
          <t>Cadmium</t>
        </is>
      </c>
      <c r="B84" t="n">
        <v>0</v>
      </c>
      <c r="C84" t="inlineStr">
        <is>
          <t>biosphere3</t>
        </is>
      </c>
      <c r="E84" t="inlineStr">
        <is>
          <t>kilogram</t>
        </is>
      </c>
      <c r="F84" t="inlineStr">
        <is>
          <t>air</t>
        </is>
      </c>
      <c r="G84" t="inlineStr">
        <is>
          <t>biosphere</t>
        </is>
      </c>
      <c r="L84" t="inlineStr">
        <is>
          <t>geometric mean of Remus et al. (2013) data range</t>
        </is>
      </c>
      <c r="M84" t="inlineStr">
        <is>
          <t>2::3::2::5::1::1</t>
        </is>
      </c>
      <c r="N84" t="n">
        <v>0</v>
      </c>
      <c r="P84" t="inlineStr">
        <is>
          <t>steel production, electric, low-alloyed</t>
        </is>
      </c>
      <c r="Q84" t="inlineStr">
        <is>
          <t>steel, low-alloyed</t>
        </is>
      </c>
      <c r="R84" t="inlineStr">
        <is>
          <t>Europe without Switzerland and Austria</t>
        </is>
      </c>
    </row>
    <row r="85">
      <c r="A85" t="inlineStr">
        <is>
          <t>Carbon dioxide, fossil</t>
        </is>
      </c>
      <c r="B85" t="n">
        <v>0</v>
      </c>
      <c r="C85" t="inlineStr">
        <is>
          <t>biosphere3</t>
        </is>
      </c>
      <c r="E85" t="inlineStr">
        <is>
          <t>kilogram</t>
        </is>
      </c>
      <c r="F85" t="inlineStr">
        <is>
          <t>air</t>
        </is>
      </c>
      <c r="G85" t="inlineStr">
        <is>
          <t>biosphere</t>
        </is>
      </c>
      <c r="L85" t="inlineStr">
        <is>
          <t>Calculated Value. Carbon dioxide emission is calculated as the sum of carbon in hard coal and natural gas minus the emissions of carbon monoxide.</t>
        </is>
      </c>
      <c r="M85" t="inlineStr">
        <is>
          <t>5::5::5::5::5::1</t>
        </is>
      </c>
      <c r="N85" t="n">
        <v>0</v>
      </c>
      <c r="P85" t="inlineStr">
        <is>
          <t>steel production, electric, low-alloyed</t>
        </is>
      </c>
      <c r="Q85" t="inlineStr">
        <is>
          <t>steel, low-alloyed</t>
        </is>
      </c>
      <c r="R85" t="inlineStr">
        <is>
          <t>Europe without Switzerland and Austria</t>
        </is>
      </c>
    </row>
    <row r="86">
      <c r="A86" t="inlineStr">
        <is>
          <t>Carbon monoxide, fossil</t>
        </is>
      </c>
      <c r="B86" t="n">
        <v>0</v>
      </c>
      <c r="C86" t="inlineStr">
        <is>
          <t>biosphere3</t>
        </is>
      </c>
      <c r="E86" t="inlineStr">
        <is>
          <t>kilogram</t>
        </is>
      </c>
      <c r="F86" t="inlineStr">
        <is>
          <t>air</t>
        </is>
      </c>
      <c r="G86" t="inlineStr">
        <is>
          <t>biosphere</t>
        </is>
      </c>
      <c r="L86" t="inlineStr">
        <is>
          <t>geometric mean of Remus et al. (2013) data range</t>
        </is>
      </c>
      <c r="M86" t="inlineStr">
        <is>
          <t>2::3::2::5::1::1</t>
        </is>
      </c>
      <c r="N86" t="n">
        <v>0</v>
      </c>
      <c r="P86" t="inlineStr">
        <is>
          <t>steel production, electric, low-alloyed</t>
        </is>
      </c>
      <c r="Q86" t="inlineStr">
        <is>
          <t>steel, low-alloyed</t>
        </is>
      </c>
      <c r="R86" t="inlineStr">
        <is>
          <t>Europe without Switzerland and Austria</t>
        </is>
      </c>
    </row>
    <row r="87">
      <c r="A87" t="inlineStr">
        <is>
          <t>Chromium</t>
        </is>
      </c>
      <c r="B87" t="n">
        <v>0</v>
      </c>
      <c r="C87" t="inlineStr">
        <is>
          <t>biosphere3</t>
        </is>
      </c>
      <c r="E87" t="inlineStr">
        <is>
          <t>kilogram</t>
        </is>
      </c>
      <c r="F87" t="inlineStr">
        <is>
          <t>air</t>
        </is>
      </c>
      <c r="G87" t="inlineStr">
        <is>
          <t>biosphere</t>
        </is>
      </c>
      <c r="L87" t="inlineStr">
        <is>
          <t>geometric mean of Remus et al. (2013) data range</t>
        </is>
      </c>
      <c r="M87" t="inlineStr">
        <is>
          <t>2::3::2::5::1::1</t>
        </is>
      </c>
      <c r="N87" t="n">
        <v>0</v>
      </c>
      <c r="P87" t="inlineStr">
        <is>
          <t>steel production, electric, low-alloyed</t>
        </is>
      </c>
      <c r="Q87" t="inlineStr">
        <is>
          <t>steel, low-alloyed</t>
        </is>
      </c>
      <c r="R87" t="inlineStr">
        <is>
          <t>Europe without Switzerland and Austria</t>
        </is>
      </c>
    </row>
    <row r="88">
      <c r="A88" t="inlineStr">
        <is>
          <t>Copper ion</t>
        </is>
      </c>
      <c r="B88" t="n">
        <v>0</v>
      </c>
      <c r="C88" t="inlineStr">
        <is>
          <t>biosphere3</t>
        </is>
      </c>
      <c r="E88" t="inlineStr">
        <is>
          <t>kilogram</t>
        </is>
      </c>
      <c r="F88" t="inlineStr">
        <is>
          <t>air</t>
        </is>
      </c>
      <c r="G88" t="inlineStr">
        <is>
          <t>biosphere</t>
        </is>
      </c>
      <c r="L88" t="inlineStr">
        <is>
          <t>geometric mean of Remus et al. (2013) data range</t>
        </is>
      </c>
      <c r="M88" t="inlineStr">
        <is>
          <t>2::3::2::5::1::1</t>
        </is>
      </c>
      <c r="N88" t="n">
        <v>0</v>
      </c>
      <c r="P88" t="inlineStr">
        <is>
          <t>steel production, electric, low-alloyed</t>
        </is>
      </c>
      <c r="Q88" t="inlineStr">
        <is>
          <t>steel, low-alloyed</t>
        </is>
      </c>
      <c r="R88" t="inlineStr">
        <is>
          <t>Europe without Switzerland and Austria</t>
        </is>
      </c>
    </row>
    <row r="89">
      <c r="A89" t="inlineStr">
        <is>
          <t>Dioxins, measured as 2,3,7,8-tetrachlorodibenzo-p-dioxin</t>
        </is>
      </c>
      <c r="B89" t="n">
        <v>0</v>
      </c>
      <c r="C89" t="inlineStr">
        <is>
          <t>biosphere3</t>
        </is>
      </c>
      <c r="E89" t="inlineStr">
        <is>
          <t>kilogram</t>
        </is>
      </c>
      <c r="F89" t="inlineStr">
        <is>
          <t>air</t>
        </is>
      </c>
      <c r="G89" t="inlineStr">
        <is>
          <t>biosphere</t>
        </is>
      </c>
      <c r="L89" t="inlineStr">
        <is>
          <t>geometric mean of Remus et al. (2013) data range</t>
        </is>
      </c>
      <c r="M89" t="inlineStr">
        <is>
          <t>2::3::2::5::1::1</t>
        </is>
      </c>
      <c r="N89" t="n">
        <v>0</v>
      </c>
      <c r="P89" t="inlineStr">
        <is>
          <t>steel production, electric, low-alloyed</t>
        </is>
      </c>
      <c r="Q89" t="inlineStr">
        <is>
          <t>steel, low-alloyed</t>
        </is>
      </c>
      <c r="R89" t="inlineStr">
        <is>
          <t>Europe without Switzerland and Austria</t>
        </is>
      </c>
    </row>
    <row r="90">
      <c r="A90" t="inlineStr">
        <is>
          <t>Hydrocarbons, aromatic</t>
        </is>
      </c>
      <c r="B90" t="n">
        <v>0</v>
      </c>
      <c r="C90" t="inlineStr">
        <is>
          <t>biosphere3</t>
        </is>
      </c>
      <c r="E90" t="inlineStr">
        <is>
          <t>kilogram</t>
        </is>
      </c>
      <c r="F90" t="inlineStr">
        <is>
          <t>air</t>
        </is>
      </c>
      <c r="G90" t="inlineStr">
        <is>
          <t>biosphere</t>
        </is>
      </c>
      <c r="L90" t="inlineStr">
        <is>
          <t>Source: Classen et al. (2009)</t>
        </is>
      </c>
      <c r="M90" t="inlineStr">
        <is>
          <t>2::3::2::5::1::1</t>
        </is>
      </c>
      <c r="N90" t="n">
        <v>0</v>
      </c>
      <c r="P90" t="inlineStr">
        <is>
          <t>steel production, electric, low-alloyed</t>
        </is>
      </c>
      <c r="Q90" t="inlineStr">
        <is>
          <t>steel, low-alloyed</t>
        </is>
      </c>
      <c r="R90" t="inlineStr">
        <is>
          <t>Europe without Switzerland and Austria</t>
        </is>
      </c>
    </row>
    <row r="91">
      <c r="A91" t="inlineStr">
        <is>
          <t>Hydrogen chloride</t>
        </is>
      </c>
      <c r="B91" t="n">
        <v>0</v>
      </c>
      <c r="C91" t="inlineStr">
        <is>
          <t>biosphere3</t>
        </is>
      </c>
      <c r="E91" t="inlineStr">
        <is>
          <t>kilogram</t>
        </is>
      </c>
      <c r="F91" t="inlineStr">
        <is>
          <t>air</t>
        </is>
      </c>
      <c r="G91" t="inlineStr">
        <is>
          <t>biosphere</t>
        </is>
      </c>
      <c r="L91" t="inlineStr">
        <is>
          <t>geometric mean of Remus et al. (2013) data range</t>
        </is>
      </c>
      <c r="M91" t="inlineStr">
        <is>
          <t>2::3::2::5::1::1</t>
        </is>
      </c>
      <c r="N91" t="n">
        <v>0</v>
      </c>
      <c r="P91" t="inlineStr">
        <is>
          <t>steel production, electric, low-alloyed</t>
        </is>
      </c>
      <c r="Q91" t="inlineStr">
        <is>
          <t>steel, low-alloyed</t>
        </is>
      </c>
      <c r="R91" t="inlineStr">
        <is>
          <t>Europe without Switzerland and Austria</t>
        </is>
      </c>
    </row>
    <row r="92">
      <c r="A92" t="inlineStr">
        <is>
          <t>Hydrogen fluoride</t>
        </is>
      </c>
      <c r="B92" t="n">
        <v>0</v>
      </c>
      <c r="C92" t="inlineStr">
        <is>
          <t>biosphere3</t>
        </is>
      </c>
      <c r="E92" t="inlineStr">
        <is>
          <t>kilogram</t>
        </is>
      </c>
      <c r="F92" t="inlineStr">
        <is>
          <t>air</t>
        </is>
      </c>
      <c r="G92" t="inlineStr">
        <is>
          <t>biosphere</t>
        </is>
      </c>
      <c r="L92" t="inlineStr">
        <is>
          <t>geometric mean of Remus et al. (2013) data range</t>
        </is>
      </c>
      <c r="M92" t="inlineStr">
        <is>
          <t>2::3::2::5::1::1</t>
        </is>
      </c>
      <c r="N92" t="n">
        <v>0</v>
      </c>
      <c r="P92" t="inlineStr">
        <is>
          <t>steel production, electric, low-alloyed</t>
        </is>
      </c>
      <c r="Q92" t="inlineStr">
        <is>
          <t>steel, low-alloyed</t>
        </is>
      </c>
      <c r="R92" t="inlineStr">
        <is>
          <t>Europe without Switzerland and Austria</t>
        </is>
      </c>
    </row>
    <row r="93">
      <c r="A93" t="inlineStr">
        <is>
          <t>Lead</t>
        </is>
      </c>
      <c r="B93" t="n">
        <v>0</v>
      </c>
      <c r="C93" t="inlineStr">
        <is>
          <t>biosphere3</t>
        </is>
      </c>
      <c r="E93" t="inlineStr">
        <is>
          <t>kilogram</t>
        </is>
      </c>
      <c r="F93" t="inlineStr">
        <is>
          <t>air</t>
        </is>
      </c>
      <c r="G93" t="inlineStr">
        <is>
          <t>biosphere</t>
        </is>
      </c>
      <c r="L93" t="inlineStr">
        <is>
          <t>geometric mean of Remus et al. (2013) data range</t>
        </is>
      </c>
      <c r="M93" t="inlineStr">
        <is>
          <t>2::3::2::5::1::1</t>
        </is>
      </c>
      <c r="N93" t="n">
        <v>0</v>
      </c>
      <c r="P93" t="inlineStr">
        <is>
          <t>steel production, electric, low-alloyed</t>
        </is>
      </c>
      <c r="Q93" t="inlineStr">
        <is>
          <t>steel, low-alloyed</t>
        </is>
      </c>
      <c r="R93" t="inlineStr">
        <is>
          <t>Europe without Switzerland and Austria</t>
        </is>
      </c>
    </row>
    <row r="94">
      <c r="A94" t="inlineStr">
        <is>
          <t>Mercury</t>
        </is>
      </c>
      <c r="B94" t="n">
        <v>0</v>
      </c>
      <c r="C94" t="inlineStr">
        <is>
          <t>biosphere3</t>
        </is>
      </c>
      <c r="E94" t="inlineStr">
        <is>
          <t>kilogram</t>
        </is>
      </c>
      <c r="F94" t="inlineStr">
        <is>
          <t>air</t>
        </is>
      </c>
      <c r="G94" t="inlineStr">
        <is>
          <t>biosphere</t>
        </is>
      </c>
      <c r="L94" t="inlineStr">
        <is>
          <t>geometric mean of Remus et al. (2013) data range</t>
        </is>
      </c>
      <c r="M94" t="inlineStr">
        <is>
          <t>2::3::2::5::1::1</t>
        </is>
      </c>
      <c r="N94" t="n">
        <v>0</v>
      </c>
      <c r="P94" t="inlineStr">
        <is>
          <t>steel production, electric, low-alloyed</t>
        </is>
      </c>
      <c r="Q94" t="inlineStr">
        <is>
          <t>steel, low-alloyed</t>
        </is>
      </c>
      <c r="R94" t="inlineStr">
        <is>
          <t>Europe without Switzerland and Austria</t>
        </is>
      </c>
    </row>
    <row r="95">
      <c r="A95" t="inlineStr">
        <is>
          <t>Nickel</t>
        </is>
      </c>
      <c r="B95" t="n">
        <v>0</v>
      </c>
      <c r="C95" t="inlineStr">
        <is>
          <t>biosphere3</t>
        </is>
      </c>
      <c r="E95" t="inlineStr">
        <is>
          <t>kilogram</t>
        </is>
      </c>
      <c r="F95" t="inlineStr">
        <is>
          <t>air</t>
        </is>
      </c>
      <c r="G95" t="inlineStr">
        <is>
          <t>biosphere</t>
        </is>
      </c>
      <c r="L95" t="inlineStr">
        <is>
          <t>geometric mean of Remus et al. (2013) data range</t>
        </is>
      </c>
      <c r="M95" t="inlineStr">
        <is>
          <t>2::3::2::5::1::1</t>
        </is>
      </c>
      <c r="N95" t="n">
        <v>0</v>
      </c>
      <c r="P95" t="inlineStr">
        <is>
          <t>steel production, electric, low-alloyed</t>
        </is>
      </c>
      <c r="Q95" t="inlineStr">
        <is>
          <t>steel, low-alloyed</t>
        </is>
      </c>
      <c r="R95" t="inlineStr">
        <is>
          <t>Europe without Switzerland and Austria</t>
        </is>
      </c>
    </row>
    <row r="96">
      <c r="A96" t="inlineStr">
        <is>
          <t>Nitrogen oxides</t>
        </is>
      </c>
      <c r="B96" t="n">
        <v>0</v>
      </c>
      <c r="C96" t="inlineStr">
        <is>
          <t>biosphere3</t>
        </is>
      </c>
      <c r="E96" t="inlineStr">
        <is>
          <t>kilogram</t>
        </is>
      </c>
      <c r="F96" t="inlineStr">
        <is>
          <t>air</t>
        </is>
      </c>
      <c r="G96" t="inlineStr">
        <is>
          <t>biosphere</t>
        </is>
      </c>
      <c r="L96" t="inlineStr">
        <is>
          <t>geometric mean of Remus et al. (2013) data range</t>
        </is>
      </c>
      <c r="M96" t="inlineStr">
        <is>
          <t>2::3::2::5::1::1</t>
        </is>
      </c>
      <c r="N96" t="n">
        <v>0</v>
      </c>
      <c r="P96" t="inlineStr">
        <is>
          <t>steel production, electric, low-alloyed</t>
        </is>
      </c>
      <c r="Q96" t="inlineStr">
        <is>
          <t>steel, low-alloyed</t>
        </is>
      </c>
      <c r="R96" t="inlineStr">
        <is>
          <t>Europe without Switzerland and Austria</t>
        </is>
      </c>
    </row>
    <row r="97">
      <c r="A97" t="inlineStr">
        <is>
          <t>PAH, polycyclic aromatic hydrocarbons</t>
        </is>
      </c>
      <c r="B97" t="n">
        <v>0</v>
      </c>
      <c r="C97" t="inlineStr">
        <is>
          <t>biosphere3</t>
        </is>
      </c>
      <c r="E97" t="inlineStr">
        <is>
          <t>kilogram</t>
        </is>
      </c>
      <c r="F97" t="inlineStr">
        <is>
          <t>air</t>
        </is>
      </c>
      <c r="G97" t="inlineStr">
        <is>
          <t>biosphere</t>
        </is>
      </c>
      <c r="L97" t="inlineStr">
        <is>
          <t>geometric mean of Remus et al. (2013) data range</t>
        </is>
      </c>
      <c r="M97" t="inlineStr">
        <is>
          <t>2::3::2::5::1::1</t>
        </is>
      </c>
      <c r="N97" t="n">
        <v>0</v>
      </c>
      <c r="P97" t="inlineStr">
        <is>
          <t>steel production, electric, low-alloyed</t>
        </is>
      </c>
      <c r="Q97" t="inlineStr">
        <is>
          <t>steel, low-alloyed</t>
        </is>
      </c>
      <c r="R97" t="inlineStr">
        <is>
          <t>Europe without Switzerland and Austria</t>
        </is>
      </c>
    </row>
    <row r="98">
      <c r="A98" t="inlineStr">
        <is>
          <t>Particulates, &lt; 2.5 um</t>
        </is>
      </c>
      <c r="B98" t="n">
        <v>0</v>
      </c>
      <c r="C98" t="inlineStr">
        <is>
          <t>biosphere3</t>
        </is>
      </c>
      <c r="E98" t="inlineStr">
        <is>
          <t>kilogram</t>
        </is>
      </c>
      <c r="F98" t="inlineStr">
        <is>
          <t>air</t>
        </is>
      </c>
      <c r="G98" t="inlineStr">
        <is>
          <t>biosphere</t>
        </is>
      </c>
      <c r="L98" t="inlineStr">
        <is>
          <t>geometric mean of Remus et al. (2013) data range (assume 42.5% of total dust emissions [Classen et al. 2009])</t>
        </is>
      </c>
      <c r="M98" t="inlineStr">
        <is>
          <t>2::3::2::5::1::1</t>
        </is>
      </c>
      <c r="N98" t="n">
        <v>0</v>
      </c>
      <c r="P98" t="inlineStr">
        <is>
          <t>steel production, electric, low-alloyed</t>
        </is>
      </c>
      <c r="Q98" t="inlineStr">
        <is>
          <t>steel, low-alloyed</t>
        </is>
      </c>
      <c r="R98" t="inlineStr">
        <is>
          <t>Europe without Switzerland and Austria</t>
        </is>
      </c>
    </row>
    <row r="99">
      <c r="A99" t="inlineStr">
        <is>
          <t>Particulates, &gt; 10 um</t>
        </is>
      </c>
      <c r="B99" t="n">
        <v>0</v>
      </c>
      <c r="C99" t="inlineStr">
        <is>
          <t>biosphere3</t>
        </is>
      </c>
      <c r="E99" t="inlineStr">
        <is>
          <t>kilogram</t>
        </is>
      </c>
      <c r="F99" t="inlineStr">
        <is>
          <t>air</t>
        </is>
      </c>
      <c r="G99" t="inlineStr">
        <is>
          <t>biosphere</t>
        </is>
      </c>
      <c r="L99" t="inlineStr">
        <is>
          <t>geometric mean of Remus et al. (2013) data range (assume 15% of total dust emissions [Classen et al. 2009])</t>
        </is>
      </c>
      <c r="M99" t="inlineStr">
        <is>
          <t>2::3::2::5::1::1</t>
        </is>
      </c>
      <c r="N99" t="n">
        <v>0</v>
      </c>
      <c r="P99" t="inlineStr">
        <is>
          <t>steel production, electric, low-alloyed</t>
        </is>
      </c>
      <c r="Q99" t="inlineStr">
        <is>
          <t>steel, low-alloyed</t>
        </is>
      </c>
      <c r="R99" t="inlineStr">
        <is>
          <t>Europe without Switzerland and Austria</t>
        </is>
      </c>
    </row>
    <row r="100">
      <c r="A100" t="inlineStr">
        <is>
          <t>Particulates, &gt; 2.5 um, and &lt; 10um</t>
        </is>
      </c>
      <c r="B100" t="n">
        <v>0</v>
      </c>
      <c r="C100" t="inlineStr">
        <is>
          <t>biosphere3</t>
        </is>
      </c>
      <c r="E100" t="inlineStr">
        <is>
          <t>kilogram</t>
        </is>
      </c>
      <c r="F100" t="inlineStr">
        <is>
          <t>air</t>
        </is>
      </c>
      <c r="G100" t="inlineStr">
        <is>
          <t>biosphere</t>
        </is>
      </c>
      <c r="L100" t="inlineStr">
        <is>
          <t>geometric mean of Remus et al. (2013) data range (assume 42.5% of total dust emissions [Classen et al. 2009])</t>
        </is>
      </c>
      <c r="M100" t="inlineStr">
        <is>
          <t>2::3::2::5::1::1</t>
        </is>
      </c>
      <c r="N100" t="n">
        <v>0</v>
      </c>
      <c r="P100" t="inlineStr">
        <is>
          <t>steel production, electric, low-alloyed</t>
        </is>
      </c>
      <c r="Q100" t="inlineStr">
        <is>
          <t>steel, low-alloyed</t>
        </is>
      </c>
      <c r="R100" t="inlineStr">
        <is>
          <t>Europe without Switzerland and Austria</t>
        </is>
      </c>
    </row>
    <row r="101">
      <c r="A101" t="inlineStr">
        <is>
          <t>Polychlorinated biphenyls</t>
        </is>
      </c>
      <c r="B101" t="n">
        <v>0</v>
      </c>
      <c r="C101" t="inlineStr">
        <is>
          <t>biosphere3</t>
        </is>
      </c>
      <c r="E101" t="inlineStr">
        <is>
          <t>kilogram</t>
        </is>
      </c>
      <c r="F101" t="inlineStr">
        <is>
          <t>air</t>
        </is>
      </c>
      <c r="G101" t="inlineStr">
        <is>
          <t>biosphere</t>
        </is>
      </c>
      <c r="L101" t="inlineStr">
        <is>
          <t>geometric mean of Remus et al. (2013) data range</t>
        </is>
      </c>
      <c r="M101" t="inlineStr">
        <is>
          <t>2::3::2::5::1::1</t>
        </is>
      </c>
      <c r="N101" t="n">
        <v>0</v>
      </c>
      <c r="P101" t="inlineStr">
        <is>
          <t>steel production, electric, low-alloyed</t>
        </is>
      </c>
      <c r="Q101" t="inlineStr">
        <is>
          <t>steel, low-alloyed</t>
        </is>
      </c>
      <c r="R101" t="inlineStr">
        <is>
          <t>Europe without Switzerland and Austria</t>
        </is>
      </c>
    </row>
    <row r="102">
      <c r="A102" t="inlineStr">
        <is>
          <t>Sulfur dioxide</t>
        </is>
      </c>
      <c r="B102" t="n">
        <v>0</v>
      </c>
      <c r="C102" t="inlineStr">
        <is>
          <t>biosphere3</t>
        </is>
      </c>
      <c r="E102" t="inlineStr">
        <is>
          <t>kilogram</t>
        </is>
      </c>
      <c r="F102" t="inlineStr">
        <is>
          <t>air</t>
        </is>
      </c>
      <c r="G102" t="inlineStr">
        <is>
          <t>biosphere</t>
        </is>
      </c>
      <c r="L102" t="inlineStr">
        <is>
          <t>geometric mean of Remus et al. (2013) data range</t>
        </is>
      </c>
      <c r="M102" t="inlineStr">
        <is>
          <t>2::3::2::5::1::1</t>
        </is>
      </c>
      <c r="N102" t="n">
        <v>0</v>
      </c>
      <c r="P102" t="inlineStr">
        <is>
          <t>steel production, electric, low-alloyed</t>
        </is>
      </c>
      <c r="Q102" t="inlineStr">
        <is>
          <t>steel, low-alloyed</t>
        </is>
      </c>
      <c r="R102" t="inlineStr">
        <is>
          <t>Europe without Switzerland and Austria</t>
        </is>
      </c>
    </row>
    <row r="103">
      <c r="A103" t="inlineStr">
        <is>
          <t>Water</t>
        </is>
      </c>
      <c r="B103" t="n">
        <v>0</v>
      </c>
      <c r="C103" t="inlineStr">
        <is>
          <t>biosphere3</t>
        </is>
      </c>
      <c r="E103" t="inlineStr">
        <is>
          <t>cubic meter</t>
        </is>
      </c>
      <c r="F103" t="inlineStr">
        <is>
          <t>air</t>
        </is>
      </c>
      <c r="G103" t="inlineStr">
        <is>
          <t>biosphere</t>
        </is>
      </c>
      <c r="L103" t="inlineStr">
        <is>
          <t>Source: Classen et al. (2009)</t>
        </is>
      </c>
      <c r="M103" t="inlineStr">
        <is>
          <t>2::2::1::5::1::1</t>
        </is>
      </c>
      <c r="N103" t="n">
        <v>0</v>
      </c>
      <c r="P103" t="inlineStr">
        <is>
          <t>steel production, electric, low-alloyed</t>
        </is>
      </c>
      <c r="Q103" t="inlineStr">
        <is>
          <t>steel, low-alloyed</t>
        </is>
      </c>
      <c r="R103" t="inlineStr">
        <is>
          <t>Europe without Switzerland and Austria</t>
        </is>
      </c>
    </row>
    <row r="104">
      <c r="A104" t="inlineStr">
        <is>
          <t>Water</t>
        </is>
      </c>
      <c r="B104" t="n">
        <v>0</v>
      </c>
      <c r="C104" t="inlineStr">
        <is>
          <t>biosphere3</t>
        </is>
      </c>
      <c r="E104" t="inlineStr">
        <is>
          <t>cubic meter</t>
        </is>
      </c>
      <c r="F104" t="inlineStr">
        <is>
          <t>water</t>
        </is>
      </c>
      <c r="G104" t="inlineStr">
        <is>
          <t>biosphere</t>
        </is>
      </c>
      <c r="L104" t="inlineStr">
        <is>
          <t>Source: Classen et al. (2009)</t>
        </is>
      </c>
      <c r="M104" t="inlineStr">
        <is>
          <t>2::2::1::5::1::1</t>
        </is>
      </c>
      <c r="N104" t="n">
        <v>0</v>
      </c>
      <c r="P104" t="inlineStr">
        <is>
          <t>steel production, electric, low-alloyed</t>
        </is>
      </c>
      <c r="Q104" t="inlineStr">
        <is>
          <t>steel, low-alloyed</t>
        </is>
      </c>
      <c r="R104" t="inlineStr">
        <is>
          <t>Europe without Switzerland and Austria</t>
        </is>
      </c>
    </row>
    <row r="105">
      <c r="A105" t="inlineStr">
        <is>
          <t>Water, cooling, unspecified natural origin</t>
        </is>
      </c>
      <c r="B105" t="n">
        <v>0</v>
      </c>
      <c r="C105" t="inlineStr">
        <is>
          <t>biosphere3</t>
        </is>
      </c>
      <c r="E105" t="inlineStr">
        <is>
          <t>cubic meter</t>
        </is>
      </c>
      <c r="F105" t="inlineStr">
        <is>
          <t>natural resource::in water</t>
        </is>
      </c>
      <c r="G105" t="inlineStr">
        <is>
          <t>biosphere</t>
        </is>
      </c>
      <c r="L105" t="inlineStr">
        <is>
          <t>geometric mean of Remus et al. (2013) data range</t>
        </is>
      </c>
      <c r="M105" t="inlineStr">
        <is>
          <t>2::3::3::5::1::1</t>
        </is>
      </c>
      <c r="N105" t="n">
        <v>0</v>
      </c>
      <c r="P105" t="inlineStr">
        <is>
          <t>steel production, electric, low-alloyed</t>
        </is>
      </c>
      <c r="Q105" t="inlineStr">
        <is>
          <t>steel, low-alloyed</t>
        </is>
      </c>
      <c r="R105" t="inlineStr">
        <is>
          <t>Europe without Switzerland and Austria</t>
        </is>
      </c>
    </row>
    <row r="106">
      <c r="A106" t="inlineStr">
        <is>
          <t>Zinc</t>
        </is>
      </c>
      <c r="B106" t="n">
        <v>0</v>
      </c>
      <c r="C106" t="inlineStr">
        <is>
          <t>biosphere3</t>
        </is>
      </c>
      <c r="E106" t="inlineStr">
        <is>
          <t>kilogram</t>
        </is>
      </c>
      <c r="F106" t="inlineStr">
        <is>
          <t>air</t>
        </is>
      </c>
      <c r="G106" t="inlineStr">
        <is>
          <t>biosphere</t>
        </is>
      </c>
      <c r="L106" t="inlineStr">
        <is>
          <t>geometric mean of Remus et al. (2013) data range</t>
        </is>
      </c>
      <c r="M106" t="inlineStr">
        <is>
          <t>2::3::2::5::1::1</t>
        </is>
      </c>
      <c r="N106" t="n">
        <v>0</v>
      </c>
      <c r="P106" t="inlineStr">
        <is>
          <t>steel production, electric, low-alloyed</t>
        </is>
      </c>
      <c r="Q106" t="inlineStr">
        <is>
          <t>steel, low-alloyed</t>
        </is>
      </c>
      <c r="R106" t="inlineStr">
        <is>
          <t>Europe without Switzerland and Austria</t>
        </is>
      </c>
    </row>
    <row r="107">
      <c r="A107" t="inlineStr">
        <is>
          <t>steel production, natural gas-based direct reduction iron-electric arc furnace, unalloyed</t>
        </is>
      </c>
      <c r="B107" t="n">
        <v>1</v>
      </c>
      <c r="C107" s="22" t="inlineStr">
        <is>
          <t>steel_paper</t>
        </is>
      </c>
      <c r="D107" t="inlineStr">
        <is>
          <t>GLO</t>
        </is>
      </c>
      <c r="E107" t="inlineStr">
        <is>
          <t>kilogram</t>
        </is>
      </c>
      <c r="G107" t="inlineStr">
        <is>
          <t>production</t>
        </is>
      </c>
      <c r="I107" t="n">
        <v>0</v>
      </c>
      <c r="J107" t="n">
        <v>1</v>
      </c>
      <c r="L107" t="inlineStr">
        <is>
          <t>&gt; Modifications (2025): changed location from RER to GLO.</t>
        </is>
      </c>
      <c r="N107" t="n">
        <v>11181008749.41</v>
      </c>
      <c r="O107" t="inlineStr">
        <is>
          <t>steel, unalloyed</t>
        </is>
      </c>
    </row>
    <row r="108">
      <c r="A108" s="24" t="inlineStr">
        <is>
          <t xml:space="preserve">pig iron production, with natural gas-based direct reduction </t>
        </is>
      </c>
      <c r="B108" t="n">
        <v>1.061992490719463</v>
      </c>
      <c r="C108" s="22" t="inlineStr">
        <is>
          <t>steel_paper</t>
        </is>
      </c>
      <c r="D108" t="inlineStr">
        <is>
          <t>GLO</t>
        </is>
      </c>
      <c r="E108" t="inlineStr">
        <is>
          <t>kilogram</t>
        </is>
      </c>
      <c r="G108" t="inlineStr">
        <is>
          <t>technosphere</t>
        </is>
      </c>
      <c r="H108" t="inlineStr">
        <is>
          <t>EW_EAF_lowalloy_ScalingFactor*1.131392</t>
        </is>
      </c>
      <c r="L108" s="51" t="inlineStr">
        <is>
          <t>&gt; Modifications (2025): input of sponge iron of 1.06, instead of scrap
&gt; original was: instead of 1.13 of scrap</t>
        </is>
      </c>
      <c r="O108" s="22" t="inlineStr">
        <is>
          <t>iron</t>
        </is>
      </c>
    </row>
    <row r="109">
      <c r="A109" t="inlineStr">
        <is>
          <t>market for anode, for metal electrolysis</t>
        </is>
      </c>
      <c r="B109" t="n">
        <v>0</v>
      </c>
      <c r="C109" t="inlineStr">
        <is>
          <t>cutoff391</t>
        </is>
      </c>
      <c r="D109" t="inlineStr">
        <is>
          <t>GLO</t>
        </is>
      </c>
      <c r="E109" t="inlineStr">
        <is>
          <t>kilogram</t>
        </is>
      </c>
      <c r="G109" t="inlineStr">
        <is>
          <t>technosphere</t>
        </is>
      </c>
      <c r="L109" t="inlineStr">
        <is>
          <t>geometric mean of Remus et al. (2013) data range</t>
        </is>
      </c>
      <c r="M109" t="inlineStr">
        <is>
          <t>2::3::2::5::1::1</t>
        </is>
      </c>
      <c r="N109" t="n">
        <v>0</v>
      </c>
      <c r="O109" t="inlineStr">
        <is>
          <t>anode, for metal electrolysis</t>
        </is>
      </c>
      <c r="P109" t="inlineStr">
        <is>
          <t>steel production, electric, low-alloyed</t>
        </is>
      </c>
      <c r="Q109" t="inlineStr">
        <is>
          <t>steel, low-alloyed</t>
        </is>
      </c>
      <c r="R109" t="inlineStr">
        <is>
          <t>Europe without Switzerland and Austria</t>
        </is>
      </c>
    </row>
    <row r="110">
      <c r="A110" t="inlineStr">
        <is>
          <t>market for argon, liquid</t>
        </is>
      </c>
      <c r="B110" t="n">
        <v>0</v>
      </c>
      <c r="C110" t="inlineStr">
        <is>
          <t>cutoff391</t>
        </is>
      </c>
      <c r="D110" t="inlineStr">
        <is>
          <t>RER</t>
        </is>
      </c>
      <c r="E110" t="inlineStr">
        <is>
          <t>kilogram</t>
        </is>
      </c>
      <c r="G110" t="inlineStr">
        <is>
          <t>technosphere</t>
        </is>
      </c>
      <c r="L110" t="inlineStr">
        <is>
          <t>&gt; Modifications (2025): changed location from RER to RoW.
&lt;Original ecoinvent 3.8 comment: &gt;
geometric mean of Remus et al. (2013) data range (m3:kg conversion based on: http://www.airproducts.com/Products/Gases/gas-facts/conversion-formulas/weight-and-volume-equivalents/argon.aspx)</t>
        </is>
      </c>
      <c r="M110" t="inlineStr">
        <is>
          <t>2::4::1::4::2::1</t>
        </is>
      </c>
      <c r="N110" t="n">
        <v>0</v>
      </c>
      <c r="O110" t="inlineStr">
        <is>
          <t>argon, liquid</t>
        </is>
      </c>
      <c r="P110" t="inlineStr">
        <is>
          <t>steel production, electric, low-alloyed</t>
        </is>
      </c>
      <c r="Q110" t="inlineStr">
        <is>
          <t>steel, low-alloyed</t>
        </is>
      </c>
      <c r="R110" t="inlineStr">
        <is>
          <t>Europe without Switzerland and Austria</t>
        </is>
      </c>
    </row>
    <row r="111">
      <c r="A111" t="inlineStr">
        <is>
          <t>market for electric arc furnace converter</t>
        </is>
      </c>
      <c r="B111" t="n">
        <v>0</v>
      </c>
      <c r="C111" t="inlineStr">
        <is>
          <t>cutoff391</t>
        </is>
      </c>
      <c r="D111" t="inlineStr">
        <is>
          <t>GLO</t>
        </is>
      </c>
      <c r="E111" t="inlineStr">
        <is>
          <t>unit</t>
        </is>
      </c>
      <c r="G111" t="inlineStr">
        <is>
          <t>technosphere</t>
        </is>
      </c>
      <c r="L111" t="inlineStr">
        <is>
          <t>Source: Classen et al. (2009)</t>
        </is>
      </c>
      <c r="M111" t="inlineStr">
        <is>
          <t>5::5::5::5::5::1</t>
        </is>
      </c>
      <c r="N111" t="n">
        <v>0</v>
      </c>
      <c r="O111" t="inlineStr">
        <is>
          <t>electric arc furnace converter</t>
        </is>
      </c>
      <c r="P111" t="inlineStr">
        <is>
          <t>steel production, electric, low-alloyed</t>
        </is>
      </c>
      <c r="Q111" t="inlineStr">
        <is>
          <t>steel, low-alloyed</t>
        </is>
      </c>
      <c r="R111" t="inlineStr">
        <is>
          <t>Europe without Switzerland and Austria</t>
        </is>
      </c>
    </row>
    <row r="112">
      <c r="A112" t="inlineStr">
        <is>
          <t>market for electric arc furnace dust</t>
        </is>
      </c>
      <c r="B112" t="n">
        <v>0</v>
      </c>
      <c r="C112" t="inlineStr">
        <is>
          <t>cutoff391</t>
        </is>
      </c>
      <c r="D112" s="21" t="inlineStr">
        <is>
          <t>RER</t>
        </is>
      </c>
      <c r="E112" t="inlineStr">
        <is>
          <t>kilogram</t>
        </is>
      </c>
      <c r="G112" t="inlineStr">
        <is>
          <t>technosphere</t>
        </is>
      </c>
      <c r="L112" t="inlineStr">
        <is>
          <t>&gt; Modifications (2025): changed location from RER to RoW.
&lt;Original ecoinvent 3.8 comment: &gt;
Amount reported by worldsteel (2010) and is representative of the average global situation in 2009. Also based on worldsteel (2010), an internal recovery (recycling) rate of 10% is assumed. Source: Worldsteel (2010). Steel industry by-products. World Steel Association: Brussels, Belgium.</t>
        </is>
      </c>
      <c r="M112" t="inlineStr">
        <is>
          <t>2::3::3::2::2::1</t>
        </is>
      </c>
      <c r="N112" t="n">
        <v>213863626.753465</v>
      </c>
      <c r="O112" t="inlineStr">
        <is>
          <t>electric arc furnace dust</t>
        </is>
      </c>
      <c r="P112" t="inlineStr">
        <is>
          <t>steel production, electric, low-alloyed</t>
        </is>
      </c>
      <c r="Q112" t="inlineStr">
        <is>
          <t>steel, low-alloyed</t>
        </is>
      </c>
      <c r="R112" t="inlineStr">
        <is>
          <t>Europe without Switzerland and Austria</t>
        </is>
      </c>
    </row>
    <row r="113">
      <c r="A113" s="25" t="inlineStr">
        <is>
          <t>market for electric arc furnace slag</t>
        </is>
      </c>
      <c r="B113" t="n">
        <v>-0.1549821636910023</v>
      </c>
      <c r="C113" t="inlineStr">
        <is>
          <t>cutoff391</t>
        </is>
      </c>
      <c r="D113" s="21" t="inlineStr">
        <is>
          <t>RER</t>
        </is>
      </c>
      <c r="E113" t="inlineStr">
        <is>
          <t>kilogram</t>
        </is>
      </c>
      <c r="G113" t="inlineStr">
        <is>
          <t>technosphere</t>
        </is>
      </c>
      <c r="H113" t="inlineStr">
        <is>
          <t>EW_EAF_lowalloy_ScalingFactor*(-0.16511)</t>
        </is>
      </c>
      <c r="I113" t="n">
        <v>2</v>
      </c>
      <c r="J113" t="n">
        <v>-1.925066886936832</v>
      </c>
      <c r="K113" t="n">
        <v>0.06652067347825036</v>
      </c>
      <c r="L113" s="25" t="inlineStr">
        <is>
          <t>&gt; Modifications (2025): Increased value of:  electric arc furnace slag 	market for electric arc furnace slag	RER	ecoinvent38_cutoff	to  -0.165106 kg (sum of all slag types in ecoinvent 3.8). Changed location from RER to RoW.
&lt;Original ecoinvent 3.8 comment: &gt;
Amount reported by worldsteel (2010) and is representative of the average global situation in 2009. Also based on worldsteel (2010), an internal recovery (recycling) rate of 3% is assumed. Source: Worldsteel (2010). Steel industry by-products. World Steel Association: Brussels, Belgium.</t>
        </is>
      </c>
      <c r="M113" t="inlineStr">
        <is>
          <t>2::3::3::2::2::1</t>
        </is>
      </c>
      <c r="N113" t="n">
        <v>1630929022.24144</v>
      </c>
      <c r="O113" s="25" t="inlineStr">
        <is>
          <t>electric arc furnace slag</t>
        </is>
      </c>
      <c r="S113" t="b">
        <v>1</v>
      </c>
    </row>
    <row r="114">
      <c r="A114" t="inlineStr">
        <is>
          <t>market for ferromanganese, high-coal, 74.5% Mn</t>
        </is>
      </c>
      <c r="B114" t="n">
        <v>0.006</v>
      </c>
      <c r="C114" t="inlineStr">
        <is>
          <t>cutoff391</t>
        </is>
      </c>
      <c r="D114" t="inlineStr">
        <is>
          <t>GLO</t>
        </is>
      </c>
      <c r="E114" t="inlineStr">
        <is>
          <t>kilogram</t>
        </is>
      </c>
      <c r="G114" t="inlineStr">
        <is>
          <t>technosphere</t>
        </is>
      </c>
      <c r="H114" t="inlineStr">
        <is>
          <t>EW_EAF_lowalloy_ScalingFactor *0.010305</t>
        </is>
      </c>
      <c r="I114" t="n">
        <v>2</v>
      </c>
      <c r="J114" t="n">
        <v>-4.575156412890883</v>
      </c>
      <c r="K114" t="n">
        <v>0.03605551275463989</v>
      </c>
      <c r="L114" t="inlineStr">
        <is>
          <t>&gt; Modifications (2025): changed amount to the one of FeMn in ecoinvent for steel production, converter, unalloyed, RER
&gt; original was: 0.00967289199222203
&lt;Original ecoinvent 3.8 comment: &gt; Value taken from regional dataset for Switzerland, which was used as a proxy.</t>
        </is>
      </c>
      <c r="M114" t="inlineStr">
        <is>
          <t>2::2::1::1::1::1</t>
        </is>
      </c>
      <c r="N114" t="n">
        <v>0</v>
      </c>
      <c r="O114" t="inlineStr">
        <is>
          <t>ferromanganese, high-coal, 74.5% Mn</t>
        </is>
      </c>
    </row>
    <row r="115">
      <c r="A115" t="inlineStr">
        <is>
          <t>market for hard coal</t>
        </is>
      </c>
      <c r="B115" t="n">
        <v>0</v>
      </c>
      <c r="C115" t="inlineStr">
        <is>
          <t>cutoff391</t>
        </is>
      </c>
      <c r="D115" t="inlineStr">
        <is>
          <t>RoW</t>
        </is>
      </c>
      <c r="E115" t="inlineStr">
        <is>
          <t>kilogram</t>
        </is>
      </c>
      <c r="G115" t="inlineStr">
        <is>
          <t>technosphere</t>
        </is>
      </c>
      <c r="L115" t="inlineStr">
        <is>
          <t>geometric mean of Remus et al. (2013) data range</t>
        </is>
      </c>
      <c r="M115" t="inlineStr">
        <is>
          <t>2::3::2::5::1::1</t>
        </is>
      </c>
      <c r="N115" t="n">
        <v>0</v>
      </c>
      <c r="O115" t="inlineStr">
        <is>
          <t>hard coal</t>
        </is>
      </c>
      <c r="P115" t="inlineStr">
        <is>
          <t>steel production, electric, low-alloyed</t>
        </is>
      </c>
      <c r="Q115" t="inlineStr">
        <is>
          <t>steel, low-alloyed</t>
        </is>
      </c>
      <c r="R115" t="inlineStr">
        <is>
          <t>Europe without Switzerland and Austria</t>
        </is>
      </c>
    </row>
    <row r="116">
      <c r="A116" t="inlineStr">
        <is>
          <t>market for inert waste, for final disposal</t>
        </is>
      </c>
      <c r="B116" t="n">
        <v>0</v>
      </c>
      <c r="C116" t="inlineStr">
        <is>
          <t>cutoff391</t>
        </is>
      </c>
      <c r="D116" t="inlineStr">
        <is>
          <t>RoW</t>
        </is>
      </c>
      <c r="E116" t="inlineStr">
        <is>
          <t>kilogram</t>
        </is>
      </c>
      <c r="G116" t="inlineStr">
        <is>
          <t>technosphere</t>
        </is>
      </c>
      <c r="L116" t="inlineStr">
        <is>
          <t>Represents used refractories, etc.</t>
        </is>
      </c>
      <c r="M116" t="inlineStr">
        <is>
          <t>2::3::3::2::2::1</t>
        </is>
      </c>
      <c r="N116" t="n">
        <v>75833291.07138591</v>
      </c>
      <c r="O116" t="inlineStr">
        <is>
          <t>inert waste, for final disposal</t>
        </is>
      </c>
      <c r="P116" t="inlineStr">
        <is>
          <t>steel production, electric, low-alloyed</t>
        </is>
      </c>
      <c r="Q116" t="inlineStr">
        <is>
          <t>steel, low-alloyed</t>
        </is>
      </c>
      <c r="R116" t="inlineStr">
        <is>
          <t>Europe without Switzerland and Austria</t>
        </is>
      </c>
    </row>
    <row r="117">
      <c r="A117" t="inlineStr">
        <is>
          <t>market for nitrogen, liquid</t>
        </is>
      </c>
      <c r="B117" t="n">
        <v>0</v>
      </c>
      <c r="C117" t="inlineStr">
        <is>
          <t>cutoff391</t>
        </is>
      </c>
      <c r="D117" t="inlineStr">
        <is>
          <t>RoW</t>
        </is>
      </c>
      <c r="E117" t="inlineStr">
        <is>
          <t>kilogram</t>
        </is>
      </c>
      <c r="G117" t="inlineStr">
        <is>
          <t>technosphere</t>
        </is>
      </c>
      <c r="L117" t="inlineStr">
        <is>
          <t>&gt; Modifications (2025): changed location from RER to RoW.
&lt;Original ecoinvent 3.8 comment: &gt; geometric mean of Remus et al. (2013) data range (m3:kg conversion based on: http://www.airproducts.com/Products/Gases/gas-facts/conversion-formulas/weight-and-volume-equivalents/nitrogen.aspx)</t>
        </is>
      </c>
      <c r="M117" t="inlineStr">
        <is>
          <t>2::3::5::5::3::1</t>
        </is>
      </c>
      <c r="N117" t="n">
        <v>0</v>
      </c>
      <c r="O117" t="inlineStr">
        <is>
          <t>nitrogen, liquid</t>
        </is>
      </c>
      <c r="P117" t="inlineStr">
        <is>
          <t>steel production, electric, low-alloyed</t>
        </is>
      </c>
      <c r="Q117" t="inlineStr">
        <is>
          <t>steel, low-alloyed</t>
        </is>
      </c>
      <c r="R117" t="inlineStr">
        <is>
          <t>Europe without Switzerland and Austria</t>
        </is>
      </c>
    </row>
    <row r="118">
      <c r="A118" t="inlineStr">
        <is>
          <t>market for oxygen, liquid</t>
        </is>
      </c>
      <c r="B118" t="n">
        <v>0</v>
      </c>
      <c r="C118" t="inlineStr">
        <is>
          <t>cutoff391</t>
        </is>
      </c>
      <c r="D118" t="inlineStr">
        <is>
          <t>RoW</t>
        </is>
      </c>
      <c r="E118" t="inlineStr">
        <is>
          <t>kilogram</t>
        </is>
      </c>
      <c r="G118" t="inlineStr">
        <is>
          <t>technosphere</t>
        </is>
      </c>
      <c r="L118" t="inlineStr">
        <is>
          <t>&gt; Modifications (2025): changed location from RER to RoW.
&lt;Original ecoinvent 3.8 comment: &gt; geometric mean of Remus et al. (2013) data range (m3:kg conversion based on: http://www.airproducts.com/Products/Gases/gas-facts/conversion-formulas/weight-and-volume-equivalents/oxygen.aspx)</t>
        </is>
      </c>
      <c r="M118" t="inlineStr">
        <is>
          <t>2::3::2::5::1::1</t>
        </is>
      </c>
      <c r="N118" t="n">
        <v>0</v>
      </c>
      <c r="O118" t="inlineStr">
        <is>
          <t>oxygen, liquid</t>
        </is>
      </c>
      <c r="P118" t="inlineStr">
        <is>
          <t>steel production, electric, low-alloyed</t>
        </is>
      </c>
      <c r="Q118" t="inlineStr">
        <is>
          <t>steel, low-alloyed</t>
        </is>
      </c>
      <c r="R118" t="inlineStr">
        <is>
          <t>Europe without Switzerland and Austria</t>
        </is>
      </c>
    </row>
    <row r="119">
      <c r="A119" t="inlineStr">
        <is>
          <t>market for quicklime, in pieces, loose</t>
        </is>
      </c>
      <c r="B119" t="n">
        <v>0</v>
      </c>
      <c r="C119" t="inlineStr">
        <is>
          <t>cutoff391</t>
        </is>
      </c>
      <c r="D119" t="inlineStr">
        <is>
          <t>RoW</t>
        </is>
      </c>
      <c r="E119" t="inlineStr">
        <is>
          <t>kilogram</t>
        </is>
      </c>
      <c r="G119" t="inlineStr">
        <is>
          <t>technosphere</t>
        </is>
      </c>
      <c r="L119" t="inlineStr">
        <is>
          <t>geometric mean of Remus et al. (2013) data range</t>
        </is>
      </c>
      <c r="M119" t="inlineStr">
        <is>
          <t>2::3::2::5::1::1</t>
        </is>
      </c>
      <c r="N119" t="n">
        <v>0</v>
      </c>
      <c r="O119" t="inlineStr">
        <is>
          <t>quicklime, in pieces, loose</t>
        </is>
      </c>
      <c r="P119" t="inlineStr">
        <is>
          <t>steel production, electric, low-alloyed</t>
        </is>
      </c>
      <c r="Q119" t="inlineStr">
        <is>
          <t>steel, low-alloyed</t>
        </is>
      </c>
      <c r="R119" t="inlineStr">
        <is>
          <t>Europe without Switzerland and Austria</t>
        </is>
      </c>
    </row>
    <row r="120">
      <c r="A120" t="inlineStr">
        <is>
          <t>market for refractory, basic, packed</t>
        </is>
      </c>
      <c r="B120" t="n">
        <v>0</v>
      </c>
      <c r="C120" t="inlineStr">
        <is>
          <t>cutoff391</t>
        </is>
      </c>
      <c r="D120" t="inlineStr">
        <is>
          <t>GLO</t>
        </is>
      </c>
      <c r="E120" t="inlineStr">
        <is>
          <t>kilogram</t>
        </is>
      </c>
      <c r="G120" t="inlineStr">
        <is>
          <t>technosphere</t>
        </is>
      </c>
      <c r="L120" t="inlineStr">
        <is>
          <t>geometric mean of Remus et al. (2013) data range</t>
        </is>
      </c>
      <c r="M120" t="inlineStr">
        <is>
          <t>2::3::2::5::1::1</t>
        </is>
      </c>
      <c r="N120" t="n">
        <v>0</v>
      </c>
      <c r="O120" t="inlineStr">
        <is>
          <t>refractory, basic, packed</t>
        </is>
      </c>
      <c r="P120" t="inlineStr">
        <is>
          <t>steel production, electric, low-alloyed</t>
        </is>
      </c>
      <c r="Q120" t="inlineStr">
        <is>
          <t>steel, low-alloyed</t>
        </is>
      </c>
      <c r="R120" t="inlineStr">
        <is>
          <t>Europe without Switzerland and Austria</t>
        </is>
      </c>
    </row>
    <row r="121">
      <c r="A121" s="25" t="inlineStr">
        <is>
          <t>market group for electricity, medium voltage</t>
        </is>
      </c>
      <c r="B121" t="n">
        <v>0.5162630369453775</v>
      </c>
      <c r="C121" t="inlineStr">
        <is>
          <t>cutoff391</t>
        </is>
      </c>
      <c r="D121" t="inlineStr">
        <is>
          <t>GLO</t>
        </is>
      </c>
      <c r="E121" t="inlineStr">
        <is>
          <t>kilowatt hour</t>
        </is>
      </c>
      <c r="G121" t="inlineStr">
        <is>
          <t>technosphere</t>
        </is>
      </c>
      <c r="H121" t="inlineStr">
        <is>
          <t>EW_EAF_lowalloy_ScalingFactor*0.55</t>
        </is>
      </c>
      <c r="L121" s="25" t="inlineStr">
        <is>
          <t>&gt; Modifications (2025): used input from market group instead of separate countries (aggregated the amount to 1 value from 1 market). Changed location from RER to GLO</t>
        </is>
      </c>
      <c r="O121" t="inlineStr">
        <is>
          <t>electricity, medium voltage</t>
        </is>
      </c>
    </row>
    <row r="122">
      <c r="A122" s="25" t="inlineStr">
        <is>
          <t>market group for natural gas, high pressure</t>
        </is>
      </c>
      <c r="B122" t="n">
        <v>0.007023523952625067</v>
      </c>
      <c r="C122" t="inlineStr">
        <is>
          <t>cutoff391</t>
        </is>
      </c>
      <c r="D122" t="inlineStr">
        <is>
          <t>GLO</t>
        </is>
      </c>
      <c r="E122" t="inlineStr">
        <is>
          <t>cubic meter</t>
        </is>
      </c>
      <c r="G122" t="inlineStr">
        <is>
          <t>technosphere</t>
        </is>
      </c>
      <c r="H122" t="inlineStr">
        <is>
          <t>EW_EAF_lowalloy_ScalingFactor *0.0074825</t>
        </is>
      </c>
      <c r="L122" s="25" t="inlineStr">
        <is>
          <t>&gt; Modifications (2025): used input from market group instead of separate countries (aggregated the amount to 1 value from 1 market). changed location from RER to GLO</t>
        </is>
      </c>
      <c r="O122" t="inlineStr">
        <is>
          <t>natural gas, high pressure</t>
        </is>
      </c>
    </row>
  </sheetData>
  <autoFilter ref="A1:R122"/>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S139"/>
  <sheetViews>
    <sheetView tabSelected="1" zoomScale="137" zoomScaleNormal="85" workbookViewId="0">
      <selection activeCell="C7" sqref="C7"/>
    </sheetView>
  </sheetViews>
  <sheetFormatPr baseColWidth="10" defaultColWidth="8.83203125" defaultRowHeight="15"/>
  <cols>
    <col width="39.6640625" customWidth="1" min="1" max="1"/>
    <col width="28.6640625" customWidth="1" min="2" max="2"/>
    <col width="10.33203125" customWidth="1" min="3" max="3"/>
  </cols>
  <sheetData>
    <row r="1" ht="16" customHeight="1">
      <c r="A1" s="19" t="inlineStr">
        <is>
          <t>Activity</t>
        </is>
      </c>
      <c r="B1" s="19" t="inlineStr">
        <is>
          <t>pig iron production, with natural gas-based direct reduction, with carbon capture and storage</t>
        </is>
      </c>
      <c r="C1" s="21" t="n"/>
      <c r="D1" s="21" t="n"/>
      <c r="E1" s="21" t="n"/>
      <c r="F1" s="21" t="n"/>
      <c r="G1" s="21" t="n"/>
      <c r="H1" s="21" t="n"/>
    </row>
    <row r="2">
      <c r="A2" s="22" t="inlineStr">
        <is>
          <t>production amount</t>
        </is>
      </c>
      <c r="B2" s="22" t="n">
        <v>1</v>
      </c>
      <c r="C2" s="21" t="n"/>
      <c r="D2" s="21" t="n"/>
      <c r="E2" s="21" t="n"/>
      <c r="F2" s="21" t="n"/>
      <c r="G2" s="21" t="n"/>
      <c r="H2" s="21" t="n"/>
    </row>
    <row r="3">
      <c r="A3" s="22" t="inlineStr">
        <is>
          <t>location</t>
        </is>
      </c>
      <c r="B3" s="22" t="inlineStr">
        <is>
          <t>GLO</t>
        </is>
      </c>
      <c r="C3" s="21" t="n"/>
      <c r="D3" s="21" t="n"/>
      <c r="E3" s="21" t="n"/>
      <c r="F3" s="21" t="n"/>
      <c r="G3" s="21" t="n"/>
      <c r="H3" s="21" t="n"/>
    </row>
    <row r="4">
      <c r="A4" s="22" t="inlineStr">
        <is>
          <t>reference product</t>
        </is>
      </c>
      <c r="B4" s="22" t="inlineStr">
        <is>
          <t>pig iron</t>
        </is>
      </c>
      <c r="C4" s="21" t="n"/>
      <c r="D4" s="21" t="n"/>
      <c r="E4" s="21" t="n"/>
      <c r="F4" s="21" t="n"/>
      <c r="G4" s="21" t="n"/>
      <c r="H4" s="21" t="n"/>
    </row>
    <row r="5">
      <c r="A5" s="22" t="inlineStr">
        <is>
          <t>unit</t>
        </is>
      </c>
      <c r="B5" s="22" t="inlineStr">
        <is>
          <t>kilogram</t>
        </is>
      </c>
      <c r="C5" s="21" t="n"/>
      <c r="D5" s="21" t="n"/>
      <c r="E5" s="21" t="n"/>
      <c r="F5" s="21" t="n"/>
      <c r="G5" s="21" t="n"/>
      <c r="H5" s="21" t="n"/>
    </row>
    <row r="6" ht="14" customHeight="1">
      <c r="A6" s="22" t="inlineStr">
        <is>
          <t>comment</t>
        </is>
      </c>
      <c r="B6" s="43" t="inlineStr">
        <is>
          <t>This dataset, reused and modified by Harpprecht et al. (2025), represents iron production via natural gas-based direct reduction (NG-DRI) using the Midrex shaft furnace, based on the model by Nduagu et al. (2022). It is further enhanced to include carbon capture via vacuum pressure swing adsorption (VPSA), following Quader et al. (2016) and Keys et al. (2019). The modifications include the capture of 94% of CO₂ emissions from the DRI furnace (Keys et al. 2019, Table 8; Figure 25), a 95% and 100% reduction of SO₂ and NOₓ emissions respectively due to gas pretreatment before VPSA (Choi 2013; Keys et al. 2019), and a 50% reduction in particulate matter emissions by assuming co-capture in the CCS process, analogous to MEA-based systems (Choi 2013; Singh et al. 2011). Additional documentation and particulate matter emissions were added compared to the original NG-DRI dataset.
**References**:
* Nduagu, E. I., et al. (2022). Comparative life cycle assessment of natural gas and coal-based directly reduced iron (DRI) production. *Journal of Cleaner Production*, 347, 131196. [https://doi.org/10.1016/j.jclepro.2022.131196](https://doi.org/10.1016/j.jclepro.2022.131196)
* Quader, M. A., et al. (2016). Energy-efficient Ultra-Low CO₂ Steelmaking (ULCOS). *Renewable and Sustainable Energy Reviews*, 55, 537–549. [https://doi.org/10.1016/j.rser.2015.10.101](https://doi.org/10.1016/j.rser.2015.10.101)
* Keys, A., van Hout, M., Daniëls, B. (2019). *Decarbonisation options for the Dutch Steel Industry*. PBL Netherlands Environmental Assessment Agency. [https://www.pbl.nl/sites/default/files/downloads/pbl-2019-decarbonisation-options-for-the-dutch-steel-industry\_3723.pdf](https://www.pbl.nl/sites/default/files/downloads/pbl-2019-decarbonisation-options-for-the-dutch-steel-industry_3723.pdf)
* Choi, H. D. (2013). *Hybrid life cycle assessment of steel production with CCS*. Master's thesis. NTNU. [https://ntnuopen.ntnu.no/ntnu-xmlui/handle/11250/235312](https://ntnuopen.ntnu.no/ntnu-xmlui/handle/11250/235312)
* Singh, B., et al. (2011). Comparative LCA of CCS technologies. *International Journal of Greenhouse Gas Control*, 5(4), 911–921. [https://doi.org/10.1016/j.ijggc.2011.03.012](https://doi.org/10.1016/j.ijggc.2011.03.012)</t>
        </is>
      </c>
      <c r="C6" s="21" t="n"/>
      <c r="D6" s="21" t="n"/>
      <c r="E6" s="21" t="n"/>
      <c r="F6" s="21" t="n"/>
      <c r="G6" s="21" t="n"/>
      <c r="H6" s="21" t="n"/>
    </row>
    <row r="7">
      <c r="A7" s="22" t="inlineStr">
        <is>
          <t>source</t>
        </is>
      </c>
      <c r="B7" s="22" t="inlineStr">
        <is>
          <t>Harpprecht C., Sacchi R., Naegler T., et al. "Future environmental impacts of global iron and steel production". Energy Environ Sci. (2025). doi: 10.1039/D5EE01356A. Adapted from: Nduagu, E. I., Yadav, D., Bhardwaj, N., Elango, S., Biswas, T., Banerjee, R., &amp; Rajagopalan, S. (2022). Comparative life cycle assessment of natural gas and coal-based directly reduced iron (DRI) production: A case study for India. Journal of Cleaner Production, 347, 131196. Retrieved from https://www.sciencedirect.com/science/article/pii/S0959652622008277. doi:https://doi.org/10.1016/j.jclepro.2022.131196</t>
        </is>
      </c>
      <c r="C7" s="21" t="n"/>
      <c r="D7" s="21" t="n"/>
      <c r="E7" s="21" t="n"/>
      <c r="F7" s="21" t="n"/>
      <c r="G7" s="21" t="n"/>
      <c r="H7" s="21" t="n"/>
    </row>
    <row r="8" ht="16" customHeight="1">
      <c r="A8" s="19" t="inlineStr">
        <is>
          <t>Exchanges</t>
        </is>
      </c>
      <c r="B8" s="22" t="n"/>
      <c r="C8" s="21" t="n"/>
      <c r="D8" s="21" t="n"/>
      <c r="E8" s="21" t="n"/>
      <c r="F8" s="21" t="n"/>
      <c r="G8" s="21" t="n"/>
      <c r="H8" s="21" t="n"/>
    </row>
    <row r="9">
      <c r="A9" s="23" t="inlineStr">
        <is>
          <t>name</t>
        </is>
      </c>
      <c r="B9" s="23" t="inlineStr">
        <is>
          <t>amount</t>
        </is>
      </c>
      <c r="C9" s="23" t="inlineStr">
        <is>
          <t>database</t>
        </is>
      </c>
      <c r="D9" s="23" t="inlineStr">
        <is>
          <t>location</t>
        </is>
      </c>
      <c r="E9" s="23" t="inlineStr">
        <is>
          <t>unit</t>
        </is>
      </c>
      <c r="F9" s="23" t="inlineStr">
        <is>
          <t>categories</t>
        </is>
      </c>
      <c r="G9" s="23" t="inlineStr">
        <is>
          <t>type</t>
        </is>
      </c>
      <c r="H9" s="23" t="inlineStr">
        <is>
          <t>reference product</t>
        </is>
      </c>
      <c r="I9" s="23" t="inlineStr">
        <is>
          <t>comment</t>
        </is>
      </c>
      <c r="J9" s="20" t="inlineStr">
        <is>
          <t>replacement name</t>
        </is>
      </c>
      <c r="K9" s="20" t="inlineStr">
        <is>
          <t>replacement product</t>
        </is>
      </c>
      <c r="L9" s="20" t="inlineStr">
        <is>
          <t>replacement location</t>
        </is>
      </c>
    </row>
    <row r="10">
      <c r="A10" s="24" t="inlineStr">
        <is>
          <t>pig iron production, with natural gas-based direct reduction, with carbon capture and storage</t>
        </is>
      </c>
      <c r="B10" s="22" t="n">
        <v>1</v>
      </c>
      <c r="C10" s="22" t="inlineStr">
        <is>
          <t>steel_paper</t>
        </is>
      </c>
      <c r="D10" s="22" t="inlineStr">
        <is>
          <t>GLO</t>
        </is>
      </c>
      <c r="E10" s="22" t="inlineStr">
        <is>
          <t>kilogram</t>
        </is>
      </c>
      <c r="F10" s="22" t="n"/>
      <c r="G10" s="22" t="inlineStr">
        <is>
          <t>production</t>
        </is>
      </c>
      <c r="H10" s="22" t="inlineStr">
        <is>
          <t>pig iron</t>
        </is>
      </c>
    </row>
    <row r="11">
      <c r="A11" s="24" t="inlineStr">
        <is>
          <t>market for blast furnace</t>
        </is>
      </c>
      <c r="B11" s="29" t="n">
        <v>0</v>
      </c>
      <c r="C11" s="24" t="inlineStr">
        <is>
          <t>cutoff391</t>
        </is>
      </c>
      <c r="D11" s="24" t="inlineStr">
        <is>
          <t>GLO</t>
        </is>
      </c>
      <c r="E11" s="22" t="inlineStr">
        <is>
          <t>unit</t>
        </is>
      </c>
      <c r="F11" s="22" t="n"/>
      <c r="G11" s="24" t="inlineStr">
        <is>
          <t>technosphere</t>
        </is>
      </c>
      <c r="H11" s="22" t="inlineStr">
        <is>
          <t>blast furnace</t>
        </is>
      </c>
      <c r="I11" s="24" t="inlineStr">
        <is>
          <t>&gt; original ecoinvent data: Extracted from ecoinvent processes of “sponge iron production /IN”</t>
        </is>
      </c>
      <c r="J11" s="22" t="inlineStr">
        <is>
          <t>sponge iron production</t>
        </is>
      </c>
      <c r="K11" s="22" t="inlineStr">
        <is>
          <t>sponge iron</t>
        </is>
      </c>
      <c r="L11" s="22" t="inlineStr">
        <is>
          <t>IN</t>
        </is>
      </c>
    </row>
    <row r="12">
      <c r="A12" s="12" t="inlineStr">
        <is>
          <t>market for blast furnace dust</t>
        </is>
      </c>
      <c r="B12" s="17" t="n">
        <v>-8.821799647128014e-05</v>
      </c>
      <c r="C12" s="24" t="inlineStr">
        <is>
          <t>cutoff391</t>
        </is>
      </c>
      <c r="D12" s="24" t="inlineStr">
        <is>
          <t>RoW</t>
        </is>
      </c>
      <c r="E12" s="24" t="inlineStr">
        <is>
          <t>kilogram</t>
        </is>
      </c>
      <c r="F12" s="24" t="n"/>
      <c r="G12" s="24" t="inlineStr">
        <is>
          <t>technosphere</t>
        </is>
      </c>
      <c r="H12" s="24" t="inlineStr">
        <is>
          <t>blast furnace dust</t>
        </is>
      </c>
      <c r="I12" s="24" t="inlineStr">
        <is>
          <t>&gt; assumption: same as for H2-DRI (Li et al. 2022)</t>
        </is>
      </c>
    </row>
    <row r="13">
      <c r="A13" s="12" t="inlineStr">
        <is>
          <t>market group for natural gas, high pressure</t>
        </is>
      </c>
      <c r="B13" s="18">
        <f>200*42/39/1000</f>
        <v>0.2153846153846154</v>
      </c>
      <c r="C13" s="24" t="inlineStr">
        <is>
          <t>cutoff391</t>
        </is>
      </c>
      <c r="D13" s="24" t="inlineStr">
        <is>
          <t>GLO</t>
        </is>
      </c>
      <c r="E13" s="24" t="inlineStr">
        <is>
          <t>cubic meter</t>
        </is>
      </c>
      <c r="F13" s="24" t="n"/>
      <c r="G13" s="24" t="inlineStr">
        <is>
          <t>technosphere</t>
        </is>
      </c>
      <c r="H13" s="24" t="inlineStr">
        <is>
          <t>natural gas, high pressure</t>
        </is>
      </c>
      <c r="I13" s="24" t="inlineStr">
        <is>
          <t>&gt; Nduagu et al. 2022: Table 2: 200 kg NG/t DRI, or 265.4 Nm3/t-DRI &gt;assumption: We convert the mass of 200 kg NG/t DRI into m3, to account for the high pressure of NG in ecoinvent, using the following values: The LHV of natural gas is 42 MJ/kg, while the LHV of high pressure natural gas is 39 MJ/m3 (specified in ecoinvent process). https://world-nuclear.org/information-library/facts-and-figures/heat-values-of-various-fuels.aspx . (=8.4 MJ natural gas/kg DRI)</t>
        </is>
      </c>
    </row>
    <row r="14">
      <c r="A14" s="12" t="inlineStr">
        <is>
          <t>market for iron pellet</t>
        </is>
      </c>
      <c r="B14" s="18" t="n">
        <v>1.375</v>
      </c>
      <c r="C14" s="22" t="inlineStr">
        <is>
          <t>cutoff391</t>
        </is>
      </c>
      <c r="D14" s="22" t="inlineStr">
        <is>
          <t>GLO</t>
        </is>
      </c>
      <c r="E14" s="22" t="inlineStr">
        <is>
          <t>kilogram</t>
        </is>
      </c>
      <c r="F14" s="22" t="n"/>
      <c r="G14" s="22" t="inlineStr">
        <is>
          <t>technosphere</t>
        </is>
      </c>
      <c r="H14" s="22" t="inlineStr">
        <is>
          <t>iron pellet</t>
        </is>
      </c>
      <c r="I14" s="24" t="inlineStr">
        <is>
          <t>&gt;source: Nduagu et al. 2022, Table 2</t>
        </is>
      </c>
    </row>
    <row r="15">
      <c r="A15" s="12" t="inlineStr">
        <is>
          <t>market group for electricity, medium voltage</t>
        </is>
      </c>
      <c r="B15" s="18" t="n">
        <v>0.12</v>
      </c>
      <c r="C15" s="24" t="inlineStr">
        <is>
          <t>cutoff391</t>
        </is>
      </c>
      <c r="D15" s="24" t="inlineStr">
        <is>
          <t>GLO</t>
        </is>
      </c>
      <c r="E15" s="24" t="inlineStr">
        <is>
          <t>kilowatt hour</t>
        </is>
      </c>
      <c r="F15" s="24" t="n"/>
      <c r="G15" s="24" t="inlineStr">
        <is>
          <t>technosphere</t>
        </is>
      </c>
      <c r="H15" s="24" t="inlineStr">
        <is>
          <t>electricity, medium voltage</t>
        </is>
      </c>
      <c r="I15" s="24" t="inlineStr">
        <is>
          <t>&gt;source: Nduagu et al. 2022, Table 2 (=0.43 MJ)</t>
        </is>
      </c>
    </row>
    <row r="16">
      <c r="A16" s="12" t="inlineStr">
        <is>
          <t>Carbon dioxide, fossil</t>
        </is>
      </c>
      <c r="B16" s="18" t="n">
        <v>0.5071</v>
      </c>
      <c r="C16" s="24" t="inlineStr">
        <is>
          <t>biosphere3</t>
        </is>
      </c>
      <c r="D16" s="24" t="n"/>
      <c r="E16" s="24" t="inlineStr">
        <is>
          <t>kilogram</t>
        </is>
      </c>
      <c r="F16" s="24" t="inlineStr">
        <is>
          <t>air</t>
        </is>
      </c>
      <c r="G16" s="47" t="inlineStr">
        <is>
          <t>biosphere</t>
        </is>
      </c>
      <c r="H16" s="24" t="n"/>
      <c r="I16" s="24" t="inlineStr">
        <is>
          <t>&gt;source: Nduagu et al. 2022, Fig. 4 (process+combustion emissions), section 4.2: "direct plant GHG emissions are 507 kgCO2e/t-DRI"</t>
        </is>
      </c>
    </row>
    <row r="17">
      <c r="A17" s="12" t="inlineStr">
        <is>
          <t>Sulfur dioxide</t>
        </is>
      </c>
      <c r="B17" s="17">
        <f>0.000036*(1-0.95)</f>
        <v>1.8000000000000016E-6</v>
      </c>
      <c r="C17" s="22" t="inlineStr">
        <is>
          <t>biosphere3</t>
        </is>
      </c>
      <c r="D17" s="22" t="n"/>
      <c r="E17" s="22" t="inlineStr">
        <is>
          <t>kilogram</t>
        </is>
      </c>
      <c r="F17" s="22" t="inlineStr">
        <is>
          <t>air</t>
        </is>
      </c>
      <c r="G17" s="22" t="inlineStr">
        <is>
          <t>biosphere</t>
        </is>
      </c>
      <c r="I17" s="24" t="inlineStr">
        <is>
          <t>&gt; Modifications (2025): reduced by 95% (Choi 2013,  Table 5) in pretreatment of VPSA via desulphurisation
&gt; original amount: 0.000036
&gt;source: Nduagu et al. 2022, Table S45</t>
        </is>
      </c>
      <c r="J17" s="48" t="n"/>
    </row>
    <row r="18">
      <c r="A18" s="12" t="inlineStr">
        <is>
          <t>Nitrogen oxides</t>
        </is>
      </c>
      <c r="B18" s="52">
        <f>0.000175*(1-1)</f>
        <v>0</v>
      </c>
      <c r="C18" s="24" t="inlineStr">
        <is>
          <t>biosphere3</t>
        </is>
      </c>
      <c r="D18" s="24" t="n"/>
      <c r="E18" s="24" t="inlineStr">
        <is>
          <t>kilogram</t>
        </is>
      </c>
      <c r="F18" s="24" t="inlineStr">
        <is>
          <t>air</t>
        </is>
      </c>
      <c r="G18" s="24" t="inlineStr">
        <is>
          <t>biosphere</t>
        </is>
      </c>
      <c r="I18" s="24" t="inlineStr">
        <is>
          <t>&gt; Modifications (2025): reduced by 100% (Choi 2013,  Table 5) in pretreatment of VPSA.
&gt; original amount: 0.000175
&gt;source: Nduagu et al. 2022, Table S45</t>
        </is>
      </c>
    </row>
    <row r="19">
      <c r="A19" s="24" t="inlineStr">
        <is>
          <t>Particulates, &gt; 2.5 um, and &lt; 10um</t>
        </is>
      </c>
      <c r="B19" s="49">
        <f>0.000029*(1-0.5)</f>
        <v>1.45E-5</v>
      </c>
      <c r="C19" s="24" t="inlineStr">
        <is>
          <t>biosphere3</t>
        </is>
      </c>
      <c r="D19" s="24" t="n"/>
      <c r="E19" s="24" t="inlineStr">
        <is>
          <t>kilogram</t>
        </is>
      </c>
      <c r="F19" s="24" t="inlineStr">
        <is>
          <t>air</t>
        </is>
      </c>
      <c r="G19" s="24" t="inlineStr">
        <is>
          <t>biosphere</t>
        </is>
      </c>
      <c r="I19" s="24" t="inlineStr">
        <is>
          <t>&gt; Modifications (2025): reduced by 50% due to CCS which also co-captures particulates. Same assumption as for MEA CCS though source states this value only for MEA CCS (Choi 2013, Table 5 based on (Singh et al. 2011)) 
&gt;original amount: 0.000029 &gt;source: Nduagu et al. 2022, Table S45</t>
        </is>
      </c>
    </row>
    <row r="20">
      <c r="A20" s="24" t="inlineStr">
        <is>
          <t>carbon dioxide, captured at steel production plant using direct reduction iron, using vacuum pressure swing adsorption</t>
        </is>
      </c>
      <c r="B20" s="53">
        <f>B16*0.94</f>
        <v>0.47667399999999999</v>
      </c>
      <c r="C20" s="22" t="inlineStr">
        <is>
          <t>steel_paper</t>
        </is>
      </c>
      <c r="D20" s="22" t="inlineStr">
        <is>
          <t>GLO</t>
        </is>
      </c>
      <c r="E20" s="22" t="inlineStr">
        <is>
          <t>kilogram</t>
        </is>
      </c>
      <c r="F20" s="24" t="n"/>
      <c r="G20" s="24" t="inlineStr">
        <is>
          <t>technosphere</t>
        </is>
      </c>
      <c r="H20" t="inlineStr">
        <is>
          <t>carbon dioxide, captured</t>
        </is>
      </c>
      <c r="I20" s="32" t="inlineStr">
        <is>
          <t xml:space="preserve">&gt; Modifications (2025): added the process of CCS via VPSA: CO2 capture rate of CCS process = 94%. Rest is emitted (Keys et al. 2019: table 8, figure 25). CCS is directly applied to DRI furnace (ULCORED reactor). 
&gt; original was: 0 </t>
        </is>
      </c>
    </row>
    <row r="21">
      <c r="A21" s="24" t="n"/>
      <c r="B21" s="24" t="n"/>
      <c r="C21" s="24" t="n"/>
      <c r="D21" s="24" t="n"/>
      <c r="E21" s="24" t="n"/>
      <c r="F21" s="24" t="n"/>
      <c r="G21" s="24" t="n"/>
    </row>
    <row r="22" ht="16" customHeight="1">
      <c r="A22" s="19" t="inlineStr">
        <is>
          <t>Activity</t>
        </is>
      </c>
      <c r="B22" s="19" t="inlineStr">
        <is>
          <t>carbon dioxide, captured at steel production plant using direct reduction iron, using vacuum pressure swing adsorption</t>
        </is>
      </c>
      <c r="C22" s="21" t="n"/>
      <c r="D22" s="21" t="n"/>
      <c r="E22" s="21" t="n"/>
      <c r="F22" s="21" t="n"/>
      <c r="G22" s="21" t="n"/>
      <c r="H22" s="21" t="n"/>
    </row>
    <row r="23">
      <c r="A23" s="22" t="inlineStr">
        <is>
          <t>production amount</t>
        </is>
      </c>
      <c r="B23" s="22" t="n">
        <v>1</v>
      </c>
      <c r="C23" s="21" t="n"/>
      <c r="D23" s="21" t="n"/>
      <c r="E23" s="21" t="n"/>
      <c r="F23" s="21" t="n"/>
      <c r="G23" s="21" t="n"/>
      <c r="H23" s="21" t="n"/>
    </row>
    <row r="24">
      <c r="A24" s="22" t="inlineStr">
        <is>
          <t>location</t>
        </is>
      </c>
      <c r="B24" s="22" t="inlineStr">
        <is>
          <t>GLO</t>
        </is>
      </c>
      <c r="C24" s="21" t="n"/>
      <c r="D24" s="21" t="n"/>
      <c r="E24" s="21" t="n"/>
      <c r="F24" s="21" t="n"/>
      <c r="G24" s="21" t="n"/>
      <c r="H24" s="21" t="n"/>
    </row>
    <row r="25">
      <c r="A25" s="22" t="inlineStr">
        <is>
          <t>reference product</t>
        </is>
      </c>
      <c r="B25" s="22" t="inlineStr">
        <is>
          <t>carbon dioxide, captured</t>
        </is>
      </c>
      <c r="C25" s="21" t="n"/>
      <c r="D25" s="21" t="n"/>
      <c r="E25" s="21" t="n"/>
      <c r="F25" s="21" t="n"/>
      <c r="G25" s="21" t="n"/>
      <c r="H25" s="21" t="n"/>
    </row>
    <row r="26">
      <c r="A26" s="22" t="inlineStr">
        <is>
          <t>unit</t>
        </is>
      </c>
      <c r="B26" s="22" t="inlineStr">
        <is>
          <t>kilogram</t>
        </is>
      </c>
      <c r="C26" s="21" t="n"/>
      <c r="D26" s="21" t="n"/>
      <c r="E26" s="21" t="n"/>
      <c r="F26" s="21" t="n"/>
      <c r="G26" s="21" t="n"/>
      <c r="H26" s="21" t="n"/>
    </row>
    <row r="27">
      <c r="A27" s="22" t="inlineStr">
        <is>
          <t>comment</t>
        </is>
      </c>
      <c r="B27" s="22" t="inlineStr">
        <is>
          <t>This dataset, created by Harpprecht et al. (2025), models the process of capturing CO2 from the top gas of a Natural Gas Direct Reduced Iron (NG-DRI) furnace using a combination of vacuum pressure swing adsorption (VPSA) and cryogenic flash. The dataset includes detailed information on the technology, required inputs, and environmental impact associated with the process.
Technology:
CO2 Capture Process: The dataset describes the use of VPSA to separate CO2 from the NG-DRI furnace top gas. Since VPSA alone does not produce CO2 gas suitable for transport, the process is supplemented by a cryogenic flash and compression stage to increase the purity of the captured CO2.
Subsequent Stages: The CO2 is then transported, injected, and stored, including potential CO2 leakages.
Technosphere:
Transport, Injection, and Storage of CO2: This process includes the transport of 1 kg of CO2, followed by recompression along the pipeline, injection, storage, and potential leakages. The values are based on the most conservative case as defined in the work of Volkart et al. (2013).
Required Auxiliary Inputs:
Electricity for VPSA: 160 kWh per tonne of CO2 for CO2 separation (Quader et al., 2016; Keys et al., 2019).
Electricity for Cryogenic Flash + Compression: 132 kWh per tonne of CO2 to compress the CO2 to 110 bar (Quader et al., 2016; Keys et al., 2019).
Zeolite Powder: Zeolite is used as the adsorbent in the VPSA process. The consumption is 1.7 kg of zeolite per tonne of CO2 separated (Choi, 2013). The same amount of waste zeolite is also produced.
Biosphere:
CO2 Emissions: The process involves capturing 1 kg of CO2 emissions.
Data Sources:
Harpprecht et al. (2025)
Choi, H. D. (2013). Hybrid life cycle assessment of steel production with carbon capture and storage. Master’s thesis. Norwegian University of Science and Technology. Link.
Keys, A., van Hout, M., Daniëls, B. (2019). Decarbonisation options for the Dutch Steel Industry. PBL Netherlands Environmental Assessment Agency &amp; ECN part of TNO. Link.
Quader, M. A., Ahmed, S., Dawal, S. Z., &amp; Nukman, Y. (2016). Present needs, recent progress and future trends of energy-efficient Ultra-Low Carbon Dioxide (CO2) Steelmaking (ULCOS) program. Renewable and Sustainable Energy Reviews, 55, 537-549. DOI.</t>
        </is>
      </c>
      <c r="C27" s="21" t="n"/>
      <c r="D27" s="21" t="n"/>
      <c r="E27" s="21" t="n"/>
      <c r="F27" s="21" t="n"/>
      <c r="G27" s="21" t="n"/>
      <c r="H27" s="21" t="n"/>
    </row>
    <row r="28">
      <c r="A28" s="22" t="inlineStr">
        <is>
          <t>source</t>
        </is>
      </c>
      <c r="B28" s="22" t="inlineStr">
        <is>
          <t>Harpprecht C., Sacchi R., Naegler T., et al. "Future environmental impacts of global iron and steel production". Energy Environ Sci. (2025). doi: 10.1039/D5EE01356A</t>
        </is>
      </c>
      <c r="C28" s="21" t="n"/>
      <c r="D28" s="21" t="n"/>
      <c r="E28" s="21" t="n"/>
      <c r="F28" s="21" t="n"/>
      <c r="G28" s="21" t="n"/>
      <c r="H28" s="21" t="n"/>
    </row>
    <row r="29" ht="16" customHeight="1">
      <c r="A29" s="19" t="inlineStr">
        <is>
          <t>Exchanges</t>
        </is>
      </c>
      <c r="B29" s="22" t="n"/>
      <c r="C29" s="21" t="n"/>
      <c r="D29" s="21" t="n"/>
      <c r="E29" s="21" t="n"/>
      <c r="F29" s="21" t="n"/>
      <c r="G29" s="21" t="n"/>
      <c r="H29" s="21" t="n"/>
    </row>
    <row r="30">
      <c r="A30" s="23" t="inlineStr">
        <is>
          <t>name</t>
        </is>
      </c>
      <c r="B30" s="23" t="inlineStr">
        <is>
          <t>amount</t>
        </is>
      </c>
      <c r="C30" s="23" t="inlineStr">
        <is>
          <t>database</t>
        </is>
      </c>
      <c r="D30" s="23" t="inlineStr">
        <is>
          <t>location</t>
        </is>
      </c>
      <c r="E30" s="23" t="inlineStr">
        <is>
          <t>unit</t>
        </is>
      </c>
      <c r="F30" s="23" t="inlineStr">
        <is>
          <t>categories</t>
        </is>
      </c>
      <c r="G30" s="23" t="inlineStr">
        <is>
          <t>type</t>
        </is>
      </c>
      <c r="H30" s="23" t="inlineStr">
        <is>
          <t>reference product</t>
        </is>
      </c>
      <c r="I30" s="23" t="inlineStr">
        <is>
          <t>comment</t>
        </is>
      </c>
      <c r="J30" s="20" t="inlineStr">
        <is>
          <t>uncertainty type</t>
        </is>
      </c>
      <c r="K30" s="20" t="inlineStr">
        <is>
          <t>pedigree</t>
        </is>
      </c>
      <c r="L30" s="20" t="inlineStr">
        <is>
          <t>loc</t>
        </is>
      </c>
      <c r="M30" s="20" t="inlineStr">
        <is>
          <t>scale</t>
        </is>
      </c>
      <c r="N30" s="20" t="inlineStr">
        <is>
          <t>formula</t>
        </is>
      </c>
    </row>
    <row r="31">
      <c r="A31" s="24" t="inlineStr">
        <is>
          <t>carbon dioxide, captured at steel production plant using direct reduction iron, using vacuum pressure swing adsorption</t>
        </is>
      </c>
      <c r="B31" s="22" t="n">
        <v>1</v>
      </c>
      <c r="C31" s="22" t="inlineStr">
        <is>
          <t>steel_paper</t>
        </is>
      </c>
      <c r="D31" s="22" t="inlineStr">
        <is>
          <t>GLO</t>
        </is>
      </c>
      <c r="E31" s="22" t="inlineStr">
        <is>
          <t>kilogram</t>
        </is>
      </c>
      <c r="F31" s="22" t="n"/>
      <c r="G31" s="22" t="inlineStr">
        <is>
          <t>production</t>
        </is>
      </c>
      <c r="H31" s="22" t="inlineStr">
        <is>
          <t>carbon dioxide, captured</t>
        </is>
      </c>
    </row>
    <row r="32">
      <c r="A32" t="inlineStr">
        <is>
          <t>Carbon dioxide, fossil</t>
        </is>
      </c>
      <c r="B32" t="n">
        <v>-1</v>
      </c>
      <c r="C32" t="inlineStr">
        <is>
          <t>biosphere3</t>
        </is>
      </c>
      <c r="E32" t="inlineStr">
        <is>
          <t>kilogram</t>
        </is>
      </c>
      <c r="F32" t="inlineStr">
        <is>
          <t>air</t>
        </is>
      </c>
      <c r="G32" t="inlineStr">
        <is>
          <t>biosphere</t>
        </is>
      </c>
      <c r="I32" t="inlineStr">
        <is>
          <t xml:space="preserve">&gt; Modifications (2025): capturing 1 kg of CO2
&gt; original was: 0 </t>
        </is>
      </c>
      <c r="N32" t="inlineStr">
        <is>
          <t>CO2</t>
        </is>
      </c>
    </row>
    <row r="33">
      <c r="A33" t="inlineStr">
        <is>
          <t>carbon dioxide storage from hard coal, post, pipeline 400km, storage 3000m</t>
        </is>
      </c>
      <c r="B33" t="n">
        <v>1</v>
      </c>
      <c r="D33" t="inlineStr">
        <is>
          <t>RER</t>
        </is>
      </c>
      <c r="E33" t="inlineStr">
        <is>
          <t>kilogram</t>
        </is>
      </c>
      <c r="G33" t="inlineStr">
        <is>
          <t>technosphere</t>
        </is>
      </c>
      <c r="H33" t="inlineStr">
        <is>
          <t>carbon dioxide storage from hard coal, post, pipeline 400km, storage 3000m</t>
        </is>
      </c>
      <c r="I33" s="32" t="inlineStr">
        <is>
          <t>&gt; assumption: Process from premise (lci-carma-ccs.xlsx). We use the most conservative CO2 transport &amp; storage from Premise. previous name was: CO2 storage/hard coal, post, pipeline 400km, storage 3000m. This includes tranpsort, injection, storage, recompression along the pipeline and CO2 leakages. Note that this process "carbon dioxide storage from hard coal, post, pipeline 400km, storage 3000m" only gets regionalized if you run "update electricity" scenarios in premise</t>
        </is>
      </c>
    </row>
    <row r="34">
      <c r="A34" t="inlineStr">
        <is>
          <t>market group for electricity, medium voltage</t>
        </is>
      </c>
      <c r="B34" s="70">
        <f>0.16</f>
        <v>0.16</v>
      </c>
      <c r="C34" t="inlineStr">
        <is>
          <t>cutoff391</t>
        </is>
      </c>
      <c r="D34" t="inlineStr">
        <is>
          <t>GLO</t>
        </is>
      </c>
      <c r="E34" t="inlineStr">
        <is>
          <t>kilowatt hour</t>
        </is>
      </c>
      <c r="G34" t="inlineStr">
        <is>
          <t>technosphere</t>
        </is>
      </c>
      <c r="H34" t="inlineStr">
        <is>
          <t>electricity, medium voltage</t>
        </is>
      </c>
      <c r="I34" s="32" t="inlineStr">
        <is>
          <t xml:space="preserve">&gt; Modifications (2025): electricity for VPSA (Quader et al. 2016, Table 4: capture process: 0.16 kWh/kg CO2. Same as in Keys et al. 2019  (figure 25, table 9)). 
</t>
        </is>
      </c>
    </row>
    <row r="35">
      <c r="A35" t="inlineStr">
        <is>
          <t>market group for electricity, medium voltage</t>
        </is>
      </c>
      <c r="B35" s="54" t="n">
        <v>0.132</v>
      </c>
      <c r="C35" t="inlineStr">
        <is>
          <t>cutoff391</t>
        </is>
      </c>
      <c r="D35" t="inlineStr">
        <is>
          <t>GLO</t>
        </is>
      </c>
      <c r="E35" t="inlineStr">
        <is>
          <t>kilowatt hour</t>
        </is>
      </c>
      <c r="G35" t="inlineStr">
        <is>
          <t>technosphere</t>
        </is>
      </c>
      <c r="H35" t="inlineStr">
        <is>
          <t>electricity, medium voltage</t>
        </is>
      </c>
      <c r="I35" s="32" t="inlineStr">
        <is>
          <t xml:space="preserve">&gt; Modifications (2025): electricity for cryogenic flash + compression to 110 bar  (Quader et al. 2016, Table 4: 132 kWh/t CO2. Same as in Keys et al. 2019  (figure 25, table 9))
</t>
        </is>
      </c>
    </row>
    <row r="36">
      <c r="A36" t="inlineStr">
        <is>
          <t>market for zeolite, powder</t>
        </is>
      </c>
      <c r="B36" s="67">
        <f>0.0017</f>
        <v>1.6999999999999999E-3</v>
      </c>
      <c r="C36" t="inlineStr">
        <is>
          <t>cutoff391</t>
        </is>
      </c>
      <c r="D36" t="inlineStr">
        <is>
          <t>GLO</t>
        </is>
      </c>
      <c r="E36" t="inlineStr">
        <is>
          <t>kilogram</t>
        </is>
      </c>
      <c r="G36" t="inlineStr">
        <is>
          <t>technosphere</t>
        </is>
      </c>
      <c r="H36" t="inlineStr">
        <is>
          <t>zeolite, powder</t>
        </is>
      </c>
      <c r="I36" t="inlineStr">
        <is>
          <t xml:space="preserve">&gt; Modifications (2025): zeolite powder = adsorbent for VPSA adsorbing CO2 (Choi 2013). zeolite consumption = 1.7 kg zeolite/ t CO2 separated (Choi 2013, Table 5, derived from Abanades et al. 2004)
&gt; original was: 0 </t>
        </is>
      </c>
    </row>
    <row r="37">
      <c r="A37" t="inlineStr">
        <is>
          <t>market for waste zeolite</t>
        </is>
      </c>
      <c r="B37" s="67">
        <f>B36*-1</f>
        <v>-1.6999999999999999E-3</v>
      </c>
      <c r="C37" t="inlineStr">
        <is>
          <t>cutoff391</t>
        </is>
      </c>
      <c r="D37" t="inlineStr">
        <is>
          <t>RoW</t>
        </is>
      </c>
      <c r="E37" t="inlineStr">
        <is>
          <t>kilogram</t>
        </is>
      </c>
      <c r="G37" t="inlineStr">
        <is>
          <t>technosphere</t>
        </is>
      </c>
      <c r="H37" t="inlineStr">
        <is>
          <t>waste zeolite</t>
        </is>
      </c>
      <c r="I37" t="inlineStr">
        <is>
          <t xml:space="preserve">&gt; Modifications (2025): waste zeolite (adsorbent for VPSA adsorbing CO2) (Choi 2013), which is the same amount as the input
&gt; assumption: same amount of waste zeolite is generated as it is put in as powder (this is also the case in ecoinvent processes where zeolite powder is used)
&gt; original was: 0 </t>
        </is>
      </c>
    </row>
    <row r="38"/>
    <row r="39" ht="16" customHeight="1">
      <c r="A39" s="50" t="inlineStr">
        <is>
          <t>Activity</t>
        </is>
      </c>
      <c r="B39" s="33" t="inlineStr">
        <is>
          <t>steel production, natural gas-based direct reduction iron-electric arc furnace, with carbon capture and storage, low-alloyed</t>
        </is>
      </c>
    </row>
    <row r="40">
      <c r="A40" t="inlineStr">
        <is>
          <t>comment</t>
        </is>
      </c>
      <c r="B40" s="25" t="inlineStr">
        <is>
          <t>This dataset, modified by Harpprecht et al. (2025) from the ecoinvent 3.8 cutoff version, models low-alloyed steel production via electric arc furnace (EAF) using sponge iron from natural gas-based direct reduction with carbon capture and storage (NG-DRI+CCS). It replaces the original scrap-based input with NG-DRI sponge iron and adjusts all technosphere inputs to global (GLO or RoW) supply chains. The process is scaled to 1 kg of steel output using a parameter of 0.9369, derived from Bhaskar et al. (2020), based on a sponge iron input of 1.06 kg per kg steel. Modifications include revised slag flows, substitution of individual electricity and gas inputs with market groups, and addition of alloying elements (FeMn, FeNi, molybdenite), which are assumed to be absent in virgin sponge iron but present in scrap. Original alloying flows of FeMn and FeSi from ecoinvent are removed.
**References**
* Bhaskar, A., Assadi, M., &amp; Nikpey Somehsaraei, H. (2020). Decarbonization of the iron and steel industry with direct reduction of iron ore with green hydrogen. *Energies*, 13(3), 758. [https://doi.org/10.3390/en13030758](https://doi.org/10.3390/en13030758)
* ecoinvent version 3.8 cutoff system model (2021). ecoinvent Association, Zurich.
* Harpprecht, C., et al. (2025). *\[Forthcoming study/document]*.</t>
        </is>
      </c>
    </row>
    <row r="41">
      <c r="A41" s="22" t="inlineStr">
        <is>
          <t>source</t>
        </is>
      </c>
      <c r="B41" s="22" t="inlineStr">
        <is>
          <t>Harpprecht C., Sacchi R., Naegler T., et al. "Future environmental impacts of global iron and steel production". Energy Environ Sci. (2025). doi: 10.1039/D5EE01356A</t>
        </is>
      </c>
      <c r="C41" s="21" t="n"/>
      <c r="D41" s="21" t="n"/>
      <c r="E41" s="21" t="n"/>
      <c r="F41" s="21" t="n"/>
      <c r="G41" s="21" t="n"/>
      <c r="H41" s="21" t="n"/>
    </row>
    <row r="42">
      <c r="A42" t="inlineStr">
        <is>
          <t>location</t>
        </is>
      </c>
      <c r="B42" t="inlineStr">
        <is>
          <t>GLO</t>
        </is>
      </c>
    </row>
    <row r="43">
      <c r="A43" t="inlineStr">
        <is>
          <t>production amount</t>
        </is>
      </c>
      <c r="B43" t="n">
        <v>1</v>
      </c>
    </row>
    <row r="44">
      <c r="A44" t="inlineStr">
        <is>
          <t>reference product</t>
        </is>
      </c>
      <c r="B44" t="inlineStr">
        <is>
          <t>steel, low-alloyed</t>
        </is>
      </c>
    </row>
    <row r="45">
      <c r="A45" t="inlineStr">
        <is>
          <t>unit</t>
        </is>
      </c>
      <c r="B45" t="inlineStr">
        <is>
          <t>kilogram</t>
        </is>
      </c>
    </row>
    <row r="46" ht="16" customHeight="1">
      <c r="A46" s="50" t="inlineStr">
        <is>
          <t>Exchanges</t>
        </is>
      </c>
    </row>
    <row r="47">
      <c r="A47" s="20" t="inlineStr">
        <is>
          <t>name</t>
        </is>
      </c>
      <c r="B47" s="20" t="inlineStr">
        <is>
          <t>amount</t>
        </is>
      </c>
      <c r="C47" s="20" t="inlineStr">
        <is>
          <t>database</t>
        </is>
      </c>
      <c r="D47" s="20" t="inlineStr">
        <is>
          <t>location</t>
        </is>
      </c>
      <c r="E47" s="20" t="inlineStr">
        <is>
          <t>unit</t>
        </is>
      </c>
      <c r="F47" s="20" t="inlineStr">
        <is>
          <t>categories</t>
        </is>
      </c>
      <c r="G47" s="20" t="inlineStr">
        <is>
          <t>type</t>
        </is>
      </c>
      <c r="H47" s="20" t="inlineStr">
        <is>
          <t>formula</t>
        </is>
      </c>
      <c r="I47" s="20" t="inlineStr">
        <is>
          <t>uncertainty type</t>
        </is>
      </c>
      <c r="J47" s="20" t="inlineStr">
        <is>
          <t>loc</t>
        </is>
      </c>
      <c r="K47" s="20" t="inlineStr">
        <is>
          <t>scale</t>
        </is>
      </c>
      <c r="L47" s="20" t="inlineStr">
        <is>
          <t>comment</t>
        </is>
      </c>
      <c r="M47" s="20" t="inlineStr">
        <is>
          <t>pedigree</t>
        </is>
      </c>
      <c r="N47" s="20" t="inlineStr">
        <is>
          <t>production volume</t>
        </is>
      </c>
      <c r="O47" s="20" t="inlineStr">
        <is>
          <t>reference product</t>
        </is>
      </c>
      <c r="P47" s="20" t="inlineStr">
        <is>
          <t>replacement name</t>
        </is>
      </c>
      <c r="Q47" s="20" t="inlineStr">
        <is>
          <t>replacement product</t>
        </is>
      </c>
      <c r="R47" s="20" t="inlineStr">
        <is>
          <t>replacement location</t>
        </is>
      </c>
      <c r="S47" s="20" t="inlineStr">
        <is>
          <t>negative</t>
        </is>
      </c>
    </row>
    <row r="48">
      <c r="A48" t="inlineStr">
        <is>
          <t>Benzene</t>
        </is>
      </c>
      <c r="B48" t="n">
        <v>0</v>
      </c>
      <c r="C48" t="inlineStr">
        <is>
          <t>biosphere3</t>
        </is>
      </c>
      <c r="E48" t="inlineStr">
        <is>
          <t>kilogram</t>
        </is>
      </c>
      <c r="F48" t="inlineStr">
        <is>
          <t>air</t>
        </is>
      </c>
      <c r="G48" t="inlineStr">
        <is>
          <t>biosphere</t>
        </is>
      </c>
      <c r="L48" t="inlineStr">
        <is>
          <t>geometric mean of Remus et al. (2013) data range</t>
        </is>
      </c>
      <c r="N48" t="n">
        <v>0</v>
      </c>
      <c r="P48" t="inlineStr">
        <is>
          <t>steel production, electric, low-alloyed</t>
        </is>
      </c>
      <c r="Q48" t="inlineStr">
        <is>
          <t>steel, low-alloyed</t>
        </is>
      </c>
      <c r="R48" t="inlineStr">
        <is>
          <t>Europe without Switzerland and Austria</t>
        </is>
      </c>
    </row>
    <row r="49">
      <c r="A49" t="inlineStr">
        <is>
          <t>Benzene, hexachloro-</t>
        </is>
      </c>
      <c r="B49" t="n">
        <v>0</v>
      </c>
      <c r="C49" t="inlineStr">
        <is>
          <t>biosphere3</t>
        </is>
      </c>
      <c r="E49" t="inlineStr">
        <is>
          <t>kilogram</t>
        </is>
      </c>
      <c r="F49" t="inlineStr">
        <is>
          <t>air</t>
        </is>
      </c>
      <c r="G49" t="inlineStr">
        <is>
          <t>biosphere</t>
        </is>
      </c>
      <c r="L49" t="inlineStr">
        <is>
          <t>geometric mean of Remus et al. (2013) data range</t>
        </is>
      </c>
      <c r="N49" t="n">
        <v>0</v>
      </c>
      <c r="P49" t="inlineStr">
        <is>
          <t>steel production, electric, low-alloyed</t>
        </is>
      </c>
      <c r="Q49" t="inlineStr">
        <is>
          <t>steel, low-alloyed</t>
        </is>
      </c>
      <c r="R49" t="inlineStr">
        <is>
          <t>Europe without Switzerland and Austria</t>
        </is>
      </c>
    </row>
    <row r="50">
      <c r="A50" t="inlineStr">
        <is>
          <t>Cadmium</t>
        </is>
      </c>
      <c r="B50" t="n">
        <v>0</v>
      </c>
      <c r="C50" t="inlineStr">
        <is>
          <t>biosphere3</t>
        </is>
      </c>
      <c r="E50" t="inlineStr">
        <is>
          <t>kilogram</t>
        </is>
      </c>
      <c r="F50" t="inlineStr">
        <is>
          <t>air</t>
        </is>
      </c>
      <c r="G50" t="inlineStr">
        <is>
          <t>biosphere</t>
        </is>
      </c>
      <c r="L50" t="inlineStr">
        <is>
          <t>geometric mean of Remus et al. (2013) data range</t>
        </is>
      </c>
      <c r="N50" t="n">
        <v>0</v>
      </c>
      <c r="P50" t="inlineStr">
        <is>
          <t>steel production, electric, low-alloyed</t>
        </is>
      </c>
      <c r="Q50" t="inlineStr">
        <is>
          <t>steel, low-alloyed</t>
        </is>
      </c>
      <c r="R50" t="inlineStr">
        <is>
          <t>Europe without Switzerland and Austria</t>
        </is>
      </c>
    </row>
    <row r="51">
      <c r="A51" t="inlineStr">
        <is>
          <t>Carbon dioxide, fossil</t>
        </is>
      </c>
      <c r="B51" t="n">
        <v>0</v>
      </c>
      <c r="C51" t="inlineStr">
        <is>
          <t>biosphere3</t>
        </is>
      </c>
      <c r="E51" t="inlineStr">
        <is>
          <t>kilogram</t>
        </is>
      </c>
      <c r="F51" t="inlineStr">
        <is>
          <t>air</t>
        </is>
      </c>
      <c r="G51" t="inlineStr">
        <is>
          <t>biosphere</t>
        </is>
      </c>
      <c r="L51" t="inlineStr">
        <is>
          <t>Calculated Value. Carbon dioxide emission is calculated as the sum of carbon in hard coal and natural gas minus the emissions of carbon monoxide.</t>
        </is>
      </c>
      <c r="N51" t="n">
        <v>0</v>
      </c>
      <c r="P51" t="inlineStr">
        <is>
          <t>steel production, electric, low-alloyed</t>
        </is>
      </c>
      <c r="Q51" t="inlineStr">
        <is>
          <t>steel, low-alloyed</t>
        </is>
      </c>
      <c r="R51" t="inlineStr">
        <is>
          <t>Europe without Switzerland and Austria</t>
        </is>
      </c>
    </row>
    <row r="52">
      <c r="A52" t="inlineStr">
        <is>
          <t>Carbon monoxide, fossil</t>
        </is>
      </c>
      <c r="B52" t="n">
        <v>0</v>
      </c>
      <c r="C52" t="inlineStr">
        <is>
          <t>biosphere3</t>
        </is>
      </c>
      <c r="E52" t="inlineStr">
        <is>
          <t>kilogram</t>
        </is>
      </c>
      <c r="F52" t="inlineStr">
        <is>
          <t>air</t>
        </is>
      </c>
      <c r="G52" t="inlineStr">
        <is>
          <t>biosphere</t>
        </is>
      </c>
      <c r="L52" t="inlineStr">
        <is>
          <t>geometric mean of Remus et al. (2013) data range</t>
        </is>
      </c>
      <c r="N52" t="n">
        <v>0</v>
      </c>
      <c r="P52" t="inlineStr">
        <is>
          <t>steel production, electric, low-alloyed</t>
        </is>
      </c>
      <c r="Q52" t="inlineStr">
        <is>
          <t>steel, low-alloyed</t>
        </is>
      </c>
      <c r="R52" t="inlineStr">
        <is>
          <t>Europe without Switzerland and Austria</t>
        </is>
      </c>
    </row>
    <row r="53">
      <c r="A53" t="inlineStr">
        <is>
          <t>Chromium</t>
        </is>
      </c>
      <c r="B53" t="n">
        <v>0</v>
      </c>
      <c r="C53" t="inlineStr">
        <is>
          <t>biosphere3</t>
        </is>
      </c>
      <c r="E53" t="inlineStr">
        <is>
          <t>kilogram</t>
        </is>
      </c>
      <c r="F53" t="inlineStr">
        <is>
          <t>air</t>
        </is>
      </c>
      <c r="G53" t="inlineStr">
        <is>
          <t>biosphere</t>
        </is>
      </c>
      <c r="L53" t="inlineStr">
        <is>
          <t>geometric mean of Remus et al. (2013) data range</t>
        </is>
      </c>
      <c r="N53" t="n">
        <v>0</v>
      </c>
      <c r="P53" t="inlineStr">
        <is>
          <t>steel production, electric, low-alloyed</t>
        </is>
      </c>
      <c r="Q53" t="inlineStr">
        <is>
          <t>steel, low-alloyed</t>
        </is>
      </c>
      <c r="R53" t="inlineStr">
        <is>
          <t>Europe without Switzerland and Austria</t>
        </is>
      </c>
    </row>
    <row r="54">
      <c r="A54" t="inlineStr">
        <is>
          <t>Copper ion</t>
        </is>
      </c>
      <c r="B54" t="n">
        <v>0</v>
      </c>
      <c r="C54" t="inlineStr">
        <is>
          <t>biosphere3</t>
        </is>
      </c>
      <c r="E54" t="inlineStr">
        <is>
          <t>kilogram</t>
        </is>
      </c>
      <c r="F54" t="inlineStr">
        <is>
          <t>air</t>
        </is>
      </c>
      <c r="G54" t="inlineStr">
        <is>
          <t>biosphere</t>
        </is>
      </c>
      <c r="L54" t="inlineStr">
        <is>
          <t>geometric mean of Remus et al. (2013) data range</t>
        </is>
      </c>
      <c r="N54" t="n">
        <v>0</v>
      </c>
      <c r="P54" t="inlineStr">
        <is>
          <t>steel production, electric, low-alloyed</t>
        </is>
      </c>
      <c r="Q54" t="inlineStr">
        <is>
          <t>steel, low-alloyed</t>
        </is>
      </c>
      <c r="R54" t="inlineStr">
        <is>
          <t>Europe without Switzerland and Austria</t>
        </is>
      </c>
    </row>
    <row r="55">
      <c r="A55" t="inlineStr">
        <is>
          <t>Dioxins, measured as 2,3,7,8-tetrachlorodibenzo-p-dioxin</t>
        </is>
      </c>
      <c r="B55" t="n">
        <v>0</v>
      </c>
      <c r="C55" t="inlineStr">
        <is>
          <t>biosphere3</t>
        </is>
      </c>
      <c r="E55" t="inlineStr">
        <is>
          <t>kilogram</t>
        </is>
      </c>
      <c r="F55" t="inlineStr">
        <is>
          <t>air</t>
        </is>
      </c>
      <c r="G55" t="inlineStr">
        <is>
          <t>biosphere</t>
        </is>
      </c>
      <c r="L55" t="inlineStr">
        <is>
          <t>geometric mean of Remus et al. (2013) data range</t>
        </is>
      </c>
      <c r="N55" t="n">
        <v>0</v>
      </c>
      <c r="P55" t="inlineStr">
        <is>
          <t>steel production, electric, low-alloyed</t>
        </is>
      </c>
      <c r="Q55" t="inlineStr">
        <is>
          <t>steel, low-alloyed</t>
        </is>
      </c>
      <c r="R55" t="inlineStr">
        <is>
          <t>Europe without Switzerland and Austria</t>
        </is>
      </c>
    </row>
    <row r="56">
      <c r="A56" t="inlineStr">
        <is>
          <t>Hydrocarbons, aromatic</t>
        </is>
      </c>
      <c r="B56" t="n">
        <v>0</v>
      </c>
      <c r="C56" t="inlineStr">
        <is>
          <t>biosphere3</t>
        </is>
      </c>
      <c r="E56" t="inlineStr">
        <is>
          <t>kilogram</t>
        </is>
      </c>
      <c r="F56" t="inlineStr">
        <is>
          <t>air</t>
        </is>
      </c>
      <c r="G56" t="inlineStr">
        <is>
          <t>biosphere</t>
        </is>
      </c>
      <c r="L56" t="inlineStr">
        <is>
          <t>Source: Classen et al. (2009)</t>
        </is>
      </c>
      <c r="N56" t="n">
        <v>0</v>
      </c>
      <c r="P56" t="inlineStr">
        <is>
          <t>steel production, electric, low-alloyed</t>
        </is>
      </c>
      <c r="Q56" t="inlineStr">
        <is>
          <t>steel, low-alloyed</t>
        </is>
      </c>
      <c r="R56" t="inlineStr">
        <is>
          <t>Europe without Switzerland and Austria</t>
        </is>
      </c>
    </row>
    <row r="57">
      <c r="A57" t="inlineStr">
        <is>
          <t>Hydrogen chloride</t>
        </is>
      </c>
      <c r="B57" t="n">
        <v>0</v>
      </c>
      <c r="C57" t="inlineStr">
        <is>
          <t>biosphere3</t>
        </is>
      </c>
      <c r="E57" t="inlineStr">
        <is>
          <t>kilogram</t>
        </is>
      </c>
      <c r="F57" t="inlineStr">
        <is>
          <t>air</t>
        </is>
      </c>
      <c r="G57" t="inlineStr">
        <is>
          <t>biosphere</t>
        </is>
      </c>
      <c r="L57" t="inlineStr">
        <is>
          <t>geometric mean of Remus et al. (2013) data range</t>
        </is>
      </c>
      <c r="N57" t="n">
        <v>0</v>
      </c>
      <c r="P57" t="inlineStr">
        <is>
          <t>steel production, electric, low-alloyed</t>
        </is>
      </c>
      <c r="Q57" t="inlineStr">
        <is>
          <t>steel, low-alloyed</t>
        </is>
      </c>
      <c r="R57" t="inlineStr">
        <is>
          <t>Europe without Switzerland and Austria</t>
        </is>
      </c>
    </row>
    <row r="58">
      <c r="A58" t="inlineStr">
        <is>
          <t>Hydrogen fluoride</t>
        </is>
      </c>
      <c r="B58" t="n">
        <v>0</v>
      </c>
      <c r="C58" t="inlineStr">
        <is>
          <t>biosphere3</t>
        </is>
      </c>
      <c r="E58" t="inlineStr">
        <is>
          <t>kilogram</t>
        </is>
      </c>
      <c r="F58" t="inlineStr">
        <is>
          <t>air</t>
        </is>
      </c>
      <c r="G58" t="inlineStr">
        <is>
          <t>biosphere</t>
        </is>
      </c>
      <c r="L58" t="inlineStr">
        <is>
          <t>geometric mean of Remus et al. (2013) data range</t>
        </is>
      </c>
      <c r="N58" t="n">
        <v>0</v>
      </c>
      <c r="P58" t="inlineStr">
        <is>
          <t>steel production, electric, low-alloyed</t>
        </is>
      </c>
      <c r="Q58" t="inlineStr">
        <is>
          <t>steel, low-alloyed</t>
        </is>
      </c>
      <c r="R58" t="inlineStr">
        <is>
          <t>Europe without Switzerland and Austria</t>
        </is>
      </c>
    </row>
    <row r="59">
      <c r="A59" t="inlineStr">
        <is>
          <t>Lead</t>
        </is>
      </c>
      <c r="B59" t="n">
        <v>0</v>
      </c>
      <c r="C59" t="inlineStr">
        <is>
          <t>biosphere3</t>
        </is>
      </c>
      <c r="E59" t="inlineStr">
        <is>
          <t>kilogram</t>
        </is>
      </c>
      <c r="F59" t="inlineStr">
        <is>
          <t>air</t>
        </is>
      </c>
      <c r="G59" t="inlineStr">
        <is>
          <t>biosphere</t>
        </is>
      </c>
      <c r="L59" t="inlineStr">
        <is>
          <t>geometric mean of Remus et al. (2013) data range</t>
        </is>
      </c>
      <c r="N59" t="n">
        <v>0</v>
      </c>
      <c r="P59" t="inlineStr">
        <is>
          <t>steel production, electric, low-alloyed</t>
        </is>
      </c>
      <c r="Q59" t="inlineStr">
        <is>
          <t>steel, low-alloyed</t>
        </is>
      </c>
      <c r="R59" t="inlineStr">
        <is>
          <t>Europe without Switzerland and Austria</t>
        </is>
      </c>
    </row>
    <row r="60">
      <c r="A60" t="inlineStr">
        <is>
          <t>Mercury</t>
        </is>
      </c>
      <c r="B60" t="n">
        <v>0</v>
      </c>
      <c r="C60" t="inlineStr">
        <is>
          <t>biosphere3</t>
        </is>
      </c>
      <c r="E60" t="inlineStr">
        <is>
          <t>kilogram</t>
        </is>
      </c>
      <c r="F60" t="inlineStr">
        <is>
          <t>air</t>
        </is>
      </c>
      <c r="G60" t="inlineStr">
        <is>
          <t>biosphere</t>
        </is>
      </c>
      <c r="L60" t="inlineStr">
        <is>
          <t>geometric mean of Remus et al. (2013) data range</t>
        </is>
      </c>
      <c r="N60" t="n">
        <v>0</v>
      </c>
      <c r="P60" t="inlineStr">
        <is>
          <t>steel production, electric, low-alloyed</t>
        </is>
      </c>
      <c r="Q60" t="inlineStr">
        <is>
          <t>steel, low-alloyed</t>
        </is>
      </c>
      <c r="R60" t="inlineStr">
        <is>
          <t>Europe without Switzerland and Austria</t>
        </is>
      </c>
    </row>
    <row r="61">
      <c r="A61" t="inlineStr">
        <is>
          <t>Nickel</t>
        </is>
      </c>
      <c r="B61" t="n">
        <v>0</v>
      </c>
      <c r="C61" t="inlineStr">
        <is>
          <t>biosphere3</t>
        </is>
      </c>
      <c r="E61" t="inlineStr">
        <is>
          <t>kilogram</t>
        </is>
      </c>
      <c r="F61" t="inlineStr">
        <is>
          <t>air</t>
        </is>
      </c>
      <c r="G61" t="inlineStr">
        <is>
          <t>biosphere</t>
        </is>
      </c>
      <c r="L61" t="inlineStr">
        <is>
          <t>geometric mean of Remus et al. (2013) data range</t>
        </is>
      </c>
      <c r="N61" t="n">
        <v>0</v>
      </c>
      <c r="P61" t="inlineStr">
        <is>
          <t>steel production, electric, low-alloyed</t>
        </is>
      </c>
      <c r="Q61" t="inlineStr">
        <is>
          <t>steel, low-alloyed</t>
        </is>
      </c>
      <c r="R61" t="inlineStr">
        <is>
          <t>Europe without Switzerland and Austria</t>
        </is>
      </c>
    </row>
    <row r="62">
      <c r="A62" t="inlineStr">
        <is>
          <t>Nitrogen oxides</t>
        </is>
      </c>
      <c r="B62" t="n">
        <v>0</v>
      </c>
      <c r="C62" t="inlineStr">
        <is>
          <t>biosphere3</t>
        </is>
      </c>
      <c r="E62" t="inlineStr">
        <is>
          <t>kilogram</t>
        </is>
      </c>
      <c r="F62" t="inlineStr">
        <is>
          <t>air</t>
        </is>
      </c>
      <c r="G62" t="inlineStr">
        <is>
          <t>biosphere</t>
        </is>
      </c>
      <c r="L62" t="inlineStr">
        <is>
          <t>geometric mean of Remus et al. (2013) data range</t>
        </is>
      </c>
      <c r="N62" t="n">
        <v>0</v>
      </c>
      <c r="P62" t="inlineStr">
        <is>
          <t>steel production, electric, low-alloyed</t>
        </is>
      </c>
      <c r="Q62" t="inlineStr">
        <is>
          <t>steel, low-alloyed</t>
        </is>
      </c>
      <c r="R62" t="inlineStr">
        <is>
          <t>Europe without Switzerland and Austria</t>
        </is>
      </c>
    </row>
    <row r="63">
      <c r="A63" t="inlineStr">
        <is>
          <t>PAH, polycyclic aromatic hydrocarbons</t>
        </is>
      </c>
      <c r="B63" t="n">
        <v>0</v>
      </c>
      <c r="C63" t="inlineStr">
        <is>
          <t>biosphere3</t>
        </is>
      </c>
      <c r="E63" t="inlineStr">
        <is>
          <t>kilogram</t>
        </is>
      </c>
      <c r="F63" t="inlineStr">
        <is>
          <t>air</t>
        </is>
      </c>
      <c r="G63" t="inlineStr">
        <is>
          <t>biosphere</t>
        </is>
      </c>
      <c r="L63" t="inlineStr">
        <is>
          <t>geometric mean of Remus et al. (2013) data range</t>
        </is>
      </c>
      <c r="N63" t="n">
        <v>0</v>
      </c>
      <c r="P63" t="inlineStr">
        <is>
          <t>steel production, electric, low-alloyed</t>
        </is>
      </c>
      <c r="Q63" t="inlineStr">
        <is>
          <t>steel, low-alloyed</t>
        </is>
      </c>
      <c r="R63" t="inlineStr">
        <is>
          <t>Europe without Switzerland and Austria</t>
        </is>
      </c>
    </row>
    <row r="64">
      <c r="A64" t="inlineStr">
        <is>
          <t>Particulates, &lt; 2.5 um</t>
        </is>
      </c>
      <c r="B64" t="n">
        <v>0</v>
      </c>
      <c r="C64" t="inlineStr">
        <is>
          <t>biosphere3</t>
        </is>
      </c>
      <c r="E64" t="inlineStr">
        <is>
          <t>kilogram</t>
        </is>
      </c>
      <c r="F64" t="inlineStr">
        <is>
          <t>air</t>
        </is>
      </c>
      <c r="G64" t="inlineStr">
        <is>
          <t>biosphere</t>
        </is>
      </c>
      <c r="L64" t="inlineStr">
        <is>
          <t>geometric mean of Remus et al. (2013) data range (assume 42.5% of total dust emissions [Classen et al. 2009])</t>
        </is>
      </c>
      <c r="N64" t="n">
        <v>0</v>
      </c>
      <c r="P64" t="inlineStr">
        <is>
          <t>steel production, electric, low-alloyed</t>
        </is>
      </c>
      <c r="Q64" t="inlineStr">
        <is>
          <t>steel, low-alloyed</t>
        </is>
      </c>
      <c r="R64" t="inlineStr">
        <is>
          <t>Europe without Switzerland and Austria</t>
        </is>
      </c>
    </row>
    <row r="65">
      <c r="A65" t="inlineStr">
        <is>
          <t>Particulates, &gt; 10 um</t>
        </is>
      </c>
      <c r="B65" t="n">
        <v>0</v>
      </c>
      <c r="C65" t="inlineStr">
        <is>
          <t>biosphere3</t>
        </is>
      </c>
      <c r="E65" t="inlineStr">
        <is>
          <t>kilogram</t>
        </is>
      </c>
      <c r="F65" t="inlineStr">
        <is>
          <t>air</t>
        </is>
      </c>
      <c r="G65" t="inlineStr">
        <is>
          <t>biosphere</t>
        </is>
      </c>
      <c r="L65" t="inlineStr">
        <is>
          <t>geometric mean of Remus et al. (2013) data range (assume 15% of total dust emissions [Classen et al. 2009])</t>
        </is>
      </c>
      <c r="N65" t="n">
        <v>0</v>
      </c>
      <c r="P65" t="inlineStr">
        <is>
          <t>steel production, electric, low-alloyed</t>
        </is>
      </c>
      <c r="Q65" t="inlineStr">
        <is>
          <t>steel, low-alloyed</t>
        </is>
      </c>
      <c r="R65" t="inlineStr">
        <is>
          <t>Europe without Switzerland and Austria</t>
        </is>
      </c>
    </row>
    <row r="66">
      <c r="A66" t="inlineStr">
        <is>
          <t>Particulates, &gt; 2.5 um, and &lt; 10um</t>
        </is>
      </c>
      <c r="B66" t="n">
        <v>0</v>
      </c>
      <c r="C66" t="inlineStr">
        <is>
          <t>biosphere3</t>
        </is>
      </c>
      <c r="E66" t="inlineStr">
        <is>
          <t>kilogram</t>
        </is>
      </c>
      <c r="F66" t="inlineStr">
        <is>
          <t>air</t>
        </is>
      </c>
      <c r="G66" t="inlineStr">
        <is>
          <t>biosphere</t>
        </is>
      </c>
      <c r="L66" t="inlineStr">
        <is>
          <t>geometric mean of Remus et al. (2013) data range (assume 42.5% of total dust emissions [Classen et al. 2009])</t>
        </is>
      </c>
      <c r="N66" t="n">
        <v>0</v>
      </c>
      <c r="P66" t="inlineStr">
        <is>
          <t>steel production, electric, low-alloyed</t>
        </is>
      </c>
      <c r="Q66" t="inlineStr">
        <is>
          <t>steel, low-alloyed</t>
        </is>
      </c>
      <c r="R66" t="inlineStr">
        <is>
          <t>Europe without Switzerland and Austria</t>
        </is>
      </c>
    </row>
    <row r="67">
      <c r="A67" t="inlineStr">
        <is>
          <t>Polychlorinated biphenyls</t>
        </is>
      </c>
      <c r="B67" t="n">
        <v>0</v>
      </c>
      <c r="C67" t="inlineStr">
        <is>
          <t>biosphere3</t>
        </is>
      </c>
      <c r="E67" t="inlineStr">
        <is>
          <t>kilogram</t>
        </is>
      </c>
      <c r="F67" t="inlineStr">
        <is>
          <t>air</t>
        </is>
      </c>
      <c r="G67" t="inlineStr">
        <is>
          <t>biosphere</t>
        </is>
      </c>
      <c r="L67" t="inlineStr">
        <is>
          <t>geometric mean of Remus et al. (2013) data range</t>
        </is>
      </c>
      <c r="N67" t="n">
        <v>0</v>
      </c>
      <c r="P67" t="inlineStr">
        <is>
          <t>steel production, electric, low-alloyed</t>
        </is>
      </c>
      <c r="Q67" t="inlineStr">
        <is>
          <t>steel, low-alloyed</t>
        </is>
      </c>
      <c r="R67" t="inlineStr">
        <is>
          <t>Europe without Switzerland and Austria</t>
        </is>
      </c>
    </row>
    <row r="68">
      <c r="A68" t="inlineStr">
        <is>
          <t>Sulfur dioxide</t>
        </is>
      </c>
      <c r="B68" t="n">
        <v>0</v>
      </c>
      <c r="C68" t="inlineStr">
        <is>
          <t>biosphere3</t>
        </is>
      </c>
      <c r="E68" t="inlineStr">
        <is>
          <t>kilogram</t>
        </is>
      </c>
      <c r="F68" t="inlineStr">
        <is>
          <t>air</t>
        </is>
      </c>
      <c r="G68" t="inlineStr">
        <is>
          <t>biosphere</t>
        </is>
      </c>
      <c r="L68" t="inlineStr">
        <is>
          <t>geometric mean of Remus et al. (2013) data range</t>
        </is>
      </c>
      <c r="N68" t="n">
        <v>0</v>
      </c>
      <c r="P68" t="inlineStr">
        <is>
          <t>steel production, electric, low-alloyed</t>
        </is>
      </c>
      <c r="Q68" t="inlineStr">
        <is>
          <t>steel, low-alloyed</t>
        </is>
      </c>
      <c r="R68" t="inlineStr">
        <is>
          <t>Europe without Switzerland and Austria</t>
        </is>
      </c>
    </row>
    <row r="69">
      <c r="A69" t="inlineStr">
        <is>
          <t>Water</t>
        </is>
      </c>
      <c r="B69" t="n">
        <v>0</v>
      </c>
      <c r="C69" t="inlineStr">
        <is>
          <t>biosphere3</t>
        </is>
      </c>
      <c r="E69" t="inlineStr">
        <is>
          <t>cubic meter</t>
        </is>
      </c>
      <c r="F69" t="inlineStr">
        <is>
          <t>air</t>
        </is>
      </c>
      <c r="G69" t="inlineStr">
        <is>
          <t>biosphere</t>
        </is>
      </c>
      <c r="L69" t="inlineStr">
        <is>
          <t>Source: Classen et al. (2009)</t>
        </is>
      </c>
      <c r="N69" t="n">
        <v>0</v>
      </c>
      <c r="P69" t="inlineStr">
        <is>
          <t>steel production, electric, low-alloyed</t>
        </is>
      </c>
      <c r="Q69" t="inlineStr">
        <is>
          <t>steel, low-alloyed</t>
        </is>
      </c>
      <c r="R69" t="inlineStr">
        <is>
          <t>Europe without Switzerland and Austria</t>
        </is>
      </c>
    </row>
    <row r="70">
      <c r="A70" t="inlineStr">
        <is>
          <t>Water</t>
        </is>
      </c>
      <c r="B70" t="n">
        <v>0</v>
      </c>
      <c r="C70" t="inlineStr">
        <is>
          <t>biosphere3</t>
        </is>
      </c>
      <c r="E70" t="inlineStr">
        <is>
          <t>cubic meter</t>
        </is>
      </c>
      <c r="F70" t="inlineStr">
        <is>
          <t>water</t>
        </is>
      </c>
      <c r="G70" t="inlineStr">
        <is>
          <t>biosphere</t>
        </is>
      </c>
      <c r="L70" t="inlineStr">
        <is>
          <t>Source: Classen et al. (2009)</t>
        </is>
      </c>
      <c r="N70" t="n">
        <v>0</v>
      </c>
      <c r="P70" t="inlineStr">
        <is>
          <t>steel production, electric, low-alloyed</t>
        </is>
      </c>
      <c r="Q70" t="inlineStr">
        <is>
          <t>steel, low-alloyed</t>
        </is>
      </c>
      <c r="R70" t="inlineStr">
        <is>
          <t>Europe without Switzerland and Austria</t>
        </is>
      </c>
    </row>
    <row r="71">
      <c r="A71" t="inlineStr">
        <is>
          <t>Water, cooling, unspecified natural origin</t>
        </is>
      </c>
      <c r="B71" t="n">
        <v>0</v>
      </c>
      <c r="C71" t="inlineStr">
        <is>
          <t>biosphere3</t>
        </is>
      </c>
      <c r="E71" t="inlineStr">
        <is>
          <t>cubic meter</t>
        </is>
      </c>
      <c r="F71" t="inlineStr">
        <is>
          <t>natural resource::in water</t>
        </is>
      </c>
      <c r="G71" t="inlineStr">
        <is>
          <t>biosphere</t>
        </is>
      </c>
      <c r="L71" t="inlineStr">
        <is>
          <t>geometric mean of Remus et al. (2013) data range</t>
        </is>
      </c>
      <c r="N71" t="n">
        <v>0</v>
      </c>
      <c r="P71" t="inlineStr">
        <is>
          <t>steel production, electric, low-alloyed</t>
        </is>
      </c>
      <c r="Q71" t="inlineStr">
        <is>
          <t>steel, low-alloyed</t>
        </is>
      </c>
      <c r="R71" t="inlineStr">
        <is>
          <t>Europe without Switzerland and Austria</t>
        </is>
      </c>
    </row>
    <row r="72">
      <c r="A72" t="inlineStr">
        <is>
          <t>Zinc</t>
        </is>
      </c>
      <c r="B72" t="n">
        <v>0</v>
      </c>
      <c r="C72" t="inlineStr">
        <is>
          <t>biosphere3</t>
        </is>
      </c>
      <c r="E72" t="inlineStr">
        <is>
          <t>kilogram</t>
        </is>
      </c>
      <c r="F72" t="inlineStr">
        <is>
          <t>air</t>
        </is>
      </c>
      <c r="G72" t="inlineStr">
        <is>
          <t>biosphere</t>
        </is>
      </c>
      <c r="L72" t="inlineStr">
        <is>
          <t>geometric mean of Remus et al. (2013) data range</t>
        </is>
      </c>
      <c r="N72" t="n">
        <v>0</v>
      </c>
      <c r="P72" t="inlineStr">
        <is>
          <t>steel production, electric, low-alloyed</t>
        </is>
      </c>
      <c r="Q72" t="inlineStr">
        <is>
          <t>steel, low-alloyed</t>
        </is>
      </c>
      <c r="R72" t="inlineStr">
        <is>
          <t>Europe without Switzerland and Austria</t>
        </is>
      </c>
    </row>
    <row r="73">
      <c r="A73" t="inlineStr">
        <is>
          <t>steel production, natural gas-based direct reduction iron-electric arc furnace, with carbon capture and storage, low-alloyed</t>
        </is>
      </c>
      <c r="B73" t="n">
        <v>1</v>
      </c>
      <c r="C73" s="22" t="inlineStr">
        <is>
          <t>steel_paper</t>
        </is>
      </c>
      <c r="D73" t="inlineStr">
        <is>
          <t>GLO</t>
        </is>
      </c>
      <c r="E73" t="inlineStr">
        <is>
          <t>kilogram</t>
        </is>
      </c>
      <c r="G73" t="inlineStr">
        <is>
          <t>production</t>
        </is>
      </c>
      <c r="I73" t="n">
        <v>0</v>
      </c>
      <c r="J73" t="n">
        <v>1</v>
      </c>
      <c r="L73" t="inlineStr">
        <is>
          <t>&gt; Modifications (2025): changed location from RER to GLO.</t>
        </is>
      </c>
      <c r="N73" t="n">
        <v>11181008749.41</v>
      </c>
      <c r="O73" t="inlineStr">
        <is>
          <t>steel, low-alloyed</t>
        </is>
      </c>
      <c r="P73" t="inlineStr">
        <is>
          <t>steel production, electric, low-alloyed</t>
        </is>
      </c>
      <c r="Q73" t="inlineStr">
        <is>
          <t>steel, low-alloyed</t>
        </is>
      </c>
      <c r="R73" t="inlineStr">
        <is>
          <t>Europe without Switzerland and Austria</t>
        </is>
      </c>
    </row>
    <row r="74">
      <c r="A74" s="24" t="inlineStr">
        <is>
          <t>pig iron production, with natural gas-based direct reduction, with carbon capture and storage</t>
        </is>
      </c>
      <c r="B74" t="n">
        <v>1.061992490719463</v>
      </c>
      <c r="C74" s="22" t="inlineStr">
        <is>
          <t>steel_paper</t>
        </is>
      </c>
      <c r="D74" t="inlineStr">
        <is>
          <t>GLO</t>
        </is>
      </c>
      <c r="E74" t="inlineStr">
        <is>
          <t>kilogram</t>
        </is>
      </c>
      <c r="G74" t="inlineStr">
        <is>
          <t>technosphere</t>
        </is>
      </c>
      <c r="H74" t="inlineStr">
        <is>
          <t>EW_EAF_lowalloy_ScalingFactor*1.131392</t>
        </is>
      </c>
      <c r="L74" s="51" t="inlineStr">
        <is>
          <t>&gt; Modifications (2025): input of sponge iron of 1.06, instead of scrap
&gt; original was: instead of 1.13 of scrap</t>
        </is>
      </c>
      <c r="O74" s="22" t="inlineStr">
        <is>
          <t>pig iron</t>
        </is>
      </c>
    </row>
    <row r="75">
      <c r="A75" t="inlineStr">
        <is>
          <t>market for anode, for metal electrolysis</t>
        </is>
      </c>
      <c r="B75" t="n">
        <v>0</v>
      </c>
      <c r="C75" t="inlineStr">
        <is>
          <t>cutoff391</t>
        </is>
      </c>
      <c r="D75" t="inlineStr">
        <is>
          <t>GLO</t>
        </is>
      </c>
      <c r="E75" t="inlineStr">
        <is>
          <t>kilogram</t>
        </is>
      </c>
      <c r="G75" t="inlineStr">
        <is>
          <t>technosphere</t>
        </is>
      </c>
      <c r="L75" t="inlineStr">
        <is>
          <t>geometric mean of Remus et al. (2013) data range</t>
        </is>
      </c>
      <c r="N75" t="n">
        <v>0</v>
      </c>
      <c r="O75" t="inlineStr">
        <is>
          <t>anode, for metal electrolysis</t>
        </is>
      </c>
      <c r="P75" t="inlineStr">
        <is>
          <t>steel production, electric, low-alloyed</t>
        </is>
      </c>
      <c r="Q75" t="inlineStr">
        <is>
          <t>steel, low-alloyed</t>
        </is>
      </c>
      <c r="R75" t="inlineStr">
        <is>
          <t>Europe without Switzerland and Austria</t>
        </is>
      </c>
    </row>
    <row r="76">
      <c r="A76" t="inlineStr">
        <is>
          <t>market for argon, liquid</t>
        </is>
      </c>
      <c r="B76" t="n">
        <v>0</v>
      </c>
      <c r="C76" t="inlineStr">
        <is>
          <t>cutoff391</t>
        </is>
      </c>
      <c r="D76" t="inlineStr">
        <is>
          <t>RER</t>
        </is>
      </c>
      <c r="E76" t="inlineStr">
        <is>
          <t>kilogram</t>
        </is>
      </c>
      <c r="G76" t="inlineStr">
        <is>
          <t>technosphere</t>
        </is>
      </c>
      <c r="L76" t="inlineStr">
        <is>
          <t>&gt; Modifications (2025): changed location from RER to RoW.
&lt;Original ecoinvent 3.8 comment: &gt;
geometric mean of Remus et al. (2013) data range (m3:kg conversion based on: http://www.airproducts.com/Products/Gases/gas-facts/conversion-formulas/weight-and-volume-equivalents/argon.aspx)</t>
        </is>
      </c>
      <c r="N76" t="n">
        <v>0</v>
      </c>
      <c r="O76" t="inlineStr">
        <is>
          <t>argon, liquid</t>
        </is>
      </c>
      <c r="P76" t="inlineStr">
        <is>
          <t>steel production, electric, low-alloyed</t>
        </is>
      </c>
      <c r="Q76" t="inlineStr">
        <is>
          <t>steel, low-alloyed</t>
        </is>
      </c>
      <c r="R76" t="inlineStr">
        <is>
          <t>Europe without Switzerland and Austria</t>
        </is>
      </c>
    </row>
    <row r="77">
      <c r="A77" t="inlineStr">
        <is>
          <t>market for electric arc furnace converter</t>
        </is>
      </c>
      <c r="B77" t="n">
        <v>0</v>
      </c>
      <c r="C77" t="inlineStr">
        <is>
          <t>cutoff391</t>
        </is>
      </c>
      <c r="D77" t="inlineStr">
        <is>
          <t>GLO</t>
        </is>
      </c>
      <c r="E77" t="inlineStr">
        <is>
          <t>unit</t>
        </is>
      </c>
      <c r="G77" t="inlineStr">
        <is>
          <t>technosphere</t>
        </is>
      </c>
      <c r="L77" t="inlineStr">
        <is>
          <t>Source: Classen et al. (2009)</t>
        </is>
      </c>
      <c r="N77" t="n">
        <v>0</v>
      </c>
      <c r="O77" t="inlineStr">
        <is>
          <t>electric arc furnace converter</t>
        </is>
      </c>
      <c r="P77" t="inlineStr">
        <is>
          <t>steel production, electric, low-alloyed</t>
        </is>
      </c>
      <c r="Q77" t="inlineStr">
        <is>
          <t>steel, low-alloyed</t>
        </is>
      </c>
      <c r="R77" t="inlineStr">
        <is>
          <t>Europe without Switzerland and Austria</t>
        </is>
      </c>
    </row>
    <row r="78">
      <c r="A78" t="inlineStr">
        <is>
          <t>market for electric arc furnace dust</t>
        </is>
      </c>
      <c r="B78" t="n">
        <v>0</v>
      </c>
      <c r="C78" t="inlineStr">
        <is>
          <t>cutoff391</t>
        </is>
      </c>
      <c r="D78" s="21" t="inlineStr">
        <is>
          <t>RER</t>
        </is>
      </c>
      <c r="E78" t="inlineStr">
        <is>
          <t>kilogram</t>
        </is>
      </c>
      <c r="G78" t="inlineStr">
        <is>
          <t>technosphere</t>
        </is>
      </c>
      <c r="L78" t="inlineStr">
        <is>
          <t>&gt; Modifications (2025): changed location from RER to RoW.
&lt;Original ecoinvent 3.8 comment: &gt;
Amount reported by worldsteel (2010) and is representative of the average global situation in 2009. Also based on worldsteel (2010), an internal recovery (recycling) rate of 10% is assumed. Source: Worldsteel (2010). Steel industry by-products. World Steel Association: Brussels, Belgium.</t>
        </is>
      </c>
      <c r="N78" t="n">
        <v>213863626.753465</v>
      </c>
      <c r="O78" t="inlineStr">
        <is>
          <t>electric arc furnace dust</t>
        </is>
      </c>
      <c r="P78" t="inlineStr">
        <is>
          <t>steel production, electric, low-alloyed</t>
        </is>
      </c>
      <c r="Q78" t="inlineStr">
        <is>
          <t>steel, low-alloyed</t>
        </is>
      </c>
      <c r="R78" t="inlineStr">
        <is>
          <t>Europe without Switzerland and Austria</t>
        </is>
      </c>
    </row>
    <row r="79">
      <c r="A79" s="25" t="inlineStr">
        <is>
          <t>market for electric arc furnace slag</t>
        </is>
      </c>
      <c r="B79" t="n">
        <v>-0.1549821636910023</v>
      </c>
      <c r="C79" t="inlineStr">
        <is>
          <t>cutoff391</t>
        </is>
      </c>
      <c r="D79" s="21" t="inlineStr">
        <is>
          <t>RER</t>
        </is>
      </c>
      <c r="E79" t="inlineStr">
        <is>
          <t>kilogram</t>
        </is>
      </c>
      <c r="G79" t="inlineStr">
        <is>
          <t>technosphere</t>
        </is>
      </c>
      <c r="H79" t="inlineStr">
        <is>
          <t>EW_EAF_lowalloy_ScalingFactor*(-0.16511)</t>
        </is>
      </c>
      <c r="L79" s="25" t="inlineStr">
        <is>
          <t>&gt; Modifications (2025): Increased value of:  electric arc furnace slag 	market for electric arc furnace slag	RER	ecoinvent38_cutoff	to  -0.165106 kg (sum of all slag types in ecoinvent 3.8). Changed location from RER to RoW.
&lt;Original ecoinvent 3.8 comment: &gt;
Amount reported by worldsteel (2010) and is representative of the average global situation in 2009. Also based on worldsteel (2010), an internal recovery (recycling) rate of 3% is assumed. Source: Worldsteel (2010). Steel industry by-products. World Steel Association: Brussels, Belgium.</t>
        </is>
      </c>
      <c r="N79" t="n">
        <v>1630929022.24144</v>
      </c>
      <c r="O79" t="inlineStr">
        <is>
          <t>electric arc furnace slag</t>
        </is>
      </c>
      <c r="S79" t="b">
        <v>1</v>
      </c>
    </row>
    <row r="80">
      <c r="A80" t="inlineStr">
        <is>
          <t>market for hard coal</t>
        </is>
      </c>
      <c r="B80" t="n">
        <v>0</v>
      </c>
      <c r="C80" t="inlineStr">
        <is>
          <t>cutoff391</t>
        </is>
      </c>
      <c r="D80" t="inlineStr">
        <is>
          <t>RoW</t>
        </is>
      </c>
      <c r="E80" t="inlineStr">
        <is>
          <t>kilogram</t>
        </is>
      </c>
      <c r="G80" t="inlineStr">
        <is>
          <t>technosphere</t>
        </is>
      </c>
      <c r="L80" t="inlineStr">
        <is>
          <t>geometric mean of Remus et al. (2013) data range</t>
        </is>
      </c>
      <c r="N80" t="n">
        <v>0</v>
      </c>
      <c r="O80" t="inlineStr">
        <is>
          <t>hard coal</t>
        </is>
      </c>
      <c r="P80" t="inlineStr">
        <is>
          <t>steel production, electric, low-alloyed</t>
        </is>
      </c>
      <c r="Q80" t="inlineStr">
        <is>
          <t>steel, low-alloyed</t>
        </is>
      </c>
      <c r="R80" t="inlineStr">
        <is>
          <t>Europe without Switzerland and Austria</t>
        </is>
      </c>
    </row>
    <row r="81">
      <c r="A81" t="inlineStr">
        <is>
          <t>market for inert waste, for final disposal</t>
        </is>
      </c>
      <c r="B81" t="n">
        <v>0</v>
      </c>
      <c r="C81" t="inlineStr">
        <is>
          <t>cutoff391</t>
        </is>
      </c>
      <c r="D81" t="inlineStr">
        <is>
          <t>RoW</t>
        </is>
      </c>
      <c r="E81" t="inlineStr">
        <is>
          <t>kilogram</t>
        </is>
      </c>
      <c r="G81" t="inlineStr">
        <is>
          <t>technosphere</t>
        </is>
      </c>
      <c r="L81" t="inlineStr">
        <is>
          <t>Represents used refractories, etc.</t>
        </is>
      </c>
      <c r="N81" t="n">
        <v>75833291.07138591</v>
      </c>
      <c r="O81" t="inlineStr">
        <is>
          <t>inert waste, for final disposal</t>
        </is>
      </c>
      <c r="P81" t="inlineStr">
        <is>
          <t>steel production, electric, low-alloyed</t>
        </is>
      </c>
      <c r="Q81" t="inlineStr">
        <is>
          <t>steel, low-alloyed</t>
        </is>
      </c>
      <c r="R81" t="inlineStr">
        <is>
          <t>Europe without Switzerland and Austria</t>
        </is>
      </c>
    </row>
    <row r="82">
      <c r="A82" t="inlineStr">
        <is>
          <t>market for nitrogen, liquid</t>
        </is>
      </c>
      <c r="B82" t="n">
        <v>0</v>
      </c>
      <c r="C82" t="inlineStr">
        <is>
          <t>cutoff391</t>
        </is>
      </c>
      <c r="D82" t="inlineStr">
        <is>
          <t>RoW</t>
        </is>
      </c>
      <c r="E82" t="inlineStr">
        <is>
          <t>kilogram</t>
        </is>
      </c>
      <c r="G82" t="inlineStr">
        <is>
          <t>technosphere</t>
        </is>
      </c>
      <c r="L82" t="inlineStr">
        <is>
          <t>&gt; Modifications (2025): changed location from RER to RoW.
&lt;Original ecoinvent 3.8 comment: &gt; geometric mean of Remus et al. (2013) data range (m3:kg conversion based on: http://www.airproducts.com/Products/Gases/gas-facts/conversion-formulas/weight-and-volume-equivalents/nitrogen.aspx)</t>
        </is>
      </c>
      <c r="N82" t="n">
        <v>0</v>
      </c>
      <c r="O82" t="inlineStr">
        <is>
          <t>nitrogen, liquid</t>
        </is>
      </c>
      <c r="P82" t="inlineStr">
        <is>
          <t>steel production, electric, low-alloyed</t>
        </is>
      </c>
      <c r="Q82" t="inlineStr">
        <is>
          <t>steel, low-alloyed</t>
        </is>
      </c>
      <c r="R82" t="inlineStr">
        <is>
          <t>Europe without Switzerland and Austria</t>
        </is>
      </c>
    </row>
    <row r="83">
      <c r="A83" t="inlineStr">
        <is>
          <t>market for oxygen, liquid</t>
        </is>
      </c>
      <c r="B83" t="n">
        <v>0</v>
      </c>
      <c r="C83" t="inlineStr">
        <is>
          <t>cutoff391</t>
        </is>
      </c>
      <c r="D83" t="inlineStr">
        <is>
          <t>RoW</t>
        </is>
      </c>
      <c r="E83" t="inlineStr">
        <is>
          <t>kilogram</t>
        </is>
      </c>
      <c r="G83" t="inlineStr">
        <is>
          <t>technosphere</t>
        </is>
      </c>
      <c r="L83" t="inlineStr">
        <is>
          <t>&gt; Modifications (2025): changed location from RER to RoW.
&lt;Original ecoinvent 3.8 comment: &gt; geometric mean of Remus et al. (2013) data range (m3:kg conversion based on: http://www.airproducts.com/Products/Gases/gas-facts/conversion-formulas/weight-and-volume-equivalents/oxygen.aspx)</t>
        </is>
      </c>
      <c r="N83" t="n">
        <v>0</v>
      </c>
      <c r="O83" t="inlineStr">
        <is>
          <t>oxygen, liquid</t>
        </is>
      </c>
      <c r="P83" t="inlineStr">
        <is>
          <t>steel production, electric, low-alloyed</t>
        </is>
      </c>
      <c r="Q83" t="inlineStr">
        <is>
          <t>steel, low-alloyed</t>
        </is>
      </c>
      <c r="R83" t="inlineStr">
        <is>
          <t>Europe without Switzerland and Austria</t>
        </is>
      </c>
    </row>
    <row r="84">
      <c r="A84" t="inlineStr">
        <is>
          <t>market for quicklime, in pieces, loose</t>
        </is>
      </c>
      <c r="B84" t="n">
        <v>0</v>
      </c>
      <c r="C84" t="inlineStr">
        <is>
          <t>cutoff391</t>
        </is>
      </c>
      <c r="D84" t="inlineStr">
        <is>
          <t>RoW</t>
        </is>
      </c>
      <c r="E84" t="inlineStr">
        <is>
          <t>kilogram</t>
        </is>
      </c>
      <c r="G84" t="inlineStr">
        <is>
          <t>technosphere</t>
        </is>
      </c>
      <c r="L84" t="inlineStr">
        <is>
          <t>geometric mean of Remus et al. (2013) data range</t>
        </is>
      </c>
      <c r="N84" t="n">
        <v>0</v>
      </c>
      <c r="O84" t="inlineStr">
        <is>
          <t>quicklime, in pieces, loose</t>
        </is>
      </c>
      <c r="P84" t="inlineStr">
        <is>
          <t>steel production, electric, low-alloyed</t>
        </is>
      </c>
      <c r="Q84" t="inlineStr">
        <is>
          <t>steel, low-alloyed</t>
        </is>
      </c>
      <c r="R84" t="inlineStr">
        <is>
          <t>Europe without Switzerland and Austria</t>
        </is>
      </c>
    </row>
    <row r="85">
      <c r="A85" t="inlineStr">
        <is>
          <t>market for refractory, basic, packed</t>
        </is>
      </c>
      <c r="B85" t="n">
        <v>0</v>
      </c>
      <c r="C85" t="inlineStr">
        <is>
          <t>cutoff391</t>
        </is>
      </c>
      <c r="D85" t="inlineStr">
        <is>
          <t>GLO</t>
        </is>
      </c>
      <c r="E85" t="inlineStr">
        <is>
          <t>kilogram</t>
        </is>
      </c>
      <c r="G85" t="inlineStr">
        <is>
          <t>technosphere</t>
        </is>
      </c>
      <c r="L85" t="inlineStr">
        <is>
          <t>geometric mean of Remus et al. (2013) data range</t>
        </is>
      </c>
      <c r="N85" t="n">
        <v>0</v>
      </c>
      <c r="O85" t="inlineStr">
        <is>
          <t>refractory, basic, packed</t>
        </is>
      </c>
      <c r="P85" t="inlineStr">
        <is>
          <t>steel production, electric, low-alloyed</t>
        </is>
      </c>
      <c r="Q85" t="inlineStr">
        <is>
          <t>steel, low-alloyed</t>
        </is>
      </c>
      <c r="R85" t="inlineStr">
        <is>
          <t>Europe without Switzerland and Austria</t>
        </is>
      </c>
    </row>
    <row r="86">
      <c r="A86" s="25" t="inlineStr">
        <is>
          <t>market group for electricity, medium voltage</t>
        </is>
      </c>
      <c r="B86" t="n">
        <v>0.5162630369453775</v>
      </c>
      <c r="C86" t="inlineStr">
        <is>
          <t>cutoff391</t>
        </is>
      </c>
      <c r="D86" t="inlineStr">
        <is>
          <t>GLO</t>
        </is>
      </c>
      <c r="E86" t="inlineStr">
        <is>
          <t>kilowatt hour</t>
        </is>
      </c>
      <c r="G86" t="inlineStr">
        <is>
          <t>technosphere</t>
        </is>
      </c>
      <c r="H86" t="inlineStr">
        <is>
          <t>EW_EAF_lowalloy_ScalingFactor*0.55</t>
        </is>
      </c>
      <c r="L86" s="25" t="inlineStr">
        <is>
          <t>&gt; Modifications (2025): used input from market group instead of separate countries (aggregated the amount to 1 value from 1 market). Changed location from RER to GLO</t>
        </is>
      </c>
      <c r="O86" t="inlineStr">
        <is>
          <t>electricity, medium voltage</t>
        </is>
      </c>
    </row>
    <row r="87">
      <c r="A87" s="25" t="inlineStr">
        <is>
          <t>market group for natural gas, high pressure</t>
        </is>
      </c>
      <c r="B87" t="n">
        <v>0.007023523952625067</v>
      </c>
      <c r="C87" t="inlineStr">
        <is>
          <t>cutoff391</t>
        </is>
      </c>
      <c r="D87" t="inlineStr">
        <is>
          <t>GLO</t>
        </is>
      </c>
      <c r="E87" t="inlineStr">
        <is>
          <t>cubic meter</t>
        </is>
      </c>
      <c r="G87" t="inlineStr">
        <is>
          <t>technosphere</t>
        </is>
      </c>
      <c r="H87" t="inlineStr">
        <is>
          <t>EW_EAF_lowalloy_ScalingFactor *0.0074825</t>
        </is>
      </c>
      <c r="L87" s="25" t="inlineStr">
        <is>
          <t>&gt; Modifications (2025): used input from market group instead of separate countries (aggregated the amount to 1 value from 1 market). changed location from RER to GLO</t>
        </is>
      </c>
      <c r="O87" t="inlineStr">
        <is>
          <t>natural gas, high pressure</t>
        </is>
      </c>
    </row>
    <row r="88">
      <c r="A88" t="inlineStr">
        <is>
          <t>alloys production, for low-alloyed steel</t>
        </is>
      </c>
      <c r="B88" t="n">
        <v>1</v>
      </c>
      <c r="C88" t="inlineStr">
        <is>
          <t>steel_paper</t>
        </is>
      </c>
      <c r="D88" t="inlineStr">
        <is>
          <t>GLO</t>
        </is>
      </c>
      <c r="E88" t="inlineStr">
        <is>
          <t>kilogram</t>
        </is>
      </c>
      <c r="G88" t="inlineStr">
        <is>
          <t>technosphere</t>
        </is>
      </c>
      <c r="L88" s="25" t="inlineStr">
        <is>
          <t>&gt; Modifications (2025): added alloying elements to produce low-alloyed steel, assuming that these alloying elements are usually already contained in the scrap entering a scrap-EAF, which is not the case here, where low-alloyed steel is produced from virgin sponge iron</t>
        </is>
      </c>
      <c r="O88" t="inlineStr">
        <is>
          <t>alloys, for low-alloyed steel</t>
        </is>
      </c>
    </row>
    <row r="89"/>
    <row r="90" ht="16" customHeight="1">
      <c r="A90" s="50" t="inlineStr">
        <is>
          <t>Activity</t>
        </is>
      </c>
      <c r="B90" s="33" t="inlineStr">
        <is>
          <t>steel production, natural gas-based direct reduction iron-electric arc furnace, with carbon capture and storage, unalloyed</t>
        </is>
      </c>
    </row>
    <row r="91">
      <c r="A91" t="inlineStr">
        <is>
          <t>comment</t>
        </is>
      </c>
      <c r="B91" s="25" t="inlineStr">
        <is>
          <t>This dataset, modified by Harpprecht et al. (2025) from ecoinvent 3.8 (cutoff), models the production of unalloyed steel via electric arc furnace (EAF) using sponge iron sourced from natural gas-based direct reduction with carbon capture and storage (NG-DRI+CCS). The original process for low-alloyed scrap-based steel (region: Europe without Switzerland and Austria) was adapted by substituting the main input—scrap—with sponge iron and scaling all inputs and outputs to 1 kg of steel using a factor of 0.9369, derived from Bhaskar et al. (2020). Locations of technosphere inputs were converted to global (GLO/RoW) supply chains, and slag flows were adjusted to reflect the absence of secondary metallurgy. For the alloying elements, FeSi was removed and FeMn was reduced from 0.009 to 0.006 kg, matching the levels in unalloyed steel production processes.
**References**
* Bhaskar, A., Assadi, M., &amp; Somehsaraei, H. N. (2020). Decarbonization of the iron and steel industry with direct reduction of iron ore with green hydrogen. *Energies*, 13(3), 758. [https://doi.org/10.3390/en13030758](https://doi.org/10.3390/en13030758)
* ecoinvent version 3.8 cutoff system model (2021). ecoinvent Association, Zurich.
* Harpprecht, C., et al. (2025). *\[Forthcoming study/document]*.</t>
        </is>
      </c>
    </row>
    <row r="92">
      <c r="A92" s="22" t="inlineStr">
        <is>
          <t>source</t>
        </is>
      </c>
      <c r="B92" s="22" t="inlineStr">
        <is>
          <t>Harpprecht C., Sacchi R., Naegler T., et al. "Future environmental impacts of global iron and steel production". Energy Environ Sci. (2025). doi: 10.1039/D5EE01356A</t>
        </is>
      </c>
      <c r="C92" s="21" t="n"/>
      <c r="D92" s="21" t="n"/>
      <c r="E92" s="21" t="n"/>
      <c r="F92" s="21" t="n"/>
      <c r="G92" s="21" t="n"/>
      <c r="H92" s="21" t="n"/>
    </row>
    <row r="93">
      <c r="A93" t="inlineStr">
        <is>
          <t>location</t>
        </is>
      </c>
      <c r="B93" t="inlineStr">
        <is>
          <t>GLO</t>
        </is>
      </c>
    </row>
    <row r="94">
      <c r="A94" t="inlineStr">
        <is>
          <t>production amount</t>
        </is>
      </c>
      <c r="B94" t="n">
        <v>1</v>
      </c>
    </row>
    <row r="95">
      <c r="A95" t="inlineStr">
        <is>
          <t>reference product</t>
        </is>
      </c>
      <c r="B95" t="inlineStr">
        <is>
          <t>steel, unalloyed</t>
        </is>
      </c>
    </row>
    <row r="96">
      <c r="A96" t="inlineStr">
        <is>
          <t>unit</t>
        </is>
      </c>
      <c r="B96" t="inlineStr">
        <is>
          <t>kilogram</t>
        </is>
      </c>
    </row>
    <row r="97" ht="16" customHeight="1">
      <c r="A97" s="50" t="inlineStr">
        <is>
          <t>Exchanges</t>
        </is>
      </c>
    </row>
    <row r="98">
      <c r="A98" s="20" t="inlineStr">
        <is>
          <t>name</t>
        </is>
      </c>
      <c r="B98" s="20" t="inlineStr">
        <is>
          <t>amount</t>
        </is>
      </c>
      <c r="C98" s="20" t="inlineStr">
        <is>
          <t>database</t>
        </is>
      </c>
      <c r="D98" s="20" t="inlineStr">
        <is>
          <t>location</t>
        </is>
      </c>
      <c r="E98" s="20" t="inlineStr">
        <is>
          <t>unit</t>
        </is>
      </c>
      <c r="F98" s="20" t="inlineStr">
        <is>
          <t>categories</t>
        </is>
      </c>
      <c r="G98" s="20" t="inlineStr">
        <is>
          <t>type</t>
        </is>
      </c>
      <c r="H98" s="20" t="inlineStr">
        <is>
          <t>formula</t>
        </is>
      </c>
      <c r="I98" s="20" t="inlineStr">
        <is>
          <t>uncertainty type</t>
        </is>
      </c>
      <c r="J98" s="20" t="inlineStr">
        <is>
          <t>loc</t>
        </is>
      </c>
      <c r="K98" s="20" t="inlineStr">
        <is>
          <t>scale</t>
        </is>
      </c>
      <c r="L98" s="20" t="inlineStr">
        <is>
          <t>comment</t>
        </is>
      </c>
      <c r="M98" s="20" t="inlineStr">
        <is>
          <t>pedigree</t>
        </is>
      </c>
      <c r="N98" s="20" t="inlineStr">
        <is>
          <t>production volume</t>
        </is>
      </c>
      <c r="O98" s="20" t="inlineStr">
        <is>
          <t>reference product</t>
        </is>
      </c>
      <c r="P98" s="20" t="inlineStr">
        <is>
          <t>replacement name</t>
        </is>
      </c>
      <c r="Q98" s="20" t="inlineStr">
        <is>
          <t>replacement product</t>
        </is>
      </c>
      <c r="R98" s="20" t="inlineStr">
        <is>
          <t>replacement location</t>
        </is>
      </c>
      <c r="S98" s="20" t="inlineStr">
        <is>
          <t>negative</t>
        </is>
      </c>
    </row>
    <row r="99">
      <c r="A99" t="inlineStr">
        <is>
          <t>Benzene</t>
        </is>
      </c>
      <c r="B99" t="n">
        <v>0</v>
      </c>
      <c r="C99" t="inlineStr">
        <is>
          <t>biosphere3</t>
        </is>
      </c>
      <c r="E99" t="inlineStr">
        <is>
          <t>kilogram</t>
        </is>
      </c>
      <c r="F99" t="inlineStr">
        <is>
          <t>air</t>
        </is>
      </c>
      <c r="G99" t="inlineStr">
        <is>
          <t>biosphere</t>
        </is>
      </c>
      <c r="L99" t="inlineStr">
        <is>
          <t>geometric mean of Remus et al. (2013) data range</t>
        </is>
      </c>
      <c r="M99" t="inlineStr">
        <is>
          <t>2::3::2::5::1::1</t>
        </is>
      </c>
      <c r="N99" t="n">
        <v>0</v>
      </c>
      <c r="P99" t="inlineStr">
        <is>
          <t>steel production, electric, low-alloyed</t>
        </is>
      </c>
      <c r="Q99" t="inlineStr">
        <is>
          <t>steel, low-alloyed</t>
        </is>
      </c>
      <c r="R99" t="inlineStr">
        <is>
          <t>Europe without Switzerland and Austria</t>
        </is>
      </c>
    </row>
    <row r="100">
      <c r="A100" t="inlineStr">
        <is>
          <t>Benzene, hexachloro-</t>
        </is>
      </c>
      <c r="B100" t="n">
        <v>0</v>
      </c>
      <c r="C100" t="inlineStr">
        <is>
          <t>biosphere3</t>
        </is>
      </c>
      <c r="E100" t="inlineStr">
        <is>
          <t>kilogram</t>
        </is>
      </c>
      <c r="F100" t="inlineStr">
        <is>
          <t>air</t>
        </is>
      </c>
      <c r="G100" t="inlineStr">
        <is>
          <t>biosphere</t>
        </is>
      </c>
      <c r="L100" t="inlineStr">
        <is>
          <t>geometric mean of Remus et al. (2013) data range</t>
        </is>
      </c>
      <c r="M100" t="inlineStr">
        <is>
          <t>2::3::2::5::1::1</t>
        </is>
      </c>
      <c r="N100" t="n">
        <v>0</v>
      </c>
      <c r="P100" t="inlineStr">
        <is>
          <t>steel production, electric, low-alloyed</t>
        </is>
      </c>
      <c r="Q100" t="inlineStr">
        <is>
          <t>steel, low-alloyed</t>
        </is>
      </c>
      <c r="R100" t="inlineStr">
        <is>
          <t>Europe without Switzerland and Austria</t>
        </is>
      </c>
    </row>
    <row r="101">
      <c r="A101" t="inlineStr">
        <is>
          <t>Cadmium</t>
        </is>
      </c>
      <c r="B101" t="n">
        <v>0</v>
      </c>
      <c r="C101" t="inlineStr">
        <is>
          <t>biosphere3</t>
        </is>
      </c>
      <c r="E101" t="inlineStr">
        <is>
          <t>kilogram</t>
        </is>
      </c>
      <c r="F101" t="inlineStr">
        <is>
          <t>air</t>
        </is>
      </c>
      <c r="G101" t="inlineStr">
        <is>
          <t>biosphere</t>
        </is>
      </c>
      <c r="L101" t="inlineStr">
        <is>
          <t>geometric mean of Remus et al. (2013) data range</t>
        </is>
      </c>
      <c r="M101" t="inlineStr">
        <is>
          <t>2::3::2::5::1::1</t>
        </is>
      </c>
      <c r="N101" t="n">
        <v>0</v>
      </c>
      <c r="P101" t="inlineStr">
        <is>
          <t>steel production, electric, low-alloyed</t>
        </is>
      </c>
      <c r="Q101" t="inlineStr">
        <is>
          <t>steel, low-alloyed</t>
        </is>
      </c>
      <c r="R101" t="inlineStr">
        <is>
          <t>Europe without Switzerland and Austria</t>
        </is>
      </c>
    </row>
    <row r="102">
      <c r="A102" t="inlineStr">
        <is>
          <t>Carbon dioxide, fossil</t>
        </is>
      </c>
      <c r="B102" t="n">
        <v>0</v>
      </c>
      <c r="C102" t="inlineStr">
        <is>
          <t>biosphere3</t>
        </is>
      </c>
      <c r="E102" t="inlineStr">
        <is>
          <t>kilogram</t>
        </is>
      </c>
      <c r="F102" t="inlineStr">
        <is>
          <t>air</t>
        </is>
      </c>
      <c r="G102" t="inlineStr">
        <is>
          <t>biosphere</t>
        </is>
      </c>
      <c r="L102" t="inlineStr">
        <is>
          <t>Calculated Value. Carbon dioxide emission is calculated as the sum of carbon in hard coal and natural gas minus the emissions of carbon monoxide.</t>
        </is>
      </c>
      <c r="M102" t="inlineStr">
        <is>
          <t>5::5::5::5::5::1</t>
        </is>
      </c>
      <c r="N102" t="n">
        <v>0</v>
      </c>
      <c r="P102" t="inlineStr">
        <is>
          <t>steel production, electric, low-alloyed</t>
        </is>
      </c>
      <c r="Q102" t="inlineStr">
        <is>
          <t>steel, low-alloyed</t>
        </is>
      </c>
      <c r="R102" t="inlineStr">
        <is>
          <t>Europe without Switzerland and Austria</t>
        </is>
      </c>
    </row>
    <row r="103">
      <c r="A103" t="inlineStr">
        <is>
          <t>Carbon monoxide, fossil</t>
        </is>
      </c>
      <c r="B103" t="n">
        <v>0</v>
      </c>
      <c r="C103" t="inlineStr">
        <is>
          <t>biosphere3</t>
        </is>
      </c>
      <c r="E103" t="inlineStr">
        <is>
          <t>kilogram</t>
        </is>
      </c>
      <c r="F103" t="inlineStr">
        <is>
          <t>air</t>
        </is>
      </c>
      <c r="G103" t="inlineStr">
        <is>
          <t>biosphere</t>
        </is>
      </c>
      <c r="L103" t="inlineStr">
        <is>
          <t>geometric mean of Remus et al. (2013) data range</t>
        </is>
      </c>
      <c r="M103" t="inlineStr">
        <is>
          <t>2::3::2::5::1::1</t>
        </is>
      </c>
      <c r="N103" t="n">
        <v>0</v>
      </c>
      <c r="P103" t="inlineStr">
        <is>
          <t>steel production, electric, low-alloyed</t>
        </is>
      </c>
      <c r="Q103" t="inlineStr">
        <is>
          <t>steel, low-alloyed</t>
        </is>
      </c>
      <c r="R103" t="inlineStr">
        <is>
          <t>Europe without Switzerland and Austria</t>
        </is>
      </c>
    </row>
    <row r="104">
      <c r="A104" t="inlineStr">
        <is>
          <t>Chromium</t>
        </is>
      </c>
      <c r="B104" t="n">
        <v>0</v>
      </c>
      <c r="C104" t="inlineStr">
        <is>
          <t>biosphere3</t>
        </is>
      </c>
      <c r="E104" t="inlineStr">
        <is>
          <t>kilogram</t>
        </is>
      </c>
      <c r="F104" t="inlineStr">
        <is>
          <t>air</t>
        </is>
      </c>
      <c r="G104" t="inlineStr">
        <is>
          <t>biosphere</t>
        </is>
      </c>
      <c r="L104" t="inlineStr">
        <is>
          <t>geometric mean of Remus et al. (2013) data range</t>
        </is>
      </c>
      <c r="M104" t="inlineStr">
        <is>
          <t>2::3::2::5::1::1</t>
        </is>
      </c>
      <c r="N104" t="n">
        <v>0</v>
      </c>
      <c r="P104" t="inlineStr">
        <is>
          <t>steel production, electric, low-alloyed</t>
        </is>
      </c>
      <c r="Q104" t="inlineStr">
        <is>
          <t>steel, low-alloyed</t>
        </is>
      </c>
      <c r="R104" t="inlineStr">
        <is>
          <t>Europe without Switzerland and Austria</t>
        </is>
      </c>
    </row>
    <row r="105">
      <c r="A105" t="inlineStr">
        <is>
          <t>Copper ion</t>
        </is>
      </c>
      <c r="B105" t="n">
        <v>0</v>
      </c>
      <c r="C105" t="inlineStr">
        <is>
          <t>biosphere3</t>
        </is>
      </c>
      <c r="E105" t="inlineStr">
        <is>
          <t>kilogram</t>
        </is>
      </c>
      <c r="F105" t="inlineStr">
        <is>
          <t>air</t>
        </is>
      </c>
      <c r="G105" t="inlineStr">
        <is>
          <t>biosphere</t>
        </is>
      </c>
      <c r="L105" t="inlineStr">
        <is>
          <t>geometric mean of Remus et al. (2013) data range</t>
        </is>
      </c>
      <c r="M105" t="inlineStr">
        <is>
          <t>2::3::2::5::1::1</t>
        </is>
      </c>
      <c r="N105" t="n">
        <v>0</v>
      </c>
      <c r="P105" t="inlineStr">
        <is>
          <t>steel production, electric, low-alloyed</t>
        </is>
      </c>
      <c r="Q105" t="inlineStr">
        <is>
          <t>steel, low-alloyed</t>
        </is>
      </c>
      <c r="R105" t="inlineStr">
        <is>
          <t>Europe without Switzerland and Austria</t>
        </is>
      </c>
    </row>
    <row r="106">
      <c r="A106" t="inlineStr">
        <is>
          <t>Dioxins, measured as 2,3,7,8-tetrachlorodibenzo-p-dioxin</t>
        </is>
      </c>
      <c r="B106" t="n">
        <v>0</v>
      </c>
      <c r="C106" t="inlineStr">
        <is>
          <t>biosphere3</t>
        </is>
      </c>
      <c r="E106" t="inlineStr">
        <is>
          <t>kilogram</t>
        </is>
      </c>
      <c r="F106" t="inlineStr">
        <is>
          <t>air</t>
        </is>
      </c>
      <c r="G106" t="inlineStr">
        <is>
          <t>biosphere</t>
        </is>
      </c>
      <c r="L106" t="inlineStr">
        <is>
          <t>geometric mean of Remus et al. (2013) data range</t>
        </is>
      </c>
      <c r="M106" t="inlineStr">
        <is>
          <t>2::3::2::5::1::1</t>
        </is>
      </c>
      <c r="N106" t="n">
        <v>0</v>
      </c>
      <c r="P106" t="inlineStr">
        <is>
          <t>steel production, electric, low-alloyed</t>
        </is>
      </c>
      <c r="Q106" t="inlineStr">
        <is>
          <t>steel, low-alloyed</t>
        </is>
      </c>
      <c r="R106" t="inlineStr">
        <is>
          <t>Europe without Switzerland and Austria</t>
        </is>
      </c>
    </row>
    <row r="107">
      <c r="A107" t="inlineStr">
        <is>
          <t>Hydrocarbons, aromatic</t>
        </is>
      </c>
      <c r="B107" t="n">
        <v>0</v>
      </c>
      <c r="C107" t="inlineStr">
        <is>
          <t>biosphere3</t>
        </is>
      </c>
      <c r="E107" t="inlineStr">
        <is>
          <t>kilogram</t>
        </is>
      </c>
      <c r="F107" t="inlineStr">
        <is>
          <t>air</t>
        </is>
      </c>
      <c r="G107" t="inlineStr">
        <is>
          <t>biosphere</t>
        </is>
      </c>
      <c r="L107" t="inlineStr">
        <is>
          <t>Source: Classen et al. (2009)</t>
        </is>
      </c>
      <c r="M107" t="inlineStr">
        <is>
          <t>2::3::2::5::1::1</t>
        </is>
      </c>
      <c r="N107" t="n">
        <v>0</v>
      </c>
      <c r="P107" t="inlineStr">
        <is>
          <t>steel production, electric, low-alloyed</t>
        </is>
      </c>
      <c r="Q107" t="inlineStr">
        <is>
          <t>steel, low-alloyed</t>
        </is>
      </c>
      <c r="R107" t="inlineStr">
        <is>
          <t>Europe without Switzerland and Austria</t>
        </is>
      </c>
    </row>
    <row r="108">
      <c r="A108" t="inlineStr">
        <is>
          <t>Hydrogen chloride</t>
        </is>
      </c>
      <c r="B108" t="n">
        <v>0</v>
      </c>
      <c r="C108" t="inlineStr">
        <is>
          <t>biosphere3</t>
        </is>
      </c>
      <c r="E108" t="inlineStr">
        <is>
          <t>kilogram</t>
        </is>
      </c>
      <c r="F108" t="inlineStr">
        <is>
          <t>air</t>
        </is>
      </c>
      <c r="G108" t="inlineStr">
        <is>
          <t>biosphere</t>
        </is>
      </c>
      <c r="L108" t="inlineStr">
        <is>
          <t>geometric mean of Remus et al. (2013) data range</t>
        </is>
      </c>
      <c r="M108" t="inlineStr">
        <is>
          <t>2::3::2::5::1::1</t>
        </is>
      </c>
      <c r="N108" t="n">
        <v>0</v>
      </c>
      <c r="P108" t="inlineStr">
        <is>
          <t>steel production, electric, low-alloyed</t>
        </is>
      </c>
      <c r="Q108" t="inlineStr">
        <is>
          <t>steel, low-alloyed</t>
        </is>
      </c>
      <c r="R108" t="inlineStr">
        <is>
          <t>Europe without Switzerland and Austria</t>
        </is>
      </c>
    </row>
    <row r="109">
      <c r="A109" t="inlineStr">
        <is>
          <t>Hydrogen fluoride</t>
        </is>
      </c>
      <c r="B109" t="n">
        <v>0</v>
      </c>
      <c r="C109" t="inlineStr">
        <is>
          <t>biosphere3</t>
        </is>
      </c>
      <c r="E109" t="inlineStr">
        <is>
          <t>kilogram</t>
        </is>
      </c>
      <c r="F109" t="inlineStr">
        <is>
          <t>air</t>
        </is>
      </c>
      <c r="G109" t="inlineStr">
        <is>
          <t>biosphere</t>
        </is>
      </c>
      <c r="L109" t="inlineStr">
        <is>
          <t>geometric mean of Remus et al. (2013) data range</t>
        </is>
      </c>
      <c r="M109" t="inlineStr">
        <is>
          <t>2::3::2::5::1::1</t>
        </is>
      </c>
      <c r="N109" t="n">
        <v>0</v>
      </c>
      <c r="P109" t="inlineStr">
        <is>
          <t>steel production, electric, low-alloyed</t>
        </is>
      </c>
      <c r="Q109" t="inlineStr">
        <is>
          <t>steel, low-alloyed</t>
        </is>
      </c>
      <c r="R109" t="inlineStr">
        <is>
          <t>Europe without Switzerland and Austria</t>
        </is>
      </c>
    </row>
    <row r="110">
      <c r="A110" t="inlineStr">
        <is>
          <t>Lead</t>
        </is>
      </c>
      <c r="B110" t="n">
        <v>0</v>
      </c>
      <c r="C110" t="inlineStr">
        <is>
          <t>biosphere3</t>
        </is>
      </c>
      <c r="E110" t="inlineStr">
        <is>
          <t>kilogram</t>
        </is>
      </c>
      <c r="F110" t="inlineStr">
        <is>
          <t>air</t>
        </is>
      </c>
      <c r="G110" t="inlineStr">
        <is>
          <t>biosphere</t>
        </is>
      </c>
      <c r="L110" t="inlineStr">
        <is>
          <t>geometric mean of Remus et al. (2013) data range</t>
        </is>
      </c>
      <c r="M110" t="inlineStr">
        <is>
          <t>2::3::2::5::1::1</t>
        </is>
      </c>
      <c r="N110" t="n">
        <v>0</v>
      </c>
      <c r="P110" t="inlineStr">
        <is>
          <t>steel production, electric, low-alloyed</t>
        </is>
      </c>
      <c r="Q110" t="inlineStr">
        <is>
          <t>steel, low-alloyed</t>
        </is>
      </c>
      <c r="R110" t="inlineStr">
        <is>
          <t>Europe without Switzerland and Austria</t>
        </is>
      </c>
    </row>
    <row r="111">
      <c r="A111" t="inlineStr">
        <is>
          <t>Mercury</t>
        </is>
      </c>
      <c r="B111" t="n">
        <v>0</v>
      </c>
      <c r="C111" t="inlineStr">
        <is>
          <t>biosphere3</t>
        </is>
      </c>
      <c r="E111" t="inlineStr">
        <is>
          <t>kilogram</t>
        </is>
      </c>
      <c r="F111" t="inlineStr">
        <is>
          <t>air</t>
        </is>
      </c>
      <c r="G111" t="inlineStr">
        <is>
          <t>biosphere</t>
        </is>
      </c>
      <c r="L111" t="inlineStr">
        <is>
          <t>geometric mean of Remus et al. (2013) data range</t>
        </is>
      </c>
      <c r="M111" t="inlineStr">
        <is>
          <t>2::3::2::5::1::1</t>
        </is>
      </c>
      <c r="N111" t="n">
        <v>0</v>
      </c>
      <c r="P111" t="inlineStr">
        <is>
          <t>steel production, electric, low-alloyed</t>
        </is>
      </c>
      <c r="Q111" t="inlineStr">
        <is>
          <t>steel, low-alloyed</t>
        </is>
      </c>
      <c r="R111" t="inlineStr">
        <is>
          <t>Europe without Switzerland and Austria</t>
        </is>
      </c>
    </row>
    <row r="112">
      <c r="A112" t="inlineStr">
        <is>
          <t>Nickel</t>
        </is>
      </c>
      <c r="B112" t="n">
        <v>0</v>
      </c>
      <c r="C112" t="inlineStr">
        <is>
          <t>biosphere3</t>
        </is>
      </c>
      <c r="E112" t="inlineStr">
        <is>
          <t>kilogram</t>
        </is>
      </c>
      <c r="F112" t="inlineStr">
        <is>
          <t>air</t>
        </is>
      </c>
      <c r="G112" t="inlineStr">
        <is>
          <t>biosphere</t>
        </is>
      </c>
      <c r="L112" t="inlineStr">
        <is>
          <t>geometric mean of Remus et al. (2013) data range</t>
        </is>
      </c>
      <c r="M112" t="inlineStr">
        <is>
          <t>2::3::2::5::1::1</t>
        </is>
      </c>
      <c r="N112" t="n">
        <v>0</v>
      </c>
      <c r="P112" t="inlineStr">
        <is>
          <t>steel production, electric, low-alloyed</t>
        </is>
      </c>
      <c r="Q112" t="inlineStr">
        <is>
          <t>steel, low-alloyed</t>
        </is>
      </c>
      <c r="R112" t="inlineStr">
        <is>
          <t>Europe without Switzerland and Austria</t>
        </is>
      </c>
    </row>
    <row r="113">
      <c r="A113" t="inlineStr">
        <is>
          <t>Nitrogen oxides</t>
        </is>
      </c>
      <c r="B113" t="n">
        <v>0</v>
      </c>
      <c r="C113" t="inlineStr">
        <is>
          <t>biosphere3</t>
        </is>
      </c>
      <c r="E113" t="inlineStr">
        <is>
          <t>kilogram</t>
        </is>
      </c>
      <c r="F113" t="inlineStr">
        <is>
          <t>air</t>
        </is>
      </c>
      <c r="G113" t="inlineStr">
        <is>
          <t>biosphere</t>
        </is>
      </c>
      <c r="L113" t="inlineStr">
        <is>
          <t>geometric mean of Remus et al. (2013) data range</t>
        </is>
      </c>
      <c r="M113" t="inlineStr">
        <is>
          <t>2::3::2::5::1::1</t>
        </is>
      </c>
      <c r="N113" t="n">
        <v>0</v>
      </c>
      <c r="P113" t="inlineStr">
        <is>
          <t>steel production, electric, low-alloyed</t>
        </is>
      </c>
      <c r="Q113" t="inlineStr">
        <is>
          <t>steel, low-alloyed</t>
        </is>
      </c>
      <c r="R113" t="inlineStr">
        <is>
          <t>Europe without Switzerland and Austria</t>
        </is>
      </c>
    </row>
    <row r="114">
      <c r="A114" t="inlineStr">
        <is>
          <t>PAH, polycyclic aromatic hydrocarbons</t>
        </is>
      </c>
      <c r="B114" t="n">
        <v>0</v>
      </c>
      <c r="C114" t="inlineStr">
        <is>
          <t>biosphere3</t>
        </is>
      </c>
      <c r="E114" t="inlineStr">
        <is>
          <t>kilogram</t>
        </is>
      </c>
      <c r="F114" t="inlineStr">
        <is>
          <t>air</t>
        </is>
      </c>
      <c r="G114" t="inlineStr">
        <is>
          <t>biosphere</t>
        </is>
      </c>
      <c r="L114" t="inlineStr">
        <is>
          <t>geometric mean of Remus et al. (2013) data range</t>
        </is>
      </c>
      <c r="M114" t="inlineStr">
        <is>
          <t>2::3::2::5::1::1</t>
        </is>
      </c>
      <c r="N114" t="n">
        <v>0</v>
      </c>
      <c r="P114" t="inlineStr">
        <is>
          <t>steel production, electric, low-alloyed</t>
        </is>
      </c>
      <c r="Q114" t="inlineStr">
        <is>
          <t>steel, low-alloyed</t>
        </is>
      </c>
      <c r="R114" t="inlineStr">
        <is>
          <t>Europe without Switzerland and Austria</t>
        </is>
      </c>
    </row>
    <row r="115">
      <c r="A115" t="inlineStr">
        <is>
          <t>Particulates, &lt; 2.5 um</t>
        </is>
      </c>
      <c r="B115" t="n">
        <v>0</v>
      </c>
      <c r="C115" t="inlineStr">
        <is>
          <t>biosphere3</t>
        </is>
      </c>
      <c r="E115" t="inlineStr">
        <is>
          <t>kilogram</t>
        </is>
      </c>
      <c r="F115" t="inlineStr">
        <is>
          <t>air</t>
        </is>
      </c>
      <c r="G115" t="inlineStr">
        <is>
          <t>biosphere</t>
        </is>
      </c>
      <c r="L115" t="inlineStr">
        <is>
          <t>geometric mean of Remus et al. (2013) data range (assume 42.5% of total dust emissions [Classen et al. 2009])</t>
        </is>
      </c>
      <c r="M115" t="inlineStr">
        <is>
          <t>2::3::2::5::1::1</t>
        </is>
      </c>
      <c r="N115" t="n">
        <v>0</v>
      </c>
      <c r="P115" t="inlineStr">
        <is>
          <t>steel production, electric, low-alloyed</t>
        </is>
      </c>
      <c r="Q115" t="inlineStr">
        <is>
          <t>steel, low-alloyed</t>
        </is>
      </c>
      <c r="R115" t="inlineStr">
        <is>
          <t>Europe without Switzerland and Austria</t>
        </is>
      </c>
    </row>
    <row r="116">
      <c r="A116" t="inlineStr">
        <is>
          <t>Particulates, &gt; 10 um</t>
        </is>
      </c>
      <c r="B116" t="n">
        <v>0</v>
      </c>
      <c r="C116" t="inlineStr">
        <is>
          <t>biosphere3</t>
        </is>
      </c>
      <c r="E116" t="inlineStr">
        <is>
          <t>kilogram</t>
        </is>
      </c>
      <c r="F116" t="inlineStr">
        <is>
          <t>air</t>
        </is>
      </c>
      <c r="G116" t="inlineStr">
        <is>
          <t>biosphere</t>
        </is>
      </c>
      <c r="L116" t="inlineStr">
        <is>
          <t>geometric mean of Remus et al. (2013) data range (assume 15% of total dust emissions [Classen et al. 2009])</t>
        </is>
      </c>
      <c r="M116" t="inlineStr">
        <is>
          <t>2::3::2::5::1::1</t>
        </is>
      </c>
      <c r="N116" t="n">
        <v>0</v>
      </c>
      <c r="P116" t="inlineStr">
        <is>
          <t>steel production, electric, low-alloyed</t>
        </is>
      </c>
      <c r="Q116" t="inlineStr">
        <is>
          <t>steel, low-alloyed</t>
        </is>
      </c>
      <c r="R116" t="inlineStr">
        <is>
          <t>Europe without Switzerland and Austria</t>
        </is>
      </c>
    </row>
    <row r="117">
      <c r="A117" t="inlineStr">
        <is>
          <t>Particulates, &gt; 2.5 um, and &lt; 10um</t>
        </is>
      </c>
      <c r="B117" t="n">
        <v>0</v>
      </c>
      <c r="C117" t="inlineStr">
        <is>
          <t>biosphere3</t>
        </is>
      </c>
      <c r="E117" t="inlineStr">
        <is>
          <t>kilogram</t>
        </is>
      </c>
      <c r="F117" t="inlineStr">
        <is>
          <t>air</t>
        </is>
      </c>
      <c r="G117" t="inlineStr">
        <is>
          <t>biosphere</t>
        </is>
      </c>
      <c r="L117" t="inlineStr">
        <is>
          <t>geometric mean of Remus et al. (2013) data range (assume 42.5% of total dust emissions [Classen et al. 2009])</t>
        </is>
      </c>
      <c r="M117" t="inlineStr">
        <is>
          <t>2::3::2::5::1::1</t>
        </is>
      </c>
      <c r="N117" t="n">
        <v>0</v>
      </c>
      <c r="P117" t="inlineStr">
        <is>
          <t>steel production, electric, low-alloyed</t>
        </is>
      </c>
      <c r="Q117" t="inlineStr">
        <is>
          <t>steel, low-alloyed</t>
        </is>
      </c>
      <c r="R117" t="inlineStr">
        <is>
          <t>Europe without Switzerland and Austria</t>
        </is>
      </c>
    </row>
    <row r="118">
      <c r="A118" t="inlineStr">
        <is>
          <t>Polychlorinated biphenyls</t>
        </is>
      </c>
      <c r="B118" t="n">
        <v>0</v>
      </c>
      <c r="C118" t="inlineStr">
        <is>
          <t>biosphere3</t>
        </is>
      </c>
      <c r="E118" t="inlineStr">
        <is>
          <t>kilogram</t>
        </is>
      </c>
      <c r="F118" t="inlineStr">
        <is>
          <t>air</t>
        </is>
      </c>
      <c r="G118" t="inlineStr">
        <is>
          <t>biosphere</t>
        </is>
      </c>
      <c r="L118" t="inlineStr">
        <is>
          <t>geometric mean of Remus et al. (2013) data range</t>
        </is>
      </c>
      <c r="M118" t="inlineStr">
        <is>
          <t>2::3::2::5::1::1</t>
        </is>
      </c>
      <c r="N118" t="n">
        <v>0</v>
      </c>
      <c r="P118" t="inlineStr">
        <is>
          <t>steel production, electric, low-alloyed</t>
        </is>
      </c>
      <c r="Q118" t="inlineStr">
        <is>
          <t>steel, low-alloyed</t>
        </is>
      </c>
      <c r="R118" t="inlineStr">
        <is>
          <t>Europe without Switzerland and Austria</t>
        </is>
      </c>
    </row>
    <row r="119">
      <c r="A119" t="inlineStr">
        <is>
          <t>Sulfur dioxide</t>
        </is>
      </c>
      <c r="B119" t="n">
        <v>0</v>
      </c>
      <c r="C119" t="inlineStr">
        <is>
          <t>biosphere3</t>
        </is>
      </c>
      <c r="E119" t="inlineStr">
        <is>
          <t>kilogram</t>
        </is>
      </c>
      <c r="F119" t="inlineStr">
        <is>
          <t>air</t>
        </is>
      </c>
      <c r="G119" t="inlineStr">
        <is>
          <t>biosphere</t>
        </is>
      </c>
      <c r="L119" t="inlineStr">
        <is>
          <t>geometric mean of Remus et al. (2013) data range</t>
        </is>
      </c>
      <c r="M119" t="inlineStr">
        <is>
          <t>2::3::2::5::1::1</t>
        </is>
      </c>
      <c r="N119" t="n">
        <v>0</v>
      </c>
      <c r="P119" t="inlineStr">
        <is>
          <t>steel production, electric, low-alloyed</t>
        </is>
      </c>
      <c r="Q119" t="inlineStr">
        <is>
          <t>steel, low-alloyed</t>
        </is>
      </c>
      <c r="R119" t="inlineStr">
        <is>
          <t>Europe without Switzerland and Austria</t>
        </is>
      </c>
    </row>
    <row r="120">
      <c r="A120" t="inlineStr">
        <is>
          <t>Water</t>
        </is>
      </c>
      <c r="B120" t="n">
        <v>0</v>
      </c>
      <c r="C120" t="inlineStr">
        <is>
          <t>biosphere3</t>
        </is>
      </c>
      <c r="E120" t="inlineStr">
        <is>
          <t>cubic meter</t>
        </is>
      </c>
      <c r="F120" t="inlineStr">
        <is>
          <t>air</t>
        </is>
      </c>
      <c r="G120" t="inlineStr">
        <is>
          <t>biosphere</t>
        </is>
      </c>
      <c r="L120" t="inlineStr">
        <is>
          <t>Source: Classen et al. (2009)</t>
        </is>
      </c>
      <c r="M120" t="inlineStr">
        <is>
          <t>2::2::1::5::1::1</t>
        </is>
      </c>
      <c r="N120" t="n">
        <v>0</v>
      </c>
      <c r="P120" t="inlineStr">
        <is>
          <t>steel production, electric, low-alloyed</t>
        </is>
      </c>
      <c r="Q120" t="inlineStr">
        <is>
          <t>steel, low-alloyed</t>
        </is>
      </c>
      <c r="R120" t="inlineStr">
        <is>
          <t>Europe without Switzerland and Austria</t>
        </is>
      </c>
    </row>
    <row r="121">
      <c r="A121" t="inlineStr">
        <is>
          <t>Water</t>
        </is>
      </c>
      <c r="B121" t="n">
        <v>0</v>
      </c>
      <c r="C121" t="inlineStr">
        <is>
          <t>biosphere3</t>
        </is>
      </c>
      <c r="E121" t="inlineStr">
        <is>
          <t>cubic meter</t>
        </is>
      </c>
      <c r="F121" t="inlineStr">
        <is>
          <t>water</t>
        </is>
      </c>
      <c r="G121" t="inlineStr">
        <is>
          <t>biosphere</t>
        </is>
      </c>
      <c r="L121" t="inlineStr">
        <is>
          <t>Source: Classen et al. (2009)</t>
        </is>
      </c>
      <c r="M121" t="inlineStr">
        <is>
          <t>2::2::1::5::1::1</t>
        </is>
      </c>
      <c r="N121" t="n">
        <v>0</v>
      </c>
      <c r="P121" t="inlineStr">
        <is>
          <t>steel production, electric, low-alloyed</t>
        </is>
      </c>
      <c r="Q121" t="inlineStr">
        <is>
          <t>steel, low-alloyed</t>
        </is>
      </c>
      <c r="R121" t="inlineStr">
        <is>
          <t>Europe without Switzerland and Austria</t>
        </is>
      </c>
    </row>
    <row r="122">
      <c r="A122" t="inlineStr">
        <is>
          <t>Water, cooling, unspecified natural origin</t>
        </is>
      </c>
      <c r="B122" t="n">
        <v>0</v>
      </c>
      <c r="C122" t="inlineStr">
        <is>
          <t>biosphere3</t>
        </is>
      </c>
      <c r="E122" t="inlineStr">
        <is>
          <t>cubic meter</t>
        </is>
      </c>
      <c r="F122" t="inlineStr">
        <is>
          <t>natural resource::in water</t>
        </is>
      </c>
      <c r="G122" t="inlineStr">
        <is>
          <t>biosphere</t>
        </is>
      </c>
      <c r="L122" t="inlineStr">
        <is>
          <t>geometric mean of Remus et al. (2013) data range</t>
        </is>
      </c>
      <c r="M122" t="inlineStr">
        <is>
          <t>2::3::3::5::1::1</t>
        </is>
      </c>
      <c r="N122" t="n">
        <v>0</v>
      </c>
      <c r="P122" t="inlineStr">
        <is>
          <t>steel production, electric, low-alloyed</t>
        </is>
      </c>
      <c r="Q122" t="inlineStr">
        <is>
          <t>steel, low-alloyed</t>
        </is>
      </c>
      <c r="R122" t="inlineStr">
        <is>
          <t>Europe without Switzerland and Austria</t>
        </is>
      </c>
    </row>
    <row r="123">
      <c r="A123" t="inlineStr">
        <is>
          <t>Zinc</t>
        </is>
      </c>
      <c r="B123" t="n">
        <v>0</v>
      </c>
      <c r="C123" t="inlineStr">
        <is>
          <t>biosphere3</t>
        </is>
      </c>
      <c r="E123" t="inlineStr">
        <is>
          <t>kilogram</t>
        </is>
      </c>
      <c r="F123" t="inlineStr">
        <is>
          <t>air</t>
        </is>
      </c>
      <c r="G123" t="inlineStr">
        <is>
          <t>biosphere</t>
        </is>
      </c>
      <c r="L123" t="inlineStr">
        <is>
          <t>geometric mean of Remus et al. (2013) data range</t>
        </is>
      </c>
      <c r="M123" t="inlineStr">
        <is>
          <t>2::3::2::5::1::1</t>
        </is>
      </c>
      <c r="N123" t="n">
        <v>0</v>
      </c>
      <c r="P123" t="inlineStr">
        <is>
          <t>steel production, electric, low-alloyed</t>
        </is>
      </c>
      <c r="Q123" t="inlineStr">
        <is>
          <t>steel, low-alloyed</t>
        </is>
      </c>
      <c r="R123" t="inlineStr">
        <is>
          <t>Europe without Switzerland and Austria</t>
        </is>
      </c>
    </row>
    <row r="124">
      <c r="A124" t="inlineStr">
        <is>
          <t>steel production, natural gas-based direct reduction iron-electric arc furnace, with carbon capture and storage, unalloyed</t>
        </is>
      </c>
      <c r="B124" t="n">
        <v>1</v>
      </c>
      <c r="C124" s="22" t="inlineStr">
        <is>
          <t>steel_paper</t>
        </is>
      </c>
      <c r="D124" t="inlineStr">
        <is>
          <t>GLO</t>
        </is>
      </c>
      <c r="E124" t="inlineStr">
        <is>
          <t>kilogram</t>
        </is>
      </c>
      <c r="G124" t="inlineStr">
        <is>
          <t>production</t>
        </is>
      </c>
      <c r="I124" t="n">
        <v>0</v>
      </c>
      <c r="J124" t="n">
        <v>1</v>
      </c>
      <c r="L124" t="inlineStr">
        <is>
          <t>&gt; Modifications (2025): changed location from RER to GLO.</t>
        </is>
      </c>
      <c r="N124" t="n">
        <v>11181008749.41</v>
      </c>
      <c r="O124" t="inlineStr">
        <is>
          <t>steel, unalloyed</t>
        </is>
      </c>
    </row>
    <row r="125">
      <c r="A125" s="24" t="inlineStr">
        <is>
          <t>pig iron production, with natural gas-based direct reduction, with carbon capture and storage</t>
        </is>
      </c>
      <c r="B125" t="n">
        <v>1.061992490719463</v>
      </c>
      <c r="C125" s="22" t="inlineStr">
        <is>
          <t>steel_paper</t>
        </is>
      </c>
      <c r="D125" t="inlineStr">
        <is>
          <t>GLO</t>
        </is>
      </c>
      <c r="E125" t="inlineStr">
        <is>
          <t>kilogram</t>
        </is>
      </c>
      <c r="G125" t="inlineStr">
        <is>
          <t>technosphere</t>
        </is>
      </c>
      <c r="H125" t="inlineStr">
        <is>
          <t>EW_EAF_lowalloy_ScalingFactor*1.131392</t>
        </is>
      </c>
      <c r="L125" s="51" t="inlineStr">
        <is>
          <t>&gt; Modifications (2025): input of sponge iron of 1.06, instead of scrap
&gt; original was: instead of 1.13 of scrap</t>
        </is>
      </c>
      <c r="O125" s="22" t="inlineStr">
        <is>
          <t>pig iron</t>
        </is>
      </c>
    </row>
    <row r="126">
      <c r="A126" t="inlineStr">
        <is>
          <t>market for anode, for metal electrolysis</t>
        </is>
      </c>
      <c r="B126" t="n">
        <v>0</v>
      </c>
      <c r="C126" t="inlineStr">
        <is>
          <t>cutoff391</t>
        </is>
      </c>
      <c r="D126" t="inlineStr">
        <is>
          <t>GLO</t>
        </is>
      </c>
      <c r="E126" t="inlineStr">
        <is>
          <t>kilogram</t>
        </is>
      </c>
      <c r="G126" t="inlineStr">
        <is>
          <t>technosphere</t>
        </is>
      </c>
      <c r="L126" t="inlineStr">
        <is>
          <t>geometric mean of Remus et al. (2013) data range</t>
        </is>
      </c>
      <c r="M126" t="inlineStr">
        <is>
          <t>2::3::2::5::1::1</t>
        </is>
      </c>
      <c r="N126" t="n">
        <v>0</v>
      </c>
      <c r="O126" t="inlineStr">
        <is>
          <t>anode, for metal electrolysis</t>
        </is>
      </c>
      <c r="P126" t="inlineStr">
        <is>
          <t>steel production, electric, low-alloyed</t>
        </is>
      </c>
      <c r="Q126" t="inlineStr">
        <is>
          <t>steel, low-alloyed</t>
        </is>
      </c>
      <c r="R126" t="inlineStr">
        <is>
          <t>Europe without Switzerland and Austria</t>
        </is>
      </c>
    </row>
    <row r="127">
      <c r="A127" t="inlineStr">
        <is>
          <t>market for argon, liquid</t>
        </is>
      </c>
      <c r="B127" t="n">
        <v>0</v>
      </c>
      <c r="C127" t="inlineStr">
        <is>
          <t>cutoff391</t>
        </is>
      </c>
      <c r="D127" t="inlineStr">
        <is>
          <t>RER</t>
        </is>
      </c>
      <c r="E127" t="inlineStr">
        <is>
          <t>kilogram</t>
        </is>
      </c>
      <c r="G127" t="inlineStr">
        <is>
          <t>technosphere</t>
        </is>
      </c>
      <c r="L127" t="inlineStr">
        <is>
          <t>&gt; Modifications (2025): changed location from RER to RoW.
&lt;Original ecoinvent 3.8 comment: &gt;
geometric mean of Remus et al. (2013) data range (m3:kg conversion based on: http://www.airproducts.com/Products/Gases/gas-facts/conversion-formulas/weight-and-volume-equivalents/argon.aspx)</t>
        </is>
      </c>
      <c r="M127" t="inlineStr">
        <is>
          <t>2::4::1::4::2::1</t>
        </is>
      </c>
      <c r="N127" t="n">
        <v>0</v>
      </c>
      <c r="O127" t="inlineStr">
        <is>
          <t>argon, liquid</t>
        </is>
      </c>
      <c r="P127" t="inlineStr">
        <is>
          <t>steel production, electric, low-alloyed</t>
        </is>
      </c>
      <c r="Q127" t="inlineStr">
        <is>
          <t>steel, low-alloyed</t>
        </is>
      </c>
      <c r="R127" t="inlineStr">
        <is>
          <t>Europe without Switzerland and Austria</t>
        </is>
      </c>
    </row>
    <row r="128">
      <c r="A128" t="inlineStr">
        <is>
          <t>market for electric arc furnace converter</t>
        </is>
      </c>
      <c r="B128" t="n">
        <v>0</v>
      </c>
      <c r="C128" t="inlineStr">
        <is>
          <t>cutoff391</t>
        </is>
      </c>
      <c r="D128" t="inlineStr">
        <is>
          <t>GLO</t>
        </is>
      </c>
      <c r="E128" t="inlineStr">
        <is>
          <t>unit</t>
        </is>
      </c>
      <c r="G128" t="inlineStr">
        <is>
          <t>technosphere</t>
        </is>
      </c>
      <c r="L128" t="inlineStr">
        <is>
          <t>Source: Classen et al. (2009)</t>
        </is>
      </c>
      <c r="M128" t="inlineStr">
        <is>
          <t>5::5::5::5::5::1</t>
        </is>
      </c>
      <c r="N128" t="n">
        <v>0</v>
      </c>
      <c r="O128" t="inlineStr">
        <is>
          <t>electric arc furnace converter</t>
        </is>
      </c>
      <c r="P128" t="inlineStr">
        <is>
          <t>steel production, electric, low-alloyed</t>
        </is>
      </c>
      <c r="Q128" t="inlineStr">
        <is>
          <t>steel, low-alloyed</t>
        </is>
      </c>
      <c r="R128" t="inlineStr">
        <is>
          <t>Europe without Switzerland and Austria</t>
        </is>
      </c>
    </row>
    <row r="129">
      <c r="A129" t="inlineStr">
        <is>
          <t>market for electric arc furnace dust</t>
        </is>
      </c>
      <c r="B129" t="n">
        <v>0</v>
      </c>
      <c r="C129" t="inlineStr">
        <is>
          <t>cutoff391</t>
        </is>
      </c>
      <c r="D129" t="inlineStr">
        <is>
          <t>RER</t>
        </is>
      </c>
      <c r="E129" t="inlineStr">
        <is>
          <t>kilogram</t>
        </is>
      </c>
      <c r="G129" t="inlineStr">
        <is>
          <t>technosphere</t>
        </is>
      </c>
      <c r="L129" t="inlineStr">
        <is>
          <t>&gt; Modifications (2025): changed location from RER to RoW.
&lt;Original ecoinvent 3.8 comment: &gt;
Amount reported by worldsteel (2010) and is representative of the average global situation in 2009. Also based on worldsteel (2010), an internal recovery (recycling) rate of 10% is assumed. Source: Worldsteel (2010). Steel industry by-products. World Steel Association: Brussels, Belgium.</t>
        </is>
      </c>
      <c r="M129" t="inlineStr">
        <is>
          <t>2::3::3::2::2::1</t>
        </is>
      </c>
      <c r="N129" t="n">
        <v>213863626.753465</v>
      </c>
      <c r="O129" t="inlineStr">
        <is>
          <t>electric arc furnace dust</t>
        </is>
      </c>
      <c r="P129" t="inlineStr">
        <is>
          <t>steel production, electric, low-alloyed</t>
        </is>
      </c>
      <c r="Q129" t="inlineStr">
        <is>
          <t>steel, low-alloyed</t>
        </is>
      </c>
      <c r="R129" t="inlineStr">
        <is>
          <t>Europe without Switzerland and Austria</t>
        </is>
      </c>
    </row>
    <row r="130">
      <c r="A130" s="25" t="inlineStr">
        <is>
          <t>market for electric arc furnace slag</t>
        </is>
      </c>
      <c r="B130" t="n">
        <v>-0.1549821636910023</v>
      </c>
      <c r="C130" t="inlineStr">
        <is>
          <t>cutoff391</t>
        </is>
      </c>
      <c r="D130" s="21" t="inlineStr">
        <is>
          <t>RER</t>
        </is>
      </c>
      <c r="E130" t="inlineStr">
        <is>
          <t>kilogram</t>
        </is>
      </c>
      <c r="G130" t="inlineStr">
        <is>
          <t>technosphere</t>
        </is>
      </c>
      <c r="H130" t="inlineStr">
        <is>
          <t>EW_EAF_lowalloy_ScalingFactor*(-0.16511)</t>
        </is>
      </c>
      <c r="I130" t="n">
        <v>2</v>
      </c>
      <c r="J130" t="n">
        <v>-1.925066886936832</v>
      </c>
      <c r="K130" t="n">
        <v>0.06652067347825036</v>
      </c>
      <c r="L130" s="25" t="inlineStr">
        <is>
          <t>&gt; Modifications (2025): Increased value of:  electric arc furnace slag 	market for electric arc furnace slag	RER	ecoinvent38_cutoff	to  -0.165106 kg (sum of all slag types in ecoinvent 3.8). Changed location from RER to RoW.
&lt;Original ecoinvent 3.8 comment: &gt;
Amount reported by worldsteel (2010) and is representative of the average global situation in 2009. Also based on worldsteel (2010), an internal recovery (recycling) rate of 3% is assumed. Source: Worldsteel (2010). Steel industry by-products. World Steel Association: Brussels, Belgium.</t>
        </is>
      </c>
      <c r="M130" t="inlineStr">
        <is>
          <t>2::3::3::2::2::1</t>
        </is>
      </c>
      <c r="N130" t="n">
        <v>1630929022.24144</v>
      </c>
      <c r="O130" t="inlineStr">
        <is>
          <t>electric arc furnace slag</t>
        </is>
      </c>
      <c r="S130" t="b">
        <v>1</v>
      </c>
    </row>
    <row r="131">
      <c r="A131" t="inlineStr">
        <is>
          <t>market for ferromanganese, high-coal, 74.5% Mn</t>
        </is>
      </c>
      <c r="B131" t="n">
        <v>0.006</v>
      </c>
      <c r="C131" t="inlineStr">
        <is>
          <t>cutoff391</t>
        </is>
      </c>
      <c r="D131" t="inlineStr">
        <is>
          <t>GLO</t>
        </is>
      </c>
      <c r="E131" t="inlineStr">
        <is>
          <t>kilogram</t>
        </is>
      </c>
      <c r="G131" t="inlineStr">
        <is>
          <t>technosphere</t>
        </is>
      </c>
      <c r="H131" t="inlineStr">
        <is>
          <t>EW_EAF_lowalloy_ScalingFactor *0.010305</t>
        </is>
      </c>
      <c r="I131" t="n">
        <v>2</v>
      </c>
      <c r="J131" t="n">
        <v>-4.575156412890883</v>
      </c>
      <c r="K131" t="n">
        <v>0.03605551275463989</v>
      </c>
      <c r="L131" t="inlineStr">
        <is>
          <t>&gt; Modifications (2025): changed amount to the one of FeMn in ecoinvent for steel production, converter, unalloyed, RER
&gt; original was: 0.00967289199222203
&lt;Original ecoinvent 3.8 comment: &gt; Value taken from regional dataset for Switzerland, which was used as a proxy.</t>
        </is>
      </c>
      <c r="M131" t="inlineStr">
        <is>
          <t>2::2::1::1::1::1</t>
        </is>
      </c>
      <c r="N131" t="n">
        <v>0</v>
      </c>
      <c r="O131" t="inlineStr">
        <is>
          <t>ferromanganese, high-coal, 74.5% Mn</t>
        </is>
      </c>
    </row>
    <row r="132">
      <c r="A132" t="inlineStr">
        <is>
          <t>market for hard coal</t>
        </is>
      </c>
      <c r="B132" t="n">
        <v>0</v>
      </c>
      <c r="C132" t="inlineStr">
        <is>
          <t>cutoff391</t>
        </is>
      </c>
      <c r="D132" t="inlineStr">
        <is>
          <t>RoW</t>
        </is>
      </c>
      <c r="E132" t="inlineStr">
        <is>
          <t>kilogram</t>
        </is>
      </c>
      <c r="G132" t="inlineStr">
        <is>
          <t>technosphere</t>
        </is>
      </c>
      <c r="L132" t="inlineStr">
        <is>
          <t>geometric mean of Remus et al. (2013) data range</t>
        </is>
      </c>
      <c r="M132" t="inlineStr">
        <is>
          <t>2::3::2::5::1::1</t>
        </is>
      </c>
      <c r="N132" t="n">
        <v>0</v>
      </c>
      <c r="O132" t="inlineStr">
        <is>
          <t>hard coal</t>
        </is>
      </c>
      <c r="P132" t="inlineStr">
        <is>
          <t>steel production, electric, low-alloyed</t>
        </is>
      </c>
      <c r="Q132" t="inlineStr">
        <is>
          <t>steel, low-alloyed</t>
        </is>
      </c>
      <c r="R132" t="inlineStr">
        <is>
          <t>Europe without Switzerland and Austria</t>
        </is>
      </c>
    </row>
    <row r="133">
      <c r="A133" t="inlineStr">
        <is>
          <t>market for inert waste, for final disposal</t>
        </is>
      </c>
      <c r="B133" t="n">
        <v>0</v>
      </c>
      <c r="C133" t="inlineStr">
        <is>
          <t>cutoff391</t>
        </is>
      </c>
      <c r="D133" t="inlineStr">
        <is>
          <t>RoW</t>
        </is>
      </c>
      <c r="E133" t="inlineStr">
        <is>
          <t>kilogram</t>
        </is>
      </c>
      <c r="G133" t="inlineStr">
        <is>
          <t>technosphere</t>
        </is>
      </c>
      <c r="L133" t="inlineStr">
        <is>
          <t>Represents used refractories, etc.</t>
        </is>
      </c>
      <c r="M133" t="inlineStr">
        <is>
          <t>2::3::3::2::2::1</t>
        </is>
      </c>
      <c r="N133" t="n">
        <v>75833291.07138591</v>
      </c>
      <c r="O133" t="inlineStr">
        <is>
          <t>inert waste, for final disposal</t>
        </is>
      </c>
      <c r="P133" t="inlineStr">
        <is>
          <t>steel production, electric, low-alloyed</t>
        </is>
      </c>
      <c r="Q133" t="inlineStr">
        <is>
          <t>steel, low-alloyed</t>
        </is>
      </c>
      <c r="R133" t="inlineStr">
        <is>
          <t>Europe without Switzerland and Austria</t>
        </is>
      </c>
    </row>
    <row r="134">
      <c r="A134" t="inlineStr">
        <is>
          <t>market for nitrogen, liquid</t>
        </is>
      </c>
      <c r="B134" t="n">
        <v>0</v>
      </c>
      <c r="C134" t="inlineStr">
        <is>
          <t>cutoff391</t>
        </is>
      </c>
      <c r="D134" t="inlineStr">
        <is>
          <t>RoW</t>
        </is>
      </c>
      <c r="E134" t="inlineStr">
        <is>
          <t>kilogram</t>
        </is>
      </c>
      <c r="G134" t="inlineStr">
        <is>
          <t>technosphere</t>
        </is>
      </c>
      <c r="L134" t="inlineStr">
        <is>
          <t>&gt; Modifications (2025): changed location from RER to RoW.
&lt;Original ecoinvent 3.8 comment: &gt; geometric mean of Remus et al. (2013) data range (m3:kg conversion based on: http://www.airproducts.com/Products/Gases/gas-facts/conversion-formulas/weight-and-volume-equivalents/nitrogen.aspx)</t>
        </is>
      </c>
      <c r="M134" t="inlineStr">
        <is>
          <t>2::3::5::5::3::1</t>
        </is>
      </c>
      <c r="N134" t="n">
        <v>0</v>
      </c>
      <c r="O134" t="inlineStr">
        <is>
          <t>nitrogen, liquid</t>
        </is>
      </c>
      <c r="P134" t="inlineStr">
        <is>
          <t>steel production, electric, low-alloyed</t>
        </is>
      </c>
      <c r="Q134" t="inlineStr">
        <is>
          <t>steel, low-alloyed</t>
        </is>
      </c>
      <c r="R134" t="inlineStr">
        <is>
          <t>Europe without Switzerland and Austria</t>
        </is>
      </c>
    </row>
    <row r="135">
      <c r="A135" t="inlineStr">
        <is>
          <t>market for oxygen, liquid</t>
        </is>
      </c>
      <c r="B135" t="n">
        <v>0</v>
      </c>
      <c r="C135" t="inlineStr">
        <is>
          <t>cutoff391</t>
        </is>
      </c>
      <c r="D135" t="inlineStr">
        <is>
          <t>RoW</t>
        </is>
      </c>
      <c r="E135" t="inlineStr">
        <is>
          <t>kilogram</t>
        </is>
      </c>
      <c r="G135" t="inlineStr">
        <is>
          <t>technosphere</t>
        </is>
      </c>
      <c r="L135" t="inlineStr">
        <is>
          <t>&gt; Modifications (2025): changed location from RER to RoW.
&lt;Original ecoinvent 3.8 comment: &gt; geometric mean of Remus et al. (2013) data range (m3:kg conversion based on: http://www.airproducts.com/Products/Gases/gas-facts/conversion-formulas/weight-and-volume-equivalents/oxygen.aspx)</t>
        </is>
      </c>
      <c r="M135" t="inlineStr">
        <is>
          <t>2::3::2::5::1::1</t>
        </is>
      </c>
      <c r="N135" t="n">
        <v>0</v>
      </c>
      <c r="O135" t="inlineStr">
        <is>
          <t>oxygen, liquid</t>
        </is>
      </c>
      <c r="P135" t="inlineStr">
        <is>
          <t>steel production, electric, low-alloyed</t>
        </is>
      </c>
      <c r="Q135" t="inlineStr">
        <is>
          <t>steel, low-alloyed</t>
        </is>
      </c>
      <c r="R135" t="inlineStr">
        <is>
          <t>Europe without Switzerland and Austria</t>
        </is>
      </c>
    </row>
    <row r="136">
      <c r="A136" t="inlineStr">
        <is>
          <t>market for quicklime, in pieces, loose</t>
        </is>
      </c>
      <c r="B136" t="n">
        <v>0</v>
      </c>
      <c r="C136" t="inlineStr">
        <is>
          <t>cutoff391</t>
        </is>
      </c>
      <c r="D136" t="inlineStr">
        <is>
          <t>RoW</t>
        </is>
      </c>
      <c r="E136" t="inlineStr">
        <is>
          <t>kilogram</t>
        </is>
      </c>
      <c r="G136" t="inlineStr">
        <is>
          <t>technosphere</t>
        </is>
      </c>
      <c r="L136" t="inlineStr">
        <is>
          <t>geometric mean of Remus et al. (2013) data range</t>
        </is>
      </c>
      <c r="M136" t="inlineStr">
        <is>
          <t>2::3::2::5::1::1</t>
        </is>
      </c>
      <c r="N136" t="n">
        <v>0</v>
      </c>
      <c r="O136" t="inlineStr">
        <is>
          <t>quicklime, in pieces, loose</t>
        </is>
      </c>
      <c r="P136" t="inlineStr">
        <is>
          <t>steel production, electric, low-alloyed</t>
        </is>
      </c>
      <c r="Q136" t="inlineStr">
        <is>
          <t>steel, low-alloyed</t>
        </is>
      </c>
      <c r="R136" t="inlineStr">
        <is>
          <t>Europe without Switzerland and Austria</t>
        </is>
      </c>
    </row>
    <row r="137">
      <c r="A137" t="inlineStr">
        <is>
          <t>market for refractory, basic, packed</t>
        </is>
      </c>
      <c r="B137" t="n">
        <v>0</v>
      </c>
      <c r="C137" t="inlineStr">
        <is>
          <t>cutoff391</t>
        </is>
      </c>
      <c r="D137" t="inlineStr">
        <is>
          <t>GLO</t>
        </is>
      </c>
      <c r="E137" t="inlineStr">
        <is>
          <t>kilogram</t>
        </is>
      </c>
      <c r="G137" t="inlineStr">
        <is>
          <t>technosphere</t>
        </is>
      </c>
      <c r="L137" t="inlineStr">
        <is>
          <t>geometric mean of Remus et al. (2013) data range</t>
        </is>
      </c>
      <c r="M137" t="inlineStr">
        <is>
          <t>2::3::2::5::1::1</t>
        </is>
      </c>
      <c r="N137" t="n">
        <v>0</v>
      </c>
      <c r="O137" t="inlineStr">
        <is>
          <t>refractory, basic, packed</t>
        </is>
      </c>
      <c r="P137" t="inlineStr">
        <is>
          <t>steel production, electric, low-alloyed</t>
        </is>
      </c>
      <c r="Q137" t="inlineStr">
        <is>
          <t>steel, low-alloyed</t>
        </is>
      </c>
      <c r="R137" t="inlineStr">
        <is>
          <t>Europe without Switzerland and Austria</t>
        </is>
      </c>
    </row>
    <row r="138">
      <c r="A138" s="25" t="inlineStr">
        <is>
          <t>market group for electricity, medium voltage</t>
        </is>
      </c>
      <c r="B138" t="n">
        <v>0.5162630369453775</v>
      </c>
      <c r="C138" t="inlineStr">
        <is>
          <t>cutoff391</t>
        </is>
      </c>
      <c r="D138" t="inlineStr">
        <is>
          <t>GLO</t>
        </is>
      </c>
      <c r="E138" t="inlineStr">
        <is>
          <t>kilowatt hour</t>
        </is>
      </c>
      <c r="G138" t="inlineStr">
        <is>
          <t>technosphere</t>
        </is>
      </c>
      <c r="H138" t="inlineStr">
        <is>
          <t>EW_EAF_lowalloy_ScalingFactor*0.55</t>
        </is>
      </c>
      <c r="L138" s="25" t="inlineStr">
        <is>
          <t>&gt; Modifications (2025): used input from market group instead of separate countries (aggregated the amount to 1 value from 1 market). Changed location from RER to GLO</t>
        </is>
      </c>
      <c r="O138" t="inlineStr">
        <is>
          <t>electricity, medium voltage</t>
        </is>
      </c>
    </row>
    <row r="139">
      <c r="A139" s="25" t="inlineStr">
        <is>
          <t>market group for natural gas, high pressure</t>
        </is>
      </c>
      <c r="B139" t="n">
        <v>0.007023523952625067</v>
      </c>
      <c r="C139" t="inlineStr">
        <is>
          <t>cutoff391</t>
        </is>
      </c>
      <c r="D139" t="inlineStr">
        <is>
          <t>GLO</t>
        </is>
      </c>
      <c r="E139" t="inlineStr">
        <is>
          <t>cubic meter</t>
        </is>
      </c>
      <c r="G139" t="inlineStr">
        <is>
          <t>technosphere</t>
        </is>
      </c>
      <c r="H139" t="inlineStr">
        <is>
          <t>EW_EAF_lowalloy_ScalingFactor *0.0074825</t>
        </is>
      </c>
      <c r="L139" s="25" t="inlineStr">
        <is>
          <t>&gt; Modifications (2025): used input from market group instead of separate countries (aggregated the amount to 1 value from 1 market). changed location from RER to GLO</t>
        </is>
      </c>
      <c r="O139" t="inlineStr">
        <is>
          <t>natural gas, high pressure</t>
        </is>
      </c>
    </row>
  </sheetData>
  <autoFilter ref="A1:R139"/>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S151"/>
  <sheetViews>
    <sheetView topLeftCell="A137" zoomScale="116" zoomScaleNormal="55" workbookViewId="0">
      <selection activeCell="B143" sqref="B143"/>
    </sheetView>
  </sheetViews>
  <sheetFormatPr baseColWidth="10" defaultColWidth="8.83203125" defaultRowHeight="16" customHeight="1"/>
  <cols>
    <col width="42.83203125" customWidth="1" min="1" max="1"/>
    <col width="12" bestFit="1" customWidth="1" min="2" max="2"/>
    <col width="11.6640625" customWidth="1" min="3" max="3"/>
    <col width="5.83203125" customWidth="1" min="8" max="8"/>
    <col width="8.83203125" customWidth="1" min="9" max="9"/>
    <col width="14.5" customWidth="1" min="10" max="10"/>
    <col width="10.33203125" customWidth="1" min="11" max="11"/>
    <col width="16.6640625" customWidth="1" min="12" max="12"/>
    <col width="8.83203125" customWidth="1" min="13" max="13"/>
    <col width="7.83203125" customWidth="1" min="14" max="14"/>
    <col width="9" bestFit="1" customWidth="1" min="16" max="16"/>
    <col width="12.1640625" bestFit="1" customWidth="1" min="18" max="18"/>
    <col width="9" bestFit="1" customWidth="1" min="21" max="21"/>
  </cols>
  <sheetData>
    <row r="1" ht="16" customHeight="1">
      <c r="A1" s="50" t="inlineStr">
        <is>
          <t>Activity</t>
        </is>
      </c>
      <c r="B1" s="33" t="inlineStr">
        <is>
          <t>steel production, hydrogen-based direct reduction iron-electric arc furnace, low-alloyed</t>
        </is>
      </c>
    </row>
    <row r="2" ht="16" customHeight="1">
      <c r="A2" t="inlineStr">
        <is>
          <t>comment</t>
        </is>
      </c>
      <c r="B2" s="55" t="inlineStr">
        <is>
          <t>This dataset, modified by Harpprecht et al. (2025) from the original ecoinvent 3.8 cutoff process for low-alloyed steel production via electric arc furnace (EAF), represents steel production using sponge iron from hydrogen-based direct reduction (H₂-DRI). The original EAF process (region: Europe without Switzerland and Austria) was adapted by replacing scrap with sponge iron from H₂-DRI and scaling all inputs and outputs to 1 kg of steel using a factor of 0.9369, based on sponge iron input requirements reported by Bhaskar et al. (2020). Technosphere inputs were globally regionalized (GLO/RoW), slag flows were adjusted to remove secondary metallurgy slag, and market groups were used for electricity and natural gas inputs. Additional alloying elements (FeMn, FeNi, molybdenite) were added to account for their absence in virgin sponge iron, while FeMn and FeSi from the original dataset were removed.
**References**
* Bhaskar, A., Assadi, M., &amp; Somehsaraei, H. N. (2020). Decarbonization of the iron and steel industry with direct reduction of iron ore with green hydrogen. *Energies*, 13(3), 758. [https://doi.org/10.3390/en13030758](https://doi.org/10.3390/en13030758)
* ecoinvent version 3.8 cutoff system model (2021). ecoinvent Association, Zurich.
* Harpprecht, C., et al. (2025). *\[Forthcoming study/document]*.</t>
        </is>
      </c>
    </row>
    <row r="3" ht="15" customHeight="1">
      <c r="A3" s="22" t="inlineStr">
        <is>
          <t>source</t>
        </is>
      </c>
      <c r="B3" s="22" t="inlineStr">
        <is>
          <t>Harpprecht C., Sacchi R., Naegler T., et al. "Future environmental impacts of global iron and steel production". Energy Environ Sci. (2025). doi: 10.1039/D5EE01356A</t>
        </is>
      </c>
      <c r="C3" s="21" t="n"/>
      <c r="D3" s="21" t="n"/>
      <c r="E3" s="21" t="n"/>
      <c r="F3" s="21" t="n"/>
      <c r="G3" s="21" t="n"/>
      <c r="H3" s="21" t="n"/>
    </row>
    <row r="4" ht="16" customHeight="1">
      <c r="A4" t="inlineStr">
        <is>
          <t>location</t>
        </is>
      </c>
      <c r="B4" t="inlineStr">
        <is>
          <t>GLO</t>
        </is>
      </c>
    </row>
    <row r="5" ht="16" customHeight="1">
      <c r="A5" t="inlineStr">
        <is>
          <t>production amount</t>
        </is>
      </c>
      <c r="B5" t="n">
        <v>1</v>
      </c>
    </row>
    <row r="6" ht="16" customHeight="1">
      <c r="A6" t="inlineStr">
        <is>
          <t>reference product</t>
        </is>
      </c>
      <c r="B6" t="inlineStr">
        <is>
          <t>steel, low-alloyed</t>
        </is>
      </c>
    </row>
    <row r="7" ht="16" customHeight="1">
      <c r="A7" t="inlineStr">
        <is>
          <t>unit</t>
        </is>
      </c>
      <c r="B7" t="inlineStr">
        <is>
          <t>kilogram</t>
        </is>
      </c>
    </row>
    <row r="8" ht="16" customHeight="1">
      <c r="A8" s="50" t="inlineStr">
        <is>
          <t>Exchanges</t>
        </is>
      </c>
    </row>
    <row r="9" ht="16" customHeight="1">
      <c r="A9" s="20" t="inlineStr">
        <is>
          <t>name</t>
        </is>
      </c>
      <c r="B9" s="20" t="inlineStr">
        <is>
          <t>amount</t>
        </is>
      </c>
      <c r="C9" s="20" t="inlineStr">
        <is>
          <t>database</t>
        </is>
      </c>
      <c r="D9" s="20" t="inlineStr">
        <is>
          <t>location</t>
        </is>
      </c>
      <c r="E9" s="20" t="inlineStr">
        <is>
          <t>unit</t>
        </is>
      </c>
      <c r="F9" s="20" t="inlineStr">
        <is>
          <t>categories</t>
        </is>
      </c>
      <c r="G9" s="20" t="inlineStr">
        <is>
          <t>type</t>
        </is>
      </c>
      <c r="H9" s="20" t="inlineStr">
        <is>
          <t>formula</t>
        </is>
      </c>
      <c r="I9" s="20" t="inlineStr">
        <is>
          <t>uncertainty type</t>
        </is>
      </c>
      <c r="J9" s="20" t="inlineStr">
        <is>
          <t>loc</t>
        </is>
      </c>
      <c r="K9" s="20" t="inlineStr">
        <is>
          <t>scale</t>
        </is>
      </c>
      <c r="L9" s="20" t="inlineStr">
        <is>
          <t>comment</t>
        </is>
      </c>
      <c r="M9" s="20" t="inlineStr">
        <is>
          <t>pedigree</t>
        </is>
      </c>
      <c r="N9" s="20" t="inlineStr">
        <is>
          <t>production volume</t>
        </is>
      </c>
      <c r="O9" s="20" t="inlineStr">
        <is>
          <t>reference product</t>
        </is>
      </c>
      <c r="P9" s="20" t="inlineStr">
        <is>
          <t>replacement name</t>
        </is>
      </c>
      <c r="Q9" s="20" t="inlineStr">
        <is>
          <t>replacement product</t>
        </is>
      </c>
      <c r="R9" s="20" t="inlineStr">
        <is>
          <t>replacement location</t>
        </is>
      </c>
      <c r="S9" s="20" t="inlineStr">
        <is>
          <t>negative</t>
        </is>
      </c>
    </row>
    <row r="10" ht="16" customHeight="1">
      <c r="A10" t="inlineStr">
        <is>
          <t>Benzene</t>
        </is>
      </c>
      <c r="B10" t="n">
        <v>0</v>
      </c>
      <c r="C10" t="inlineStr">
        <is>
          <t>biosphere3</t>
        </is>
      </c>
      <c r="E10" t="inlineStr">
        <is>
          <t>kilogram</t>
        </is>
      </c>
      <c r="F10" t="inlineStr">
        <is>
          <t>air</t>
        </is>
      </c>
      <c r="G10" t="inlineStr">
        <is>
          <t>biosphere</t>
        </is>
      </c>
      <c r="L10" t="inlineStr">
        <is>
          <t>geometric mean of Remus et al. (2013) data range</t>
        </is>
      </c>
      <c r="M10" t="inlineStr">
        <is>
          <t>2::3::2::5::1::1</t>
        </is>
      </c>
      <c r="N10" t="n">
        <v>0</v>
      </c>
      <c r="P10" t="inlineStr">
        <is>
          <t>steel production, electric, low-alloyed</t>
        </is>
      </c>
      <c r="Q10" t="inlineStr">
        <is>
          <t>steel, low-alloyed</t>
        </is>
      </c>
      <c r="R10" t="inlineStr">
        <is>
          <t>Europe without Switzerland and Austria</t>
        </is>
      </c>
    </row>
    <row r="11" ht="16" customHeight="1">
      <c r="A11" t="inlineStr">
        <is>
          <t>Benzene, hexachloro-</t>
        </is>
      </c>
      <c r="B11" t="n">
        <v>0</v>
      </c>
      <c r="C11" t="inlineStr">
        <is>
          <t>biosphere3</t>
        </is>
      </c>
      <c r="E11" t="inlineStr">
        <is>
          <t>kilogram</t>
        </is>
      </c>
      <c r="F11" t="inlineStr">
        <is>
          <t>air</t>
        </is>
      </c>
      <c r="G11" t="inlineStr">
        <is>
          <t>biosphere</t>
        </is>
      </c>
      <c r="L11" t="inlineStr">
        <is>
          <t>geometric mean of Remus et al. (2013) data range</t>
        </is>
      </c>
      <c r="M11" t="inlineStr">
        <is>
          <t>2::3::2::5::1::1</t>
        </is>
      </c>
      <c r="N11" t="n">
        <v>0</v>
      </c>
      <c r="P11" t="inlineStr">
        <is>
          <t>steel production, electric, low-alloyed</t>
        </is>
      </c>
      <c r="Q11" t="inlineStr">
        <is>
          <t>steel, low-alloyed</t>
        </is>
      </c>
      <c r="R11" t="inlineStr">
        <is>
          <t>Europe without Switzerland and Austria</t>
        </is>
      </c>
    </row>
    <row r="12" ht="16" customHeight="1">
      <c r="A12" t="inlineStr">
        <is>
          <t>Cadmium</t>
        </is>
      </c>
      <c r="B12" t="n">
        <v>0</v>
      </c>
      <c r="C12" t="inlineStr">
        <is>
          <t>biosphere3</t>
        </is>
      </c>
      <c r="E12" t="inlineStr">
        <is>
          <t>kilogram</t>
        </is>
      </c>
      <c r="F12" t="inlineStr">
        <is>
          <t>air</t>
        </is>
      </c>
      <c r="G12" t="inlineStr">
        <is>
          <t>biosphere</t>
        </is>
      </c>
      <c r="L12" t="inlineStr">
        <is>
          <t>geometric mean of Remus et al. (2013) data range</t>
        </is>
      </c>
      <c r="M12" t="inlineStr">
        <is>
          <t>2::3::2::5::1::1</t>
        </is>
      </c>
      <c r="N12" t="n">
        <v>0</v>
      </c>
      <c r="P12" t="inlineStr">
        <is>
          <t>steel production, electric, low-alloyed</t>
        </is>
      </c>
      <c r="Q12" t="inlineStr">
        <is>
          <t>steel, low-alloyed</t>
        </is>
      </c>
      <c r="R12" t="inlineStr">
        <is>
          <t>Europe without Switzerland and Austria</t>
        </is>
      </c>
    </row>
    <row r="13" ht="16" customHeight="1">
      <c r="A13" t="inlineStr">
        <is>
          <t>Carbon dioxide, fossil</t>
        </is>
      </c>
      <c r="B13" t="n">
        <v>0</v>
      </c>
      <c r="C13" t="inlineStr">
        <is>
          <t>biosphere3</t>
        </is>
      </c>
      <c r="E13" t="inlineStr">
        <is>
          <t>kilogram</t>
        </is>
      </c>
      <c r="F13" t="inlineStr">
        <is>
          <t>air</t>
        </is>
      </c>
      <c r="G13" t="inlineStr">
        <is>
          <t>biosphere</t>
        </is>
      </c>
      <c r="L13" t="inlineStr">
        <is>
          <t>Calculated Value. Carbon dioxide emission is calculated as the sum of carbon in hard coal and natural gas minus the emissions of carbon monoxide.</t>
        </is>
      </c>
      <c r="M13" t="inlineStr">
        <is>
          <t>5::5::5::5::5::1</t>
        </is>
      </c>
      <c r="N13" t="n">
        <v>0</v>
      </c>
      <c r="P13" t="inlineStr">
        <is>
          <t>steel production, electric, low-alloyed</t>
        </is>
      </c>
      <c r="Q13" t="inlineStr">
        <is>
          <t>steel, low-alloyed</t>
        </is>
      </c>
      <c r="R13" t="inlineStr">
        <is>
          <t>Europe without Switzerland and Austria</t>
        </is>
      </c>
    </row>
    <row r="14" ht="16" customHeight="1">
      <c r="A14" t="inlineStr">
        <is>
          <t>Carbon monoxide, fossil</t>
        </is>
      </c>
      <c r="B14" t="n">
        <v>0</v>
      </c>
      <c r="C14" t="inlineStr">
        <is>
          <t>biosphere3</t>
        </is>
      </c>
      <c r="E14" t="inlineStr">
        <is>
          <t>kilogram</t>
        </is>
      </c>
      <c r="F14" t="inlineStr">
        <is>
          <t>air</t>
        </is>
      </c>
      <c r="G14" t="inlineStr">
        <is>
          <t>biosphere</t>
        </is>
      </c>
      <c r="L14" t="inlineStr">
        <is>
          <t>geometric mean of Remus et al. (2013) data range</t>
        </is>
      </c>
      <c r="M14" t="inlineStr">
        <is>
          <t>2::3::2::5::1::1</t>
        </is>
      </c>
      <c r="N14" t="n">
        <v>0</v>
      </c>
      <c r="P14" t="inlineStr">
        <is>
          <t>steel production, electric, low-alloyed</t>
        </is>
      </c>
      <c r="Q14" t="inlineStr">
        <is>
          <t>steel, low-alloyed</t>
        </is>
      </c>
      <c r="R14" t="inlineStr">
        <is>
          <t>Europe without Switzerland and Austria</t>
        </is>
      </c>
    </row>
    <row r="15" ht="16" customHeight="1">
      <c r="A15" t="inlineStr">
        <is>
          <t>Chromium</t>
        </is>
      </c>
      <c r="B15" t="n">
        <v>0</v>
      </c>
      <c r="C15" t="inlineStr">
        <is>
          <t>biosphere3</t>
        </is>
      </c>
      <c r="E15" t="inlineStr">
        <is>
          <t>kilogram</t>
        </is>
      </c>
      <c r="F15" t="inlineStr">
        <is>
          <t>air</t>
        </is>
      </c>
      <c r="G15" t="inlineStr">
        <is>
          <t>biosphere</t>
        </is>
      </c>
      <c r="L15" t="inlineStr">
        <is>
          <t>geometric mean of Remus et al. (2013) data range</t>
        </is>
      </c>
      <c r="M15" t="inlineStr">
        <is>
          <t>2::3::2::5::1::1</t>
        </is>
      </c>
      <c r="N15" t="n">
        <v>0</v>
      </c>
      <c r="P15" t="inlineStr">
        <is>
          <t>steel production, electric, low-alloyed</t>
        </is>
      </c>
      <c r="Q15" t="inlineStr">
        <is>
          <t>steel, low-alloyed</t>
        </is>
      </c>
      <c r="R15" t="inlineStr">
        <is>
          <t>Europe without Switzerland and Austria</t>
        </is>
      </c>
    </row>
    <row r="16" ht="16" customHeight="1">
      <c r="A16" t="inlineStr">
        <is>
          <t>Copper ion</t>
        </is>
      </c>
      <c r="B16" t="n">
        <v>0</v>
      </c>
      <c r="C16" t="inlineStr">
        <is>
          <t>biosphere3</t>
        </is>
      </c>
      <c r="E16" t="inlineStr">
        <is>
          <t>kilogram</t>
        </is>
      </c>
      <c r="F16" t="inlineStr">
        <is>
          <t>air</t>
        </is>
      </c>
      <c r="G16" t="inlineStr">
        <is>
          <t>biosphere</t>
        </is>
      </c>
      <c r="L16" t="inlineStr">
        <is>
          <t>geometric mean of Remus et al. (2013) data range</t>
        </is>
      </c>
      <c r="M16" t="inlineStr">
        <is>
          <t>2::3::2::5::1::1</t>
        </is>
      </c>
      <c r="N16" t="n">
        <v>0</v>
      </c>
      <c r="P16" t="inlineStr">
        <is>
          <t>steel production, electric, low-alloyed</t>
        </is>
      </c>
      <c r="Q16" t="inlineStr">
        <is>
          <t>steel, low-alloyed</t>
        </is>
      </c>
      <c r="R16" t="inlineStr">
        <is>
          <t>Europe without Switzerland and Austria</t>
        </is>
      </c>
    </row>
    <row r="17" ht="16" customHeight="1">
      <c r="A17" t="inlineStr">
        <is>
          <t>Dioxins, measured as 2,3,7,8-tetrachlorodibenzo-p-dioxin</t>
        </is>
      </c>
      <c r="B17" t="n">
        <v>0</v>
      </c>
      <c r="C17" t="inlineStr">
        <is>
          <t>biosphere3</t>
        </is>
      </c>
      <c r="E17" t="inlineStr">
        <is>
          <t>kilogram</t>
        </is>
      </c>
      <c r="F17" t="inlineStr">
        <is>
          <t>air</t>
        </is>
      </c>
      <c r="G17" t="inlineStr">
        <is>
          <t>biosphere</t>
        </is>
      </c>
      <c r="L17" t="inlineStr">
        <is>
          <t>geometric mean of Remus et al. (2013) data range</t>
        </is>
      </c>
      <c r="M17" t="inlineStr">
        <is>
          <t>2::3::2::5::1::1</t>
        </is>
      </c>
      <c r="N17" t="n">
        <v>0</v>
      </c>
      <c r="P17" t="inlineStr">
        <is>
          <t>steel production, electric, low-alloyed</t>
        </is>
      </c>
      <c r="Q17" t="inlineStr">
        <is>
          <t>steel, low-alloyed</t>
        </is>
      </c>
      <c r="R17" t="inlineStr">
        <is>
          <t>Europe without Switzerland and Austria</t>
        </is>
      </c>
    </row>
    <row r="18" ht="16" customHeight="1">
      <c r="A18" t="inlineStr">
        <is>
          <t>Hydrocarbons, aromatic</t>
        </is>
      </c>
      <c r="B18" t="n">
        <v>0</v>
      </c>
      <c r="C18" t="inlineStr">
        <is>
          <t>biosphere3</t>
        </is>
      </c>
      <c r="E18" t="inlineStr">
        <is>
          <t>kilogram</t>
        </is>
      </c>
      <c r="F18" t="inlineStr">
        <is>
          <t>air</t>
        </is>
      </c>
      <c r="G18" t="inlineStr">
        <is>
          <t>biosphere</t>
        </is>
      </c>
      <c r="L18" t="inlineStr">
        <is>
          <t>Source: Classen et al. (2009)</t>
        </is>
      </c>
      <c r="M18" t="inlineStr">
        <is>
          <t>2::3::2::5::1::1</t>
        </is>
      </c>
      <c r="N18" t="n">
        <v>0</v>
      </c>
      <c r="P18" t="inlineStr">
        <is>
          <t>steel production, electric, low-alloyed</t>
        </is>
      </c>
      <c r="Q18" t="inlineStr">
        <is>
          <t>steel, low-alloyed</t>
        </is>
      </c>
      <c r="R18" t="inlineStr">
        <is>
          <t>Europe without Switzerland and Austria</t>
        </is>
      </c>
    </row>
    <row r="19" ht="16" customHeight="1">
      <c r="A19" t="inlineStr">
        <is>
          <t>Hydrogen chloride</t>
        </is>
      </c>
      <c r="B19" t="n">
        <v>0</v>
      </c>
      <c r="C19" t="inlineStr">
        <is>
          <t>biosphere3</t>
        </is>
      </c>
      <c r="E19" t="inlineStr">
        <is>
          <t>kilogram</t>
        </is>
      </c>
      <c r="F19" t="inlineStr">
        <is>
          <t>air</t>
        </is>
      </c>
      <c r="G19" t="inlineStr">
        <is>
          <t>biosphere</t>
        </is>
      </c>
      <c r="L19" t="inlineStr">
        <is>
          <t>geometric mean of Remus et al. (2013) data range</t>
        </is>
      </c>
      <c r="M19" t="inlineStr">
        <is>
          <t>2::3::2::5::1::1</t>
        </is>
      </c>
      <c r="N19" t="n">
        <v>0</v>
      </c>
      <c r="P19" t="inlineStr">
        <is>
          <t>steel production, electric, low-alloyed</t>
        </is>
      </c>
      <c r="Q19" t="inlineStr">
        <is>
          <t>steel, low-alloyed</t>
        </is>
      </c>
      <c r="R19" t="inlineStr">
        <is>
          <t>Europe without Switzerland and Austria</t>
        </is>
      </c>
    </row>
    <row r="20" ht="16" customHeight="1">
      <c r="A20" t="inlineStr">
        <is>
          <t>Hydrogen fluoride</t>
        </is>
      </c>
      <c r="B20" t="n">
        <v>0</v>
      </c>
      <c r="C20" t="inlineStr">
        <is>
          <t>biosphere3</t>
        </is>
      </c>
      <c r="E20" t="inlineStr">
        <is>
          <t>kilogram</t>
        </is>
      </c>
      <c r="F20" t="inlineStr">
        <is>
          <t>air</t>
        </is>
      </c>
      <c r="G20" t="inlineStr">
        <is>
          <t>biosphere</t>
        </is>
      </c>
      <c r="L20" t="inlineStr">
        <is>
          <t>geometric mean of Remus et al. (2013) data range</t>
        </is>
      </c>
      <c r="M20" t="inlineStr">
        <is>
          <t>2::3::2::5::1::1</t>
        </is>
      </c>
      <c r="N20" t="n">
        <v>0</v>
      </c>
      <c r="P20" t="inlineStr">
        <is>
          <t>steel production, electric, low-alloyed</t>
        </is>
      </c>
      <c r="Q20" t="inlineStr">
        <is>
          <t>steel, low-alloyed</t>
        </is>
      </c>
      <c r="R20" t="inlineStr">
        <is>
          <t>Europe without Switzerland and Austria</t>
        </is>
      </c>
    </row>
    <row r="21" ht="16" customHeight="1">
      <c r="A21" t="inlineStr">
        <is>
          <t>Lead</t>
        </is>
      </c>
      <c r="B21" t="n">
        <v>0</v>
      </c>
      <c r="C21" t="inlineStr">
        <is>
          <t>biosphere3</t>
        </is>
      </c>
      <c r="E21" t="inlineStr">
        <is>
          <t>kilogram</t>
        </is>
      </c>
      <c r="F21" t="inlineStr">
        <is>
          <t>air</t>
        </is>
      </c>
      <c r="G21" t="inlineStr">
        <is>
          <t>biosphere</t>
        </is>
      </c>
      <c r="L21" t="inlineStr">
        <is>
          <t>geometric mean of Remus et al. (2013) data range</t>
        </is>
      </c>
      <c r="M21" t="inlineStr">
        <is>
          <t>2::3::2::5::1::1</t>
        </is>
      </c>
      <c r="N21" t="n">
        <v>0</v>
      </c>
      <c r="P21" t="inlineStr">
        <is>
          <t>steel production, electric, low-alloyed</t>
        </is>
      </c>
      <c r="Q21" t="inlineStr">
        <is>
          <t>steel, low-alloyed</t>
        </is>
      </c>
      <c r="R21" t="inlineStr">
        <is>
          <t>Europe without Switzerland and Austria</t>
        </is>
      </c>
    </row>
    <row r="22" ht="16" customHeight="1">
      <c r="A22" t="inlineStr">
        <is>
          <t>Mercury</t>
        </is>
      </c>
      <c r="B22" t="n">
        <v>0</v>
      </c>
      <c r="C22" t="inlineStr">
        <is>
          <t>biosphere3</t>
        </is>
      </c>
      <c r="E22" t="inlineStr">
        <is>
          <t>kilogram</t>
        </is>
      </c>
      <c r="F22" t="inlineStr">
        <is>
          <t>air</t>
        </is>
      </c>
      <c r="G22" t="inlineStr">
        <is>
          <t>biosphere</t>
        </is>
      </c>
      <c r="L22" t="inlineStr">
        <is>
          <t>geometric mean of Remus et al. (2013) data range</t>
        </is>
      </c>
      <c r="M22" t="inlineStr">
        <is>
          <t>2::3::2::5::1::1</t>
        </is>
      </c>
      <c r="N22" t="n">
        <v>0</v>
      </c>
      <c r="P22" t="inlineStr">
        <is>
          <t>steel production, electric, low-alloyed</t>
        </is>
      </c>
      <c r="Q22" t="inlineStr">
        <is>
          <t>steel, low-alloyed</t>
        </is>
      </c>
      <c r="R22" t="inlineStr">
        <is>
          <t>Europe without Switzerland and Austria</t>
        </is>
      </c>
    </row>
    <row r="23" ht="16" customHeight="1">
      <c r="A23" t="inlineStr">
        <is>
          <t>Nickel</t>
        </is>
      </c>
      <c r="B23" t="n">
        <v>0</v>
      </c>
      <c r="C23" t="inlineStr">
        <is>
          <t>biosphere3</t>
        </is>
      </c>
      <c r="E23" t="inlineStr">
        <is>
          <t>kilogram</t>
        </is>
      </c>
      <c r="F23" t="inlineStr">
        <is>
          <t>air</t>
        </is>
      </c>
      <c r="G23" t="inlineStr">
        <is>
          <t>biosphere</t>
        </is>
      </c>
      <c r="L23" t="inlineStr">
        <is>
          <t>geometric mean of Remus et al. (2013) data range</t>
        </is>
      </c>
      <c r="M23" t="inlineStr">
        <is>
          <t>2::3::2::5::1::1</t>
        </is>
      </c>
      <c r="N23" t="n">
        <v>0</v>
      </c>
      <c r="P23" t="inlineStr">
        <is>
          <t>steel production, electric, low-alloyed</t>
        </is>
      </c>
      <c r="Q23" t="inlineStr">
        <is>
          <t>steel, low-alloyed</t>
        </is>
      </c>
      <c r="R23" t="inlineStr">
        <is>
          <t>Europe without Switzerland and Austria</t>
        </is>
      </c>
    </row>
    <row r="24" ht="16" customHeight="1">
      <c r="A24" t="inlineStr">
        <is>
          <t>Nitrogen oxides</t>
        </is>
      </c>
      <c r="B24" t="n">
        <v>0</v>
      </c>
      <c r="C24" t="inlineStr">
        <is>
          <t>biosphere3</t>
        </is>
      </c>
      <c r="E24" t="inlineStr">
        <is>
          <t>kilogram</t>
        </is>
      </c>
      <c r="F24" t="inlineStr">
        <is>
          <t>air</t>
        </is>
      </c>
      <c r="G24" t="inlineStr">
        <is>
          <t>biosphere</t>
        </is>
      </c>
      <c r="L24" t="inlineStr">
        <is>
          <t>geometric mean of Remus et al. (2013) data range</t>
        </is>
      </c>
      <c r="M24" t="inlineStr">
        <is>
          <t>2::3::2::5::1::1</t>
        </is>
      </c>
      <c r="N24" t="n">
        <v>0</v>
      </c>
      <c r="P24" t="inlineStr">
        <is>
          <t>steel production, electric, low-alloyed</t>
        </is>
      </c>
      <c r="Q24" t="inlineStr">
        <is>
          <t>steel, low-alloyed</t>
        </is>
      </c>
      <c r="R24" t="inlineStr">
        <is>
          <t>Europe without Switzerland and Austria</t>
        </is>
      </c>
    </row>
    <row r="25" ht="16" customHeight="1">
      <c r="A25" t="inlineStr">
        <is>
          <t>PAH, polycyclic aromatic hydrocarbons</t>
        </is>
      </c>
      <c r="B25" t="n">
        <v>0</v>
      </c>
      <c r="C25" t="inlineStr">
        <is>
          <t>biosphere3</t>
        </is>
      </c>
      <c r="E25" t="inlineStr">
        <is>
          <t>kilogram</t>
        </is>
      </c>
      <c r="F25" t="inlineStr">
        <is>
          <t>air</t>
        </is>
      </c>
      <c r="G25" t="inlineStr">
        <is>
          <t>biosphere</t>
        </is>
      </c>
      <c r="L25" t="inlineStr">
        <is>
          <t>geometric mean of Remus et al. (2013) data range</t>
        </is>
      </c>
      <c r="M25" t="inlineStr">
        <is>
          <t>2::3::2::5::1::1</t>
        </is>
      </c>
      <c r="N25" t="n">
        <v>0</v>
      </c>
      <c r="P25" t="inlineStr">
        <is>
          <t>steel production, electric, low-alloyed</t>
        </is>
      </c>
      <c r="Q25" t="inlineStr">
        <is>
          <t>steel, low-alloyed</t>
        </is>
      </c>
      <c r="R25" t="inlineStr">
        <is>
          <t>Europe without Switzerland and Austria</t>
        </is>
      </c>
    </row>
    <row r="26" ht="16" customHeight="1">
      <c r="A26" t="inlineStr">
        <is>
          <t>Particulates, &lt; 2.5 um</t>
        </is>
      </c>
      <c r="B26" t="n">
        <v>0</v>
      </c>
      <c r="C26" t="inlineStr">
        <is>
          <t>biosphere3</t>
        </is>
      </c>
      <c r="E26" t="inlineStr">
        <is>
          <t>kilogram</t>
        </is>
      </c>
      <c r="F26" t="inlineStr">
        <is>
          <t>air</t>
        </is>
      </c>
      <c r="G26" t="inlineStr">
        <is>
          <t>biosphere</t>
        </is>
      </c>
      <c r="L26" t="inlineStr">
        <is>
          <t>geometric mean of Remus et al. (2013) data range (assume 42.5% of total dust emissions [Classen et al. 2009])</t>
        </is>
      </c>
      <c r="M26" t="inlineStr">
        <is>
          <t>2::3::2::5::1::1</t>
        </is>
      </c>
      <c r="N26" t="n">
        <v>0</v>
      </c>
      <c r="P26" t="inlineStr">
        <is>
          <t>steel production, electric, low-alloyed</t>
        </is>
      </c>
      <c r="Q26" t="inlineStr">
        <is>
          <t>steel, low-alloyed</t>
        </is>
      </c>
      <c r="R26" t="inlineStr">
        <is>
          <t>Europe without Switzerland and Austria</t>
        </is>
      </c>
    </row>
    <row r="27" ht="16" customHeight="1">
      <c r="A27" t="inlineStr">
        <is>
          <t>Particulates, &gt; 10 um</t>
        </is>
      </c>
      <c r="B27" t="n">
        <v>0</v>
      </c>
      <c r="C27" t="inlineStr">
        <is>
          <t>biosphere3</t>
        </is>
      </c>
      <c r="E27" t="inlineStr">
        <is>
          <t>kilogram</t>
        </is>
      </c>
      <c r="F27" t="inlineStr">
        <is>
          <t>air</t>
        </is>
      </c>
      <c r="G27" t="inlineStr">
        <is>
          <t>biosphere</t>
        </is>
      </c>
      <c r="L27" t="inlineStr">
        <is>
          <t>geometric mean of Remus et al. (2013) data range (assume 15% of total dust emissions [Classen et al. 2009])</t>
        </is>
      </c>
      <c r="M27" t="inlineStr">
        <is>
          <t>2::3::2::5::1::1</t>
        </is>
      </c>
      <c r="N27" t="n">
        <v>0</v>
      </c>
      <c r="P27" t="inlineStr">
        <is>
          <t>steel production, electric, low-alloyed</t>
        </is>
      </c>
      <c r="Q27" t="inlineStr">
        <is>
          <t>steel, low-alloyed</t>
        </is>
      </c>
      <c r="R27" t="inlineStr">
        <is>
          <t>Europe without Switzerland and Austria</t>
        </is>
      </c>
    </row>
    <row r="28" ht="16" customHeight="1">
      <c r="A28" t="inlineStr">
        <is>
          <t>Particulates, &gt; 2.5 um, and &lt; 10um</t>
        </is>
      </c>
      <c r="B28" t="n">
        <v>0</v>
      </c>
      <c r="C28" t="inlineStr">
        <is>
          <t>biosphere3</t>
        </is>
      </c>
      <c r="E28" t="inlineStr">
        <is>
          <t>kilogram</t>
        </is>
      </c>
      <c r="F28" t="inlineStr">
        <is>
          <t>air</t>
        </is>
      </c>
      <c r="G28" t="inlineStr">
        <is>
          <t>biosphere</t>
        </is>
      </c>
      <c r="L28" t="inlineStr">
        <is>
          <t>geometric mean of Remus et al. (2013) data range (assume 42.5% of total dust emissions [Classen et al. 2009])</t>
        </is>
      </c>
      <c r="M28" t="inlineStr">
        <is>
          <t>2::3::2::5::1::1</t>
        </is>
      </c>
      <c r="N28" t="n">
        <v>0</v>
      </c>
      <c r="P28" t="inlineStr">
        <is>
          <t>steel production, electric, low-alloyed</t>
        </is>
      </c>
      <c r="Q28" t="inlineStr">
        <is>
          <t>steel, low-alloyed</t>
        </is>
      </c>
      <c r="R28" t="inlineStr">
        <is>
          <t>Europe without Switzerland and Austria</t>
        </is>
      </c>
    </row>
    <row r="29" ht="16" customHeight="1">
      <c r="A29" t="inlineStr">
        <is>
          <t>Polychlorinated biphenyls</t>
        </is>
      </c>
      <c r="B29" t="n">
        <v>0</v>
      </c>
      <c r="C29" t="inlineStr">
        <is>
          <t>biosphere3</t>
        </is>
      </c>
      <c r="E29" t="inlineStr">
        <is>
          <t>kilogram</t>
        </is>
      </c>
      <c r="F29" t="inlineStr">
        <is>
          <t>air</t>
        </is>
      </c>
      <c r="G29" t="inlineStr">
        <is>
          <t>biosphere</t>
        </is>
      </c>
      <c r="L29" t="inlineStr">
        <is>
          <t>geometric mean of Remus et al. (2013) data range</t>
        </is>
      </c>
      <c r="M29" t="inlineStr">
        <is>
          <t>2::3::2::5::1::1</t>
        </is>
      </c>
      <c r="N29" t="n">
        <v>0</v>
      </c>
      <c r="P29" t="inlineStr">
        <is>
          <t>steel production, electric, low-alloyed</t>
        </is>
      </c>
      <c r="Q29" t="inlineStr">
        <is>
          <t>steel, low-alloyed</t>
        </is>
      </c>
      <c r="R29" t="inlineStr">
        <is>
          <t>Europe without Switzerland and Austria</t>
        </is>
      </c>
    </row>
    <row r="30" ht="16" customHeight="1">
      <c r="A30" t="inlineStr">
        <is>
          <t>Sulfur dioxide</t>
        </is>
      </c>
      <c r="B30" t="n">
        <v>0</v>
      </c>
      <c r="C30" t="inlineStr">
        <is>
          <t>biosphere3</t>
        </is>
      </c>
      <c r="E30" t="inlineStr">
        <is>
          <t>kilogram</t>
        </is>
      </c>
      <c r="F30" t="inlineStr">
        <is>
          <t>air</t>
        </is>
      </c>
      <c r="G30" t="inlineStr">
        <is>
          <t>biosphere</t>
        </is>
      </c>
      <c r="L30" t="inlineStr">
        <is>
          <t>geometric mean of Remus et al. (2013) data range</t>
        </is>
      </c>
      <c r="M30" t="inlineStr">
        <is>
          <t>2::3::2::5::1::1</t>
        </is>
      </c>
      <c r="N30" t="n">
        <v>0</v>
      </c>
      <c r="P30" t="inlineStr">
        <is>
          <t>steel production, electric, low-alloyed</t>
        </is>
      </c>
      <c r="Q30" t="inlineStr">
        <is>
          <t>steel, low-alloyed</t>
        </is>
      </c>
      <c r="R30" t="inlineStr">
        <is>
          <t>Europe without Switzerland and Austria</t>
        </is>
      </c>
    </row>
    <row r="31" ht="16" customHeight="1">
      <c r="A31" t="inlineStr">
        <is>
          <t>Water</t>
        </is>
      </c>
      <c r="B31" t="n">
        <v>0</v>
      </c>
      <c r="C31" t="inlineStr">
        <is>
          <t>biosphere3</t>
        </is>
      </c>
      <c r="E31" t="inlineStr">
        <is>
          <t>cubic meter</t>
        </is>
      </c>
      <c r="F31" t="inlineStr">
        <is>
          <t>air</t>
        </is>
      </c>
      <c r="G31" t="inlineStr">
        <is>
          <t>biosphere</t>
        </is>
      </c>
      <c r="L31" t="inlineStr">
        <is>
          <t>Source: Classen et al. (2009)</t>
        </is>
      </c>
      <c r="M31" t="inlineStr">
        <is>
          <t>2::2::1::5::1::1</t>
        </is>
      </c>
      <c r="N31" t="n">
        <v>0</v>
      </c>
      <c r="P31" t="inlineStr">
        <is>
          <t>steel production, electric, low-alloyed</t>
        </is>
      </c>
      <c r="Q31" t="inlineStr">
        <is>
          <t>steel, low-alloyed</t>
        </is>
      </c>
      <c r="R31" t="inlineStr">
        <is>
          <t>Europe without Switzerland and Austria</t>
        </is>
      </c>
    </row>
    <row r="32" ht="16" customHeight="1">
      <c r="A32" t="inlineStr">
        <is>
          <t>Water</t>
        </is>
      </c>
      <c r="B32" t="n">
        <v>0</v>
      </c>
      <c r="C32" t="inlineStr">
        <is>
          <t>biosphere3</t>
        </is>
      </c>
      <c r="E32" t="inlineStr">
        <is>
          <t>cubic meter</t>
        </is>
      </c>
      <c r="F32" t="inlineStr">
        <is>
          <t>water</t>
        </is>
      </c>
      <c r="G32" t="inlineStr">
        <is>
          <t>biosphere</t>
        </is>
      </c>
      <c r="L32" t="inlineStr">
        <is>
          <t>Source: Classen et al. (2009)</t>
        </is>
      </c>
      <c r="M32" t="inlineStr">
        <is>
          <t>2::2::1::5::1::1</t>
        </is>
      </c>
      <c r="N32" t="n">
        <v>0</v>
      </c>
      <c r="P32" t="inlineStr">
        <is>
          <t>steel production, electric, low-alloyed</t>
        </is>
      </c>
      <c r="Q32" t="inlineStr">
        <is>
          <t>steel, low-alloyed</t>
        </is>
      </c>
      <c r="R32" t="inlineStr">
        <is>
          <t>Europe without Switzerland and Austria</t>
        </is>
      </c>
    </row>
    <row r="33" ht="16" customHeight="1">
      <c r="A33" t="inlineStr">
        <is>
          <t>Water, cooling, unspecified natural origin</t>
        </is>
      </c>
      <c r="B33" t="n">
        <v>0</v>
      </c>
      <c r="C33" t="inlineStr">
        <is>
          <t>biosphere3</t>
        </is>
      </c>
      <c r="E33" t="inlineStr">
        <is>
          <t>cubic meter</t>
        </is>
      </c>
      <c r="F33" t="inlineStr">
        <is>
          <t>natural resource::in water</t>
        </is>
      </c>
      <c r="G33" t="inlineStr">
        <is>
          <t>biosphere</t>
        </is>
      </c>
      <c r="L33" t="inlineStr">
        <is>
          <t>geometric mean of Remus et al. (2013) data range</t>
        </is>
      </c>
      <c r="M33" t="inlineStr">
        <is>
          <t>2::3::3::5::1::1</t>
        </is>
      </c>
      <c r="N33" t="n">
        <v>0</v>
      </c>
      <c r="P33" t="inlineStr">
        <is>
          <t>steel production, electric, low-alloyed</t>
        </is>
      </c>
      <c r="Q33" t="inlineStr">
        <is>
          <t>steel, low-alloyed</t>
        </is>
      </c>
      <c r="R33" t="inlineStr">
        <is>
          <t>Europe without Switzerland and Austria</t>
        </is>
      </c>
    </row>
    <row r="34" ht="16" customHeight="1">
      <c r="A34" t="inlineStr">
        <is>
          <t>Zinc</t>
        </is>
      </c>
      <c r="B34" t="n">
        <v>0</v>
      </c>
      <c r="C34" t="inlineStr">
        <is>
          <t>biosphere3</t>
        </is>
      </c>
      <c r="E34" t="inlineStr">
        <is>
          <t>kilogram</t>
        </is>
      </c>
      <c r="F34" t="inlineStr">
        <is>
          <t>air</t>
        </is>
      </c>
      <c r="G34" t="inlineStr">
        <is>
          <t>biosphere</t>
        </is>
      </c>
      <c r="L34" t="inlineStr">
        <is>
          <t>geometric mean of Remus et al. (2013) data range</t>
        </is>
      </c>
      <c r="M34" t="inlineStr">
        <is>
          <t>2::3::2::5::1::1</t>
        </is>
      </c>
      <c r="N34" t="n">
        <v>0</v>
      </c>
      <c r="P34" t="inlineStr">
        <is>
          <t>steel production, electric, low-alloyed</t>
        </is>
      </c>
      <c r="Q34" t="inlineStr">
        <is>
          <t>steel, low-alloyed</t>
        </is>
      </c>
      <c r="R34" t="inlineStr">
        <is>
          <t>Europe without Switzerland and Austria</t>
        </is>
      </c>
    </row>
    <row r="35" ht="16" customHeight="1">
      <c r="A35" t="inlineStr">
        <is>
          <t>steel production, hydrogen-based direct reduction iron-electric arc furnace, low-alloyed</t>
        </is>
      </c>
      <c r="B35" t="n">
        <v>1</v>
      </c>
      <c r="C35" s="22" t="inlineStr">
        <is>
          <t>steel_paper</t>
        </is>
      </c>
      <c r="D35" t="inlineStr">
        <is>
          <t>GLO</t>
        </is>
      </c>
      <c r="E35" t="inlineStr">
        <is>
          <t>kilogram</t>
        </is>
      </c>
      <c r="G35" t="inlineStr">
        <is>
          <t>production</t>
        </is>
      </c>
      <c r="I35" t="n">
        <v>0</v>
      </c>
      <c r="J35" t="n">
        <v>1</v>
      </c>
      <c r="L35" t="inlineStr">
        <is>
          <t>&gt; Modifications (2025): changed location from RER to GLO.</t>
        </is>
      </c>
      <c r="N35" t="n">
        <v>11181008749.41</v>
      </c>
      <c r="O35" t="inlineStr">
        <is>
          <t>steel, low-alloyed</t>
        </is>
      </c>
    </row>
    <row r="36" ht="16" customHeight="1">
      <c r="A36" s="24" t="inlineStr">
        <is>
          <t xml:space="preserve">pig iron production, hydrogen-based direct reduction iron </t>
        </is>
      </c>
      <c r="B36" t="n">
        <v>1.061992490719463</v>
      </c>
      <c r="C36" s="22" t="inlineStr">
        <is>
          <t>steel_paper</t>
        </is>
      </c>
      <c r="D36" t="inlineStr">
        <is>
          <t>GLO</t>
        </is>
      </c>
      <c r="E36" t="inlineStr">
        <is>
          <t>kilogram</t>
        </is>
      </c>
      <c r="G36" t="inlineStr">
        <is>
          <t>technosphere</t>
        </is>
      </c>
      <c r="L36" s="56" t="inlineStr">
        <is>
          <t>&gt; Modifications (2025): input of sponge iron of 1.06, instead of 1.13 scrap
&gt; original was: 1.13 of scrap</t>
        </is>
      </c>
      <c r="O36" s="22" t="inlineStr">
        <is>
          <t>pig iron</t>
        </is>
      </c>
    </row>
    <row r="37" ht="16" customHeight="1">
      <c r="A37" t="inlineStr">
        <is>
          <t>market for anode, for metal electrolysis</t>
        </is>
      </c>
      <c r="B37" t="n">
        <v>0</v>
      </c>
      <c r="C37" t="inlineStr">
        <is>
          <t>cutoff391</t>
        </is>
      </c>
      <c r="D37" t="inlineStr">
        <is>
          <t>GLO</t>
        </is>
      </c>
      <c r="E37" t="inlineStr">
        <is>
          <t>kilogram</t>
        </is>
      </c>
      <c r="G37" t="inlineStr">
        <is>
          <t>technosphere</t>
        </is>
      </c>
      <c r="L37" t="inlineStr">
        <is>
          <t>geometric mean of Remus et al. (2013) data range</t>
        </is>
      </c>
      <c r="M37" t="inlineStr">
        <is>
          <t>2::3::2::5::1::1</t>
        </is>
      </c>
      <c r="N37" t="n">
        <v>0</v>
      </c>
      <c r="O37" t="inlineStr">
        <is>
          <t>anode, for metal electrolysis</t>
        </is>
      </c>
      <c r="P37" t="inlineStr">
        <is>
          <t>steel production, electric, low-alloyed</t>
        </is>
      </c>
      <c r="Q37" t="inlineStr">
        <is>
          <t>steel, low-alloyed</t>
        </is>
      </c>
      <c r="R37" t="inlineStr">
        <is>
          <t>Europe without Switzerland and Austria</t>
        </is>
      </c>
    </row>
    <row r="38" ht="16" customHeight="1">
      <c r="A38" t="inlineStr">
        <is>
          <t>market for argon, liquid</t>
        </is>
      </c>
      <c r="B38" t="n">
        <v>0</v>
      </c>
      <c r="C38" t="inlineStr">
        <is>
          <t>cutoff391</t>
        </is>
      </c>
      <c r="D38" t="inlineStr">
        <is>
          <t>RER</t>
        </is>
      </c>
      <c r="E38" t="inlineStr">
        <is>
          <t>kilogram</t>
        </is>
      </c>
      <c r="G38" t="inlineStr">
        <is>
          <t>technosphere</t>
        </is>
      </c>
      <c r="L38" s="57" t="inlineStr">
        <is>
          <t>&gt; Modifications (2025): changed location from RER to RoW.
&lt;Original ecoinvent 3.8 comment: &gt;
geometric mean of Remus et al. (2013) data range (m3:kg conversion based on: http://www.airproducts.com/Products/Gases/gas-facts/conversion-formulas/weight-and-volume-equivalents/argon.aspx)</t>
        </is>
      </c>
      <c r="M38" t="inlineStr">
        <is>
          <t>2::4::1::4::2::1</t>
        </is>
      </c>
      <c r="N38" t="n">
        <v>0</v>
      </c>
      <c r="O38" t="inlineStr">
        <is>
          <t>argon, liquid</t>
        </is>
      </c>
      <c r="P38" t="inlineStr">
        <is>
          <t>steel production, electric, low-alloyed</t>
        </is>
      </c>
      <c r="Q38" t="inlineStr">
        <is>
          <t>steel, low-alloyed</t>
        </is>
      </c>
      <c r="R38" t="inlineStr">
        <is>
          <t>Europe without Switzerland and Austria</t>
        </is>
      </c>
    </row>
    <row r="39" ht="16" customHeight="1">
      <c r="A39" t="inlineStr">
        <is>
          <t>market for electric arc furnace converter</t>
        </is>
      </c>
      <c r="B39" t="n">
        <v>0</v>
      </c>
      <c r="C39" t="inlineStr">
        <is>
          <t>cutoff391</t>
        </is>
      </c>
      <c r="D39" t="inlineStr">
        <is>
          <t>GLO</t>
        </is>
      </c>
      <c r="E39" t="inlineStr">
        <is>
          <t>unit</t>
        </is>
      </c>
      <c r="G39" t="inlineStr">
        <is>
          <t>technosphere</t>
        </is>
      </c>
      <c r="L39" t="inlineStr">
        <is>
          <t>Source: Classen et al. (2009)</t>
        </is>
      </c>
      <c r="M39" t="inlineStr">
        <is>
          <t>5::5::5::5::5::1</t>
        </is>
      </c>
      <c r="N39" t="n">
        <v>0</v>
      </c>
      <c r="O39" t="inlineStr">
        <is>
          <t>electric arc furnace converter</t>
        </is>
      </c>
      <c r="P39" t="inlineStr">
        <is>
          <t>steel production, electric, low-alloyed</t>
        </is>
      </c>
      <c r="Q39" t="inlineStr">
        <is>
          <t>steel, low-alloyed</t>
        </is>
      </c>
      <c r="R39" t="inlineStr">
        <is>
          <t>Europe without Switzerland and Austria</t>
        </is>
      </c>
    </row>
    <row r="40" ht="16" customHeight="1">
      <c r="A40" t="inlineStr">
        <is>
          <t>market for electric arc furnace dust</t>
        </is>
      </c>
      <c r="B40" t="n">
        <v>0</v>
      </c>
      <c r="C40" t="inlineStr">
        <is>
          <t>cutoff391</t>
        </is>
      </c>
      <c r="D40" t="inlineStr">
        <is>
          <t>RER</t>
        </is>
      </c>
      <c r="E40" t="inlineStr">
        <is>
          <t>kilogram</t>
        </is>
      </c>
      <c r="G40" t="inlineStr">
        <is>
          <t>technosphere</t>
        </is>
      </c>
      <c r="L40" s="57" t="inlineStr">
        <is>
          <t>&gt; Modifications (2025): changed location from RER to RoW.
&lt;Original ecoinvent 3.8 comment: &gt;
Amount reported by worldsteel (2010) and is representative of the average global situation in 2009. Also based on worldsteel (2010), an internal recovery (recycling) rate of 10% is assumed. Source: Worldsteel (2010). Steel industry by-products. World Steel Association: Brussels, Belgium.</t>
        </is>
      </c>
      <c r="M40" t="inlineStr">
        <is>
          <t>2::3::3::2::2::1</t>
        </is>
      </c>
      <c r="N40" t="n">
        <v>213863626.753465</v>
      </c>
      <c r="O40" t="inlineStr">
        <is>
          <t>electric arc furnace dust</t>
        </is>
      </c>
      <c r="P40" t="inlineStr">
        <is>
          <t>steel production, electric, low-alloyed</t>
        </is>
      </c>
      <c r="Q40" t="inlineStr">
        <is>
          <t>steel, low-alloyed</t>
        </is>
      </c>
      <c r="R40" t="inlineStr">
        <is>
          <t>Europe without Switzerland and Austria</t>
        </is>
      </c>
    </row>
    <row r="41" ht="16" customHeight="1">
      <c r="A41" s="25" t="inlineStr">
        <is>
          <t>market for electric arc furnace slag</t>
        </is>
      </c>
      <c r="B41" t="n">
        <v>-0.1549821636910023</v>
      </c>
      <c r="C41" t="inlineStr">
        <is>
          <t>cutoff391</t>
        </is>
      </c>
      <c r="D41" s="21" t="inlineStr">
        <is>
          <t>RER</t>
        </is>
      </c>
      <c r="E41" t="inlineStr">
        <is>
          <t>kilogram</t>
        </is>
      </c>
      <c r="G41" t="inlineStr">
        <is>
          <t>technosphere</t>
        </is>
      </c>
      <c r="H41" t="inlineStr">
        <is>
          <t>EW_EAF_lowalloy_ScalingFactor*(-0.16511)</t>
        </is>
      </c>
      <c r="I41" t="n">
        <v>2</v>
      </c>
      <c r="J41" t="n">
        <v>-1.925066886936832</v>
      </c>
      <c r="K41" t="n">
        <v>0.06652067347825036</v>
      </c>
      <c r="L41" s="55" t="inlineStr">
        <is>
          <t>&gt; Modifications (2025): Increased value of:  electric arc furnace slag 	market for electric arc furnace slag	RER	ecoinvent38_cutoff	to  -0.165106 kg (sum of all slag types in ecoinvent 3.8)
&lt;Original ecoinvent 3.8 comment: &gt;
Amount reported by worldsteel (2010) and is representative of the average global situation in 2009. Also based on worldsteel (2010), an internal recovery (recycling) rate of 3% is assumed. Source: Worldsteel (2010). Steel industry by-products. World Steel Association: Brussels, Belgium.</t>
        </is>
      </c>
      <c r="M41" t="inlineStr">
        <is>
          <t>2::3::3::2::2::1</t>
        </is>
      </c>
      <c r="N41" t="n">
        <v>1630929022.24144</v>
      </c>
      <c r="O41" t="inlineStr">
        <is>
          <t>electric arc furnace slag</t>
        </is>
      </c>
      <c r="S41" t="b">
        <v>1</v>
      </c>
    </row>
    <row r="42" ht="16" customHeight="1">
      <c r="A42" t="inlineStr">
        <is>
          <t>market for hard coal</t>
        </is>
      </c>
      <c r="B42" t="n">
        <v>0</v>
      </c>
      <c r="C42" t="inlineStr">
        <is>
          <t>cutoff391</t>
        </is>
      </c>
      <c r="D42" t="inlineStr">
        <is>
          <t>RoW</t>
        </is>
      </c>
      <c r="E42" t="inlineStr">
        <is>
          <t>kilogram</t>
        </is>
      </c>
      <c r="G42" t="inlineStr">
        <is>
          <t>technosphere</t>
        </is>
      </c>
      <c r="L42" t="inlineStr">
        <is>
          <t>geometric mean of Remus et al. (2013) data range</t>
        </is>
      </c>
      <c r="M42" t="inlineStr">
        <is>
          <t>2::3::2::5::1::1</t>
        </is>
      </c>
      <c r="N42" t="n">
        <v>0</v>
      </c>
      <c r="O42" t="inlineStr">
        <is>
          <t>hard coal</t>
        </is>
      </c>
      <c r="P42" t="inlineStr">
        <is>
          <t>steel production, electric, low-alloyed</t>
        </is>
      </c>
      <c r="Q42" t="inlineStr">
        <is>
          <t>steel, low-alloyed</t>
        </is>
      </c>
      <c r="R42" t="inlineStr">
        <is>
          <t>Europe without Switzerland and Austria</t>
        </is>
      </c>
    </row>
    <row r="43" ht="16" customHeight="1">
      <c r="A43" t="inlineStr">
        <is>
          <t>market for inert waste, for final disposal</t>
        </is>
      </c>
      <c r="B43" t="n">
        <v>0</v>
      </c>
      <c r="C43" t="inlineStr">
        <is>
          <t>cutoff391</t>
        </is>
      </c>
      <c r="D43" t="inlineStr">
        <is>
          <t>RoW</t>
        </is>
      </c>
      <c r="E43" t="inlineStr">
        <is>
          <t>kilogram</t>
        </is>
      </c>
      <c r="G43" t="inlineStr">
        <is>
          <t>technosphere</t>
        </is>
      </c>
      <c r="L43" t="inlineStr">
        <is>
          <t>Represents used refractories, etc.</t>
        </is>
      </c>
      <c r="M43" t="inlineStr">
        <is>
          <t>2::3::3::2::2::1</t>
        </is>
      </c>
      <c r="N43" t="n">
        <v>75833291.07138591</v>
      </c>
      <c r="O43" t="inlineStr">
        <is>
          <t>inert waste, for final disposal</t>
        </is>
      </c>
      <c r="P43" t="inlineStr">
        <is>
          <t>steel production, electric, low-alloyed</t>
        </is>
      </c>
      <c r="Q43" t="inlineStr">
        <is>
          <t>steel, low-alloyed</t>
        </is>
      </c>
      <c r="R43" t="inlineStr">
        <is>
          <t>Europe without Switzerland and Austria</t>
        </is>
      </c>
    </row>
    <row r="44" ht="16" customHeight="1">
      <c r="A44" t="inlineStr">
        <is>
          <t>market for nitrogen, liquid</t>
        </is>
      </c>
      <c r="B44" t="n">
        <v>0</v>
      </c>
      <c r="C44" t="inlineStr">
        <is>
          <t>cutoff391</t>
        </is>
      </c>
      <c r="D44" t="inlineStr">
        <is>
          <t>RoW</t>
        </is>
      </c>
      <c r="E44" t="inlineStr">
        <is>
          <t>kilogram</t>
        </is>
      </c>
      <c r="G44" t="inlineStr">
        <is>
          <t>technosphere</t>
        </is>
      </c>
      <c r="L44" s="57" t="inlineStr">
        <is>
          <t>&gt; Modifications (2025): changed location from RER to RoW.
&lt;Original ecoinvent 3.8 comment: &gt;
geometric mean of Remus et al. (2013) data range (m3:kg conversion based on: http://www.airproducts.com/Products/Gases/gas-facts/conversion-formulas/weight-and-volume-equivalents/nitrogen.aspx)</t>
        </is>
      </c>
      <c r="M44" t="inlineStr">
        <is>
          <t>2::3::5::5::3::1</t>
        </is>
      </c>
      <c r="N44" t="n">
        <v>0</v>
      </c>
      <c r="O44" t="inlineStr">
        <is>
          <t>nitrogen, liquid</t>
        </is>
      </c>
      <c r="P44" t="inlineStr">
        <is>
          <t>steel production, electric, low-alloyed</t>
        </is>
      </c>
      <c r="Q44" t="inlineStr">
        <is>
          <t>steel, low-alloyed</t>
        </is>
      </c>
      <c r="R44" t="inlineStr">
        <is>
          <t>Europe without Switzerland and Austria</t>
        </is>
      </c>
    </row>
    <row r="45" ht="16" customHeight="1">
      <c r="A45" t="inlineStr">
        <is>
          <t>market for oxygen, liquid</t>
        </is>
      </c>
      <c r="B45" t="n">
        <v>0</v>
      </c>
      <c r="C45" t="inlineStr">
        <is>
          <t>cutoff391</t>
        </is>
      </c>
      <c r="D45" t="inlineStr">
        <is>
          <t>RoW</t>
        </is>
      </c>
      <c r="E45" t="inlineStr">
        <is>
          <t>kilogram</t>
        </is>
      </c>
      <c r="G45" t="inlineStr">
        <is>
          <t>technosphere</t>
        </is>
      </c>
      <c r="L45" s="57" t="inlineStr">
        <is>
          <t>&gt; Modifications (2025): changed location from RER to RoW.
&lt;Original ecoinvent 3.8 comment: &gt;
geometric mean of Remus et al. (2013) data range (m3:kg conversion based on: http://www.airproducts.com/Products/Gases/gas-facts/conversion-formulas/weight-and-volume-equivalents/oxygen.aspx)</t>
        </is>
      </c>
      <c r="M45" t="inlineStr">
        <is>
          <t>2::3::2::5::1::1</t>
        </is>
      </c>
      <c r="N45" t="n">
        <v>0</v>
      </c>
      <c r="O45" t="inlineStr">
        <is>
          <t>oxygen, liquid</t>
        </is>
      </c>
      <c r="P45" t="inlineStr">
        <is>
          <t>steel production, electric, low-alloyed</t>
        </is>
      </c>
      <c r="Q45" t="inlineStr">
        <is>
          <t>steel, low-alloyed</t>
        </is>
      </c>
      <c r="R45" t="inlineStr">
        <is>
          <t>Europe without Switzerland and Austria</t>
        </is>
      </c>
    </row>
    <row r="46" ht="16" customHeight="1">
      <c r="A46" t="inlineStr">
        <is>
          <t>market for quicklime, in pieces, loose</t>
        </is>
      </c>
      <c r="B46" t="n">
        <v>0</v>
      </c>
      <c r="C46" t="inlineStr">
        <is>
          <t>cutoff391</t>
        </is>
      </c>
      <c r="D46" t="inlineStr">
        <is>
          <t>RoW</t>
        </is>
      </c>
      <c r="E46" t="inlineStr">
        <is>
          <t>kilogram</t>
        </is>
      </c>
      <c r="G46" t="inlineStr">
        <is>
          <t>technosphere</t>
        </is>
      </c>
      <c r="L46" t="inlineStr">
        <is>
          <t>geometric mean of Remus et al. (2013) data range</t>
        </is>
      </c>
      <c r="M46" t="inlineStr">
        <is>
          <t>2::3::2::5::1::1</t>
        </is>
      </c>
      <c r="N46" t="n">
        <v>0</v>
      </c>
      <c r="O46" t="inlineStr">
        <is>
          <t>quicklime, in pieces, loose</t>
        </is>
      </c>
      <c r="P46" t="inlineStr">
        <is>
          <t>steel production, electric, low-alloyed</t>
        </is>
      </c>
      <c r="Q46" t="inlineStr">
        <is>
          <t>steel, low-alloyed</t>
        </is>
      </c>
      <c r="R46" t="inlineStr">
        <is>
          <t>Europe without Switzerland and Austria</t>
        </is>
      </c>
    </row>
    <row r="47" ht="16" customHeight="1">
      <c r="A47" t="inlineStr">
        <is>
          <t>market for refractory, basic, packed</t>
        </is>
      </c>
      <c r="B47" t="n">
        <v>0</v>
      </c>
      <c r="C47" t="inlineStr">
        <is>
          <t>cutoff391</t>
        </is>
      </c>
      <c r="D47" t="inlineStr">
        <is>
          <t>GLO</t>
        </is>
      </c>
      <c r="E47" t="inlineStr">
        <is>
          <t>kilogram</t>
        </is>
      </c>
      <c r="G47" t="inlineStr">
        <is>
          <t>technosphere</t>
        </is>
      </c>
      <c r="L47" t="inlineStr">
        <is>
          <t>geometric mean of Remus et al. (2013) data range</t>
        </is>
      </c>
      <c r="M47" t="inlineStr">
        <is>
          <t>2::3::2::5::1::1</t>
        </is>
      </c>
      <c r="N47" t="n">
        <v>0</v>
      </c>
      <c r="O47" t="inlineStr">
        <is>
          <t>refractory, basic, packed</t>
        </is>
      </c>
      <c r="P47" t="inlineStr">
        <is>
          <t>steel production, electric, low-alloyed</t>
        </is>
      </c>
      <c r="Q47" t="inlineStr">
        <is>
          <t>steel, low-alloyed</t>
        </is>
      </c>
      <c r="R47" t="inlineStr">
        <is>
          <t>Europe without Switzerland and Austria</t>
        </is>
      </c>
    </row>
    <row r="48" ht="16" customHeight="1">
      <c r="A48" s="25" t="inlineStr">
        <is>
          <t>market group for electricity, medium voltage</t>
        </is>
      </c>
      <c r="B48" t="n">
        <v>0.5162630369453775</v>
      </c>
      <c r="C48" t="inlineStr">
        <is>
          <t>cutoff391</t>
        </is>
      </c>
      <c r="D48" t="inlineStr">
        <is>
          <t>GLO</t>
        </is>
      </c>
      <c r="E48" t="inlineStr">
        <is>
          <t>kilowatt hour</t>
        </is>
      </c>
      <c r="G48" t="inlineStr">
        <is>
          <t>technosphere</t>
        </is>
      </c>
      <c r="L48" s="55" t="inlineStr">
        <is>
          <t xml:space="preserve">&gt; Modifications (2025): used input from market group instead of separate countries (aggregated the amount to 1 value from 1 market). 
- changed location from RER to GLO
</t>
        </is>
      </c>
      <c r="O48" t="inlineStr">
        <is>
          <t>electricity, medium voltage</t>
        </is>
      </c>
    </row>
    <row r="49" ht="16" customHeight="1">
      <c r="A49" s="25" t="inlineStr">
        <is>
          <t>market group for natural gas, high pressure</t>
        </is>
      </c>
      <c r="B49" t="n">
        <v>0.007023523952625067</v>
      </c>
      <c r="C49" t="inlineStr">
        <is>
          <t>cutoff391</t>
        </is>
      </c>
      <c r="D49" t="inlineStr">
        <is>
          <t>GLO</t>
        </is>
      </c>
      <c r="E49" t="inlineStr">
        <is>
          <t>cubic meter</t>
        </is>
      </c>
      <c r="G49" t="inlineStr">
        <is>
          <t>technosphere</t>
        </is>
      </c>
      <c r="L49" s="55" t="inlineStr">
        <is>
          <t xml:space="preserve">&gt; Modifications (2025): used input from market group instead of separate countries (aggregated the amount to 1 value from 1 market). - changed location from RER to GLO
</t>
        </is>
      </c>
      <c r="O49" t="inlineStr">
        <is>
          <t>natural gas, high pressure</t>
        </is>
      </c>
    </row>
    <row r="50" ht="16" customHeight="1">
      <c r="A50" t="inlineStr">
        <is>
          <t>alloys production, for low-alloyed steel</t>
        </is>
      </c>
      <c r="B50" t="n">
        <v>1</v>
      </c>
      <c r="C50" t="inlineStr">
        <is>
          <t>steel_paper</t>
        </is>
      </c>
      <c r="D50" t="inlineStr">
        <is>
          <t>GLO</t>
        </is>
      </c>
      <c r="E50" t="inlineStr">
        <is>
          <t>kilogram</t>
        </is>
      </c>
      <c r="G50" t="inlineStr">
        <is>
          <t>technosphere</t>
        </is>
      </c>
      <c r="L50" s="25" t="inlineStr">
        <is>
          <t>&gt; Modifications (2025): added alloying elements to produce low-alloyed steel, assuming that these alloying elements are usually already contained in the scrap entering a scrap-EAF, which is not the case here, where low-alloyed steel is produced from virgin sponge iron</t>
        </is>
      </c>
      <c r="O50" t="inlineStr">
        <is>
          <t>alloys, for low-alloyed steel</t>
        </is>
      </c>
    </row>
    <row r="51"/>
    <row r="52" ht="16" customHeight="1">
      <c r="A52" s="50" t="inlineStr">
        <is>
          <t>Activity</t>
        </is>
      </c>
      <c r="B52" s="33" t="inlineStr">
        <is>
          <t>steel production, hydrogen-based direct reduction iron-electric arc furnace, unalloyed</t>
        </is>
      </c>
    </row>
    <row r="53" ht="16" customHeight="1">
      <c r="A53" t="inlineStr">
        <is>
          <t>comment</t>
        </is>
      </c>
      <c r="B53" s="55" t="inlineStr">
        <is>
          <t>This dataset, adapted by Harpprecht et al. (2025) from the original ecoinvent 3.8 cutoff dataset on “steel production, electric, low-alloyed” (region: Europe without Switzerland and Austria), models the production of unalloyed steel via hydrogen-based direct reduced iron (H₂-DRI) and electric arc furnace (EAF). The dataset replaces scrap with virgin sponge iron from H₂-DRI, scaling all inputs and outputs to 1 kg of steel using a factor of 0.9369, derived from Bhaskar et al. (2020). Technosphere inputs are regionally adapted to global (GLO/RoW), secondary metallurgy slag is removed, and primary slag flows are adjusted accordingly. Market group exchanges are used for electricity and natural gas. Alloying elements are modified to reflect unalloyed steel: FeSi is removed entirely, and FeMn is reduced from 0.009 to 0.006 kg, based on the unalloyed steel production process in ecoinvent 3.8 (“steel production, converter, unalloyed”, RER).
References
Bhaskar, A., Assadi, M., &amp; Somehsaraei, H. N. (2020). Decarbonization of the iron and steel industry with direct reduction of iron ore with green hydrogen. Energies, 13(3), 758. https://doi.org/10.3390/en13030758
ecoinvent version 3.8 cutoff system model (2021). ecoinvent Association, Zurich.
Harpprecht, C., et al. (2025).</t>
        </is>
      </c>
    </row>
    <row r="54" ht="15" customHeight="1">
      <c r="A54" s="22" t="inlineStr">
        <is>
          <t>source</t>
        </is>
      </c>
      <c r="B54" s="22" t="inlineStr">
        <is>
          <t>Harpprecht C., Sacchi R., Naegler T., et al. "Future environmental impacts of global iron and steel production". Energy Environ Sci. (2025). doi: 10.1039/D5EE01356A</t>
        </is>
      </c>
      <c r="C54" s="21" t="n"/>
      <c r="D54" s="21" t="n"/>
      <c r="E54" s="21" t="n"/>
      <c r="F54" s="21" t="n"/>
      <c r="G54" s="21" t="n"/>
      <c r="H54" s="21" t="n"/>
    </row>
    <row r="55" ht="16" customHeight="1">
      <c r="A55" t="inlineStr">
        <is>
          <t>location</t>
        </is>
      </c>
      <c r="B55" t="inlineStr">
        <is>
          <t>GLO</t>
        </is>
      </c>
    </row>
    <row r="56" ht="16" customHeight="1">
      <c r="A56" t="inlineStr">
        <is>
          <t>production amount</t>
        </is>
      </c>
      <c r="B56" t="n">
        <v>1</v>
      </c>
    </row>
    <row r="57" ht="16" customHeight="1">
      <c r="A57" t="inlineStr">
        <is>
          <t>reference product</t>
        </is>
      </c>
      <c r="B57" t="inlineStr">
        <is>
          <t>steel, unalloyed</t>
        </is>
      </c>
    </row>
    <row r="58" ht="16" customHeight="1">
      <c r="A58" t="inlineStr">
        <is>
          <t>unit</t>
        </is>
      </c>
      <c r="B58" t="inlineStr">
        <is>
          <t>kilogram</t>
        </is>
      </c>
    </row>
    <row r="59" ht="16" customHeight="1">
      <c r="A59" s="50" t="inlineStr">
        <is>
          <t>Exchanges</t>
        </is>
      </c>
    </row>
    <row r="60" ht="16" customHeight="1">
      <c r="A60" s="20" t="inlineStr">
        <is>
          <t>name</t>
        </is>
      </c>
      <c r="B60" s="20" t="inlineStr">
        <is>
          <t>amount</t>
        </is>
      </c>
      <c r="C60" s="20" t="inlineStr">
        <is>
          <t>database</t>
        </is>
      </c>
      <c r="D60" s="20" t="inlineStr">
        <is>
          <t>location</t>
        </is>
      </c>
      <c r="E60" s="20" t="inlineStr">
        <is>
          <t>unit</t>
        </is>
      </c>
      <c r="F60" s="20" t="inlineStr">
        <is>
          <t>categories</t>
        </is>
      </c>
      <c r="G60" s="20" t="inlineStr">
        <is>
          <t>type</t>
        </is>
      </c>
      <c r="H60" s="20" t="inlineStr">
        <is>
          <t>formula</t>
        </is>
      </c>
      <c r="I60" s="20" t="inlineStr">
        <is>
          <t>uncertainty type</t>
        </is>
      </c>
      <c r="J60" s="20" t="inlineStr">
        <is>
          <t>loc</t>
        </is>
      </c>
      <c r="K60" s="20" t="inlineStr">
        <is>
          <t>scale</t>
        </is>
      </c>
      <c r="L60" s="20" t="inlineStr">
        <is>
          <t>comment</t>
        </is>
      </c>
      <c r="M60" s="20" t="inlineStr">
        <is>
          <t>pedigree</t>
        </is>
      </c>
      <c r="N60" s="20" t="inlineStr">
        <is>
          <t>production volume</t>
        </is>
      </c>
      <c r="O60" s="20" t="inlineStr">
        <is>
          <t>reference product</t>
        </is>
      </c>
      <c r="P60" s="20" t="inlineStr">
        <is>
          <t>replacement name</t>
        </is>
      </c>
      <c r="Q60" s="20" t="inlineStr">
        <is>
          <t>replacement product</t>
        </is>
      </c>
      <c r="R60" s="20" t="inlineStr">
        <is>
          <t>replacement location</t>
        </is>
      </c>
      <c r="S60" s="20" t="inlineStr">
        <is>
          <t>negative</t>
        </is>
      </c>
    </row>
    <row r="61" ht="16" customHeight="1">
      <c r="A61" t="inlineStr">
        <is>
          <t>Benzene</t>
        </is>
      </c>
      <c r="B61" t="n">
        <v>0</v>
      </c>
      <c r="C61" t="inlineStr">
        <is>
          <t>biosphere3</t>
        </is>
      </c>
      <c r="E61" t="inlineStr">
        <is>
          <t>kilogram</t>
        </is>
      </c>
      <c r="F61" t="inlineStr">
        <is>
          <t>air</t>
        </is>
      </c>
      <c r="G61" t="inlineStr">
        <is>
          <t>biosphere</t>
        </is>
      </c>
      <c r="L61" t="inlineStr">
        <is>
          <t>geometric mean of Remus et al. (2013) data range</t>
        </is>
      </c>
      <c r="M61" t="inlineStr">
        <is>
          <t>2::3::2::5::1::1</t>
        </is>
      </c>
      <c r="N61" t="n">
        <v>0</v>
      </c>
      <c r="P61" t="inlineStr">
        <is>
          <t>steel production, electric, low-alloyed</t>
        </is>
      </c>
      <c r="Q61" t="inlineStr">
        <is>
          <t>steel, low-alloyed</t>
        </is>
      </c>
      <c r="R61" t="inlineStr">
        <is>
          <t>Europe without Switzerland and Austria</t>
        </is>
      </c>
    </row>
    <row r="62" ht="16" customHeight="1">
      <c r="A62" t="inlineStr">
        <is>
          <t>Benzene, hexachloro-</t>
        </is>
      </c>
      <c r="B62" t="n">
        <v>0</v>
      </c>
      <c r="C62" t="inlineStr">
        <is>
          <t>biosphere3</t>
        </is>
      </c>
      <c r="E62" t="inlineStr">
        <is>
          <t>kilogram</t>
        </is>
      </c>
      <c r="F62" t="inlineStr">
        <is>
          <t>air</t>
        </is>
      </c>
      <c r="G62" t="inlineStr">
        <is>
          <t>biosphere</t>
        </is>
      </c>
      <c r="L62" t="inlineStr">
        <is>
          <t>geometric mean of Remus et al. (2013) data range</t>
        </is>
      </c>
      <c r="M62" t="inlineStr">
        <is>
          <t>2::3::2::5::1::1</t>
        </is>
      </c>
      <c r="N62" t="n">
        <v>0</v>
      </c>
      <c r="P62" t="inlineStr">
        <is>
          <t>steel production, electric, low-alloyed</t>
        </is>
      </c>
      <c r="Q62" t="inlineStr">
        <is>
          <t>steel, low-alloyed</t>
        </is>
      </c>
      <c r="R62" t="inlineStr">
        <is>
          <t>Europe without Switzerland and Austria</t>
        </is>
      </c>
    </row>
    <row r="63" ht="16" customHeight="1">
      <c r="A63" t="inlineStr">
        <is>
          <t>Cadmium</t>
        </is>
      </c>
      <c r="B63" t="n">
        <v>0</v>
      </c>
      <c r="C63" t="inlineStr">
        <is>
          <t>biosphere3</t>
        </is>
      </c>
      <c r="E63" t="inlineStr">
        <is>
          <t>kilogram</t>
        </is>
      </c>
      <c r="F63" t="inlineStr">
        <is>
          <t>air</t>
        </is>
      </c>
      <c r="G63" t="inlineStr">
        <is>
          <t>biosphere</t>
        </is>
      </c>
      <c r="L63" t="inlineStr">
        <is>
          <t>geometric mean of Remus et al. (2013) data range</t>
        </is>
      </c>
      <c r="M63" t="inlineStr">
        <is>
          <t>2::3::2::5::1::1</t>
        </is>
      </c>
      <c r="N63" t="n">
        <v>0</v>
      </c>
      <c r="P63" t="inlineStr">
        <is>
          <t>steel production, electric, low-alloyed</t>
        </is>
      </c>
      <c r="Q63" t="inlineStr">
        <is>
          <t>steel, low-alloyed</t>
        </is>
      </c>
      <c r="R63" t="inlineStr">
        <is>
          <t>Europe without Switzerland and Austria</t>
        </is>
      </c>
    </row>
    <row r="64" ht="16" customHeight="1">
      <c r="A64" t="inlineStr">
        <is>
          <t>Carbon dioxide, fossil</t>
        </is>
      </c>
      <c r="B64" t="n">
        <v>0</v>
      </c>
      <c r="C64" t="inlineStr">
        <is>
          <t>biosphere3</t>
        </is>
      </c>
      <c r="E64" t="inlineStr">
        <is>
          <t>kilogram</t>
        </is>
      </c>
      <c r="F64" t="inlineStr">
        <is>
          <t>air</t>
        </is>
      </c>
      <c r="G64" t="inlineStr">
        <is>
          <t>biosphere</t>
        </is>
      </c>
      <c r="L64" t="inlineStr">
        <is>
          <t>Calculated Value. Carbon dioxide emission is calculated as the sum of carbon in hard coal and natural gas minus the emissions of carbon monoxide.</t>
        </is>
      </c>
      <c r="M64" t="inlineStr">
        <is>
          <t>5::5::5::5::5::1</t>
        </is>
      </c>
      <c r="N64" t="n">
        <v>0</v>
      </c>
      <c r="P64" t="inlineStr">
        <is>
          <t>steel production, electric, low-alloyed</t>
        </is>
      </c>
      <c r="Q64" t="inlineStr">
        <is>
          <t>steel, low-alloyed</t>
        </is>
      </c>
      <c r="R64" t="inlineStr">
        <is>
          <t>Europe without Switzerland and Austria</t>
        </is>
      </c>
    </row>
    <row r="65" ht="16" customHeight="1">
      <c r="A65" t="inlineStr">
        <is>
          <t>Carbon monoxide, fossil</t>
        </is>
      </c>
      <c r="B65" t="n">
        <v>0</v>
      </c>
      <c r="C65" t="inlineStr">
        <is>
          <t>biosphere3</t>
        </is>
      </c>
      <c r="E65" t="inlineStr">
        <is>
          <t>kilogram</t>
        </is>
      </c>
      <c r="F65" t="inlineStr">
        <is>
          <t>air</t>
        </is>
      </c>
      <c r="G65" t="inlineStr">
        <is>
          <t>biosphere</t>
        </is>
      </c>
      <c r="L65" t="inlineStr">
        <is>
          <t>geometric mean of Remus et al. (2013) data range</t>
        </is>
      </c>
      <c r="M65" t="inlineStr">
        <is>
          <t>2::3::2::5::1::1</t>
        </is>
      </c>
      <c r="N65" t="n">
        <v>0</v>
      </c>
      <c r="P65" t="inlineStr">
        <is>
          <t>steel production, electric, low-alloyed</t>
        </is>
      </c>
      <c r="Q65" t="inlineStr">
        <is>
          <t>steel, low-alloyed</t>
        </is>
      </c>
      <c r="R65" t="inlineStr">
        <is>
          <t>Europe without Switzerland and Austria</t>
        </is>
      </c>
    </row>
    <row r="66" ht="16" customHeight="1">
      <c r="A66" t="inlineStr">
        <is>
          <t>Chromium</t>
        </is>
      </c>
      <c r="B66" t="n">
        <v>0</v>
      </c>
      <c r="C66" t="inlineStr">
        <is>
          <t>biosphere3</t>
        </is>
      </c>
      <c r="E66" t="inlineStr">
        <is>
          <t>kilogram</t>
        </is>
      </c>
      <c r="F66" t="inlineStr">
        <is>
          <t>air</t>
        </is>
      </c>
      <c r="G66" t="inlineStr">
        <is>
          <t>biosphere</t>
        </is>
      </c>
      <c r="L66" t="inlineStr">
        <is>
          <t>geometric mean of Remus et al. (2013) data range</t>
        </is>
      </c>
      <c r="M66" t="inlineStr">
        <is>
          <t>2::3::2::5::1::1</t>
        </is>
      </c>
      <c r="N66" t="n">
        <v>0</v>
      </c>
      <c r="P66" t="inlineStr">
        <is>
          <t>steel production, electric, low-alloyed</t>
        </is>
      </c>
      <c r="Q66" t="inlineStr">
        <is>
          <t>steel, low-alloyed</t>
        </is>
      </c>
      <c r="R66" t="inlineStr">
        <is>
          <t>Europe without Switzerland and Austria</t>
        </is>
      </c>
    </row>
    <row r="67" ht="16" customHeight="1">
      <c r="A67" t="inlineStr">
        <is>
          <t>Copper ion</t>
        </is>
      </c>
      <c r="B67" t="n">
        <v>0</v>
      </c>
      <c r="C67" t="inlineStr">
        <is>
          <t>biosphere3</t>
        </is>
      </c>
      <c r="E67" t="inlineStr">
        <is>
          <t>kilogram</t>
        </is>
      </c>
      <c r="F67" t="inlineStr">
        <is>
          <t>air</t>
        </is>
      </c>
      <c r="G67" t="inlineStr">
        <is>
          <t>biosphere</t>
        </is>
      </c>
      <c r="L67" t="inlineStr">
        <is>
          <t>geometric mean of Remus et al. (2013) data range</t>
        </is>
      </c>
      <c r="M67" t="inlineStr">
        <is>
          <t>2::3::2::5::1::1</t>
        </is>
      </c>
      <c r="N67" t="n">
        <v>0</v>
      </c>
      <c r="P67" t="inlineStr">
        <is>
          <t>steel production, electric, low-alloyed</t>
        </is>
      </c>
      <c r="Q67" t="inlineStr">
        <is>
          <t>steel, low-alloyed</t>
        </is>
      </c>
      <c r="R67" t="inlineStr">
        <is>
          <t>Europe without Switzerland and Austria</t>
        </is>
      </c>
    </row>
    <row r="68" ht="16" customHeight="1">
      <c r="A68" t="inlineStr">
        <is>
          <t>Dioxins, measured as 2,3,7,8-tetrachlorodibenzo-p-dioxin</t>
        </is>
      </c>
      <c r="B68" t="n">
        <v>0</v>
      </c>
      <c r="C68" t="inlineStr">
        <is>
          <t>biosphere3</t>
        </is>
      </c>
      <c r="E68" t="inlineStr">
        <is>
          <t>kilogram</t>
        </is>
      </c>
      <c r="F68" t="inlineStr">
        <is>
          <t>air</t>
        </is>
      </c>
      <c r="G68" t="inlineStr">
        <is>
          <t>biosphere</t>
        </is>
      </c>
      <c r="L68" t="inlineStr">
        <is>
          <t>geometric mean of Remus et al. (2013) data range</t>
        </is>
      </c>
      <c r="M68" t="inlineStr">
        <is>
          <t>2::3::2::5::1::1</t>
        </is>
      </c>
      <c r="N68" t="n">
        <v>0</v>
      </c>
      <c r="P68" t="inlineStr">
        <is>
          <t>steel production, electric, low-alloyed</t>
        </is>
      </c>
      <c r="Q68" t="inlineStr">
        <is>
          <t>steel, low-alloyed</t>
        </is>
      </c>
      <c r="R68" t="inlineStr">
        <is>
          <t>Europe without Switzerland and Austria</t>
        </is>
      </c>
    </row>
    <row r="69" ht="16" customHeight="1">
      <c r="A69" t="inlineStr">
        <is>
          <t>Hydrocarbons, aromatic</t>
        </is>
      </c>
      <c r="B69" t="n">
        <v>0</v>
      </c>
      <c r="C69" t="inlineStr">
        <is>
          <t>biosphere3</t>
        </is>
      </c>
      <c r="E69" t="inlineStr">
        <is>
          <t>kilogram</t>
        </is>
      </c>
      <c r="F69" t="inlineStr">
        <is>
          <t>air</t>
        </is>
      </c>
      <c r="G69" t="inlineStr">
        <is>
          <t>biosphere</t>
        </is>
      </c>
      <c r="L69" t="inlineStr">
        <is>
          <t>Source: Classen et al. (2009)</t>
        </is>
      </c>
      <c r="M69" t="inlineStr">
        <is>
          <t>2::3::2::5::1::1</t>
        </is>
      </c>
      <c r="N69" t="n">
        <v>0</v>
      </c>
      <c r="P69" t="inlineStr">
        <is>
          <t>steel production, electric, low-alloyed</t>
        </is>
      </c>
      <c r="Q69" t="inlineStr">
        <is>
          <t>steel, low-alloyed</t>
        </is>
      </c>
      <c r="R69" t="inlineStr">
        <is>
          <t>Europe without Switzerland and Austria</t>
        </is>
      </c>
    </row>
    <row r="70" ht="16" customHeight="1">
      <c r="A70" t="inlineStr">
        <is>
          <t>Hydrogen chloride</t>
        </is>
      </c>
      <c r="B70" t="n">
        <v>0</v>
      </c>
      <c r="C70" t="inlineStr">
        <is>
          <t>biosphere3</t>
        </is>
      </c>
      <c r="E70" t="inlineStr">
        <is>
          <t>kilogram</t>
        </is>
      </c>
      <c r="F70" t="inlineStr">
        <is>
          <t>air</t>
        </is>
      </c>
      <c r="G70" t="inlineStr">
        <is>
          <t>biosphere</t>
        </is>
      </c>
      <c r="L70" t="inlineStr">
        <is>
          <t>geometric mean of Remus et al. (2013) data range</t>
        </is>
      </c>
      <c r="M70" t="inlineStr">
        <is>
          <t>2::3::2::5::1::1</t>
        </is>
      </c>
      <c r="N70" t="n">
        <v>0</v>
      </c>
      <c r="P70" t="inlineStr">
        <is>
          <t>steel production, electric, low-alloyed</t>
        </is>
      </c>
      <c r="Q70" t="inlineStr">
        <is>
          <t>steel, low-alloyed</t>
        </is>
      </c>
      <c r="R70" t="inlineStr">
        <is>
          <t>Europe without Switzerland and Austria</t>
        </is>
      </c>
    </row>
    <row r="71" ht="16" customHeight="1">
      <c r="A71" t="inlineStr">
        <is>
          <t>Hydrogen fluoride</t>
        </is>
      </c>
      <c r="B71" t="n">
        <v>0</v>
      </c>
      <c r="C71" t="inlineStr">
        <is>
          <t>biosphere3</t>
        </is>
      </c>
      <c r="E71" t="inlineStr">
        <is>
          <t>kilogram</t>
        </is>
      </c>
      <c r="F71" t="inlineStr">
        <is>
          <t>air</t>
        </is>
      </c>
      <c r="G71" t="inlineStr">
        <is>
          <t>biosphere</t>
        </is>
      </c>
      <c r="L71" t="inlineStr">
        <is>
          <t>geometric mean of Remus et al. (2013) data range</t>
        </is>
      </c>
      <c r="M71" t="inlineStr">
        <is>
          <t>2::3::2::5::1::1</t>
        </is>
      </c>
      <c r="N71" t="n">
        <v>0</v>
      </c>
      <c r="P71" t="inlineStr">
        <is>
          <t>steel production, electric, low-alloyed</t>
        </is>
      </c>
      <c r="Q71" t="inlineStr">
        <is>
          <t>steel, low-alloyed</t>
        </is>
      </c>
      <c r="R71" t="inlineStr">
        <is>
          <t>Europe without Switzerland and Austria</t>
        </is>
      </c>
    </row>
    <row r="72" ht="16" customHeight="1">
      <c r="A72" t="inlineStr">
        <is>
          <t>Lead</t>
        </is>
      </c>
      <c r="B72" t="n">
        <v>0</v>
      </c>
      <c r="C72" t="inlineStr">
        <is>
          <t>biosphere3</t>
        </is>
      </c>
      <c r="E72" t="inlineStr">
        <is>
          <t>kilogram</t>
        </is>
      </c>
      <c r="F72" t="inlineStr">
        <is>
          <t>air</t>
        </is>
      </c>
      <c r="G72" t="inlineStr">
        <is>
          <t>biosphere</t>
        </is>
      </c>
      <c r="L72" t="inlineStr">
        <is>
          <t>geometric mean of Remus et al. (2013) data range</t>
        </is>
      </c>
      <c r="M72" t="inlineStr">
        <is>
          <t>2::3::2::5::1::1</t>
        </is>
      </c>
      <c r="N72" t="n">
        <v>0</v>
      </c>
      <c r="P72" t="inlineStr">
        <is>
          <t>steel production, electric, low-alloyed</t>
        </is>
      </c>
      <c r="Q72" t="inlineStr">
        <is>
          <t>steel, low-alloyed</t>
        </is>
      </c>
      <c r="R72" t="inlineStr">
        <is>
          <t>Europe without Switzerland and Austria</t>
        </is>
      </c>
    </row>
    <row r="73" ht="16" customHeight="1">
      <c r="A73" t="inlineStr">
        <is>
          <t>Mercury</t>
        </is>
      </c>
      <c r="B73" t="n">
        <v>0</v>
      </c>
      <c r="C73" t="inlineStr">
        <is>
          <t>biosphere3</t>
        </is>
      </c>
      <c r="E73" t="inlineStr">
        <is>
          <t>kilogram</t>
        </is>
      </c>
      <c r="F73" t="inlineStr">
        <is>
          <t>air</t>
        </is>
      </c>
      <c r="G73" t="inlineStr">
        <is>
          <t>biosphere</t>
        </is>
      </c>
      <c r="L73" t="inlineStr">
        <is>
          <t>geometric mean of Remus et al. (2013) data range</t>
        </is>
      </c>
      <c r="M73" t="inlineStr">
        <is>
          <t>2::3::2::5::1::1</t>
        </is>
      </c>
      <c r="N73" t="n">
        <v>0</v>
      </c>
      <c r="P73" t="inlineStr">
        <is>
          <t>steel production, electric, low-alloyed</t>
        </is>
      </c>
      <c r="Q73" t="inlineStr">
        <is>
          <t>steel, low-alloyed</t>
        </is>
      </c>
      <c r="R73" t="inlineStr">
        <is>
          <t>Europe without Switzerland and Austria</t>
        </is>
      </c>
    </row>
    <row r="74" ht="16" customHeight="1">
      <c r="A74" t="inlineStr">
        <is>
          <t>Nickel</t>
        </is>
      </c>
      <c r="B74" t="n">
        <v>0</v>
      </c>
      <c r="C74" t="inlineStr">
        <is>
          <t>biosphere3</t>
        </is>
      </c>
      <c r="E74" t="inlineStr">
        <is>
          <t>kilogram</t>
        </is>
      </c>
      <c r="F74" t="inlineStr">
        <is>
          <t>air</t>
        </is>
      </c>
      <c r="G74" t="inlineStr">
        <is>
          <t>biosphere</t>
        </is>
      </c>
      <c r="L74" t="inlineStr">
        <is>
          <t>geometric mean of Remus et al. (2013) data range</t>
        </is>
      </c>
      <c r="M74" t="inlineStr">
        <is>
          <t>2::3::2::5::1::1</t>
        </is>
      </c>
      <c r="N74" t="n">
        <v>0</v>
      </c>
      <c r="P74" t="inlineStr">
        <is>
          <t>steel production, electric, low-alloyed</t>
        </is>
      </c>
      <c r="Q74" t="inlineStr">
        <is>
          <t>steel, low-alloyed</t>
        </is>
      </c>
      <c r="R74" t="inlineStr">
        <is>
          <t>Europe without Switzerland and Austria</t>
        </is>
      </c>
    </row>
    <row r="75" ht="16" customHeight="1">
      <c r="A75" t="inlineStr">
        <is>
          <t>Nitrogen oxides</t>
        </is>
      </c>
      <c r="B75" t="n">
        <v>0</v>
      </c>
      <c r="C75" t="inlineStr">
        <is>
          <t>biosphere3</t>
        </is>
      </c>
      <c r="E75" t="inlineStr">
        <is>
          <t>kilogram</t>
        </is>
      </c>
      <c r="F75" t="inlineStr">
        <is>
          <t>air</t>
        </is>
      </c>
      <c r="G75" t="inlineStr">
        <is>
          <t>biosphere</t>
        </is>
      </c>
      <c r="L75" t="inlineStr">
        <is>
          <t>geometric mean of Remus et al. (2013) data range</t>
        </is>
      </c>
      <c r="M75" t="inlineStr">
        <is>
          <t>2::3::2::5::1::1</t>
        </is>
      </c>
      <c r="N75" t="n">
        <v>0</v>
      </c>
      <c r="P75" t="inlineStr">
        <is>
          <t>steel production, electric, low-alloyed</t>
        </is>
      </c>
      <c r="Q75" t="inlineStr">
        <is>
          <t>steel, low-alloyed</t>
        </is>
      </c>
      <c r="R75" t="inlineStr">
        <is>
          <t>Europe without Switzerland and Austria</t>
        </is>
      </c>
    </row>
    <row r="76" ht="16" customHeight="1">
      <c r="A76" t="inlineStr">
        <is>
          <t>PAH, polycyclic aromatic hydrocarbons</t>
        </is>
      </c>
      <c r="B76" t="n">
        <v>0</v>
      </c>
      <c r="C76" t="inlineStr">
        <is>
          <t>biosphere3</t>
        </is>
      </c>
      <c r="E76" t="inlineStr">
        <is>
          <t>kilogram</t>
        </is>
      </c>
      <c r="F76" t="inlineStr">
        <is>
          <t>air</t>
        </is>
      </c>
      <c r="G76" t="inlineStr">
        <is>
          <t>biosphere</t>
        </is>
      </c>
      <c r="L76" t="inlineStr">
        <is>
          <t>geometric mean of Remus et al. (2013) data range</t>
        </is>
      </c>
      <c r="M76" t="inlineStr">
        <is>
          <t>2::3::2::5::1::1</t>
        </is>
      </c>
      <c r="N76" t="n">
        <v>0</v>
      </c>
      <c r="P76" t="inlineStr">
        <is>
          <t>steel production, electric, low-alloyed</t>
        </is>
      </c>
      <c r="Q76" t="inlineStr">
        <is>
          <t>steel, low-alloyed</t>
        </is>
      </c>
      <c r="R76" t="inlineStr">
        <is>
          <t>Europe without Switzerland and Austria</t>
        </is>
      </c>
    </row>
    <row r="77" ht="16" customHeight="1">
      <c r="A77" t="inlineStr">
        <is>
          <t>Particulates, &lt; 2.5 um</t>
        </is>
      </c>
      <c r="B77" t="n">
        <v>0</v>
      </c>
      <c r="C77" t="inlineStr">
        <is>
          <t>biosphere3</t>
        </is>
      </c>
      <c r="E77" t="inlineStr">
        <is>
          <t>kilogram</t>
        </is>
      </c>
      <c r="F77" t="inlineStr">
        <is>
          <t>air</t>
        </is>
      </c>
      <c r="G77" t="inlineStr">
        <is>
          <t>biosphere</t>
        </is>
      </c>
      <c r="L77" t="inlineStr">
        <is>
          <t>geometric mean of Remus et al. (2013) data range (assume 42.5% of total dust emissions [Classen et al. 2009])</t>
        </is>
      </c>
      <c r="M77" t="inlineStr">
        <is>
          <t>2::3::2::5::1::1</t>
        </is>
      </c>
      <c r="N77" t="n">
        <v>0</v>
      </c>
      <c r="P77" t="inlineStr">
        <is>
          <t>steel production, electric, low-alloyed</t>
        </is>
      </c>
      <c r="Q77" t="inlineStr">
        <is>
          <t>steel, low-alloyed</t>
        </is>
      </c>
      <c r="R77" t="inlineStr">
        <is>
          <t>Europe without Switzerland and Austria</t>
        </is>
      </c>
    </row>
    <row r="78" ht="16" customHeight="1">
      <c r="A78" t="inlineStr">
        <is>
          <t>Particulates, &gt; 10 um</t>
        </is>
      </c>
      <c r="B78" t="n">
        <v>0</v>
      </c>
      <c r="C78" t="inlineStr">
        <is>
          <t>biosphere3</t>
        </is>
      </c>
      <c r="E78" t="inlineStr">
        <is>
          <t>kilogram</t>
        </is>
      </c>
      <c r="F78" t="inlineStr">
        <is>
          <t>air</t>
        </is>
      </c>
      <c r="G78" t="inlineStr">
        <is>
          <t>biosphere</t>
        </is>
      </c>
      <c r="L78" t="inlineStr">
        <is>
          <t>geometric mean of Remus et al. (2013) data range (assume 15% of total dust emissions [Classen et al. 2009])</t>
        </is>
      </c>
      <c r="M78" t="inlineStr">
        <is>
          <t>2::3::2::5::1::1</t>
        </is>
      </c>
      <c r="N78" t="n">
        <v>0</v>
      </c>
      <c r="P78" t="inlineStr">
        <is>
          <t>steel production, electric, low-alloyed</t>
        </is>
      </c>
      <c r="Q78" t="inlineStr">
        <is>
          <t>steel, low-alloyed</t>
        </is>
      </c>
      <c r="R78" t="inlineStr">
        <is>
          <t>Europe without Switzerland and Austria</t>
        </is>
      </c>
    </row>
    <row r="79" ht="16" customHeight="1">
      <c r="A79" t="inlineStr">
        <is>
          <t>Particulates, &gt; 2.5 um, and &lt; 10um</t>
        </is>
      </c>
      <c r="B79" t="n">
        <v>0</v>
      </c>
      <c r="C79" t="inlineStr">
        <is>
          <t>biosphere3</t>
        </is>
      </c>
      <c r="E79" t="inlineStr">
        <is>
          <t>kilogram</t>
        </is>
      </c>
      <c r="F79" t="inlineStr">
        <is>
          <t>air</t>
        </is>
      </c>
      <c r="G79" t="inlineStr">
        <is>
          <t>biosphere</t>
        </is>
      </c>
      <c r="L79" t="inlineStr">
        <is>
          <t>geometric mean of Remus et al. (2013) data range (assume 42.5% of total dust emissions [Classen et al. 2009])</t>
        </is>
      </c>
      <c r="M79" t="inlineStr">
        <is>
          <t>2::3::2::5::1::1</t>
        </is>
      </c>
      <c r="N79" t="n">
        <v>0</v>
      </c>
      <c r="P79" t="inlineStr">
        <is>
          <t>steel production, electric, low-alloyed</t>
        </is>
      </c>
      <c r="Q79" t="inlineStr">
        <is>
          <t>steel, low-alloyed</t>
        </is>
      </c>
      <c r="R79" t="inlineStr">
        <is>
          <t>Europe without Switzerland and Austria</t>
        </is>
      </c>
    </row>
    <row r="80" ht="16" customHeight="1">
      <c r="A80" t="inlineStr">
        <is>
          <t>Polychlorinated biphenyls</t>
        </is>
      </c>
      <c r="B80" t="n">
        <v>0</v>
      </c>
      <c r="C80" t="inlineStr">
        <is>
          <t>biosphere3</t>
        </is>
      </c>
      <c r="E80" t="inlineStr">
        <is>
          <t>kilogram</t>
        </is>
      </c>
      <c r="F80" t="inlineStr">
        <is>
          <t>air</t>
        </is>
      </c>
      <c r="G80" t="inlineStr">
        <is>
          <t>biosphere</t>
        </is>
      </c>
      <c r="L80" t="inlineStr">
        <is>
          <t>geometric mean of Remus et al. (2013) data range</t>
        </is>
      </c>
      <c r="M80" t="inlineStr">
        <is>
          <t>2::3::2::5::1::1</t>
        </is>
      </c>
      <c r="N80" t="n">
        <v>0</v>
      </c>
      <c r="P80" t="inlineStr">
        <is>
          <t>steel production, electric, low-alloyed</t>
        </is>
      </c>
      <c r="Q80" t="inlineStr">
        <is>
          <t>steel, low-alloyed</t>
        </is>
      </c>
      <c r="R80" t="inlineStr">
        <is>
          <t>Europe without Switzerland and Austria</t>
        </is>
      </c>
    </row>
    <row r="81" ht="16" customHeight="1">
      <c r="A81" t="inlineStr">
        <is>
          <t>Sulfur dioxide</t>
        </is>
      </c>
      <c r="B81" t="n">
        <v>0</v>
      </c>
      <c r="C81" t="inlineStr">
        <is>
          <t>biosphere3</t>
        </is>
      </c>
      <c r="E81" t="inlineStr">
        <is>
          <t>kilogram</t>
        </is>
      </c>
      <c r="F81" t="inlineStr">
        <is>
          <t>air</t>
        </is>
      </c>
      <c r="G81" t="inlineStr">
        <is>
          <t>biosphere</t>
        </is>
      </c>
      <c r="L81" t="inlineStr">
        <is>
          <t>geometric mean of Remus et al. (2013) data range</t>
        </is>
      </c>
      <c r="M81" t="inlineStr">
        <is>
          <t>2::3::2::5::1::1</t>
        </is>
      </c>
      <c r="N81" t="n">
        <v>0</v>
      </c>
      <c r="P81" t="inlineStr">
        <is>
          <t>steel production, electric, low-alloyed</t>
        </is>
      </c>
      <c r="Q81" t="inlineStr">
        <is>
          <t>steel, low-alloyed</t>
        </is>
      </c>
      <c r="R81" t="inlineStr">
        <is>
          <t>Europe without Switzerland and Austria</t>
        </is>
      </c>
    </row>
    <row r="82" ht="16" customHeight="1">
      <c r="A82" t="inlineStr">
        <is>
          <t>Water</t>
        </is>
      </c>
      <c r="B82" t="n">
        <v>0</v>
      </c>
      <c r="C82" t="inlineStr">
        <is>
          <t>biosphere3</t>
        </is>
      </c>
      <c r="E82" t="inlineStr">
        <is>
          <t>cubic meter</t>
        </is>
      </c>
      <c r="F82" t="inlineStr">
        <is>
          <t>air</t>
        </is>
      </c>
      <c r="G82" t="inlineStr">
        <is>
          <t>biosphere</t>
        </is>
      </c>
      <c r="L82" t="inlineStr">
        <is>
          <t>Source: Classen et al. (2009)</t>
        </is>
      </c>
      <c r="M82" t="inlineStr">
        <is>
          <t>2::2::1::5::1::1</t>
        </is>
      </c>
      <c r="N82" t="n">
        <v>0</v>
      </c>
      <c r="P82" t="inlineStr">
        <is>
          <t>steel production, electric, low-alloyed</t>
        </is>
      </c>
      <c r="Q82" t="inlineStr">
        <is>
          <t>steel, low-alloyed</t>
        </is>
      </c>
      <c r="R82" t="inlineStr">
        <is>
          <t>Europe without Switzerland and Austria</t>
        </is>
      </c>
    </row>
    <row r="83" ht="16" customHeight="1">
      <c r="A83" t="inlineStr">
        <is>
          <t>Water</t>
        </is>
      </c>
      <c r="B83" t="n">
        <v>0</v>
      </c>
      <c r="C83" t="inlineStr">
        <is>
          <t>biosphere3</t>
        </is>
      </c>
      <c r="E83" t="inlineStr">
        <is>
          <t>cubic meter</t>
        </is>
      </c>
      <c r="F83" t="inlineStr">
        <is>
          <t>water</t>
        </is>
      </c>
      <c r="G83" t="inlineStr">
        <is>
          <t>biosphere</t>
        </is>
      </c>
      <c r="L83" t="inlineStr">
        <is>
          <t>Source: Classen et al. (2009)</t>
        </is>
      </c>
      <c r="M83" t="inlineStr">
        <is>
          <t>2::2::1::5::1::1</t>
        </is>
      </c>
      <c r="N83" t="n">
        <v>0</v>
      </c>
      <c r="P83" t="inlineStr">
        <is>
          <t>steel production, electric, low-alloyed</t>
        </is>
      </c>
      <c r="Q83" t="inlineStr">
        <is>
          <t>steel, low-alloyed</t>
        </is>
      </c>
      <c r="R83" t="inlineStr">
        <is>
          <t>Europe without Switzerland and Austria</t>
        </is>
      </c>
    </row>
    <row r="84" ht="16" customHeight="1">
      <c r="A84" t="inlineStr">
        <is>
          <t>Water, cooling, unspecified natural origin</t>
        </is>
      </c>
      <c r="B84" t="n">
        <v>0</v>
      </c>
      <c r="C84" t="inlineStr">
        <is>
          <t>biosphere3</t>
        </is>
      </c>
      <c r="E84" t="inlineStr">
        <is>
          <t>cubic meter</t>
        </is>
      </c>
      <c r="F84" t="inlineStr">
        <is>
          <t>natural resource::in water</t>
        </is>
      </c>
      <c r="G84" t="inlineStr">
        <is>
          <t>biosphere</t>
        </is>
      </c>
      <c r="L84" t="inlineStr">
        <is>
          <t>geometric mean of Remus et al. (2013) data range</t>
        </is>
      </c>
      <c r="M84" t="inlineStr">
        <is>
          <t>2::3::3::5::1::1</t>
        </is>
      </c>
      <c r="N84" t="n">
        <v>0</v>
      </c>
      <c r="P84" t="inlineStr">
        <is>
          <t>steel production, electric, low-alloyed</t>
        </is>
      </c>
      <c r="Q84" t="inlineStr">
        <is>
          <t>steel, low-alloyed</t>
        </is>
      </c>
      <c r="R84" t="inlineStr">
        <is>
          <t>Europe without Switzerland and Austria</t>
        </is>
      </c>
    </row>
    <row r="85" ht="16" customHeight="1">
      <c r="A85" t="inlineStr">
        <is>
          <t>Zinc</t>
        </is>
      </c>
      <c r="B85" t="n">
        <v>0</v>
      </c>
      <c r="C85" t="inlineStr">
        <is>
          <t>biosphere3</t>
        </is>
      </c>
      <c r="E85" t="inlineStr">
        <is>
          <t>kilogram</t>
        </is>
      </c>
      <c r="F85" t="inlineStr">
        <is>
          <t>air</t>
        </is>
      </c>
      <c r="G85" t="inlineStr">
        <is>
          <t>biosphere</t>
        </is>
      </c>
      <c r="L85" t="inlineStr">
        <is>
          <t>geometric mean of Remus et al. (2013) data range</t>
        </is>
      </c>
      <c r="M85" t="inlineStr">
        <is>
          <t>2::3::2::5::1::1</t>
        </is>
      </c>
      <c r="N85" t="n">
        <v>0</v>
      </c>
      <c r="P85" t="inlineStr">
        <is>
          <t>steel production, electric, low-alloyed</t>
        </is>
      </c>
      <c r="Q85" t="inlineStr">
        <is>
          <t>steel, low-alloyed</t>
        </is>
      </c>
      <c r="R85" t="inlineStr">
        <is>
          <t>Europe without Switzerland and Austria</t>
        </is>
      </c>
    </row>
    <row r="86" ht="16" customHeight="1">
      <c r="A86" t="inlineStr">
        <is>
          <t>steel production, hydrogen-based direct reduction iron-electric arc furnace, unalloyed</t>
        </is>
      </c>
      <c r="B86" t="n">
        <v>1</v>
      </c>
      <c r="C86" s="22" t="inlineStr">
        <is>
          <t>steel_paper</t>
        </is>
      </c>
      <c r="D86" t="inlineStr">
        <is>
          <t>GLO</t>
        </is>
      </c>
      <c r="E86" t="inlineStr">
        <is>
          <t>kilogram</t>
        </is>
      </c>
      <c r="G86" t="inlineStr">
        <is>
          <t>production</t>
        </is>
      </c>
      <c r="I86" t="n">
        <v>0</v>
      </c>
      <c r="J86" t="n">
        <v>1</v>
      </c>
      <c r="L86" t="inlineStr">
        <is>
          <t>&gt; Modifications (2025): changed location from RER to GLO</t>
        </is>
      </c>
      <c r="N86" t="n">
        <v>11181008749.41</v>
      </c>
      <c r="O86" t="inlineStr">
        <is>
          <t>steel, unalloyed</t>
        </is>
      </c>
    </row>
    <row r="87" ht="16" customHeight="1">
      <c r="A87" s="24" t="inlineStr">
        <is>
          <t xml:space="preserve">pig iron production, hydrogen-based direct reduction iron </t>
        </is>
      </c>
      <c r="B87" t="n">
        <v>1.061992490719463</v>
      </c>
      <c r="C87" s="22" t="inlineStr">
        <is>
          <t>steel_paper</t>
        </is>
      </c>
      <c r="D87" t="inlineStr">
        <is>
          <t>GLO</t>
        </is>
      </c>
      <c r="E87" t="inlineStr">
        <is>
          <t>kilogram</t>
        </is>
      </c>
      <c r="G87" t="inlineStr">
        <is>
          <t>technosphere</t>
        </is>
      </c>
      <c r="L87" s="56" t="inlineStr">
        <is>
          <t>&gt; Modifications (2025): input of sponge iron of 1.06, instead of scrap
&gt; original was: instead of 1.13 of scrap</t>
        </is>
      </c>
      <c r="O87" s="22" t="inlineStr">
        <is>
          <t>pig iron</t>
        </is>
      </c>
    </row>
    <row r="88" ht="16" customHeight="1">
      <c r="A88" t="inlineStr">
        <is>
          <t>market for anode, for metal electrolysis</t>
        </is>
      </c>
      <c r="B88" t="n">
        <v>0</v>
      </c>
      <c r="C88" t="inlineStr">
        <is>
          <t>cutoff391</t>
        </is>
      </c>
      <c r="D88" t="inlineStr">
        <is>
          <t>GLO</t>
        </is>
      </c>
      <c r="E88" t="inlineStr">
        <is>
          <t>kilogram</t>
        </is>
      </c>
      <c r="G88" t="inlineStr">
        <is>
          <t>technosphere</t>
        </is>
      </c>
      <c r="L88" t="inlineStr">
        <is>
          <t>geometric mean of Remus et al. (2013) data range</t>
        </is>
      </c>
      <c r="M88" t="inlineStr">
        <is>
          <t>2::3::2::5::1::1</t>
        </is>
      </c>
      <c r="N88" t="n">
        <v>0</v>
      </c>
      <c r="O88" t="inlineStr">
        <is>
          <t>anode, for metal electrolysis</t>
        </is>
      </c>
      <c r="P88" t="inlineStr">
        <is>
          <t>steel production, electric, low-alloyed</t>
        </is>
      </c>
      <c r="Q88" t="inlineStr">
        <is>
          <t>steel, low-alloyed</t>
        </is>
      </c>
      <c r="R88" t="inlineStr">
        <is>
          <t>Europe without Switzerland and Austria</t>
        </is>
      </c>
    </row>
    <row r="89" ht="16" customHeight="1">
      <c r="A89" t="inlineStr">
        <is>
          <t>market for argon, liquid</t>
        </is>
      </c>
      <c r="B89" t="n">
        <v>0</v>
      </c>
      <c r="C89" t="inlineStr">
        <is>
          <t>cutoff391</t>
        </is>
      </c>
      <c r="D89" t="inlineStr">
        <is>
          <t>RER</t>
        </is>
      </c>
      <c r="E89" t="inlineStr">
        <is>
          <t>kilogram</t>
        </is>
      </c>
      <c r="G89" t="inlineStr">
        <is>
          <t>technosphere</t>
        </is>
      </c>
      <c r="L89" s="57" t="inlineStr">
        <is>
          <t>&gt; Modifications (2025): changed location from RER to RoW.
&lt;Original ecoinvent 3.8 comment: &gt; geometric mean of Remus et al. (2013) data range (m3:kg conversion based on: http://www.airproducts.com/Products/Gases/gas-facts/conversion-formulas/weight-and-volume-equivalents/argon.aspx)</t>
        </is>
      </c>
      <c r="M89" t="inlineStr">
        <is>
          <t>2::4::1::4::2::1</t>
        </is>
      </c>
      <c r="N89" t="n">
        <v>0</v>
      </c>
      <c r="O89" t="inlineStr">
        <is>
          <t>argon, liquid</t>
        </is>
      </c>
      <c r="P89" t="inlineStr">
        <is>
          <t>steel production, electric, low-alloyed</t>
        </is>
      </c>
      <c r="Q89" t="inlineStr">
        <is>
          <t>steel, low-alloyed</t>
        </is>
      </c>
      <c r="R89" t="inlineStr">
        <is>
          <t>Europe without Switzerland and Austria</t>
        </is>
      </c>
    </row>
    <row r="90" ht="16" customHeight="1">
      <c r="A90" t="inlineStr">
        <is>
          <t>market for electric arc furnace converter</t>
        </is>
      </c>
      <c r="B90" t="n">
        <v>0</v>
      </c>
      <c r="C90" t="inlineStr">
        <is>
          <t>cutoff391</t>
        </is>
      </c>
      <c r="D90" t="inlineStr">
        <is>
          <t>GLO</t>
        </is>
      </c>
      <c r="E90" t="inlineStr">
        <is>
          <t>unit</t>
        </is>
      </c>
      <c r="G90" t="inlineStr">
        <is>
          <t>technosphere</t>
        </is>
      </c>
      <c r="L90" t="inlineStr">
        <is>
          <t>Source: Classen et al. (2009)</t>
        </is>
      </c>
      <c r="M90" t="inlineStr">
        <is>
          <t>5::5::5::5::5::1</t>
        </is>
      </c>
      <c r="N90" t="n">
        <v>0</v>
      </c>
      <c r="O90" t="inlineStr">
        <is>
          <t>electric arc furnace converter</t>
        </is>
      </c>
      <c r="P90" t="inlineStr">
        <is>
          <t>steel production, electric, low-alloyed</t>
        </is>
      </c>
      <c r="Q90" t="inlineStr">
        <is>
          <t>steel, low-alloyed</t>
        </is>
      </c>
      <c r="R90" t="inlineStr">
        <is>
          <t>Europe without Switzerland and Austria</t>
        </is>
      </c>
    </row>
    <row r="91" ht="16" customHeight="1">
      <c r="A91" t="inlineStr">
        <is>
          <t>market for electric arc furnace dust</t>
        </is>
      </c>
      <c r="B91" t="n">
        <v>0</v>
      </c>
      <c r="C91" t="inlineStr">
        <is>
          <t>cutoff391</t>
        </is>
      </c>
      <c r="D91" s="21" t="inlineStr">
        <is>
          <t>RER</t>
        </is>
      </c>
      <c r="E91" t="inlineStr">
        <is>
          <t>kilogram</t>
        </is>
      </c>
      <c r="G91" t="inlineStr">
        <is>
          <t>technosphere</t>
        </is>
      </c>
      <c r="L91" s="57" t="inlineStr">
        <is>
          <t>&gt; Modifications (2025): changed location from RER to RoW.
&lt;Original ecoinvent 3.8 comment: &gt;
Amount reported by worldsteel (2010) and is representative of the average global situation in 2009. Also based on worldsteel (2010), an internal recovery (recycling) rate of 10% is assumed. Source: Worldsteel (2010). Steel industry by-products. World Steel Association: Brussels, Belgium.</t>
        </is>
      </c>
      <c r="M91" t="inlineStr">
        <is>
          <t>2::3::3::2::2::1</t>
        </is>
      </c>
      <c r="N91" t="n">
        <v>213863626.753465</v>
      </c>
      <c r="O91" t="inlineStr">
        <is>
          <t>electric arc furnace dust</t>
        </is>
      </c>
      <c r="P91" t="inlineStr">
        <is>
          <t>steel production, electric, low-alloyed</t>
        </is>
      </c>
      <c r="Q91" t="inlineStr">
        <is>
          <t>steel, low-alloyed</t>
        </is>
      </c>
      <c r="R91" t="inlineStr">
        <is>
          <t>Europe without Switzerland and Austria</t>
        </is>
      </c>
    </row>
    <row r="92" ht="16" customHeight="1">
      <c r="A92" s="25" t="inlineStr">
        <is>
          <t>market for electric arc furnace slag</t>
        </is>
      </c>
      <c r="B92" t="n">
        <v>-0.1549821636910023</v>
      </c>
      <c r="C92" t="inlineStr">
        <is>
          <t>cutoff391</t>
        </is>
      </c>
      <c r="D92" s="21" t="inlineStr">
        <is>
          <t>RER</t>
        </is>
      </c>
      <c r="E92" t="inlineStr">
        <is>
          <t>kilogram</t>
        </is>
      </c>
      <c r="G92" t="inlineStr">
        <is>
          <t>technosphere</t>
        </is>
      </c>
      <c r="I92" t="n">
        <v>2</v>
      </c>
      <c r="J92" t="n">
        <v>-1.925066886936832</v>
      </c>
      <c r="K92" t="n">
        <v>0.06652067347825036</v>
      </c>
      <c r="L92" s="55" t="inlineStr">
        <is>
          <t>&gt; Modifications (2025): Increased value of:  electric arc furnace slag 	market for electric arc furnace slag	RER	ecoinvent38_cutoff	to  -0.165106 kg (sum of all slag types in ecoinvent 3.8). Changed location from RER to RoW.
&lt;Original ecoinvent 3.8 comment: &gt;
Amount reported by worldsteel (2010) and is representative of the average global situation in 2009. Also based on worldsteel (2010), an internal recovery (recycling) rate of 3% is assumed. Source: Worldsteel (2010). Steel industry by-products. World Steel Association: Brussels, Belgium.</t>
        </is>
      </c>
      <c r="M92" t="inlineStr">
        <is>
          <t>2::3::3::2::2::1</t>
        </is>
      </c>
      <c r="N92" t="n">
        <v>1630929022.24144</v>
      </c>
      <c r="O92" t="inlineStr">
        <is>
          <t>electric arc furnace slag</t>
        </is>
      </c>
      <c r="S92" t="b">
        <v>1</v>
      </c>
    </row>
    <row r="93" ht="16" customHeight="1">
      <c r="A93" t="inlineStr">
        <is>
          <t>market for ferromanganese, high-coal, 74.5% Mn</t>
        </is>
      </c>
      <c r="B93" t="n">
        <v>0.006</v>
      </c>
      <c r="C93" t="inlineStr">
        <is>
          <t>cutoff391</t>
        </is>
      </c>
      <c r="D93" t="inlineStr">
        <is>
          <t>GLO</t>
        </is>
      </c>
      <c r="E93" t="inlineStr">
        <is>
          <t>kilogram</t>
        </is>
      </c>
      <c r="G93" t="inlineStr">
        <is>
          <t>technosphere</t>
        </is>
      </c>
      <c r="L93" s="57" t="inlineStr">
        <is>
          <t>&gt; Modifications (2025): changed amount to the one of FeMn in ecoinvent for steel production, converter, unalloyed, RER
&gt; original was: 0.00967289199222203
&lt;Original ecoinvent 3.8 comment: &gt; Value taken from regional dataset for Switzerland, which was used as a proxy.</t>
        </is>
      </c>
      <c r="M93" t="inlineStr">
        <is>
          <t>2::2::1::1::1::1</t>
        </is>
      </c>
      <c r="N93" t="n">
        <v>0</v>
      </c>
      <c r="O93" t="inlineStr">
        <is>
          <t>ferromanganese, high-coal, 74.5% Mn</t>
        </is>
      </c>
    </row>
    <row r="94" ht="16" customHeight="1">
      <c r="A94" t="inlineStr">
        <is>
          <t>market for hard coal</t>
        </is>
      </c>
      <c r="B94" t="n">
        <v>0</v>
      </c>
      <c r="C94" t="inlineStr">
        <is>
          <t>cutoff391</t>
        </is>
      </c>
      <c r="D94" t="inlineStr">
        <is>
          <t>RoW</t>
        </is>
      </c>
      <c r="E94" t="inlineStr">
        <is>
          <t>kilogram</t>
        </is>
      </c>
      <c r="G94" t="inlineStr">
        <is>
          <t>technosphere</t>
        </is>
      </c>
      <c r="L94" t="inlineStr">
        <is>
          <t>geometric mean of Remus et al. (2013) data range</t>
        </is>
      </c>
      <c r="M94" t="inlineStr">
        <is>
          <t>2::3::2::5::1::1</t>
        </is>
      </c>
      <c r="N94" t="n">
        <v>0</v>
      </c>
      <c r="O94" t="inlineStr">
        <is>
          <t>hard coal</t>
        </is>
      </c>
      <c r="P94" t="inlineStr">
        <is>
          <t>steel production, electric, low-alloyed</t>
        </is>
      </c>
      <c r="Q94" t="inlineStr">
        <is>
          <t>steel, low-alloyed</t>
        </is>
      </c>
      <c r="R94" t="inlineStr">
        <is>
          <t>Europe without Switzerland and Austria</t>
        </is>
      </c>
    </row>
    <row r="95" ht="16" customHeight="1">
      <c r="A95" t="inlineStr">
        <is>
          <t>market for inert waste, for final disposal</t>
        </is>
      </c>
      <c r="B95" t="n">
        <v>0</v>
      </c>
      <c r="C95" t="inlineStr">
        <is>
          <t>cutoff391</t>
        </is>
      </c>
      <c r="D95" t="inlineStr">
        <is>
          <t>RoW</t>
        </is>
      </c>
      <c r="E95" t="inlineStr">
        <is>
          <t>kilogram</t>
        </is>
      </c>
      <c r="G95" t="inlineStr">
        <is>
          <t>technosphere</t>
        </is>
      </c>
      <c r="L95" t="inlineStr">
        <is>
          <t>Represents used refractories, etc.</t>
        </is>
      </c>
      <c r="M95" t="inlineStr">
        <is>
          <t>2::3::3::2::2::1</t>
        </is>
      </c>
      <c r="N95" t="n">
        <v>75833291.07138591</v>
      </c>
      <c r="O95" t="inlineStr">
        <is>
          <t>inert waste, for final disposal</t>
        </is>
      </c>
      <c r="P95" t="inlineStr">
        <is>
          <t>steel production, electric, low-alloyed</t>
        </is>
      </c>
      <c r="Q95" t="inlineStr">
        <is>
          <t>steel, low-alloyed</t>
        </is>
      </c>
      <c r="R95" t="inlineStr">
        <is>
          <t>Europe without Switzerland and Austria</t>
        </is>
      </c>
    </row>
    <row r="96" ht="16" customHeight="1">
      <c r="A96" t="inlineStr">
        <is>
          <t>market for nitrogen, liquid</t>
        </is>
      </c>
      <c r="B96" t="n">
        <v>0</v>
      </c>
      <c r="C96" t="inlineStr">
        <is>
          <t>cutoff391</t>
        </is>
      </c>
      <c r="D96" t="inlineStr">
        <is>
          <t>RoW</t>
        </is>
      </c>
      <c r="E96" t="inlineStr">
        <is>
          <t>kilogram</t>
        </is>
      </c>
      <c r="G96" t="inlineStr">
        <is>
          <t>technosphere</t>
        </is>
      </c>
      <c r="L96" s="57" t="inlineStr">
        <is>
          <t>&gt; Modifications (2025): changed location from RER to RoW.
&lt;Original ecoinvent 3.8 comment: &gt; geometric mean of Remus et al. (2013) data range (m3:kg conversion based on: http://www.airproducts.com/Products/Gases/gas-facts/conversion-formulas/weight-and-volume-equivalents/nitrogen.aspx)</t>
        </is>
      </c>
      <c r="M96" t="inlineStr">
        <is>
          <t>2::3::5::5::3::1</t>
        </is>
      </c>
      <c r="N96" t="n">
        <v>0</v>
      </c>
      <c r="O96" t="inlineStr">
        <is>
          <t>nitrogen, liquid</t>
        </is>
      </c>
      <c r="P96" t="inlineStr">
        <is>
          <t>steel production, electric, low-alloyed</t>
        </is>
      </c>
      <c r="Q96" t="inlineStr">
        <is>
          <t>steel, low-alloyed</t>
        </is>
      </c>
      <c r="R96" t="inlineStr">
        <is>
          <t>Europe without Switzerland and Austria</t>
        </is>
      </c>
    </row>
    <row r="97" ht="16" customHeight="1">
      <c r="A97" t="inlineStr">
        <is>
          <t>market for oxygen, liquid</t>
        </is>
      </c>
      <c r="B97" t="n">
        <v>0</v>
      </c>
      <c r="C97" t="inlineStr">
        <is>
          <t>cutoff391</t>
        </is>
      </c>
      <c r="D97" t="inlineStr">
        <is>
          <t>RoW</t>
        </is>
      </c>
      <c r="E97" t="inlineStr">
        <is>
          <t>kilogram</t>
        </is>
      </c>
      <c r="G97" t="inlineStr">
        <is>
          <t>technosphere</t>
        </is>
      </c>
      <c r="L97" s="57" t="inlineStr">
        <is>
          <t>&gt; Modifications (2025): changed location from RER to RoW.
&lt;Original ecoinvent 3.8 comment: &gt; geometric mean of Remus et al. (2013) data range (m3:kg conversion based on: http://www.airproducts.com/Products/Gases/gas-facts/conversion-formulas/weight-and-volume-equivalents/oxygen.aspx)</t>
        </is>
      </c>
      <c r="M97" t="inlineStr">
        <is>
          <t>2::3::2::5::1::1</t>
        </is>
      </c>
      <c r="N97" t="n">
        <v>0</v>
      </c>
      <c r="O97" t="inlineStr">
        <is>
          <t>oxygen, liquid</t>
        </is>
      </c>
      <c r="P97" t="inlineStr">
        <is>
          <t>steel production, electric, low-alloyed</t>
        </is>
      </c>
      <c r="Q97" t="inlineStr">
        <is>
          <t>steel, low-alloyed</t>
        </is>
      </c>
      <c r="R97" t="inlineStr">
        <is>
          <t>Europe without Switzerland and Austria</t>
        </is>
      </c>
    </row>
    <row r="98" ht="16" customHeight="1">
      <c r="A98" t="inlineStr">
        <is>
          <t>market for quicklime, in pieces, loose</t>
        </is>
      </c>
      <c r="B98" t="n">
        <v>0</v>
      </c>
      <c r="C98" t="inlineStr">
        <is>
          <t>cutoff391</t>
        </is>
      </c>
      <c r="D98" t="inlineStr">
        <is>
          <t>RoW</t>
        </is>
      </c>
      <c r="E98" t="inlineStr">
        <is>
          <t>kilogram</t>
        </is>
      </c>
      <c r="G98" t="inlineStr">
        <is>
          <t>technosphere</t>
        </is>
      </c>
      <c r="L98" t="inlineStr">
        <is>
          <t>geometric mean of Remus et al. (2013) data range</t>
        </is>
      </c>
      <c r="M98" t="inlineStr">
        <is>
          <t>2::3::2::5::1::1</t>
        </is>
      </c>
      <c r="N98" t="n">
        <v>0</v>
      </c>
      <c r="O98" t="inlineStr">
        <is>
          <t>quicklime, in pieces, loose</t>
        </is>
      </c>
      <c r="P98" t="inlineStr">
        <is>
          <t>steel production, electric, low-alloyed</t>
        </is>
      </c>
      <c r="Q98" t="inlineStr">
        <is>
          <t>steel, low-alloyed</t>
        </is>
      </c>
      <c r="R98" t="inlineStr">
        <is>
          <t>Europe without Switzerland and Austria</t>
        </is>
      </c>
    </row>
    <row r="99" ht="16" customHeight="1">
      <c r="A99" t="inlineStr">
        <is>
          <t>market for refractory, basic, packed</t>
        </is>
      </c>
      <c r="B99" t="n">
        <v>0</v>
      </c>
      <c r="C99" t="inlineStr">
        <is>
          <t>cutoff391</t>
        </is>
      </c>
      <c r="D99" t="inlineStr">
        <is>
          <t>GLO</t>
        </is>
      </c>
      <c r="E99" t="inlineStr">
        <is>
          <t>kilogram</t>
        </is>
      </c>
      <c r="G99" t="inlineStr">
        <is>
          <t>technosphere</t>
        </is>
      </c>
      <c r="L99" t="inlineStr">
        <is>
          <t>geometric mean of Remus et al. (2013) data range</t>
        </is>
      </c>
      <c r="M99" t="inlineStr">
        <is>
          <t>2::3::2::5::1::1</t>
        </is>
      </c>
      <c r="N99" t="n">
        <v>0</v>
      </c>
      <c r="O99" t="inlineStr">
        <is>
          <t>refractory, basic, packed</t>
        </is>
      </c>
      <c r="P99" t="inlineStr">
        <is>
          <t>steel production, electric, low-alloyed</t>
        </is>
      </c>
      <c r="Q99" t="inlineStr">
        <is>
          <t>steel, low-alloyed</t>
        </is>
      </c>
      <c r="R99" t="inlineStr">
        <is>
          <t>Europe without Switzerland and Austria</t>
        </is>
      </c>
    </row>
    <row r="100" ht="16" customHeight="1">
      <c r="A100" s="25" t="inlineStr">
        <is>
          <t>market group for electricity, medium voltage</t>
        </is>
      </c>
      <c r="B100" t="n">
        <v>0.5162630369453775</v>
      </c>
      <c r="C100" t="inlineStr">
        <is>
          <t>cutoff391</t>
        </is>
      </c>
      <c r="D100" t="inlineStr">
        <is>
          <t>GLO</t>
        </is>
      </c>
      <c r="E100" t="inlineStr">
        <is>
          <t>kilowatt hour</t>
        </is>
      </c>
      <c r="G100" t="inlineStr">
        <is>
          <t>technosphere</t>
        </is>
      </c>
      <c r="L100" s="25" t="inlineStr">
        <is>
          <t>&gt; Modifications (2025): used input from market group instead of separate countries (aggregated the amount to 1 value from 1 market). Changed location from RER to GLO</t>
        </is>
      </c>
      <c r="O100" t="inlineStr">
        <is>
          <t>electricity, medium voltage</t>
        </is>
      </c>
    </row>
    <row r="101" ht="16" customHeight="1">
      <c r="A101" s="25" t="inlineStr">
        <is>
          <t>market group for natural gas, high pressure</t>
        </is>
      </c>
      <c r="B101" t="n">
        <v>0.007023523952625067</v>
      </c>
      <c r="C101" t="inlineStr">
        <is>
          <t>cutoff391</t>
        </is>
      </c>
      <c r="D101" t="inlineStr">
        <is>
          <t>GLO</t>
        </is>
      </c>
      <c r="E101" t="inlineStr">
        <is>
          <t>cubic meter</t>
        </is>
      </c>
      <c r="G101" t="inlineStr">
        <is>
          <t>technosphere</t>
        </is>
      </c>
      <c r="L101" s="25" t="inlineStr">
        <is>
          <t>&gt; Modifications (2025): used input from market group instead of separate countries (aggregated the amount to 1 value from 1 market). changed location from RER to GLO</t>
        </is>
      </c>
      <c r="O101" t="inlineStr">
        <is>
          <t>natural gas, high pressure</t>
        </is>
      </c>
    </row>
    <row r="102"/>
    <row r="103"/>
    <row r="104" ht="16" customHeight="1">
      <c r="A104" s="19" t="inlineStr">
        <is>
          <t>Activity</t>
        </is>
      </c>
      <c r="B104" s="19" t="inlineStr">
        <is>
          <t>pig iron production, hydrogen-based direct reduction iron</t>
        </is>
      </c>
      <c r="C104" s="21" t="n"/>
      <c r="D104" s="21" t="n"/>
      <c r="E104" s="21" t="n"/>
      <c r="F104" s="21" t="n"/>
      <c r="G104" s="21" t="n"/>
      <c r="H104" s="21" t="n"/>
    </row>
    <row r="105" ht="16" customHeight="1">
      <c r="A105" s="22" t="inlineStr">
        <is>
          <t>production amount</t>
        </is>
      </c>
      <c r="B105" s="22" t="n">
        <v>1</v>
      </c>
      <c r="C105" s="21" t="n"/>
      <c r="D105" s="21" t="n"/>
      <c r="E105" s="21" t="n"/>
      <c r="F105" s="21" t="n"/>
      <c r="G105" s="21" t="n"/>
      <c r="H105" s="21" t="n"/>
    </row>
    <row r="106" ht="16" customHeight="1">
      <c r="A106" s="22" t="inlineStr">
        <is>
          <t>location</t>
        </is>
      </c>
      <c r="B106" s="22" t="inlineStr">
        <is>
          <t>GLO</t>
        </is>
      </c>
      <c r="C106" s="21" t="n"/>
      <c r="D106" s="21" t="n"/>
      <c r="E106" s="21" t="n"/>
      <c r="F106" s="21" t="n"/>
      <c r="G106" s="21" t="n"/>
      <c r="H106" s="21" t="n"/>
    </row>
    <row r="107" ht="16" customHeight="1">
      <c r="A107" s="22" t="inlineStr">
        <is>
          <t>reference product</t>
        </is>
      </c>
      <c r="B107" s="22" t="inlineStr">
        <is>
          <t>pig iron</t>
        </is>
      </c>
      <c r="C107" s="21" t="n"/>
      <c r="D107" s="21" t="n"/>
      <c r="E107" s="21" t="n"/>
      <c r="F107" s="21" t="n"/>
      <c r="G107" s="21" t="n"/>
      <c r="H107" s="21" t="n"/>
    </row>
    <row r="108" ht="16" customHeight="1">
      <c r="A108" s="22" t="inlineStr">
        <is>
          <t>unit</t>
        </is>
      </c>
      <c r="B108" s="22" t="inlineStr">
        <is>
          <t>kilogram</t>
        </is>
      </c>
      <c r="C108" s="21" t="n"/>
      <c r="D108" s="21" t="n"/>
      <c r="E108" s="21" t="n"/>
      <c r="F108" s="21" t="n"/>
      <c r="G108" s="21" t="n"/>
      <c r="H108" s="21" t="n"/>
    </row>
    <row r="109" ht="16" customHeight="1">
      <c r="A109" s="22" t="inlineStr">
        <is>
          <t>source</t>
        </is>
      </c>
      <c r="B109" s="58" t="inlineStr">
        <is>
          <t>This dataset, reused and modified by Harpprecht et al. (2025), builds on the hydrogen-based direct reduced iron (H₂-DRI) steelmaking system presented by Li et al. (2022). It introduces several adjustments to enhance realism: a 20% increase in theoretical stoichiometric hydrogen demand to reflect top gas purging losses (Hölling &amp; Gellert, 2018); inclusion of energy requirements for preheating hydrogen and furnace gases (Hölling &amp; Gellert, 2018); and preheating of iron ore pellets before reduction, based on the process layout from Bhaskar et al. (2020).
References
Li, F., Chu, M., Tang, J., Liu, Z., Guo, J., Yan, R., &amp; Liu, P. (2022). Thermodynamic performance analysis and environmental impact assessment of an integrated system for hydrogen generation and steelmaking. Energy, 241, 122922. https://doi.org/10.1016/j.energy.2021.122922
Hölling, M., &amp; Gellert, S. (2018). Water electrolysis and hydrogen pre-heating in hydrogen-based steelmaking. IEEJ Transactions on Electrical and Electronic Engineering, 13(11), 1585–1592.
Bhaskar, A., Assadi, M., &amp; Somehsaraei, H. N. (2020). Decarbonization of the iron and steel industry with direct reduction of iron ore with green hydrogen. Energies, 13(3), 758. https://doi.org/10.3390/en13030758
ecoinvent version 3.8 cutoff system model (2021). ecoinvent Association, Zurich.
Harpprecht, C., et al. (2025)</t>
        </is>
      </c>
      <c r="C109" s="21" t="n"/>
      <c r="D109" s="21" t="n"/>
      <c r="E109" s="21" t="n"/>
      <c r="F109" s="21" t="n"/>
      <c r="G109" s="21" t="n"/>
      <c r="H109" s="21" t="n"/>
    </row>
    <row r="110" ht="15" customHeight="1">
      <c r="A110" s="22" t="inlineStr">
        <is>
          <t>source</t>
        </is>
      </c>
      <c r="B110" s="22" t="inlineStr">
        <is>
          <t>Harpprecht C., Sacchi R., Naegler T., et al. "Future environmental impacts of global iron and steel production". Energy Environ Sci. (2025). doi: 10.1039/D5EE01356A</t>
        </is>
      </c>
      <c r="C110" s="21" t="n"/>
      <c r="D110" s="21" t="n"/>
      <c r="E110" s="21" t="n"/>
      <c r="F110" s="21" t="n"/>
      <c r="G110" s="21" t="n"/>
      <c r="H110" s="21" t="n"/>
    </row>
    <row r="111" ht="16" customHeight="1">
      <c r="A111" s="19" t="inlineStr">
        <is>
          <t>Exchanges</t>
        </is>
      </c>
      <c r="B111" s="22" t="n"/>
      <c r="C111" s="21" t="n"/>
      <c r="D111" s="21" t="n"/>
      <c r="E111" s="21" t="n"/>
      <c r="F111" s="21" t="n"/>
      <c r="G111" s="21" t="n"/>
      <c r="H111" s="21" t="n"/>
    </row>
    <row r="112" ht="16" customHeight="1">
      <c r="A112" s="23" t="inlineStr">
        <is>
          <t>name</t>
        </is>
      </c>
      <c r="B112" s="23" t="inlineStr">
        <is>
          <t>amount</t>
        </is>
      </c>
      <c r="C112" s="23" t="inlineStr">
        <is>
          <t>database</t>
        </is>
      </c>
      <c r="D112" s="23" t="inlineStr">
        <is>
          <t>location</t>
        </is>
      </c>
      <c r="E112" s="23" t="inlineStr">
        <is>
          <t>unit</t>
        </is>
      </c>
      <c r="F112" s="23" t="inlineStr">
        <is>
          <t>categories</t>
        </is>
      </c>
      <c r="G112" s="23" t="inlineStr">
        <is>
          <t>type</t>
        </is>
      </c>
      <c r="H112" s="23" t="inlineStr">
        <is>
          <t>reference product</t>
        </is>
      </c>
      <c r="I112" s="23" t="inlineStr">
        <is>
          <t>comment</t>
        </is>
      </c>
      <c r="J112" s="20" t="inlineStr">
        <is>
          <t>replacement name</t>
        </is>
      </c>
      <c r="K112" s="20" t="inlineStr">
        <is>
          <t>replacement product</t>
        </is>
      </c>
      <c r="L112" s="20" t="inlineStr">
        <is>
          <t>replacement location</t>
        </is>
      </c>
    </row>
    <row r="113" ht="16" customHeight="1">
      <c r="A113" s="24" t="inlineStr">
        <is>
          <t>pig iron production, hydrogen-based direct reduction iron</t>
        </is>
      </c>
      <c r="B113" s="22" t="n">
        <v>1</v>
      </c>
      <c r="C113" s="22" t="inlineStr">
        <is>
          <t>steel_paper</t>
        </is>
      </c>
      <c r="D113" s="22" t="inlineStr">
        <is>
          <t>GLO</t>
        </is>
      </c>
      <c r="E113" s="22" t="inlineStr">
        <is>
          <t>kilogram</t>
        </is>
      </c>
      <c r="F113" s="22" t="n"/>
      <c r="G113" s="22" t="inlineStr">
        <is>
          <t>production</t>
        </is>
      </c>
      <c r="H113" s="22" t="inlineStr">
        <is>
          <t>pig iron</t>
        </is>
      </c>
      <c r="K113" s="22" t="n"/>
    </row>
    <row r="114" ht="16" customHeight="1">
      <c r="A114" s="24" t="inlineStr">
        <is>
          <t>market for blast furnace</t>
        </is>
      </c>
      <c r="B114" s="59" t="n">
        <v>0</v>
      </c>
      <c r="C114" s="24" t="inlineStr">
        <is>
          <t>cutoff391</t>
        </is>
      </c>
      <c r="D114" s="24" t="inlineStr">
        <is>
          <t>GLO</t>
        </is>
      </c>
      <c r="E114" s="22" t="inlineStr">
        <is>
          <t>unit</t>
        </is>
      </c>
      <c r="F114" s="22" t="n"/>
      <c r="G114" s="24" t="inlineStr">
        <is>
          <t>technosphere</t>
        </is>
      </c>
      <c r="H114" s="22" t="inlineStr">
        <is>
          <t>blast furnace</t>
        </is>
      </c>
      <c r="I114" s="24" t="inlineStr">
        <is>
          <t>&gt; source: Extracted from ecoinvent, the process of “sponge iron production /IN”</t>
        </is>
      </c>
      <c r="J114" t="inlineStr">
        <is>
          <t>sponge iron production</t>
        </is>
      </c>
      <c r="K114" s="22" t="inlineStr">
        <is>
          <t>sponge iron</t>
        </is>
      </c>
      <c r="L114" t="inlineStr">
        <is>
          <t>IN</t>
        </is>
      </c>
    </row>
    <row r="115" ht="16" customHeight="1">
      <c r="A115" s="24" t="inlineStr">
        <is>
          <t>market group for natural gas, high pressure</t>
        </is>
      </c>
      <c r="B115" s="22">
        <f>33.33*42/39/1000</f>
        <v>3.5893846153846151E-2</v>
      </c>
      <c r="C115" s="24" t="inlineStr">
        <is>
          <t>cutoff391</t>
        </is>
      </c>
      <c r="D115" s="24" t="inlineStr">
        <is>
          <t>GLO</t>
        </is>
      </c>
      <c r="E115" t="inlineStr">
        <is>
          <t>cubic meter</t>
        </is>
      </c>
      <c r="F115" s="24" t="n"/>
      <c r="G115" s="24" t="inlineStr">
        <is>
          <t>technosphere</t>
        </is>
      </c>
      <c r="H115" s="24" t="inlineStr">
        <is>
          <t>natural gas, high pressure</t>
        </is>
      </c>
      <c r="I115" s="24" t="inlineStr">
        <is>
          <t xml:space="preserve">&gt; assumption: We convert mass of 33.33 kg NG/t DRI from table 7 in Li et al. 2022, into m3, to account for the high pressure of NG in the ecoinvent, using the following values: The LHV of natural gas is 42 MJ/kg, while the LHV of high pressure natural gas is 39 MJ/m3 (specified in ecoinvent process). https://world-nuclear.org/information-library/facts-and-figures/heat-values-of-various-fuels.aspx </t>
        </is>
      </c>
    </row>
    <row r="116" ht="16" customHeight="1">
      <c r="A116" s="12" t="inlineStr">
        <is>
          <t>market group for electricity, medium voltage</t>
        </is>
      </c>
      <c r="B116" s="12" t="n">
        <v>0.01924459256354963</v>
      </c>
      <c r="C116" s="22" t="inlineStr">
        <is>
          <t>cutoff391</t>
        </is>
      </c>
      <c r="D116" s="22" t="inlineStr">
        <is>
          <t>GLO</t>
        </is>
      </c>
      <c r="E116" s="22" t="inlineStr">
        <is>
          <t>kilowatt hour</t>
        </is>
      </c>
      <c r="F116" s="22" t="n"/>
      <c r="G116" s="22" t="inlineStr">
        <is>
          <t>technosphere</t>
        </is>
      </c>
      <c r="H116" s="22" t="inlineStr">
        <is>
          <t>electricity, medium voltage</t>
        </is>
      </c>
      <c r="I116" s="22" t="inlineStr">
        <is>
          <t>&gt; source: Li et al. (2022)</t>
        </is>
      </c>
    </row>
    <row r="117" ht="16" customHeight="1">
      <c r="A117" s="25" t="inlineStr">
        <is>
          <t>preheating of iron ore pellets</t>
        </is>
      </c>
      <c r="B117" s="22" t="n">
        <v>1.359733385610665</v>
      </c>
      <c r="C117" s="22" t="inlineStr">
        <is>
          <t>steel_paper</t>
        </is>
      </c>
      <c r="D117" s="22" t="inlineStr">
        <is>
          <t>GLO</t>
        </is>
      </c>
      <c r="E117" s="22" t="inlineStr">
        <is>
          <t>kilogram</t>
        </is>
      </c>
      <c r="F117" s="22" t="n"/>
      <c r="G117" s="22" t="inlineStr">
        <is>
          <t>technosphere</t>
        </is>
      </c>
      <c r="H117" s="25" t="inlineStr">
        <is>
          <t>iron ore pellets, hot</t>
        </is>
      </c>
      <c r="I117" s="22" t="inlineStr">
        <is>
          <t>&gt; Modifications (2025): We added the preheating of iron ore pellets from Bhaskar et al. (2020)</t>
        </is>
      </c>
    </row>
    <row r="118" ht="16" customHeight="1">
      <c r="A118" s="24" t="inlineStr">
        <is>
          <t>preheating of hydrogen</t>
        </is>
      </c>
      <c r="B118" s="22">
        <f>580*0.09*1.2/1000</f>
        <v>6.2639999999999987E-2</v>
      </c>
      <c r="C118" s="22" t="inlineStr">
        <is>
          <t>steel_paper</t>
        </is>
      </c>
      <c r="D118" s="22" t="inlineStr">
        <is>
          <t>GLO</t>
        </is>
      </c>
      <c r="E118" t="inlineStr">
        <is>
          <t>kilogram</t>
        </is>
      </c>
      <c r="G118" t="inlineStr">
        <is>
          <t>technosphere</t>
        </is>
      </c>
      <c r="H118" t="inlineStr">
        <is>
          <t>hydrogen, hot</t>
        </is>
      </c>
      <c r="I118" s="60" t="inlineStr">
        <is>
          <t>&gt; Modifications (2025): 
The 580 m3/t iron is taken from Li et al. (2022): '580 m3 of H2 is consumed to produce 1 ton of DRI under the aforementioned raw material and operation conditions of the SF'.
This is the amount of makeup hydrogen needed for the process. The inflow of gas into the furnace is much higher, but the top gas of the furnace is recirculated and its H2 contained remixed into the inflow gas for the furnace (Li et al. 2022, Hölling &amp; Gellert 2018). 
In addition, we consider 20% of hydrogen losses (i.e., factor 1.2), based on  Hölling &amp; Gellert (2018).
0.09 is conversion factor for kg H2/m3 H2 for the LHV (=3kWh/Nm3*3.6MJ/kWh/(120MJ/kg)) (--&gt; https://www.engineeringtoolbox.com/fuels-higher-calorific-values-d_169.html; https://www.enapter.com/kb_post/what-is-the-energy-content-of-hydrogen/)
185.59 kg / t DRI of reducing gas, see table 7 in Li et al. (2022). We added the preheating of hydrogen from Bhaskar et al. (2020)</t>
        </is>
      </c>
    </row>
    <row r="119" ht="16" customHeight="1">
      <c r="A119" s="12" t="inlineStr">
        <is>
          <t>market for blast furnace dust</t>
        </is>
      </c>
      <c r="B119" s="12" t="n">
        <v>-8.821799647128014e-05</v>
      </c>
      <c r="C119" s="24" t="inlineStr">
        <is>
          <t>cutoff391</t>
        </is>
      </c>
      <c r="D119" s="24" t="inlineStr">
        <is>
          <t>RoW</t>
        </is>
      </c>
      <c r="E119" s="24" t="inlineStr">
        <is>
          <t>kilogram</t>
        </is>
      </c>
      <c r="F119" s="24" t="n"/>
      <c r="G119" s="24" t="inlineStr">
        <is>
          <t>technosphere</t>
        </is>
      </c>
      <c r="H119" s="24" t="inlineStr">
        <is>
          <t>blast furnace dust</t>
        </is>
      </c>
      <c r="I119" s="22" t="inlineStr">
        <is>
          <t>&gt; source: Li et al. (2022)</t>
        </is>
      </c>
    </row>
    <row r="120" ht="16" customHeight="1">
      <c r="A120" s="12" t="inlineStr">
        <is>
          <t>Carbon dioxide, fossil</t>
        </is>
      </c>
      <c r="B120" s="12" t="n">
        <v>0.03270600535842645</v>
      </c>
      <c r="C120" s="24" t="inlineStr">
        <is>
          <t>biosphere3</t>
        </is>
      </c>
      <c r="D120" s="24" t="n"/>
      <c r="E120" s="24" t="inlineStr">
        <is>
          <t>kilogram</t>
        </is>
      </c>
      <c r="F120" s="24" t="inlineStr">
        <is>
          <t>air</t>
        </is>
      </c>
      <c r="G120" s="47" t="inlineStr">
        <is>
          <t>biosphere</t>
        </is>
      </c>
      <c r="H120" s="24" t="n"/>
      <c r="I120" s="22" t="inlineStr">
        <is>
          <t>&gt; source: Li et al. (2022)</t>
        </is>
      </c>
    </row>
    <row r="121" ht="16" customHeight="1">
      <c r="A121" s="12" t="inlineStr">
        <is>
          <t>Carbon monoxide, fossil</t>
        </is>
      </c>
      <c r="B121" s="12" t="n">
        <v>3.920799843168006e-05</v>
      </c>
      <c r="C121" s="22" t="inlineStr">
        <is>
          <t>biosphere3</t>
        </is>
      </c>
      <c r="D121" s="22" t="n"/>
      <c r="E121" s="22" t="inlineStr">
        <is>
          <t>kilogram</t>
        </is>
      </c>
      <c r="F121" s="22" t="inlineStr">
        <is>
          <t>air</t>
        </is>
      </c>
      <c r="G121" s="61" t="inlineStr">
        <is>
          <t>biosphere</t>
        </is>
      </c>
      <c r="I121" s="22" t="inlineStr">
        <is>
          <t>&gt; source: Li et al. (2022)</t>
        </is>
      </c>
    </row>
    <row r="122" ht="16" customHeight="1">
      <c r="A122" s="12" t="inlineStr">
        <is>
          <t>Sulfur dioxide</t>
        </is>
      </c>
      <c r="B122" s="12" t="n">
        <v>9.148532967392014e-05</v>
      </c>
      <c r="C122" s="22" t="inlineStr">
        <is>
          <t>biosphere3</t>
        </is>
      </c>
      <c r="D122" s="22" t="n"/>
      <c r="E122" s="22" t="inlineStr">
        <is>
          <t>kilogram</t>
        </is>
      </c>
      <c r="F122" s="22" t="inlineStr">
        <is>
          <t>air</t>
        </is>
      </c>
      <c r="G122" s="22" t="inlineStr">
        <is>
          <t>biosphere</t>
        </is>
      </c>
      <c r="H122" s="22" t="n"/>
      <c r="I122" s="22" t="inlineStr">
        <is>
          <t>&gt; source: Li et al. (2022)</t>
        </is>
      </c>
    </row>
    <row r="123" ht="16" customHeight="1">
      <c r="A123" s="12" t="inlineStr">
        <is>
          <t>Nitrogen oxides</t>
        </is>
      </c>
      <c r="B123" s="12" t="n">
        <v>7.188133045808011e-05</v>
      </c>
      <c r="C123" s="24" t="inlineStr">
        <is>
          <t>biosphere3</t>
        </is>
      </c>
      <c r="D123" s="24" t="n"/>
      <c r="E123" s="24" t="inlineStr">
        <is>
          <t>kilogram</t>
        </is>
      </c>
      <c r="F123" s="24" t="inlineStr">
        <is>
          <t>air</t>
        </is>
      </c>
      <c r="G123" s="24" t="inlineStr">
        <is>
          <t>biosphere</t>
        </is>
      </c>
      <c r="I123" s="22" t="inlineStr">
        <is>
          <t>&gt; source: Li et al. (2022)</t>
        </is>
      </c>
    </row>
    <row r="124" ht="16" customHeight="1">
      <c r="A124" s="24" t="n"/>
      <c r="D124" s="24" t="n"/>
      <c r="E124" s="24" t="n"/>
      <c r="F124" s="24" t="n"/>
      <c r="G124" s="24" t="n"/>
    </row>
    <row r="125" ht="16" customHeight="1">
      <c r="A125" s="34" t="inlineStr">
        <is>
          <t>Activity</t>
        </is>
      </c>
      <c r="B125" s="34" t="inlineStr">
        <is>
          <t>preheating of iron ore pellets</t>
        </is>
      </c>
      <c r="C125" s="25" t="n"/>
      <c r="D125" s="25" t="n"/>
      <c r="E125" s="25" t="n"/>
      <c r="F125" s="25" t="n"/>
      <c r="G125" s="25" t="n"/>
      <c r="H125" s="25" t="n"/>
      <c r="I125" s="25" t="n"/>
    </row>
    <row r="126" ht="16" customHeight="1">
      <c r="A126" t="inlineStr">
        <is>
          <t>reference product</t>
        </is>
      </c>
      <c r="B126" t="inlineStr">
        <is>
          <t>iron ore pellets, hot</t>
        </is>
      </c>
      <c r="C126" s="25" t="n"/>
      <c r="D126" s="25" t="n"/>
      <c r="E126" s="25" t="n"/>
      <c r="F126" s="25" t="n"/>
      <c r="G126" s="25" t="n"/>
      <c r="H126" s="25" t="n"/>
      <c r="I126" s="25" t="n"/>
    </row>
    <row r="127" ht="16" customHeight="1">
      <c r="A127" t="inlineStr">
        <is>
          <t>location</t>
        </is>
      </c>
      <c r="B127" t="inlineStr">
        <is>
          <t>GLO</t>
        </is>
      </c>
      <c r="C127" s="25" t="n"/>
      <c r="D127" s="25" t="n"/>
      <c r="E127" s="25" t="n"/>
      <c r="F127" s="25" t="n"/>
      <c r="G127" s="25" t="n"/>
      <c r="H127" s="25" t="n"/>
      <c r="I127" s="25" t="n"/>
    </row>
    <row r="128" ht="16" customHeight="1">
      <c r="A128" t="inlineStr">
        <is>
          <t>comment</t>
        </is>
      </c>
      <c r="B128" s="57" t="inlineStr">
        <is>
          <t xml:space="preserve">This dataset, created by Harpprecht et al. (2025), models the preheating of iron ore pellets to 800 °C prior to hydrogen-based direct reduction. The preheating is assumed to be performed using an electric heater operating at a thermal efficiency of 85%. This modeling choice is based on the process design described by Bhaskar et al. (2020), which emphasizes the necessity of thermal pre-treatment to optimize reduction kinetics in H₂-DRI systems.
References
Bhaskar, A., Assadi, M., &amp; Somehsaraei, H. N. (2020). Decarbonization of the iron and steel industry with direct reduction of iron ore with green hydrogen. Energies, 13(3), 758. https://doi.org/10.3390/en13030758
Harpprecht, C., et al. (2025). </t>
        </is>
      </c>
      <c r="C128" s="25" t="n"/>
      <c r="D128" s="25" t="n"/>
      <c r="E128" s="25" t="n"/>
      <c r="F128" s="25" t="n"/>
      <c r="G128" s="25" t="n"/>
      <c r="H128" s="25" t="n"/>
      <c r="I128" s="25" t="n"/>
    </row>
    <row r="129" ht="15" customHeight="1">
      <c r="A129" s="22" t="inlineStr">
        <is>
          <t>source</t>
        </is>
      </c>
      <c r="B129" s="22" t="inlineStr">
        <is>
          <t>Harpprecht C., Sacchi R., Naegler T., et al. "Future environmental impacts of global iron and steel production". Energy Environ Sci. (2025). doi: 10.1039/D5EE01356A</t>
        </is>
      </c>
      <c r="C129" s="21" t="n"/>
      <c r="D129" s="21" t="n"/>
      <c r="E129" s="21" t="n"/>
      <c r="F129" s="21" t="n"/>
      <c r="G129" s="21" t="n"/>
      <c r="H129" s="21" t="n"/>
    </row>
    <row r="130" ht="16" customHeight="1">
      <c r="A130" t="inlineStr">
        <is>
          <t>production amount</t>
        </is>
      </c>
      <c r="B130" t="n">
        <v>1</v>
      </c>
      <c r="C130" s="25" t="n"/>
      <c r="D130" s="25" t="n"/>
      <c r="E130" s="25" t="n"/>
      <c r="F130" s="25" t="n"/>
      <c r="G130" s="25" t="n"/>
      <c r="H130" s="25" t="n"/>
      <c r="I130" s="25" t="n"/>
    </row>
    <row r="131" ht="16" customHeight="1">
      <c r="A131" t="inlineStr">
        <is>
          <t>unit</t>
        </is>
      </c>
      <c r="B131" t="inlineStr">
        <is>
          <t>kilogram</t>
        </is>
      </c>
      <c r="C131" s="25" t="n"/>
      <c r="D131" s="25" t="n"/>
      <c r="E131" s="25" t="n"/>
      <c r="F131" s="25" t="n"/>
      <c r="G131" s="25" t="n"/>
      <c r="H131" s="25" t="n"/>
      <c r="I131" s="25" t="n"/>
    </row>
    <row r="132" ht="16" customHeight="1">
      <c r="A132" t="inlineStr">
        <is>
          <t>Exchanges</t>
        </is>
      </c>
      <c r="C132" s="25" t="n"/>
      <c r="D132" s="25" t="n"/>
      <c r="E132" s="25" t="n"/>
      <c r="F132" s="25" t="n"/>
      <c r="G132" s="25" t="n"/>
      <c r="H132" s="25" t="n"/>
      <c r="I132" s="25" t="n"/>
    </row>
    <row r="133" ht="16" customHeight="1">
      <c r="A133" s="20" t="inlineStr">
        <is>
          <t>name</t>
        </is>
      </c>
      <c r="B133" s="20" t="inlineStr">
        <is>
          <t>amount</t>
        </is>
      </c>
      <c r="C133" s="20" t="inlineStr">
        <is>
          <t>database</t>
        </is>
      </c>
      <c r="D133" s="20" t="inlineStr">
        <is>
          <t>location</t>
        </is>
      </c>
      <c r="E133" s="20" t="inlineStr">
        <is>
          <t>unit</t>
        </is>
      </c>
      <c r="F133" s="20" t="inlineStr">
        <is>
          <t>categories</t>
        </is>
      </c>
      <c r="G133" s="20" t="inlineStr">
        <is>
          <t>type</t>
        </is>
      </c>
      <c r="H133" s="20" t="inlineStr">
        <is>
          <t>reference product</t>
        </is>
      </c>
      <c r="I133" s="20" t="inlineStr">
        <is>
          <t>comment</t>
        </is>
      </c>
    </row>
    <row r="134" ht="16" customHeight="1">
      <c r="A134" t="inlineStr">
        <is>
          <t>preheating of iron ore pellets</t>
        </is>
      </c>
      <c r="B134" s="62" t="n">
        <v>1</v>
      </c>
      <c r="C134" s="25" t="inlineStr">
        <is>
          <t>steel_paper</t>
        </is>
      </c>
      <c r="D134" t="inlineStr">
        <is>
          <t>GLO</t>
        </is>
      </c>
      <c r="E134" s="25" t="inlineStr">
        <is>
          <t>kilogram</t>
        </is>
      </c>
      <c r="F134" s="25" t="n"/>
      <c r="G134" s="25" t="inlineStr">
        <is>
          <t>production</t>
        </is>
      </c>
      <c r="H134" s="25" t="inlineStr">
        <is>
          <t>iron ore pellets, hot</t>
        </is>
      </c>
      <c r="I134" s="25" t="inlineStr">
        <is>
          <t>&gt; source: Bhaskar et al. 2020</t>
        </is>
      </c>
    </row>
    <row r="135" ht="16" customHeight="1">
      <c r="A135" t="inlineStr">
        <is>
          <t>market for iron pellet</t>
        </is>
      </c>
      <c r="B135" s="62" t="n">
        <v>1</v>
      </c>
      <c r="C135" s="22" t="inlineStr">
        <is>
          <t>cutoff391</t>
        </is>
      </c>
      <c r="D135" s="22" t="inlineStr">
        <is>
          <t>GLO</t>
        </is>
      </c>
      <c r="E135" s="22" t="inlineStr">
        <is>
          <t>kilogram</t>
        </is>
      </c>
      <c r="F135" s="22" t="n"/>
      <c r="G135" s="22" t="inlineStr">
        <is>
          <t>technosphere</t>
        </is>
      </c>
      <c r="H135" s="22" t="inlineStr">
        <is>
          <t>iron pellet</t>
        </is>
      </c>
      <c r="I135" s="25" t="inlineStr">
        <is>
          <t>&gt; source: Bhaskar et al. 2020</t>
        </is>
      </c>
    </row>
    <row r="136" ht="16" customHeight="1">
      <c r="A136" s="24" t="inlineStr">
        <is>
          <t>market group for electricity, medium voltage</t>
        </is>
      </c>
      <c r="B136" s="62">
        <f>0.981613508442777/3.6</f>
        <v>0.27267041901188249</v>
      </c>
      <c r="C136" s="25" t="inlineStr">
        <is>
          <t>cutoff391</t>
        </is>
      </c>
      <c r="D136" t="inlineStr">
        <is>
          <t>GLO</t>
        </is>
      </c>
      <c r="E136" s="25" t="inlineStr">
        <is>
          <t>kilowatt hour</t>
        </is>
      </c>
      <c r="F136" s="25" t="n"/>
      <c r="G136" s="25" t="inlineStr">
        <is>
          <t>technosphere</t>
        </is>
      </c>
      <c r="H136" s="22" t="inlineStr">
        <is>
          <t>electricity, medium voltage</t>
        </is>
      </c>
      <c r="I136" s="25" t="inlineStr">
        <is>
          <t>&gt; assumption: source: Bhaskar et al. 2020: 1569,6 MJ el. / t LS --&gt; 1569,6 MJ el. / 1,599 t pellets = 1569,6 / 1599 kg pellets = 0,982 MJ / kg pellets</t>
        </is>
      </c>
    </row>
    <row r="137" ht="16" customHeight="1">
      <c r="A137" s="20" t="n"/>
      <c r="B137" s="20" t="n"/>
      <c r="C137" s="25" t="n"/>
      <c r="D137" s="25" t="n"/>
      <c r="E137" s="25" t="n"/>
      <c r="F137" s="25" t="n"/>
      <c r="G137" s="25" t="n"/>
      <c r="H137" s="25" t="n"/>
      <c r="I137" s="25" t="n"/>
    </row>
    <row r="138" ht="16" customHeight="1">
      <c r="A138" s="20" t="n"/>
      <c r="B138" s="20" t="n"/>
      <c r="C138" s="25" t="n"/>
      <c r="D138" s="25" t="n"/>
      <c r="E138" s="25" t="n"/>
      <c r="F138" s="25" t="n"/>
      <c r="G138" s="25" t="n"/>
      <c r="H138" s="25" t="n"/>
      <c r="I138" s="25" t="n"/>
    </row>
    <row r="139" ht="16" customHeight="1">
      <c r="A139" s="20" t="inlineStr">
        <is>
          <t>Activity</t>
        </is>
      </c>
      <c r="B139" s="50" t="inlineStr">
        <is>
          <t>preheating of hydrogen</t>
        </is>
      </c>
      <c r="C139" s="25" t="n"/>
      <c r="D139" s="25" t="n"/>
      <c r="E139" s="25" t="n"/>
      <c r="F139" s="25" t="n"/>
      <c r="G139" s="25" t="n"/>
      <c r="H139" s="25" t="n"/>
      <c r="I139" s="25" t="n"/>
    </row>
    <row r="140" ht="16" customHeight="1">
      <c r="A140" t="inlineStr">
        <is>
          <t>reference product</t>
        </is>
      </c>
      <c r="B140" t="inlineStr">
        <is>
          <t>hydrogen, hot</t>
        </is>
      </c>
      <c r="C140" s="25" t="n"/>
      <c r="D140" s="25" t="n"/>
      <c r="E140" s="25" t="n"/>
      <c r="F140" s="25" t="n"/>
      <c r="G140" s="25" t="n"/>
      <c r="H140" s="25" t="n"/>
      <c r="I140" s="25" t="n"/>
    </row>
    <row r="141" ht="16" customHeight="1">
      <c r="A141" t="inlineStr">
        <is>
          <t>location</t>
        </is>
      </c>
      <c r="B141" t="inlineStr">
        <is>
          <t>GLO</t>
        </is>
      </c>
      <c r="C141" s="25" t="n"/>
      <c r="D141" s="25" t="n"/>
      <c r="E141" s="25" t="n"/>
      <c r="F141" s="25" t="n"/>
      <c r="G141" s="25" t="n"/>
      <c r="H141" s="25" t="n"/>
      <c r="I141" s="25" t="n"/>
    </row>
    <row r="142" ht="16" customHeight="1">
      <c r="A142" t="inlineStr">
        <is>
          <t>comment</t>
        </is>
      </c>
      <c r="B142" s="55" t="inlineStr">
        <is>
          <t>This dataset was created by Harpprecht et al. (2025) to model the pre-heating of hydrogen and recirculated process gas prior to entering the shaft furnace in a hydrogen-based direct reduction (H₂-DRI) system.
Hydrogen and recycled top gas are preheated electrically to a target temperature of ~940 °C before entering the shaft furnace. This is necessary to provide thermal energy for the endothermic iron ore reduction reaction.
According to Hölling &amp; Gellert (2018), 0.23 MWh per tonne of hot briquetted iron (tH₂BI) is required for this preheating step, assuming a gas temperature increase from 540 °C to 940 °C.
The total gas inflow to the furnace—which includes both fresh hydrogen and recycled top gas—is significantly larger than the stoichiometric hydrogen requirement. A gas circulation factor of 2.5–3.8 relative to hydrogen consumption is reported (Hölling &amp; Gellert, 2018; Li et al., 2022), and the heating demand scales accordingly.
Additionally, hydrogen losses due to top gas purging are accounted for, increasing the practical H₂ consumption by 20% over the theoretical minimum (Hölling &amp; Gellert, 2018). The entire gas stream entering the furnace is assumed to be electrically preheated, since all of it contributes to the thermal budget of the reduction process.
References
Hölling, M., &amp; Gellert, S. (2018). Direct reduction: transition from natural gas to hydrogen? In: International Congress on Science and Technology of Ironmaking 2018, ASMET.
Li, F., Chu, M., Tang, J., Liu, Z., Guo, J., Yan, R., &amp; Liu, P. (2022). Thermodynamic performance analysis and environmental impact assessment of an integrated system for hydrogen generation and steelmaking. Energy, 241, 122922. https://doi.org/10.1016/j.energy.2021.122922
Harpprecht, C., et al. (2025).</t>
        </is>
      </c>
      <c r="C142" s="25" t="n"/>
      <c r="D142" s="25" t="n"/>
      <c r="E142" s="25" t="n"/>
      <c r="F142" s="25" t="n"/>
      <c r="G142" s="25" t="n"/>
      <c r="H142" s="25" t="n"/>
      <c r="I142" s="25" t="n"/>
    </row>
    <row r="143" ht="15" customHeight="1">
      <c r="A143" s="22" t="inlineStr">
        <is>
          <t>source</t>
        </is>
      </c>
      <c r="B143" s="22" t="inlineStr">
        <is>
          <t>Harpprecht C., Sacchi R., Naegler T., et al. "Future environmental impacts of global iron and steel production". Energy Environ Sci. (2025). doi: 10.1039/D5EE01356A</t>
        </is>
      </c>
      <c r="C143" s="21" t="n"/>
      <c r="D143" s="21" t="n"/>
      <c r="E143" s="21" t="n"/>
      <c r="F143" s="21" t="n"/>
      <c r="G143" s="21" t="n"/>
      <c r="H143" s="21" t="n"/>
    </row>
    <row r="144" ht="16" customHeight="1">
      <c r="A144" t="inlineStr">
        <is>
          <t>production amount</t>
        </is>
      </c>
      <c r="B144" t="n">
        <v>1</v>
      </c>
      <c r="C144" s="25" t="n"/>
      <c r="D144" s="25" t="n"/>
      <c r="E144" s="25" t="n"/>
      <c r="F144" s="25" t="n"/>
      <c r="G144" s="25" t="n"/>
      <c r="H144" s="25" t="n"/>
      <c r="I144" s="25" t="n"/>
    </row>
    <row r="145" ht="16" customHeight="1">
      <c r="A145" t="inlineStr">
        <is>
          <t>unit</t>
        </is>
      </c>
      <c r="B145" t="inlineStr">
        <is>
          <t>kilogram</t>
        </is>
      </c>
      <c r="C145" s="25" t="n"/>
      <c r="D145" s="25" t="n"/>
      <c r="E145" s="25" t="n"/>
      <c r="F145" s="25" t="n"/>
      <c r="G145" s="25" t="n"/>
      <c r="H145" s="25" t="n"/>
      <c r="I145" s="25" t="n"/>
    </row>
    <row r="146" ht="16" customHeight="1">
      <c r="A146" t="inlineStr">
        <is>
          <t>Exchanges</t>
        </is>
      </c>
      <c r="I146" s="25" t="n"/>
    </row>
    <row r="147" ht="16" customHeight="1">
      <c r="A147" s="20" t="inlineStr">
        <is>
          <t>name</t>
        </is>
      </c>
      <c r="B147" s="20" t="inlineStr">
        <is>
          <t>amount</t>
        </is>
      </c>
      <c r="C147" s="20" t="inlineStr">
        <is>
          <t>database</t>
        </is>
      </c>
      <c r="D147" s="20" t="inlineStr">
        <is>
          <t>location</t>
        </is>
      </c>
      <c r="E147" s="20" t="inlineStr">
        <is>
          <t>unit</t>
        </is>
      </c>
      <c r="F147" s="20" t="inlineStr">
        <is>
          <t>categories</t>
        </is>
      </c>
      <c r="G147" s="20" t="inlineStr">
        <is>
          <t>type</t>
        </is>
      </c>
      <c r="H147" s="20" t="inlineStr">
        <is>
          <t>reference product</t>
        </is>
      </c>
      <c r="I147" s="20" t="inlineStr">
        <is>
          <t>comment</t>
        </is>
      </c>
    </row>
    <row r="148" ht="16" customHeight="1">
      <c r="A148" t="inlineStr">
        <is>
          <t>preheating of hydrogen</t>
        </is>
      </c>
      <c r="B148" t="n">
        <v>1</v>
      </c>
      <c r="C148" s="22" t="inlineStr">
        <is>
          <t>steel_paper</t>
        </is>
      </c>
      <c r="D148" t="inlineStr">
        <is>
          <t>GLO</t>
        </is>
      </c>
      <c r="E148" t="inlineStr">
        <is>
          <t>kilogram</t>
        </is>
      </c>
      <c r="G148" t="inlineStr">
        <is>
          <t>production</t>
        </is>
      </c>
      <c r="H148" t="inlineStr">
        <is>
          <t>hydrogen, hot</t>
        </is>
      </c>
      <c r="I148" s="25" t="inlineStr">
        <is>
          <t>&gt; source: Hölling &amp; Gellert (2018)</t>
        </is>
      </c>
    </row>
    <row r="149" ht="16" customHeight="1">
      <c r="A149" s="63" t="inlineStr">
        <is>
          <t>market for hydrogen, gaseous</t>
        </is>
      </c>
      <c r="B149" t="n">
        <v>1</v>
      </c>
      <c r="C149" s="22" t="inlineStr">
        <is>
          <t>cutoff391</t>
        </is>
      </c>
      <c r="D149" t="inlineStr">
        <is>
          <t>GLO</t>
        </is>
      </c>
      <c r="E149" s="25" t="inlineStr">
        <is>
          <t>kilogram</t>
        </is>
      </c>
      <c r="F149" s="25" t="n"/>
      <c r="G149" s="25" t="inlineStr">
        <is>
          <t>technosphere</t>
        </is>
      </c>
      <c r="H149" t="inlineStr">
        <is>
          <t>hydrogen, gaseous</t>
        </is>
      </c>
      <c r="I149" s="25" t="inlineStr">
        <is>
          <t>&gt; from premise, we added the distribution by pipeline + geological storage</t>
        </is>
      </c>
    </row>
    <row r="150" ht="16" customHeight="1">
      <c r="A150" s="24" t="inlineStr">
        <is>
          <t>market group for electricity, medium voltage</t>
        </is>
      </c>
      <c r="B150" s="62">
        <f>0.23 / (635/1000*0.09)</f>
        <v>4.0244969378827653</v>
      </c>
      <c r="C150" s="22" t="inlineStr">
        <is>
          <t>cutoff391</t>
        </is>
      </c>
      <c r="D150" t="inlineStr">
        <is>
          <t>GLO</t>
        </is>
      </c>
      <c r="E150" s="25" t="inlineStr">
        <is>
          <t>kilowatt hour</t>
        </is>
      </c>
      <c r="F150" s="25" t="n"/>
      <c r="G150" s="25" t="inlineStr">
        <is>
          <t>technosphere</t>
        </is>
      </c>
      <c r="H150" s="22" t="inlineStr">
        <is>
          <t>electricity, medium voltage</t>
        </is>
      </c>
      <c r="I150" s="51" t="inlineStr">
        <is>
          <t>&gt; assumption: for electrical preheating of gas inflow stream: 0.23 MWh electricity/t HBI  source: Höllig &amp; Gellert (2018) 
with 633 m3 H2 consumed /t HBI (equal to 0.057 kg H2 consumed/kg HBI) and 1600 m3 gas inflow into furnace/t HBI. Conversion factor for H2: 0.09 kg H2/m3 H2.</t>
        </is>
      </c>
    </row>
    <row r="151" ht="16" customHeight="1">
      <c r="A151" s="24" t="n"/>
      <c r="B151" s="62" t="n"/>
      <c r="C151" s="22" t="n"/>
      <c r="E151" s="25" t="n"/>
      <c r="F151" s="25" t="n"/>
      <c r="G151" s="25" t="n"/>
      <c r="H151" s="22" t="n"/>
      <c r="I151" s="25" t="n"/>
    </row>
  </sheetData>
  <autoFilter ref="A1:R151"/>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S202"/>
  <sheetViews>
    <sheetView zoomScale="113" zoomScaleNormal="59" workbookViewId="0">
      <selection activeCell="B3" sqref="B3"/>
    </sheetView>
  </sheetViews>
  <sheetFormatPr baseColWidth="10" defaultColWidth="8.83203125" defaultRowHeight="14" customHeight="1"/>
  <cols>
    <col width="34.83203125" customWidth="1" min="1" max="1"/>
    <col width="11.1640625" bestFit="1" customWidth="1" min="2" max="2"/>
    <col width="9" bestFit="1" customWidth="1" min="7" max="9"/>
    <col width="31" customWidth="1" min="12" max="12"/>
    <col width="11.1640625" bestFit="1" customWidth="1" min="13" max="13"/>
    <col width="10.83203125" customWidth="1" min="14" max="14"/>
  </cols>
  <sheetData>
    <row r="1" ht="19" customHeight="1">
      <c r="A1" s="50" t="inlineStr">
        <is>
          <t>Activity</t>
        </is>
      </c>
      <c r="B1" s="50" t="inlineStr">
        <is>
          <t>pig iron production, by electrowinning</t>
        </is>
      </c>
    </row>
    <row r="2" ht="14" customHeight="1">
      <c r="A2" t="inlineStr">
        <is>
          <t>comment</t>
        </is>
      </c>
      <c r="B2" s="57" t="inlineStr">
        <is>
          <t>This dataset models the electrowinning of iron from an alkaline NaOH-H₂O solution at 110 °C and 1.7 V, following the process described in the Siderwin project (Siderwin, 2019; EC, 2016). Iron oxide (Fe₂O₃, 98% purity) is reduced at the cathode to form solid iron plates, while oxygen gas is released at the anode. The resulting iron contains ~2% impurities, consistent with the mass balance reported in EC (2016).
Key inputs:
Electrolyte: 0.75 kg of 50 wt% NaOH-H₂O solution, assuming a 50% recycling rate, aligned with the upstream leaching step.
Cathodes: Graphite electrodes, with 0.00555 kg per kg Fe, adapted from the ecoinvent dataset "aluminium production, primary, liquid, prebake; IAI, EU27" (ecoinvent 3.8).
Anodes: Nickel-based anodes, similar to those in water electrolysis. Quantities are based on data from Zhao et al. (2020) and Lavelaine (2019).
Emissions:
CO₂: No direct CO₂ emissions occur (EC, 2016; West, 2020).
Oxygen: Released as a byproduct of iron reduction, based on stoichiometric calculation from Fe₂O₃ input. A correction was made to EC (2016)'s mass-to-volume conversion error.
Waterborne emissions: Electrolyte discharge assumed non-recycled; NaOH dissociates in water to Na⁺, OH⁻, and H₂O (exothermic reaction). These ions are considered emitted to water, scaled from the leaching stage input.
References:
EC (2016). Electrochemical process for iron production – Mass balance and technical parameters, European Commission, Siderwin project.
Siderwin (2019). Low-temperature iron electrowinning pilot project (H2020 No. 768788).
Zhao, Y., et al. (2020). Electrochemical processing of iron. [Exact reference details may vary].
Lavelaine, B. (2019). Electrolysis materials for Siderwin cells, CEA, Siderwin deliverables.
West, A. (2020). CO₂-free ironmaking via electrolysis: a literature review.
ecoinvent v3.8. aluminium production, primary, liquid, prebake; IAI, EU27.</t>
        </is>
      </c>
    </row>
    <row r="3" ht="15" customHeight="1">
      <c r="A3" s="22" t="inlineStr">
        <is>
          <t>source</t>
        </is>
      </c>
      <c r="B3" s="22" t="inlineStr">
        <is>
          <t>Harpprecht C., Sacchi R., Naegler T., et al. "Future environmental impacts of global iron and steel production". Energy Environ Sci. (2025). doi: 10.1039/D5EE01356A</t>
        </is>
      </c>
      <c r="C3" s="21" t="n"/>
      <c r="D3" s="21" t="n"/>
      <c r="E3" s="21" t="n"/>
      <c r="F3" s="21" t="n"/>
      <c r="G3" s="21" t="n"/>
      <c r="H3" s="21" t="n"/>
    </row>
    <row r="4" ht="14" customHeight="1">
      <c r="A4" t="inlineStr">
        <is>
          <t>location</t>
        </is>
      </c>
      <c r="B4" t="inlineStr">
        <is>
          <t>GLO</t>
        </is>
      </c>
    </row>
    <row r="5" ht="14" customHeight="1">
      <c r="A5" t="inlineStr">
        <is>
          <t>reference product</t>
        </is>
      </c>
      <c r="B5" t="inlineStr">
        <is>
          <t>pig iron</t>
        </is>
      </c>
    </row>
    <row r="6" ht="14" customHeight="1">
      <c r="A6" t="inlineStr">
        <is>
          <t>unit</t>
        </is>
      </c>
      <c r="B6" t="inlineStr">
        <is>
          <t>kilogram</t>
        </is>
      </c>
    </row>
    <row r="7" ht="14" customHeight="1">
      <c r="A7" s="50" t="inlineStr">
        <is>
          <t>Exchanges</t>
        </is>
      </c>
    </row>
    <row r="8" ht="14" customHeight="1">
      <c r="A8" t="inlineStr">
        <is>
          <t>name</t>
        </is>
      </c>
      <c r="B8" s="20" t="inlineStr">
        <is>
          <t>amount</t>
        </is>
      </c>
      <c r="C8" s="20" t="inlineStr">
        <is>
          <t>database</t>
        </is>
      </c>
      <c r="D8" s="20" t="inlineStr">
        <is>
          <t>location</t>
        </is>
      </c>
      <c r="E8" s="20" t="inlineStr">
        <is>
          <t>unit</t>
        </is>
      </c>
      <c r="F8" s="20" t="inlineStr">
        <is>
          <t>categories</t>
        </is>
      </c>
      <c r="G8" s="20" t="inlineStr">
        <is>
          <t>type</t>
        </is>
      </c>
      <c r="H8" s="20" t="inlineStr">
        <is>
          <t>formula</t>
        </is>
      </c>
      <c r="I8" s="20" t="inlineStr">
        <is>
          <t>reference product</t>
        </is>
      </c>
      <c r="J8" s="20" t="inlineStr">
        <is>
          <t>comment</t>
        </is>
      </c>
      <c r="K8" s="20" t="inlineStr">
        <is>
          <t>replacement name</t>
        </is>
      </c>
      <c r="L8" s="20" t="inlineStr">
        <is>
          <t>replacement product</t>
        </is>
      </c>
      <c r="M8" s="20" t="inlineStr">
        <is>
          <t>replacement location</t>
        </is>
      </c>
    </row>
    <row r="9" ht="14" customHeight="1">
      <c r="A9" t="inlineStr">
        <is>
          <t>Hydroxide</t>
        </is>
      </c>
      <c r="B9">
        <f>0.45166875/2</f>
        <v>0.225834375</v>
      </c>
      <c r="C9" t="inlineStr">
        <is>
          <t>biosphere3</t>
        </is>
      </c>
      <c r="E9" t="inlineStr">
        <is>
          <t>kilogram</t>
        </is>
      </c>
      <c r="F9" t="inlineStr">
        <is>
          <t>water</t>
        </is>
      </c>
      <c r="G9" t="inlineStr">
        <is>
          <t>biosphere</t>
        </is>
      </c>
      <c r="H9" t="inlineStr">
        <is>
          <t>1.417*17/40*0.5*electrolyte_input</t>
        </is>
      </c>
      <c r="J9" t="inlineStr">
        <is>
          <t>&gt; assumption: electrolyte_input = 0.75 kg
NaOH is very soluble so in water this will immediately split in Na+ and OH- once in contact with water. 
Reaction: NaOH(s) + H2O(l) =&gt; Na+(aq) + OH-(aq) + H20 + Heat (strongly exothermic reaction)</t>
        </is>
      </c>
    </row>
    <row r="10" ht="14" customHeight="1">
      <c r="A10" t="inlineStr">
        <is>
          <t>Oxygen</t>
        </is>
      </c>
      <c r="B10" t="n">
        <v>0.417</v>
      </c>
      <c r="C10" t="inlineStr">
        <is>
          <t>biosphere3</t>
        </is>
      </c>
      <c r="E10" t="inlineStr">
        <is>
          <t>kilogram</t>
        </is>
      </c>
      <c r="F10" t="inlineStr">
        <is>
          <t>air</t>
        </is>
      </c>
      <c r="G10" t="inlineStr">
        <is>
          <t>biosphere</t>
        </is>
      </c>
      <c r="J10" s="57" t="inlineStr">
        <is>
          <t xml:space="preserve">&gt; assumption: 
O2 from input of 98% Fe2O3 in 1537 kg (O = 30.1 wt-% in Fe2O3) (Siderwin 2019):
0.98 * 0.301 * 1537 kg = 453.38 kg
If we take the number EC (2016) of output of 1085 kg of iron plate, we need to adjust the output of O2 slightly by -1.38 kg to still have a correct mass balance, which leads to 452 kg O2 output/1085 kg Fe-plate = 0.417 kg O2/kg Fe-plate
</t>
        </is>
      </c>
    </row>
    <row r="11" ht="14" customHeight="1">
      <c r="A11" t="inlineStr">
        <is>
          <t>Sodium, ion</t>
        </is>
      </c>
      <c r="B11">
        <f>0.61108125/2</f>
        <v>0.30554062500000001</v>
      </c>
      <c r="C11" t="inlineStr">
        <is>
          <t>biosphere3</t>
        </is>
      </c>
      <c r="E11" t="inlineStr">
        <is>
          <t>kilogram</t>
        </is>
      </c>
      <c r="F11" t="inlineStr">
        <is>
          <t>water</t>
        </is>
      </c>
      <c r="G11" t="inlineStr">
        <is>
          <t>biosphere</t>
        </is>
      </c>
      <c r="H11" t="inlineStr">
        <is>
          <t>1.417*23/40*0.5*electrolyte_input</t>
        </is>
      </c>
      <c r="J11" t="inlineStr">
        <is>
          <t>&gt; assumption: electrolyte_input = 0.75 kg
NaOH is very soluble so in water this will immediately split in Na+ and OH- once in contact with water. 
Reaction: NaOH(s) + H2O(l) =&gt; Na+(aq) + OH-(aq) + H20 + Heat (strongly exothermic reaction)</t>
        </is>
      </c>
    </row>
    <row r="12" ht="13.75" customHeight="1">
      <c r="A12" t="inlineStr">
        <is>
          <t>Water</t>
        </is>
      </c>
      <c r="B12">
        <f>0.00106275/2</f>
        <v>5.3137499999999995E-4</v>
      </c>
      <c r="C12" t="inlineStr">
        <is>
          <t>biosphere3</t>
        </is>
      </c>
      <c r="E12" t="inlineStr">
        <is>
          <t>cubic meter</t>
        </is>
      </c>
      <c r="F12" t="inlineStr">
        <is>
          <t>water</t>
        </is>
      </c>
      <c r="G12" t="inlineStr">
        <is>
          <t>biosphere</t>
        </is>
      </c>
      <c r="H12" t="inlineStr">
        <is>
          <t>1.417*0.5/1000*electrolyte_input</t>
        </is>
      </c>
      <c r="J12" t="inlineStr">
        <is>
          <t>&gt; assumption: electrolyte_input = 0.75 kg
NaOH is very soluble so in water this will immediately split in Na+ and OH- once in contact with water. 
Reaction: NaOH(s) + H2O(l) =&gt; Na+(aq) + OH-(aq) + H20 + Heat (strongly exothermic reaction)</t>
        </is>
      </c>
    </row>
    <row r="13" ht="14" customHeight="1">
      <c r="A13" t="inlineStr">
        <is>
          <t>pig iron production, by electrowinning</t>
        </is>
      </c>
      <c r="B13" t="n">
        <v>1</v>
      </c>
      <c r="C13" t="inlineStr">
        <is>
          <t>steel_paper</t>
        </is>
      </c>
      <c r="D13" t="inlineStr">
        <is>
          <t>GLO</t>
        </is>
      </c>
      <c r="E13" t="inlineStr">
        <is>
          <t>kilogram</t>
        </is>
      </c>
      <c r="G13" t="inlineStr">
        <is>
          <t>production</t>
        </is>
      </c>
      <c r="I13" t="inlineStr">
        <is>
          <t>pig iron</t>
        </is>
      </c>
    </row>
    <row r="14" ht="14" customHeight="1">
      <c r="A14" t="inlineStr">
        <is>
          <t>aluminium electrolysis facility construction</t>
        </is>
      </c>
      <c r="B14" t="n">
        <v>0</v>
      </c>
      <c r="C14" t="inlineStr">
        <is>
          <t>cutoff391</t>
        </is>
      </c>
      <c r="D14" t="inlineStr">
        <is>
          <t>RoW</t>
        </is>
      </c>
      <c r="E14" t="inlineStr">
        <is>
          <t>unit</t>
        </is>
      </c>
      <c r="G14" t="inlineStr">
        <is>
          <t>technosphere</t>
        </is>
      </c>
      <c r="I14" t="inlineStr">
        <is>
          <t>aluminium electrolysis facility</t>
        </is>
      </c>
      <c r="J14" s="9" t="inlineStr">
        <is>
          <t>&gt; assumption: as in ecoinvent process for aluminium electrolysis:
aluminium production, primary, liquid, prebake; IAI, EU27</t>
        </is>
      </c>
      <c r="K14" t="inlineStr">
        <is>
          <t>aluminium production, primary, liquid, prebake</t>
        </is>
      </c>
      <c r="L14" t="inlineStr">
        <is>
          <t>aluminium, primary, liquid</t>
        </is>
      </c>
      <c r="M14" t="inlineStr">
        <is>
          <t>IAI Area, EU27 &amp; EFTA</t>
        </is>
      </c>
    </row>
    <row r="15" ht="14" customHeight="1">
      <c r="A15" t="inlineStr">
        <is>
          <t>leaching of iron ore</t>
        </is>
      </c>
      <c r="B15" t="n">
        <v>1.417</v>
      </c>
      <c r="C15" t="inlineStr">
        <is>
          <t>steel_paper</t>
        </is>
      </c>
      <c r="D15" t="inlineStr">
        <is>
          <t>GLO</t>
        </is>
      </c>
      <c r="E15" t="inlineStr">
        <is>
          <t>kilogram</t>
        </is>
      </c>
      <c r="G15" t="inlineStr">
        <is>
          <t>technosphere</t>
        </is>
      </c>
      <c r="I15" t="inlineStr">
        <is>
          <t>iron oxide in alkaline solution</t>
        </is>
      </c>
      <c r="J15" t="inlineStr">
        <is>
          <t>&gt; source: Siderwin (2019), Figure 18: 1537 kg /1085 kg Fe-plate = 1.417 kg / kg Fe-plate</t>
        </is>
      </c>
    </row>
    <row r="16" ht="14" customHeight="1">
      <c r="A16" t="inlineStr">
        <is>
          <t>market for cathode, graphite</t>
        </is>
      </c>
      <c r="B16" t="n">
        <v>0.00555</v>
      </c>
      <c r="C16" t="inlineStr">
        <is>
          <t>steel_paper</t>
        </is>
      </c>
      <c r="D16" t="inlineStr">
        <is>
          <t>RoW</t>
        </is>
      </c>
      <c r="E16" t="inlineStr">
        <is>
          <t>kilogram</t>
        </is>
      </c>
      <c r="G16" t="inlineStr">
        <is>
          <t>technosphere</t>
        </is>
      </c>
      <c r="I16" t="inlineStr">
        <is>
          <t>cathode, graphite</t>
        </is>
      </c>
      <c r="J16" s="1" t="inlineStr">
        <is>
          <t>&gt; assumption: amount as in ecoinvent process for aluminium electrolysis:
"aluminium production, primary, liquid, prebake"; IAI, EU27</t>
        </is>
      </c>
    </row>
    <row r="17" ht="14" customHeight="1">
      <c r="A17" t="inlineStr">
        <is>
          <t>market group for electricity, low voltage</t>
        </is>
      </c>
      <c r="B17" t="n">
        <v>2.392</v>
      </c>
      <c r="C17" t="inlineStr">
        <is>
          <t>cutoff391</t>
        </is>
      </c>
      <c r="D17" t="inlineStr">
        <is>
          <t>GLO</t>
        </is>
      </c>
      <c r="E17" t="inlineStr">
        <is>
          <t>kilowatt hour</t>
        </is>
      </c>
      <c r="G17" t="inlineStr">
        <is>
          <t>technosphere</t>
        </is>
      </c>
      <c r="I17" t="inlineStr">
        <is>
          <t>electricity, low voltage</t>
        </is>
      </c>
      <c r="J17" t="inlineStr">
        <is>
          <t>&gt; source: Siderwin (2019), Figure 18: 2595 kWh /1085 kg Fe-plate = 2.39 kWh / kg Fe-plate</t>
        </is>
      </c>
    </row>
    <row r="18" ht="14" customHeight="1">
      <c r="A18" t="inlineStr">
        <is>
          <t>nickel anode production, for electrolysis of iron ore</t>
        </is>
      </c>
      <c r="B18" s="29" t="n">
        <v>1.86e-05</v>
      </c>
      <c r="C18" t="inlineStr">
        <is>
          <t>steel_paper</t>
        </is>
      </c>
      <c r="D18" t="inlineStr">
        <is>
          <t>GLO</t>
        </is>
      </c>
      <c r="E18" t="inlineStr">
        <is>
          <t>kilogram</t>
        </is>
      </c>
      <c r="G18" t="inlineStr">
        <is>
          <t>technosphere</t>
        </is>
      </c>
      <c r="H18" t="inlineStr">
        <is>
          <t>EW_nickel_anode_input</t>
        </is>
      </c>
      <c r="I18" t="inlineStr">
        <is>
          <t>nickel anode, for electrolysis of iron ore</t>
        </is>
      </c>
      <c r="J18" t="inlineStr">
        <is>
          <t>&gt;assumption: values might range from a) 0.0000186 to b) 0.0000597. For a): if production rate of Fe-plate = 50 kg Fe/day (Lavelaine 2019); for b) values from hydrogen production in alkaline electrolysis cell (Zhao et al. 2020). Effect of this range seems to be very negligible, therefore we use the value of the original Siderwin plant from Lavelaine (2019).</t>
        </is>
      </c>
    </row>
    <row r="19"/>
    <row r="20" ht="14" customHeight="1">
      <c r="A20" s="50" t="inlineStr">
        <is>
          <t>Activity</t>
        </is>
      </c>
      <c r="B20" s="50" t="inlineStr">
        <is>
          <t>leaching of iron ore</t>
        </is>
      </c>
    </row>
    <row r="21" ht="14" customHeight="1">
      <c r="A21" t="inlineStr">
        <is>
          <t>comment</t>
        </is>
      </c>
      <c r="B21" s="57" t="inlineStr">
        <is>
          <t>This dataset models the leaching step in the Siderwin process, used to purify hematite (Fe₂O₃) ore to ~98% purity before electrowinning. The process is inspired by the Bayer process for aluminium production (as represented in ecoinvent’s aluminium hydroxide production), using a 50 wt% NaOH–H₂O alkaline solution at ~110 °C. The gangue is precipitated through the formation of grossularite (Ca₃Al₂Si₃O₁₂), via addition of quicklime (CaO), following reactions documented in Siderwin (2019) and EC (2016).
1) Electrolyte input:
Based on EC (2016), optimal Faradaic yield is achieved when 40 wt% Fe₂O₃ is suspended in 60 wt% NaOH–H₂O solution. This yields a solution-to-Fe₂O₃ mass ratio of 1.5.
Worst-case: no electrolyte recycling → 1.5 kg NaOH–H₂O solution per 1 kg Fe₂O₃
Assumed case: 50% recycling → 0.75 kg solution/kg Fe₂O₃, as suggested in the final Siderwin webinar (2023)
2) Inert waste:
Impurities are precipitated by alkaline dissolution and lime treatment, forming the mineral grossular (Ca₃Al₂Si₃O₁₂) through the reaction:
3 SiO₂ + Al₂O₃ + 3 CaO → Ca₃Al₂Si₃O₁₂
This results in inert slag-like waste composed mainly of silicon-aluminate compounds.
References:
Siderwin (2019). Deliverable D7.1 – Technical performance of SIDERWIN process. EU H2020 project SIDERWIN (Grant No. 768788).
EC (2016). Electrochemical iron production – Process optimization and parameterization. European Commission internal report.
Siderwin Webinar (2023). Q&amp;A document from final webinar held on March 23, 2023. Available online
ecoinvent v3.8. Aluminium hydroxide production dataset (Bayer process proxy).</t>
        </is>
      </c>
    </row>
    <row r="22" ht="15" customHeight="1">
      <c r="A22" s="22" t="inlineStr">
        <is>
          <t>source</t>
        </is>
      </c>
      <c r="B22" s="22" t="inlineStr">
        <is>
          <t>Harpprecht C., Sacchi R., Naegler T., et al. "Future environmental impacts of global iron and steel production". Energy Environ Sci. (2025). doi: 10.1039/D5EE01356A</t>
        </is>
      </c>
      <c r="C22" s="21" t="n"/>
      <c r="D22" s="21" t="n"/>
      <c r="E22" s="21" t="n"/>
      <c r="F22" s="21" t="n"/>
      <c r="G22" s="21" t="n"/>
      <c r="H22" s="21" t="n"/>
    </row>
    <row r="23" ht="14" customHeight="1">
      <c r="A23" t="inlineStr">
        <is>
          <t>location</t>
        </is>
      </c>
      <c r="B23" t="inlineStr">
        <is>
          <t>GLO</t>
        </is>
      </c>
    </row>
    <row r="24" ht="14" customHeight="1">
      <c r="A24" t="inlineStr">
        <is>
          <t>reference product</t>
        </is>
      </c>
      <c r="B24" t="inlineStr">
        <is>
          <t>iron oxide in alkaline solution</t>
        </is>
      </c>
    </row>
    <row r="25" ht="14" customHeight="1">
      <c r="A25" t="inlineStr">
        <is>
          <t>unit</t>
        </is>
      </c>
      <c r="B25" t="inlineStr">
        <is>
          <t>kilogram</t>
        </is>
      </c>
    </row>
    <row r="26" ht="14" customHeight="1">
      <c r="A26" s="50" t="inlineStr">
        <is>
          <t>Exchanges</t>
        </is>
      </c>
    </row>
    <row r="27" ht="14" customHeight="1">
      <c r="A27" t="inlineStr">
        <is>
          <t>name</t>
        </is>
      </c>
      <c r="B27" s="20" t="inlineStr">
        <is>
          <t>amount</t>
        </is>
      </c>
      <c r="C27" s="20" t="inlineStr">
        <is>
          <t>database</t>
        </is>
      </c>
      <c r="D27" s="20" t="inlineStr">
        <is>
          <t>location</t>
        </is>
      </c>
      <c r="E27" s="20" t="inlineStr">
        <is>
          <t>unit</t>
        </is>
      </c>
      <c r="F27" s="20" t="inlineStr">
        <is>
          <t>type</t>
        </is>
      </c>
      <c r="G27" s="20" t="inlineStr">
        <is>
          <t>formula</t>
        </is>
      </c>
      <c r="H27" s="20" t="inlineStr">
        <is>
          <t>reference product</t>
        </is>
      </c>
      <c r="I27" s="20" t="inlineStr">
        <is>
          <t>comment</t>
        </is>
      </c>
      <c r="J27" s="20" t="inlineStr">
        <is>
          <t>replacement name</t>
        </is>
      </c>
      <c r="K27" s="20" t="inlineStr">
        <is>
          <t>replacement product</t>
        </is>
      </c>
      <c r="L27" s="20" t="inlineStr">
        <is>
          <t>replacement location</t>
        </is>
      </c>
    </row>
    <row r="28" ht="14" customHeight="1">
      <c r="A28" t="inlineStr">
        <is>
          <t>leaching of iron ore</t>
        </is>
      </c>
      <c r="B28" t="n">
        <v>1</v>
      </c>
      <c r="C28" t="inlineStr">
        <is>
          <t>steel_paper</t>
        </is>
      </c>
      <c r="D28" t="inlineStr">
        <is>
          <t>GLO</t>
        </is>
      </c>
      <c r="E28" t="inlineStr">
        <is>
          <t>kilogram</t>
        </is>
      </c>
      <c r="F28" t="inlineStr">
        <is>
          <t>production</t>
        </is>
      </c>
      <c r="H28" t="inlineStr">
        <is>
          <t>iron oxide in alkaline solution</t>
        </is>
      </c>
    </row>
    <row r="29" ht="14" customHeight="1">
      <c r="A29" t="inlineStr">
        <is>
          <t>market for aluminium hydroxide factory</t>
        </is>
      </c>
      <c r="B29" t="n">
        <v>0</v>
      </c>
      <c r="C29" t="inlineStr">
        <is>
          <t>cutoff391</t>
        </is>
      </c>
      <c r="D29" t="inlineStr">
        <is>
          <t>GLO</t>
        </is>
      </c>
      <c r="E29" t="inlineStr">
        <is>
          <t>unit</t>
        </is>
      </c>
      <c r="F29" t="inlineStr">
        <is>
          <t>technosphere</t>
        </is>
      </c>
      <c r="H29" t="inlineStr">
        <is>
          <t>aluminium hydroxide factory</t>
        </is>
      </c>
      <c r="I29" s="1" t="inlineStr">
        <is>
          <t>&gt; assumption: as in ecoinvent process of aluminium hydroxide production</t>
        </is>
      </c>
      <c r="J29" t="inlineStr">
        <is>
          <t>aluminium hydroxide production</t>
        </is>
      </c>
      <c r="K29" t="inlineStr">
        <is>
          <t>aluminium hydroxide</t>
        </is>
      </c>
      <c r="L29" t="inlineStr">
        <is>
          <t>RoW</t>
        </is>
      </c>
    </row>
    <row r="30" ht="14" customHeight="1">
      <c r="A30" t="inlineStr">
        <is>
          <t>market for inert waste, for final disposal</t>
        </is>
      </c>
      <c r="B30" t="n">
        <v>-0.0511</v>
      </c>
      <c r="C30" t="inlineStr">
        <is>
          <t>cutoff391</t>
        </is>
      </c>
      <c r="D30" t="inlineStr">
        <is>
          <t>RoW</t>
        </is>
      </c>
      <c r="E30" t="inlineStr">
        <is>
          <t>kilogram</t>
        </is>
      </c>
      <c r="F30" t="inlineStr">
        <is>
          <t>technosphere</t>
        </is>
      </c>
      <c r="H30" t="inlineStr">
        <is>
          <t>inert waste, for final disposal</t>
        </is>
      </c>
      <c r="I30" s="1" t="inlineStr">
        <is>
          <t>&gt; assumption: 
Leaching removes gangue by alkaline dissolution and lime precipitation of silicon aluminate as grossularite:
Value: 78.5 kg  / 1537 kg Fe2O3 = 0.0511 kg
based on: Siderwin (2019), Figure 18
Impurities from 95% hematite (Si-aluminate) = 0.05 * 1585 kg – 0.02 * 1537 kg = 48.5 kg
30 kg lime CaO
48.5 kg + 30 kg = 78.5 kg
mass-ratio solution vs. Fe2O3= 1.5 kg
waste flow as in ecoinvent process of aluminium hydroxide production.</t>
        </is>
      </c>
    </row>
    <row r="31" ht="14" customHeight="1">
      <c r="A31" t="inlineStr">
        <is>
          <t>market for quicklime, milled, loose</t>
        </is>
      </c>
      <c r="B31" t="n">
        <v>0.0195</v>
      </c>
      <c r="C31" t="inlineStr">
        <is>
          <t>cutoff391</t>
        </is>
      </c>
      <c r="D31" t="inlineStr">
        <is>
          <t>RoW</t>
        </is>
      </c>
      <c r="E31" t="inlineStr">
        <is>
          <t>kilogram</t>
        </is>
      </c>
      <c r="F31" t="inlineStr">
        <is>
          <t>technosphere</t>
        </is>
      </c>
      <c r="H31" t="inlineStr">
        <is>
          <t>quicklime, milled, loose</t>
        </is>
      </c>
      <c r="I31" s="1" t="inlineStr">
        <is>
          <t>&gt; assumption: flow as in ecoinvent process of aluminium hydroxide production
&gt; source: Siderwin (2019), Figure 18: 30 kg / 1537 kg = 0.0195 kg</t>
        </is>
      </c>
    </row>
    <row r="32" ht="14" customHeight="1">
      <c r="A32" t="inlineStr">
        <is>
          <t>market group for electricity, medium voltage</t>
        </is>
      </c>
      <c r="B32" t="n">
        <v>0.13</v>
      </c>
      <c r="C32" t="inlineStr">
        <is>
          <t>cutoff391</t>
        </is>
      </c>
      <c r="D32" t="inlineStr">
        <is>
          <t>GLO</t>
        </is>
      </c>
      <c r="E32" t="inlineStr">
        <is>
          <t>kilowatt hour</t>
        </is>
      </c>
      <c r="F32" t="inlineStr">
        <is>
          <t>technosphere</t>
        </is>
      </c>
      <c r="H32" t="inlineStr">
        <is>
          <t>electricity, medium voltage</t>
        </is>
      </c>
      <c r="I32" s="1" t="inlineStr">
        <is>
          <t>&gt; assumption: medium voltage as in ecoinvent process of aluminium hydroxide production.
&gt; source: Siderwin (2019), Figure 18: Value: 200 kWh / 1537 kg =  0.13 kWh / kg</t>
        </is>
      </c>
    </row>
    <row r="33" ht="14" customHeight="1">
      <c r="A33" t="inlineStr">
        <is>
          <t>production of alkaline solution from sodium hydroxide of 50 wt-%</t>
        </is>
      </c>
      <c r="B33" t="n">
        <v>0.75</v>
      </c>
      <c r="C33" t="inlineStr">
        <is>
          <t>steel_paper</t>
        </is>
      </c>
      <c r="D33" t="inlineStr">
        <is>
          <t>GLO</t>
        </is>
      </c>
      <c r="E33" t="inlineStr">
        <is>
          <t>kilogram</t>
        </is>
      </c>
      <c r="F33" t="inlineStr">
        <is>
          <t>technosphere</t>
        </is>
      </c>
      <c r="G33" t="inlineStr">
        <is>
          <t>electrolyte_input</t>
        </is>
      </c>
      <c r="H33" t="inlineStr">
        <is>
          <t>alkaline solution with 50 wt-% sodium hydroxide</t>
        </is>
      </c>
      <c r="I33" t="inlineStr">
        <is>
          <t>&gt; assumption: electrolyte_input = 0.75 kg, recycling rate of electrolyte = 50%, if no recycling: 1.5 kg / kg iron oxide based on (EC 2016)</t>
        </is>
      </c>
    </row>
    <row r="34" ht="14" customHeight="1">
      <c r="A34" t="inlineStr">
        <is>
          <t>ultrafine grinding of iron ore</t>
        </is>
      </c>
      <c r="B34" t="n">
        <v>1.031</v>
      </c>
      <c r="C34" t="inlineStr">
        <is>
          <t>steel_paper</t>
        </is>
      </c>
      <c r="D34" t="inlineStr">
        <is>
          <t>GLO</t>
        </is>
      </c>
      <c r="E34" t="inlineStr">
        <is>
          <t>kilogram</t>
        </is>
      </c>
      <c r="F34" t="inlineStr">
        <is>
          <t>technosphere</t>
        </is>
      </c>
      <c r="H34" t="inlineStr">
        <is>
          <t>iron ore, ultrafine ground</t>
        </is>
      </c>
      <c r="I34" t="inlineStr">
        <is>
          <t>&gt; source: Siderwin (2019), Figure 18: 1585 kg / 1537 kg = 1.031 kg</t>
        </is>
      </c>
    </row>
    <row r="35"/>
    <row r="36" ht="14" customHeight="1">
      <c r="A36" s="50" t="inlineStr">
        <is>
          <t>Activity</t>
        </is>
      </c>
      <c r="B36" s="50" t="inlineStr">
        <is>
          <t>market for cathode, graphite</t>
        </is>
      </c>
    </row>
    <row r="37" ht="14" customHeight="1">
      <c r="A37" t="inlineStr">
        <is>
          <t>comment</t>
        </is>
      </c>
      <c r="B37" s="57" t="inlineStr">
        <is>
          <t>This dataset represents the production of graphite cathodes used in the electrowinning step of the SIDERWIN process for iron production. Graphite is selected based on its chemical stability and conductivity, as recommended by the IERO project (EC 2016, Task 2.6). Due to lack of specific graphite cathode datasets in ecoinvent, a proxy was created by adapting the existing dataset for graphite anodes used in Li-ion battery production.
Original data source:
ecoinvent v3.8 cutoff
Original process: market for anode, graphite, for Li-ion battery
Original reference flow: anode, graphite, for Li-ion battery
Geography: RoW
Modifications by Harpprecht et al. (2025):
Renamed the reference product from anode, graphite, for Li-ion battery to cathode, graphite
Renamed the dataset title from market for anode, graphite, for Li-ion battery to market for cathode, graphite
No changes to the underlying life cycle inventory except renaming; assumed production technology is suitable as a proxy for cathode manufacturing
References:
EC (2016). IERO Project – Innovative Electrochemical Reduction of Oxygen for Sustainable Iron Production. Task 2.6: Materials selection and design of electrodes.
ecoinvent v3.8. Anode, graphite, for Li-ion battery and associated market datasets.</t>
        </is>
      </c>
    </row>
    <row r="38" ht="14" customHeight="1">
      <c r="A38" t="inlineStr">
        <is>
          <t>location</t>
        </is>
      </c>
      <c r="B38" t="inlineStr">
        <is>
          <t>RoW</t>
        </is>
      </c>
    </row>
    <row r="39" ht="14" customHeight="1">
      <c r="A39" t="inlineStr">
        <is>
          <t>production amount</t>
        </is>
      </c>
      <c r="B39" t="n">
        <v>1</v>
      </c>
    </row>
    <row r="40" ht="14" customHeight="1">
      <c r="A40" t="inlineStr">
        <is>
          <t>reference product</t>
        </is>
      </c>
      <c r="B40" t="inlineStr">
        <is>
          <t>cathode, graphite</t>
        </is>
      </c>
    </row>
    <row r="41" ht="14" customHeight="1">
      <c r="A41" t="inlineStr">
        <is>
          <t>unit</t>
        </is>
      </c>
      <c r="B41" t="inlineStr">
        <is>
          <t>kilogram</t>
        </is>
      </c>
    </row>
    <row r="42" ht="14" customHeight="1">
      <c r="A42" s="50" t="inlineStr">
        <is>
          <t>Exchanges</t>
        </is>
      </c>
    </row>
    <row r="43" ht="14" customHeight="1">
      <c r="A43" t="inlineStr">
        <is>
          <t>name</t>
        </is>
      </c>
      <c r="B43" s="20" t="inlineStr">
        <is>
          <t>amount</t>
        </is>
      </c>
      <c r="C43" s="20" t="inlineStr">
        <is>
          <t>database</t>
        </is>
      </c>
      <c r="D43" s="20" t="inlineStr">
        <is>
          <t>location</t>
        </is>
      </c>
      <c r="E43" s="20" t="inlineStr">
        <is>
          <t>unit</t>
        </is>
      </c>
      <c r="F43" s="20" t="inlineStr">
        <is>
          <t>type</t>
        </is>
      </c>
      <c r="G43" s="20" t="inlineStr">
        <is>
          <t>uncertainty type</t>
        </is>
      </c>
      <c r="H43" s="20" t="inlineStr">
        <is>
          <t>loc</t>
        </is>
      </c>
      <c r="I43" s="20" t="inlineStr">
        <is>
          <t>comment</t>
        </is>
      </c>
      <c r="J43" s="20" t="inlineStr">
        <is>
          <t>production volume</t>
        </is>
      </c>
      <c r="K43" s="20" t="inlineStr">
        <is>
          <t>reference product</t>
        </is>
      </c>
      <c r="L43" s="20" t="inlineStr">
        <is>
          <t>replacement name</t>
        </is>
      </c>
      <c r="M43" s="20" t="inlineStr">
        <is>
          <t>replacement product</t>
        </is>
      </c>
      <c r="N43" s="20" t="inlineStr">
        <is>
          <t>replacement location</t>
        </is>
      </c>
    </row>
    <row r="44" ht="14" customHeight="1">
      <c r="A44" t="inlineStr">
        <is>
          <t>market for cathode, graphite</t>
        </is>
      </c>
      <c r="B44" t="n">
        <v>1</v>
      </c>
      <c r="C44" t="inlineStr">
        <is>
          <t>steel_paper</t>
        </is>
      </c>
      <c r="D44" t="inlineStr">
        <is>
          <t>RoW</t>
        </is>
      </c>
      <c r="E44" t="inlineStr">
        <is>
          <t>kilogram</t>
        </is>
      </c>
      <c r="F44" t="inlineStr">
        <is>
          <t>production</t>
        </is>
      </c>
      <c r="G44" t="n">
        <v>0</v>
      </c>
      <c r="I44" t="inlineStr">
        <is>
          <t>&gt; Modifications by Harpprecht et al. (2025):  renamed dataset</t>
        </is>
      </c>
      <c r="J44" t="n">
        <v>33742329.23</v>
      </c>
      <c r="K44" t="inlineStr">
        <is>
          <t>cathode, graphite</t>
        </is>
      </c>
    </row>
    <row r="45" ht="14" customHeight="1">
      <c r="A45" t="inlineStr">
        <is>
          <t>anode production, graphite, for Li-ion battery</t>
        </is>
      </c>
      <c r="B45" t="n">
        <v>0</v>
      </c>
      <c r="C45" t="inlineStr">
        <is>
          <t>cutoff391</t>
        </is>
      </c>
      <c r="D45" t="inlineStr">
        <is>
          <t>RoW</t>
        </is>
      </c>
      <c r="E45" t="inlineStr">
        <is>
          <t>kilogram</t>
        </is>
      </c>
      <c r="F45" t="inlineStr">
        <is>
          <t>technosphere</t>
        </is>
      </c>
      <c r="G45" t="n">
        <v>0</v>
      </c>
      <c r="J45" t="n">
        <v>33742329.23</v>
      </c>
      <c r="K45" t="inlineStr">
        <is>
          <t>anode, graphite, for Li-ion battery</t>
        </is>
      </c>
      <c r="L45" t="inlineStr">
        <is>
          <t>market for anode, graphite, for Li-ion battery</t>
        </is>
      </c>
      <c r="M45" t="inlineStr">
        <is>
          <t>anode, graphite, for Li-ion battery</t>
        </is>
      </c>
      <c r="N45" t="inlineStr">
        <is>
          <t>RoW</t>
        </is>
      </c>
    </row>
    <row r="46" ht="14" customHeight="1">
      <c r="A46" t="inlineStr">
        <is>
          <t>market for transport, freight train</t>
        </is>
      </c>
      <c r="B46" t="n">
        <v>0</v>
      </c>
      <c r="C46" t="inlineStr">
        <is>
          <t>cutoff391</t>
        </is>
      </c>
      <c r="D46" t="inlineStr">
        <is>
          <t>IN</t>
        </is>
      </c>
      <c r="E46" t="inlineStr">
        <is>
          <t>ton kilometer</t>
        </is>
      </c>
      <c r="F46" t="inlineStr">
        <is>
          <t>technosphere</t>
        </is>
      </c>
      <c r="G46" t="n">
        <v>0</v>
      </c>
      <c r="I46" s="57" t="inlineStr">
        <is>
          <t>&gt; original ecoinvent data:
&lt;Original ecoinvent 3.8 comment: &gt;
Transport distances are based on the ecoinvent "Default Transport Assumptions" model, accessible on the ecoinvent website.</t>
        </is>
      </c>
      <c r="J46" t="n">
        <v>0</v>
      </c>
      <c r="K46" t="inlineStr">
        <is>
          <t>transport, freight train</t>
        </is>
      </c>
      <c r="L46" t="inlineStr">
        <is>
          <t>market for anode, graphite, for Li-ion battery</t>
        </is>
      </c>
      <c r="M46" t="inlineStr">
        <is>
          <t>anode, graphite, for Li-ion battery</t>
        </is>
      </c>
      <c r="N46" t="inlineStr">
        <is>
          <t>RoW</t>
        </is>
      </c>
    </row>
    <row r="47" ht="14" customHeight="1">
      <c r="A47" t="inlineStr">
        <is>
          <t>market for transport, freight train</t>
        </is>
      </c>
      <c r="B47" t="n">
        <v>0</v>
      </c>
      <c r="C47" t="inlineStr">
        <is>
          <t>cutoff391</t>
        </is>
      </c>
      <c r="D47" t="inlineStr">
        <is>
          <t>US</t>
        </is>
      </c>
      <c r="E47" t="inlineStr">
        <is>
          <t>ton kilometer</t>
        </is>
      </c>
      <c r="F47" t="inlineStr">
        <is>
          <t>technosphere</t>
        </is>
      </c>
      <c r="G47" t="n">
        <v>0</v>
      </c>
      <c r="I47" s="57" t="inlineStr">
        <is>
          <t>&gt; original ecoinvent data:
&lt;Original ecoinvent 3.8 comment: &gt;
Transport distances are based on the ecoinvent "Default Transport Assumptions" model, accessible on the ecoinvent website.</t>
        </is>
      </c>
      <c r="J47" t="n">
        <v>0</v>
      </c>
      <c r="K47" t="inlineStr">
        <is>
          <t>transport, freight train</t>
        </is>
      </c>
      <c r="L47" t="inlineStr">
        <is>
          <t>market for anode, graphite, for Li-ion battery</t>
        </is>
      </c>
      <c r="M47" t="inlineStr">
        <is>
          <t>anode, graphite, for Li-ion battery</t>
        </is>
      </c>
      <c r="N47" t="inlineStr">
        <is>
          <t>RoW</t>
        </is>
      </c>
    </row>
    <row r="48" ht="14" customHeight="1">
      <c r="A48" t="inlineStr">
        <is>
          <t>market for transport, freight train</t>
        </is>
      </c>
      <c r="B48" t="n">
        <v>0</v>
      </c>
      <c r="C48" t="inlineStr">
        <is>
          <t>cutoff391</t>
        </is>
      </c>
      <c r="D48" t="inlineStr">
        <is>
          <t>ZA</t>
        </is>
      </c>
      <c r="E48" t="inlineStr">
        <is>
          <t>ton kilometer</t>
        </is>
      </c>
      <c r="F48" t="inlineStr">
        <is>
          <t>technosphere</t>
        </is>
      </c>
      <c r="G48" t="n">
        <v>0</v>
      </c>
      <c r="I48" s="57" t="inlineStr">
        <is>
          <t>&gt; original ecoinvent data:
&lt;Original ecoinvent 3.8 comment: &gt;
Transport distances are based on the ecoinvent "Default Transport Assumptions" model, accessible on the ecoinvent website.</t>
        </is>
      </c>
      <c r="J48" t="n">
        <v>0</v>
      </c>
      <c r="K48" t="inlineStr">
        <is>
          <t>transport, freight train</t>
        </is>
      </c>
      <c r="L48" t="inlineStr">
        <is>
          <t>market for anode, graphite, for Li-ion battery</t>
        </is>
      </c>
      <c r="M48" t="inlineStr">
        <is>
          <t>anode, graphite, for Li-ion battery</t>
        </is>
      </c>
      <c r="N48" t="inlineStr">
        <is>
          <t>RoW</t>
        </is>
      </c>
    </row>
    <row r="49" ht="14" customHeight="1">
      <c r="A49" t="inlineStr">
        <is>
          <t>market for transport, freight train</t>
        </is>
      </c>
      <c r="B49" t="n">
        <v>0</v>
      </c>
      <c r="C49" t="inlineStr">
        <is>
          <t>cutoff391</t>
        </is>
      </c>
      <c r="D49" t="inlineStr">
        <is>
          <t>RoW</t>
        </is>
      </c>
      <c r="E49" t="inlineStr">
        <is>
          <t>ton kilometer</t>
        </is>
      </c>
      <c r="F49" t="inlineStr">
        <is>
          <t>technosphere</t>
        </is>
      </c>
      <c r="G49" t="n">
        <v>0</v>
      </c>
      <c r="I49" s="57" t="inlineStr">
        <is>
          <t>&gt; original ecoinvent data:
&lt;Original ecoinvent 3.8 comment: &gt;
Transport distances are based on the ecoinvent "Default Transport Assumptions" model, accessible on the ecoinvent website.</t>
        </is>
      </c>
      <c r="J49" t="n">
        <v>0</v>
      </c>
      <c r="K49" t="inlineStr">
        <is>
          <t>transport, freight train</t>
        </is>
      </c>
      <c r="L49" t="inlineStr">
        <is>
          <t>market for anode, graphite, for Li-ion battery</t>
        </is>
      </c>
      <c r="M49" t="inlineStr">
        <is>
          <t>anode, graphite, for Li-ion battery</t>
        </is>
      </c>
      <c r="N49" t="inlineStr">
        <is>
          <t>RoW</t>
        </is>
      </c>
    </row>
    <row r="50" ht="14" customHeight="1">
      <c r="A50" t="inlineStr">
        <is>
          <t>market group for transport, freight, lorry, unspecified</t>
        </is>
      </c>
      <c r="B50" t="n">
        <v>0</v>
      </c>
      <c r="C50" t="inlineStr">
        <is>
          <t>cutoff391</t>
        </is>
      </c>
      <c r="D50" t="inlineStr">
        <is>
          <t>GLO</t>
        </is>
      </c>
      <c r="E50" t="inlineStr">
        <is>
          <t>ton kilometer</t>
        </is>
      </c>
      <c r="F50" t="inlineStr">
        <is>
          <t>technosphere</t>
        </is>
      </c>
      <c r="G50" t="n">
        <v>0</v>
      </c>
      <c r="I50" s="57" t="inlineStr">
        <is>
          <t>&gt; original ecoinvent data:
&lt;Original ecoinvent 3.8 comment: &gt;
Transport distances are based on the ecoinvent "Default Transport Assumptions" model, accessible on the ecoinvent website.</t>
        </is>
      </c>
      <c r="J50" t="n">
        <v>0</v>
      </c>
      <c r="K50" t="inlineStr">
        <is>
          <t>transport, freight, lorry, unspecified</t>
        </is>
      </c>
      <c r="L50" t="inlineStr">
        <is>
          <t>market for anode, graphite, for Li-ion battery</t>
        </is>
      </c>
      <c r="M50" t="inlineStr">
        <is>
          <t>anode, graphite, for Li-ion battery</t>
        </is>
      </c>
      <c r="N50" t="inlineStr">
        <is>
          <t>RoW</t>
        </is>
      </c>
    </row>
    <row r="51" ht="14" customHeight="1">
      <c r="A51" t="inlineStr">
        <is>
          <t>market for transport, freight, sea, container ship</t>
        </is>
      </c>
      <c r="B51" t="n">
        <v>0</v>
      </c>
      <c r="C51" t="inlineStr">
        <is>
          <t>cutoff391</t>
        </is>
      </c>
      <c r="D51" t="inlineStr">
        <is>
          <t>GLO</t>
        </is>
      </c>
      <c r="E51" t="inlineStr">
        <is>
          <t>ton kilometer</t>
        </is>
      </c>
      <c r="F51" t="inlineStr">
        <is>
          <t>technosphere</t>
        </is>
      </c>
      <c r="G51" t="n">
        <v>0</v>
      </c>
      <c r="I51" s="57" t="inlineStr">
        <is>
          <t>&gt; original ecoinvent data:
&lt;Original ecoinvent 3.8 comment: &gt;
Transport distances are based on the ecoinvent "Default Transport Assumptions" model, accessible on the ecoinvent website.</t>
        </is>
      </c>
      <c r="J51" t="n">
        <v>0</v>
      </c>
      <c r="K51" t="inlineStr">
        <is>
          <t>transport, freight, sea, container ship</t>
        </is>
      </c>
      <c r="L51" t="inlineStr">
        <is>
          <t>market for anode, graphite, for Li-ion battery</t>
        </is>
      </c>
      <c r="M51" t="inlineStr">
        <is>
          <t>anode, graphite, for Li-ion battery</t>
        </is>
      </c>
      <c r="N51" t="inlineStr">
        <is>
          <t>RoW</t>
        </is>
      </c>
    </row>
    <row r="52" ht="14" customHeight="1">
      <c r="A52" t="inlineStr">
        <is>
          <t>market group for transport, freight train</t>
        </is>
      </c>
      <c r="B52" t="n">
        <v>0</v>
      </c>
      <c r="C52" t="inlineStr">
        <is>
          <t>cutoff391</t>
        </is>
      </c>
      <c r="D52" t="inlineStr">
        <is>
          <t>RER</t>
        </is>
      </c>
      <c r="E52" t="inlineStr">
        <is>
          <t>ton kilometer</t>
        </is>
      </c>
      <c r="F52" t="inlineStr">
        <is>
          <t>technosphere</t>
        </is>
      </c>
      <c r="G52" t="n">
        <v>0</v>
      </c>
      <c r="I52" s="57" t="inlineStr">
        <is>
          <t>&gt; original ecoinvent data:
&lt;Original ecoinvent 3.8 comment: &gt;
Transport distances are based on the ecoinvent "Default Transport Assumptions" model, accessible on the ecoinvent website.</t>
        </is>
      </c>
      <c r="J52" t="n">
        <v>0</v>
      </c>
      <c r="K52" t="inlineStr">
        <is>
          <t>transport, freight train</t>
        </is>
      </c>
      <c r="L52" t="inlineStr">
        <is>
          <t>market for anode, graphite, for Li-ion battery</t>
        </is>
      </c>
      <c r="M52" t="inlineStr">
        <is>
          <t>anode, graphite, for Li-ion battery</t>
        </is>
      </c>
      <c r="N52" t="inlineStr">
        <is>
          <t>RoW</t>
        </is>
      </c>
    </row>
    <row r="53"/>
    <row r="54" ht="14" customHeight="1">
      <c r="A54" s="50" t="inlineStr">
        <is>
          <t>Activity</t>
        </is>
      </c>
      <c r="B54" s="50" t="inlineStr">
        <is>
          <t>nickel anode production, for electrolysis of iron ore</t>
        </is>
      </c>
    </row>
    <row r="55" ht="14" customHeight="1">
      <c r="A55" t="inlineStr">
        <is>
          <t>comment</t>
        </is>
      </c>
      <c r="B55" s="57" t="inlineStr">
        <is>
          <t>This dataset represents the production of nickel-based anodes for use in electrowinning processes such as the SIDERWIN low-temperature iron production route. It is based on the ecoinvent 3.8 dataset for generic anode production for metal electrolysis but adapted to reflect a change in material input and global applicability.
Original data source:
ecoinvent v3.8 cutoff system model
Original process: anode production, for metal electrolysis
Original geography: RER (Europe)
Modifications by Harpprecht et al. (2025):
Geographic scope changed from RER to global (GLO)
Material inputs modified:
Removed inputs such as coke and pitch (not applicable to nickel-based anodes)
Added nickel as the primary material input, based on its use in alkaline electrolysis anodes (e.g., Zhao et al. 2020; Lavelaine 2019)
Technosphere inputs (e.g., electricity, infrastructure) retained from the original dataset
Biosphere flows:
Water input kept as in the original
Other emissions to air or water not included due to lack of robust data
References:
Harpprecht, C. et al. (2025). Modifications as part of prospective LCI development for iron and steelmaking.
ecoinvent v3.8. Anode production, for metal electrolysis (RER).
Zhao, W. et al. (2020). Study on material degradation of nickel-based anodes in alkaline electrolysis.
Lavelaine, N. (2019). Nickel-based electrode materials for alkaline electrolysis: Performance and lifetime considerations.</t>
        </is>
      </c>
    </row>
    <row r="56" ht="14" customHeight="1">
      <c r="A56" t="inlineStr">
        <is>
          <t>location</t>
        </is>
      </c>
      <c r="B56" t="inlineStr">
        <is>
          <t>GLO</t>
        </is>
      </c>
    </row>
    <row r="57" ht="14" customHeight="1">
      <c r="A57" t="inlineStr">
        <is>
          <t>reference product</t>
        </is>
      </c>
      <c r="B57" t="inlineStr">
        <is>
          <t>nickel anode, for electrolysis of iron ore</t>
        </is>
      </c>
    </row>
    <row r="58" ht="14" customHeight="1">
      <c r="A58" t="inlineStr">
        <is>
          <t>unit</t>
        </is>
      </c>
      <c r="B58" t="inlineStr">
        <is>
          <t>kilogram</t>
        </is>
      </c>
    </row>
    <row r="59" ht="14" customHeight="1">
      <c r="A59" s="50" t="inlineStr">
        <is>
          <t>Exchanges</t>
        </is>
      </c>
    </row>
    <row r="60" ht="14" customFormat="1" customHeight="1" s="20">
      <c r="A60" t="inlineStr">
        <is>
          <t>name</t>
        </is>
      </c>
      <c r="B60" s="20" t="inlineStr">
        <is>
          <t>amount</t>
        </is>
      </c>
      <c r="C60" s="20" t="inlineStr">
        <is>
          <t>database</t>
        </is>
      </c>
      <c r="D60" s="20" t="inlineStr">
        <is>
          <t>location</t>
        </is>
      </c>
      <c r="E60" s="20" t="inlineStr">
        <is>
          <t>unit</t>
        </is>
      </c>
      <c r="F60" s="20" t="inlineStr">
        <is>
          <t>categories</t>
        </is>
      </c>
      <c r="G60" s="20" t="inlineStr">
        <is>
          <t>type</t>
        </is>
      </c>
      <c r="H60" s="20" t="inlineStr">
        <is>
          <t>reference product</t>
        </is>
      </c>
      <c r="I60" s="20" t="inlineStr">
        <is>
          <t>comment</t>
        </is>
      </c>
      <c r="J60" s="20" t="inlineStr">
        <is>
          <t>replacement name</t>
        </is>
      </c>
      <c r="K60" s="20" t="inlineStr">
        <is>
          <t>replacement product</t>
        </is>
      </c>
      <c r="L60" s="20" t="inlineStr">
        <is>
          <t>replacement location</t>
        </is>
      </c>
    </row>
    <row r="61" ht="14" customHeight="1">
      <c r="A61" t="inlineStr">
        <is>
          <t>Water</t>
        </is>
      </c>
      <c r="B61" t="n">
        <v>0</v>
      </c>
      <c r="C61" t="inlineStr">
        <is>
          <t>biosphere3</t>
        </is>
      </c>
      <c r="E61" t="inlineStr">
        <is>
          <t>cubic meter</t>
        </is>
      </c>
      <c r="F61" t="inlineStr">
        <is>
          <t>air</t>
        </is>
      </c>
      <c r="G61" t="inlineStr">
        <is>
          <t>biosphere</t>
        </is>
      </c>
      <c r="I61" s="1" t="inlineStr">
        <is>
          <t>&gt; original ecoinvent data</t>
        </is>
      </c>
      <c r="J61" t="inlineStr">
        <is>
          <t>anode production, for metal electrolysis</t>
        </is>
      </c>
      <c r="K61" t="inlineStr">
        <is>
          <t>anode, for metal electrolysis</t>
        </is>
      </c>
      <c r="L61" t="inlineStr">
        <is>
          <t>RER</t>
        </is>
      </c>
    </row>
    <row r="62" ht="14" customHeight="1">
      <c r="A62" t="inlineStr">
        <is>
          <t>Water</t>
        </is>
      </c>
      <c r="B62" t="n">
        <v>0</v>
      </c>
      <c r="C62" t="inlineStr">
        <is>
          <t>biosphere3</t>
        </is>
      </c>
      <c r="E62" t="inlineStr">
        <is>
          <t>cubic meter</t>
        </is>
      </c>
      <c r="F62" t="inlineStr">
        <is>
          <t>water</t>
        </is>
      </c>
      <c r="G62" t="inlineStr">
        <is>
          <t>biosphere</t>
        </is>
      </c>
      <c r="I62" s="1" t="inlineStr">
        <is>
          <t>&gt; original ecoinvent data</t>
        </is>
      </c>
      <c r="J62" t="inlineStr">
        <is>
          <t>anode production, for metal electrolysis</t>
        </is>
      </c>
      <c r="K62" t="inlineStr">
        <is>
          <t>anode, for metal electrolysis</t>
        </is>
      </c>
      <c r="L62" t="inlineStr">
        <is>
          <t>RER</t>
        </is>
      </c>
    </row>
    <row r="63" ht="14" customHeight="1">
      <c r="A63" t="inlineStr">
        <is>
          <t>Water, cooling, unspecified natural origin</t>
        </is>
      </c>
      <c r="B63" t="n">
        <v>0</v>
      </c>
      <c r="C63" t="inlineStr">
        <is>
          <t>biosphere3</t>
        </is>
      </c>
      <c r="E63" t="inlineStr">
        <is>
          <t>cubic meter</t>
        </is>
      </c>
      <c r="F63" t="inlineStr">
        <is>
          <t>natural resource::in water</t>
        </is>
      </c>
      <c r="G63" t="inlineStr">
        <is>
          <t>biosphere</t>
        </is>
      </c>
      <c r="I63" s="1" t="inlineStr">
        <is>
          <t>&gt; original ecoinvent data</t>
        </is>
      </c>
      <c r="J63" t="inlineStr">
        <is>
          <t>anode production, for metal electrolysis</t>
        </is>
      </c>
      <c r="K63" t="inlineStr">
        <is>
          <t>anode, for metal electrolysis</t>
        </is>
      </c>
      <c r="L63" t="inlineStr">
        <is>
          <t>RER</t>
        </is>
      </c>
    </row>
    <row r="64" ht="14" customHeight="1">
      <c r="A64" t="inlineStr">
        <is>
          <t>Water, unspecified natural origin</t>
        </is>
      </c>
      <c r="B64" t="n">
        <v>0</v>
      </c>
      <c r="C64" t="inlineStr">
        <is>
          <t>biosphere3</t>
        </is>
      </c>
      <c r="E64" t="inlineStr">
        <is>
          <t>cubic meter</t>
        </is>
      </c>
      <c r="F64" t="inlineStr">
        <is>
          <t>natural resource::in water</t>
        </is>
      </c>
      <c r="G64" t="inlineStr">
        <is>
          <t>biosphere</t>
        </is>
      </c>
      <c r="I64" s="1" t="inlineStr">
        <is>
          <t>&gt; original ecoinvent data</t>
        </is>
      </c>
      <c r="J64" t="inlineStr">
        <is>
          <t>anode production, for metal electrolysis</t>
        </is>
      </c>
      <c r="K64" t="inlineStr">
        <is>
          <t>anode, for metal electrolysis</t>
        </is>
      </c>
      <c r="L64" t="inlineStr">
        <is>
          <t>RER</t>
        </is>
      </c>
    </row>
    <row r="65" ht="14" customHeight="1">
      <c r="A65" t="inlineStr">
        <is>
          <t>nickel anode production, for electrolysis of iron ore</t>
        </is>
      </c>
      <c r="B65" t="n">
        <v>1</v>
      </c>
      <c r="C65" t="inlineStr">
        <is>
          <t>steel_paper</t>
        </is>
      </c>
      <c r="D65" t="inlineStr">
        <is>
          <t>GLO</t>
        </is>
      </c>
      <c r="E65" t="inlineStr">
        <is>
          <t>kilogram</t>
        </is>
      </c>
      <c r="G65" t="inlineStr">
        <is>
          <t>production</t>
        </is>
      </c>
      <c r="H65" t="inlineStr">
        <is>
          <t>nickel anode, for electrolysis of iron ore</t>
        </is>
      </c>
      <c r="I65" s="1" t="inlineStr">
        <is>
          <t>&gt; Modifications (2025): new product flow. Changed location to global (GLO) instead of RER.</t>
        </is>
      </c>
    </row>
    <row r="66" ht="14" customHeight="1">
      <c r="A66" t="inlineStr">
        <is>
          <t>anode factory construction</t>
        </is>
      </c>
      <c r="B66" t="n">
        <v>0</v>
      </c>
      <c r="C66" t="inlineStr">
        <is>
          <t>cutoff391</t>
        </is>
      </c>
      <c r="D66" t="inlineStr">
        <is>
          <t>RER</t>
        </is>
      </c>
      <c r="E66" t="inlineStr">
        <is>
          <t>unit</t>
        </is>
      </c>
      <c r="G66" t="inlineStr">
        <is>
          <t>technosphere</t>
        </is>
      </c>
      <c r="H66" t="inlineStr">
        <is>
          <t>anode factory</t>
        </is>
      </c>
      <c r="I66" s="1" t="inlineStr">
        <is>
          <t>&gt; Modifications (2025): changed to global market dataset instead of RER dataset.</t>
        </is>
      </c>
      <c r="J66" t="inlineStr">
        <is>
          <t>anode production, for metal electrolysis</t>
        </is>
      </c>
      <c r="K66" t="inlineStr">
        <is>
          <t>anode, for metal electrolysis</t>
        </is>
      </c>
      <c r="L66" t="inlineStr">
        <is>
          <t>RER</t>
        </is>
      </c>
    </row>
    <row r="67" ht="14" customHeight="1">
      <c r="A67" t="inlineStr">
        <is>
          <t>market for nickel, class 1</t>
        </is>
      </c>
      <c r="B67" t="n">
        <v>1</v>
      </c>
      <c r="C67" t="inlineStr">
        <is>
          <t>cutoff391</t>
        </is>
      </c>
      <c r="D67" t="inlineStr">
        <is>
          <t>GLO</t>
        </is>
      </c>
      <c r="E67" t="inlineStr">
        <is>
          <t>kilogram</t>
        </is>
      </c>
      <c r="G67" t="inlineStr">
        <is>
          <t>technosphere</t>
        </is>
      </c>
      <c r="H67" t="inlineStr">
        <is>
          <t>nickel, class 1</t>
        </is>
      </c>
      <c r="I67" s="9" t="inlineStr">
        <is>
          <t>&gt; Modifications (2025): added input of nickel
&gt; original was: coke and pitch</t>
        </is>
      </c>
    </row>
    <row r="68" ht="14" customHeight="1">
      <c r="A68" t="inlineStr">
        <is>
          <t>market group for electricity, medium voltage</t>
        </is>
      </c>
      <c r="B68" t="n">
        <v>0</v>
      </c>
      <c r="C68" t="inlineStr">
        <is>
          <t>cutoff391</t>
        </is>
      </c>
      <c r="D68" t="inlineStr">
        <is>
          <t>GLO</t>
        </is>
      </c>
      <c r="E68" t="inlineStr">
        <is>
          <t>kilowatt hour</t>
        </is>
      </c>
      <c r="G68" t="inlineStr">
        <is>
          <t>technosphere</t>
        </is>
      </c>
      <c r="H68" t="inlineStr">
        <is>
          <t>electricity, medium voltage</t>
        </is>
      </c>
      <c r="I68" s="1" t="inlineStr">
        <is>
          <t>&gt; Modifications (2025): changed to global market dataset instead of RER dataset.</t>
        </is>
      </c>
      <c r="J68" t="inlineStr">
        <is>
          <t>anode production, for metal electrolysis</t>
        </is>
      </c>
      <c r="K68" t="inlineStr">
        <is>
          <t>anode, for metal electrolysis</t>
        </is>
      </c>
      <c r="L68" t="inlineStr">
        <is>
          <t>RER</t>
        </is>
      </c>
    </row>
    <row r="69" ht="14" customHeight="1">
      <c r="A69" t="inlineStr">
        <is>
          <t>market group for heat, district or industrial, natural gas</t>
        </is>
      </c>
      <c r="B69" t="n">
        <v>0</v>
      </c>
      <c r="C69" t="inlineStr">
        <is>
          <t>cutoff391</t>
        </is>
      </c>
      <c r="D69" t="inlineStr">
        <is>
          <t>GLO</t>
        </is>
      </c>
      <c r="E69" t="inlineStr">
        <is>
          <t>megajoule</t>
        </is>
      </c>
      <c r="G69" t="inlineStr">
        <is>
          <t>technosphere</t>
        </is>
      </c>
      <c r="H69" t="inlineStr">
        <is>
          <t>heat, district or industrial, natural gas</t>
        </is>
      </c>
      <c r="I69" s="1" t="inlineStr">
        <is>
          <t>&gt; Modifications (2025): changed to global market dataset instead of RER dataset.</t>
        </is>
      </c>
      <c r="J69" t="inlineStr">
        <is>
          <t>anode production, for metal electrolysis</t>
        </is>
      </c>
      <c r="K69" t="inlineStr">
        <is>
          <t>anode, for metal electrolysis</t>
        </is>
      </c>
      <c r="L69" t="inlineStr">
        <is>
          <t>RER</t>
        </is>
      </c>
    </row>
    <row r="70" ht="14" customHeight="1">
      <c r="A70" t="inlineStr">
        <is>
          <t>market group for heat, district or industrial, other than natural gas</t>
        </is>
      </c>
      <c r="B70" t="n">
        <v>0</v>
      </c>
      <c r="C70" t="inlineStr">
        <is>
          <t>cutoff391</t>
        </is>
      </c>
      <c r="D70" t="inlineStr">
        <is>
          <t>GLO</t>
        </is>
      </c>
      <c r="E70" t="inlineStr">
        <is>
          <t>megajoule</t>
        </is>
      </c>
      <c r="G70" t="inlineStr">
        <is>
          <t>technosphere</t>
        </is>
      </c>
      <c r="H70" t="inlineStr">
        <is>
          <t>heat, district or industrial, other than natural gas</t>
        </is>
      </c>
      <c r="I70" s="1" t="inlineStr">
        <is>
          <t>&gt; Modifications (2025): changed to global market dataset instead of RER dataset.</t>
        </is>
      </c>
      <c r="J70" t="inlineStr">
        <is>
          <t>anode production, for metal electrolysis</t>
        </is>
      </c>
      <c r="K70" t="inlineStr">
        <is>
          <t>anode, for metal electrolysis</t>
        </is>
      </c>
      <c r="L70" t="inlineStr">
        <is>
          <t>RER</t>
        </is>
      </c>
    </row>
    <row r="71"/>
    <row r="72" ht="14" customHeight="1">
      <c r="A72" s="50" t="inlineStr">
        <is>
          <t>Activity</t>
        </is>
      </c>
      <c r="B72" s="50" t="inlineStr">
        <is>
          <t>production of alkaline solution from sodium hydroxide of 50 wt-%</t>
        </is>
      </c>
    </row>
    <row r="73" ht="14" customHeight="1">
      <c r="A73" t="inlineStr">
        <is>
          <t>comment</t>
        </is>
      </c>
      <c r="B73" s="64" t="inlineStr">
        <is>
          <t>This dataset models the preparation of an alkaline solution consisting of 50 weight-% sodium hydroxide (NaOH) in water, intended for use in electrochemical iron production processes. The mixture is created by combining 50% NaOH with an equal mass of water, following the ratio indicated in EC (2016). Since the ecoinvent market dataset for sodium hydroxide already provides NaOH at 50% concentration but excludes the water content, this dataset accounts for the necessary water addition to achieve the correct dilution. Specifically, 0.5 kg of water is added per 0.5 kg of NaOH, corresponding to 0.0005 m³ of water.
Data source for sodium hydroxide:
Market for sodium hydroxide, 50% solution (ecoinvent v3.8, GLO), which includes multiple production pathways.
Modifications and assumptions:
Mixing is assumed to require no additional energy or infrastructure.
Water added is modeled as tap water, global average.
References:
Harpprecht, C. et al. (2025). Dataset developed for prospective LCI of electrochemical steelmaking.
EC (2016). Best Available Techniques Reference Document for the Production of Chlor-alkali (BREF). European Commission, Joint Research Centre.
ecoinvent v3.8. Market for sodium hydroxide, 50% solution, GLO.</t>
        </is>
      </c>
    </row>
    <row r="74" ht="14" customHeight="1">
      <c r="A74" t="inlineStr">
        <is>
          <t>location</t>
        </is>
      </c>
      <c r="B74" t="inlineStr">
        <is>
          <t>GLO</t>
        </is>
      </c>
    </row>
    <row r="75" ht="14" customHeight="1">
      <c r="A75" t="inlineStr">
        <is>
          <t>reference product</t>
        </is>
      </c>
      <c r="B75" t="inlineStr">
        <is>
          <t>alkaline solution with 50 wt-% sodium hydroxide</t>
        </is>
      </c>
    </row>
    <row r="76" ht="14" customHeight="1">
      <c r="A76" t="inlineStr">
        <is>
          <t>unit</t>
        </is>
      </c>
      <c r="B76" t="inlineStr">
        <is>
          <t>kilogram</t>
        </is>
      </c>
    </row>
    <row r="77" ht="14" customHeight="1">
      <c r="A77" s="50" t="inlineStr">
        <is>
          <t>Exchanges</t>
        </is>
      </c>
    </row>
    <row r="78" ht="14" customFormat="1" customHeight="1" s="20">
      <c r="A78" t="inlineStr">
        <is>
          <t>name</t>
        </is>
      </c>
      <c r="B78" s="20" t="inlineStr">
        <is>
          <t>amount</t>
        </is>
      </c>
      <c r="C78" s="20" t="inlineStr">
        <is>
          <t>database</t>
        </is>
      </c>
      <c r="D78" s="20" t="inlineStr">
        <is>
          <t>location</t>
        </is>
      </c>
      <c r="E78" s="20" t="inlineStr">
        <is>
          <t>unit</t>
        </is>
      </c>
      <c r="F78" s="20" t="inlineStr">
        <is>
          <t>categories</t>
        </is>
      </c>
      <c r="G78" s="20" t="inlineStr">
        <is>
          <t>type</t>
        </is>
      </c>
      <c r="H78" s="20" t="inlineStr">
        <is>
          <t>reference product</t>
        </is>
      </c>
      <c r="I78" s="20" t="inlineStr">
        <is>
          <t>comment</t>
        </is>
      </c>
    </row>
    <row r="79" ht="14" customHeight="1">
      <c r="A79" t="inlineStr">
        <is>
          <t>Water, unspecified natural origin</t>
        </is>
      </c>
      <c r="B79" t="n">
        <v>0.0005</v>
      </c>
      <c r="C79" t="inlineStr">
        <is>
          <t>biosphere3</t>
        </is>
      </c>
      <c r="E79" t="inlineStr">
        <is>
          <t>cubic meter</t>
        </is>
      </c>
      <c r="F79" t="inlineStr">
        <is>
          <t>natural resource::in water</t>
        </is>
      </c>
      <c r="G79" t="inlineStr">
        <is>
          <t>biosphere</t>
        </is>
      </c>
      <c r="I79" t="inlineStr">
        <is>
          <t>&gt; source: (EC 2016): 0.5 kg water is needed (EC 2016), which corresponds to 0.0005 cubic meter water.</t>
        </is>
      </c>
    </row>
    <row r="80" ht="14" customHeight="1">
      <c r="A80" t="inlineStr">
        <is>
          <t>production of alkaline solution from sodium hydroxide of 50 wt-%</t>
        </is>
      </c>
      <c r="B80" t="n">
        <v>1</v>
      </c>
      <c r="C80" t="inlineStr">
        <is>
          <t>steel_paper</t>
        </is>
      </c>
      <c r="D80" t="inlineStr">
        <is>
          <t>GLO</t>
        </is>
      </c>
      <c r="E80" t="inlineStr">
        <is>
          <t>kilogram</t>
        </is>
      </c>
      <c r="G80" t="inlineStr">
        <is>
          <t>production</t>
        </is>
      </c>
      <c r="H80" t="inlineStr">
        <is>
          <t>alkaline solution with 50 wt-% sodium hydroxide</t>
        </is>
      </c>
    </row>
    <row r="81" ht="14" customHeight="1">
      <c r="A81" t="inlineStr">
        <is>
          <t>market for sodium hydroxide, without water, in 50% solution state</t>
        </is>
      </c>
      <c r="B81" t="n">
        <v>0.5</v>
      </c>
      <c r="C81" t="inlineStr">
        <is>
          <t>cutoff391</t>
        </is>
      </c>
      <c r="D81" t="inlineStr">
        <is>
          <t>GLO</t>
        </is>
      </c>
      <c r="E81" t="inlineStr">
        <is>
          <t>kilogram</t>
        </is>
      </c>
      <c r="G81" t="inlineStr">
        <is>
          <t>technosphere</t>
        </is>
      </c>
      <c r="H81" t="inlineStr">
        <is>
          <t>sodium hydroxide, without water, in 50% solution state</t>
        </is>
      </c>
      <c r="I81" t="inlineStr">
        <is>
          <t>&gt; source: (EC 2016): 50 wt-% sodium hydroxide (0.5 kg water is needed (EC 2016), which corresponds to 0.0005 cubic meter water.)</t>
        </is>
      </c>
    </row>
    <row r="82"/>
    <row r="83" ht="14" customHeight="1">
      <c r="A83" s="50" t="inlineStr">
        <is>
          <t>Activity</t>
        </is>
      </c>
      <c r="B83" s="33" t="inlineStr">
        <is>
          <t>steel production, electrowinning-electric arc furnace, low-alloyed</t>
        </is>
      </c>
    </row>
    <row r="84" ht="14" customHeight="1">
      <c r="A84" t="inlineStr">
        <is>
          <t>comment</t>
        </is>
      </c>
      <c r="B84" s="57" t="inlineStr">
        <is>
          <t>This dataset models the production of low-alloyed steel in an electric arc furnace (EAF) using iron plates from electrowinning (EW) instead of scrap. The process is adapted from the ecoinvent dataset “steel production, electric, low-alloyed” for the region "Europe without Switzerland and Austria", and modified to represent a global-scale (GLO) application of EW-EAF steelmaking.
Modifications by Harpprecht et al. (2025):
Geography: Converted to global by adjusting locations of inputs from RER to RoW (argon, EAF dust, EAF slag, nitrogen, oxygen) and from RER to GLO (electricity, natural gas markets).
Input material: Replaced scrap with 1.06 kg of electrowon iron per kg of steel (based on Siderwin data), instead of 1.13139 kg scrap from ecoinvent, leading to a scaling factor of 0.9369.
Slag: Removed secondary metallurgy slag and increased primary EAF slag to 0.165106 kg, matching total slag flows in ecoinvent v3.8.
Energy: Consolidated electricity and natural gas inputs into regional market groups (GLO).
Alloying elements: Added new inputs for FeMn, FeNi, and molybdenite, assuming no alloy content in virgin iron input; original FeMn and FeSi set to zero.
Parameter:
EW_EAF_lowalloy_ScalingFactor = 1.06 / 1.13139 = 0.9369
Based on: Bhaskar et al. (2020), Siderwin project internal data
References:
Harpprecht, C. et al. (2025). Dataset modifications for prospective steelmaking LCI.
ecoinvent v3.8, process: steel production, electric, low-alloyed, RER, cutoff system model.
Bhaskar, A., Assadi, M., &amp; Nikpey Somehsaraei, H. (2020). Decarbonization of the iron and steel industry with direct reduction of iron ore with hydrogen. Sustainable Production and Consumption, 23, 144–156.
Siderwin Project (2019). Deliverables and technical documentation.</t>
        </is>
      </c>
    </row>
    <row r="85" ht="15" customHeight="1">
      <c r="A85" s="22" t="inlineStr">
        <is>
          <t>source</t>
        </is>
      </c>
      <c r="B85" s="22" t="inlineStr">
        <is>
          <t>Harpprecht C., Sacchi R., Naegler T., et al. "Future environmental impacts of global iron and steel production". Energy Environ Sci. (2025). doi: 10.1039/D5EE01356A</t>
        </is>
      </c>
      <c r="C85" s="21" t="n"/>
      <c r="D85" s="21" t="n"/>
      <c r="E85" s="21" t="n"/>
      <c r="F85" s="21" t="n"/>
      <c r="G85" s="21" t="n"/>
      <c r="H85" s="21" t="n"/>
    </row>
    <row r="86" ht="14" customHeight="1">
      <c r="A86" t="inlineStr">
        <is>
          <t>location</t>
        </is>
      </c>
      <c r="B86" t="inlineStr">
        <is>
          <t>GLO</t>
        </is>
      </c>
    </row>
    <row r="87" ht="14" customHeight="1">
      <c r="A87" t="inlineStr">
        <is>
          <t>production amount</t>
        </is>
      </c>
      <c r="B87" t="n">
        <v>1</v>
      </c>
    </row>
    <row r="88" ht="14" customHeight="1">
      <c r="A88" t="inlineStr">
        <is>
          <t>reference product</t>
        </is>
      </c>
      <c r="B88" t="inlineStr">
        <is>
          <t>steel, low-alloyed</t>
        </is>
      </c>
    </row>
    <row r="89" ht="14" customHeight="1">
      <c r="A89" t="inlineStr">
        <is>
          <t>unit</t>
        </is>
      </c>
      <c r="B89" t="inlineStr">
        <is>
          <t>kilogram</t>
        </is>
      </c>
    </row>
    <row r="90" ht="14" customHeight="1">
      <c r="A90" s="50" t="inlineStr">
        <is>
          <t>Exchanges</t>
        </is>
      </c>
    </row>
    <row r="91" ht="14" customFormat="1" customHeight="1" s="20">
      <c r="A91" t="inlineStr">
        <is>
          <t>name</t>
        </is>
      </c>
      <c r="B91" s="20" t="inlineStr">
        <is>
          <t>amount</t>
        </is>
      </c>
      <c r="C91" s="20" t="inlineStr">
        <is>
          <t>database</t>
        </is>
      </c>
      <c r="D91" s="20" t="inlineStr">
        <is>
          <t>location</t>
        </is>
      </c>
      <c r="E91" s="20" t="inlineStr">
        <is>
          <t>unit</t>
        </is>
      </c>
      <c r="F91" s="20" t="inlineStr">
        <is>
          <t>categories</t>
        </is>
      </c>
      <c r="G91" s="20" t="inlineStr">
        <is>
          <t>type</t>
        </is>
      </c>
      <c r="H91" s="20" t="inlineStr">
        <is>
          <t>formula</t>
        </is>
      </c>
      <c r="I91" s="20" t="inlineStr">
        <is>
          <t>uncertainty type</t>
        </is>
      </c>
      <c r="J91" s="20" t="inlineStr">
        <is>
          <t>loc</t>
        </is>
      </c>
      <c r="K91" s="20" t="inlineStr">
        <is>
          <t>scale</t>
        </is>
      </c>
      <c r="L91" s="20" t="inlineStr">
        <is>
          <t>comment</t>
        </is>
      </c>
      <c r="M91" s="20" t="inlineStr">
        <is>
          <t>pedigree</t>
        </is>
      </c>
      <c r="N91" s="20" t="inlineStr">
        <is>
          <t>production volume</t>
        </is>
      </c>
      <c r="O91" s="20" t="inlineStr">
        <is>
          <t>reference product</t>
        </is>
      </c>
      <c r="P91" s="20" t="inlineStr">
        <is>
          <t>replacement name</t>
        </is>
      </c>
      <c r="Q91" s="20" t="inlineStr">
        <is>
          <t>replacement product</t>
        </is>
      </c>
      <c r="R91" s="20" t="inlineStr">
        <is>
          <t>replacement location</t>
        </is>
      </c>
      <c r="S91" s="20" t="inlineStr">
        <is>
          <t>negative</t>
        </is>
      </c>
    </row>
    <row r="92" ht="14" customHeight="1">
      <c r="A92" t="inlineStr">
        <is>
          <t>Benzene</t>
        </is>
      </c>
      <c r="B92" t="n">
        <v>0</v>
      </c>
      <c r="C92" t="inlineStr">
        <is>
          <t>biosphere3</t>
        </is>
      </c>
      <c r="E92" t="inlineStr">
        <is>
          <t>kilogram</t>
        </is>
      </c>
      <c r="F92" t="inlineStr">
        <is>
          <t>air</t>
        </is>
      </c>
      <c r="G92" t="inlineStr">
        <is>
          <t>biosphere</t>
        </is>
      </c>
      <c r="L92" t="inlineStr">
        <is>
          <t>geometric mean of Remus et al. (2013) data range</t>
        </is>
      </c>
      <c r="M92" t="inlineStr">
        <is>
          <t>2::3::2::5::1::1</t>
        </is>
      </c>
      <c r="N92" t="n">
        <v>0</v>
      </c>
      <c r="P92" t="inlineStr">
        <is>
          <t>steel production, electric, low-alloyed</t>
        </is>
      </c>
      <c r="Q92" t="inlineStr">
        <is>
          <t>steel, low-alloyed</t>
        </is>
      </c>
      <c r="R92" t="inlineStr">
        <is>
          <t>Europe without Switzerland and Austria</t>
        </is>
      </c>
    </row>
    <row r="93" ht="14" customHeight="1">
      <c r="A93" t="inlineStr">
        <is>
          <t>Benzene, hexachloro-</t>
        </is>
      </c>
      <c r="B93" t="n">
        <v>0</v>
      </c>
      <c r="C93" t="inlineStr">
        <is>
          <t>biosphere3</t>
        </is>
      </c>
      <c r="E93" t="inlineStr">
        <is>
          <t>kilogram</t>
        </is>
      </c>
      <c r="F93" t="inlineStr">
        <is>
          <t>air</t>
        </is>
      </c>
      <c r="G93" t="inlineStr">
        <is>
          <t>biosphere</t>
        </is>
      </c>
      <c r="L93" t="inlineStr">
        <is>
          <t>geometric mean of Remus et al. (2013) data range</t>
        </is>
      </c>
      <c r="M93" t="inlineStr">
        <is>
          <t>2::3::2::5::1::1</t>
        </is>
      </c>
      <c r="N93" t="n">
        <v>0</v>
      </c>
      <c r="P93" t="inlineStr">
        <is>
          <t>steel production, electric, low-alloyed</t>
        </is>
      </c>
      <c r="Q93" t="inlineStr">
        <is>
          <t>steel, low-alloyed</t>
        </is>
      </c>
      <c r="R93" t="inlineStr">
        <is>
          <t>Europe without Switzerland and Austria</t>
        </is>
      </c>
    </row>
    <row r="94" ht="14" customHeight="1">
      <c r="A94" t="inlineStr">
        <is>
          <t>Cadmium</t>
        </is>
      </c>
      <c r="B94" t="n">
        <v>0</v>
      </c>
      <c r="C94" t="inlineStr">
        <is>
          <t>biosphere3</t>
        </is>
      </c>
      <c r="E94" t="inlineStr">
        <is>
          <t>kilogram</t>
        </is>
      </c>
      <c r="F94" t="inlineStr">
        <is>
          <t>air</t>
        </is>
      </c>
      <c r="G94" t="inlineStr">
        <is>
          <t>biosphere</t>
        </is>
      </c>
      <c r="L94" t="inlineStr">
        <is>
          <t>geometric mean of Remus et al. (2013) data range</t>
        </is>
      </c>
      <c r="M94" t="inlineStr">
        <is>
          <t>2::3::2::5::1::1</t>
        </is>
      </c>
      <c r="N94" t="n">
        <v>0</v>
      </c>
      <c r="P94" t="inlineStr">
        <is>
          <t>steel production, electric, low-alloyed</t>
        </is>
      </c>
      <c r="Q94" t="inlineStr">
        <is>
          <t>steel, low-alloyed</t>
        </is>
      </c>
      <c r="R94" t="inlineStr">
        <is>
          <t>Europe without Switzerland and Austria</t>
        </is>
      </c>
    </row>
    <row r="95" ht="14" customHeight="1">
      <c r="A95" t="inlineStr">
        <is>
          <t>Carbon dioxide, fossil</t>
        </is>
      </c>
      <c r="B95" t="n">
        <v>0</v>
      </c>
      <c r="C95" t="inlineStr">
        <is>
          <t>biosphere3</t>
        </is>
      </c>
      <c r="E95" t="inlineStr">
        <is>
          <t>kilogram</t>
        </is>
      </c>
      <c r="F95" t="inlineStr">
        <is>
          <t>air</t>
        </is>
      </c>
      <c r="G95" t="inlineStr">
        <is>
          <t>biosphere</t>
        </is>
      </c>
      <c r="L95" t="inlineStr">
        <is>
          <t>Calculated Value. Carbon dioxide emission is calculated as the sum of carbon in hard coal and natural gas minus the emissions of carbon monoxide.</t>
        </is>
      </c>
      <c r="M95" t="inlineStr">
        <is>
          <t>5::5::5::5::5::1</t>
        </is>
      </c>
      <c r="N95" t="n">
        <v>0</v>
      </c>
      <c r="P95" t="inlineStr">
        <is>
          <t>steel production, electric, low-alloyed</t>
        </is>
      </c>
      <c r="Q95" t="inlineStr">
        <is>
          <t>steel, low-alloyed</t>
        </is>
      </c>
      <c r="R95" t="inlineStr">
        <is>
          <t>Europe without Switzerland and Austria</t>
        </is>
      </c>
    </row>
    <row r="96" ht="14" customHeight="1">
      <c r="A96" t="inlineStr">
        <is>
          <t>Carbon monoxide, fossil</t>
        </is>
      </c>
      <c r="B96" t="n">
        <v>0</v>
      </c>
      <c r="C96" t="inlineStr">
        <is>
          <t>biosphere3</t>
        </is>
      </c>
      <c r="E96" t="inlineStr">
        <is>
          <t>kilogram</t>
        </is>
      </c>
      <c r="F96" t="inlineStr">
        <is>
          <t>air</t>
        </is>
      </c>
      <c r="G96" t="inlineStr">
        <is>
          <t>biosphere</t>
        </is>
      </c>
      <c r="L96" t="inlineStr">
        <is>
          <t>geometric mean of Remus et al. (2013) data range</t>
        </is>
      </c>
      <c r="M96" t="inlineStr">
        <is>
          <t>2::3::2::5::1::1</t>
        </is>
      </c>
      <c r="N96" t="n">
        <v>0</v>
      </c>
      <c r="P96" t="inlineStr">
        <is>
          <t>steel production, electric, low-alloyed</t>
        </is>
      </c>
      <c r="Q96" t="inlineStr">
        <is>
          <t>steel, low-alloyed</t>
        </is>
      </c>
      <c r="R96" t="inlineStr">
        <is>
          <t>Europe without Switzerland and Austria</t>
        </is>
      </c>
    </row>
    <row r="97" ht="14" customHeight="1">
      <c r="A97" t="inlineStr">
        <is>
          <t>Chromium</t>
        </is>
      </c>
      <c r="B97" t="n">
        <v>0</v>
      </c>
      <c r="C97" t="inlineStr">
        <is>
          <t>biosphere3</t>
        </is>
      </c>
      <c r="E97" t="inlineStr">
        <is>
          <t>kilogram</t>
        </is>
      </c>
      <c r="F97" t="inlineStr">
        <is>
          <t>air</t>
        </is>
      </c>
      <c r="G97" t="inlineStr">
        <is>
          <t>biosphere</t>
        </is>
      </c>
      <c r="L97" t="inlineStr">
        <is>
          <t>geometric mean of Remus et al. (2013) data range</t>
        </is>
      </c>
      <c r="M97" t="inlineStr">
        <is>
          <t>2::3::2::5::1::1</t>
        </is>
      </c>
      <c r="N97" t="n">
        <v>0</v>
      </c>
      <c r="P97" t="inlineStr">
        <is>
          <t>steel production, electric, low-alloyed</t>
        </is>
      </c>
      <c r="Q97" t="inlineStr">
        <is>
          <t>steel, low-alloyed</t>
        </is>
      </c>
      <c r="R97" t="inlineStr">
        <is>
          <t>Europe without Switzerland and Austria</t>
        </is>
      </c>
    </row>
    <row r="98" ht="14" customHeight="1">
      <c r="A98" t="inlineStr">
        <is>
          <t>Copper ion</t>
        </is>
      </c>
      <c r="B98" t="n">
        <v>0</v>
      </c>
      <c r="C98" t="inlineStr">
        <is>
          <t>biosphere3</t>
        </is>
      </c>
      <c r="E98" t="inlineStr">
        <is>
          <t>kilogram</t>
        </is>
      </c>
      <c r="F98" t="inlineStr">
        <is>
          <t>air</t>
        </is>
      </c>
      <c r="G98" t="inlineStr">
        <is>
          <t>biosphere</t>
        </is>
      </c>
      <c r="L98" t="inlineStr">
        <is>
          <t>geometric mean of Remus et al. (2013) data range</t>
        </is>
      </c>
      <c r="M98" t="inlineStr">
        <is>
          <t>2::3::2::5::1::1</t>
        </is>
      </c>
      <c r="N98" t="n">
        <v>0</v>
      </c>
      <c r="P98" t="inlineStr">
        <is>
          <t>steel production, electric, low-alloyed</t>
        </is>
      </c>
      <c r="Q98" t="inlineStr">
        <is>
          <t>steel, low-alloyed</t>
        </is>
      </c>
      <c r="R98" t="inlineStr">
        <is>
          <t>Europe without Switzerland and Austria</t>
        </is>
      </c>
    </row>
    <row r="99" ht="14" customHeight="1">
      <c r="A99" t="inlineStr">
        <is>
          <t>Dioxins, measured as 2,3,7,8-tetrachlorodibenzo-p-dioxin</t>
        </is>
      </c>
      <c r="B99" t="n">
        <v>0</v>
      </c>
      <c r="C99" t="inlineStr">
        <is>
          <t>biosphere3</t>
        </is>
      </c>
      <c r="E99" t="inlineStr">
        <is>
          <t>kilogram</t>
        </is>
      </c>
      <c r="F99" t="inlineStr">
        <is>
          <t>air</t>
        </is>
      </c>
      <c r="G99" t="inlineStr">
        <is>
          <t>biosphere</t>
        </is>
      </c>
      <c r="L99" t="inlineStr">
        <is>
          <t>geometric mean of Remus et al. (2013) data range</t>
        </is>
      </c>
      <c r="M99" t="inlineStr">
        <is>
          <t>2::3::2::5::1::1</t>
        </is>
      </c>
      <c r="N99" t="n">
        <v>0</v>
      </c>
      <c r="P99" t="inlineStr">
        <is>
          <t>steel production, electric, low-alloyed</t>
        </is>
      </c>
      <c r="Q99" t="inlineStr">
        <is>
          <t>steel, low-alloyed</t>
        </is>
      </c>
      <c r="R99" t="inlineStr">
        <is>
          <t>Europe without Switzerland and Austria</t>
        </is>
      </c>
    </row>
    <row r="100" ht="14" customHeight="1">
      <c r="A100" t="inlineStr">
        <is>
          <t>Hydrocarbons, aromatic</t>
        </is>
      </c>
      <c r="B100" t="n">
        <v>0</v>
      </c>
      <c r="C100" t="inlineStr">
        <is>
          <t>biosphere3</t>
        </is>
      </c>
      <c r="E100" t="inlineStr">
        <is>
          <t>kilogram</t>
        </is>
      </c>
      <c r="F100" t="inlineStr">
        <is>
          <t>air</t>
        </is>
      </c>
      <c r="G100" t="inlineStr">
        <is>
          <t>biosphere</t>
        </is>
      </c>
      <c r="L100" t="inlineStr">
        <is>
          <t>Source: Classen et al. (2009)</t>
        </is>
      </c>
      <c r="M100" t="inlineStr">
        <is>
          <t>2::3::2::5::1::1</t>
        </is>
      </c>
      <c r="N100" t="n">
        <v>0</v>
      </c>
      <c r="P100" t="inlineStr">
        <is>
          <t>steel production, electric, low-alloyed</t>
        </is>
      </c>
      <c r="Q100" t="inlineStr">
        <is>
          <t>steel, low-alloyed</t>
        </is>
      </c>
      <c r="R100" t="inlineStr">
        <is>
          <t>Europe without Switzerland and Austria</t>
        </is>
      </c>
    </row>
    <row r="101" ht="14" customHeight="1">
      <c r="A101" t="inlineStr">
        <is>
          <t>Hydrogen chloride</t>
        </is>
      </c>
      <c r="B101" t="n">
        <v>0</v>
      </c>
      <c r="C101" t="inlineStr">
        <is>
          <t>biosphere3</t>
        </is>
      </c>
      <c r="E101" t="inlineStr">
        <is>
          <t>kilogram</t>
        </is>
      </c>
      <c r="F101" t="inlineStr">
        <is>
          <t>air</t>
        </is>
      </c>
      <c r="G101" t="inlineStr">
        <is>
          <t>biosphere</t>
        </is>
      </c>
      <c r="L101" t="inlineStr">
        <is>
          <t>geometric mean of Remus et al. (2013) data range</t>
        </is>
      </c>
      <c r="M101" t="inlineStr">
        <is>
          <t>2::3::2::5::1::1</t>
        </is>
      </c>
      <c r="N101" t="n">
        <v>0</v>
      </c>
      <c r="P101" t="inlineStr">
        <is>
          <t>steel production, electric, low-alloyed</t>
        </is>
      </c>
      <c r="Q101" t="inlineStr">
        <is>
          <t>steel, low-alloyed</t>
        </is>
      </c>
      <c r="R101" t="inlineStr">
        <is>
          <t>Europe without Switzerland and Austria</t>
        </is>
      </c>
    </row>
    <row r="102" ht="14" customHeight="1">
      <c r="A102" t="inlineStr">
        <is>
          <t>Hydrogen fluoride</t>
        </is>
      </c>
      <c r="B102" t="n">
        <v>0</v>
      </c>
      <c r="C102" t="inlineStr">
        <is>
          <t>biosphere3</t>
        </is>
      </c>
      <c r="E102" t="inlineStr">
        <is>
          <t>kilogram</t>
        </is>
      </c>
      <c r="F102" t="inlineStr">
        <is>
          <t>air</t>
        </is>
      </c>
      <c r="G102" t="inlineStr">
        <is>
          <t>biosphere</t>
        </is>
      </c>
      <c r="L102" t="inlineStr">
        <is>
          <t>geometric mean of Remus et al. (2013) data range</t>
        </is>
      </c>
      <c r="M102" t="inlineStr">
        <is>
          <t>2::3::2::5::1::1</t>
        </is>
      </c>
      <c r="N102" t="n">
        <v>0</v>
      </c>
      <c r="P102" t="inlineStr">
        <is>
          <t>steel production, electric, low-alloyed</t>
        </is>
      </c>
      <c r="Q102" t="inlineStr">
        <is>
          <t>steel, low-alloyed</t>
        </is>
      </c>
      <c r="R102" t="inlineStr">
        <is>
          <t>Europe without Switzerland and Austria</t>
        </is>
      </c>
    </row>
    <row r="103" ht="14" customHeight="1">
      <c r="A103" t="inlineStr">
        <is>
          <t>Lead</t>
        </is>
      </c>
      <c r="B103" t="n">
        <v>0</v>
      </c>
      <c r="C103" t="inlineStr">
        <is>
          <t>biosphere3</t>
        </is>
      </c>
      <c r="E103" t="inlineStr">
        <is>
          <t>kilogram</t>
        </is>
      </c>
      <c r="F103" t="inlineStr">
        <is>
          <t>air</t>
        </is>
      </c>
      <c r="G103" t="inlineStr">
        <is>
          <t>biosphere</t>
        </is>
      </c>
      <c r="L103" t="inlineStr">
        <is>
          <t>geometric mean of Remus et al. (2013) data range</t>
        </is>
      </c>
      <c r="M103" t="inlineStr">
        <is>
          <t>2::3::2::5::1::1</t>
        </is>
      </c>
      <c r="N103" t="n">
        <v>0</v>
      </c>
      <c r="P103" t="inlineStr">
        <is>
          <t>steel production, electric, low-alloyed</t>
        </is>
      </c>
      <c r="Q103" t="inlineStr">
        <is>
          <t>steel, low-alloyed</t>
        </is>
      </c>
      <c r="R103" t="inlineStr">
        <is>
          <t>Europe without Switzerland and Austria</t>
        </is>
      </c>
    </row>
    <row r="104" ht="14" customHeight="1">
      <c r="A104" t="inlineStr">
        <is>
          <t>Mercury</t>
        </is>
      </c>
      <c r="B104" t="n">
        <v>0</v>
      </c>
      <c r="C104" t="inlineStr">
        <is>
          <t>biosphere3</t>
        </is>
      </c>
      <c r="E104" t="inlineStr">
        <is>
          <t>kilogram</t>
        </is>
      </c>
      <c r="F104" t="inlineStr">
        <is>
          <t>air</t>
        </is>
      </c>
      <c r="G104" t="inlineStr">
        <is>
          <t>biosphere</t>
        </is>
      </c>
      <c r="L104" t="inlineStr">
        <is>
          <t>geometric mean of Remus et al. (2013) data range</t>
        </is>
      </c>
      <c r="M104" t="inlineStr">
        <is>
          <t>2::3::2::5::1::1</t>
        </is>
      </c>
      <c r="N104" t="n">
        <v>0</v>
      </c>
      <c r="P104" t="inlineStr">
        <is>
          <t>steel production, electric, low-alloyed</t>
        </is>
      </c>
      <c r="Q104" t="inlineStr">
        <is>
          <t>steel, low-alloyed</t>
        </is>
      </c>
      <c r="R104" t="inlineStr">
        <is>
          <t>Europe without Switzerland and Austria</t>
        </is>
      </c>
    </row>
    <row r="105" ht="14" customHeight="1">
      <c r="A105" t="inlineStr">
        <is>
          <t>Nickel</t>
        </is>
      </c>
      <c r="B105" t="n">
        <v>0</v>
      </c>
      <c r="C105" t="inlineStr">
        <is>
          <t>biosphere3</t>
        </is>
      </c>
      <c r="E105" t="inlineStr">
        <is>
          <t>kilogram</t>
        </is>
      </c>
      <c r="F105" t="inlineStr">
        <is>
          <t>air</t>
        </is>
      </c>
      <c r="G105" t="inlineStr">
        <is>
          <t>biosphere</t>
        </is>
      </c>
      <c r="L105" t="inlineStr">
        <is>
          <t>geometric mean of Remus et al. (2013) data range</t>
        </is>
      </c>
      <c r="M105" t="inlineStr">
        <is>
          <t>2::3::2::5::1::1</t>
        </is>
      </c>
      <c r="N105" t="n">
        <v>0</v>
      </c>
      <c r="P105" t="inlineStr">
        <is>
          <t>steel production, electric, low-alloyed</t>
        </is>
      </c>
      <c r="Q105" t="inlineStr">
        <is>
          <t>steel, low-alloyed</t>
        </is>
      </c>
      <c r="R105" t="inlineStr">
        <is>
          <t>Europe without Switzerland and Austria</t>
        </is>
      </c>
    </row>
    <row r="106" ht="14" customHeight="1">
      <c r="A106" t="inlineStr">
        <is>
          <t>Nitrogen oxides</t>
        </is>
      </c>
      <c r="B106" t="n">
        <v>0</v>
      </c>
      <c r="C106" t="inlineStr">
        <is>
          <t>biosphere3</t>
        </is>
      </c>
      <c r="E106" t="inlineStr">
        <is>
          <t>kilogram</t>
        </is>
      </c>
      <c r="F106" t="inlineStr">
        <is>
          <t>air</t>
        </is>
      </c>
      <c r="G106" t="inlineStr">
        <is>
          <t>biosphere</t>
        </is>
      </c>
      <c r="L106" t="inlineStr">
        <is>
          <t>geometric mean of Remus et al. (2013) data range</t>
        </is>
      </c>
      <c r="M106" t="inlineStr">
        <is>
          <t>2::3::2::5::1::1</t>
        </is>
      </c>
      <c r="N106" t="n">
        <v>0</v>
      </c>
      <c r="P106" t="inlineStr">
        <is>
          <t>steel production, electric, low-alloyed</t>
        </is>
      </c>
      <c r="Q106" t="inlineStr">
        <is>
          <t>steel, low-alloyed</t>
        </is>
      </c>
      <c r="R106" t="inlineStr">
        <is>
          <t>Europe without Switzerland and Austria</t>
        </is>
      </c>
    </row>
    <row r="107" ht="14" customHeight="1">
      <c r="A107" t="inlineStr">
        <is>
          <t>PAH, polycyclic aromatic hydrocarbons</t>
        </is>
      </c>
      <c r="B107" t="n">
        <v>0</v>
      </c>
      <c r="C107" t="inlineStr">
        <is>
          <t>biosphere3</t>
        </is>
      </c>
      <c r="E107" t="inlineStr">
        <is>
          <t>kilogram</t>
        </is>
      </c>
      <c r="F107" t="inlineStr">
        <is>
          <t>air</t>
        </is>
      </c>
      <c r="G107" t="inlineStr">
        <is>
          <t>biosphere</t>
        </is>
      </c>
      <c r="L107" t="inlineStr">
        <is>
          <t>geometric mean of Remus et al. (2013) data range</t>
        </is>
      </c>
      <c r="M107" t="inlineStr">
        <is>
          <t>2::3::2::5::1::1</t>
        </is>
      </c>
      <c r="N107" t="n">
        <v>0</v>
      </c>
      <c r="P107" t="inlineStr">
        <is>
          <t>steel production, electric, low-alloyed</t>
        </is>
      </c>
      <c r="Q107" t="inlineStr">
        <is>
          <t>steel, low-alloyed</t>
        </is>
      </c>
      <c r="R107" t="inlineStr">
        <is>
          <t>Europe without Switzerland and Austria</t>
        </is>
      </c>
    </row>
    <row r="108" ht="14" customHeight="1">
      <c r="A108" t="inlineStr">
        <is>
          <t>Particulates, &lt; 2.5 um</t>
        </is>
      </c>
      <c r="B108" t="n">
        <v>0</v>
      </c>
      <c r="C108" t="inlineStr">
        <is>
          <t>biosphere3</t>
        </is>
      </c>
      <c r="E108" t="inlineStr">
        <is>
          <t>kilogram</t>
        </is>
      </c>
      <c r="F108" t="inlineStr">
        <is>
          <t>air</t>
        </is>
      </c>
      <c r="G108" t="inlineStr">
        <is>
          <t>biosphere</t>
        </is>
      </c>
      <c r="L108" t="inlineStr">
        <is>
          <t>geometric mean of Remus et al. (2013) data range (assume 42.5% of total dust emissions [Classen et al. 2009])</t>
        </is>
      </c>
      <c r="M108" t="inlineStr">
        <is>
          <t>2::3::2::5::1::1</t>
        </is>
      </c>
      <c r="N108" t="n">
        <v>0</v>
      </c>
      <c r="P108" t="inlineStr">
        <is>
          <t>steel production, electric, low-alloyed</t>
        </is>
      </c>
      <c r="Q108" t="inlineStr">
        <is>
          <t>steel, low-alloyed</t>
        </is>
      </c>
      <c r="R108" t="inlineStr">
        <is>
          <t>Europe without Switzerland and Austria</t>
        </is>
      </c>
    </row>
    <row r="109" ht="14" customHeight="1">
      <c r="A109" t="inlineStr">
        <is>
          <t>Particulates, &gt; 10 um</t>
        </is>
      </c>
      <c r="B109" t="n">
        <v>0</v>
      </c>
      <c r="C109" t="inlineStr">
        <is>
          <t>biosphere3</t>
        </is>
      </c>
      <c r="E109" t="inlineStr">
        <is>
          <t>kilogram</t>
        </is>
      </c>
      <c r="F109" t="inlineStr">
        <is>
          <t>air</t>
        </is>
      </c>
      <c r="G109" t="inlineStr">
        <is>
          <t>biosphere</t>
        </is>
      </c>
      <c r="L109" t="inlineStr">
        <is>
          <t>geometric mean of Remus et al. (2013) data range (assume 15% of total dust emissions [Classen et al. 2009])</t>
        </is>
      </c>
      <c r="M109" t="inlineStr">
        <is>
          <t>2::3::2::5::1::1</t>
        </is>
      </c>
      <c r="N109" t="n">
        <v>0</v>
      </c>
      <c r="P109" t="inlineStr">
        <is>
          <t>steel production, electric, low-alloyed</t>
        </is>
      </c>
      <c r="Q109" t="inlineStr">
        <is>
          <t>steel, low-alloyed</t>
        </is>
      </c>
      <c r="R109" t="inlineStr">
        <is>
          <t>Europe without Switzerland and Austria</t>
        </is>
      </c>
    </row>
    <row r="110" ht="14" customHeight="1">
      <c r="A110" t="inlineStr">
        <is>
          <t>Particulates, &gt; 2.5 um, and &lt; 10um</t>
        </is>
      </c>
      <c r="B110" t="n">
        <v>0</v>
      </c>
      <c r="C110" t="inlineStr">
        <is>
          <t>biosphere3</t>
        </is>
      </c>
      <c r="E110" t="inlineStr">
        <is>
          <t>kilogram</t>
        </is>
      </c>
      <c r="F110" t="inlineStr">
        <is>
          <t>air</t>
        </is>
      </c>
      <c r="G110" t="inlineStr">
        <is>
          <t>biosphere</t>
        </is>
      </c>
      <c r="L110" t="inlineStr">
        <is>
          <t>geometric mean of Remus et al. (2013) data range (assume 42.5% of total dust emissions [Classen et al. 2009])</t>
        </is>
      </c>
      <c r="M110" t="inlineStr">
        <is>
          <t>2::3::2::5::1::1</t>
        </is>
      </c>
      <c r="N110" t="n">
        <v>0</v>
      </c>
      <c r="P110" t="inlineStr">
        <is>
          <t>steel production, electric, low-alloyed</t>
        </is>
      </c>
      <c r="Q110" t="inlineStr">
        <is>
          <t>steel, low-alloyed</t>
        </is>
      </c>
      <c r="R110" t="inlineStr">
        <is>
          <t>Europe without Switzerland and Austria</t>
        </is>
      </c>
    </row>
    <row r="111" ht="14" customHeight="1">
      <c r="A111" t="inlineStr">
        <is>
          <t>Polychlorinated biphenyls</t>
        </is>
      </c>
      <c r="B111" t="n">
        <v>0</v>
      </c>
      <c r="C111" t="inlineStr">
        <is>
          <t>biosphere3</t>
        </is>
      </c>
      <c r="E111" t="inlineStr">
        <is>
          <t>kilogram</t>
        </is>
      </c>
      <c r="F111" t="inlineStr">
        <is>
          <t>air</t>
        </is>
      </c>
      <c r="G111" t="inlineStr">
        <is>
          <t>biosphere</t>
        </is>
      </c>
      <c r="L111" t="inlineStr">
        <is>
          <t>geometric mean of Remus et al. (2013) data range</t>
        </is>
      </c>
      <c r="M111" t="inlineStr">
        <is>
          <t>2::3::2::5::1::1</t>
        </is>
      </c>
      <c r="N111" t="n">
        <v>0</v>
      </c>
      <c r="P111" t="inlineStr">
        <is>
          <t>steel production, electric, low-alloyed</t>
        </is>
      </c>
      <c r="Q111" t="inlineStr">
        <is>
          <t>steel, low-alloyed</t>
        </is>
      </c>
      <c r="R111" t="inlineStr">
        <is>
          <t>Europe without Switzerland and Austria</t>
        </is>
      </c>
    </row>
    <row r="112" ht="14" customHeight="1">
      <c r="A112" t="inlineStr">
        <is>
          <t>Sulfur dioxide</t>
        </is>
      </c>
      <c r="B112" t="n">
        <v>0</v>
      </c>
      <c r="C112" t="inlineStr">
        <is>
          <t>biosphere3</t>
        </is>
      </c>
      <c r="E112" t="inlineStr">
        <is>
          <t>kilogram</t>
        </is>
      </c>
      <c r="F112" t="inlineStr">
        <is>
          <t>air</t>
        </is>
      </c>
      <c r="G112" t="inlineStr">
        <is>
          <t>biosphere</t>
        </is>
      </c>
      <c r="L112" t="inlineStr">
        <is>
          <t>geometric mean of Remus et al. (2013) data range</t>
        </is>
      </c>
      <c r="M112" t="inlineStr">
        <is>
          <t>2::3::2::5::1::1</t>
        </is>
      </c>
      <c r="N112" t="n">
        <v>0</v>
      </c>
      <c r="P112" t="inlineStr">
        <is>
          <t>steel production, electric, low-alloyed</t>
        </is>
      </c>
      <c r="Q112" t="inlineStr">
        <is>
          <t>steel, low-alloyed</t>
        </is>
      </c>
      <c r="R112" t="inlineStr">
        <is>
          <t>Europe without Switzerland and Austria</t>
        </is>
      </c>
    </row>
    <row r="113" ht="14" customHeight="1">
      <c r="A113" t="inlineStr">
        <is>
          <t>Water</t>
        </is>
      </c>
      <c r="B113" t="n">
        <v>0</v>
      </c>
      <c r="C113" t="inlineStr">
        <is>
          <t>biosphere3</t>
        </is>
      </c>
      <c r="E113" t="inlineStr">
        <is>
          <t>cubic meter</t>
        </is>
      </c>
      <c r="F113" t="inlineStr">
        <is>
          <t>air</t>
        </is>
      </c>
      <c r="G113" t="inlineStr">
        <is>
          <t>biosphere</t>
        </is>
      </c>
      <c r="L113" t="inlineStr">
        <is>
          <t>Source: Classen et al. (2009)</t>
        </is>
      </c>
      <c r="M113" t="inlineStr">
        <is>
          <t>2::2::1::5::1::1</t>
        </is>
      </c>
      <c r="N113" t="n">
        <v>0</v>
      </c>
      <c r="P113" t="inlineStr">
        <is>
          <t>steel production, electric, low-alloyed</t>
        </is>
      </c>
      <c r="Q113" t="inlineStr">
        <is>
          <t>steel, low-alloyed</t>
        </is>
      </c>
      <c r="R113" t="inlineStr">
        <is>
          <t>Europe without Switzerland and Austria</t>
        </is>
      </c>
    </row>
    <row r="114" ht="14" customHeight="1">
      <c r="A114" t="inlineStr">
        <is>
          <t>Water</t>
        </is>
      </c>
      <c r="B114" t="n">
        <v>0</v>
      </c>
      <c r="C114" t="inlineStr">
        <is>
          <t>biosphere3</t>
        </is>
      </c>
      <c r="E114" t="inlineStr">
        <is>
          <t>cubic meter</t>
        </is>
      </c>
      <c r="F114" t="inlineStr">
        <is>
          <t>water</t>
        </is>
      </c>
      <c r="G114" t="inlineStr">
        <is>
          <t>biosphere</t>
        </is>
      </c>
      <c r="L114" t="inlineStr">
        <is>
          <t>Source: Classen et al. (2009)</t>
        </is>
      </c>
      <c r="M114" t="inlineStr">
        <is>
          <t>2::2::1::5::1::1</t>
        </is>
      </c>
      <c r="N114" t="n">
        <v>0</v>
      </c>
      <c r="P114" t="inlineStr">
        <is>
          <t>steel production, electric, low-alloyed</t>
        </is>
      </c>
      <c r="Q114" t="inlineStr">
        <is>
          <t>steel, low-alloyed</t>
        </is>
      </c>
      <c r="R114" t="inlineStr">
        <is>
          <t>Europe without Switzerland and Austria</t>
        </is>
      </c>
    </row>
    <row r="115" ht="14" customHeight="1">
      <c r="A115" t="inlineStr">
        <is>
          <t>Water, cooling, unspecified natural origin</t>
        </is>
      </c>
      <c r="B115" t="n">
        <v>0</v>
      </c>
      <c r="C115" t="inlineStr">
        <is>
          <t>biosphere3</t>
        </is>
      </c>
      <c r="E115" t="inlineStr">
        <is>
          <t>cubic meter</t>
        </is>
      </c>
      <c r="F115" t="inlineStr">
        <is>
          <t>natural resource::in water</t>
        </is>
      </c>
      <c r="G115" t="inlineStr">
        <is>
          <t>biosphere</t>
        </is>
      </c>
      <c r="L115" t="inlineStr">
        <is>
          <t>geometric mean of Remus et al. (2013) data range</t>
        </is>
      </c>
      <c r="M115" t="inlineStr">
        <is>
          <t>2::3::3::5::1::1</t>
        </is>
      </c>
      <c r="N115" t="n">
        <v>0</v>
      </c>
      <c r="P115" t="inlineStr">
        <is>
          <t>steel production, electric, low-alloyed</t>
        </is>
      </c>
      <c r="Q115" t="inlineStr">
        <is>
          <t>steel, low-alloyed</t>
        </is>
      </c>
      <c r="R115" t="inlineStr">
        <is>
          <t>Europe without Switzerland and Austria</t>
        </is>
      </c>
    </row>
    <row r="116" ht="14" customHeight="1">
      <c r="A116" t="inlineStr">
        <is>
          <t>Zinc</t>
        </is>
      </c>
      <c r="B116" t="n">
        <v>0</v>
      </c>
      <c r="C116" t="inlineStr">
        <is>
          <t>biosphere3</t>
        </is>
      </c>
      <c r="E116" t="inlineStr">
        <is>
          <t>kilogram</t>
        </is>
      </c>
      <c r="F116" t="inlineStr">
        <is>
          <t>air</t>
        </is>
      </c>
      <c r="G116" t="inlineStr">
        <is>
          <t>biosphere</t>
        </is>
      </c>
      <c r="L116" t="inlineStr">
        <is>
          <t>geometric mean of Remus et al. (2013) data range</t>
        </is>
      </c>
      <c r="M116" t="inlineStr">
        <is>
          <t>2::3::2::5::1::1</t>
        </is>
      </c>
      <c r="N116" t="n">
        <v>0</v>
      </c>
      <c r="P116" t="inlineStr">
        <is>
          <t>steel production, electric, low-alloyed</t>
        </is>
      </c>
      <c r="Q116" t="inlineStr">
        <is>
          <t>steel, low-alloyed</t>
        </is>
      </c>
      <c r="R116" t="inlineStr">
        <is>
          <t>Europe without Switzerland and Austria</t>
        </is>
      </c>
    </row>
    <row r="117" ht="14" customHeight="1">
      <c r="A117" t="inlineStr">
        <is>
          <t>steel production, electrowinning-electric arc furnace, low-alloyed</t>
        </is>
      </c>
      <c r="B117" t="n">
        <v>1</v>
      </c>
      <c r="C117" t="inlineStr">
        <is>
          <t>steel_paper</t>
        </is>
      </c>
      <c r="D117" t="inlineStr">
        <is>
          <t>GLO</t>
        </is>
      </c>
      <c r="E117" t="inlineStr">
        <is>
          <t>kilogram</t>
        </is>
      </c>
      <c r="G117" t="inlineStr">
        <is>
          <t>production</t>
        </is>
      </c>
      <c r="I117" t="n">
        <v>0</v>
      </c>
      <c r="J117" t="n">
        <v>1</v>
      </c>
      <c r="L117" t="inlineStr">
        <is>
          <t>&gt; Modifications (2025): changed location from RER to GLO.</t>
        </is>
      </c>
      <c r="N117" t="n">
        <v>11181008749.41</v>
      </c>
      <c r="O117" t="inlineStr">
        <is>
          <t>steel, low-alloyed</t>
        </is>
      </c>
    </row>
    <row r="118" ht="14" customHeight="1">
      <c r="A118" t="inlineStr">
        <is>
          <t>pig iron production, by electrowinning</t>
        </is>
      </c>
      <c r="B118" t="n">
        <v>1.061992490719463</v>
      </c>
      <c r="C118" t="inlineStr">
        <is>
          <t>steel_paper</t>
        </is>
      </c>
      <c r="D118" t="inlineStr">
        <is>
          <t>GLO</t>
        </is>
      </c>
      <c r="E118" t="inlineStr">
        <is>
          <t>kilogram</t>
        </is>
      </c>
      <c r="G118" t="inlineStr">
        <is>
          <t>technosphere</t>
        </is>
      </c>
      <c r="L118" s="9" t="inlineStr">
        <is>
          <t>&gt; Modifications (2025): input of pig iron of 1.06,
&gt; original was: instead of 1.13 of scrap</t>
        </is>
      </c>
      <c r="O118" t="inlineStr">
        <is>
          <t>pig iron</t>
        </is>
      </c>
    </row>
    <row r="119" ht="14" customHeight="1">
      <c r="A119" t="inlineStr">
        <is>
          <t>market for anode, for metal electrolysis</t>
        </is>
      </c>
      <c r="B119" t="n">
        <v>0</v>
      </c>
      <c r="C119" t="inlineStr">
        <is>
          <t>cutoff391</t>
        </is>
      </c>
      <c r="D119" t="inlineStr">
        <is>
          <t>GLO</t>
        </is>
      </c>
      <c r="E119" t="inlineStr">
        <is>
          <t>kilogram</t>
        </is>
      </c>
      <c r="G119" t="inlineStr">
        <is>
          <t>technosphere</t>
        </is>
      </c>
      <c r="L119" t="inlineStr">
        <is>
          <t>geometric mean of Remus et al. (2013) data range</t>
        </is>
      </c>
      <c r="M119" t="inlineStr">
        <is>
          <t>2::3::2::5::1::1</t>
        </is>
      </c>
      <c r="N119" t="n">
        <v>0</v>
      </c>
      <c r="O119" t="inlineStr">
        <is>
          <t>anode, for metal electrolysis</t>
        </is>
      </c>
      <c r="P119" t="inlineStr">
        <is>
          <t>steel production, electric, low-alloyed</t>
        </is>
      </c>
      <c r="Q119" t="inlineStr">
        <is>
          <t>steel, low-alloyed</t>
        </is>
      </c>
      <c r="R119" t="inlineStr">
        <is>
          <t>Europe without Switzerland and Austria</t>
        </is>
      </c>
    </row>
    <row r="120" ht="14" customHeight="1">
      <c r="A120" t="inlineStr">
        <is>
          <t>market for argon, liquid</t>
        </is>
      </c>
      <c r="B120" t="n">
        <v>0</v>
      </c>
      <c r="C120" t="inlineStr">
        <is>
          <t>cutoff391</t>
        </is>
      </c>
      <c r="D120" t="inlineStr">
        <is>
          <t>RER</t>
        </is>
      </c>
      <c r="E120" t="inlineStr">
        <is>
          <t>kilogram</t>
        </is>
      </c>
      <c r="G120" t="inlineStr">
        <is>
          <t>technosphere</t>
        </is>
      </c>
      <c r="L120" s="57" t="inlineStr">
        <is>
          <t>&gt; Modifications (2025): changed location from RER to RoW.
&lt;Original ecoinvent 3.8 comment: &gt;
geometric mean of Remus et al. (2013) data range (m3:kg conversion based on: http://www.airproducts.com/Products/Gases/gas-facts/conversion-formulas/weight-and-volume-equivalents/argon.aspx)</t>
        </is>
      </c>
      <c r="M120" t="inlineStr">
        <is>
          <t>2::4::1::4::2::1</t>
        </is>
      </c>
      <c r="N120" t="n">
        <v>0</v>
      </c>
      <c r="O120" t="inlineStr">
        <is>
          <t>argon, liquid</t>
        </is>
      </c>
      <c r="P120" t="inlineStr">
        <is>
          <t>steel production, electric, low-alloyed</t>
        </is>
      </c>
      <c r="Q120" t="inlineStr">
        <is>
          <t>steel, low-alloyed</t>
        </is>
      </c>
      <c r="R120" t="inlineStr">
        <is>
          <t>Europe without Switzerland and Austria</t>
        </is>
      </c>
    </row>
    <row r="121" ht="14" customHeight="1">
      <c r="A121" t="inlineStr">
        <is>
          <t>market for electric arc furnace converter</t>
        </is>
      </c>
      <c r="B121" t="n">
        <v>0</v>
      </c>
      <c r="C121" t="inlineStr">
        <is>
          <t>cutoff391</t>
        </is>
      </c>
      <c r="D121" t="inlineStr">
        <is>
          <t>GLO</t>
        </is>
      </c>
      <c r="E121" t="inlineStr">
        <is>
          <t>unit</t>
        </is>
      </c>
      <c r="G121" t="inlineStr">
        <is>
          <t>technosphere</t>
        </is>
      </c>
      <c r="L121" t="inlineStr">
        <is>
          <t>Source: Classen et al. (2009)</t>
        </is>
      </c>
      <c r="M121" t="inlineStr">
        <is>
          <t>5::5::5::5::5::1</t>
        </is>
      </c>
      <c r="N121" t="n">
        <v>0</v>
      </c>
      <c r="O121" t="inlineStr">
        <is>
          <t>electric arc furnace converter</t>
        </is>
      </c>
      <c r="P121" t="inlineStr">
        <is>
          <t>steel production, electric, low-alloyed</t>
        </is>
      </c>
      <c r="Q121" t="inlineStr">
        <is>
          <t>steel, low-alloyed</t>
        </is>
      </c>
      <c r="R121" t="inlineStr">
        <is>
          <t>Europe without Switzerland and Austria</t>
        </is>
      </c>
    </row>
    <row r="122" ht="14" customHeight="1">
      <c r="A122" t="inlineStr">
        <is>
          <t>market for electric arc furnace dust</t>
        </is>
      </c>
      <c r="B122" t="n">
        <v>0</v>
      </c>
      <c r="C122" t="inlineStr">
        <is>
          <t>cutoff391</t>
        </is>
      </c>
      <c r="D122" s="21" t="inlineStr">
        <is>
          <t>RER</t>
        </is>
      </c>
      <c r="E122" t="inlineStr">
        <is>
          <t>kilogram</t>
        </is>
      </c>
      <c r="G122" t="inlineStr">
        <is>
          <t>technosphere</t>
        </is>
      </c>
      <c r="L122" s="57" t="inlineStr">
        <is>
          <t>&gt; Modifications (2025): changed location from RER to RoW.
&lt;Original ecoinvent 3.8 comment: &gt;
Amount reported by worldsteel (2010) and is representative of the average global situation in 2009. Also based on worldsteel (2010), an internal recovery (recycling) rate of 10% is assumed. Source: Worldsteel (2010). Steel industry by-products. World Steel Association: Brussels, Belgium.</t>
        </is>
      </c>
      <c r="M122" t="inlineStr">
        <is>
          <t>2::3::3::2::2::1</t>
        </is>
      </c>
      <c r="N122" t="n">
        <v>213863626.753465</v>
      </c>
      <c r="O122" t="inlineStr">
        <is>
          <t>electric arc furnace dust</t>
        </is>
      </c>
      <c r="P122" t="inlineStr">
        <is>
          <t>steel production, electric, low-alloyed</t>
        </is>
      </c>
      <c r="Q122" t="inlineStr">
        <is>
          <t>steel, low-alloyed</t>
        </is>
      </c>
      <c r="R122" t="inlineStr">
        <is>
          <t>Europe without Switzerland and Austria</t>
        </is>
      </c>
    </row>
    <row r="123" ht="14" customHeight="1">
      <c r="A123" t="inlineStr">
        <is>
          <t>market for electric arc furnace slag</t>
        </is>
      </c>
      <c r="B123" t="n">
        <v>-0.1549821636910023</v>
      </c>
      <c r="C123" t="inlineStr">
        <is>
          <t>cutoff391</t>
        </is>
      </c>
      <c r="D123" s="21" t="inlineStr">
        <is>
          <t>RER</t>
        </is>
      </c>
      <c r="E123" t="inlineStr">
        <is>
          <t>kilogram</t>
        </is>
      </c>
      <c r="G123" t="inlineStr">
        <is>
          <t>technosphere</t>
        </is>
      </c>
      <c r="I123" t="n">
        <v>2</v>
      </c>
      <c r="J123" t="n">
        <v>-1.925066886936832</v>
      </c>
      <c r="K123" t="n">
        <v>0.06652067347825036</v>
      </c>
      <c r="L123" s="55" t="inlineStr">
        <is>
          <t>&gt; Modifications (2025): Increased value of:  electric arc furnace slag 	market for electric arc furnace slag	RER	ecoinvent38_cutoff	to  -0.165106 kg (sum of all slag types in ecoinvent 3.8)
&lt;Original ecoinvent 3.8 comment: &gt;
Amount reported by worldsteel (2010) and is representative of the average global situation in 2009. Also based on worldsteel (2010), an internal recovery (recycling) rate of 3% is assumed. Source: Worldsteel (2010). Steel industry by-products. World Steel Association: Brussels, Belgium.</t>
        </is>
      </c>
      <c r="M123" t="inlineStr">
        <is>
          <t>2::3::3::2::2::1</t>
        </is>
      </c>
      <c r="N123" t="n">
        <v>1630929022.24144</v>
      </c>
      <c r="O123" t="inlineStr">
        <is>
          <t>electric arc furnace slag</t>
        </is>
      </c>
      <c r="S123" t="b">
        <v>1</v>
      </c>
    </row>
    <row r="124" ht="14" customHeight="1">
      <c r="A124" s="65" t="inlineStr">
        <is>
          <t>market for ferromanganese, high-coal, 74.5% Mn</t>
        </is>
      </c>
      <c r="B124" s="65" t="n">
        <v>0</v>
      </c>
      <c r="C124" s="65" t="inlineStr">
        <is>
          <t>cutoff391</t>
        </is>
      </c>
      <c r="D124" s="65" t="inlineStr">
        <is>
          <t>GLO</t>
        </is>
      </c>
      <c r="E124" s="65" t="inlineStr">
        <is>
          <t>kilogram</t>
        </is>
      </c>
      <c r="F124" s="65" t="n"/>
      <c r="G124" s="65" t="inlineStr">
        <is>
          <t>technosphere</t>
        </is>
      </c>
      <c r="H124" s="65" t="n"/>
      <c r="I124" s="65" t="n"/>
      <c r="J124" s="65" t="n"/>
      <c r="K124" s="65" t="n"/>
      <c r="L124" s="66" t="inlineStr">
        <is>
          <t>&gt; Modifications (2025): set to zero, since alloys come from aggregated process for low-alloyed steel [CH]
&gt; original was: 0.00967289199222203
&lt;Original ecoinvent 3.8 comment: &gt; Value taken from regional dataset for Switzerland, which was used as a proxy.</t>
        </is>
      </c>
      <c r="M124" s="65" t="inlineStr">
        <is>
          <t>2::2::1::1::1::1</t>
        </is>
      </c>
      <c r="N124" s="65" t="n">
        <v>0</v>
      </c>
      <c r="O124" s="65" t="inlineStr">
        <is>
          <t>ferromanganese, high-coal, 74.5% Mn</t>
        </is>
      </c>
      <c r="P124" t="inlineStr">
        <is>
          <t>steel production, electric, low-alloyed</t>
        </is>
      </c>
      <c r="Q124" t="inlineStr">
        <is>
          <t>steel, low-alloyed</t>
        </is>
      </c>
      <c r="R124" t="inlineStr">
        <is>
          <t>Europe without Switzerland and Austria</t>
        </is>
      </c>
    </row>
    <row r="125" ht="14" customHeight="1">
      <c r="A125" s="65" t="inlineStr">
        <is>
          <t>market for ferrosilicon</t>
        </is>
      </c>
      <c r="B125" s="65" t="n">
        <v>0</v>
      </c>
      <c r="C125" s="65" t="inlineStr">
        <is>
          <t>cutoff391</t>
        </is>
      </c>
      <c r="D125" s="65" t="inlineStr">
        <is>
          <t>GLO</t>
        </is>
      </c>
      <c r="E125" s="65" t="inlineStr">
        <is>
          <t>kilogram</t>
        </is>
      </c>
      <c r="F125" s="65" t="n"/>
      <c r="G125" s="65" t="inlineStr">
        <is>
          <t>technosphere</t>
        </is>
      </c>
      <c r="H125" s="65" t="n"/>
      <c r="I125" s="65" t="n"/>
      <c r="J125" s="65" t="n"/>
      <c r="K125" s="65" t="n"/>
      <c r="L125" s="66" t="inlineStr">
        <is>
          <t>&gt; Modifications (2025): set to zero, since alloys come from aggregated process for low-alloyed steel [CH]
&gt; original was: 0.00367673148311826
&lt;Original ecoinvent 3.8 comment: &gt; Value taken from regional dataset for Switzerland, which was used as a proxy.</t>
        </is>
      </c>
      <c r="M125" s="65" t="inlineStr">
        <is>
          <t>2::2::1::1::1::1</t>
        </is>
      </c>
      <c r="N125" s="65" t="n">
        <v>0</v>
      </c>
      <c r="O125" s="65" t="inlineStr">
        <is>
          <t>ferrosilicon</t>
        </is>
      </c>
      <c r="P125" t="inlineStr">
        <is>
          <t>steel production, electric, low-alloyed</t>
        </is>
      </c>
      <c r="Q125" t="inlineStr">
        <is>
          <t>steel, low-alloyed</t>
        </is>
      </c>
      <c r="R125" t="inlineStr">
        <is>
          <t>Europe without Switzerland and Austria</t>
        </is>
      </c>
    </row>
    <row r="126" ht="14" customHeight="1">
      <c r="A126" t="inlineStr">
        <is>
          <t>market for hard coal</t>
        </is>
      </c>
      <c r="B126" t="n">
        <v>0</v>
      </c>
      <c r="C126" t="inlineStr">
        <is>
          <t>cutoff391</t>
        </is>
      </c>
      <c r="D126" t="inlineStr">
        <is>
          <t>RoW</t>
        </is>
      </c>
      <c r="E126" t="inlineStr">
        <is>
          <t>kilogram</t>
        </is>
      </c>
      <c r="G126" t="inlineStr">
        <is>
          <t>technosphere</t>
        </is>
      </c>
      <c r="L126" t="inlineStr">
        <is>
          <t>geometric mean of Remus et al. (2013) data range</t>
        </is>
      </c>
      <c r="M126" t="inlineStr">
        <is>
          <t>2::3::2::5::1::1</t>
        </is>
      </c>
      <c r="N126" t="n">
        <v>0</v>
      </c>
      <c r="O126" t="inlineStr">
        <is>
          <t>hard coal</t>
        </is>
      </c>
      <c r="P126" t="inlineStr">
        <is>
          <t>steel production, electric, low-alloyed</t>
        </is>
      </c>
      <c r="Q126" t="inlineStr">
        <is>
          <t>steel, low-alloyed</t>
        </is>
      </c>
      <c r="R126" t="inlineStr">
        <is>
          <t>Europe without Switzerland and Austria</t>
        </is>
      </c>
    </row>
    <row r="127" ht="14" customHeight="1">
      <c r="A127" t="inlineStr">
        <is>
          <t>market for inert waste, for final disposal</t>
        </is>
      </c>
      <c r="B127" t="n">
        <v>0</v>
      </c>
      <c r="C127" t="inlineStr">
        <is>
          <t>cutoff391</t>
        </is>
      </c>
      <c r="D127" t="inlineStr">
        <is>
          <t>RoW</t>
        </is>
      </c>
      <c r="E127" t="inlineStr">
        <is>
          <t>kilogram</t>
        </is>
      </c>
      <c r="G127" t="inlineStr">
        <is>
          <t>technosphere</t>
        </is>
      </c>
      <c r="L127" t="inlineStr">
        <is>
          <t>Represents used refractories, etc.</t>
        </is>
      </c>
      <c r="M127" t="inlineStr">
        <is>
          <t>2::3::3::2::2::1</t>
        </is>
      </c>
      <c r="N127" t="n">
        <v>75833291.07138591</v>
      </c>
      <c r="O127" t="inlineStr">
        <is>
          <t>inert waste, for final disposal</t>
        </is>
      </c>
      <c r="P127" t="inlineStr">
        <is>
          <t>steel production, electric, low-alloyed</t>
        </is>
      </c>
      <c r="Q127" t="inlineStr">
        <is>
          <t>steel, low-alloyed</t>
        </is>
      </c>
      <c r="R127" t="inlineStr">
        <is>
          <t>Europe without Switzerland and Austria</t>
        </is>
      </c>
    </row>
    <row r="128" ht="14" customHeight="1">
      <c r="A128" t="inlineStr">
        <is>
          <t>market for nitrogen, liquid</t>
        </is>
      </c>
      <c r="B128" t="n">
        <v>0</v>
      </c>
      <c r="C128" t="inlineStr">
        <is>
          <t>cutoff391</t>
        </is>
      </c>
      <c r="D128" t="inlineStr">
        <is>
          <t>RoW</t>
        </is>
      </c>
      <c r="E128" t="inlineStr">
        <is>
          <t>kilogram</t>
        </is>
      </c>
      <c r="G128" t="inlineStr">
        <is>
          <t>technosphere</t>
        </is>
      </c>
      <c r="L128" s="57" t="inlineStr">
        <is>
          <t>&gt; Modifications (2025): changed location from RER to RoW.
&lt;Original ecoinvent 3.8 comment: &gt; geometric mean of Remus et al. (2013) data range (m3:kg conversion based on: http://www.airproducts.com/Products/Gases/gas-facts/conversion-formulas/weight-and-volume-equivalents/nitrogen.aspx)</t>
        </is>
      </c>
      <c r="M128" t="inlineStr">
        <is>
          <t>2::3::5::5::3::1</t>
        </is>
      </c>
      <c r="N128" t="n">
        <v>0</v>
      </c>
      <c r="O128" t="inlineStr">
        <is>
          <t>nitrogen, liquid</t>
        </is>
      </c>
      <c r="P128" t="inlineStr">
        <is>
          <t>steel production, electric, low-alloyed</t>
        </is>
      </c>
      <c r="Q128" t="inlineStr">
        <is>
          <t>steel, low-alloyed</t>
        </is>
      </c>
      <c r="R128" t="inlineStr">
        <is>
          <t>Europe without Switzerland and Austria</t>
        </is>
      </c>
    </row>
    <row r="129" ht="14" customHeight="1">
      <c r="A129" t="inlineStr">
        <is>
          <t>market for oxygen, liquid</t>
        </is>
      </c>
      <c r="B129" t="n">
        <v>0</v>
      </c>
      <c r="C129" t="inlineStr">
        <is>
          <t>cutoff391</t>
        </is>
      </c>
      <c r="D129" t="inlineStr">
        <is>
          <t>RoW</t>
        </is>
      </c>
      <c r="E129" t="inlineStr">
        <is>
          <t>kilogram</t>
        </is>
      </c>
      <c r="G129" t="inlineStr">
        <is>
          <t>technosphere</t>
        </is>
      </c>
      <c r="L129" s="57" t="inlineStr">
        <is>
          <t>&gt; Modifications (2025): changed location from RER to RoW.
&lt;Original ecoinvent 3.8 comment: &gt; geometric mean of Remus et al. (2013) data range (m3:kg conversion based on: http://www.airproducts.com/Products/Gases/gas-facts/conversion-formulas/weight-and-volume-equivalents/oxygen.aspx)</t>
        </is>
      </c>
      <c r="M129" t="inlineStr">
        <is>
          <t>2::3::2::5::1::1</t>
        </is>
      </c>
      <c r="N129" t="n">
        <v>0</v>
      </c>
      <c r="O129" t="inlineStr">
        <is>
          <t>oxygen, liquid</t>
        </is>
      </c>
      <c r="P129" t="inlineStr">
        <is>
          <t>steel production, electric, low-alloyed</t>
        </is>
      </c>
      <c r="Q129" t="inlineStr">
        <is>
          <t>steel, low-alloyed</t>
        </is>
      </c>
      <c r="R129" t="inlineStr">
        <is>
          <t>Europe without Switzerland and Austria</t>
        </is>
      </c>
    </row>
    <row r="130" ht="14" customHeight="1">
      <c r="A130" t="inlineStr">
        <is>
          <t>market for quicklime, in pieces, loose</t>
        </is>
      </c>
      <c r="B130" t="n">
        <v>0</v>
      </c>
      <c r="C130" t="inlineStr">
        <is>
          <t>cutoff391</t>
        </is>
      </c>
      <c r="D130" t="inlineStr">
        <is>
          <t>RoW</t>
        </is>
      </c>
      <c r="E130" t="inlineStr">
        <is>
          <t>kilogram</t>
        </is>
      </c>
      <c r="G130" t="inlineStr">
        <is>
          <t>technosphere</t>
        </is>
      </c>
      <c r="L130" t="inlineStr">
        <is>
          <t>geometric mean of Remus et al. (2013) data range</t>
        </is>
      </c>
      <c r="M130" t="inlineStr">
        <is>
          <t>2::3::2::5::1::1</t>
        </is>
      </c>
      <c r="N130" t="n">
        <v>0</v>
      </c>
      <c r="O130" t="inlineStr">
        <is>
          <t>quicklime, in pieces, loose</t>
        </is>
      </c>
      <c r="P130" t="inlineStr">
        <is>
          <t>steel production, electric, low-alloyed</t>
        </is>
      </c>
      <c r="Q130" t="inlineStr">
        <is>
          <t>steel, low-alloyed</t>
        </is>
      </c>
      <c r="R130" t="inlineStr">
        <is>
          <t>Europe without Switzerland and Austria</t>
        </is>
      </c>
    </row>
    <row r="131" ht="14" customHeight="1">
      <c r="A131" t="inlineStr">
        <is>
          <t>market for refractory, basic, packed</t>
        </is>
      </c>
      <c r="B131" t="n">
        <v>0</v>
      </c>
      <c r="C131" t="inlineStr">
        <is>
          <t>cutoff391</t>
        </is>
      </c>
      <c r="D131" t="inlineStr">
        <is>
          <t>GLO</t>
        </is>
      </c>
      <c r="E131" t="inlineStr">
        <is>
          <t>kilogram</t>
        </is>
      </c>
      <c r="G131" t="inlineStr">
        <is>
          <t>technosphere</t>
        </is>
      </c>
      <c r="L131" t="inlineStr">
        <is>
          <t>geometric mean of Remus et al. (2013) data range</t>
        </is>
      </c>
      <c r="M131" t="inlineStr">
        <is>
          <t>2::3::2::5::1::1</t>
        </is>
      </c>
      <c r="N131" t="n">
        <v>0</v>
      </c>
      <c r="O131" t="inlineStr">
        <is>
          <t>refractory, basic, packed</t>
        </is>
      </c>
      <c r="P131" t="inlineStr">
        <is>
          <t>steel production, electric, low-alloyed</t>
        </is>
      </c>
      <c r="Q131" t="inlineStr">
        <is>
          <t>steel, low-alloyed</t>
        </is>
      </c>
      <c r="R131" t="inlineStr">
        <is>
          <t>Europe without Switzerland and Austria</t>
        </is>
      </c>
    </row>
    <row r="132" ht="14" customHeight="1">
      <c r="A132" t="inlineStr">
        <is>
          <t>market group for electricity, medium voltage</t>
        </is>
      </c>
      <c r="B132" t="n">
        <v>0.5162630369453775</v>
      </c>
      <c r="C132" t="inlineStr">
        <is>
          <t>cutoff391</t>
        </is>
      </c>
      <c r="D132" t="inlineStr">
        <is>
          <t>GLO</t>
        </is>
      </c>
      <c r="E132" t="inlineStr">
        <is>
          <t>kilowatt hour</t>
        </is>
      </c>
      <c r="G132" t="inlineStr">
        <is>
          <t>technosphere</t>
        </is>
      </c>
      <c r="L132" s="25" t="inlineStr">
        <is>
          <t>&gt; Modifications (2025): used input from market group instead of separate countries (aggregated the amount to 1 value from 1 market). Changed location from RER to GLO</t>
        </is>
      </c>
      <c r="O132" t="inlineStr">
        <is>
          <t>electricity, medium voltage</t>
        </is>
      </c>
    </row>
    <row r="133" ht="14" customHeight="1">
      <c r="A133" t="inlineStr">
        <is>
          <t>market group for natural gas, high pressure</t>
        </is>
      </c>
      <c r="B133" t="n">
        <v>0.007023523952625067</v>
      </c>
      <c r="C133" t="inlineStr">
        <is>
          <t>cutoff391</t>
        </is>
      </c>
      <c r="D133" t="inlineStr">
        <is>
          <t>GLO</t>
        </is>
      </c>
      <c r="E133" t="inlineStr">
        <is>
          <t>cubic meter</t>
        </is>
      </c>
      <c r="G133" t="inlineStr">
        <is>
          <t>technosphere</t>
        </is>
      </c>
      <c r="L133" s="25" t="inlineStr">
        <is>
          <t>&gt; Modifications (2025): used input from market group instead of separate countries (aggregated the amount to 1 value from 1 market). changed location from RER to GLO</t>
        </is>
      </c>
      <c r="O133" t="inlineStr">
        <is>
          <t>natural gas, high pressure</t>
        </is>
      </c>
    </row>
    <row r="134" ht="14" customHeight="1">
      <c r="A134" t="inlineStr">
        <is>
          <t>alloys production, for low-alloyed steel</t>
        </is>
      </c>
      <c r="B134" t="n">
        <v>1</v>
      </c>
      <c r="C134" t="inlineStr">
        <is>
          <t>steel_paper</t>
        </is>
      </c>
      <c r="D134" t="inlineStr">
        <is>
          <t>GLO</t>
        </is>
      </c>
      <c r="E134" t="inlineStr">
        <is>
          <t>kilogram</t>
        </is>
      </c>
      <c r="G134" t="inlineStr">
        <is>
          <t>technosphere</t>
        </is>
      </c>
      <c r="L134" s="25" t="inlineStr">
        <is>
          <t>&gt; Modifications (2025): added alloying elements to produce low-alloyed steel, assuming that these alloying elements are usually already contained in the scrap entering a scrap-EAF, which is not the case here, where low-alloyed steel is produced from virgin sponge iron</t>
        </is>
      </c>
      <c r="O134" t="inlineStr">
        <is>
          <t>alloys, for low-alloyed steel</t>
        </is>
      </c>
    </row>
    <row r="135"/>
    <row r="136" ht="14" customHeight="1">
      <c r="A136" s="50" t="inlineStr">
        <is>
          <t>Activity</t>
        </is>
      </c>
      <c r="B136" s="33" t="inlineStr">
        <is>
          <t>steel production, electrowinning-electric arc furnace, unalloyed</t>
        </is>
      </c>
    </row>
    <row r="137" ht="14" customHeight="1">
      <c r="A137" t="inlineStr">
        <is>
          <t>comment</t>
        </is>
      </c>
      <c r="B137" s="57" t="inlineStr">
        <is>
          <t>This dataset represents the production of unalloyed steel from electrowon iron (pig iron) using an electric arc furnace (EAF). It is derived from the ecoinvent v3.8 process “steel production, electric, low-alloyed” and modified to reflect a scenario where virgin pig iron replaces scrap as input, resulting in a global (GLO) technology applicable in prospective steelmaking contexts.
Modifications by Harpprecht et al. (2025):
Geographic scope: Changed all inputs from RER to RoW (for gases, slags, dusts) or to GLO (for electricity and natural gas markets), converting the dataset to GLO.
Main input: Scrap replaced by 1.06 kg of electrowon iron (based on Siderwin data); original ecoinvent scrap input was 1.13139 kg → scaling factor: 0.9369.
Slag: Removed secondary metallurgy slag output; increased EAF slag to match total slag in the original dataset (0.165106 kg).
Energy: Replaced various regional electricity/natural gas inputs with market groups (medium voltage electricity, natural gas).
Alloying elements: Adjusted to reflect unalloyed steel production:
FeSi removed (set to zero)
FeMn reduced from 0.009 to 0.006 kg, matching input of unalloyed steel production via converter in ecoinvent.
Parameter:
EW_EAF_lowalloy_ScalingFactor = 1.06 / 1.13139 = 0.9369
This ratio is reused from Bhaskar et al. (2020), as they report the same sponge iron requirement for EW-EAF as for NG-DRI-EAF.
References:
Harpprecht et al. (2025). Dataset modifications for prospective LCI modeling in steel production pathways.
ecoinvent v3.8, system model: cutoff. Process: “steel production, electric, low-alloyed”; region: RER.
Bhaskar, A., Assadi, M., &amp; Nikpey Somehsaraei, H. (2020). Decarbonization of the iron and steel industry with direct reduction of iron ore with hydrogen. Sustainable Production and Consumption, 23, 144–156. https://doi.org/10.1016/j.spc.2020.05.002
Siderwin Project (2019). Project documentation and electrolysis yield assumptions.</t>
        </is>
      </c>
    </row>
    <row r="138" ht="14" customHeight="1">
      <c r="A138" t="inlineStr">
        <is>
          <t>location</t>
        </is>
      </c>
      <c r="B138" t="inlineStr">
        <is>
          <t>GLO</t>
        </is>
      </c>
    </row>
    <row r="139" ht="14" customHeight="1">
      <c r="A139" t="inlineStr">
        <is>
          <t>production amount</t>
        </is>
      </c>
      <c r="B139" t="n">
        <v>1</v>
      </c>
    </row>
    <row r="140" ht="14" customHeight="1">
      <c r="A140" t="inlineStr">
        <is>
          <t>reference product</t>
        </is>
      </c>
      <c r="B140" t="inlineStr">
        <is>
          <t>steel, unalloyed</t>
        </is>
      </c>
    </row>
    <row r="141" ht="14" customHeight="1">
      <c r="A141" t="inlineStr">
        <is>
          <t>unit</t>
        </is>
      </c>
      <c r="B141" t="inlineStr">
        <is>
          <t>kilogram</t>
        </is>
      </c>
    </row>
    <row r="142" ht="14" customHeight="1">
      <c r="A142" s="50" t="inlineStr">
        <is>
          <t>Exchanges</t>
        </is>
      </c>
    </row>
    <row r="143" ht="14" customFormat="1" customHeight="1" s="20">
      <c r="A143" t="inlineStr">
        <is>
          <t>name</t>
        </is>
      </c>
      <c r="B143" s="20" t="inlineStr">
        <is>
          <t>amount</t>
        </is>
      </c>
      <c r="C143" s="20" t="inlineStr">
        <is>
          <t>database</t>
        </is>
      </c>
      <c r="D143" s="20" t="inlineStr">
        <is>
          <t>location</t>
        </is>
      </c>
      <c r="E143" s="20" t="inlineStr">
        <is>
          <t>unit</t>
        </is>
      </c>
      <c r="F143" s="20" t="inlineStr">
        <is>
          <t>categories</t>
        </is>
      </c>
      <c r="G143" s="20" t="inlineStr">
        <is>
          <t>type</t>
        </is>
      </c>
      <c r="H143" s="20" t="inlineStr">
        <is>
          <t>formula</t>
        </is>
      </c>
      <c r="I143" s="20" t="inlineStr">
        <is>
          <t>uncertainty type</t>
        </is>
      </c>
      <c r="J143" s="20" t="inlineStr">
        <is>
          <t>loc</t>
        </is>
      </c>
      <c r="K143" s="20" t="inlineStr">
        <is>
          <t>scale</t>
        </is>
      </c>
      <c r="L143" s="20" t="inlineStr">
        <is>
          <t>comment</t>
        </is>
      </c>
      <c r="M143" s="20" t="inlineStr">
        <is>
          <t>pedigree</t>
        </is>
      </c>
      <c r="N143" s="20" t="inlineStr">
        <is>
          <t>production volume</t>
        </is>
      </c>
      <c r="O143" s="20" t="inlineStr">
        <is>
          <t>reference product</t>
        </is>
      </c>
      <c r="P143" s="20" t="inlineStr">
        <is>
          <t>replacement name</t>
        </is>
      </c>
      <c r="Q143" s="20" t="inlineStr">
        <is>
          <t>replacement product</t>
        </is>
      </c>
      <c r="R143" s="20" t="inlineStr">
        <is>
          <t>replacement location</t>
        </is>
      </c>
      <c r="S143" s="20" t="inlineStr">
        <is>
          <t>negative</t>
        </is>
      </c>
    </row>
    <row r="144" ht="14" customHeight="1">
      <c r="A144" t="inlineStr">
        <is>
          <t>Benzene</t>
        </is>
      </c>
      <c r="B144" t="n">
        <v>0</v>
      </c>
      <c r="C144" t="inlineStr">
        <is>
          <t>biosphere3</t>
        </is>
      </c>
      <c r="E144" t="inlineStr">
        <is>
          <t>kilogram</t>
        </is>
      </c>
      <c r="F144" t="inlineStr">
        <is>
          <t>air</t>
        </is>
      </c>
      <c r="G144" t="inlineStr">
        <is>
          <t>biosphere</t>
        </is>
      </c>
      <c r="L144" t="inlineStr">
        <is>
          <t>geometric mean of Remus et al. (2013) data range</t>
        </is>
      </c>
      <c r="M144" t="inlineStr">
        <is>
          <t>2::3::2::5::1::1</t>
        </is>
      </c>
      <c r="N144" t="n">
        <v>0</v>
      </c>
      <c r="P144" t="inlineStr">
        <is>
          <t>steel production, electric, low-alloyed</t>
        </is>
      </c>
      <c r="Q144" t="inlineStr">
        <is>
          <t>steel, low-alloyed</t>
        </is>
      </c>
      <c r="R144" t="inlineStr">
        <is>
          <t>Europe without Switzerland and Austria</t>
        </is>
      </c>
    </row>
    <row r="145" ht="14" customHeight="1">
      <c r="A145" t="inlineStr">
        <is>
          <t>Benzene, hexachloro-</t>
        </is>
      </c>
      <c r="B145" t="n">
        <v>0</v>
      </c>
      <c r="C145" t="inlineStr">
        <is>
          <t>biosphere3</t>
        </is>
      </c>
      <c r="E145" t="inlineStr">
        <is>
          <t>kilogram</t>
        </is>
      </c>
      <c r="F145" t="inlineStr">
        <is>
          <t>air</t>
        </is>
      </c>
      <c r="G145" t="inlineStr">
        <is>
          <t>biosphere</t>
        </is>
      </c>
      <c r="L145" t="inlineStr">
        <is>
          <t>geometric mean of Remus et al. (2013) data range</t>
        </is>
      </c>
      <c r="M145" t="inlineStr">
        <is>
          <t>2::3::2::5::1::1</t>
        </is>
      </c>
      <c r="N145" t="n">
        <v>0</v>
      </c>
      <c r="P145" t="inlineStr">
        <is>
          <t>steel production, electric, low-alloyed</t>
        </is>
      </c>
      <c r="Q145" t="inlineStr">
        <is>
          <t>steel, low-alloyed</t>
        </is>
      </c>
      <c r="R145" t="inlineStr">
        <is>
          <t>Europe without Switzerland and Austria</t>
        </is>
      </c>
    </row>
    <row r="146" ht="14" customHeight="1">
      <c r="A146" t="inlineStr">
        <is>
          <t>Cadmium</t>
        </is>
      </c>
      <c r="B146" t="n">
        <v>0</v>
      </c>
      <c r="C146" t="inlineStr">
        <is>
          <t>biosphere3</t>
        </is>
      </c>
      <c r="E146" t="inlineStr">
        <is>
          <t>kilogram</t>
        </is>
      </c>
      <c r="F146" t="inlineStr">
        <is>
          <t>air</t>
        </is>
      </c>
      <c r="G146" t="inlineStr">
        <is>
          <t>biosphere</t>
        </is>
      </c>
      <c r="L146" t="inlineStr">
        <is>
          <t>geometric mean of Remus et al. (2013) data range</t>
        </is>
      </c>
      <c r="M146" t="inlineStr">
        <is>
          <t>2::3::2::5::1::1</t>
        </is>
      </c>
      <c r="N146" t="n">
        <v>0</v>
      </c>
      <c r="P146" t="inlineStr">
        <is>
          <t>steel production, electric, low-alloyed</t>
        </is>
      </c>
      <c r="Q146" t="inlineStr">
        <is>
          <t>steel, low-alloyed</t>
        </is>
      </c>
      <c r="R146" t="inlineStr">
        <is>
          <t>Europe without Switzerland and Austria</t>
        </is>
      </c>
    </row>
    <row r="147" ht="14" customHeight="1">
      <c r="A147" t="inlineStr">
        <is>
          <t>Carbon dioxide, fossil</t>
        </is>
      </c>
      <c r="B147" t="n">
        <v>0</v>
      </c>
      <c r="C147" t="inlineStr">
        <is>
          <t>biosphere3</t>
        </is>
      </c>
      <c r="E147" t="inlineStr">
        <is>
          <t>kilogram</t>
        </is>
      </c>
      <c r="F147" t="inlineStr">
        <is>
          <t>air</t>
        </is>
      </c>
      <c r="G147" t="inlineStr">
        <is>
          <t>biosphere</t>
        </is>
      </c>
      <c r="L147" t="inlineStr">
        <is>
          <t>Calculated Value. Carbon dioxide emission is calculated as the sum of carbon in hard coal and natural gas minus the emissions of carbon monoxide.</t>
        </is>
      </c>
      <c r="M147" t="inlineStr">
        <is>
          <t>5::5::5::5::5::1</t>
        </is>
      </c>
      <c r="N147" t="n">
        <v>0</v>
      </c>
      <c r="P147" t="inlineStr">
        <is>
          <t>steel production, electric, low-alloyed</t>
        </is>
      </c>
      <c r="Q147" t="inlineStr">
        <is>
          <t>steel, low-alloyed</t>
        </is>
      </c>
      <c r="R147" t="inlineStr">
        <is>
          <t>Europe without Switzerland and Austria</t>
        </is>
      </c>
    </row>
    <row r="148" ht="14" customHeight="1">
      <c r="A148" t="inlineStr">
        <is>
          <t>Carbon monoxide, fossil</t>
        </is>
      </c>
      <c r="B148" t="n">
        <v>0</v>
      </c>
      <c r="C148" t="inlineStr">
        <is>
          <t>biosphere3</t>
        </is>
      </c>
      <c r="E148" t="inlineStr">
        <is>
          <t>kilogram</t>
        </is>
      </c>
      <c r="F148" t="inlineStr">
        <is>
          <t>air</t>
        </is>
      </c>
      <c r="G148" t="inlineStr">
        <is>
          <t>biosphere</t>
        </is>
      </c>
      <c r="L148" t="inlineStr">
        <is>
          <t>geometric mean of Remus et al. (2013) data range</t>
        </is>
      </c>
      <c r="M148" t="inlineStr">
        <is>
          <t>2::3::2::5::1::1</t>
        </is>
      </c>
      <c r="N148" t="n">
        <v>0</v>
      </c>
      <c r="P148" t="inlineStr">
        <is>
          <t>steel production, electric, low-alloyed</t>
        </is>
      </c>
      <c r="Q148" t="inlineStr">
        <is>
          <t>steel, low-alloyed</t>
        </is>
      </c>
      <c r="R148" t="inlineStr">
        <is>
          <t>Europe without Switzerland and Austria</t>
        </is>
      </c>
    </row>
    <row r="149" ht="14" customHeight="1">
      <c r="A149" t="inlineStr">
        <is>
          <t>Chromium</t>
        </is>
      </c>
      <c r="B149" t="n">
        <v>0</v>
      </c>
      <c r="C149" t="inlineStr">
        <is>
          <t>biosphere3</t>
        </is>
      </c>
      <c r="E149" t="inlineStr">
        <is>
          <t>kilogram</t>
        </is>
      </c>
      <c r="F149" t="inlineStr">
        <is>
          <t>air</t>
        </is>
      </c>
      <c r="G149" t="inlineStr">
        <is>
          <t>biosphere</t>
        </is>
      </c>
      <c r="L149" t="inlineStr">
        <is>
          <t>geometric mean of Remus et al. (2013) data range</t>
        </is>
      </c>
      <c r="M149" t="inlineStr">
        <is>
          <t>2::3::2::5::1::1</t>
        </is>
      </c>
      <c r="N149" t="n">
        <v>0</v>
      </c>
      <c r="P149" t="inlineStr">
        <is>
          <t>steel production, electric, low-alloyed</t>
        </is>
      </c>
      <c r="Q149" t="inlineStr">
        <is>
          <t>steel, low-alloyed</t>
        </is>
      </c>
      <c r="R149" t="inlineStr">
        <is>
          <t>Europe without Switzerland and Austria</t>
        </is>
      </c>
    </row>
    <row r="150" ht="14" customHeight="1">
      <c r="A150" t="inlineStr">
        <is>
          <t>Copper ion</t>
        </is>
      </c>
      <c r="B150" t="n">
        <v>0</v>
      </c>
      <c r="C150" t="inlineStr">
        <is>
          <t>biosphere3</t>
        </is>
      </c>
      <c r="E150" t="inlineStr">
        <is>
          <t>kilogram</t>
        </is>
      </c>
      <c r="F150" t="inlineStr">
        <is>
          <t>air</t>
        </is>
      </c>
      <c r="G150" t="inlineStr">
        <is>
          <t>biosphere</t>
        </is>
      </c>
      <c r="L150" t="inlineStr">
        <is>
          <t>geometric mean of Remus et al. (2013) data range</t>
        </is>
      </c>
      <c r="M150" t="inlineStr">
        <is>
          <t>2::3::2::5::1::1</t>
        </is>
      </c>
      <c r="N150" t="n">
        <v>0</v>
      </c>
      <c r="P150" t="inlineStr">
        <is>
          <t>steel production, electric, low-alloyed</t>
        </is>
      </c>
      <c r="Q150" t="inlineStr">
        <is>
          <t>steel, low-alloyed</t>
        </is>
      </c>
      <c r="R150" t="inlineStr">
        <is>
          <t>Europe without Switzerland and Austria</t>
        </is>
      </c>
    </row>
    <row r="151" ht="14" customHeight="1">
      <c r="A151" t="inlineStr">
        <is>
          <t>Dioxins, measured as 2,3,7,8-tetrachlorodibenzo-p-dioxin</t>
        </is>
      </c>
      <c r="B151" t="n">
        <v>0</v>
      </c>
      <c r="C151" t="inlineStr">
        <is>
          <t>biosphere3</t>
        </is>
      </c>
      <c r="E151" t="inlineStr">
        <is>
          <t>kilogram</t>
        </is>
      </c>
      <c r="F151" t="inlineStr">
        <is>
          <t>air</t>
        </is>
      </c>
      <c r="G151" t="inlineStr">
        <is>
          <t>biosphere</t>
        </is>
      </c>
      <c r="L151" t="inlineStr">
        <is>
          <t>geometric mean of Remus et al. (2013) data range</t>
        </is>
      </c>
      <c r="M151" t="inlineStr">
        <is>
          <t>2::3::2::5::1::1</t>
        </is>
      </c>
      <c r="N151" t="n">
        <v>0</v>
      </c>
      <c r="P151" t="inlineStr">
        <is>
          <t>steel production, electric, low-alloyed</t>
        </is>
      </c>
      <c r="Q151" t="inlineStr">
        <is>
          <t>steel, low-alloyed</t>
        </is>
      </c>
      <c r="R151" t="inlineStr">
        <is>
          <t>Europe without Switzerland and Austria</t>
        </is>
      </c>
    </row>
    <row r="152" ht="14" customHeight="1">
      <c r="A152" t="inlineStr">
        <is>
          <t>Hydrocarbons, aromatic</t>
        </is>
      </c>
      <c r="B152" t="n">
        <v>0</v>
      </c>
      <c r="C152" t="inlineStr">
        <is>
          <t>biosphere3</t>
        </is>
      </c>
      <c r="E152" t="inlineStr">
        <is>
          <t>kilogram</t>
        </is>
      </c>
      <c r="F152" t="inlineStr">
        <is>
          <t>air</t>
        </is>
      </c>
      <c r="G152" t="inlineStr">
        <is>
          <t>biosphere</t>
        </is>
      </c>
      <c r="L152" t="inlineStr">
        <is>
          <t>Source: Classen et al. (2009)</t>
        </is>
      </c>
      <c r="M152" t="inlineStr">
        <is>
          <t>2::3::2::5::1::1</t>
        </is>
      </c>
      <c r="N152" t="n">
        <v>0</v>
      </c>
      <c r="P152" t="inlineStr">
        <is>
          <t>steel production, electric, low-alloyed</t>
        </is>
      </c>
      <c r="Q152" t="inlineStr">
        <is>
          <t>steel, low-alloyed</t>
        </is>
      </c>
      <c r="R152" t="inlineStr">
        <is>
          <t>Europe without Switzerland and Austria</t>
        </is>
      </c>
    </row>
    <row r="153" ht="14" customHeight="1">
      <c r="A153" t="inlineStr">
        <is>
          <t>Hydrogen chloride</t>
        </is>
      </c>
      <c r="B153" t="n">
        <v>0</v>
      </c>
      <c r="C153" t="inlineStr">
        <is>
          <t>biosphere3</t>
        </is>
      </c>
      <c r="E153" t="inlineStr">
        <is>
          <t>kilogram</t>
        </is>
      </c>
      <c r="F153" t="inlineStr">
        <is>
          <t>air</t>
        </is>
      </c>
      <c r="G153" t="inlineStr">
        <is>
          <t>biosphere</t>
        </is>
      </c>
      <c r="L153" t="inlineStr">
        <is>
          <t>geometric mean of Remus et al. (2013) data range</t>
        </is>
      </c>
      <c r="M153" t="inlineStr">
        <is>
          <t>2::3::2::5::1::1</t>
        </is>
      </c>
      <c r="N153" t="n">
        <v>0</v>
      </c>
      <c r="P153" t="inlineStr">
        <is>
          <t>steel production, electric, low-alloyed</t>
        </is>
      </c>
      <c r="Q153" t="inlineStr">
        <is>
          <t>steel, low-alloyed</t>
        </is>
      </c>
      <c r="R153" t="inlineStr">
        <is>
          <t>Europe without Switzerland and Austria</t>
        </is>
      </c>
    </row>
    <row r="154" ht="14" customHeight="1">
      <c r="A154" t="inlineStr">
        <is>
          <t>Hydrogen fluoride</t>
        </is>
      </c>
      <c r="B154" t="n">
        <v>0</v>
      </c>
      <c r="C154" t="inlineStr">
        <is>
          <t>biosphere3</t>
        </is>
      </c>
      <c r="E154" t="inlineStr">
        <is>
          <t>kilogram</t>
        </is>
      </c>
      <c r="F154" t="inlineStr">
        <is>
          <t>air</t>
        </is>
      </c>
      <c r="G154" t="inlineStr">
        <is>
          <t>biosphere</t>
        </is>
      </c>
      <c r="L154" t="inlineStr">
        <is>
          <t>geometric mean of Remus et al. (2013) data range</t>
        </is>
      </c>
      <c r="M154" t="inlineStr">
        <is>
          <t>2::3::2::5::1::1</t>
        </is>
      </c>
      <c r="N154" t="n">
        <v>0</v>
      </c>
      <c r="P154" t="inlineStr">
        <is>
          <t>steel production, electric, low-alloyed</t>
        </is>
      </c>
      <c r="Q154" t="inlineStr">
        <is>
          <t>steel, low-alloyed</t>
        </is>
      </c>
      <c r="R154" t="inlineStr">
        <is>
          <t>Europe without Switzerland and Austria</t>
        </is>
      </c>
    </row>
    <row r="155" ht="14" customHeight="1">
      <c r="A155" t="inlineStr">
        <is>
          <t>Lead</t>
        </is>
      </c>
      <c r="B155" t="n">
        <v>0</v>
      </c>
      <c r="C155" t="inlineStr">
        <is>
          <t>biosphere3</t>
        </is>
      </c>
      <c r="E155" t="inlineStr">
        <is>
          <t>kilogram</t>
        </is>
      </c>
      <c r="F155" t="inlineStr">
        <is>
          <t>air</t>
        </is>
      </c>
      <c r="G155" t="inlineStr">
        <is>
          <t>biosphere</t>
        </is>
      </c>
      <c r="L155" t="inlineStr">
        <is>
          <t>geometric mean of Remus et al. (2013) data range</t>
        </is>
      </c>
      <c r="M155" t="inlineStr">
        <is>
          <t>2::3::2::5::1::1</t>
        </is>
      </c>
      <c r="N155" t="n">
        <v>0</v>
      </c>
      <c r="P155" t="inlineStr">
        <is>
          <t>steel production, electric, low-alloyed</t>
        </is>
      </c>
      <c r="Q155" t="inlineStr">
        <is>
          <t>steel, low-alloyed</t>
        </is>
      </c>
      <c r="R155" t="inlineStr">
        <is>
          <t>Europe without Switzerland and Austria</t>
        </is>
      </c>
    </row>
    <row r="156" ht="14" customHeight="1">
      <c r="A156" t="inlineStr">
        <is>
          <t>Mercury</t>
        </is>
      </c>
      <c r="B156" t="n">
        <v>0</v>
      </c>
      <c r="C156" t="inlineStr">
        <is>
          <t>biosphere3</t>
        </is>
      </c>
      <c r="E156" t="inlineStr">
        <is>
          <t>kilogram</t>
        </is>
      </c>
      <c r="F156" t="inlineStr">
        <is>
          <t>air</t>
        </is>
      </c>
      <c r="G156" t="inlineStr">
        <is>
          <t>biosphere</t>
        </is>
      </c>
      <c r="L156" t="inlineStr">
        <is>
          <t>geometric mean of Remus et al. (2013) data range</t>
        </is>
      </c>
      <c r="M156" t="inlineStr">
        <is>
          <t>2::3::2::5::1::1</t>
        </is>
      </c>
      <c r="N156" t="n">
        <v>0</v>
      </c>
      <c r="P156" t="inlineStr">
        <is>
          <t>steel production, electric, low-alloyed</t>
        </is>
      </c>
      <c r="Q156" t="inlineStr">
        <is>
          <t>steel, low-alloyed</t>
        </is>
      </c>
      <c r="R156" t="inlineStr">
        <is>
          <t>Europe without Switzerland and Austria</t>
        </is>
      </c>
    </row>
    <row r="157" ht="14" customHeight="1">
      <c r="A157" t="inlineStr">
        <is>
          <t>Nickel</t>
        </is>
      </c>
      <c r="B157" t="n">
        <v>0</v>
      </c>
      <c r="C157" t="inlineStr">
        <is>
          <t>biosphere3</t>
        </is>
      </c>
      <c r="E157" t="inlineStr">
        <is>
          <t>kilogram</t>
        </is>
      </c>
      <c r="F157" t="inlineStr">
        <is>
          <t>air</t>
        </is>
      </c>
      <c r="G157" t="inlineStr">
        <is>
          <t>biosphere</t>
        </is>
      </c>
      <c r="L157" t="inlineStr">
        <is>
          <t>geometric mean of Remus et al. (2013) data range</t>
        </is>
      </c>
      <c r="M157" t="inlineStr">
        <is>
          <t>2::3::2::5::1::1</t>
        </is>
      </c>
      <c r="N157" t="n">
        <v>0</v>
      </c>
      <c r="P157" t="inlineStr">
        <is>
          <t>steel production, electric, low-alloyed</t>
        </is>
      </c>
      <c r="Q157" t="inlineStr">
        <is>
          <t>steel, low-alloyed</t>
        </is>
      </c>
      <c r="R157" t="inlineStr">
        <is>
          <t>Europe without Switzerland and Austria</t>
        </is>
      </c>
    </row>
    <row r="158" ht="14" customHeight="1">
      <c r="A158" t="inlineStr">
        <is>
          <t>Nitrogen oxides</t>
        </is>
      </c>
      <c r="B158" t="n">
        <v>0</v>
      </c>
      <c r="C158" t="inlineStr">
        <is>
          <t>biosphere3</t>
        </is>
      </c>
      <c r="E158" t="inlineStr">
        <is>
          <t>kilogram</t>
        </is>
      </c>
      <c r="F158" t="inlineStr">
        <is>
          <t>air</t>
        </is>
      </c>
      <c r="G158" t="inlineStr">
        <is>
          <t>biosphere</t>
        </is>
      </c>
      <c r="L158" t="inlineStr">
        <is>
          <t>geometric mean of Remus et al. (2013) data range</t>
        </is>
      </c>
      <c r="M158" t="inlineStr">
        <is>
          <t>2::3::2::5::1::1</t>
        </is>
      </c>
      <c r="N158" t="n">
        <v>0</v>
      </c>
      <c r="P158" t="inlineStr">
        <is>
          <t>steel production, electric, low-alloyed</t>
        </is>
      </c>
      <c r="Q158" t="inlineStr">
        <is>
          <t>steel, low-alloyed</t>
        </is>
      </c>
      <c r="R158" t="inlineStr">
        <is>
          <t>Europe without Switzerland and Austria</t>
        </is>
      </c>
    </row>
    <row r="159" ht="14" customHeight="1">
      <c r="A159" t="inlineStr">
        <is>
          <t>PAH, polycyclic aromatic hydrocarbons</t>
        </is>
      </c>
      <c r="B159" t="n">
        <v>0</v>
      </c>
      <c r="C159" t="inlineStr">
        <is>
          <t>biosphere3</t>
        </is>
      </c>
      <c r="E159" t="inlineStr">
        <is>
          <t>kilogram</t>
        </is>
      </c>
      <c r="F159" t="inlineStr">
        <is>
          <t>air</t>
        </is>
      </c>
      <c r="G159" t="inlineStr">
        <is>
          <t>biosphere</t>
        </is>
      </c>
      <c r="L159" t="inlineStr">
        <is>
          <t>geometric mean of Remus et al. (2013) data range</t>
        </is>
      </c>
      <c r="M159" t="inlineStr">
        <is>
          <t>2::3::2::5::1::1</t>
        </is>
      </c>
      <c r="N159" t="n">
        <v>0</v>
      </c>
      <c r="P159" t="inlineStr">
        <is>
          <t>steel production, electric, low-alloyed</t>
        </is>
      </c>
      <c r="Q159" t="inlineStr">
        <is>
          <t>steel, low-alloyed</t>
        </is>
      </c>
      <c r="R159" t="inlineStr">
        <is>
          <t>Europe without Switzerland and Austria</t>
        </is>
      </c>
    </row>
    <row r="160" ht="14" customHeight="1">
      <c r="A160" t="inlineStr">
        <is>
          <t>Particulates, &lt; 2.5 um</t>
        </is>
      </c>
      <c r="B160" t="n">
        <v>0</v>
      </c>
      <c r="C160" t="inlineStr">
        <is>
          <t>biosphere3</t>
        </is>
      </c>
      <c r="E160" t="inlineStr">
        <is>
          <t>kilogram</t>
        </is>
      </c>
      <c r="F160" t="inlineStr">
        <is>
          <t>air</t>
        </is>
      </c>
      <c r="G160" t="inlineStr">
        <is>
          <t>biosphere</t>
        </is>
      </c>
      <c r="L160" t="inlineStr">
        <is>
          <t>geometric mean of Remus et al. (2013) data range (assume 42.5% of total dust emissions [Classen et al. 2009])</t>
        </is>
      </c>
      <c r="M160" t="inlineStr">
        <is>
          <t>2::3::2::5::1::1</t>
        </is>
      </c>
      <c r="N160" t="n">
        <v>0</v>
      </c>
      <c r="P160" t="inlineStr">
        <is>
          <t>steel production, electric, low-alloyed</t>
        </is>
      </c>
      <c r="Q160" t="inlineStr">
        <is>
          <t>steel, low-alloyed</t>
        </is>
      </c>
      <c r="R160" t="inlineStr">
        <is>
          <t>Europe without Switzerland and Austria</t>
        </is>
      </c>
    </row>
    <row r="161" ht="14" customHeight="1">
      <c r="A161" t="inlineStr">
        <is>
          <t>Particulates, &gt; 10 um</t>
        </is>
      </c>
      <c r="B161" t="n">
        <v>0</v>
      </c>
      <c r="C161" t="inlineStr">
        <is>
          <t>biosphere3</t>
        </is>
      </c>
      <c r="E161" t="inlineStr">
        <is>
          <t>kilogram</t>
        </is>
      </c>
      <c r="F161" t="inlineStr">
        <is>
          <t>air</t>
        </is>
      </c>
      <c r="G161" t="inlineStr">
        <is>
          <t>biosphere</t>
        </is>
      </c>
      <c r="L161" t="inlineStr">
        <is>
          <t>geometric mean of Remus et al. (2013) data range (assume 15% of total dust emissions [Classen et al. 2009])</t>
        </is>
      </c>
      <c r="M161" t="inlineStr">
        <is>
          <t>2::3::2::5::1::1</t>
        </is>
      </c>
      <c r="N161" t="n">
        <v>0</v>
      </c>
      <c r="P161" t="inlineStr">
        <is>
          <t>steel production, electric, low-alloyed</t>
        </is>
      </c>
      <c r="Q161" t="inlineStr">
        <is>
          <t>steel, low-alloyed</t>
        </is>
      </c>
      <c r="R161" t="inlineStr">
        <is>
          <t>Europe without Switzerland and Austria</t>
        </is>
      </c>
    </row>
    <row r="162" ht="14" customHeight="1">
      <c r="A162" t="inlineStr">
        <is>
          <t>Particulates, &gt; 2.5 um, and &lt; 10um</t>
        </is>
      </c>
      <c r="B162" t="n">
        <v>0</v>
      </c>
      <c r="C162" t="inlineStr">
        <is>
          <t>biosphere3</t>
        </is>
      </c>
      <c r="E162" t="inlineStr">
        <is>
          <t>kilogram</t>
        </is>
      </c>
      <c r="F162" t="inlineStr">
        <is>
          <t>air</t>
        </is>
      </c>
      <c r="G162" t="inlineStr">
        <is>
          <t>biosphere</t>
        </is>
      </c>
      <c r="L162" t="inlineStr">
        <is>
          <t>geometric mean of Remus et al. (2013) data range (assume 42.5% of total dust emissions [Classen et al. 2009])</t>
        </is>
      </c>
      <c r="M162" t="inlineStr">
        <is>
          <t>2::3::2::5::1::1</t>
        </is>
      </c>
      <c r="N162" t="n">
        <v>0</v>
      </c>
      <c r="P162" t="inlineStr">
        <is>
          <t>steel production, electric, low-alloyed</t>
        </is>
      </c>
      <c r="Q162" t="inlineStr">
        <is>
          <t>steel, low-alloyed</t>
        </is>
      </c>
      <c r="R162" t="inlineStr">
        <is>
          <t>Europe without Switzerland and Austria</t>
        </is>
      </c>
    </row>
    <row r="163" ht="14" customHeight="1">
      <c r="A163" t="inlineStr">
        <is>
          <t>Polychlorinated biphenyls</t>
        </is>
      </c>
      <c r="B163" t="n">
        <v>0</v>
      </c>
      <c r="C163" t="inlineStr">
        <is>
          <t>biosphere3</t>
        </is>
      </c>
      <c r="E163" t="inlineStr">
        <is>
          <t>kilogram</t>
        </is>
      </c>
      <c r="F163" t="inlineStr">
        <is>
          <t>air</t>
        </is>
      </c>
      <c r="G163" t="inlineStr">
        <is>
          <t>biosphere</t>
        </is>
      </c>
      <c r="L163" t="inlineStr">
        <is>
          <t>geometric mean of Remus et al. (2013) data range</t>
        </is>
      </c>
      <c r="M163" t="inlineStr">
        <is>
          <t>2::3::2::5::1::1</t>
        </is>
      </c>
      <c r="N163" t="n">
        <v>0</v>
      </c>
      <c r="P163" t="inlineStr">
        <is>
          <t>steel production, electric, low-alloyed</t>
        </is>
      </c>
      <c r="Q163" t="inlineStr">
        <is>
          <t>steel, low-alloyed</t>
        </is>
      </c>
      <c r="R163" t="inlineStr">
        <is>
          <t>Europe without Switzerland and Austria</t>
        </is>
      </c>
    </row>
    <row r="164" ht="14" customHeight="1">
      <c r="A164" t="inlineStr">
        <is>
          <t>Sulfur dioxide</t>
        </is>
      </c>
      <c r="B164" t="n">
        <v>0</v>
      </c>
      <c r="C164" t="inlineStr">
        <is>
          <t>biosphere3</t>
        </is>
      </c>
      <c r="E164" t="inlineStr">
        <is>
          <t>kilogram</t>
        </is>
      </c>
      <c r="F164" t="inlineStr">
        <is>
          <t>air</t>
        </is>
      </c>
      <c r="G164" t="inlineStr">
        <is>
          <t>biosphere</t>
        </is>
      </c>
      <c r="L164" t="inlineStr">
        <is>
          <t>geometric mean of Remus et al. (2013) data range</t>
        </is>
      </c>
      <c r="M164" t="inlineStr">
        <is>
          <t>2::3::2::5::1::1</t>
        </is>
      </c>
      <c r="N164" t="n">
        <v>0</v>
      </c>
      <c r="P164" t="inlineStr">
        <is>
          <t>steel production, electric, low-alloyed</t>
        </is>
      </c>
      <c r="Q164" t="inlineStr">
        <is>
          <t>steel, low-alloyed</t>
        </is>
      </c>
      <c r="R164" t="inlineStr">
        <is>
          <t>Europe without Switzerland and Austria</t>
        </is>
      </c>
    </row>
    <row r="165" ht="14" customHeight="1">
      <c r="A165" t="inlineStr">
        <is>
          <t>Water</t>
        </is>
      </c>
      <c r="B165" t="n">
        <v>0</v>
      </c>
      <c r="C165" t="inlineStr">
        <is>
          <t>biosphere3</t>
        </is>
      </c>
      <c r="E165" t="inlineStr">
        <is>
          <t>cubic meter</t>
        </is>
      </c>
      <c r="F165" t="inlineStr">
        <is>
          <t>air</t>
        </is>
      </c>
      <c r="G165" t="inlineStr">
        <is>
          <t>biosphere</t>
        </is>
      </c>
      <c r="L165" t="inlineStr">
        <is>
          <t>Source: Classen et al. (2009)</t>
        </is>
      </c>
      <c r="M165" t="inlineStr">
        <is>
          <t>2::2::1::5::1::1</t>
        </is>
      </c>
      <c r="N165" t="n">
        <v>0</v>
      </c>
      <c r="P165" t="inlineStr">
        <is>
          <t>steel production, electric, low-alloyed</t>
        </is>
      </c>
      <c r="Q165" t="inlineStr">
        <is>
          <t>steel, low-alloyed</t>
        </is>
      </c>
      <c r="R165" t="inlineStr">
        <is>
          <t>Europe without Switzerland and Austria</t>
        </is>
      </c>
    </row>
    <row r="166" ht="14" customHeight="1">
      <c r="A166" t="inlineStr">
        <is>
          <t>Water</t>
        </is>
      </c>
      <c r="B166" t="n">
        <v>0</v>
      </c>
      <c r="C166" t="inlineStr">
        <is>
          <t>biosphere3</t>
        </is>
      </c>
      <c r="E166" t="inlineStr">
        <is>
          <t>cubic meter</t>
        </is>
      </c>
      <c r="F166" t="inlineStr">
        <is>
          <t>water</t>
        </is>
      </c>
      <c r="G166" t="inlineStr">
        <is>
          <t>biosphere</t>
        </is>
      </c>
      <c r="L166" t="inlineStr">
        <is>
          <t>Source: Classen et al. (2009)</t>
        </is>
      </c>
      <c r="M166" t="inlineStr">
        <is>
          <t>2::2::1::5::1::1</t>
        </is>
      </c>
      <c r="N166" t="n">
        <v>0</v>
      </c>
      <c r="P166" t="inlineStr">
        <is>
          <t>steel production, electric, low-alloyed</t>
        </is>
      </c>
      <c r="Q166" t="inlineStr">
        <is>
          <t>steel, low-alloyed</t>
        </is>
      </c>
      <c r="R166" t="inlineStr">
        <is>
          <t>Europe without Switzerland and Austria</t>
        </is>
      </c>
    </row>
    <row r="167" ht="14" customHeight="1">
      <c r="A167" t="inlineStr">
        <is>
          <t>Water, cooling, unspecified natural origin</t>
        </is>
      </c>
      <c r="B167" t="n">
        <v>0</v>
      </c>
      <c r="C167" t="inlineStr">
        <is>
          <t>biosphere3</t>
        </is>
      </c>
      <c r="E167" t="inlineStr">
        <is>
          <t>cubic meter</t>
        </is>
      </c>
      <c r="F167" t="inlineStr">
        <is>
          <t>natural resource::in water</t>
        </is>
      </c>
      <c r="G167" t="inlineStr">
        <is>
          <t>biosphere</t>
        </is>
      </c>
      <c r="L167" t="inlineStr">
        <is>
          <t>geometric mean of Remus et al. (2013) data range</t>
        </is>
      </c>
      <c r="M167" t="inlineStr">
        <is>
          <t>2::3::3::5::1::1</t>
        </is>
      </c>
      <c r="N167" t="n">
        <v>0</v>
      </c>
      <c r="P167" t="inlineStr">
        <is>
          <t>steel production, electric, low-alloyed</t>
        </is>
      </c>
      <c r="Q167" t="inlineStr">
        <is>
          <t>steel, low-alloyed</t>
        </is>
      </c>
      <c r="R167" t="inlineStr">
        <is>
          <t>Europe without Switzerland and Austria</t>
        </is>
      </c>
    </row>
    <row r="168" ht="14" customHeight="1">
      <c r="A168" t="inlineStr">
        <is>
          <t>Zinc</t>
        </is>
      </c>
      <c r="B168" t="n">
        <v>0</v>
      </c>
      <c r="C168" t="inlineStr">
        <is>
          <t>biosphere3</t>
        </is>
      </c>
      <c r="E168" t="inlineStr">
        <is>
          <t>kilogram</t>
        </is>
      </c>
      <c r="F168" t="inlineStr">
        <is>
          <t>air</t>
        </is>
      </c>
      <c r="G168" t="inlineStr">
        <is>
          <t>biosphere</t>
        </is>
      </c>
      <c r="L168" t="inlineStr">
        <is>
          <t>geometric mean of Remus et al. (2013) data range</t>
        </is>
      </c>
      <c r="M168" t="inlineStr">
        <is>
          <t>2::3::2::5::1::1</t>
        </is>
      </c>
      <c r="N168" t="n">
        <v>0</v>
      </c>
      <c r="P168" t="inlineStr">
        <is>
          <t>steel production, electric, low-alloyed</t>
        </is>
      </c>
      <c r="Q168" t="inlineStr">
        <is>
          <t>steel, low-alloyed</t>
        </is>
      </c>
      <c r="R168" t="inlineStr">
        <is>
          <t>Europe without Switzerland and Austria</t>
        </is>
      </c>
    </row>
    <row r="169" ht="14" customHeight="1">
      <c r="A169" t="inlineStr">
        <is>
          <t>steel production, electrowinning-electric arc furnace, unalloyed</t>
        </is>
      </c>
      <c r="B169" t="n">
        <v>1</v>
      </c>
      <c r="C169" t="inlineStr">
        <is>
          <t>steel_paper</t>
        </is>
      </c>
      <c r="D169" t="inlineStr">
        <is>
          <t>GLO</t>
        </is>
      </c>
      <c r="E169" t="inlineStr">
        <is>
          <t>kilogram</t>
        </is>
      </c>
      <c r="G169" t="inlineStr">
        <is>
          <t>production</t>
        </is>
      </c>
      <c r="I169" t="n">
        <v>0</v>
      </c>
      <c r="J169" t="n">
        <v>1</v>
      </c>
      <c r="L169" t="inlineStr">
        <is>
          <t>&gt; Modifications (2025): changed location from RER to GLO.</t>
        </is>
      </c>
      <c r="N169" t="n">
        <v>11181008749.41</v>
      </c>
      <c r="O169" t="inlineStr">
        <is>
          <t>steel, unalloyed</t>
        </is>
      </c>
    </row>
    <row r="170" ht="14" customHeight="1">
      <c r="A170" t="inlineStr">
        <is>
          <t>pig iron production, by electrowinning</t>
        </is>
      </c>
      <c r="B170" t="n">
        <v>1.061992490719463</v>
      </c>
      <c r="C170" t="inlineStr">
        <is>
          <t>steel_paper</t>
        </is>
      </c>
      <c r="D170" t="inlineStr">
        <is>
          <t>GLO</t>
        </is>
      </c>
      <c r="E170" t="inlineStr">
        <is>
          <t>kilogram</t>
        </is>
      </c>
      <c r="G170" t="inlineStr">
        <is>
          <t>technosphere</t>
        </is>
      </c>
      <c r="L170" s="9" t="inlineStr">
        <is>
          <t>&gt; Modifications (2025): input of pig iron of 1.06,
&gt; original was: instead of 1.13 of scrap</t>
        </is>
      </c>
      <c r="O170" t="inlineStr">
        <is>
          <t>pig iron</t>
        </is>
      </c>
    </row>
    <row r="171" ht="14" customHeight="1">
      <c r="A171" t="inlineStr">
        <is>
          <t>market for anode, for metal electrolysis</t>
        </is>
      </c>
      <c r="B171" t="n">
        <v>0</v>
      </c>
      <c r="C171" t="inlineStr">
        <is>
          <t>cutoff391</t>
        </is>
      </c>
      <c r="D171" t="inlineStr">
        <is>
          <t>GLO</t>
        </is>
      </c>
      <c r="E171" t="inlineStr">
        <is>
          <t>kilogram</t>
        </is>
      </c>
      <c r="G171" t="inlineStr">
        <is>
          <t>technosphere</t>
        </is>
      </c>
      <c r="L171" t="inlineStr">
        <is>
          <t>geometric mean of Remus et al. (2013) data range</t>
        </is>
      </c>
      <c r="M171" t="inlineStr">
        <is>
          <t>2::3::2::5::1::1</t>
        </is>
      </c>
      <c r="N171" t="n">
        <v>0</v>
      </c>
      <c r="O171" t="inlineStr">
        <is>
          <t>anode, for metal electrolysis</t>
        </is>
      </c>
      <c r="P171" t="inlineStr">
        <is>
          <t>steel production, electric, low-alloyed</t>
        </is>
      </c>
      <c r="Q171" t="inlineStr">
        <is>
          <t>steel, low-alloyed</t>
        </is>
      </c>
      <c r="R171" t="inlineStr">
        <is>
          <t>Europe without Switzerland and Austria</t>
        </is>
      </c>
    </row>
    <row r="172" ht="14" customHeight="1">
      <c r="A172" t="inlineStr">
        <is>
          <t>market for argon, liquid</t>
        </is>
      </c>
      <c r="B172" t="n">
        <v>0</v>
      </c>
      <c r="C172" t="inlineStr">
        <is>
          <t>cutoff391</t>
        </is>
      </c>
      <c r="D172" t="inlineStr">
        <is>
          <t>RER</t>
        </is>
      </c>
      <c r="E172" t="inlineStr">
        <is>
          <t>kilogram</t>
        </is>
      </c>
      <c r="G172" t="inlineStr">
        <is>
          <t>technosphere</t>
        </is>
      </c>
      <c r="L172" s="57" t="inlineStr">
        <is>
          <t>&gt; Modifications (2025): changed location from RER to RoW.
&lt;Original ecoinvent 3.8 comment: &gt;
geometric mean of Remus et al. (2013) data range (m3:kg conversion based on: http://www.airproducts.com/Products/Gases/gas-facts/conversion-formulas/weight-and-volume-equivalents/argon.aspx)</t>
        </is>
      </c>
      <c r="M172" t="inlineStr">
        <is>
          <t>2::4::1::4::2::1</t>
        </is>
      </c>
      <c r="N172" t="n">
        <v>0</v>
      </c>
      <c r="O172" t="inlineStr">
        <is>
          <t>argon, liquid</t>
        </is>
      </c>
      <c r="P172" t="inlineStr">
        <is>
          <t>steel production, electric, low-alloyed</t>
        </is>
      </c>
      <c r="Q172" t="inlineStr">
        <is>
          <t>steel, low-alloyed</t>
        </is>
      </c>
      <c r="R172" t="inlineStr">
        <is>
          <t>Europe without Switzerland and Austria</t>
        </is>
      </c>
    </row>
    <row r="173" ht="14" customHeight="1">
      <c r="A173" t="inlineStr">
        <is>
          <t>market for electric arc furnace converter</t>
        </is>
      </c>
      <c r="B173" t="n">
        <v>0</v>
      </c>
      <c r="C173" t="inlineStr">
        <is>
          <t>cutoff391</t>
        </is>
      </c>
      <c r="D173" t="inlineStr">
        <is>
          <t>GLO</t>
        </is>
      </c>
      <c r="E173" t="inlineStr">
        <is>
          <t>unit</t>
        </is>
      </c>
      <c r="G173" t="inlineStr">
        <is>
          <t>technosphere</t>
        </is>
      </c>
      <c r="L173" t="inlineStr">
        <is>
          <t>Source: Classen et al. (2009)</t>
        </is>
      </c>
      <c r="M173" t="inlineStr">
        <is>
          <t>5::5::5::5::5::1</t>
        </is>
      </c>
      <c r="N173" t="n">
        <v>0</v>
      </c>
      <c r="O173" t="inlineStr">
        <is>
          <t>electric arc furnace converter</t>
        </is>
      </c>
      <c r="P173" t="inlineStr">
        <is>
          <t>steel production, electric, low-alloyed</t>
        </is>
      </c>
      <c r="Q173" t="inlineStr">
        <is>
          <t>steel, low-alloyed</t>
        </is>
      </c>
      <c r="R173" t="inlineStr">
        <is>
          <t>Europe without Switzerland and Austria</t>
        </is>
      </c>
    </row>
    <row r="174" ht="14" customHeight="1">
      <c r="A174" t="inlineStr">
        <is>
          <t>market for electric arc furnace dust</t>
        </is>
      </c>
      <c r="B174" t="n">
        <v>0</v>
      </c>
      <c r="C174" t="inlineStr">
        <is>
          <t>cutoff391</t>
        </is>
      </c>
      <c r="D174" s="21" t="inlineStr">
        <is>
          <t>RER</t>
        </is>
      </c>
      <c r="E174" t="inlineStr">
        <is>
          <t>kilogram</t>
        </is>
      </c>
      <c r="G174" t="inlineStr">
        <is>
          <t>technosphere</t>
        </is>
      </c>
      <c r="L174" s="57" t="inlineStr">
        <is>
          <t>&gt; Modifications (2025): changed location from RER to RoW.
&lt;Original ecoinvent 3.8 comment: &gt;
Amount reported by worldsteel (2010) and is representative of the average global situation in 2009. Also based on worldsteel (2010), an internal recovery (recycling) rate of 10% is assumed. Source: Worldsteel (2010). Steel industry by-products. World Steel Association: Brussels, Belgium.</t>
        </is>
      </c>
      <c r="M174" t="inlineStr">
        <is>
          <t>2::3::3::2::2::1</t>
        </is>
      </c>
      <c r="N174" t="n">
        <v>213863626.753465</v>
      </c>
      <c r="O174" t="inlineStr">
        <is>
          <t>electric arc furnace dust</t>
        </is>
      </c>
      <c r="P174" t="inlineStr">
        <is>
          <t>steel production, electric, low-alloyed</t>
        </is>
      </c>
      <c r="Q174" t="inlineStr">
        <is>
          <t>steel, low-alloyed</t>
        </is>
      </c>
      <c r="R174" t="inlineStr">
        <is>
          <t>Europe without Switzerland and Austria</t>
        </is>
      </c>
    </row>
    <row r="175" ht="14" customHeight="1">
      <c r="A175" t="inlineStr">
        <is>
          <t>market for electric arc furnace slag</t>
        </is>
      </c>
      <c r="B175" t="n">
        <v>-0.1549821636910023</v>
      </c>
      <c r="C175" t="inlineStr">
        <is>
          <t>cutoff391</t>
        </is>
      </c>
      <c r="D175" s="21" t="inlineStr">
        <is>
          <t>RER</t>
        </is>
      </c>
      <c r="E175" t="inlineStr">
        <is>
          <t>kilogram</t>
        </is>
      </c>
      <c r="G175" t="inlineStr">
        <is>
          <t>technosphere</t>
        </is>
      </c>
      <c r="L175" s="55" t="inlineStr">
        <is>
          <t>&gt; Modifications (2025): Increased value of:  electric arc furnace slag 	market for electric arc furnace slag	RER	ecoinvent38_cutoff	to  -0.165106 kg (sum of all slag types in ecoinvent 3.8). Changed location from RER to RoW.
&lt;Original ecoinvent 3.8 comment: &gt;
Amount reported by worldsteel (2010) and is representative of the average global situation in 2009. Also based on worldsteel (2010), an internal recovery (recycling) rate of 3% is assumed. Source: Worldsteel (2010). Steel industry by-products. World Steel Association: Brussels, Belgium.</t>
        </is>
      </c>
      <c r="M175" t="inlineStr">
        <is>
          <t>2::3::3::2::2::1</t>
        </is>
      </c>
      <c r="N175" t="n">
        <v>1630929022.24144</v>
      </c>
      <c r="O175" t="inlineStr">
        <is>
          <t>electric arc furnace slag</t>
        </is>
      </c>
      <c r="S175" t="b">
        <v>1</v>
      </c>
    </row>
    <row r="176" ht="14" customHeight="1">
      <c r="A176" s="65" t="inlineStr">
        <is>
          <t>market for ferromanganese, high-coal, 74.5% Mn</t>
        </is>
      </c>
      <c r="B176" t="n">
        <v>0.006</v>
      </c>
      <c r="C176" s="65" t="inlineStr">
        <is>
          <t>cutoff391</t>
        </is>
      </c>
      <c r="D176" s="65" t="inlineStr">
        <is>
          <t>GLO</t>
        </is>
      </c>
      <c r="E176" s="65" t="inlineStr">
        <is>
          <t>kilogram</t>
        </is>
      </c>
      <c r="F176" s="65" t="n"/>
      <c r="G176" s="65" t="inlineStr">
        <is>
          <t>technosphere</t>
        </is>
      </c>
      <c r="H176" s="65" t="n"/>
      <c r="I176" s="65" t="n"/>
      <c r="J176" s="65" t="n"/>
      <c r="K176" s="65" t="n"/>
      <c r="L176" s="57" t="inlineStr">
        <is>
          <t>&gt; Modifications (2025): changed amount to the one of FeMn in ecoinvent for steel production, converter, unalloyed, RER
&gt; original was: 0.00967289199222203
&lt;Original ecoinvent 3.8 comment: &gt; Value taken from regional dataset for Switzerland, which was used as a proxy.</t>
        </is>
      </c>
      <c r="M176" s="65" t="inlineStr">
        <is>
          <t>2::2::1::1::1::1</t>
        </is>
      </c>
      <c r="N176" s="65" t="n">
        <v>0</v>
      </c>
      <c r="O176" s="65" t="inlineStr">
        <is>
          <t>ferromanganese, high-coal, 74.5% Mn</t>
        </is>
      </c>
      <c r="P176" t="inlineStr">
        <is>
          <t>steel production, electric, low-alloyed</t>
        </is>
      </c>
      <c r="Q176" t="inlineStr">
        <is>
          <t>steel, low-alloyed</t>
        </is>
      </c>
      <c r="R176" t="inlineStr">
        <is>
          <t>Europe without Switzerland and Austria</t>
        </is>
      </c>
    </row>
    <row r="177" ht="14" customHeight="1">
      <c r="A177" s="65" t="inlineStr">
        <is>
          <t>market for ferrosilicon</t>
        </is>
      </c>
      <c r="B177" s="65" t="n">
        <v>0</v>
      </c>
      <c r="C177" s="65" t="inlineStr">
        <is>
          <t>cutoff391</t>
        </is>
      </c>
      <c r="D177" s="65" t="inlineStr">
        <is>
          <t>GLO</t>
        </is>
      </c>
      <c r="E177" s="65" t="inlineStr">
        <is>
          <t>kilogram</t>
        </is>
      </c>
      <c r="F177" s="65" t="n"/>
      <c r="G177" s="65" t="inlineStr">
        <is>
          <t>technosphere</t>
        </is>
      </c>
      <c r="H177" s="65" t="n"/>
      <c r="I177" s="65" t="n"/>
      <c r="J177" s="65" t="n"/>
      <c r="K177" s="65" t="n"/>
      <c r="L177" s="66" t="inlineStr">
        <is>
          <t>&gt; Modifications (2025): set to zero, since alloys come from aggregated process for low-alloyed steel [CH]
&gt; original was: 0.00367673148311826
&lt;Original ecoinvent 3.8 comment: &gt; Value taken from regional dataset for Switzerland, which was used as a proxy.</t>
        </is>
      </c>
      <c r="M177" s="65" t="inlineStr">
        <is>
          <t>2::2::1::1::1::1</t>
        </is>
      </c>
      <c r="N177" s="65" t="n">
        <v>0</v>
      </c>
      <c r="O177" s="65" t="inlineStr">
        <is>
          <t>ferrosilicon</t>
        </is>
      </c>
      <c r="P177" t="inlineStr">
        <is>
          <t>steel production, electric, low-alloyed</t>
        </is>
      </c>
      <c r="Q177" t="inlineStr">
        <is>
          <t>steel, low-alloyed</t>
        </is>
      </c>
      <c r="R177" t="inlineStr">
        <is>
          <t>Europe without Switzerland and Austria</t>
        </is>
      </c>
    </row>
    <row r="178" ht="14" customHeight="1">
      <c r="A178" t="inlineStr">
        <is>
          <t>market for hard coal</t>
        </is>
      </c>
      <c r="B178" t="n">
        <v>0</v>
      </c>
      <c r="C178" t="inlineStr">
        <is>
          <t>cutoff391</t>
        </is>
      </c>
      <c r="D178" t="inlineStr">
        <is>
          <t>RoW</t>
        </is>
      </c>
      <c r="E178" t="inlineStr">
        <is>
          <t>kilogram</t>
        </is>
      </c>
      <c r="G178" t="inlineStr">
        <is>
          <t>technosphere</t>
        </is>
      </c>
      <c r="L178" t="inlineStr">
        <is>
          <t>geometric mean of Remus et al. (2013) data range</t>
        </is>
      </c>
      <c r="M178" t="inlineStr">
        <is>
          <t>2::3::2::5::1::1</t>
        </is>
      </c>
      <c r="N178" t="n">
        <v>0</v>
      </c>
      <c r="O178" t="inlineStr">
        <is>
          <t>hard coal</t>
        </is>
      </c>
      <c r="P178" t="inlineStr">
        <is>
          <t>steel production, electric, low-alloyed</t>
        </is>
      </c>
      <c r="Q178" t="inlineStr">
        <is>
          <t>steel, low-alloyed</t>
        </is>
      </c>
      <c r="R178" t="inlineStr">
        <is>
          <t>Europe without Switzerland and Austria</t>
        </is>
      </c>
    </row>
    <row r="179" ht="14" customHeight="1">
      <c r="A179" t="inlineStr">
        <is>
          <t>market for inert waste, for final disposal</t>
        </is>
      </c>
      <c r="B179" t="n">
        <v>0</v>
      </c>
      <c r="C179" t="inlineStr">
        <is>
          <t>cutoff391</t>
        </is>
      </c>
      <c r="D179" t="inlineStr">
        <is>
          <t>RoW</t>
        </is>
      </c>
      <c r="E179" t="inlineStr">
        <is>
          <t>kilogram</t>
        </is>
      </c>
      <c r="G179" t="inlineStr">
        <is>
          <t>technosphere</t>
        </is>
      </c>
      <c r="L179" t="inlineStr">
        <is>
          <t>Represents used refractories, etc.</t>
        </is>
      </c>
      <c r="M179" t="inlineStr">
        <is>
          <t>2::3::3::2::2::1</t>
        </is>
      </c>
      <c r="N179" t="n">
        <v>75833291.07138591</v>
      </c>
      <c r="O179" t="inlineStr">
        <is>
          <t>inert waste, for final disposal</t>
        </is>
      </c>
      <c r="P179" t="inlineStr">
        <is>
          <t>steel production, electric, low-alloyed</t>
        </is>
      </c>
      <c r="Q179" t="inlineStr">
        <is>
          <t>steel, low-alloyed</t>
        </is>
      </c>
      <c r="R179" t="inlineStr">
        <is>
          <t>Europe without Switzerland and Austria</t>
        </is>
      </c>
    </row>
    <row r="180" ht="14" customHeight="1">
      <c r="A180" t="inlineStr">
        <is>
          <t>market for nitrogen, liquid</t>
        </is>
      </c>
      <c r="B180" t="n">
        <v>0</v>
      </c>
      <c r="C180" t="inlineStr">
        <is>
          <t>cutoff391</t>
        </is>
      </c>
      <c r="D180" t="inlineStr">
        <is>
          <t>RoW</t>
        </is>
      </c>
      <c r="E180" t="inlineStr">
        <is>
          <t>kilogram</t>
        </is>
      </c>
      <c r="G180" t="inlineStr">
        <is>
          <t>technosphere</t>
        </is>
      </c>
      <c r="L180" s="57" t="inlineStr">
        <is>
          <t>&gt; Modifications (2025): changed location from RER to RoW.
&lt;Original ecoinvent 3.8 comment: &gt; geometric mean of Remus et al. (2013) data range (m3:kg conversion based on: http://www.airproducts.com/Products/Gases/gas-facts/conversion-formulas/weight-and-volume-equivalents/nitrogen.aspx)</t>
        </is>
      </c>
      <c r="M180" t="inlineStr">
        <is>
          <t>2::3::5::5::3::1</t>
        </is>
      </c>
      <c r="N180" t="n">
        <v>0</v>
      </c>
      <c r="O180" t="inlineStr">
        <is>
          <t>nitrogen, liquid</t>
        </is>
      </c>
      <c r="P180" t="inlineStr">
        <is>
          <t>steel production, electric, low-alloyed</t>
        </is>
      </c>
      <c r="Q180" t="inlineStr">
        <is>
          <t>steel, low-alloyed</t>
        </is>
      </c>
      <c r="R180" t="inlineStr">
        <is>
          <t>Europe without Switzerland and Austria</t>
        </is>
      </c>
    </row>
    <row r="181" ht="14" customHeight="1">
      <c r="A181" t="inlineStr">
        <is>
          <t>market for oxygen, liquid</t>
        </is>
      </c>
      <c r="B181" t="n">
        <v>0</v>
      </c>
      <c r="C181" t="inlineStr">
        <is>
          <t>cutoff391</t>
        </is>
      </c>
      <c r="D181" t="inlineStr">
        <is>
          <t>RoW</t>
        </is>
      </c>
      <c r="E181" t="inlineStr">
        <is>
          <t>kilogram</t>
        </is>
      </c>
      <c r="G181" t="inlineStr">
        <is>
          <t>technosphere</t>
        </is>
      </c>
      <c r="L181" s="57" t="inlineStr">
        <is>
          <t>&gt; Modifications (2025): changed location from RER to RoW.
&lt;Original ecoinvent 3.8 comment: &gt; geometric mean of Remus et al. (2013) data range (m3:kg conversion based on: http://www.airproducts.com/Products/Gases/gas-facts/conversion-formulas/weight-and-volume-equivalents/oxygen.aspx)</t>
        </is>
      </c>
      <c r="M181" t="inlineStr">
        <is>
          <t>2::3::2::5::1::1</t>
        </is>
      </c>
      <c r="N181" t="n">
        <v>0</v>
      </c>
      <c r="O181" t="inlineStr">
        <is>
          <t>oxygen, liquid</t>
        </is>
      </c>
      <c r="P181" t="inlineStr">
        <is>
          <t>steel production, electric, low-alloyed</t>
        </is>
      </c>
      <c r="Q181" t="inlineStr">
        <is>
          <t>steel, low-alloyed</t>
        </is>
      </c>
      <c r="R181" t="inlineStr">
        <is>
          <t>Europe without Switzerland and Austria</t>
        </is>
      </c>
    </row>
    <row r="182" ht="14" customHeight="1">
      <c r="A182" t="inlineStr">
        <is>
          <t>market for quicklime, in pieces, loose</t>
        </is>
      </c>
      <c r="B182" t="n">
        <v>0</v>
      </c>
      <c r="C182" t="inlineStr">
        <is>
          <t>cutoff391</t>
        </is>
      </c>
      <c r="D182" t="inlineStr">
        <is>
          <t>RoW</t>
        </is>
      </c>
      <c r="E182" t="inlineStr">
        <is>
          <t>kilogram</t>
        </is>
      </c>
      <c r="G182" t="inlineStr">
        <is>
          <t>technosphere</t>
        </is>
      </c>
      <c r="L182" t="inlineStr">
        <is>
          <t>geometric mean of Remus et al. (2013) data range</t>
        </is>
      </c>
      <c r="M182" t="inlineStr">
        <is>
          <t>2::3::2::5::1::1</t>
        </is>
      </c>
      <c r="N182" t="n">
        <v>0</v>
      </c>
      <c r="O182" t="inlineStr">
        <is>
          <t>quicklime, in pieces, loose</t>
        </is>
      </c>
      <c r="P182" t="inlineStr">
        <is>
          <t>steel production, electric, low-alloyed</t>
        </is>
      </c>
      <c r="Q182" t="inlineStr">
        <is>
          <t>steel, low-alloyed</t>
        </is>
      </c>
      <c r="R182" t="inlineStr">
        <is>
          <t>Europe without Switzerland and Austria</t>
        </is>
      </c>
    </row>
    <row r="183" ht="14" customHeight="1">
      <c r="A183" t="inlineStr">
        <is>
          <t>market for refractory, basic, packed</t>
        </is>
      </c>
      <c r="B183" t="n">
        <v>0</v>
      </c>
      <c r="C183" t="inlineStr">
        <is>
          <t>cutoff391</t>
        </is>
      </c>
      <c r="D183" t="inlineStr">
        <is>
          <t>GLO</t>
        </is>
      </c>
      <c r="E183" t="inlineStr">
        <is>
          <t>kilogram</t>
        </is>
      </c>
      <c r="G183" t="inlineStr">
        <is>
          <t>technosphere</t>
        </is>
      </c>
      <c r="L183" t="inlineStr">
        <is>
          <t>geometric mean of Remus et al. (2013) data range</t>
        </is>
      </c>
      <c r="M183" t="inlineStr">
        <is>
          <t>2::3::2::5::1::1</t>
        </is>
      </c>
      <c r="N183" t="n">
        <v>0</v>
      </c>
      <c r="O183" t="inlineStr">
        <is>
          <t>refractory, basic, packed</t>
        </is>
      </c>
      <c r="P183" t="inlineStr">
        <is>
          <t>steel production, electric, low-alloyed</t>
        </is>
      </c>
      <c r="Q183" t="inlineStr">
        <is>
          <t>steel, low-alloyed</t>
        </is>
      </c>
      <c r="R183" t="inlineStr">
        <is>
          <t>Europe without Switzerland and Austria</t>
        </is>
      </c>
    </row>
    <row r="184" ht="14" customHeight="1">
      <c r="A184" t="inlineStr">
        <is>
          <t>market group for electricity, medium voltage</t>
        </is>
      </c>
      <c r="B184" t="n">
        <v>0.5162630369453775</v>
      </c>
      <c r="C184" t="inlineStr">
        <is>
          <t>cutoff391</t>
        </is>
      </c>
      <c r="D184" t="inlineStr">
        <is>
          <t>GLO</t>
        </is>
      </c>
      <c r="E184" t="inlineStr">
        <is>
          <t>kilowatt hour</t>
        </is>
      </c>
      <c r="G184" t="inlineStr">
        <is>
          <t>technosphere</t>
        </is>
      </c>
      <c r="L184" s="25" t="inlineStr">
        <is>
          <t>&gt; Modifications (2025): used input from market group instead of separate countries (aggregated the amount to 1 value from 1 market). Changed location from RER to GLO</t>
        </is>
      </c>
      <c r="O184" t="inlineStr">
        <is>
          <t>electricity, medium voltage</t>
        </is>
      </c>
    </row>
    <row r="185" ht="14" customHeight="1">
      <c r="A185" t="inlineStr">
        <is>
          <t>market group for natural gas, high pressure</t>
        </is>
      </c>
      <c r="B185" t="n">
        <v>0.007023523952625067</v>
      </c>
      <c r="C185" t="inlineStr">
        <is>
          <t>cutoff391</t>
        </is>
      </c>
      <c r="D185" t="inlineStr">
        <is>
          <t>GLO</t>
        </is>
      </c>
      <c r="E185" t="inlineStr">
        <is>
          <t>cubic meter</t>
        </is>
      </c>
      <c r="G185" t="inlineStr">
        <is>
          <t>technosphere</t>
        </is>
      </c>
      <c r="L185" s="25" t="inlineStr">
        <is>
          <t>&gt; Modifications (2025): used input from market group instead of separate countries (aggregated the amount to 1 value from 1 market). changed location from RER to GLO</t>
        </is>
      </c>
      <c r="O185" t="inlineStr">
        <is>
          <t>natural gas, high pressure</t>
        </is>
      </c>
    </row>
    <row r="186"/>
    <row r="187" ht="14" customHeight="1">
      <c r="N187" s="25" t="n"/>
    </row>
    <row r="188" ht="14" customHeight="1">
      <c r="N188" s="25" t="n"/>
    </row>
    <row r="189" ht="14" customHeight="1">
      <c r="A189" s="50" t="inlineStr">
        <is>
          <t>Activity</t>
        </is>
      </c>
      <c r="B189" s="50" t="inlineStr">
        <is>
          <t>ultrafine grinding of iron ore</t>
        </is>
      </c>
    </row>
    <row r="190" ht="14" customHeight="1">
      <c r="A190" t="inlineStr">
        <is>
          <t>comment</t>
        </is>
      </c>
      <c r="B190" s="57" t="inlineStr">
        <is>
          <t>This dataset represents the fine grinding of iron ore prior to electrowinning. Input is 95% hematite (Fe₂O₃), corresponding to approximately 66 wt-% iron — similar to the iron ore quality modeled in ecoinvent's beneficiation processes.
The input particle size (F80) is 60 μm, ground down to an output particle size (P80) of 10 μm, based on the SIDERWIN process specifications (Siderwin 2019, Figure 18).
Energy use and material inputs are adapted from the SIDERWIN project, with complementary assumptions drawn from the ecoinvent v3.8 process for "quicklime production, milled, loose (CH)" for ancillary equipment and infrastructure.
Inventory and assumptions:
Electricity consumption:
Total: 0.063 kWh per kg of ore
Voltage split: 50% medium voltage, 50% high voltage
Derived from: 100 kWh per 1.585 ton ore (Siderwin 2019)
Allocation:
Medium voltage: 0.0315 kWh/kg
High voltage: 0.0315 kWh/kg
Technosphere inputs:
Industrial machinery, conveyor belt, and building heating are modeled by analogy with the ecoinvent process for quicklime production (CH region).
Emissions:
Dust emissions are considered negligible, following the same assumption as in the lime milling process in ecoinvent v3.8.
References:
Harpprecht et al. (2025). Newly created LCI dataset for fine grinding of iron ore in electrowinning-based steelmaking.
Siderwin Project (2019). D7.1 – Life Cycle Inventory of the SIDERWIN process. European Commission H2020 SPIRE-10-2017 project, Grant Agreement No. 768788.
ecoinvent v3.8, system model: cutoff. Process: “quicklime production, milled, loose (CH)”.</t>
        </is>
      </c>
    </row>
    <row r="191" ht="14" customHeight="1">
      <c r="A191" t="inlineStr">
        <is>
          <t>location</t>
        </is>
      </c>
      <c r="B191" t="inlineStr">
        <is>
          <t>GLO</t>
        </is>
      </c>
    </row>
    <row r="192" ht="14" customHeight="1">
      <c r="A192" t="inlineStr">
        <is>
          <t>reference product</t>
        </is>
      </c>
      <c r="B192" t="inlineStr">
        <is>
          <t>iron ore, ultrafine ground</t>
        </is>
      </c>
    </row>
    <row r="193" ht="14" customHeight="1">
      <c r="A193" t="inlineStr">
        <is>
          <t>unit</t>
        </is>
      </c>
      <c r="B193" t="inlineStr">
        <is>
          <t>kilogram</t>
        </is>
      </c>
    </row>
    <row r="194" ht="14" customHeight="1">
      <c r="A194" s="50" t="inlineStr">
        <is>
          <t>Exchanges</t>
        </is>
      </c>
    </row>
    <row r="195" ht="14" customHeight="1">
      <c r="A195" t="inlineStr">
        <is>
          <t>name</t>
        </is>
      </c>
      <c r="B195" s="20" t="inlineStr">
        <is>
          <t>amount</t>
        </is>
      </c>
      <c r="C195" s="20" t="inlineStr">
        <is>
          <t>database</t>
        </is>
      </c>
      <c r="D195" s="20" t="inlineStr">
        <is>
          <t>location</t>
        </is>
      </c>
      <c r="E195" s="20" t="inlineStr">
        <is>
          <t>unit</t>
        </is>
      </c>
      <c r="F195" s="20" t="inlineStr">
        <is>
          <t>type</t>
        </is>
      </c>
      <c r="G195" s="20" t="inlineStr">
        <is>
          <t>reference product</t>
        </is>
      </c>
      <c r="H195" s="20" t="inlineStr">
        <is>
          <t>comment</t>
        </is>
      </c>
      <c r="I195" s="20" t="inlineStr">
        <is>
          <t>replacement name</t>
        </is>
      </c>
      <c r="J195" s="20" t="inlineStr">
        <is>
          <t>replacement product</t>
        </is>
      </c>
      <c r="K195" s="20" t="inlineStr">
        <is>
          <t>replacement location</t>
        </is>
      </c>
    </row>
    <row r="196" ht="14" customHeight="1">
      <c r="A196" t="inlineStr">
        <is>
          <t>ultrafine grinding of iron ore</t>
        </is>
      </c>
      <c r="B196" t="n">
        <v>1</v>
      </c>
      <c r="C196" t="inlineStr">
        <is>
          <t>steel_paper</t>
        </is>
      </c>
      <c r="D196" t="inlineStr">
        <is>
          <t>GLO</t>
        </is>
      </c>
      <c r="E196" t="inlineStr">
        <is>
          <t>kilogram</t>
        </is>
      </c>
      <c r="F196" t="inlineStr">
        <is>
          <t>production</t>
        </is>
      </c>
      <c r="G196" t="inlineStr">
        <is>
          <t>iron ore, ultrafine ground</t>
        </is>
      </c>
    </row>
    <row r="197" ht="14" customHeight="1">
      <c r="A197" t="inlineStr">
        <is>
          <t>market for conveyor belt</t>
        </is>
      </c>
      <c r="B197" t="n">
        <v>0</v>
      </c>
      <c r="C197" t="inlineStr">
        <is>
          <t>cutoff391</t>
        </is>
      </c>
      <c r="D197" t="inlineStr">
        <is>
          <t>GLO</t>
        </is>
      </c>
      <c r="E197" t="inlineStr">
        <is>
          <t>meter</t>
        </is>
      </c>
      <c r="F197" t="inlineStr">
        <is>
          <t>technosphere</t>
        </is>
      </c>
      <c r="G197" t="inlineStr">
        <is>
          <t>conveyor belt</t>
        </is>
      </c>
      <c r="H197" t="inlineStr">
        <is>
          <t>&gt; assumption: as in ecoinvent process for "quicklime production, milled, loose"	in CH</t>
        </is>
      </c>
      <c r="I197" t="inlineStr">
        <is>
          <t>quicklime production, milled, loose</t>
        </is>
      </c>
      <c r="J197" t="inlineStr">
        <is>
          <t>quicklime, milled, loose</t>
        </is>
      </c>
      <c r="K197" t="inlineStr">
        <is>
          <t>RoW</t>
        </is>
      </c>
    </row>
    <row r="198" ht="14" customHeight="1">
      <c r="A198" t="inlineStr">
        <is>
          <t>market for industrial machine, heavy, unspecified</t>
        </is>
      </c>
      <c r="B198" t="n">
        <v>0</v>
      </c>
      <c r="C198" t="inlineStr">
        <is>
          <t>cutoff391</t>
        </is>
      </c>
      <c r="D198" t="inlineStr">
        <is>
          <t>RoW</t>
        </is>
      </c>
      <c r="E198" t="inlineStr">
        <is>
          <t>kilogram</t>
        </is>
      </c>
      <c r="F198" t="inlineStr">
        <is>
          <t>technosphere</t>
        </is>
      </c>
      <c r="G198" t="inlineStr">
        <is>
          <t>industrial machine, heavy, unspecified</t>
        </is>
      </c>
      <c r="H198" t="inlineStr">
        <is>
          <t>&gt; assumption: as in ecoinvent process for "quicklime production, milled, loose"	in CH</t>
        </is>
      </c>
      <c r="I198" t="inlineStr">
        <is>
          <t>quicklime production, milled, loose</t>
        </is>
      </c>
      <c r="J198" t="inlineStr">
        <is>
          <t>quicklime, milled, loose</t>
        </is>
      </c>
      <c r="K198" t="inlineStr">
        <is>
          <t>RoW</t>
        </is>
      </c>
    </row>
    <row r="199" ht="14" customHeight="1">
      <c r="A199" t="inlineStr">
        <is>
          <t>market for iron ore concentrate</t>
        </is>
      </c>
      <c r="B199" t="n">
        <v>1</v>
      </c>
      <c r="C199" t="inlineStr">
        <is>
          <t>cutoff391</t>
        </is>
      </c>
      <c r="D199" t="inlineStr">
        <is>
          <t>GLO</t>
        </is>
      </c>
      <c r="E199" t="inlineStr">
        <is>
          <t>kilogram</t>
        </is>
      </c>
      <c r="F199" t="inlineStr">
        <is>
          <t>technosphere</t>
        </is>
      </c>
      <c r="G199" t="inlineStr">
        <is>
          <t>iron ore concentrate</t>
        </is>
      </c>
    </row>
    <row r="200" ht="14" customHeight="1">
      <c r="A200" t="inlineStr">
        <is>
          <t>market group for electricity, high voltage</t>
        </is>
      </c>
      <c r="B200" t="n">
        <v>0.0315</v>
      </c>
      <c r="C200" t="inlineStr">
        <is>
          <t>cutoff391</t>
        </is>
      </c>
      <c r="D200" t="inlineStr">
        <is>
          <t>GLO</t>
        </is>
      </c>
      <c r="E200" t="inlineStr">
        <is>
          <t>kilowatt hour</t>
        </is>
      </c>
      <c r="F200" t="inlineStr">
        <is>
          <t>technosphere</t>
        </is>
      </c>
      <c r="G200" t="inlineStr">
        <is>
          <t>electricity, high voltage</t>
        </is>
      </c>
      <c r="H200" t="inlineStr">
        <is>
          <t>&gt; source: Siderwin (2019, Figure 18)
100 kWh/1585 kg (Siderwin 2019, Figure 18) = 0.063 kWh / kg 
0.5 * 0.063 kWh / kg  = 0.0315 kWh / kg
Electricity consumption 50% medium voltage, 50% high voltage (based on quicklime process)</t>
        </is>
      </c>
    </row>
    <row r="201" ht="14" customHeight="1">
      <c r="A201" t="inlineStr">
        <is>
          <t>market group for electricity, medium voltage</t>
        </is>
      </c>
      <c r="B201" t="n">
        <v>0.0315</v>
      </c>
      <c r="C201" t="inlineStr">
        <is>
          <t>cutoff391</t>
        </is>
      </c>
      <c r="D201" t="inlineStr">
        <is>
          <t>GLO</t>
        </is>
      </c>
      <c r="E201" t="inlineStr">
        <is>
          <t>kilowatt hour</t>
        </is>
      </c>
      <c r="F201" t="inlineStr">
        <is>
          <t>technosphere</t>
        </is>
      </c>
      <c r="G201" t="inlineStr">
        <is>
          <t>electricity, medium voltage</t>
        </is>
      </c>
      <c r="H201" t="inlineStr">
        <is>
          <t>&gt; source: Siderwin (2019, Figure 18)
100 kWh/1585 kg (Siderwin 2019, Figure 18) = 0.063 kWh / kg 
0.5 * 0.063 kWh / kg  = 0.0315 kWh / kg
Electricity consumption 50% medium voltage, 50% high voltage (based on quicklime process)</t>
        </is>
      </c>
    </row>
    <row r="202" ht="14" customHeight="1">
      <c r="A202" t="inlineStr">
        <is>
          <t>market for heat, central or small-scale, other than natural gas</t>
        </is>
      </c>
      <c r="B202" t="n">
        <v>0</v>
      </c>
      <c r="C202" t="inlineStr">
        <is>
          <t>cutoff391</t>
        </is>
      </c>
      <c r="D202" t="inlineStr">
        <is>
          <t>RoW</t>
        </is>
      </c>
      <c r="E202" t="inlineStr">
        <is>
          <t>megajoule</t>
        </is>
      </c>
      <c r="F202" t="inlineStr">
        <is>
          <t>technosphere</t>
        </is>
      </c>
      <c r="G202" t="inlineStr">
        <is>
          <t>heat, central or small-scale, other than natural gas</t>
        </is>
      </c>
      <c r="H202" t="inlineStr">
        <is>
          <t>&gt; assumption: as in ecoinvent process for "quicklime production, milled, loose"	in CH</t>
        </is>
      </c>
      <c r="I202" t="inlineStr">
        <is>
          <t>quicklime production, milled, loose</t>
        </is>
      </c>
      <c r="J202" t="inlineStr">
        <is>
          <t>quicklime, milled, loose</t>
        </is>
      </c>
      <c r="K202" t="inlineStr">
        <is>
          <t>RoW</t>
        </is>
      </c>
    </row>
  </sheetData>
  <autoFilter ref="A1:R202"/>
  <pageMargins left="0.7" right="0.7" top="0.75" bottom="0.75" header="0.3" footer="0.3"/>
  <pageSetup orientation="portrait" paperSize="9"/>
</worksheet>
</file>

<file path=xl/worksheets/sheet9.xml><?xml version="1.0" encoding="utf-8"?>
<worksheet xmlns="http://schemas.openxmlformats.org/spreadsheetml/2006/main">
  <sheetPr>
    <tabColor theme="8" tint="-0.249977111117893"/>
    <outlinePr summaryBelow="1" summaryRight="1"/>
    <pageSetUpPr/>
  </sheetPr>
  <dimension ref="A1:F23"/>
  <sheetViews>
    <sheetView workbookViewId="0">
      <selection activeCell="B21" sqref="B21"/>
    </sheetView>
  </sheetViews>
  <sheetFormatPr baseColWidth="10" defaultColWidth="8.83203125" defaultRowHeight="15"/>
  <cols>
    <col width="15.1640625" bestFit="1" customWidth="1" style="1" min="1" max="1"/>
    <col width="120.83203125" customWidth="1" style="9" min="2" max="2"/>
  </cols>
  <sheetData>
    <row r="1">
      <c r="A1" s="3" t="inlineStr">
        <is>
          <t>skip</t>
        </is>
      </c>
      <c r="B1" s="4" t="n"/>
      <c r="C1" s="2" t="n"/>
      <c r="D1" s="2" t="n"/>
      <c r="E1" s="2" t="n"/>
      <c r="F1" s="2" t="n"/>
    </row>
    <row r="2">
      <c r="A2" s="5" t="inlineStr">
        <is>
          <t>Context:</t>
        </is>
      </c>
      <c r="B2" s="10" t="inlineStr">
        <is>
          <t>This data is part of the publication 'Future Environmental Impacts of Global Iron and Steel Production' by Harpprecht et al., 2025</t>
        </is>
      </c>
      <c r="C2" s="2" t="n"/>
      <c r="D2" s="2" t="n"/>
      <c r="E2" s="2" t="n"/>
      <c r="F2" s="2" t="n"/>
    </row>
    <row r="3">
      <c r="A3" s="3" t="n"/>
      <c r="B3" s="4" t="n"/>
      <c r="C3" s="2" t="n"/>
      <c r="D3" s="2" t="n"/>
      <c r="E3" s="2" t="n"/>
      <c r="F3" s="2" t="n"/>
    </row>
    <row r="4">
      <c r="A4" s="7" t="n"/>
      <c r="B4" s="4" t="n"/>
      <c r="C4" s="2" t="n"/>
      <c r="D4" s="2" t="n"/>
      <c r="E4" s="2" t="n"/>
      <c r="F4" s="2" t="n"/>
    </row>
    <row r="5" ht="16" customHeight="1">
      <c r="A5" s="5" t="inlineStr">
        <is>
          <t>Content:</t>
        </is>
      </c>
      <c r="B5" s="4" t="inlineStr">
        <is>
          <t xml:space="preserve">Each spreadsheet contains the inventory data for a steel production route as developed in this study. </t>
        </is>
      </c>
      <c r="C5" s="2" t="n"/>
      <c r="D5" s="2" t="n"/>
      <c r="E5" s="2" t="n"/>
      <c r="F5" s="2" t="n"/>
    </row>
    <row r="6" ht="16" customHeight="1">
      <c r="A6" s="11" t="n"/>
      <c r="B6" s="4" t="inlineStr">
        <is>
          <t>The colour coding and documentation is explained in a separate spreadsheet labelled "Legend"</t>
        </is>
      </c>
      <c r="C6" s="2" t="n"/>
      <c r="D6" s="2" t="n"/>
      <c r="E6" s="2" t="n"/>
      <c r="F6" s="2" t="n"/>
    </row>
    <row r="7">
      <c r="A7" s="3" t="n"/>
      <c r="C7" s="2" t="n"/>
      <c r="D7" s="2" t="n"/>
      <c r="E7" s="2" t="n"/>
      <c r="F7" s="2" t="n"/>
    </row>
    <row r="8">
      <c r="A8" s="7" t="n"/>
      <c r="C8" s="2" t="n"/>
      <c r="D8" s="2" t="n"/>
      <c r="E8" s="2" t="n"/>
      <c r="F8" s="2" t="n"/>
    </row>
    <row r="9" ht="32" customHeight="1">
      <c r="A9" s="5" t="inlineStr">
        <is>
          <t>Usage:</t>
        </is>
      </c>
      <c r="B9" s="6" t="inlineStr">
        <is>
          <t>These inventories are read in by premise (e.g. via the jupyter notebook supplied) in order to incorporate them as external scenarios. The LCIs get regionalize and modified according to the values in the file 'steel_scenario_data.csv'</t>
        </is>
      </c>
      <c r="C9" s="2" t="n"/>
      <c r="D9" s="2" t="n"/>
      <c r="E9" s="2" t="n"/>
      <c r="F9" s="2" t="n"/>
    </row>
    <row r="10">
      <c r="A10" s="3" t="n"/>
      <c r="B10" s="4" t="n"/>
      <c r="C10" s="2" t="n"/>
      <c r="D10" s="2" t="n"/>
      <c r="E10" s="2" t="n"/>
      <c r="F10" s="2" t="n"/>
    </row>
    <row r="11">
      <c r="A11" s="7" t="n"/>
      <c r="B11" s="4" t="n"/>
      <c r="C11" s="2" t="n"/>
      <c r="D11" s="2" t="n"/>
      <c r="E11" s="2" t="n"/>
      <c r="F11" s="2" t="n"/>
    </row>
    <row r="12" ht="16" customHeight="1">
      <c r="A12" s="5" t="inlineStr">
        <is>
          <t>Source:</t>
        </is>
      </c>
      <c r="B12" s="6" t="inlineStr">
        <is>
          <t>Based on various literature sources (see sources in comments) and Ecoinvent v3.9</t>
        </is>
      </c>
      <c r="C12" s="2" t="n"/>
      <c r="D12" s="2" t="n"/>
      <c r="E12" s="2" t="n"/>
      <c r="F12" s="2" t="n"/>
    </row>
    <row r="13">
      <c r="A13" s="3" t="n"/>
      <c r="B13" s="4" t="n"/>
      <c r="C13" s="2" t="n"/>
      <c r="D13" s="2" t="n"/>
      <c r="E13" s="2" t="n"/>
      <c r="F13" s="2" t="n"/>
    </row>
    <row r="14">
      <c r="A14" s="7" t="n"/>
      <c r="B14" s="4" t="n"/>
      <c r="C14" s="2" t="n"/>
      <c r="D14" s="2" t="n"/>
      <c r="E14" s="2" t="n"/>
      <c r="F14" s="2" t="n"/>
    </row>
    <row r="15" ht="16" customHeight="1">
      <c r="A15" s="5" t="inlineStr">
        <is>
          <t>License:</t>
        </is>
      </c>
      <c r="B15" s="6" t="inlineStr">
        <is>
          <t xml:space="preserve"> CC-BY-4.0</t>
        </is>
      </c>
      <c r="C15" s="2" t="n"/>
      <c r="D15" s="2" t="n"/>
      <c r="E15" s="2" t="n"/>
      <c r="F15" s="2" t="n"/>
    </row>
    <row r="16">
      <c r="A16" s="3" t="n"/>
      <c r="B16" s="4" t="n"/>
      <c r="C16" s="2" t="n"/>
      <c r="D16" s="2" t="n"/>
      <c r="E16" s="2" t="n"/>
      <c r="F16" s="2" t="n"/>
    </row>
    <row r="17">
      <c r="A17" s="7" t="n"/>
      <c r="B17" s="4" t="n"/>
      <c r="C17" s="2" t="n"/>
      <c r="D17" s="2" t="n"/>
      <c r="E17" s="2" t="n"/>
      <c r="F17" s="2" t="n"/>
    </row>
    <row r="18" ht="16" customHeight="1">
      <c r="A18" s="5" t="inlineStr">
        <is>
          <t>Contact persons:</t>
        </is>
      </c>
      <c r="B18" s="6" t="inlineStr">
        <is>
          <t>Carina Harpprecht: carina.harpprecht@dlr.de</t>
        </is>
      </c>
      <c r="C18" s="2" t="n"/>
      <c r="D18" s="2" t="n"/>
      <c r="E18" s="2" t="n"/>
      <c r="F18" s="2" t="n"/>
    </row>
    <row r="19">
      <c r="A19" s="8" t="n"/>
      <c r="B19" s="4" t="n"/>
      <c r="C19" s="2" t="n"/>
      <c r="D19" s="2" t="n"/>
      <c r="E19" s="2" t="n"/>
      <c r="F19" s="2" t="n"/>
    </row>
    <row r="20">
      <c r="A20" s="3" t="n"/>
      <c r="B20" s="4" t="n"/>
      <c r="C20" s="2" t="n"/>
      <c r="D20" s="2" t="n"/>
      <c r="E20" s="2" t="n"/>
      <c r="F20" s="2" t="n"/>
    </row>
    <row r="21">
      <c r="A21" s="7" t="n"/>
      <c r="B21" s="4" t="n"/>
      <c r="C21" s="2" t="n"/>
      <c r="D21" s="2" t="n"/>
      <c r="E21" s="2" t="n"/>
      <c r="F21" s="2" t="n"/>
    </row>
    <row r="22">
      <c r="A22" s="5" t="n"/>
      <c r="B22" s="4" t="n"/>
      <c r="C22" s="2" t="n"/>
      <c r="D22" s="2" t="n"/>
      <c r="E22" s="2" t="n"/>
      <c r="F22" s="2" t="n"/>
    </row>
    <row r="23">
      <c r="A23" s="8" t="n"/>
      <c r="B23" s="4" t="n"/>
      <c r="C23" s="2" t="n"/>
      <c r="D23" s="2" t="n"/>
      <c r="E23" s="2" t="n"/>
      <c r="F23" s="2"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Wei, S.J. (Shijie)</dc:creator>
  <dcterms:created xmlns:dcterms="http://purl.org/dc/terms/" xmlns:xsi="http://www.w3.org/2001/XMLSchema-instance" xsi:type="dcterms:W3CDTF">2015-06-05T18:19:34Z</dcterms:created>
  <dcterms:modified xmlns:dcterms="http://purl.org/dc/terms/" xmlns:xsi="http://www.w3.org/2001/XMLSchema-instance" xsi:type="dcterms:W3CDTF">2026-07-07T14:07:29Z</dcterms:modified>
  <cp:lastModifiedBy>Romain Sacchi</cp:lastModifiedBy>
</cp:coreProperties>
</file>